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9b7c597e6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설정" sheetId="1" r:id="R686ba359c2ea47db"/>
    <x:sheet xmlns:r="http://schemas.openxmlformats.org/officeDocument/2006/relationships" name="모듈선택" sheetId="2" r:id="R8053d61ea86440cc"/>
    <x:sheet xmlns:r="http://schemas.openxmlformats.org/officeDocument/2006/relationships" name="상세일정" sheetId="3" r:id="Reae1e0a2b6ee4ec6"/>
    <x:sheet xmlns:r="http://schemas.openxmlformats.org/officeDocument/2006/relationships" name="주간간트" sheetId="4" r:id="R91a0dcf8bc4a48d0"/>
    <x:sheet xmlns:r="http://schemas.openxmlformats.org/officeDocument/2006/relationships" name="변경이력" sheetId="5" r:id="R90424e8092044de4"/>
    <x:sheet xmlns:r="http://schemas.openxmlformats.org/officeDocument/2006/relationships" name="리스크대장" sheetId="6" r:id="Re28d183c35f44b18"/>
    <x:sheet xmlns:r="http://schemas.openxmlformats.org/officeDocument/2006/relationships" name="문서대장" sheetId="7" r:id="R005c25441cd74cea"/>
    <x:sheet xmlns:r="http://schemas.openxmlformats.org/officeDocument/2006/relationships" name="사용가이드" sheetId="8" r:id="Red22754d3ba0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yy-mm-dd"/>
    <x:numFmt numFmtId="203" formatCode="0%"/>
  </x:numFmts>
  <x:fonts count="4">
    <x:font>
      <x:sz val="11"/>
      <x:name val="Carlito"/>
    </x:font>
    <x:font>
      <x:sz val="10"/>
      <x:name val="Noto Sans CJK KR"/>
    </x:font>
    <x:font>
      <x:b/>
      <x:sz val="15"/>
      <x:name val="Noto Sans CJK KR"/>
    </x:font>
    <x:font>
      <x:b/>
      <x:sz val="10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45A81"/>
      </x:font>
      <x:fill>
        <x:patternFill patternType="solid">
          <x:bgColor rgb="FFD9EAF7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51c0132e94157" /><Relationship Type="http://schemas.openxmlformats.org/officeDocument/2006/relationships/theme" Target="/xl/theme/theme1.xml" Id="R2f36c11cae134994" /><Relationship Type="http://schemas.openxmlformats.org/officeDocument/2006/relationships/sharedStrings" Target="/xl/sharedStrings.xml" Id="Rb23c0b1eb34e4e11" /><Relationship Type="http://schemas.openxmlformats.org/officeDocument/2006/relationships/worksheet" Target="/xl/worksheets/sheet1.xml" Id="R686ba359c2ea47db" /><Relationship Type="http://schemas.openxmlformats.org/officeDocument/2006/relationships/worksheet" Target="/xl/worksheets/sheet2.xml" Id="R8053d61ea86440cc" /><Relationship Type="http://schemas.openxmlformats.org/officeDocument/2006/relationships/worksheet" Target="/xl/worksheets/sheet3.xml" Id="Reae1e0a2b6ee4ec6" /><Relationship Type="http://schemas.openxmlformats.org/officeDocument/2006/relationships/worksheet" Target="/xl/worksheets/sheet4.xml" Id="R91a0dcf8bc4a48d0" /><Relationship Type="http://schemas.openxmlformats.org/officeDocument/2006/relationships/worksheet" Target="/xl/worksheets/sheet5.xml" Id="R90424e8092044de4" /><Relationship Type="http://schemas.openxmlformats.org/officeDocument/2006/relationships/worksheet" Target="/xl/worksheets/sheet6.xml" Id="Re28d183c35f44b18" /><Relationship Type="http://schemas.openxmlformats.org/officeDocument/2006/relationships/worksheet" Target="/xl/worksheets/sheet7.xml" Id="R005c25441cd74cea" /><Relationship Type="http://schemas.openxmlformats.org/officeDocument/2006/relationships/worksheet" Target="/xl/worksheets/sheet8.xml" Id="Red22754d3ba041e8" /></Relationships>
</file>

<file path=xl/tables/table1.xml><?xml version="1.0" encoding="utf-8"?>
<x:table xmlns:x="http://schemas.openxmlformats.org/spreadsheetml/2006/main" id="1" name="Data0" displayName="Data0" ref="A5:C18" headerRowCount="1" totalsRowCount="0" totalsRowShown="0">
  <x:tableColumns count="3">
    <x:tableColumn id="1" name="설정 항목"/>
    <x:tableColumn id="2" name="입력 / 계산값"/>
    <x:tableColumn id="3" name="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5:F34" headerRowCount="1" totalsRowCount="0" totalsRowShown="0">
  <x:tableColumns count="6">
    <x:tableColumn id="1" name="모듈"/>
    <x:tableColumn id="2" name="적용 상태"/>
    <x:tableColumn id="3" name="작업 수"/>
    <x:tableColumn id="4" name="검토 담당"/>
    <x:tableColumn id="5" name="결정 근거 / 회신"/>
    <x:tableColumn id="6" name="선택 기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5:AN248" headerRowCount="1" totalsRowCount="0" totalsRowShown="0">
  <x:tableColumns count="40">
    <x:tableColumn id="1" name="Activity ID"/>
    <x:tableColumn id="2" name="공통 WBS 모듈"/>
    <x:tableColumn id="3" name="세부 작업 / PJ별 수정"/>
    <x:tableColumn id="4" name="모듈 적용"/>
    <x:tableColumn id="5" name="실행 상태"/>
    <x:tableColumn id="6" name="담당 역할 / 실명"/>
    <x:tableColumn id="7" name="산출물·완료조건"/>
    <x:tableColumn id="8" name="기준선 착수(고정)"/>
    <x:tableColumn id="9" name="기준선 완료(고정)"/>
    <x:tableColumn id="10" name="실제 착수"/>
    <x:tableColumn id="11" name="실제 완료"/>
    <x:tableColumn id="12" name="착수 제약일"/>
    <x:tableColumn id="13" name="전체 O"/>
    <x:tableColumn id="14" name="전체 M"/>
    <x:tableColumn id="15" name="전체 P"/>
    <x:tableColumn id="16" name="잔여 O"/>
    <x:tableColumn id="17" name="잔여 M"/>
    <x:tableColumn id="18" name="잔여 P"/>
    <x:tableColumn id="19" name="유효 O"/>
    <x:tableColumn id="20" name="유효 M"/>
    <x:tableColumn id="21" name="유효 P"/>
    <x:tableColumn id="22" name="PERT 평균"/>
    <x:tableColumn id="23" name="PERT 분산"/>
    <x:tableColumn id="24" name="선행1 FS"/>
    <x:tableColumn id="25" name="선행2 FS"/>
    <x:tableColumn id="26" name="선행3 FS"/>
    <x:tableColumn id="27" name="선행4 FS"/>
    <x:tableColumn id="28" name="선행5 FS"/>
    <x:tableColumn id="29" name="선행6 FS"/>
    <x:tableColumn id="30" name="선행완료1"/>
    <x:tableColumn id="31" name="선행완료2"/>
    <x:tableColumn id="32" name="선행완료3"/>
    <x:tableColumn id="33" name="선행완료4"/>
    <x:tableColumn id="34" name="선행완료5"/>
    <x:tableColumn id="35" name="선행완료6"/>
    <x:tableColumn id="36" name="예측 착수"/>
    <x:tableColumn id="37" name="예측 완료(경계)"/>
    <x:tableColumn id="38" name="기준선 편차(일)"/>
    <x:tableColumn id="39" name="입력·진행 확인"/>
    <x:tableColumn id="40" name="공통 리스크 그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5:DE248" headerRowCount="1" totalsRowCount="0" totalsRowShown="0">
  <x:tableColumns count="109">
    <x:tableColumn id="1" name="ID"/>
    <x:tableColumn id="2" name="모듈"/>
    <x:tableColumn id="3" name="작업"/>
    <x:tableColumn id="4" name="예측 착수"/>
    <x:tableColumn id="5" name="예측 완료"/>
    <x:tableColumn id="6" name="W1"/>
    <x:tableColumn id="7" name="W2"/>
    <x:tableColumn id="8" name="W3"/>
    <x:tableColumn id="9" name="W4"/>
    <x:tableColumn id="10" name="W5"/>
    <x:tableColumn id="11" name="W6"/>
    <x:tableColumn id="12" name="W7"/>
    <x:tableColumn id="13" name="W8"/>
    <x:tableColumn id="14" name="W9"/>
    <x:tableColumn id="15" name="W10"/>
    <x:tableColumn id="16" name="W11"/>
    <x:tableColumn id="17" name="W12"/>
    <x:tableColumn id="18" name="W13"/>
    <x:tableColumn id="19" name="W14"/>
    <x:tableColumn id="20" name="W15"/>
    <x:tableColumn id="21" name="W16"/>
    <x:tableColumn id="22" name="W17"/>
    <x:tableColumn id="23" name="W18"/>
    <x:tableColumn id="24" name="W19"/>
    <x:tableColumn id="25" name="W20"/>
    <x:tableColumn id="26" name="W21"/>
    <x:tableColumn id="27" name="W22"/>
    <x:tableColumn id="28" name="W23"/>
    <x:tableColumn id="29" name="W24"/>
    <x:tableColumn id="30" name="W25"/>
    <x:tableColumn id="31" name="W26"/>
    <x:tableColumn id="32" name="W27"/>
    <x:tableColumn id="33" name="W28"/>
    <x:tableColumn id="34" name="W29"/>
    <x:tableColumn id="35" name="W30"/>
    <x:tableColumn id="36" name="W31"/>
    <x:tableColumn id="37" name="W32"/>
    <x:tableColumn id="38" name="W33"/>
    <x:tableColumn id="39" name="W34"/>
    <x:tableColumn id="40" name="W35"/>
    <x:tableColumn id="41" name="W36"/>
    <x:tableColumn id="42" name="W37"/>
    <x:tableColumn id="43" name="W38"/>
    <x:tableColumn id="44" name="W39"/>
    <x:tableColumn id="45" name="W40"/>
    <x:tableColumn id="46" name="W41"/>
    <x:tableColumn id="47" name="W42"/>
    <x:tableColumn id="48" name="W43"/>
    <x:tableColumn id="49" name="W44"/>
    <x:tableColumn id="50" name="W45"/>
    <x:tableColumn id="51" name="W46"/>
    <x:tableColumn id="52" name="W47"/>
    <x:tableColumn id="53" name="W48"/>
    <x:tableColumn id="54" name="W49"/>
    <x:tableColumn id="55" name="W50"/>
    <x:tableColumn id="56" name="W51"/>
    <x:tableColumn id="57" name="W52"/>
    <x:tableColumn id="58" name="W53"/>
    <x:tableColumn id="59" name="W54"/>
    <x:tableColumn id="60" name="W55"/>
    <x:tableColumn id="61" name="W56"/>
    <x:tableColumn id="62" name="W57"/>
    <x:tableColumn id="63" name="W58"/>
    <x:tableColumn id="64" name="W59"/>
    <x:tableColumn id="65" name="W60"/>
    <x:tableColumn id="66" name="W61"/>
    <x:tableColumn id="67" name="W62"/>
    <x:tableColumn id="68" name="W63"/>
    <x:tableColumn id="69" name="W64"/>
    <x:tableColumn id="70" name="W65"/>
    <x:tableColumn id="71" name="W66"/>
    <x:tableColumn id="72" name="W67"/>
    <x:tableColumn id="73" name="W68"/>
    <x:tableColumn id="74" name="W69"/>
    <x:tableColumn id="75" name="W70"/>
    <x:tableColumn id="76" name="W71"/>
    <x:tableColumn id="77" name="W72"/>
    <x:tableColumn id="78" name="W73"/>
    <x:tableColumn id="79" name="W74"/>
    <x:tableColumn id="80" name="W75"/>
    <x:tableColumn id="81" name="W76"/>
    <x:tableColumn id="82" name="W77"/>
    <x:tableColumn id="83" name="W78"/>
    <x:tableColumn id="84" name="W79"/>
    <x:tableColumn id="85" name="W80"/>
    <x:tableColumn id="86" name="W81"/>
    <x:tableColumn id="87" name="W82"/>
    <x:tableColumn id="88" name="W83"/>
    <x:tableColumn id="89" name="W84"/>
    <x:tableColumn id="90" name="W85"/>
    <x:tableColumn id="91" name="W86"/>
    <x:tableColumn id="92" name="W87"/>
    <x:tableColumn id="93" name="W88"/>
    <x:tableColumn id="94" name="W89"/>
    <x:tableColumn id="95" name="W90"/>
    <x:tableColumn id="96" name="W91"/>
    <x:tableColumn id="97" name="W92"/>
    <x:tableColumn id="98" name="W93"/>
    <x:tableColumn id="99" name="W94"/>
    <x:tableColumn id="100" name="W95"/>
    <x:tableColumn id="101" name="W96"/>
    <x:tableColumn id="102" name="W97"/>
    <x:tableColumn id="103" name="W98"/>
    <x:tableColumn id="104" name="W99"/>
    <x:tableColumn id="105" name="W100"/>
    <x:tableColumn id="106" name="W101"/>
    <x:tableColumn id="107" name="W102"/>
    <x:tableColumn id="108" name="W103"/>
    <x:tableColumn id="109" name="W10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4" displayName="Data4" ref="A5:P35" headerRowCount="1" totalsRowCount="0" totalsRowShown="0">
  <x:tableColumns count="16">
    <x:tableColumn id="1" name="이력 ID"/>
    <x:tableColumn id="2" name="PJ_ID"/>
    <x:tableColumn id="3" name="발생일"/>
    <x:tableColumn id="4" name="등록일"/>
    <x:tableColumn id="5" name="Activity ID"/>
    <x:tableColumn id="6" name="변경유형"/>
    <x:tableColumn id="7" name="변경 필드"/>
    <x:tableColumn id="8" name="변경 전"/>
    <x:tableColumn id="9" name="변경 후"/>
    <x:tableColumn id="10" name="사유 / 일정 영향"/>
    <x:tableColumn id="11" name="근거 문서·Rev."/>
    <x:tableColumn id="12" name="조치 담당"/>
    <x:tableColumn id="13" name="회신/조치기한"/>
    <x:tableColumn id="14" name="승인자"/>
    <x:tableColumn id="15" name="승인일"/>
    <x:tableColumn id="16" name="기준선 반영버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5" displayName="Data5" ref="A5:L12" headerRowCount="1" totalsRowCount="0" totalsRowShown="0">
  <x:tableColumns count="12">
    <x:tableColumn id="1" name="Risk ID"/>
    <x:tableColumn id="2" name="공통원인 그룹"/>
    <x:tableColumn id="3" name="리스크 내용"/>
    <x:tableColumn id="4" name="연결 모듈"/>
    <x:tableColumn id="5" name="발생 조건"/>
    <x:tableColumn id="6" name="발생확률 0~1"/>
    <x:tableColumn id="7" name="영향 O(일)"/>
    <x:tableColumn id="8" name="영향 M(일)"/>
    <x:tableColumn id="9" name="영향 P(일)"/>
    <x:tableColumn id="10" name="대응 담당"/>
    <x:tableColumn id="11" name="완화조치"/>
    <x:tableColumn id="12" name="중복 반영 점검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6" displayName="Data6" ref="A5:P35" headerRowCount="1" totalsRowCount="0" totalsRowShown="0">
  <x:tableColumns count="16">
    <x:tableColumn id="1" name="PJ_ID"/>
    <x:tableColumn id="2" name="문서번호"/>
    <x:tableColumn id="3" name="문서명"/>
    <x:tableColumn id="4" name="분야"/>
    <x:tableColumn id="5" name="Activity ID"/>
    <x:tableColumn id="6" name="작성기관"/>
    <x:tableColumn id="7" name="현재 Rev."/>
    <x:tableColumn id="8" name="계획 접수일"/>
    <x:tableColumn id="9" name="실제 접수일"/>
    <x:tableColumn id="10" name="검토기한"/>
    <x:tableColumn id="11" name="회신일"/>
    <x:tableColumn id="12" name="문서상태"/>
    <x:tableColumn id="13" name="미결사항"/>
    <x:tableColumn id="14" name="다음 액션"/>
    <x:tableColumn id="15" name="담당"/>
    <x:tableColumn id="16" name="파일/메일 위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7" displayName="Data7" ref="A5:B25" headerRowCount="1" totalsRowCount="0" totalsRowShown="0"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b938005fd84d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528fa7eff94e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27f856f7aa47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9a1fca2097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7bdfeb94ef4d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2c01ea040224e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1a50f86ad0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529bad623864ea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9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>
      <x:c r="A2" s="3" t="str">
        <x:v>공통 프로젝트 일정·이력관리 | Rev.1</x:v>
      </x:c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 ht="36" customHeight="1">
      <x:c r="A5" s="6" t="str">
        <x:v>설정 항목</x:v>
      </x:c>
      <x:c r="B5" s="6" t="str">
        <x:v>입력 / 계산값</x:v>
      </x:c>
      <x:c r="C5" s="6" t="str">
        <x:v>설명</x:v>
      </x:c>
    </x:row>
    <x:row r="6" ht="34" customHeight="1">
      <x:c r="A6" s="7" t="str">
        <x:v>프로젝트 ID</x:v>
      </x:c>
      <x:c r="B6" s="8"/>
      <x:c r="C6" s="7" t="str">
        <x:v>PJ별 고유 코드. 한 파일은 한 PJ에 사용하고 복사하여 재사용.</x:v>
      </x:c>
    </x:row>
    <x:row r="7" ht="34" customHeight="1">
      <x:c r="A7" s="7" t="str">
        <x:v>계획 착수일</x:v>
      </x:c>
      <x:c r="B7" s="9"/>
      <x:c r="C7" s="7" t="str">
        <x:v>필수 입력. 임의의 날짜를 미리 넣지 않았습니다.</x:v>
      </x:c>
    </x:row>
    <x:row r="8" ht="34" customHeight="1">
      <x:c r="A8" s="7" t="str">
        <x:v>현황 기준일</x:v>
      </x:c>
      <x:c r="B8" s="9"/>
      <x:c r="C8" s="7" t="str">
        <x:v>필수 입력. 미착수 작업의 예측착수는 이 날짜 이전으로 잡지 않습니다.</x:v>
      </x:c>
    </x:row>
    <x:row r="9" ht="34" customHeight="1">
      <x:c r="A9" s="7" t="str">
        <x:v>프로젝트명</x:v>
      </x:c>
      <x:c r="B9" s="8" t="str"/>
      <x:c r="C9" s="7" t="str">
        <x:v>지역·사업명 자유 입력</x:v>
      </x:c>
    </x:row>
    <x:row r="10" ht="34" customHeight="1">
      <x:c r="A10" s="7" t="str">
        <x:v>사업주 / PM</x:v>
      </x:c>
      <x:c r="B10" s="8" t="str"/>
      <x:c r="C10" s="7" t="str">
        <x:v>실제 기관·담당자 지정</x:v>
      </x:c>
    </x:row>
    <x:row r="11" ht="34" customHeight="1">
      <x:c r="A11" s="7" t="str">
        <x:v>목표 인수일</x:v>
      </x:c>
      <x:c r="B11" s="9"/>
      <x:c r="C11" s="7" t="str">
        <x:v>목표 대비 초과일 비교용</x:v>
      </x:c>
    </x:row>
    <x:row r="12" ht="34" customHeight="1">
      <x:c r="A12" s="7" t="str">
        <x:v>버전</x:v>
      </x:c>
      <x:c r="B12" s="7" t="str">
        <x:v>Rev.1</x:v>
      </x:c>
      <x:c r="C12" s="7" t="str">
        <x:v>승인 기준선은 별도 고정하고 변경이력에 남김</x:v>
      </x:c>
    </x:row>
    <x:row r="13" ht="34" customHeight="1">
      <x:c r="A13" s="7" t="str">
        <x:v>기간 단위</x:v>
      </x:c>
      <x:c r="B13" s="7" t="str">
        <x:v>역일</x:v>
      </x:c>
      <x:c r="C13" s="7" t="str">
        <x:v>주말 포함. 공휴일·자원제약·SS/FF/lag 미적용</x:v>
      </x:c>
    </x:row>
    <x:row r="14" ht="34" customHeight="1">
      <x:c r="A14" s="7" t="str">
        <x:v>입력 진단</x:v>
      </x:c>
      <x:c r="B14" s="7" t="str">
        <x:f>IF(OR(B6="",COUNT(B7:B8)&lt;2),"기본정보 입력 필요",IF(COUNTIFS('모듈선택'!B6:B34,"검토 필요")&gt;0,"모듈 적용성 확인",IF(COUNTIFS('상세일정'!AM6:AM248,"입력 OK")+COUNTIFS('상세일정'!AM6:AM248,"완료")+COUNTIFS('상세일정'!AM6:AM248,"제외")&lt;243,"작업 입력 확인","계산 가능")))</x:f>
        <x:v>기본정보 입력 필요</x:v>
      </x:c>
      <x:c r="C14" s="7" t="str">
        <x:v>모듈 적용성·프로젝트 ID·날짜 및 작업 입력상태 점검</x:v>
      </x:c>
    </x:row>
    <x:row r="15" ht="34" customHeight="1">
      <x:c r="A15" s="7" t="str">
        <x:v>시설 인수 예측일</x:v>
      </x:c>
      <x:c r="B15" s="10" t="str">
        <x:f>IF(B14&lt;&gt;"계산 가능","",'상세일정'!AK247)</x:f>
      </x:c>
      <x:c r="C15" s="7" t="str">
        <x:v>MS06 완료경계; 미확정 조건이 있으면 표시하지 않음</x:v>
      </x:c>
    </x:row>
    <x:row r="16" ht="34" customHeight="1">
      <x:c r="A16" s="7" t="str">
        <x:v>목표 대비 초과일</x:v>
      </x:c>
      <x:c r="B16" s="7" t="str">
        <x:f>IF(OR(B11="",B15=""),"",MAX(0,B15-B11))</x:f>
      </x:c>
      <x:c r="C16" s="7" t="str">
        <x:v>예측완료 - 목표 인수일, 음수는 0</x:v>
      </x:c>
    </x:row>
    <x:row r="17" ht="34" customHeight="1">
      <x:c r="A17" s="7" t="str">
        <x:v>세부 작업 수</x:v>
      </x:c>
      <x:c r="B17" s="7" t="n">
        <x:v>243</x:v>
      </x:c>
      <x:c r="C17" s="7" t="str">
        <x:v>원래 243개 업무 라이브러리를 공통화</x:v>
      </x:c>
    </x:row>
    <x:row r="18" ht="34" customHeight="1">
      <x:c r="A18" s="7" t="str">
        <x:v>시뮬레이션 상태</x:v>
      </x:c>
      <x:c r="B18" s="7" t="str">
        <x:v>미실행</x:v>
      </x:c>
      <x:c r="C18" s="7" t="str">
        <x:v>O/M/P를 검토한 후 별도 엔진으로 P50/P80/P90 계산</x:v>
      </x:c>
    </x:row>
  </x:sheetData>
  <x:pageMargins left="0.7" right="0.7" top="0.75" bottom="0.75" header="0.3" footer="0.3"/>
  <x:tableParts count="1">
    <x:tablePart xmlns:r="http://schemas.openxmlformats.org/officeDocument/2006/relationships" r:id="R2db938005fd84d7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3" hidden="0" customWidth="1"/>
    <x:col min="2" max="2" width="17" hidden="0" customWidth="1"/>
    <x:col min="3" max="3" width="12" hidden="0" customWidth="1"/>
    <x:col min="4" max="4" width="27" hidden="0" customWidth="1"/>
    <x:col min="5" max="5" width="60" hidden="0" customWidth="1"/>
    <x:col min="6" max="6" width="9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사업별 적용 모듈 선택</x:v>
      </x:c>
      <x:c r="B2" s="2"/>
      <x:c r="C2" s="2"/>
      <x:c r="D2" s="2"/>
      <x:c r="E2" s="2"/>
      <x:c r="F2" s="2"/>
    </x:row>
    <x:row r="3">
      <x:c r="A3" s="2" t="str">
        <x:v>제외는 삭제가 아니라 기간 0의 연결 노드로 처리. 검토 필요는 후속 예측을 보류. 개별 작업은 상세일정 E열에서 별도 제외 가능.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6" t="str">
        <x:v>모듈</x:v>
      </x:c>
      <x:c r="B5" s="6" t="str">
        <x:v>적용 상태</x:v>
      </x:c>
      <x:c r="C5" s="6" t="str">
        <x:v>작업 수</x:v>
      </x:c>
      <x:c r="D5" s="6" t="str">
        <x:v>검토 담당</x:v>
      </x:c>
      <x:c r="E5" s="6" t="str">
        <x:v>결정 근거 / 회신</x:v>
      </x:c>
      <x:c r="F5" s="6" t="str">
        <x:v>선택 기준</x:v>
      </x:c>
    </x:row>
    <x:row r="6" ht="34" customHeight="1">
      <x:c r="A6" s="7" t="str">
        <x:v>01 사업기준·현황</x:v>
      </x:c>
      <x:c r="B6" s="8" t="str">
        <x:v>적용</x:v>
      </x:c>
      <x:c r="C6" s="7" t="n">
        <x:v>4</x:v>
      </x:c>
      <x:c r="D6" s="7" t="str">
        <x:v>PM / 분야 담당</x:v>
      </x:c>
      <x:c r="E6" s="7" t="str"/>
      <x:c r="F6" s="7" t="str">
        <x:v>공통 공정 모듈. 미포함 공종이면 제외 선택</x:v>
      </x:c>
    </x:row>
    <x:row r="7" ht="34" customHeight="1">
      <x:c r="A7" s="7" t="str">
        <x:v>02 부지·행정 선행조건</x:v>
      </x:c>
      <x:c r="B7" s="8" t="str">
        <x:v>검토 필요</x:v>
      </x:c>
      <x:c r="C7" s="7" t="n">
        <x:v>4</x:v>
      </x:c>
      <x:c r="D7" s="7" t="str">
        <x:v>PM / 분야 담당</x:v>
      </x:c>
      <x:c r="E7" s="7" t="str"/>
      <x:c r="F7" s="7" t="str">
        <x:v>사업 유형·부지·시설 및 관할기관 기준으로 적용 여부 확인</x:v>
      </x:c>
    </x:row>
    <x:row r="8" ht="34" customHeight="1">
      <x:c r="A8" s="7" t="str">
        <x:v>03 도시계획·실시계획</x:v>
      </x:c>
      <x:c r="B8" s="8" t="str">
        <x:v>검토 필요</x:v>
      </x:c>
      <x:c r="C8" s="7" t="n">
        <x:v>11</x:v>
      </x:c>
      <x:c r="D8" s="7" t="str">
        <x:v>PM / 분야 담당</x:v>
      </x:c>
      <x:c r="E8" s="7" t="str"/>
      <x:c r="F8" s="7" t="str">
        <x:v>사업 유형·부지·시설 및 관할기관 기준으로 적용 여부 확인</x:v>
      </x:c>
    </x:row>
    <x:row r="9" ht="34" customHeight="1">
      <x:c r="A9" s="7" t="str">
        <x:v>04 공정·배치 기준</x:v>
      </x:c>
      <x:c r="B9" s="8" t="str">
        <x:v>적용</x:v>
      </x:c>
      <x:c r="C9" s="7" t="n">
        <x:v>6</x:v>
      </x:c>
      <x:c r="D9" s="7" t="str">
        <x:v>PM / 분야 담당</x:v>
      </x:c>
      <x:c r="E9" s="7" t="str"/>
      <x:c r="F9" s="7" t="str">
        <x:v>공통 공정 모듈. 미포함 공종이면 제외 선택</x:v>
      </x:c>
    </x:row>
    <x:row r="10" ht="34" customHeight="1">
      <x:c r="A10" s="7" t="str">
        <x:v>05 Vendor Print 관리</x:v>
      </x:c>
      <x:c r="B10" s="8" t="str">
        <x:v>적용</x:v>
      </x:c>
      <x:c r="C10" s="7" t="n">
        <x:v>6</x:v>
      </x:c>
      <x:c r="D10" s="7" t="str">
        <x:v>PM / 분야 담당</x:v>
      </x:c>
      <x:c r="E10" s="7" t="str"/>
      <x:c r="F10" s="7" t="str">
        <x:v>공통 공정 모듈. 미포함 공종이면 제외 선택</x:v>
      </x:c>
    </x:row>
    <x:row r="11" ht="34" customHeight="1">
      <x:c r="A11" s="7" t="str">
        <x:v>06 공정·배관 상세설계</x:v>
      </x:c>
      <x:c r="B11" s="8" t="str">
        <x:v>적용</x:v>
      </x:c>
      <x:c r="C11" s="7" t="n">
        <x:v>8</x:v>
      </x:c>
      <x:c r="D11" s="7" t="str">
        <x:v>PM / 분야 담당</x:v>
      </x:c>
      <x:c r="E11" s="7" t="str"/>
      <x:c r="F11" s="7" t="str">
        <x:v>공통 공정 모듈. 미포함 공종이면 제외 선택</x:v>
      </x:c>
    </x:row>
    <x:row r="12" ht="34" customHeight="1">
      <x:c r="A12" s="7" t="str">
        <x:v>07 계장·제어 상세설계</x:v>
      </x:c>
      <x:c r="B12" s="8" t="str">
        <x:v>적용</x:v>
      </x:c>
      <x:c r="C12" s="7" t="n">
        <x:v>7</x:v>
      </x:c>
      <x:c r="D12" s="7" t="str">
        <x:v>PM / 분야 담당</x:v>
      </x:c>
      <x:c r="E12" s="7" t="str"/>
      <x:c r="F12" s="7" t="str">
        <x:v>공통 공정 모듈. 미포함 공종이면 제외 선택</x:v>
      </x:c>
    </x:row>
    <x:row r="13" ht="34" customHeight="1">
      <x:c r="A13" s="7" t="str">
        <x:v>08 전기·통신·소방 설계</x:v>
      </x:c>
      <x:c r="B13" s="8" t="str">
        <x:v>적용</x:v>
      </x:c>
      <x:c r="C13" s="7" t="n">
        <x:v>7</x:v>
      </x:c>
      <x:c r="D13" s="7" t="str">
        <x:v>PM / 분야 담당</x:v>
      </x:c>
      <x:c r="E13" s="7" t="str"/>
      <x:c r="F13" s="7" t="str">
        <x:v>공통 공정 모듈. 미포함 공종이면 제외 선택</x:v>
      </x:c>
    </x:row>
    <x:row r="14" ht="34" customHeight="1">
      <x:c r="A14" s="7" t="str">
        <x:v>09 토목·구조·건축 설계</x:v>
      </x:c>
      <x:c r="B14" s="8" t="str">
        <x:v>적용</x:v>
      </x:c>
      <x:c r="C14" s="7" t="n">
        <x:v>7</x:v>
      </x:c>
      <x:c r="D14" s="7" t="str">
        <x:v>PM / 분야 담당</x:v>
      </x:c>
      <x:c r="E14" s="7" t="str"/>
      <x:c r="F14" s="7" t="str">
        <x:v>공통 공정 모듈. 미포함 공종이면 제외 선택</x:v>
      </x:c>
    </x:row>
    <x:row r="15" ht="34" customHeight="1">
      <x:c r="A15" s="7" t="str">
        <x:v>10 건축허가</x:v>
      </x:c>
      <x:c r="B15" s="8" t="str">
        <x:v>검토 필요</x:v>
      </x:c>
      <x:c r="C15" s="7" t="n">
        <x:v>4</x:v>
      </x:c>
      <x:c r="D15" s="7" t="str">
        <x:v>PM / 분야 담당</x:v>
      </x:c>
      <x:c r="E15" s="7" t="str"/>
      <x:c r="F15" s="7" t="str">
        <x:v>사업 유형·부지·시설 및 관할기관 기준으로 적용 여부 확인</x:v>
      </x:c>
    </x:row>
    <x:row r="16" ht="34" customHeight="1">
      <x:c r="A16" s="7" t="str">
        <x:v>11 위험성평가</x:v>
      </x:c>
      <x:c r="B16" s="8" t="str">
        <x:v>적용</x:v>
      </x:c>
      <x:c r="C16" s="7" t="n">
        <x:v>5</x:v>
      </x:c>
      <x:c r="D16" s="7" t="str">
        <x:v>PM / 분야 담당</x:v>
      </x:c>
      <x:c r="E16" s="7" t="str"/>
      <x:c r="F16" s="7" t="str">
        <x:v>공통 공정 모듈. 미포함 공종이면 제외 선택</x:v>
      </x:c>
    </x:row>
    <x:row r="17" ht="34" customHeight="1">
      <x:c r="A17" s="7" t="str">
        <x:v>12 KGS 기술검토·허가</x:v>
      </x:c>
      <x:c r="B17" s="8" t="str">
        <x:v>검토 필요</x:v>
      </x:c>
      <x:c r="C17" s="7" t="n">
        <x:v>10</x:v>
      </x:c>
      <x:c r="D17" s="7" t="str">
        <x:v>PM / 분야 담당</x:v>
      </x:c>
      <x:c r="E17" s="7" t="str"/>
      <x:c r="F17" s="7" t="str">
        <x:v>사업 유형·부지·시설 및 관할기관 기준으로 적용 여부 확인</x:v>
      </x:c>
    </x:row>
    <x:row r="18" ht="34" customHeight="1">
      <x:c r="A18" s="7" t="str">
        <x:v>13 유해위험방지계획</x:v>
      </x:c>
      <x:c r="B18" s="8" t="str">
        <x:v>검토 필요</x:v>
      </x:c>
      <x:c r="C18" s="7" t="n">
        <x:v>7</x:v>
      </x:c>
      <x:c r="D18" s="7" t="str">
        <x:v>PM / 분야 담당</x:v>
      </x:c>
      <x:c r="E18" s="7" t="str"/>
      <x:c r="F18" s="7" t="str">
        <x:v>사업 유형·부지·시설 및 관할기관 기준으로 적용 여부 확인</x:v>
      </x:c>
    </x:row>
    <x:row r="19" ht="34" customHeight="1">
      <x:c r="A19" s="7" t="str">
        <x:v>14 공사업체·감리 선정</x:v>
      </x:c>
      <x:c r="B19" s="8" t="str">
        <x:v>적용</x:v>
      </x:c>
      <x:c r="C19" s="7" t="n">
        <x:v>6</x:v>
      </x:c>
      <x:c r="D19" s="7" t="str">
        <x:v>PM / 분야 담당</x:v>
      </x:c>
      <x:c r="E19" s="7" t="str"/>
      <x:c r="F19" s="7" t="str">
        <x:v>공통 공정 모듈. 미포함 공종이면 제외 선택</x:v>
      </x:c>
    </x:row>
    <x:row r="20" ht="34" customHeight="1">
      <x:c r="A20" s="7" t="str">
        <x:v>15 착공 전 준비</x:v>
      </x:c>
      <x:c r="B20" s="8" t="str">
        <x:v>적용</x:v>
      </x:c>
      <x:c r="C20" s="7" t="n">
        <x:v>10</x:v>
      </x:c>
      <x:c r="D20" s="7" t="str">
        <x:v>PM / 분야 담당</x:v>
      </x:c>
      <x:c r="E20" s="7" t="str"/>
      <x:c r="F20" s="7" t="str">
        <x:v>공통 공정 모듈. 미포함 공종이면 제외 선택</x:v>
      </x:c>
    </x:row>
    <x:row r="21" ht="34" customHeight="1">
      <x:c r="A21" s="7" t="str">
        <x:v>16 기자재 구매·제작</x:v>
      </x:c>
      <x:c r="B21" s="8" t="str">
        <x:v>적용</x:v>
      </x:c>
      <x:c r="C21" s="7" t="n">
        <x:v>49</x:v>
      </x:c>
      <x:c r="D21" s="7" t="str">
        <x:v>PM / 분야 담당</x:v>
      </x:c>
      <x:c r="E21" s="7" t="str"/>
      <x:c r="F21" s="7" t="str">
        <x:v>공통 공정 모듈. 미포함 공종이면 제외 선택</x:v>
      </x:c>
    </x:row>
    <x:row r="22" ht="34" customHeight="1">
      <x:c r="A22" s="7" t="str">
        <x:v>17 토공·기초</x:v>
      </x:c>
      <x:c r="B22" s="8" t="str">
        <x:v>적용</x:v>
      </x:c>
      <x:c r="C22" s="7" t="n">
        <x:v>7</x:v>
      </x:c>
      <x:c r="D22" s="7" t="str">
        <x:v>PM / 분야 담당</x:v>
      </x:c>
      <x:c r="E22" s="7" t="str"/>
      <x:c r="F22" s="7" t="str">
        <x:v>공통 공정 모듈. 미포함 공종이면 제외 선택</x:v>
      </x:c>
    </x:row>
    <x:row r="23" ht="34" customHeight="1">
      <x:c r="A23" s="7" t="str">
        <x:v>18 건축·방호벽</x:v>
      </x:c>
      <x:c r="B23" s="8" t="str">
        <x:v>적용</x:v>
      </x:c>
      <x:c r="C23" s="7" t="n">
        <x:v>6</x:v>
      </x:c>
      <x:c r="D23" s="7" t="str">
        <x:v>PM / 분야 담당</x:v>
      </x:c>
      <x:c r="E23" s="7" t="str"/>
      <x:c r="F23" s="7" t="str">
        <x:v>공통 공정 모듈. 미포함 공종이면 제외 선택</x:v>
      </x:c>
    </x:row>
    <x:row r="24" ht="34" customHeight="1">
      <x:c r="A24" s="7" t="str">
        <x:v>19 설비기초·전기실</x:v>
      </x:c>
      <x:c r="B24" s="8" t="str">
        <x:v>적용</x:v>
      </x:c>
      <x:c r="C24" s="7" t="n">
        <x:v>6</x:v>
      </x:c>
      <x:c r="D24" s="7" t="str">
        <x:v>PM / 분야 담당</x:v>
      </x:c>
      <x:c r="E24" s="7" t="str"/>
      <x:c r="F24" s="7" t="str">
        <x:v>공통 공정 모듈. 미포함 공종이면 제외 선택</x:v>
      </x:c>
    </x:row>
    <x:row r="25" ht="34" customHeight="1">
      <x:c r="A25" s="7" t="str">
        <x:v>20 부대토목</x:v>
      </x:c>
      <x:c r="B25" s="8" t="str">
        <x:v>적용</x:v>
      </x:c>
      <x:c r="C25" s="7" t="n">
        <x:v>4</x:v>
      </x:c>
      <x:c r="D25" s="7" t="str">
        <x:v>PM / 분야 담당</x:v>
      </x:c>
      <x:c r="E25" s="7" t="str"/>
      <x:c r="F25" s="7" t="str">
        <x:v>공통 공정 모듈. 미포함 공종이면 제외 선택</x:v>
      </x:c>
    </x:row>
    <x:row r="26" ht="34" customHeight="1">
      <x:c r="A26" s="7" t="str">
        <x:v>21 설비 설치</x:v>
      </x:c>
      <x:c r="B26" s="8" t="str">
        <x:v>적용</x:v>
      </x:c>
      <x:c r="C26" s="7" t="n">
        <x:v>14</x:v>
      </x:c>
      <x:c r="D26" s="7" t="str">
        <x:v>PM / 분야 담당</x:v>
      </x:c>
      <x:c r="E26" s="7" t="str"/>
      <x:c r="F26" s="7" t="str">
        <x:v>공통 공정 모듈. 미포함 공종이면 제외 선택</x:v>
      </x:c>
    </x:row>
    <x:row r="27" ht="34" customHeight="1">
      <x:c r="A27" s="7" t="str">
        <x:v>22 배관 시공</x:v>
      </x:c>
      <x:c r="B27" s="8" t="str">
        <x:v>적용</x:v>
      </x:c>
      <x:c r="C27" s="7" t="n">
        <x:v>9</x:v>
      </x:c>
      <x:c r="D27" s="7" t="str">
        <x:v>PM / 분야 담당</x:v>
      </x:c>
      <x:c r="E27" s="7" t="str"/>
      <x:c r="F27" s="7" t="str">
        <x:v>공통 공정 모듈. 미포함 공종이면 제외 선택</x:v>
      </x:c>
    </x:row>
    <x:row r="28" ht="34" customHeight="1">
      <x:c r="A28" s="7" t="str">
        <x:v>23 전기·계장 시공</x:v>
      </x:c>
      <x:c r="B28" s="8" t="str">
        <x:v>적용</x:v>
      </x:c>
      <x:c r="C28" s="7" t="n">
        <x:v>7</x:v>
      </x:c>
      <x:c r="D28" s="7" t="str">
        <x:v>PM / 분야 담당</x:v>
      </x:c>
      <x:c r="E28" s="7" t="str"/>
      <x:c r="F28" s="7" t="str">
        <x:v>공통 공정 모듈. 미포함 공종이면 제외 선택</x:v>
      </x:c>
    </x:row>
    <x:row r="29" ht="34" customHeight="1">
      <x:c r="A29" s="7" t="str">
        <x:v>24 수전·유틸리티 인입</x:v>
      </x:c>
      <x:c r="B29" s="8" t="str">
        <x:v>적용</x:v>
      </x:c>
      <x:c r="C29" s="7" t="n">
        <x:v>8</x:v>
      </x:c>
      <x:c r="D29" s="7" t="str">
        <x:v>PM / 분야 담당</x:v>
      </x:c>
      <x:c r="E29" s="7" t="str"/>
      <x:c r="F29" s="7" t="str">
        <x:v>공통 공정 모듈. 미포함 공종이면 제외 선택</x:v>
      </x:c>
    </x:row>
    <x:row r="30" ht="34" customHeight="1">
      <x:c r="A30" s="7" t="str">
        <x:v>25 검사·운전 준비</x:v>
      </x:c>
      <x:c r="B30" s="8" t="str">
        <x:v>적용</x:v>
      </x:c>
      <x:c r="C30" s="7" t="n">
        <x:v>7</x:v>
      </x:c>
      <x:c r="D30" s="7" t="str">
        <x:v>PM / 분야 담당</x:v>
      </x:c>
      <x:c r="E30" s="7" t="str"/>
      <x:c r="F30" s="7" t="str">
        <x:v>공통 공정 모듈. 미포함 공종이면 제외 선택</x:v>
      </x:c>
    </x:row>
    <x:row r="31" ht="34" customHeight="1">
      <x:c r="A31" s="7" t="str">
        <x:v>26 단동·완성검사</x:v>
      </x:c>
      <x:c r="B31" s="8" t="str">
        <x:v>적용</x:v>
      </x:c>
      <x:c r="C31" s="7" t="n">
        <x:v>6</x:v>
      </x:c>
      <x:c r="D31" s="7" t="str">
        <x:v>PM / 분야 담당</x:v>
      </x:c>
      <x:c r="E31" s="7" t="str"/>
      <x:c r="F31" s="7" t="str">
        <x:v>공통 공정 모듈. 미포함 공종이면 제외 선택</x:v>
      </x:c>
    </x:row>
    <x:row r="32" ht="34" customHeight="1">
      <x:c r="A32" s="7" t="str">
        <x:v>27 준공·사용승인</x:v>
      </x:c>
      <x:c r="B32" s="8" t="str">
        <x:v>적용</x:v>
      </x:c>
      <x:c r="C32" s="7" t="n">
        <x:v>3</x:v>
      </x:c>
      <x:c r="D32" s="7" t="str">
        <x:v>PM / 분야 담당</x:v>
      </x:c>
      <x:c r="E32" s="7" t="str"/>
      <x:c r="F32" s="7" t="str">
        <x:v>공통 공정 모듈. 미포함 공종이면 제외 선택</x:v>
      </x:c>
    </x:row>
    <x:row r="33" ht="34" customHeight="1">
      <x:c r="A33" s="7" t="str">
        <x:v>28 가스투입·통합시운전</x:v>
      </x:c>
      <x:c r="B33" s="8" t="str">
        <x:v>적용</x:v>
      </x:c>
      <x:c r="C33" s="7" t="n">
        <x:v>8</x:v>
      </x:c>
      <x:c r="D33" s="7" t="str">
        <x:v>PM / 분야 담당</x:v>
      </x:c>
      <x:c r="E33" s="7" t="str"/>
      <x:c r="F33" s="7" t="str">
        <x:v>공통 공정 모듈. 미포함 공종이면 제외 선택</x:v>
      </x:c>
    </x:row>
    <x:row r="34" ht="34" customHeight="1">
      <x:c r="A34" s="7" t="str">
        <x:v>29 인수·운영·정산</x:v>
      </x:c>
      <x:c r="B34" s="8" t="str">
        <x:v>적용</x:v>
      </x:c>
      <x:c r="C34" s="7" t="n">
        <x:v>7</x:v>
      </x:c>
      <x:c r="D34" s="7" t="str">
        <x:v>PM / 분야 담당</x:v>
      </x:c>
      <x:c r="E34" s="7" t="str"/>
      <x:c r="F34" s="7" t="str">
        <x:v>공통 공정 모듈. 미포함 공종이면 제외 선택</x:v>
      </x:c>
    </x:row>
  </x:sheetData>
  <x:dataValidations count="1">
    <x:dataValidation type="list" sqref="B6:B34">
      <x:formula1>"적용,제외,검토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28fa7eff94e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53" hidden="0" customWidth="1"/>
    <x:col min="4" max="4" width="17" hidden="0" customWidth="1"/>
    <x:col min="5" max="5" width="18" hidden="0" customWidth="1"/>
    <x:col min="6" max="6" width="38" hidden="0" customWidth="1"/>
    <x:col min="7" max="7" width="65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37" hidden="0" customWidth="1"/>
    <x:col min="40" max="4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공통 상세일정 | 작업명·담당·기간·선행조건을 프로젝트에 맞게 조정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 t="str">
        <x:v>전체·잔여 O/M/P 단위=역일. 초기 기간은 예시 가정. 노란색 입력 / 파생값은 수식. 선행작업은 앞 행에 유지하고 정렬 대신 필터 사용.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36" customHeight="1">
      <x:c r="A5" s="6" t="str">
        <x:v>Activity ID</x:v>
      </x:c>
      <x:c r="B5" s="6" t="str">
        <x:v>공통 WBS 모듈</x:v>
      </x:c>
      <x:c r="C5" s="6" t="str">
        <x:v>세부 작업 / PJ별 수정</x:v>
      </x:c>
      <x:c r="D5" s="6" t="str">
        <x:v>모듈 적용</x:v>
      </x:c>
      <x:c r="E5" s="6" t="str">
        <x:v>실행 상태</x:v>
      </x:c>
      <x:c r="F5" s="6" t="str">
        <x:v>담당 역할 / 실명</x:v>
      </x:c>
      <x:c r="G5" s="6" t="str">
        <x:v>산출물·완료조건</x:v>
      </x:c>
      <x:c r="H5" s="6" t="str">
        <x:v>기준선 착수(고정)</x:v>
      </x:c>
      <x:c r="I5" s="6" t="str">
        <x:v>기준선 완료(고정)</x:v>
      </x:c>
      <x:c r="J5" s="6" t="str">
        <x:v>실제 착수</x:v>
      </x:c>
      <x:c r="K5" s="6" t="str">
        <x:v>실제 완료</x:v>
      </x:c>
      <x:c r="L5" s="6" t="str">
        <x:v>착수 제약일</x:v>
      </x:c>
      <x:c r="M5" s="6" t="str">
        <x:v>전체 O</x:v>
      </x:c>
      <x:c r="N5" s="6" t="str">
        <x:v>전체 M</x:v>
      </x:c>
      <x:c r="O5" s="6" t="str">
        <x:v>전체 P</x:v>
      </x:c>
      <x:c r="P5" s="6" t="str">
        <x:v>잔여 O</x:v>
      </x:c>
      <x:c r="Q5" s="6" t="str">
        <x:v>잔여 M</x:v>
      </x:c>
      <x:c r="R5" s="6" t="str">
        <x:v>잔여 P</x:v>
      </x:c>
      <x:c r="S5" s="6" t="str">
        <x:v>유효 O</x:v>
      </x:c>
      <x:c r="T5" s="6" t="str">
        <x:v>유효 M</x:v>
      </x:c>
      <x:c r="U5" s="6" t="str">
        <x:v>유효 P</x:v>
      </x:c>
      <x:c r="V5" s="6" t="str">
        <x:v>PERT 평균</x:v>
      </x:c>
      <x:c r="W5" s="6" t="str">
        <x:v>PERT 분산</x:v>
      </x:c>
      <x:c r="X5" s="6" t="str">
        <x:v>선행1 FS</x:v>
      </x:c>
      <x:c r="Y5" s="6" t="str">
        <x:v>선행2 FS</x:v>
      </x:c>
      <x:c r="Z5" s="6" t="str">
        <x:v>선행3 FS</x:v>
      </x:c>
      <x:c r="AA5" s="6" t="str">
        <x:v>선행4 FS</x:v>
      </x:c>
      <x:c r="AB5" s="6" t="str">
        <x:v>선행5 FS</x:v>
      </x:c>
      <x:c r="AC5" s="6" t="str">
        <x:v>선행6 FS</x:v>
      </x:c>
      <x:c r="AD5" s="6" t="str">
        <x:v>선행완료1</x:v>
      </x:c>
      <x:c r="AE5" s="6" t="str">
        <x:v>선행완료2</x:v>
      </x:c>
      <x:c r="AF5" s="6" t="str">
        <x:v>선행완료3</x:v>
      </x:c>
      <x:c r="AG5" s="6" t="str">
        <x:v>선행완료4</x:v>
      </x:c>
      <x:c r="AH5" s="6" t="str">
        <x:v>선행완료5</x:v>
      </x:c>
      <x:c r="AI5" s="6" t="str">
        <x:v>선행완료6</x:v>
      </x:c>
      <x:c r="AJ5" s="6" t="str">
        <x:v>예측 착수</x:v>
      </x:c>
      <x:c r="AK5" s="6" t="str">
        <x:v>예측 완료(경계)</x:v>
      </x:c>
      <x:c r="AL5" s="6" t="str">
        <x:v>기준선 편차(일)</x:v>
      </x:c>
      <x:c r="AM5" s="6" t="str">
        <x:v>입력·진행 확인</x:v>
      </x:c>
      <x:c r="AN5" s="6" t="str">
        <x:v>공통 리스크 그룹</x:v>
      </x:c>
    </x:row>
    <x:row r="6" ht="34" customHeight="1">
      <x:c r="A6" s="7" t="str">
        <x:v>PM01</x:v>
      </x:c>
      <x:c r="B6" s="7" t="str">
        <x:v>01 사업기준·현황</x:v>
      </x:c>
      <x:c r="C6" s="7" t="str">
        <x:v>계약·착수계·사업범위 및 사업주체 재확인</x:v>
      </x:c>
      <x:c r="D6" s="7" t="str">
        <x:f>'모듈선택'!B6</x:f>
        <x:v>적용</x:v>
      </x:c>
      <x:c r="E6" s="8" t="str">
        <x:v>계획</x:v>
      </x:c>
      <x:c r="F6" s="8" t="str">
        <x:v>사업주 / PM / 오너 검토 / 종합설계사</x:v>
      </x:c>
      <x:c r="G6" s="8" t="str">
        <x:v>계약서, 과업지시서, 착수계</x:v>
      </x:c>
      <x:c r="H6" s="9"/>
      <x:c r="I6" s="9"/>
      <x:c r="J6" s="9"/>
      <x:c r="K6" s="9"/>
      <x:c r="L6" s="9"/>
      <x:c r="M6" s="8" t="n">
        <x:v>1</x:v>
      </x:c>
      <x:c r="N6" s="8" t="n">
        <x:v>2</x:v>
      </x:c>
      <x:c r="O6" s="8" t="n">
        <x:v>4</x:v>
      </x:c>
      <x:c r="P6" s="8"/>
      <x:c r="Q6" s="8"/>
      <x:c r="R6" s="8"/>
      <x:c r="S6" s="7" t="n">
        <x:f>IF(OR(AM6="제외",AM6="완료"),0,IF(AM6&lt;&gt;"입력 OK","",IF(E6="진행",P6,M6)))</x:f>
        <x:v>1</x:v>
      </x:c>
      <x:c r="T6" s="7" t="n">
        <x:f>IF(OR(AM6="제외",AM6="완료"),0,IF(AM6&lt;&gt;"입력 OK","",IF(E6="진행",Q6,N6)))</x:f>
        <x:v>2</x:v>
      </x:c>
      <x:c r="U6" s="7" t="n">
        <x:f>IF(OR(AM6="제외",AM6="완료"),0,IF(AM6&lt;&gt;"입력 OK","",IF(E6="진행",R6,O6)))</x:f>
        <x:v>4</x:v>
      </x:c>
      <x:c r="V6" s="11" t="n">
        <x:f>IF(COUNT(S6:U6)&lt;3,"",(S6+4*T6+U6)/6)</x:f>
        <x:v>2.1666666666666665</x:v>
      </x:c>
      <x:c r="W6" s="11" t="n">
        <x:f>IF(COUNT(S6:U6)&lt;3,"",((U6-S6)/6)^2)</x:f>
        <x:v>0.25</x:v>
      </x:c>
      <x:c r="X6" s="8" t="str"/>
      <x:c r="Y6" s="8" t="str"/>
      <x:c r="Z6" s="8" t="str"/>
      <x:c r="AA6" s="8" t="str"/>
      <x:c r="AB6" s="8" t="str"/>
      <x:c r="AC6" s="8" t="str"/>
      <x:c r="AD6" s="10" t="n">
        <x:f>IF(X6="",0,NA())</x:f>
        <x:v>0</x:v>
      </x:c>
      <x:c r="AE6" s="10" t="n">
        <x:f>IF(Y6="",0,NA())</x:f>
        <x:v>0</x:v>
      </x:c>
      <x:c r="AF6" s="10" t="n">
        <x:f>IF(Z6="",0,NA())</x:f>
        <x:v>0</x:v>
      </x:c>
      <x:c r="AG6" s="10" t="n">
        <x:f>IF(AA6="",0,NA())</x:f>
        <x:v>0</x:v>
      </x:c>
      <x:c r="AH6" s="10" t="n">
        <x:f>IF(AB6="",0,NA())</x:f>
        <x:v>0</x:v>
      </x:c>
      <x:c r="AI6" s="10" t="n">
        <x:f>IF(AC6="",0,NA())</x:f>
        <x:v>0</x:v>
      </x:c>
      <x:c r="AJ6" s="10" t="str">
        <x:f>IF(AM6="완료",IF(J6="",K6,J6),IF(OR(COUNT('프로젝트설정'!$B$7:$B$8)&lt;2,COUNT(AD6:AI6)&lt;6,COUNT(S6:U6)&lt;3),"",IF(AM6="제외",MAX('프로젝트설정'!$B$7,AD6:AI6),IF(E6="진행",J6,MAX('프로젝트설정'!$B$7:$B$8,L6,AD6:AI6)))))</x:f>
      </x:c>
      <x:c r="AK6" s="10" t="str">
        <x:f>IF(AM6="완료",K6,IF(AJ6="","",IF(E6="진행",MAX('프로젝트설정'!$B$8,AJ6,AD6:AI6)+T6,AJ6+T6)))</x:f>
      </x:c>
      <x:c r="AL6" s="7" t="str">
        <x:f>IF(OR(I6="",AK6=""),"",AK6-I6)</x:f>
      </x:c>
      <x:c r="AM6" s="7" t="str">
        <x:f>IF(OR(D6="제외",E6="제외"),"제외",IF(D6&lt;&gt;"적용","적용성 확인",IF(E6="완료",IF(ISNUMBER(K6),"완료","실제완료 입력"),IF(E6="보류","보류 해제 필요",IF(E6="진행",IF(AND(ISNUMBER(J6),COUNT(P6:R6)=3,P6&gt;=0,P6&lt;=Q6,Q6&lt;=R6),"입력 OK","실제착수·잔여기간 확인"),IF(AND(COUNT(M6:O6)=3,M6&gt;=0,M6&lt;=N6,N6&lt;=O6),"입력 OK","전체기간 확인"))))))</x:f>
        <x:v>입력 OK</x:v>
      </x:c>
      <x:c r="AN6" s="7" t="str">
        <x:v>01</x:v>
      </x:c>
    </x:row>
    <x:row r="7" ht="34" customHeight="1">
      <x:c r="A7" s="7" t="str">
        <x:v>PM02</x:v>
      </x:c>
      <x:c r="B7" s="7" t="str">
        <x:v>01 사업기준·현황</x:v>
      </x:c>
      <x:c r="C7" s="7" t="str">
        <x:v>문서번호·WBS·회신대장·기준일 등록</x:v>
      </x:c>
      <x:c r="D7" s="7" t="str">
        <x:f>'모듈선택'!B6</x:f>
        <x:v>적용</x:v>
      </x:c>
      <x:c r="E7" s="8" t="str">
        <x:v>계획</x:v>
      </x:c>
      <x:c r="F7" s="8" t="str">
        <x:v>사업주 / PM / 오너 검토 / 종합설계사</x:v>
      </x:c>
      <x:c r="G7" s="8" t="str">
        <x:v>MDR, 송수신대장, 일정 기준서</x:v>
      </x:c>
      <x:c r="H7" s="9"/>
      <x:c r="I7" s="9"/>
      <x:c r="J7" s="9"/>
      <x:c r="K7" s="9"/>
      <x:c r="L7" s="9"/>
      <x:c r="M7" s="8" t="n">
        <x:v>1</x:v>
      </x:c>
      <x:c r="N7" s="8" t="n">
        <x:v>2</x:v>
      </x:c>
      <x:c r="O7" s="8" t="n">
        <x:v>4</x:v>
      </x:c>
      <x:c r="P7" s="8"/>
      <x:c r="Q7" s="8"/>
      <x:c r="R7" s="8"/>
      <x:c r="S7" s="7" t="n">
        <x:f>IF(OR(AM7="제외",AM7="완료"),0,IF(AM7&lt;&gt;"입력 OK","",IF(E7="진행",P7,M7)))</x:f>
        <x:v>1</x:v>
      </x:c>
      <x:c r="T7" s="7" t="n">
        <x:f>IF(OR(AM7="제외",AM7="완료"),0,IF(AM7&lt;&gt;"입력 OK","",IF(E7="진행",Q7,N7)))</x:f>
        <x:v>2</x:v>
      </x:c>
      <x:c r="U7" s="7" t="n">
        <x:f>IF(OR(AM7="제외",AM7="완료"),0,IF(AM7&lt;&gt;"입력 OK","",IF(E7="진행",R7,O7)))</x:f>
        <x:v>4</x:v>
      </x:c>
      <x:c r="V7" s="11" t="n">
        <x:f>IF(COUNT(S7:U7)&lt;3,"",(S7+4*T7+U7)/6)</x:f>
        <x:v>2.1666666666666665</x:v>
      </x:c>
      <x:c r="W7" s="11" t="n">
        <x:f>IF(COUNT(S7:U7)&lt;3,"",((U7-S7)/6)^2)</x:f>
        <x:v>0.25</x:v>
      </x:c>
      <x:c r="X7" s="8" t="str">
        <x:v>PM01</x:v>
      </x:c>
      <x:c r="Y7" s="8" t="str"/>
      <x:c r="Z7" s="8" t="str"/>
      <x:c r="AA7" s="8" t="str"/>
      <x:c r="AB7" s="8" t="str"/>
      <x:c r="AC7" s="8" t="str"/>
      <x:c r="AD7" s="10" t="str">
        <x:f>IF(X7="",0,IF(X7=$A$6,$AK$6,NA()))</x:f>
      </x:c>
      <x:c r="AE7" s="10" t="n">
        <x:f>IF(Y7="",0,IF(Y7=$A$6,$AK$6,NA()))</x:f>
        <x:v>0</x:v>
      </x:c>
      <x:c r="AF7" s="10" t="n">
        <x:f>IF(Z7="",0,IF(Z7=$A$6,$AK$6,NA()))</x:f>
        <x:v>0</x:v>
      </x:c>
      <x:c r="AG7" s="10" t="n">
        <x:f>IF(AA7="",0,IF(AA7=$A$6,$AK$6,NA()))</x:f>
        <x:v>0</x:v>
      </x:c>
      <x:c r="AH7" s="10" t="n">
        <x:f>IF(AB7="",0,IF(AB7=$A$6,$AK$6,NA()))</x:f>
        <x:v>0</x:v>
      </x:c>
      <x:c r="AI7" s="10" t="n">
        <x:f>IF(AC7="",0,IF(AC7=$A$6,$AK$6,NA()))</x:f>
        <x:v>0</x:v>
      </x:c>
      <x:c r="AJ7" s="10" t="str">
        <x:f>IF(AM7="완료",IF(J7="",K7,J7),IF(OR(COUNT('프로젝트설정'!$B$7:$B$8)&lt;2,COUNT(AD7:AI7)&lt;6,COUNT(S7:U7)&lt;3),"",IF(AM7="제외",MAX('프로젝트설정'!$B$7,AD7:AI7),IF(E7="진행",J7,MAX('프로젝트설정'!$B$7:$B$8,L7,AD7:AI7)))))</x:f>
      </x:c>
      <x:c r="AK7" s="10" t="str">
        <x:f>IF(AM7="완료",K7,IF(AJ7="","",IF(E7="진행",MAX('프로젝트설정'!$B$8,AJ7,AD7:AI7)+T7,AJ7+T7)))</x:f>
      </x:c>
      <x:c r="AL7" s="7" t="str">
        <x:f>IF(OR(I7="",AK7=""),"",AK7-I7)</x:f>
      </x:c>
      <x:c r="AM7" s="7" t="str">
        <x:f>IF(OR(D7="제외",E7="제외"),"제외",IF(D7&lt;&gt;"적용","적용성 확인",IF(E7="완료",IF(ISNUMBER(K7),"완료","실제완료 입력"),IF(E7="보류","보류 해제 필요",IF(E7="진행",IF(AND(ISNUMBER(J7),COUNT(P7:R7)=3,P7&gt;=0,P7&lt;=Q7,Q7&lt;=R7),"입력 OK","실제착수·잔여기간 확인"),IF(AND(COUNT(M7:O7)=3,M7&gt;=0,M7&lt;=N7,N7&lt;=O7),"입력 OK","전체기간 확인"))))))</x:f>
        <x:v>입력 OK</x:v>
      </x:c>
      <x:c r="AN7" s="7" t="str">
        <x:v>01</x:v>
      </x:c>
    </x:row>
    <x:row r="8" ht="34" customHeight="1">
      <x:c r="A8" s="7" t="str">
        <x:v>PM03</x:v>
      </x:c>
      <x:c r="B8" s="7" t="str">
        <x:v>01 사업기준·현황</x:v>
      </x:c>
      <x:c r="C8" s="7" t="str">
        <x:v>기존 계약·설계·인허가·발주 실적 증빙 등록</x:v>
      </x:c>
      <x:c r="D8" s="7" t="str">
        <x:f>'모듈선택'!B6</x:f>
        <x:v>적용</x:v>
      </x:c>
      <x:c r="E8" s="8" t="str">
        <x:v>계획</x:v>
      </x:c>
      <x:c r="F8" s="8" t="str">
        <x:v>사업주 / PM / 오너 검토 / 종합설계사</x:v>
      </x:c>
      <x:c r="G8" s="8" t="str">
        <x:v>접수증, 승인공문, 발주서, 최신 리비전</x:v>
      </x:c>
      <x:c r="H8" s="9"/>
      <x:c r="I8" s="9"/>
      <x:c r="J8" s="9"/>
      <x:c r="K8" s="9"/>
      <x:c r="L8" s="9"/>
      <x:c r="M8" s="8" t="n">
        <x:v>2</x:v>
      </x:c>
      <x:c r="N8" s="8" t="n">
        <x:v>3</x:v>
      </x:c>
      <x:c r="O8" s="8" t="n">
        <x:v>6</x:v>
      </x:c>
      <x:c r="P8" s="8"/>
      <x:c r="Q8" s="8"/>
      <x:c r="R8" s="8"/>
      <x:c r="S8" s="7" t="n">
        <x:f>IF(OR(AM8="제외",AM8="완료"),0,IF(AM8&lt;&gt;"입력 OK","",IF(E8="진행",P8,M8)))</x:f>
        <x:v>2</x:v>
      </x:c>
      <x:c r="T8" s="7" t="n">
        <x:f>IF(OR(AM8="제외",AM8="완료"),0,IF(AM8&lt;&gt;"입력 OK","",IF(E8="진행",Q8,N8)))</x:f>
        <x:v>3</x:v>
      </x:c>
      <x:c r="U8" s="7" t="n">
        <x:f>IF(OR(AM8="제외",AM8="완료"),0,IF(AM8&lt;&gt;"입력 OK","",IF(E8="진행",R8,O8)))</x:f>
        <x:v>6</x:v>
      </x:c>
      <x:c r="V8" s="11" t="n">
        <x:f>IF(COUNT(S8:U8)&lt;3,"",(S8+4*T8+U8)/6)</x:f>
        <x:v>3.3333333333333335</x:v>
      </x:c>
      <x:c r="W8" s="11" t="n">
        <x:f>IF(COUNT(S8:U8)&lt;3,"",((U8-S8)/6)^2)</x:f>
        <x:v>0.4444444444444444</x:v>
      </x:c>
      <x:c r="X8" s="8" t="str">
        <x:v>PM02</x:v>
      </x:c>
      <x:c r="Y8" s="8" t="str"/>
      <x:c r="Z8" s="8" t="str"/>
      <x:c r="AA8" s="8" t="str"/>
      <x:c r="AB8" s="8" t="str"/>
      <x:c r="AC8" s="8" t="str"/>
      <x:c r="AD8" s="10" t="str">
        <x:f>IF(X8="",0,INDEX($AK$6:$AK$7,MATCH(X8,$A$6:$A$7,0)))</x:f>
      </x:c>
      <x:c r="AE8" s="10" t="n">
        <x:f>IF(Y8="",0,INDEX($AK$6:$AK$7,MATCH(Y8,$A$6:$A$7,0)))</x:f>
        <x:v>0</x:v>
      </x:c>
      <x:c r="AF8" s="10" t="n">
        <x:f>IF(Z8="",0,INDEX($AK$6:$AK$7,MATCH(Z8,$A$6:$A$7,0)))</x:f>
        <x:v>0</x:v>
      </x:c>
      <x:c r="AG8" s="10" t="n">
        <x:f>IF(AA8="",0,INDEX($AK$6:$AK$7,MATCH(AA8,$A$6:$A$7,0)))</x:f>
        <x:v>0</x:v>
      </x:c>
      <x:c r="AH8" s="10" t="n">
        <x:f>IF(AB8="",0,INDEX($AK$6:$AK$7,MATCH(AB8,$A$6:$A$7,0)))</x:f>
        <x:v>0</x:v>
      </x:c>
      <x:c r="AI8" s="10" t="n">
        <x:f>IF(AC8="",0,INDEX($AK$6:$AK$7,MATCH(AC8,$A$6:$A$7,0)))</x:f>
        <x:v>0</x:v>
      </x:c>
      <x:c r="AJ8" s="10" t="str">
        <x:f>IF(AM8="완료",IF(J8="",K8,J8),IF(OR(COUNT('프로젝트설정'!$B$7:$B$8)&lt;2,COUNT(AD8:AI8)&lt;6,COUNT(S8:U8)&lt;3),"",IF(AM8="제외",MAX('프로젝트설정'!$B$7,AD8:AI8),IF(E8="진행",J8,MAX('프로젝트설정'!$B$7:$B$8,L8,AD8:AI8)))))</x:f>
      </x:c>
      <x:c r="AK8" s="10" t="str">
        <x:f>IF(AM8="완료",K8,IF(AJ8="","",IF(E8="진행",MAX('프로젝트설정'!$B$8,AJ8,AD8:AI8)+T8,AJ8+T8)))</x:f>
      </x:c>
      <x:c r="AL8" s="7" t="str">
        <x:f>IF(OR(I8="",AK8=""),"",AK8-I8)</x:f>
      </x:c>
      <x:c r="AM8" s="7" t="str">
        <x:f>IF(OR(D8="제외",E8="제외"),"제외",IF(D8&lt;&gt;"적용","적용성 확인",IF(E8="완료",IF(ISNUMBER(K8),"완료","실제완료 입력"),IF(E8="보류","보류 해제 필요",IF(E8="진행",IF(AND(ISNUMBER(J8),COUNT(P8:R8)=3,P8&gt;=0,P8&lt;=Q8,Q8&lt;=R8),"입력 OK","실제착수·잔여기간 확인"),IF(AND(COUNT(M8:O8)=3,M8&gt;=0,M8&lt;=N8,N8&lt;=O8),"입력 OK","전체기간 확인"))))))</x:f>
        <x:v>입력 OK</x:v>
      </x:c>
      <x:c r="AN8" s="7" t="str">
        <x:v>01</x:v>
      </x:c>
    </x:row>
    <x:row r="9" ht="34" customHeight="1">
      <x:c r="A9" s="7" t="str">
        <x:v>PM04</x:v>
      </x:c>
      <x:c r="B9" s="7" t="str">
        <x:v>01 사업기준·현황</x:v>
      </x:c>
      <x:c r="C9" s="7" t="str">
        <x:v>잔여업무 및 적용시설 범위 확정</x:v>
      </x:c>
      <x:c r="D9" s="7" t="str">
        <x:f>'모듈선택'!B6</x:f>
        <x:v>적용</x:v>
      </x:c>
      <x:c r="E9" s="8" t="str">
        <x:v>계획</x:v>
      </x:c>
      <x:c r="F9" s="8" t="str">
        <x:v>사업주 / PM / 오너 검토 / 종합설계사</x:v>
      </x:c>
      <x:c r="G9" s="8" t="str">
        <x:v>완료/잔여 구분표, 시설별 적용성 목록</x:v>
      </x:c>
      <x:c r="H9" s="9"/>
      <x:c r="I9" s="9"/>
      <x:c r="J9" s="9"/>
      <x:c r="K9" s="9"/>
      <x:c r="L9" s="9"/>
      <x:c r="M9" s="8" t="n">
        <x:v>1</x:v>
      </x:c>
      <x:c r="N9" s="8" t="n">
        <x:v>2</x:v>
      </x:c>
      <x:c r="O9" s="8" t="n">
        <x:v>4</x:v>
      </x:c>
      <x:c r="P9" s="8"/>
      <x:c r="Q9" s="8"/>
      <x:c r="R9" s="8"/>
      <x:c r="S9" s="7" t="n">
        <x:f>IF(OR(AM9="제외",AM9="완료"),0,IF(AM9&lt;&gt;"입력 OK","",IF(E9="진행",P9,M9)))</x:f>
        <x:v>1</x:v>
      </x:c>
      <x:c r="T9" s="7" t="n">
        <x:f>IF(OR(AM9="제외",AM9="완료"),0,IF(AM9&lt;&gt;"입력 OK","",IF(E9="진행",Q9,N9)))</x:f>
        <x:v>2</x:v>
      </x:c>
      <x:c r="U9" s="7" t="n">
        <x:f>IF(OR(AM9="제외",AM9="완료"),0,IF(AM9&lt;&gt;"입력 OK","",IF(E9="진행",R9,O9)))</x:f>
        <x:v>4</x:v>
      </x:c>
      <x:c r="V9" s="11" t="n">
        <x:f>IF(COUNT(S9:U9)&lt;3,"",(S9+4*T9+U9)/6)</x:f>
        <x:v>2.1666666666666665</x:v>
      </x:c>
      <x:c r="W9" s="11" t="n">
        <x:f>IF(COUNT(S9:U9)&lt;3,"",((U9-S9)/6)^2)</x:f>
        <x:v>0.25</x:v>
      </x:c>
      <x:c r="X9" s="8" t="str">
        <x:v>PM03</x:v>
      </x:c>
      <x:c r="Y9" s="8" t="str"/>
      <x:c r="Z9" s="8" t="str"/>
      <x:c r="AA9" s="8" t="str"/>
      <x:c r="AB9" s="8" t="str"/>
      <x:c r="AC9" s="8" t="str"/>
      <x:c r="AD9" s="10" t="str">
        <x:f>IF(X9="",0,INDEX($AK$6:$AK$8,MATCH(X9,$A$6:$A$8,0)))</x:f>
      </x:c>
      <x:c r="AE9" s="10" t="n">
        <x:f>IF(Y9="",0,INDEX($AK$6:$AK$8,MATCH(Y9,$A$6:$A$8,0)))</x:f>
        <x:v>0</x:v>
      </x:c>
      <x:c r="AF9" s="10" t="n">
        <x:f>IF(Z9="",0,INDEX($AK$6:$AK$8,MATCH(Z9,$A$6:$A$8,0)))</x:f>
        <x:v>0</x:v>
      </x:c>
      <x:c r="AG9" s="10" t="n">
        <x:f>IF(AA9="",0,INDEX($AK$6:$AK$8,MATCH(AA9,$A$6:$A$8,0)))</x:f>
        <x:v>0</x:v>
      </x:c>
      <x:c r="AH9" s="10" t="n">
        <x:f>IF(AB9="",0,INDEX($AK$6:$AK$8,MATCH(AB9,$A$6:$A$8,0)))</x:f>
        <x:v>0</x:v>
      </x:c>
      <x:c r="AI9" s="10" t="n">
        <x:f>IF(AC9="",0,INDEX($AK$6:$AK$8,MATCH(AC9,$A$6:$A$8,0)))</x:f>
        <x:v>0</x:v>
      </x:c>
      <x:c r="AJ9" s="10" t="str">
        <x:f>IF(AM9="완료",IF(J9="",K9,J9),IF(OR(COUNT('프로젝트설정'!$B$7:$B$8)&lt;2,COUNT(AD9:AI9)&lt;6,COUNT(S9:U9)&lt;3),"",IF(AM9="제외",MAX('프로젝트설정'!$B$7,AD9:AI9),IF(E9="진행",J9,MAX('프로젝트설정'!$B$7:$B$8,L9,AD9:AI9)))))</x:f>
      </x:c>
      <x:c r="AK9" s="10" t="str">
        <x:f>IF(AM9="완료",K9,IF(AJ9="","",IF(E9="진행",MAX('프로젝트설정'!$B$8,AJ9,AD9:AI9)+T9,AJ9+T9)))</x:f>
      </x:c>
      <x:c r="AL9" s="7" t="str">
        <x:f>IF(OR(I9="",AK9=""),"",AK9-I9)</x:f>
      </x:c>
      <x:c r="AM9" s="7" t="str">
        <x:f>IF(OR(D9="제외",E9="제외"),"제외",IF(D9&lt;&gt;"적용","적용성 확인",IF(E9="완료",IF(ISNUMBER(K9),"완료","실제완료 입력"),IF(E9="보류","보류 해제 필요",IF(E9="진행",IF(AND(ISNUMBER(J9),COUNT(P9:R9)=3,P9&gt;=0,P9&lt;=Q9,Q9&lt;=R9),"입력 OK","실제착수·잔여기간 확인"),IF(AND(COUNT(M9:O9)=3,M9&gt;=0,M9&lt;=N9,N9&lt;=O9),"입력 OK","전체기간 확인"))))))</x:f>
        <x:v>입력 OK</x:v>
      </x:c>
      <x:c r="AN9" s="7" t="str">
        <x:v>01</x:v>
      </x:c>
    </x:row>
    <x:row r="10" ht="34" customHeight="1">
      <x:c r="A10" s="7" t="str">
        <x:v>LD01</x:v>
      </x:c>
      <x:c r="B10" s="7" t="str">
        <x:v>02 부지·행정 선행조건</x:v>
      </x:c>
      <x:c r="C10" s="7" t="str">
        <x:v>토지권원·공유재산 사용허가 현황 확인</x:v>
      </x:c>
      <x:c r="D10" s="7" t="str">
        <x:f>'모듈선택'!B7</x:f>
        <x:v>검토 필요</x:v>
      </x:c>
      <x:c r="E10" s="8" t="str">
        <x:v>계획</x:v>
      </x:c>
      <x:c r="F10" s="8" t="str">
        <x:v>사업주 / 관할 지자체 / 설계사</x:v>
      </x:c>
      <x:c r="G10" s="8" t="str">
        <x:v>토지대장, 사용허가서, 협약서</x:v>
      </x:c>
      <x:c r="H10" s="9"/>
      <x:c r="I10" s="9"/>
      <x:c r="J10" s="9"/>
      <x:c r="K10" s="9"/>
      <x:c r="L10" s="9"/>
      <x:c r="M10" s="8" t="n">
        <x:v>2</x:v>
      </x:c>
      <x:c r="N10" s="8" t="n">
        <x:v>3</x:v>
      </x:c>
      <x:c r="O10" s="8" t="n">
        <x:v>6</x:v>
      </x:c>
      <x:c r="P10" s="8"/>
      <x:c r="Q10" s="8"/>
      <x:c r="R10" s="8"/>
      <x:c r="S10" s="7" t="str">
        <x:f>IF(OR(AM10="제외",AM10="완료"),0,IF(AM10&lt;&gt;"입력 OK","",IF(E10="진행",P10,M10)))</x:f>
      </x:c>
      <x:c r="T10" s="7" t="str">
        <x:f>IF(OR(AM10="제외",AM10="완료"),0,IF(AM10&lt;&gt;"입력 OK","",IF(E10="진행",Q10,N10)))</x:f>
      </x:c>
      <x:c r="U10" s="7" t="str">
        <x:f>IF(OR(AM10="제외",AM10="완료"),0,IF(AM10&lt;&gt;"입력 OK","",IF(E10="진행",R10,O10)))</x:f>
      </x:c>
      <x:c r="V10" s="11" t="str">
        <x:f>IF(COUNT(S10:U10)&lt;3,"",(S10+4*T10+U10)/6)</x:f>
      </x:c>
      <x:c r="W10" s="11" t="str">
        <x:f>IF(COUNT(S10:U10)&lt;3,"",((U10-S10)/6)^2)</x:f>
      </x:c>
      <x:c r="X10" s="8" t="str">
        <x:v>PM03</x:v>
      </x:c>
      <x:c r="Y10" s="8" t="str"/>
      <x:c r="Z10" s="8" t="str"/>
      <x:c r="AA10" s="8" t="str"/>
      <x:c r="AB10" s="8" t="str"/>
      <x:c r="AC10" s="8" t="str"/>
      <x:c r="AD10" s="10" t="str">
        <x:f>IF(X10="",0,INDEX($AK$6:$AK$9,MATCH(X10,$A$6:$A$9,0)))</x:f>
      </x:c>
      <x:c r="AE10" s="10" t="n">
        <x:f>IF(Y10="",0,INDEX($AK$6:$AK$9,MATCH(Y10,$A$6:$A$9,0)))</x:f>
        <x:v>0</x:v>
      </x:c>
      <x:c r="AF10" s="10" t="n">
        <x:f>IF(Z10="",0,INDEX($AK$6:$AK$9,MATCH(Z10,$A$6:$A$9,0)))</x:f>
        <x:v>0</x:v>
      </x:c>
      <x:c r="AG10" s="10" t="n">
        <x:f>IF(AA10="",0,INDEX($AK$6:$AK$9,MATCH(AA10,$A$6:$A$9,0)))</x:f>
        <x:v>0</x:v>
      </x:c>
      <x:c r="AH10" s="10" t="n">
        <x:f>IF(AB10="",0,INDEX($AK$6:$AK$9,MATCH(AB10,$A$6:$A$9,0)))</x:f>
        <x:v>0</x:v>
      </x:c>
      <x:c r="AI10" s="10" t="n">
        <x:f>IF(AC10="",0,INDEX($AK$6:$AK$9,MATCH(AC10,$A$6:$A$9,0)))</x:f>
        <x:v>0</x:v>
      </x:c>
      <x:c r="AJ10" s="10" t="str">
        <x:f>IF(AM10="완료",IF(J10="",K10,J10),IF(OR(COUNT('프로젝트설정'!$B$7:$B$8)&lt;2,COUNT(AD10:AI10)&lt;6,COUNT(S10:U10)&lt;3),"",IF(AM10="제외",MAX('프로젝트설정'!$B$7,AD10:AI10),IF(E10="진행",J10,MAX('프로젝트설정'!$B$7:$B$8,L10,AD10:AI10)))))</x:f>
      </x:c>
      <x:c r="AK10" s="10" t="str">
        <x:f>IF(AM10="완료",K10,IF(AJ10="","",IF(E10="진행",MAX('프로젝트설정'!$B$8,AJ10,AD10:AI10)+T10,AJ10+T10)))</x:f>
      </x:c>
      <x:c r="AL10" s="7" t="str">
        <x:f>IF(OR(I10="",AK10=""),"",AK10-I10)</x:f>
      </x:c>
      <x:c r="AM10" s="7" t="str">
        <x:f>IF(OR(D10="제외",E10="제외"),"제외",IF(D10&lt;&gt;"적용","적용성 확인",IF(E10="완료",IF(ISNUMBER(K10),"완료","실제완료 입력"),IF(E10="보류","보류 해제 필요",IF(E10="진행",IF(AND(ISNUMBER(J10),COUNT(P10:R10)=3,P10&gt;=0,P10&lt;=Q10,Q10&lt;=R10),"입력 OK","실제착수·잔여기간 확인"),IF(AND(COUNT(M10:O10)=3,M10&gt;=0,M10&lt;=N10,N10&lt;=O10),"입력 OK","전체기간 확인"))))))</x:f>
        <x:v>적용성 확인</x:v>
      </x:c>
      <x:c r="AN10" s="7" t="str">
        <x:v>02</x:v>
      </x:c>
    </x:row>
    <x:row r="11" ht="34" customHeight="1">
      <x:c r="A11" s="7" t="str">
        <x:v>LD02</x:v>
      </x:c>
      <x:c r="B11" s="7" t="str">
        <x:v>02 부지·행정 선행조건</x:v>
      </x:c>
      <x:c r="C11" s="7" t="str">
        <x:v>측량·지반조사 보고서 및 지반조건 재확인</x:v>
      </x:c>
      <x:c r="D11" s="7" t="str">
        <x:f>'모듈선택'!B7</x:f>
        <x:v>검토 필요</x:v>
      </x:c>
      <x:c r="E11" s="8" t="str">
        <x:v>계획</x:v>
      </x:c>
      <x:c r="F11" s="8" t="str">
        <x:v>사업주 / 관할 지자체 / 설계사</x:v>
      </x:c>
      <x:c r="G11" s="8" t="str">
        <x:v>측량성과, 지반조사 최종 보고서</x:v>
      </x:c>
      <x:c r="H11" s="9"/>
      <x:c r="I11" s="9"/>
      <x:c r="J11" s="9"/>
      <x:c r="K11" s="9"/>
      <x:c r="L11" s="9"/>
      <x:c r="M11" s="8" t="n">
        <x:v>2</x:v>
      </x:c>
      <x:c r="N11" s="8" t="n">
        <x:v>3</x:v>
      </x:c>
      <x:c r="O11" s="8" t="n">
        <x:v>6</x:v>
      </x:c>
      <x:c r="P11" s="8"/>
      <x:c r="Q11" s="8"/>
      <x:c r="R11" s="8"/>
      <x:c r="S11" s="7" t="str">
        <x:f>IF(OR(AM11="제외",AM11="완료"),0,IF(AM11&lt;&gt;"입력 OK","",IF(E11="진행",P11,M11)))</x:f>
      </x:c>
      <x:c r="T11" s="7" t="str">
        <x:f>IF(OR(AM11="제외",AM11="완료"),0,IF(AM11&lt;&gt;"입력 OK","",IF(E11="진행",Q11,N11)))</x:f>
      </x:c>
      <x:c r="U11" s="7" t="str">
        <x:f>IF(OR(AM11="제외",AM11="완료"),0,IF(AM11&lt;&gt;"입력 OK","",IF(E11="진행",R11,O11)))</x:f>
      </x:c>
      <x:c r="V11" s="11" t="str">
        <x:f>IF(COUNT(S11:U11)&lt;3,"",(S11+4*T11+U11)/6)</x:f>
      </x:c>
      <x:c r="W11" s="11" t="str">
        <x:f>IF(COUNT(S11:U11)&lt;3,"",((U11-S11)/6)^2)</x:f>
      </x:c>
      <x:c r="X11" s="8" t="str">
        <x:v>LD01</x:v>
      </x:c>
      <x:c r="Y11" s="8" t="str"/>
      <x:c r="Z11" s="8" t="str"/>
      <x:c r="AA11" s="8" t="str"/>
      <x:c r="AB11" s="8" t="str"/>
      <x:c r="AC11" s="8" t="str"/>
      <x:c r="AD11" s="10" t="str">
        <x:f>IF(X11="",0,INDEX($AK$6:$AK$10,MATCH(X11,$A$6:$A$10,0)))</x:f>
      </x:c>
      <x:c r="AE11" s="10" t="n">
        <x:f>IF(Y11="",0,INDEX($AK$6:$AK$10,MATCH(Y11,$A$6:$A$10,0)))</x:f>
        <x:v>0</x:v>
      </x:c>
      <x:c r="AF11" s="10" t="n">
        <x:f>IF(Z11="",0,INDEX($AK$6:$AK$10,MATCH(Z11,$A$6:$A$10,0)))</x:f>
        <x:v>0</x:v>
      </x:c>
      <x:c r="AG11" s="10" t="n">
        <x:f>IF(AA11="",0,INDEX($AK$6:$AK$10,MATCH(AA11,$A$6:$A$10,0)))</x:f>
        <x:v>0</x:v>
      </x:c>
      <x:c r="AH11" s="10" t="n">
        <x:f>IF(AB11="",0,INDEX($AK$6:$AK$10,MATCH(AB11,$A$6:$A$10,0)))</x:f>
        <x:v>0</x:v>
      </x:c>
      <x:c r="AI11" s="10" t="n">
        <x:f>IF(AC11="",0,INDEX($AK$6:$AK$10,MATCH(AC11,$A$6:$A$10,0)))</x:f>
        <x:v>0</x:v>
      </x:c>
      <x:c r="AJ11" s="10" t="str">
        <x:f>IF(AM11="완료",IF(J11="",K11,J11),IF(OR(COUNT('프로젝트설정'!$B$7:$B$8)&lt;2,COUNT(AD11:AI11)&lt;6,COUNT(S11:U11)&lt;3),"",IF(AM11="제외",MAX('프로젝트설정'!$B$7,AD11:AI11),IF(E11="진행",J11,MAX('프로젝트설정'!$B$7:$B$8,L11,AD11:AI11)))))</x:f>
      </x:c>
      <x:c r="AK11" s="10" t="str">
        <x:f>IF(AM11="완료",K11,IF(AJ11="","",IF(E11="진행",MAX('프로젝트설정'!$B$8,AJ11,AD11:AI11)+T11,AJ11+T11)))</x:f>
      </x:c>
      <x:c r="AL11" s="7" t="str">
        <x:f>IF(OR(I11="",AK11=""),"",AK11-I11)</x:f>
      </x:c>
      <x:c r="AM11" s="7" t="str">
        <x:f>IF(OR(D11="제외",E11="제외"),"제외",IF(D11&lt;&gt;"적용","적용성 확인",IF(E11="완료",IF(ISNUMBER(K11),"완료","실제완료 입력"),IF(E11="보류","보류 해제 필요",IF(E11="진행",IF(AND(ISNUMBER(J11),COUNT(P11:R11)=3,P11&gt;=0,P11&lt;=Q11,Q11&lt;=R11),"입력 OK","실제착수·잔여기간 확인"),IF(AND(COUNT(M11:O11)=3,M11&gt;=0,M11&lt;=N11,N11&lt;=O11),"입력 OK","전체기간 확인"))))))</x:f>
        <x:v>적용성 확인</x:v>
      </x:c>
      <x:c r="AN11" s="7" t="str">
        <x:v>02</x:v>
      </x:c>
    </x:row>
    <x:row r="12" ht="34" customHeight="1">
      <x:c r="A12" s="7" t="str">
        <x:v>LD03</x:v>
      </x:c>
      <x:c r="B12" s="7" t="str">
        <x:v>02 부지·행정 선행조건</x:v>
      </x:c>
      <x:c r="C12" s="7" t="str">
        <x:v>주변 보호시설·경계·진입로·유틸리티 조사</x:v>
      </x:c>
      <x:c r="D12" s="7" t="str">
        <x:f>'모듈선택'!B7</x:f>
        <x:v>검토 필요</x:v>
      </x:c>
      <x:c r="E12" s="8" t="str">
        <x:v>계획</x:v>
      </x:c>
      <x:c r="F12" s="8" t="str">
        <x:v>사업주 / 관할 지자체 / 설계사</x:v>
      </x:c>
      <x:c r="G12" s="8" t="str">
        <x:v>현황도, 매설물도, 경계조건</x:v>
      </x:c>
      <x:c r="H12" s="9"/>
      <x:c r="I12" s="9"/>
      <x:c r="J12" s="9"/>
      <x:c r="K12" s="9"/>
      <x:c r="L12" s="9"/>
      <x:c r="M12" s="8" t="n">
        <x:v>3</x:v>
      </x:c>
      <x:c r="N12" s="8" t="n">
        <x:v>4</x:v>
      </x:c>
      <x:c r="O12" s="8" t="n">
        <x:v>7</x:v>
      </x:c>
      <x:c r="P12" s="8"/>
      <x:c r="Q12" s="8"/>
      <x:c r="R12" s="8"/>
      <x:c r="S12" s="7" t="str">
        <x:f>IF(OR(AM12="제외",AM12="완료"),0,IF(AM12&lt;&gt;"입력 OK","",IF(E12="진행",P12,M12)))</x:f>
      </x:c>
      <x:c r="T12" s="7" t="str">
        <x:f>IF(OR(AM12="제외",AM12="완료"),0,IF(AM12&lt;&gt;"입력 OK","",IF(E12="진행",Q12,N12)))</x:f>
      </x:c>
      <x:c r="U12" s="7" t="str">
        <x:f>IF(OR(AM12="제외",AM12="완료"),0,IF(AM12&lt;&gt;"입력 OK","",IF(E12="진행",R12,O12)))</x:f>
      </x:c>
      <x:c r="V12" s="11" t="str">
        <x:f>IF(COUNT(S12:U12)&lt;3,"",(S12+4*T12+U12)/6)</x:f>
      </x:c>
      <x:c r="W12" s="11" t="str">
        <x:f>IF(COUNT(S12:U12)&lt;3,"",((U12-S12)/6)^2)</x:f>
      </x:c>
      <x:c r="X12" s="8" t="str">
        <x:v>LD02</x:v>
      </x:c>
      <x:c r="Y12" s="8" t="str"/>
      <x:c r="Z12" s="8" t="str"/>
      <x:c r="AA12" s="8" t="str"/>
      <x:c r="AB12" s="8" t="str"/>
      <x:c r="AC12" s="8" t="str"/>
      <x:c r="AD12" s="10" t="str">
        <x:f>IF(X12="",0,INDEX($AK$6:$AK$11,MATCH(X12,$A$6:$A$11,0)))</x:f>
      </x:c>
      <x:c r="AE12" s="10" t="n">
        <x:f>IF(Y12="",0,INDEX($AK$6:$AK$11,MATCH(Y12,$A$6:$A$11,0)))</x:f>
        <x:v>0</x:v>
      </x:c>
      <x:c r="AF12" s="10" t="n">
        <x:f>IF(Z12="",0,INDEX($AK$6:$AK$11,MATCH(Z12,$A$6:$A$11,0)))</x:f>
        <x:v>0</x:v>
      </x:c>
      <x:c r="AG12" s="10" t="n">
        <x:f>IF(AA12="",0,INDEX($AK$6:$AK$11,MATCH(AA12,$A$6:$A$11,0)))</x:f>
        <x:v>0</x:v>
      </x:c>
      <x:c r="AH12" s="10" t="n">
        <x:f>IF(AB12="",0,INDEX($AK$6:$AK$11,MATCH(AB12,$A$6:$A$11,0)))</x:f>
        <x:v>0</x:v>
      </x:c>
      <x:c r="AI12" s="10" t="n">
        <x:f>IF(AC12="",0,INDEX($AK$6:$AK$11,MATCH(AC12,$A$6:$A$11,0)))</x:f>
        <x:v>0</x:v>
      </x:c>
      <x:c r="AJ12" s="10" t="str">
        <x:f>IF(AM12="완료",IF(J12="",K12,J12),IF(OR(COUNT('프로젝트설정'!$B$7:$B$8)&lt;2,COUNT(AD12:AI12)&lt;6,COUNT(S12:U12)&lt;3),"",IF(AM12="제외",MAX('프로젝트설정'!$B$7,AD12:AI12),IF(E12="진행",J12,MAX('프로젝트설정'!$B$7:$B$8,L12,AD12:AI12)))))</x:f>
      </x:c>
      <x:c r="AK12" s="10" t="str">
        <x:f>IF(AM12="완료",K12,IF(AJ12="","",IF(E12="진행",MAX('프로젝트설정'!$B$8,AJ12,AD12:AI12)+T12,AJ12+T12)))</x:f>
      </x:c>
      <x:c r="AL12" s="7" t="str">
        <x:f>IF(OR(I12="",AK12=""),"",AK12-I12)</x:f>
      </x:c>
      <x:c r="AM12" s="7" t="str">
        <x:f>IF(OR(D12="제외",E12="제외"),"제외",IF(D12&lt;&gt;"적용","적용성 확인",IF(E12="완료",IF(ISNUMBER(K12),"완료","실제완료 입력"),IF(E12="보류","보류 해제 필요",IF(E12="진행",IF(AND(ISNUMBER(J12),COUNT(P12:R12)=3,P12&gt;=0,P12&lt;=Q12,Q12&lt;=R12),"입력 OK","실제착수·잔여기간 확인"),IF(AND(COUNT(M12:O12)=3,M12&gt;=0,M12&lt;=N12,N12&lt;=O12),"입력 OK","전체기간 확인"))))))</x:f>
        <x:v>적용성 확인</x:v>
      </x:c>
      <x:c r="AN12" s="7" t="str">
        <x:v>02</x:v>
      </x:c>
    </x:row>
    <x:row r="13" ht="34" customHeight="1">
      <x:c r="A13" s="7" t="str">
        <x:v>LD04</x:v>
      </x:c>
      <x:c r="B13" s="7" t="str">
        <x:v>02 부지·행정 선행조건</x:v>
      </x:c>
      <x:c r="C13" s="7" t="str">
        <x:v>공유재산 사용조건·사업부지 확보 잔여조치</x:v>
      </x:c>
      <x:c r="D13" s="7" t="str">
        <x:f>'모듈선택'!B7</x:f>
        <x:v>검토 필요</x:v>
      </x:c>
      <x:c r="E13" s="8" t="str">
        <x:v>계획</x:v>
      </x:c>
      <x:c r="F13" s="8" t="str">
        <x:v>사업주 / 관할 지자체 / 설계사</x:v>
      </x:c>
      <x:c r="G13" s="8" t="str">
        <x:v>사용허가 조건 이행 증빙</x:v>
      </x:c>
      <x:c r="H13" s="9"/>
      <x:c r="I13" s="9"/>
      <x:c r="J13" s="9"/>
      <x:c r="K13" s="9"/>
      <x:c r="L13" s="9"/>
      <x:c r="M13" s="8" t="n">
        <x:v>7</x:v>
      </x:c>
      <x:c r="N13" s="8" t="n">
        <x:v>10</x:v>
      </x:c>
      <x:c r="O13" s="8" t="n">
        <x:v>17</x:v>
      </x:c>
      <x:c r="P13" s="8"/>
      <x:c r="Q13" s="8"/>
      <x:c r="R13" s="8"/>
      <x:c r="S13" s="7" t="str">
        <x:f>IF(OR(AM13="제외",AM13="완료"),0,IF(AM13&lt;&gt;"입력 OK","",IF(E13="진행",P13,M13)))</x:f>
      </x:c>
      <x:c r="T13" s="7" t="str">
        <x:f>IF(OR(AM13="제외",AM13="완료"),0,IF(AM13&lt;&gt;"입력 OK","",IF(E13="진행",Q13,N13)))</x:f>
      </x:c>
      <x:c r="U13" s="7" t="str">
        <x:f>IF(OR(AM13="제외",AM13="완료"),0,IF(AM13&lt;&gt;"입력 OK","",IF(E13="진행",R13,O13)))</x:f>
      </x:c>
      <x:c r="V13" s="11" t="str">
        <x:f>IF(COUNT(S13:U13)&lt;3,"",(S13+4*T13+U13)/6)</x:f>
      </x:c>
      <x:c r="W13" s="11" t="str">
        <x:f>IF(COUNT(S13:U13)&lt;3,"",((U13-S13)/6)^2)</x:f>
      </x:c>
      <x:c r="X13" s="8" t="str">
        <x:v>LD03</x:v>
      </x:c>
      <x:c r="Y13" s="8" t="str"/>
      <x:c r="Z13" s="8" t="str"/>
      <x:c r="AA13" s="8" t="str"/>
      <x:c r="AB13" s="8" t="str"/>
      <x:c r="AC13" s="8" t="str"/>
      <x:c r="AD13" s="10" t="str">
        <x:f>IF(X13="",0,INDEX($AK$6:$AK$12,MATCH(X13,$A$6:$A$12,0)))</x:f>
      </x:c>
      <x:c r="AE13" s="10" t="n">
        <x:f>IF(Y13="",0,INDEX($AK$6:$AK$12,MATCH(Y13,$A$6:$A$12,0)))</x:f>
        <x:v>0</x:v>
      </x:c>
      <x:c r="AF13" s="10" t="n">
        <x:f>IF(Z13="",0,INDEX($AK$6:$AK$12,MATCH(Z13,$A$6:$A$12,0)))</x:f>
        <x:v>0</x:v>
      </x:c>
      <x:c r="AG13" s="10" t="n">
        <x:f>IF(AA13="",0,INDEX($AK$6:$AK$12,MATCH(AA13,$A$6:$A$12,0)))</x:f>
        <x:v>0</x:v>
      </x:c>
      <x:c r="AH13" s="10" t="n">
        <x:f>IF(AB13="",0,INDEX($AK$6:$AK$12,MATCH(AB13,$A$6:$A$12,0)))</x:f>
        <x:v>0</x:v>
      </x:c>
      <x:c r="AI13" s="10" t="n">
        <x:f>IF(AC13="",0,INDEX($AK$6:$AK$12,MATCH(AC13,$A$6:$A$12,0)))</x:f>
        <x:v>0</x:v>
      </x:c>
      <x:c r="AJ13" s="10" t="str">
        <x:f>IF(AM13="완료",IF(J13="",K13,J13),IF(OR(COUNT('프로젝트설정'!$B$7:$B$8)&lt;2,COUNT(AD13:AI13)&lt;6,COUNT(S13:U13)&lt;3),"",IF(AM13="제외",MAX('프로젝트설정'!$B$7,AD13:AI13),IF(E13="진행",J13,MAX('프로젝트설정'!$B$7:$B$8,L13,AD13:AI13)))))</x:f>
      </x:c>
      <x:c r="AK13" s="10" t="str">
        <x:f>IF(AM13="완료",K13,IF(AJ13="","",IF(E13="진행",MAX('프로젝트설정'!$B$8,AJ13,AD13:AI13)+T13,AJ13+T13)))</x:f>
      </x:c>
      <x:c r="AL13" s="7" t="str">
        <x:f>IF(OR(I13="",AK13=""),"",AK13-I13)</x:f>
      </x:c>
      <x:c r="AM13" s="7" t="str">
        <x:f>IF(OR(D13="제외",E13="제외"),"제외",IF(D13&lt;&gt;"적용","적용성 확인",IF(E13="완료",IF(ISNUMBER(K13),"완료","실제완료 입력"),IF(E13="보류","보류 해제 필요",IF(E13="진행",IF(AND(ISNUMBER(J13),COUNT(P13:R13)=3,P13&gt;=0,P13&lt;=Q13,Q13&lt;=R13),"입력 OK","실제착수·잔여기간 확인"),IF(AND(COUNT(M13:O13)=3,M13&gt;=0,M13&lt;=N13,N13&lt;=O13),"입력 OK","전체기간 확인"))))))</x:f>
        <x:v>적용성 확인</x:v>
      </x:c>
      <x:c r="AN13" s="7" t="str">
        <x:v>02</x:v>
      </x:c>
    </x:row>
    <x:row r="14" ht="34" customHeight="1">
      <x:c r="A14" s="7" t="str">
        <x:v>UP01</x:v>
      </x:c>
      <x:c r="B14" s="7" t="str">
        <x:v>03 도시계획·실시계획</x:v>
      </x:c>
      <x:c r="C14" s="7" t="str">
        <x:v>도시관리계획 접수·군협의·심의 진행상태 확인</x:v>
      </x:c>
      <x:c r="D14" s="7" t="str">
        <x:f>'모듈선택'!B8</x:f>
        <x:v>검토 필요</x:v>
      </x:c>
      <x:c r="E14" s="8" t="str">
        <x:v>계획</x:v>
      </x:c>
      <x:c r="F14" s="8" t="str">
        <x:v>인허가 용역사 / 관할 지자체 / 사업주</x:v>
      </x:c>
      <x:c r="G14" s="8" t="str">
        <x:v>기접수 공문, 협의의견, 심의 결과</x:v>
      </x:c>
      <x:c r="H14" s="9"/>
      <x:c r="I14" s="9"/>
      <x:c r="J14" s="9"/>
      <x:c r="K14" s="9"/>
      <x:c r="L14" s="9"/>
      <x:c r="M14" s="8" t="n">
        <x:v>2</x:v>
      </x:c>
      <x:c r="N14" s="8" t="n">
        <x:v>3</x:v>
      </x:c>
      <x:c r="O14" s="8" t="n">
        <x:v>6</x:v>
      </x:c>
      <x:c r="P14" s="8"/>
      <x:c r="Q14" s="8"/>
      <x:c r="R14" s="8"/>
      <x:c r="S14" s="7" t="str">
        <x:f>IF(OR(AM14="제외",AM14="완료"),0,IF(AM14&lt;&gt;"입력 OK","",IF(E14="진행",P14,M14)))</x:f>
      </x:c>
      <x:c r="T14" s="7" t="str">
        <x:f>IF(OR(AM14="제외",AM14="완료"),0,IF(AM14&lt;&gt;"입력 OK","",IF(E14="진행",Q14,N14)))</x:f>
      </x:c>
      <x:c r="U14" s="7" t="str">
        <x:f>IF(OR(AM14="제외",AM14="완료"),0,IF(AM14&lt;&gt;"입력 OK","",IF(E14="진행",R14,O14)))</x:f>
      </x:c>
      <x:c r="V14" s="11" t="str">
        <x:f>IF(COUNT(S14:U14)&lt;3,"",(S14+4*T14+U14)/6)</x:f>
      </x:c>
      <x:c r="W14" s="11" t="str">
        <x:f>IF(COUNT(S14:U14)&lt;3,"",((U14-S14)/6)^2)</x:f>
      </x:c>
      <x:c r="X14" s="8" t="str">
        <x:v>PM03</x:v>
      </x:c>
      <x:c r="Y14" s="8" t="str"/>
      <x:c r="Z14" s="8" t="str"/>
      <x:c r="AA14" s="8" t="str"/>
      <x:c r="AB14" s="8" t="str"/>
      <x:c r="AC14" s="8" t="str"/>
      <x:c r="AD14" s="10" t="str">
        <x:f>IF(X14="",0,INDEX($AK$6:$AK$13,MATCH(X14,$A$6:$A$13,0)))</x:f>
      </x:c>
      <x:c r="AE14" s="10" t="n">
        <x:f>IF(Y14="",0,INDEX($AK$6:$AK$13,MATCH(Y14,$A$6:$A$13,0)))</x:f>
        <x:v>0</x:v>
      </x:c>
      <x:c r="AF14" s="10" t="n">
        <x:f>IF(Z14="",0,INDEX($AK$6:$AK$13,MATCH(Z14,$A$6:$A$13,0)))</x:f>
        <x:v>0</x:v>
      </x:c>
      <x:c r="AG14" s="10" t="n">
        <x:f>IF(AA14="",0,INDEX($AK$6:$AK$13,MATCH(AA14,$A$6:$A$13,0)))</x:f>
        <x:v>0</x:v>
      </x:c>
      <x:c r="AH14" s="10" t="n">
        <x:f>IF(AB14="",0,INDEX($AK$6:$AK$13,MATCH(AB14,$A$6:$A$13,0)))</x:f>
        <x:v>0</x:v>
      </x:c>
      <x:c r="AI14" s="10" t="n">
        <x:f>IF(AC14="",0,INDEX($AK$6:$AK$13,MATCH(AC14,$A$6:$A$13,0)))</x:f>
        <x:v>0</x:v>
      </x:c>
      <x:c r="AJ14" s="10" t="str">
        <x:f>IF(AM14="완료",IF(J14="",K14,J14),IF(OR(COUNT('프로젝트설정'!$B$7:$B$8)&lt;2,COUNT(AD14:AI14)&lt;6,COUNT(S14:U14)&lt;3),"",IF(AM14="제외",MAX('프로젝트설정'!$B$7,AD14:AI14),IF(E14="진행",J14,MAX('프로젝트설정'!$B$7:$B$8,L14,AD14:AI14)))))</x:f>
      </x:c>
      <x:c r="AK14" s="10" t="str">
        <x:f>IF(AM14="완료",K14,IF(AJ14="","",IF(E14="진행",MAX('프로젝트설정'!$B$8,AJ14,AD14:AI14)+T14,AJ14+T14)))</x:f>
      </x:c>
      <x:c r="AL14" s="7" t="str">
        <x:f>IF(OR(I14="",AK14=""),"",AK14-I14)</x:f>
      </x:c>
      <x:c r="AM14" s="7" t="str">
        <x:f>IF(OR(D14="제외",E14="제외"),"제외",IF(D14&lt;&gt;"적용","적용성 확인",IF(E14="완료",IF(ISNUMBER(K14),"완료","실제완료 입력"),IF(E14="보류","보류 해제 필요",IF(E14="진행",IF(AND(ISNUMBER(J14),COUNT(P14:R14)=3,P14&gt;=0,P14&lt;=Q14,Q14&lt;=R14),"입력 OK","실제착수·잔여기간 확인"),IF(AND(COUNT(M14:O14)=3,M14&gt;=0,M14&lt;=N14,N14&lt;=O14),"입력 OK","전체기간 확인"))))))</x:f>
        <x:v>적용성 확인</x:v>
      </x:c>
      <x:c r="AN14" s="7" t="str">
        <x:v>03</x:v>
      </x:c>
    </x:row>
    <x:row r="15" ht="34" customHeight="1">
      <x:c r="A15" s="7" t="str">
        <x:v>UP02</x:v>
      </x:c>
      <x:c r="B15" s="7" t="str">
        <x:v>03 도시계획·실시계획</x:v>
      </x:c>
      <x:c r="C15" s="7" t="str">
        <x:v>배치 변경에 따른 도시계획 보완도서 작성</x:v>
      </x:c>
      <x:c r="D15" s="7" t="str">
        <x:f>'모듈선택'!B8</x:f>
        <x:v>검토 필요</x:v>
      </x:c>
      <x:c r="E15" s="8" t="str">
        <x:v>계획</x:v>
      </x:c>
      <x:c r="F15" s="8" t="str">
        <x:v>인허가 용역사 / 관할 지자체 / 사업주</x:v>
      </x:c>
      <x:c r="G15" s="8" t="str">
        <x:v>변경사유서, 위치도, 변경도면</x:v>
      </x:c>
      <x:c r="H15" s="9"/>
      <x:c r="I15" s="9"/>
      <x:c r="J15" s="9"/>
      <x:c r="K15" s="9"/>
      <x:c r="L15" s="9"/>
      <x:c r="M15" s="8" t="n">
        <x:v>5</x:v>
      </x:c>
      <x:c r="N15" s="8" t="n">
        <x:v>7</x:v>
      </x:c>
      <x:c r="O15" s="8" t="n">
        <x:v>12</x:v>
      </x:c>
      <x:c r="P15" s="8"/>
      <x:c r="Q15" s="8"/>
      <x:c r="R15" s="8"/>
      <x:c r="S15" s="7" t="str">
        <x:f>IF(OR(AM15="제외",AM15="완료"),0,IF(AM15&lt;&gt;"입력 OK","",IF(E15="진행",P15,M15)))</x:f>
      </x:c>
      <x:c r="T15" s="7" t="str">
        <x:f>IF(OR(AM15="제외",AM15="완료"),0,IF(AM15&lt;&gt;"입력 OK","",IF(E15="진행",Q15,N15)))</x:f>
      </x:c>
      <x:c r="U15" s="7" t="str">
        <x:f>IF(OR(AM15="제외",AM15="완료"),0,IF(AM15&lt;&gt;"입력 OK","",IF(E15="진행",R15,O15)))</x:f>
      </x:c>
      <x:c r="V15" s="11" t="str">
        <x:f>IF(COUNT(S15:U15)&lt;3,"",(S15+4*T15+U15)/6)</x:f>
      </x:c>
      <x:c r="W15" s="11" t="str">
        <x:f>IF(COUNT(S15:U15)&lt;3,"",((U15-S15)/6)^2)</x:f>
      </x:c>
      <x:c r="X15" s="8" t="str">
        <x:v>UP01</x:v>
      </x:c>
      <x:c r="Y15" s="8" t="str"/>
      <x:c r="Z15" s="8" t="str"/>
      <x:c r="AA15" s="8" t="str"/>
      <x:c r="AB15" s="8" t="str"/>
      <x:c r="AC15" s="8" t="str"/>
      <x:c r="AD15" s="10" t="str">
        <x:f>IF(X15="",0,INDEX($AK$6:$AK$14,MATCH(X15,$A$6:$A$14,0)))</x:f>
      </x:c>
      <x:c r="AE15" s="10" t="n">
        <x:f>IF(Y15="",0,INDEX($AK$6:$AK$14,MATCH(Y15,$A$6:$A$14,0)))</x:f>
        <x:v>0</x:v>
      </x:c>
      <x:c r="AF15" s="10" t="n">
        <x:f>IF(Z15="",0,INDEX($AK$6:$AK$14,MATCH(Z15,$A$6:$A$14,0)))</x:f>
        <x:v>0</x:v>
      </x:c>
      <x:c r="AG15" s="10" t="n">
        <x:f>IF(AA15="",0,INDEX($AK$6:$AK$14,MATCH(AA15,$A$6:$A$14,0)))</x:f>
        <x:v>0</x:v>
      </x:c>
      <x:c r="AH15" s="10" t="n">
        <x:f>IF(AB15="",0,INDEX($AK$6:$AK$14,MATCH(AB15,$A$6:$A$14,0)))</x:f>
        <x:v>0</x:v>
      </x:c>
      <x:c r="AI15" s="10" t="n">
        <x:f>IF(AC15="",0,INDEX($AK$6:$AK$14,MATCH(AC15,$A$6:$A$14,0)))</x:f>
        <x:v>0</x:v>
      </x:c>
      <x:c r="AJ15" s="10" t="str">
        <x:f>IF(AM15="완료",IF(J15="",K15,J15),IF(OR(COUNT('프로젝트설정'!$B$7:$B$8)&lt;2,COUNT(AD15:AI15)&lt;6,COUNT(S15:U15)&lt;3),"",IF(AM15="제외",MAX('프로젝트설정'!$B$7,AD15:AI15),IF(E15="진행",J15,MAX('프로젝트설정'!$B$7:$B$8,L15,AD15:AI15)))))</x:f>
      </x:c>
      <x:c r="AK15" s="10" t="str">
        <x:f>IF(AM15="완료",K15,IF(AJ15="","",IF(E15="진행",MAX('프로젝트설정'!$B$8,AJ15,AD15:AI15)+T15,AJ15+T15)))</x:f>
      </x:c>
      <x:c r="AL15" s="7" t="str">
        <x:f>IF(OR(I15="",AK15=""),"",AK15-I15)</x:f>
      </x:c>
      <x:c r="AM15" s="7" t="str">
        <x:f>IF(OR(D15="제외",E15="제외"),"제외",IF(D15&lt;&gt;"적용","적용성 확인",IF(E15="완료",IF(ISNUMBER(K15),"완료","실제완료 입력"),IF(E15="보류","보류 해제 필요",IF(E15="진행",IF(AND(ISNUMBER(J15),COUNT(P15:R15)=3,P15&gt;=0,P15&lt;=Q15,Q15&lt;=R15),"입력 OK","실제착수·잔여기간 확인"),IF(AND(COUNT(M15:O15)=3,M15&gt;=0,M15&lt;=N15,N15&lt;=O15),"입력 OK","전체기간 확인"))))))</x:f>
        <x:v>적용성 확인</x:v>
      </x:c>
      <x:c r="AN15" s="7" t="str">
        <x:v>03</x:v>
      </x:c>
    </x:row>
    <x:row r="16" ht="34" customHeight="1">
      <x:c r="A16" s="7" t="str">
        <x:v>UP03</x:v>
      </x:c>
      <x:c r="B16" s="7" t="str">
        <x:v>03 도시계획·실시계획</x:v>
      </x:c>
      <x:c r="C16" s="7" t="str">
        <x:v>관계부서·군협의 잔여 회신 확보</x:v>
      </x:c>
      <x:c r="D16" s="7" t="str">
        <x:f>'모듈선택'!B8</x:f>
        <x:v>검토 필요</x:v>
      </x:c>
      <x:c r="E16" s="8" t="str">
        <x:v>계획</x:v>
      </x:c>
      <x:c r="F16" s="8" t="str">
        <x:v>인허가 용역사 / 관할 지자체 / 사업주</x:v>
      </x:c>
      <x:c r="G16" s="8" t="str">
        <x:v>부서별 협의 회신</x:v>
      </x:c>
      <x:c r="H16" s="9"/>
      <x:c r="I16" s="9"/>
      <x:c r="J16" s="9"/>
      <x:c r="K16" s="9"/>
      <x:c r="L16" s="9"/>
      <x:c r="M16" s="8" t="n">
        <x:v>9</x:v>
      </x:c>
      <x:c r="N16" s="8" t="n">
        <x:v>14</x:v>
      </x:c>
      <x:c r="O16" s="8" t="n">
        <x:v>24</x:v>
      </x:c>
      <x:c r="P16" s="8"/>
      <x:c r="Q16" s="8"/>
      <x:c r="R16" s="8"/>
      <x:c r="S16" s="7" t="str">
        <x:f>IF(OR(AM16="제외",AM16="완료"),0,IF(AM16&lt;&gt;"입력 OK","",IF(E16="진행",P16,M16)))</x:f>
      </x:c>
      <x:c r="T16" s="7" t="str">
        <x:f>IF(OR(AM16="제외",AM16="완료"),0,IF(AM16&lt;&gt;"입력 OK","",IF(E16="진행",Q16,N16)))</x:f>
      </x:c>
      <x:c r="U16" s="7" t="str">
        <x:f>IF(OR(AM16="제외",AM16="완료"),0,IF(AM16&lt;&gt;"입력 OK","",IF(E16="진행",R16,O16)))</x:f>
      </x:c>
      <x:c r="V16" s="11" t="str">
        <x:f>IF(COUNT(S16:U16)&lt;3,"",(S16+4*T16+U16)/6)</x:f>
      </x:c>
      <x:c r="W16" s="11" t="str">
        <x:f>IF(COUNT(S16:U16)&lt;3,"",((U16-S16)/6)^2)</x:f>
      </x:c>
      <x:c r="X16" s="8" t="str">
        <x:v>UP02</x:v>
      </x:c>
      <x:c r="Y16" s="8" t="str"/>
      <x:c r="Z16" s="8" t="str"/>
      <x:c r="AA16" s="8" t="str"/>
      <x:c r="AB16" s="8" t="str"/>
      <x:c r="AC16" s="8" t="str"/>
      <x:c r="AD16" s="10" t="str">
        <x:f>IF(X16="",0,INDEX($AK$6:$AK$15,MATCH(X16,$A$6:$A$15,0)))</x:f>
      </x:c>
      <x:c r="AE16" s="10" t="n">
        <x:f>IF(Y16="",0,INDEX($AK$6:$AK$15,MATCH(Y16,$A$6:$A$15,0)))</x:f>
        <x:v>0</x:v>
      </x:c>
      <x:c r="AF16" s="10" t="n">
        <x:f>IF(Z16="",0,INDEX($AK$6:$AK$15,MATCH(Z16,$A$6:$A$15,0)))</x:f>
        <x:v>0</x:v>
      </x:c>
      <x:c r="AG16" s="10" t="n">
        <x:f>IF(AA16="",0,INDEX($AK$6:$AK$15,MATCH(AA16,$A$6:$A$15,0)))</x:f>
        <x:v>0</x:v>
      </x:c>
      <x:c r="AH16" s="10" t="n">
        <x:f>IF(AB16="",0,INDEX($AK$6:$AK$15,MATCH(AB16,$A$6:$A$15,0)))</x:f>
        <x:v>0</x:v>
      </x:c>
      <x:c r="AI16" s="10" t="n">
        <x:f>IF(AC16="",0,INDEX($AK$6:$AK$15,MATCH(AC16,$A$6:$A$15,0)))</x:f>
        <x:v>0</x:v>
      </x:c>
      <x:c r="AJ16" s="10" t="str">
        <x:f>IF(AM16="완료",IF(J16="",K16,J16),IF(OR(COUNT('프로젝트설정'!$B$7:$B$8)&lt;2,COUNT(AD16:AI16)&lt;6,COUNT(S16:U16)&lt;3),"",IF(AM16="제외",MAX('프로젝트설정'!$B$7,AD16:AI16),IF(E16="진행",J16,MAX('프로젝트설정'!$B$7:$B$8,L16,AD16:AI16)))))</x:f>
      </x:c>
      <x:c r="AK16" s="10" t="str">
        <x:f>IF(AM16="완료",K16,IF(AJ16="","",IF(E16="진행",MAX('프로젝트설정'!$B$8,AJ16,AD16:AI16)+T16,AJ16+T16)))</x:f>
      </x:c>
      <x:c r="AL16" s="7" t="str">
        <x:f>IF(OR(I16="",AK16=""),"",AK16-I16)</x:f>
      </x:c>
      <x:c r="AM16" s="7" t="str">
        <x:f>IF(OR(D16="제외",E16="제외"),"제외",IF(D16&lt;&gt;"적용","적용성 확인",IF(E16="완료",IF(ISNUMBER(K16),"완료","실제완료 입력"),IF(E16="보류","보류 해제 필요",IF(E16="진행",IF(AND(ISNUMBER(J16),COUNT(P16:R16)=3,P16&gt;=0,P16&lt;=Q16,Q16&lt;=R16),"입력 OK","실제착수·잔여기간 확인"),IF(AND(COUNT(M16:O16)=3,M16&gt;=0,M16&lt;=N16,N16&lt;=O16),"입력 OK","전체기간 확인"))))))</x:f>
        <x:v>적용성 확인</x:v>
      </x:c>
      <x:c r="AN16" s="7" t="str">
        <x:v>03</x:v>
      </x:c>
    </x:row>
    <x:row r="17" ht="34" customHeight="1">
      <x:c r="A17" s="7" t="str">
        <x:v>UP04</x:v>
      </x:c>
      <x:c r="B17" s="7" t="str">
        <x:v>03 도시계획·실시계획</x:v>
      </x:c>
      <x:c r="C17" s="7" t="str">
        <x:v>도시계획위원회 상정·보완 및 결정고시 확보</x:v>
      </x:c>
      <x:c r="D17" s="7" t="str">
        <x:f>'모듈선택'!B8</x:f>
        <x:v>검토 필요</x:v>
      </x:c>
      <x:c r="E17" s="8" t="str">
        <x:v>계획</x:v>
      </x:c>
      <x:c r="F17" s="8" t="str">
        <x:v>인허가 용역사 / 관할 지자체 / 사업주</x:v>
      </x:c>
      <x:c r="G17" s="8" t="str">
        <x:v>심의자료, 조치계획, 결정고시</x:v>
      </x:c>
      <x:c r="H17" s="9"/>
      <x:c r="I17" s="9"/>
      <x:c r="J17" s="9"/>
      <x:c r="K17" s="9"/>
      <x:c r="L17" s="9"/>
      <x:c r="M17" s="8" t="n">
        <x:v>9</x:v>
      </x:c>
      <x:c r="N17" s="8" t="n">
        <x:v>14</x:v>
      </x:c>
      <x:c r="O17" s="8" t="n">
        <x:v>24</x:v>
      </x:c>
      <x:c r="P17" s="8"/>
      <x:c r="Q17" s="8"/>
      <x:c r="R17" s="8"/>
      <x:c r="S17" s="7" t="str">
        <x:f>IF(OR(AM17="제외",AM17="완료"),0,IF(AM17&lt;&gt;"입력 OK","",IF(E17="진행",P17,M17)))</x:f>
      </x:c>
      <x:c r="T17" s="7" t="str">
        <x:f>IF(OR(AM17="제외",AM17="완료"),0,IF(AM17&lt;&gt;"입력 OK","",IF(E17="진행",Q17,N17)))</x:f>
      </x:c>
      <x:c r="U17" s="7" t="str">
        <x:f>IF(OR(AM17="제외",AM17="완료"),0,IF(AM17&lt;&gt;"입력 OK","",IF(E17="진행",R17,O17)))</x:f>
      </x:c>
      <x:c r="V17" s="11" t="str">
        <x:f>IF(COUNT(S17:U17)&lt;3,"",(S17+4*T17+U17)/6)</x:f>
      </x:c>
      <x:c r="W17" s="11" t="str">
        <x:f>IF(COUNT(S17:U17)&lt;3,"",((U17-S17)/6)^2)</x:f>
      </x:c>
      <x:c r="X17" s="8" t="str">
        <x:v>UP03</x:v>
      </x:c>
      <x:c r="Y17" s="8" t="str"/>
      <x:c r="Z17" s="8" t="str"/>
      <x:c r="AA17" s="8" t="str"/>
      <x:c r="AB17" s="8" t="str"/>
      <x:c r="AC17" s="8" t="str"/>
      <x:c r="AD17" s="10" t="str">
        <x:f>IF(X17="",0,INDEX($AK$6:$AK$16,MATCH(X17,$A$6:$A$16,0)))</x:f>
      </x:c>
      <x:c r="AE17" s="10" t="n">
        <x:f>IF(Y17="",0,INDEX($AK$6:$AK$16,MATCH(Y17,$A$6:$A$16,0)))</x:f>
        <x:v>0</x:v>
      </x:c>
      <x:c r="AF17" s="10" t="n">
        <x:f>IF(Z17="",0,INDEX($AK$6:$AK$16,MATCH(Z17,$A$6:$A$16,0)))</x:f>
        <x:v>0</x:v>
      </x:c>
      <x:c r="AG17" s="10" t="n">
        <x:f>IF(AA17="",0,INDEX($AK$6:$AK$16,MATCH(AA17,$A$6:$A$16,0)))</x:f>
        <x:v>0</x:v>
      </x:c>
      <x:c r="AH17" s="10" t="n">
        <x:f>IF(AB17="",0,INDEX($AK$6:$AK$16,MATCH(AB17,$A$6:$A$16,0)))</x:f>
        <x:v>0</x:v>
      </x:c>
      <x:c r="AI17" s="10" t="n">
        <x:f>IF(AC17="",0,INDEX($AK$6:$AK$16,MATCH(AC17,$A$6:$A$16,0)))</x:f>
        <x:v>0</x:v>
      </x:c>
      <x:c r="AJ17" s="10" t="str">
        <x:f>IF(AM17="완료",IF(J17="",K17,J17),IF(OR(COUNT('프로젝트설정'!$B$7:$B$8)&lt;2,COUNT(AD17:AI17)&lt;6,COUNT(S17:U17)&lt;3),"",IF(AM17="제외",MAX('프로젝트설정'!$B$7,AD17:AI17),IF(E17="진행",J17,MAX('프로젝트설정'!$B$7:$B$8,L17,AD17:AI17)))))</x:f>
      </x:c>
      <x:c r="AK17" s="10" t="str">
        <x:f>IF(AM17="완료",K17,IF(AJ17="","",IF(E17="진행",MAX('프로젝트설정'!$B$8,AJ17,AD17:AI17)+T17,AJ17+T17)))</x:f>
      </x:c>
      <x:c r="AL17" s="7" t="str">
        <x:f>IF(OR(I17="",AK17=""),"",AK17-I17)</x:f>
      </x:c>
      <x:c r="AM17" s="7" t="str">
        <x:f>IF(OR(D17="제외",E17="제외"),"제외",IF(D17&lt;&gt;"적용","적용성 확인",IF(E17="완료",IF(ISNUMBER(K17),"완료","실제완료 입력"),IF(E17="보류","보류 해제 필요",IF(E17="진행",IF(AND(ISNUMBER(J17),COUNT(P17:R17)=3,P17&gt;=0,P17&lt;=Q17,Q17&lt;=R17),"입력 OK","실제착수·잔여기간 확인"),IF(AND(COUNT(M17:O17)=3,M17&gt;=0,M17&lt;=N17,N17&lt;=O17),"입력 OK","전체기간 확인"))))))</x:f>
        <x:v>적용성 확인</x:v>
      </x:c>
      <x:c r="AN17" s="7" t="str">
        <x:v>03</x:v>
      </x:c>
    </x:row>
    <x:row r="18" ht="34" customHeight="1">
      <x:c r="A18" s="7" t="str">
        <x:v>UP05</x:v>
      </x:c>
      <x:c r="B18" s="7" t="str">
        <x:v>03 도시계획·실시계획</x:v>
      </x:c>
      <x:c r="C18" s="7" t="str">
        <x:v>도시관리계획 결정고시 확인</x:v>
      </x:c>
      <x:c r="D18" s="7" t="str">
        <x:f>'모듈선택'!B8</x:f>
        <x:v>검토 필요</x:v>
      </x:c>
      <x:c r="E18" s="8" t="str">
        <x:v>계획</x:v>
      </x:c>
      <x:c r="F18" s="8" t="str">
        <x:v>사업주 / PM / 오너 검토 / 담당기관</x:v>
      </x:c>
      <x:c r="G18" s="8" t="str">
        <x:v>승인/접수/검사 증빙 및 미결사항 확인</x:v>
      </x:c>
      <x:c r="H18" s="9"/>
      <x:c r="I18" s="9"/>
      <x:c r="J18" s="9"/>
      <x:c r="K18" s="9"/>
      <x:c r="L18" s="9"/>
      <x:c r="M18" s="8" t="n">
        <x:v>0</x:v>
      </x:c>
      <x:c r="N18" s="8" t="n">
        <x:v>0</x:v>
      </x:c>
      <x:c r="O18" s="8" t="n">
        <x:v>0</x:v>
      </x:c>
      <x:c r="P18" s="8"/>
      <x:c r="Q18" s="8"/>
      <x:c r="R18" s="8"/>
      <x:c r="S18" s="7" t="str">
        <x:f>IF(OR(AM18="제외",AM18="완료"),0,IF(AM18&lt;&gt;"입력 OK","",IF(E18="진행",P18,M18)))</x:f>
      </x:c>
      <x:c r="T18" s="7" t="str">
        <x:f>IF(OR(AM18="제외",AM18="완료"),0,IF(AM18&lt;&gt;"입력 OK","",IF(E18="진행",Q18,N18)))</x:f>
      </x:c>
      <x:c r="U18" s="7" t="str">
        <x:f>IF(OR(AM18="제외",AM18="완료"),0,IF(AM18&lt;&gt;"입력 OK","",IF(E18="진행",R18,O18)))</x:f>
      </x:c>
      <x:c r="V18" s="11" t="str">
        <x:f>IF(COUNT(S18:U18)&lt;3,"",(S18+4*T18+U18)/6)</x:f>
      </x:c>
      <x:c r="W18" s="11" t="str">
        <x:f>IF(COUNT(S18:U18)&lt;3,"",((U18-S18)/6)^2)</x:f>
      </x:c>
      <x:c r="X18" s="8" t="str">
        <x:v>UP04</x:v>
      </x:c>
      <x:c r="Y18" s="8" t="str"/>
      <x:c r="Z18" s="8" t="str"/>
      <x:c r="AA18" s="8" t="str"/>
      <x:c r="AB18" s="8" t="str"/>
      <x:c r="AC18" s="8" t="str"/>
      <x:c r="AD18" s="10" t="str">
        <x:f>IF(X18="",0,INDEX($AK$6:$AK$17,MATCH(X18,$A$6:$A$17,0)))</x:f>
      </x:c>
      <x:c r="AE18" s="10" t="n">
        <x:f>IF(Y18="",0,INDEX($AK$6:$AK$17,MATCH(Y18,$A$6:$A$17,0)))</x:f>
        <x:v>0</x:v>
      </x:c>
      <x:c r="AF18" s="10" t="n">
        <x:f>IF(Z18="",0,INDEX($AK$6:$AK$17,MATCH(Z18,$A$6:$A$17,0)))</x:f>
        <x:v>0</x:v>
      </x:c>
      <x:c r="AG18" s="10" t="n">
        <x:f>IF(AA18="",0,INDEX($AK$6:$AK$17,MATCH(AA18,$A$6:$A$17,0)))</x:f>
        <x:v>0</x:v>
      </x:c>
      <x:c r="AH18" s="10" t="n">
        <x:f>IF(AB18="",0,INDEX($AK$6:$AK$17,MATCH(AB18,$A$6:$A$17,0)))</x:f>
        <x:v>0</x:v>
      </x:c>
      <x:c r="AI18" s="10" t="n">
        <x:f>IF(AC18="",0,INDEX($AK$6:$AK$17,MATCH(AC18,$A$6:$A$17,0)))</x:f>
        <x:v>0</x:v>
      </x:c>
      <x:c r="AJ18" s="10" t="str">
        <x:f>IF(AM18="완료",IF(J18="",K18,J18),IF(OR(COUNT('프로젝트설정'!$B$7:$B$8)&lt;2,COUNT(AD18:AI18)&lt;6,COUNT(S18:U18)&lt;3),"",IF(AM18="제외",MAX('프로젝트설정'!$B$7,AD18:AI18),IF(E18="진행",J18,MAX('프로젝트설정'!$B$7:$B$8,L18,AD18:AI18)))))</x:f>
      </x:c>
      <x:c r="AK18" s="10" t="str">
        <x:f>IF(AM18="완료",K18,IF(AJ18="","",IF(E18="진행",MAX('프로젝트설정'!$B$8,AJ18,AD18:AI18)+T18,AJ18+T18)))</x:f>
      </x:c>
      <x:c r="AL18" s="7" t="str">
        <x:f>IF(OR(I18="",AK18=""),"",AK18-I18)</x:f>
      </x:c>
      <x:c r="AM18" s="7" t="str">
        <x:f>IF(OR(D18="제외",E18="제외"),"제외",IF(D18&lt;&gt;"적용","적용성 확인",IF(E18="완료",IF(ISNUMBER(K18),"완료","실제완료 입력"),IF(E18="보류","보류 해제 필요",IF(E18="진행",IF(AND(ISNUMBER(J18),COUNT(P18:R18)=3,P18&gt;=0,P18&lt;=Q18,Q18&lt;=R18),"입력 OK","실제착수·잔여기간 확인"),IF(AND(COUNT(M18:O18)=3,M18&gt;=0,M18&lt;=N18,N18&lt;=O18),"입력 OK","전체기간 확인"))))))</x:f>
        <x:v>적용성 확인</x:v>
      </x:c>
      <x:c r="AN18" s="7" t="str">
        <x:v>03</x:v>
      </x:c>
    </x:row>
    <x:row r="19" ht="34" customHeight="1">
      <x:c r="A19" s="7" t="str">
        <x:v>DB01</x:v>
      </x:c>
      <x:c r="B19" s="7" t="str">
        <x:v>04 공정·배치 기준</x:v>
      </x:c>
      <x:c r="C19" s="7" t="str">
        <x:v>설비 용량·운전조건·배터리리밋 확정</x:v>
      </x:c>
      <x:c r="D19" s="7" t="str">
        <x:f>'모듈선택'!B9</x:f>
        <x:v>적용</x:v>
      </x:c>
      <x:c r="E19" s="8" t="str">
        <x:v>계획</x:v>
      </x:c>
      <x:c r="F19" s="8" t="str">
        <x:v>종합설계사 / PM / 오너 검토 검토</x:v>
      </x:c>
      <x:c r="G19" s="8" t="str">
        <x:v>Design basis, HMB, scope matrix</x:v>
      </x:c>
      <x:c r="H19" s="9"/>
      <x:c r="I19" s="9"/>
      <x:c r="J19" s="9"/>
      <x:c r="K19" s="9"/>
      <x:c r="L19" s="9"/>
      <x:c r="M19" s="8" t="n">
        <x:v>3</x:v>
      </x:c>
      <x:c r="N19" s="8" t="n">
        <x:v>4</x:v>
      </x:c>
      <x:c r="O19" s="8" t="n">
        <x:v>7</x:v>
      </x:c>
      <x:c r="P19" s="8"/>
      <x:c r="Q19" s="8"/>
      <x:c r="R19" s="8"/>
      <x:c r="S19" s="7" t="n">
        <x:f>IF(OR(AM19="제외",AM19="완료"),0,IF(AM19&lt;&gt;"입력 OK","",IF(E19="진행",P19,M19)))</x:f>
        <x:v>3</x:v>
      </x:c>
      <x:c r="T19" s="7" t="n">
        <x:f>IF(OR(AM19="제외",AM19="완료"),0,IF(AM19&lt;&gt;"입력 OK","",IF(E19="진행",Q19,N19)))</x:f>
        <x:v>4</x:v>
      </x:c>
      <x:c r="U19" s="7" t="n">
        <x:f>IF(OR(AM19="제외",AM19="완료"),0,IF(AM19&lt;&gt;"입력 OK","",IF(E19="진행",R19,O19)))</x:f>
        <x:v>7</x:v>
      </x:c>
      <x:c r="V19" s="11" t="n">
        <x:f>IF(COUNT(S19:U19)&lt;3,"",(S19+4*T19+U19)/6)</x:f>
        <x:v>4.333333333333333</x:v>
      </x:c>
      <x:c r="W19" s="11" t="n">
        <x:f>IF(COUNT(S19:U19)&lt;3,"",((U19-S19)/6)^2)</x:f>
        <x:v>0.4444444444444444</x:v>
      </x:c>
      <x:c r="X19" s="8" t="str">
        <x:v>PM04</x:v>
      </x:c>
      <x:c r="Y19" s="8" t="str">
        <x:v>LD03</x:v>
      </x:c>
      <x:c r="Z19" s="8" t="str"/>
      <x:c r="AA19" s="8" t="str"/>
      <x:c r="AB19" s="8" t="str"/>
      <x:c r="AC19" s="8" t="str"/>
      <x:c r="AD19" s="10" t="str">
        <x:f>IF(X19="",0,INDEX($AK$6:$AK$18,MATCH(X19,$A$6:$A$18,0)))</x:f>
      </x:c>
      <x:c r="AE19" s="10" t="str">
        <x:f>IF(Y19="",0,INDEX($AK$6:$AK$18,MATCH(Y19,$A$6:$A$18,0)))</x:f>
      </x:c>
      <x:c r="AF19" s="10" t="n">
        <x:f>IF(Z19="",0,INDEX($AK$6:$AK$18,MATCH(Z19,$A$6:$A$18,0)))</x:f>
        <x:v>0</x:v>
      </x:c>
      <x:c r="AG19" s="10" t="n">
        <x:f>IF(AA19="",0,INDEX($AK$6:$AK$18,MATCH(AA19,$A$6:$A$18,0)))</x:f>
        <x:v>0</x:v>
      </x:c>
      <x:c r="AH19" s="10" t="n">
        <x:f>IF(AB19="",0,INDEX($AK$6:$AK$18,MATCH(AB19,$A$6:$A$18,0)))</x:f>
        <x:v>0</x:v>
      </x:c>
      <x:c r="AI19" s="10" t="n">
        <x:f>IF(AC19="",0,INDEX($AK$6:$AK$18,MATCH(AC19,$A$6:$A$18,0)))</x:f>
        <x:v>0</x:v>
      </x:c>
      <x:c r="AJ19" s="10" t="str">
        <x:f>IF(AM19="완료",IF(J19="",K19,J19),IF(OR(COUNT('프로젝트설정'!$B$7:$B$8)&lt;2,COUNT(AD19:AI19)&lt;6,COUNT(S19:U19)&lt;3),"",IF(AM19="제외",MAX('프로젝트설정'!$B$7,AD19:AI19),IF(E19="진행",J19,MAX('프로젝트설정'!$B$7:$B$8,L19,AD19:AI19)))))</x:f>
      </x:c>
      <x:c r="AK19" s="10" t="str">
        <x:f>IF(AM19="완료",K19,IF(AJ19="","",IF(E19="진행",MAX('프로젝트설정'!$B$8,AJ19,AD19:AI19)+T19,AJ19+T19)))</x:f>
      </x:c>
      <x:c r="AL19" s="7" t="str">
        <x:f>IF(OR(I19="",AK19=""),"",AK19-I19)</x:f>
      </x:c>
      <x:c r="AM19" s="7" t="str">
        <x:f>IF(OR(D19="제외",E19="제외"),"제외",IF(D19&lt;&gt;"적용","적용성 확인",IF(E19="완료",IF(ISNUMBER(K19),"완료","실제완료 입력"),IF(E19="보류","보류 해제 필요",IF(E19="진행",IF(AND(ISNUMBER(J19),COUNT(P19:R19)=3,P19&gt;=0,P19&lt;=Q19,Q19&lt;=R19),"입력 OK","실제착수·잔여기간 확인"),IF(AND(COUNT(M19:O19)=3,M19&gt;=0,M19&lt;=N19,N19&lt;=O19),"입력 OK","전체기간 확인"))))))</x:f>
        <x:v>입력 OK</x:v>
      </x:c>
      <x:c r="AN19" s="7" t="str">
        <x:v>04</x:v>
      </x:c>
    </x:row>
    <x:row r="20" ht="34" customHeight="1">
      <x:c r="A20" s="7" t="str">
        <x:v>DB02</x:v>
      </x:c>
      <x:c r="B20" s="7" t="str">
        <x:v>04 공정·배치 기준</x:v>
      </x:c>
      <x:c r="C20" s="7" t="str">
        <x:v>원료가스 조성·압력·유량 및 인입조건 확인</x:v>
      </x:c>
      <x:c r="D20" s="7" t="str">
        <x:f>'모듈선택'!B9</x:f>
        <x:v>적용</x:v>
      </x:c>
      <x:c r="E20" s="8" t="str">
        <x:v>계획</x:v>
      </x:c>
      <x:c r="F20" s="8" t="str">
        <x:v>종합설계사 / PM / 오너 검토 검토</x:v>
      </x:c>
      <x:c r="G20" s="8" t="str">
        <x:v>공급처 보증조건, 분석자료</x:v>
      </x:c>
      <x:c r="H20" s="9"/>
      <x:c r="I20" s="9"/>
      <x:c r="J20" s="9"/>
      <x:c r="K20" s="9"/>
      <x:c r="L20" s="9"/>
      <x:c r="M20" s="8" t="n">
        <x:v>3</x:v>
      </x:c>
      <x:c r="N20" s="8" t="n">
        <x:v>4</x:v>
      </x:c>
      <x:c r="O20" s="8" t="n">
        <x:v>7</x:v>
      </x:c>
      <x:c r="P20" s="8"/>
      <x:c r="Q20" s="8"/>
      <x:c r="R20" s="8"/>
      <x:c r="S20" s="7" t="n">
        <x:f>IF(OR(AM20="제외",AM20="완료"),0,IF(AM20&lt;&gt;"입력 OK","",IF(E20="진행",P20,M20)))</x:f>
        <x:v>3</x:v>
      </x:c>
      <x:c r="T20" s="7" t="n">
        <x:f>IF(OR(AM20="제외",AM20="완료"),0,IF(AM20&lt;&gt;"입력 OK","",IF(E20="진행",Q20,N20)))</x:f>
        <x:v>4</x:v>
      </x:c>
      <x:c r="U20" s="7" t="n">
        <x:f>IF(OR(AM20="제외",AM20="완료"),0,IF(AM20&lt;&gt;"입력 OK","",IF(E20="진행",R20,O20)))</x:f>
        <x:v>7</x:v>
      </x:c>
      <x:c r="V20" s="11" t="n">
        <x:f>IF(COUNT(S20:U20)&lt;3,"",(S20+4*T20+U20)/6)</x:f>
        <x:v>4.333333333333333</x:v>
      </x:c>
      <x:c r="W20" s="11" t="n">
        <x:f>IF(COUNT(S20:U20)&lt;3,"",((U20-S20)/6)^2)</x:f>
        <x:v>0.4444444444444444</x:v>
      </x:c>
      <x:c r="X20" s="8" t="str">
        <x:v>DB01</x:v>
      </x:c>
      <x:c r="Y20" s="8" t="str"/>
      <x:c r="Z20" s="8" t="str"/>
      <x:c r="AA20" s="8" t="str"/>
      <x:c r="AB20" s="8" t="str"/>
      <x:c r="AC20" s="8" t="str"/>
      <x:c r="AD20" s="10" t="str">
        <x:f>IF(X20="",0,INDEX($AK$6:$AK$19,MATCH(X20,$A$6:$A$19,0)))</x:f>
      </x:c>
      <x:c r="AE20" s="10" t="n">
        <x:f>IF(Y20="",0,INDEX($AK$6:$AK$19,MATCH(Y20,$A$6:$A$19,0)))</x:f>
        <x:v>0</x:v>
      </x:c>
      <x:c r="AF20" s="10" t="n">
        <x:f>IF(Z20="",0,INDEX($AK$6:$AK$19,MATCH(Z20,$A$6:$A$19,0)))</x:f>
        <x:v>0</x:v>
      </x:c>
      <x:c r="AG20" s="10" t="n">
        <x:f>IF(AA20="",0,INDEX($AK$6:$AK$19,MATCH(AA20,$A$6:$A$19,0)))</x:f>
        <x:v>0</x:v>
      </x:c>
      <x:c r="AH20" s="10" t="n">
        <x:f>IF(AB20="",0,INDEX($AK$6:$AK$19,MATCH(AB20,$A$6:$A$19,0)))</x:f>
        <x:v>0</x:v>
      </x:c>
      <x:c r="AI20" s="10" t="n">
        <x:f>IF(AC20="",0,INDEX($AK$6:$AK$19,MATCH(AC20,$A$6:$A$19,0)))</x:f>
        <x:v>0</x:v>
      </x:c>
      <x:c r="AJ20" s="10" t="str">
        <x:f>IF(AM20="완료",IF(J20="",K20,J20),IF(OR(COUNT('프로젝트설정'!$B$7:$B$8)&lt;2,COUNT(AD20:AI20)&lt;6,COUNT(S20:U20)&lt;3),"",IF(AM20="제외",MAX('프로젝트설정'!$B$7,AD20:AI20),IF(E20="진행",J20,MAX('프로젝트설정'!$B$7:$B$8,L20,AD20:AI20)))))</x:f>
      </x:c>
      <x:c r="AK20" s="10" t="str">
        <x:f>IF(AM20="완료",K20,IF(AJ20="","",IF(E20="진행",MAX('프로젝트설정'!$B$8,AJ20,AD20:AI20)+T20,AJ20+T20)))</x:f>
      </x:c>
      <x:c r="AL20" s="7" t="str">
        <x:f>IF(OR(I20="",AK20=""),"",AK20-I20)</x:f>
      </x:c>
      <x:c r="AM20" s="7" t="str">
        <x:f>IF(OR(D20="제외",E20="제외"),"제외",IF(D20&lt;&gt;"적용","적용성 확인",IF(E20="완료",IF(ISNUMBER(K20),"완료","실제완료 입력"),IF(E20="보류","보류 해제 필요",IF(E20="진행",IF(AND(ISNUMBER(J20),COUNT(P20:R20)=3,P20&gt;=0,P20&lt;=Q20,Q20&lt;=R20),"입력 OK","실제착수·잔여기간 확인"),IF(AND(COUNT(M20:O20)=3,M20&gt;=0,M20&lt;=N20,N20&lt;=O20),"입력 OK","전체기간 확인"))))))</x:f>
        <x:v>입력 OK</x:v>
      </x:c>
      <x:c r="AN20" s="7" t="str">
        <x:v>04</x:v>
      </x:c>
    </x:row>
    <x:row r="21" ht="34" customHeight="1">
      <x:c r="A21" s="7" t="str">
        <x:v>DB03</x:v>
      </x:c>
      <x:c r="B21" s="7" t="str">
        <x:v>04 공정·배치 기준</x:v>
      </x:c>
      <x:c r="C21" s="7" t="str">
        <x:v>PFD·물질수지·유틸리티 수지 개정</x:v>
      </x:c>
      <x:c r="D21" s="7" t="str">
        <x:f>'모듈선택'!B9</x:f>
        <x:v>적용</x:v>
      </x:c>
      <x:c r="E21" s="8" t="str">
        <x:v>계획</x:v>
      </x:c>
      <x:c r="F21" s="8" t="str">
        <x:v>종합설계사 / PM / 오너 검토 검토</x:v>
      </x:c>
      <x:c r="G21" s="8" t="str">
        <x:v>PFD, HMB, Utility summary</x:v>
      </x:c>
      <x:c r="H21" s="9"/>
      <x:c r="I21" s="9"/>
      <x:c r="J21" s="9"/>
      <x:c r="K21" s="9"/>
      <x:c r="L21" s="9"/>
      <x:c r="M21" s="8" t="n">
        <x:v>3</x:v>
      </x:c>
      <x:c r="N21" s="8" t="n">
        <x:v>5</x:v>
      </x:c>
      <x:c r="O21" s="8" t="n">
        <x:v>9</x:v>
      </x:c>
      <x:c r="P21" s="8"/>
      <x:c r="Q21" s="8"/>
      <x:c r="R21" s="8"/>
      <x:c r="S21" s="7" t="n">
        <x:f>IF(OR(AM21="제외",AM21="완료"),0,IF(AM21&lt;&gt;"입력 OK","",IF(E21="진행",P21,M21)))</x:f>
        <x:v>3</x:v>
      </x:c>
      <x:c r="T21" s="7" t="n">
        <x:f>IF(OR(AM21="제외",AM21="완료"),0,IF(AM21&lt;&gt;"입력 OK","",IF(E21="진행",Q21,N21)))</x:f>
        <x:v>5</x:v>
      </x:c>
      <x:c r="U21" s="7" t="n">
        <x:f>IF(OR(AM21="제외",AM21="완료"),0,IF(AM21&lt;&gt;"입력 OK","",IF(E21="진행",R21,O21)))</x:f>
        <x:v>9</x:v>
      </x:c>
      <x:c r="V21" s="11" t="n">
        <x:f>IF(COUNT(S21:U21)&lt;3,"",(S21+4*T21+U21)/6)</x:f>
        <x:v>5.333333333333333</x:v>
      </x:c>
      <x:c r="W21" s="11" t="n">
        <x:f>IF(COUNT(S21:U21)&lt;3,"",((U21-S21)/6)^2)</x:f>
        <x:v>1</x:v>
      </x:c>
      <x:c r="X21" s="8" t="str">
        <x:v>DB02</x:v>
      </x:c>
      <x:c r="Y21" s="8" t="str"/>
      <x:c r="Z21" s="8" t="str"/>
      <x:c r="AA21" s="8" t="str"/>
      <x:c r="AB21" s="8" t="str"/>
      <x:c r="AC21" s="8" t="str"/>
      <x:c r="AD21" s="10" t="str">
        <x:f>IF(X21="",0,INDEX($AK$6:$AK$20,MATCH(X21,$A$6:$A$20,0)))</x:f>
      </x:c>
      <x:c r="AE21" s="10" t="n">
        <x:f>IF(Y21="",0,INDEX($AK$6:$AK$20,MATCH(Y21,$A$6:$A$20,0)))</x:f>
        <x:v>0</x:v>
      </x:c>
      <x:c r="AF21" s="10" t="n">
        <x:f>IF(Z21="",0,INDEX($AK$6:$AK$20,MATCH(Z21,$A$6:$A$20,0)))</x:f>
        <x:v>0</x:v>
      </x:c>
      <x:c r="AG21" s="10" t="n">
        <x:f>IF(AA21="",0,INDEX($AK$6:$AK$20,MATCH(AA21,$A$6:$A$20,0)))</x:f>
        <x:v>0</x:v>
      </x:c>
      <x:c r="AH21" s="10" t="n">
        <x:f>IF(AB21="",0,INDEX($AK$6:$AK$20,MATCH(AB21,$A$6:$A$20,0)))</x:f>
        <x:v>0</x:v>
      </x:c>
      <x:c r="AI21" s="10" t="n">
        <x:f>IF(AC21="",0,INDEX($AK$6:$AK$20,MATCH(AC21,$A$6:$A$20,0)))</x:f>
        <x:v>0</x:v>
      </x:c>
      <x:c r="AJ21" s="10" t="str">
        <x:f>IF(AM21="완료",IF(J21="",K21,J21),IF(OR(COUNT('프로젝트설정'!$B$7:$B$8)&lt;2,COUNT(AD21:AI21)&lt;6,COUNT(S21:U21)&lt;3),"",IF(AM21="제외",MAX('프로젝트설정'!$B$7,AD21:AI21),IF(E21="진행",J21,MAX('프로젝트설정'!$B$7:$B$8,L21,AD21:AI21)))))</x:f>
      </x:c>
      <x:c r="AK21" s="10" t="str">
        <x:f>IF(AM21="완료",K21,IF(AJ21="","",IF(E21="진행",MAX('프로젝트설정'!$B$8,AJ21,AD21:AI21)+T21,AJ21+T21)))</x:f>
      </x:c>
      <x:c r="AL21" s="7" t="str">
        <x:f>IF(OR(I21="",AK21=""),"",AK21-I21)</x:f>
      </x:c>
      <x:c r="AM21" s="7" t="str">
        <x:f>IF(OR(D21="제외",E21="제외"),"제외",IF(D21&lt;&gt;"적용","적용성 확인",IF(E21="완료",IF(ISNUMBER(K21),"완료","실제완료 입력"),IF(E21="보류","보류 해제 필요",IF(E21="진행",IF(AND(ISNUMBER(J21),COUNT(P21:R21)=3,P21&gt;=0,P21&lt;=Q21,Q21&lt;=R21),"입력 OK","실제착수·잔여기간 확인"),IF(AND(COUNT(M21:O21)=3,M21&gt;=0,M21&lt;=N21,N21&lt;=O21),"입력 OK","전체기간 확인"))))))</x:f>
        <x:v>입력 OK</x:v>
      </x:c>
      <x:c r="AN21" s="7" t="str">
        <x:v>04</x:v>
      </x:c>
    </x:row>
    <x:row r="22" ht="34" customHeight="1">
      <x:c r="A22" s="7" t="str">
        <x:v>DB04</x:v>
      </x:c>
      <x:c r="B22" s="7" t="str">
        <x:v>04 공정·배치 기준</x:v>
      </x:c>
      <x:c r="C22" s="7" t="str">
        <x:v>장비배치·안전거리·차량동선·정비공간 검토</x:v>
      </x:c>
      <x:c r="D22" s="7" t="str">
        <x:f>'모듈선택'!B9</x:f>
        <x:v>적용</x:v>
      </x:c>
      <x:c r="E22" s="8" t="str">
        <x:v>계획</x:v>
      </x:c>
      <x:c r="F22" s="8" t="str">
        <x:v>종합설계사 / PM / 오너 검토 검토</x:v>
      </x:c>
      <x:c r="G22" s="8" t="str">
        <x:v>Plot plan, 접근/반출입 검토</x:v>
      </x:c>
      <x:c r="H22" s="9"/>
      <x:c r="I22" s="9"/>
      <x:c r="J22" s="9"/>
      <x:c r="K22" s="9"/>
      <x:c r="L22" s="9"/>
      <x:c r="M22" s="8" t="n">
        <x:v>3</x:v>
      </x:c>
      <x:c r="N22" s="8" t="n">
        <x:v>5</x:v>
      </x:c>
      <x:c r="O22" s="8" t="n">
        <x:v>9</x:v>
      </x:c>
      <x:c r="P22" s="8"/>
      <x:c r="Q22" s="8"/>
      <x:c r="R22" s="8"/>
      <x:c r="S22" s="7" t="n">
        <x:f>IF(OR(AM22="제외",AM22="완료"),0,IF(AM22&lt;&gt;"입력 OK","",IF(E22="진행",P22,M22)))</x:f>
        <x:v>3</x:v>
      </x:c>
      <x:c r="T22" s="7" t="n">
        <x:f>IF(OR(AM22="제외",AM22="완료"),0,IF(AM22&lt;&gt;"입력 OK","",IF(E22="진행",Q22,N22)))</x:f>
        <x:v>5</x:v>
      </x:c>
      <x:c r="U22" s="7" t="n">
        <x:f>IF(OR(AM22="제외",AM22="완료"),0,IF(AM22&lt;&gt;"입력 OK","",IF(E22="진행",R22,O22)))</x:f>
        <x:v>9</x:v>
      </x:c>
      <x:c r="V22" s="11" t="n">
        <x:f>IF(COUNT(S22:U22)&lt;3,"",(S22+4*T22+U22)/6)</x:f>
        <x:v>5.333333333333333</x:v>
      </x:c>
      <x:c r="W22" s="11" t="n">
        <x:f>IF(COUNT(S22:U22)&lt;3,"",((U22-S22)/6)^2)</x:f>
        <x:v>1</x:v>
      </x:c>
      <x:c r="X22" s="8" t="str">
        <x:v>DB03</x:v>
      </x:c>
      <x:c r="Y22" s="8" t="str"/>
      <x:c r="Z22" s="8" t="str"/>
      <x:c r="AA22" s="8" t="str"/>
      <x:c r="AB22" s="8" t="str"/>
      <x:c r="AC22" s="8" t="str"/>
      <x:c r="AD22" s="10" t="str">
        <x:f>IF(X22="",0,INDEX($AK$6:$AK$21,MATCH(X22,$A$6:$A$21,0)))</x:f>
      </x:c>
      <x:c r="AE22" s="10" t="n">
        <x:f>IF(Y22="",0,INDEX($AK$6:$AK$21,MATCH(Y22,$A$6:$A$21,0)))</x:f>
        <x:v>0</x:v>
      </x:c>
      <x:c r="AF22" s="10" t="n">
        <x:f>IF(Z22="",0,INDEX($AK$6:$AK$21,MATCH(Z22,$A$6:$A$21,0)))</x:f>
        <x:v>0</x:v>
      </x:c>
      <x:c r="AG22" s="10" t="n">
        <x:f>IF(AA22="",0,INDEX($AK$6:$AK$21,MATCH(AA22,$A$6:$A$21,0)))</x:f>
        <x:v>0</x:v>
      </x:c>
      <x:c r="AH22" s="10" t="n">
        <x:f>IF(AB22="",0,INDEX($AK$6:$AK$21,MATCH(AB22,$A$6:$A$21,0)))</x:f>
        <x:v>0</x:v>
      </x:c>
      <x:c r="AI22" s="10" t="n">
        <x:f>IF(AC22="",0,INDEX($AK$6:$AK$21,MATCH(AC22,$A$6:$A$21,0)))</x:f>
        <x:v>0</x:v>
      </x:c>
      <x:c r="AJ22" s="10" t="str">
        <x:f>IF(AM22="완료",IF(J22="",K22,J22),IF(OR(COUNT('프로젝트설정'!$B$7:$B$8)&lt;2,COUNT(AD22:AI22)&lt;6,COUNT(S22:U22)&lt;3),"",IF(AM22="제외",MAX('프로젝트설정'!$B$7,AD22:AI22),IF(E22="진행",J22,MAX('프로젝트설정'!$B$7:$B$8,L22,AD22:AI22)))))</x:f>
      </x:c>
      <x:c r="AK22" s="10" t="str">
        <x:f>IF(AM22="완료",K22,IF(AJ22="","",IF(E22="진행",MAX('프로젝트설정'!$B$8,AJ22,AD22:AI22)+T22,AJ22+T22)))</x:f>
      </x:c>
      <x:c r="AL22" s="7" t="str">
        <x:f>IF(OR(I22="",AK22=""),"",AK22-I22)</x:f>
      </x:c>
      <x:c r="AM22" s="7" t="str">
        <x:f>IF(OR(D22="제외",E22="제외"),"제외",IF(D22&lt;&gt;"적용","적용성 확인",IF(E22="완료",IF(ISNUMBER(K22),"완료","실제완료 입력"),IF(E22="보류","보류 해제 필요",IF(E22="진행",IF(AND(ISNUMBER(J22),COUNT(P22:R22)=3,P22&gt;=0,P22&lt;=Q22,Q22&lt;=R22),"입력 OK","실제착수·잔여기간 확인"),IF(AND(COUNT(M22:O22)=3,M22&gt;=0,M22&lt;=N22,N22&lt;=O22),"입력 OK","전체기간 확인"))))))</x:f>
        <x:v>입력 OK</x:v>
      </x:c>
      <x:c r="AN22" s="7" t="str">
        <x:v>04</x:v>
      </x:c>
    </x:row>
    <x:row r="23" ht="34" customHeight="1">
      <x:c r="A23" s="7" t="str">
        <x:v>DB05</x:v>
      </x:c>
      <x:c r="B23" s="7" t="str">
        <x:v>04 공정·배치 기준</x:v>
      </x:c>
      <x:c r="C23" s="7" t="str">
        <x:v>분야 간 배치 인터페이스 코멘트 해소</x:v>
      </x:c>
      <x:c r="D23" s="7" t="str">
        <x:f>'모듈선택'!B9</x:f>
        <x:v>적용</x:v>
      </x:c>
      <x:c r="E23" s="8" t="str">
        <x:v>계획</x:v>
      </x:c>
      <x:c r="F23" s="8" t="str">
        <x:v>종합설계사 / PM / 오너 검토 검토</x:v>
      </x:c>
      <x:c r="G23" s="8" t="str">
        <x:v>배치도 검토 회신대장</x:v>
      </x:c>
      <x:c r="H23" s="9"/>
      <x:c r="I23" s="9"/>
      <x:c r="J23" s="9"/>
      <x:c r="K23" s="9"/>
      <x:c r="L23" s="9"/>
      <x:c r="M23" s="8" t="n">
        <x:v>3</x:v>
      </x:c>
      <x:c r="N23" s="8" t="n">
        <x:v>4</x:v>
      </x:c>
      <x:c r="O23" s="8" t="n">
        <x:v>7</x:v>
      </x:c>
      <x:c r="P23" s="8"/>
      <x:c r="Q23" s="8"/>
      <x:c r="R23" s="8"/>
      <x:c r="S23" s="7" t="n">
        <x:f>IF(OR(AM23="제외",AM23="완료"),0,IF(AM23&lt;&gt;"입력 OK","",IF(E23="진행",P23,M23)))</x:f>
        <x:v>3</x:v>
      </x:c>
      <x:c r="T23" s="7" t="n">
        <x:f>IF(OR(AM23="제외",AM23="완료"),0,IF(AM23&lt;&gt;"입력 OK","",IF(E23="진행",Q23,N23)))</x:f>
        <x:v>4</x:v>
      </x:c>
      <x:c r="U23" s="7" t="n">
        <x:f>IF(OR(AM23="제외",AM23="완료"),0,IF(AM23&lt;&gt;"입력 OK","",IF(E23="진행",R23,O23)))</x:f>
        <x:v>7</x:v>
      </x:c>
      <x:c r="V23" s="11" t="n">
        <x:f>IF(COUNT(S23:U23)&lt;3,"",(S23+4*T23+U23)/6)</x:f>
        <x:v>4.333333333333333</x:v>
      </x:c>
      <x:c r="W23" s="11" t="n">
        <x:f>IF(COUNT(S23:U23)&lt;3,"",((U23-S23)/6)^2)</x:f>
        <x:v>0.4444444444444444</x:v>
      </x:c>
      <x:c r="X23" s="8" t="str">
        <x:v>DB04</x:v>
      </x:c>
      <x:c r="Y23" s="8" t="str"/>
      <x:c r="Z23" s="8" t="str"/>
      <x:c r="AA23" s="8" t="str"/>
      <x:c r="AB23" s="8" t="str"/>
      <x:c r="AC23" s="8" t="str"/>
      <x:c r="AD23" s="10" t="str">
        <x:f>IF(X23="",0,INDEX($AK$6:$AK$22,MATCH(X23,$A$6:$A$22,0)))</x:f>
      </x:c>
      <x:c r="AE23" s="10" t="n">
        <x:f>IF(Y23="",0,INDEX($AK$6:$AK$22,MATCH(Y23,$A$6:$A$22,0)))</x:f>
        <x:v>0</x:v>
      </x:c>
      <x:c r="AF23" s="10" t="n">
        <x:f>IF(Z23="",0,INDEX($AK$6:$AK$22,MATCH(Z23,$A$6:$A$22,0)))</x:f>
        <x:v>0</x:v>
      </x:c>
      <x:c r="AG23" s="10" t="n">
        <x:f>IF(AA23="",0,INDEX($AK$6:$AK$22,MATCH(AA23,$A$6:$A$22,0)))</x:f>
        <x:v>0</x:v>
      </x:c>
      <x:c r="AH23" s="10" t="n">
        <x:f>IF(AB23="",0,INDEX($AK$6:$AK$22,MATCH(AB23,$A$6:$A$22,0)))</x:f>
        <x:v>0</x:v>
      </x:c>
      <x:c r="AI23" s="10" t="n">
        <x:f>IF(AC23="",0,INDEX($AK$6:$AK$22,MATCH(AC23,$A$6:$A$22,0)))</x:f>
        <x:v>0</x:v>
      </x:c>
      <x:c r="AJ23" s="10" t="str">
        <x:f>IF(AM23="완료",IF(J23="",K23,J23),IF(OR(COUNT('프로젝트설정'!$B$7:$B$8)&lt;2,COUNT(AD23:AI23)&lt;6,COUNT(S23:U23)&lt;3),"",IF(AM23="제외",MAX('프로젝트설정'!$B$7,AD23:AI23),IF(E23="진행",J23,MAX('프로젝트설정'!$B$7:$B$8,L23,AD23:AI23)))))</x:f>
      </x:c>
      <x:c r="AK23" s="10" t="str">
        <x:f>IF(AM23="완료",K23,IF(AJ23="","",IF(E23="진행",MAX('프로젝트설정'!$B$8,AJ23,AD23:AI23)+T23,AJ23+T23)))</x:f>
      </x:c>
      <x:c r="AL23" s="7" t="str">
        <x:f>IF(OR(I23="",AK23=""),"",AK23-I23)</x:f>
      </x:c>
      <x:c r="AM23" s="7" t="str">
        <x:f>IF(OR(D23="제외",E23="제외"),"제외",IF(D23&lt;&gt;"적용","적용성 확인",IF(E23="완료",IF(ISNUMBER(K23),"완료","실제완료 입력"),IF(E23="보류","보류 해제 필요",IF(E23="진행",IF(AND(ISNUMBER(J23),COUNT(P23:R23)=3,P23&gt;=0,P23&lt;=Q23,Q23&lt;=R23),"입력 OK","실제착수·잔여기간 확인"),IF(AND(COUNT(M23:O23)=3,M23&gt;=0,M23&lt;=N23,N23&lt;=O23),"입력 OK","전체기간 확인"))))))</x:f>
        <x:v>입력 OK</x:v>
      </x:c>
      <x:c r="AN23" s="7" t="str">
        <x:v>04</x:v>
      </x:c>
    </x:row>
    <x:row r="24" ht="34" customHeight="1">
      <x:c r="A24" s="7" t="str">
        <x:v>DB06</x:v>
      </x:c>
      <x:c r="B24" s="7" t="str">
        <x:v>04 공정·배치 기준</x:v>
      </x:c>
      <x:c r="C24" s="7" t="str">
        <x:v>배치도 동결 및 변경관리 개시</x:v>
      </x:c>
      <x:c r="D24" s="7" t="str">
        <x:f>'모듈선택'!B9</x:f>
        <x:v>적용</x:v>
      </x:c>
      <x:c r="E24" s="8" t="str">
        <x:v>계획</x:v>
      </x:c>
      <x:c r="F24" s="8" t="str">
        <x:v>종합설계사 / PM / 오너 검토 검토</x:v>
      </x:c>
      <x:c r="G24" s="8" t="str">
        <x:v>승인 배치도, freeze 기록</x:v>
      </x:c>
      <x:c r="H24" s="9"/>
      <x:c r="I24" s="9"/>
      <x:c r="J24" s="9"/>
      <x:c r="K24" s="9"/>
      <x:c r="L24" s="9"/>
      <x:c r="M24" s="8" t="n">
        <x:v>1</x:v>
      </x:c>
      <x:c r="N24" s="8" t="n">
        <x:v>1</x:v>
      </x:c>
      <x:c r="O24" s="8" t="n">
        <x:v>2</x:v>
      </x:c>
      <x:c r="P24" s="8"/>
      <x:c r="Q24" s="8"/>
      <x:c r="R24" s="8"/>
      <x:c r="S24" s="7" t="n">
        <x:f>IF(OR(AM24="제외",AM24="완료"),0,IF(AM24&lt;&gt;"입력 OK","",IF(E24="진행",P24,M24)))</x:f>
        <x:v>1</x:v>
      </x:c>
      <x:c r="T24" s="7" t="n">
        <x:f>IF(OR(AM24="제외",AM24="완료"),0,IF(AM24&lt;&gt;"입력 OK","",IF(E24="진행",Q24,N24)))</x:f>
        <x:v>1</x:v>
      </x:c>
      <x:c r="U24" s="7" t="n">
        <x:f>IF(OR(AM24="제외",AM24="완료"),0,IF(AM24&lt;&gt;"입력 OK","",IF(E24="진행",R24,O24)))</x:f>
        <x:v>2</x:v>
      </x:c>
      <x:c r="V24" s="11" t="n">
        <x:f>IF(COUNT(S24:U24)&lt;3,"",(S24+4*T24+U24)/6)</x:f>
        <x:v>1.1666666666666667</x:v>
      </x:c>
      <x:c r="W24" s="11" t="n">
        <x:f>IF(COUNT(S24:U24)&lt;3,"",((U24-S24)/6)^2)</x:f>
        <x:v>0.027777777777777776</x:v>
      </x:c>
      <x:c r="X24" s="8" t="str">
        <x:v>DB05</x:v>
      </x:c>
      <x:c r="Y24" s="8" t="str"/>
      <x:c r="Z24" s="8" t="str"/>
      <x:c r="AA24" s="8" t="str"/>
      <x:c r="AB24" s="8" t="str"/>
      <x:c r="AC24" s="8" t="str"/>
      <x:c r="AD24" s="10" t="str">
        <x:f>IF(X24="",0,INDEX($AK$6:$AK$23,MATCH(X24,$A$6:$A$23,0)))</x:f>
      </x:c>
      <x:c r="AE24" s="10" t="n">
        <x:f>IF(Y24="",0,INDEX($AK$6:$AK$23,MATCH(Y24,$A$6:$A$23,0)))</x:f>
        <x:v>0</x:v>
      </x:c>
      <x:c r="AF24" s="10" t="n">
        <x:f>IF(Z24="",0,INDEX($AK$6:$AK$23,MATCH(Z24,$A$6:$A$23,0)))</x:f>
        <x:v>0</x:v>
      </x:c>
      <x:c r="AG24" s="10" t="n">
        <x:f>IF(AA24="",0,INDEX($AK$6:$AK$23,MATCH(AA24,$A$6:$A$23,0)))</x:f>
        <x:v>0</x:v>
      </x:c>
      <x:c r="AH24" s="10" t="n">
        <x:f>IF(AB24="",0,INDEX($AK$6:$AK$23,MATCH(AB24,$A$6:$A$23,0)))</x:f>
        <x:v>0</x:v>
      </x:c>
      <x:c r="AI24" s="10" t="n">
        <x:f>IF(AC24="",0,INDEX($AK$6:$AK$23,MATCH(AC24,$A$6:$A$23,0)))</x:f>
        <x:v>0</x:v>
      </x:c>
      <x:c r="AJ24" s="10" t="str">
        <x:f>IF(AM24="완료",IF(J24="",K24,J24),IF(OR(COUNT('프로젝트설정'!$B$7:$B$8)&lt;2,COUNT(AD24:AI24)&lt;6,COUNT(S24:U24)&lt;3),"",IF(AM24="제외",MAX('프로젝트설정'!$B$7,AD24:AI24),IF(E24="진행",J24,MAX('프로젝트설정'!$B$7:$B$8,L24,AD24:AI24)))))</x:f>
      </x:c>
      <x:c r="AK24" s="10" t="str">
        <x:f>IF(AM24="완료",K24,IF(AJ24="","",IF(E24="진행",MAX('프로젝트설정'!$B$8,AJ24,AD24:AI24)+T24,AJ24+T24)))</x:f>
      </x:c>
      <x:c r="AL24" s="7" t="str">
        <x:f>IF(OR(I24="",AK24=""),"",AK24-I24)</x:f>
      </x:c>
      <x:c r="AM24" s="7" t="str">
        <x:f>IF(OR(D24="제외",E24="제외"),"제외",IF(D24&lt;&gt;"적용","적용성 확인",IF(E24="완료",IF(ISNUMBER(K24),"완료","실제완료 입력"),IF(E24="보류","보류 해제 필요",IF(E24="진행",IF(AND(ISNUMBER(J24),COUNT(P24:R24)=3,P24&gt;=0,P24&lt;=Q24,Q24&lt;=R24),"입력 OK","실제착수·잔여기간 확인"),IF(AND(COUNT(M24:O24)=3,M24&gt;=0,M24&lt;=N24,N24&lt;=O24),"입력 OK","전체기간 확인"))))))</x:f>
        <x:v>입력 OK</x:v>
      </x:c>
      <x:c r="AN24" s="7" t="str">
        <x:v>04</x:v>
      </x:c>
    </x:row>
    <x:row r="25" ht="38" customHeight="1">
      <x:c r="A25" s="7" t="str">
        <x:v>VP01</x:v>
      </x:c>
      <x:c r="B25" s="7" t="str">
        <x:v>05 Vendor Print 관리</x:v>
      </x:c>
      <x:c r="C25" s="7" t="str">
        <x:v>벤더별 필수 VP·제출일·누락 목록 확정</x:v>
      </x:c>
      <x:c r="D25" s="7" t="str">
        <x:f>'모듈선택'!B10</x:f>
        <x:v>적용</x:v>
      </x:c>
      <x:c r="E25" s="8" t="str">
        <x:v>계획</x:v>
      </x:c>
      <x:c r="F25" s="8" t="str">
        <x:v>주설비 공급사 / 각 벤더 / PM / 오너 검토</x:v>
      </x:c>
      <x:c r="G25" s="8" t="str">
        <x:v>Vendor document register</x:v>
      </x:c>
      <x:c r="H25" s="9"/>
      <x:c r="I25" s="9"/>
      <x:c r="J25" s="9"/>
      <x:c r="K25" s="9"/>
      <x:c r="L25" s="9"/>
      <x:c r="M25" s="8" t="n">
        <x:v>2</x:v>
      </x:c>
      <x:c r="N25" s="8" t="n">
        <x:v>3</x:v>
      </x:c>
      <x:c r="O25" s="8" t="n">
        <x:v>6</x:v>
      </x:c>
      <x:c r="P25" s="8"/>
      <x:c r="Q25" s="8"/>
      <x:c r="R25" s="8"/>
      <x:c r="S25" s="7" t="n">
        <x:f>IF(OR(AM25="제외",AM25="완료"),0,IF(AM25&lt;&gt;"입력 OK","",IF(E25="진행",P25,M25)))</x:f>
        <x:v>2</x:v>
      </x:c>
      <x:c r="T25" s="7" t="n">
        <x:f>IF(OR(AM25="제외",AM25="완료"),0,IF(AM25&lt;&gt;"입력 OK","",IF(E25="진행",Q25,N25)))</x:f>
        <x:v>3</x:v>
      </x:c>
      <x:c r="U25" s="7" t="n">
        <x:f>IF(OR(AM25="제외",AM25="완료"),0,IF(AM25&lt;&gt;"입력 OK","",IF(E25="진행",R25,O25)))</x:f>
        <x:v>6</x:v>
      </x:c>
      <x:c r="V25" s="11" t="n">
        <x:f>IF(COUNT(S25:U25)&lt;3,"",(S25+4*T25+U25)/6)</x:f>
        <x:v>3.3333333333333335</x:v>
      </x:c>
      <x:c r="W25" s="11" t="n">
        <x:f>IF(COUNT(S25:U25)&lt;3,"",((U25-S25)/6)^2)</x:f>
        <x:v>0.4444444444444444</x:v>
      </x:c>
      <x:c r="X25" s="8" t="str">
        <x:v>PM04</x:v>
      </x:c>
      <x:c r="Y25" s="8" t="str"/>
      <x:c r="Z25" s="8" t="str"/>
      <x:c r="AA25" s="8" t="str"/>
      <x:c r="AB25" s="8" t="str"/>
      <x:c r="AC25" s="8" t="str"/>
      <x:c r="AD25" s="10" t="str">
        <x:f>IF(X25="",0,INDEX($AK$6:$AK$24,MATCH(X25,$A$6:$A$24,0)))</x:f>
      </x:c>
      <x:c r="AE25" s="10" t="n">
        <x:f>IF(Y25="",0,INDEX($AK$6:$AK$24,MATCH(Y25,$A$6:$A$24,0)))</x:f>
        <x:v>0</x:v>
      </x:c>
      <x:c r="AF25" s="10" t="n">
        <x:f>IF(Z25="",0,INDEX($AK$6:$AK$24,MATCH(Z25,$A$6:$A$24,0)))</x:f>
        <x:v>0</x:v>
      </x:c>
      <x:c r="AG25" s="10" t="n">
        <x:f>IF(AA25="",0,INDEX($AK$6:$AK$24,MATCH(AA25,$A$6:$A$24,0)))</x:f>
        <x:v>0</x:v>
      </x:c>
      <x:c r="AH25" s="10" t="n">
        <x:f>IF(AB25="",0,INDEX($AK$6:$AK$24,MATCH(AB25,$A$6:$A$24,0)))</x:f>
        <x:v>0</x:v>
      </x:c>
      <x:c r="AI25" s="10" t="n">
        <x:f>IF(AC25="",0,INDEX($AK$6:$AK$24,MATCH(AC25,$A$6:$A$24,0)))</x:f>
        <x:v>0</x:v>
      </x:c>
      <x:c r="AJ25" s="10" t="str">
        <x:f>IF(AM25="완료",IF(J25="",K25,J25),IF(OR(COUNT('프로젝트설정'!$B$7:$B$8)&lt;2,COUNT(AD25:AI25)&lt;6,COUNT(S25:U25)&lt;3),"",IF(AM25="제외",MAX('프로젝트설정'!$B$7,AD25:AI25),IF(E25="진행",J25,MAX('프로젝트설정'!$B$7:$B$8,L25,AD25:AI25)))))</x:f>
      </x:c>
      <x:c r="AK25" s="10" t="str">
        <x:f>IF(AM25="완료",K25,IF(AJ25="","",IF(E25="진행",MAX('프로젝트설정'!$B$8,AJ25,AD25:AI25)+T25,AJ25+T25)))</x:f>
      </x:c>
      <x:c r="AL25" s="7" t="str">
        <x:f>IF(OR(I25="",AK25=""),"",AK25-I25)</x:f>
      </x:c>
      <x:c r="AM25" s="7" t="str">
        <x:f>IF(OR(D25="제외",E25="제외"),"제외",IF(D25&lt;&gt;"적용","적용성 확인",IF(E25="완료",IF(ISNUMBER(K25),"완료","실제완료 입력"),IF(E25="보류","보류 해제 필요",IF(E25="진행",IF(AND(ISNUMBER(J25),COUNT(P25:R25)=3,P25&gt;=0,P25&lt;=Q25,Q25&lt;=R25),"입력 OK","실제착수·잔여기간 확인"),IF(AND(COUNT(M25:O25)=3,M25&gt;=0,M25&lt;=N25,N25&lt;=O25),"입력 OK","전체기간 확인"))))))</x:f>
        <x:v>입력 OK</x:v>
      </x:c>
      <x:c r="AN25" s="7" t="str">
        <x:v>05</x:v>
      </x:c>
    </x:row>
    <x:row r="26" ht="38" customHeight="1">
      <x:c r="A26" s="7" t="str">
        <x:v>VP02</x:v>
      </x:c>
      <x:c r="B26" s="7" t="str">
        <x:v>05 Vendor Print 관리</x:v>
      </x:c>
      <x:c r="C26" s="7" t="str">
        <x:v>VP 1차 접수·번호·리비전·범위 대조</x:v>
      </x:c>
      <x:c r="D26" s="7" t="str">
        <x:f>'모듈선택'!B10</x:f>
        <x:v>적용</x:v>
      </x:c>
      <x:c r="E26" s="8" t="str">
        <x:v>계획</x:v>
      </x:c>
      <x:c r="F26" s="8" t="str">
        <x:v>주설비 공급사 / 각 벤더 / PM / 오너 검토</x:v>
      </x:c>
      <x:c r="G26" s="8" t="str">
        <x:v>P&amp;ID, GA, 하중, nozzle, load data</x:v>
      </x:c>
      <x:c r="H26" s="9"/>
      <x:c r="I26" s="9"/>
      <x:c r="J26" s="9"/>
      <x:c r="K26" s="9"/>
      <x:c r="L26" s="9"/>
      <x:c r="M26" s="8" t="n">
        <x:v>3</x:v>
      </x:c>
      <x:c r="N26" s="8" t="n">
        <x:v>5</x:v>
      </x:c>
      <x:c r="O26" s="8" t="n">
        <x:v>9</x:v>
      </x:c>
      <x:c r="P26" s="8"/>
      <x:c r="Q26" s="8"/>
      <x:c r="R26" s="8"/>
      <x:c r="S26" s="7" t="n">
        <x:f>IF(OR(AM26="제외",AM26="완료"),0,IF(AM26&lt;&gt;"입력 OK","",IF(E26="진행",P26,M26)))</x:f>
        <x:v>3</x:v>
      </x:c>
      <x:c r="T26" s="7" t="n">
        <x:f>IF(OR(AM26="제외",AM26="완료"),0,IF(AM26&lt;&gt;"입력 OK","",IF(E26="진행",Q26,N26)))</x:f>
        <x:v>5</x:v>
      </x:c>
      <x:c r="U26" s="7" t="n">
        <x:f>IF(OR(AM26="제외",AM26="완료"),0,IF(AM26&lt;&gt;"입력 OK","",IF(E26="진행",R26,O26)))</x:f>
        <x:v>9</x:v>
      </x:c>
      <x:c r="V26" s="11" t="n">
        <x:f>IF(COUNT(S26:U26)&lt;3,"",(S26+4*T26+U26)/6)</x:f>
        <x:v>5.333333333333333</x:v>
      </x:c>
      <x:c r="W26" s="11" t="n">
        <x:f>IF(COUNT(S26:U26)&lt;3,"",((U26-S26)/6)^2)</x:f>
        <x:v>1</x:v>
      </x:c>
      <x:c r="X26" s="8" t="str">
        <x:v>VP01</x:v>
      </x:c>
      <x:c r="Y26" s="8" t="str"/>
      <x:c r="Z26" s="8" t="str"/>
      <x:c r="AA26" s="8" t="str"/>
      <x:c r="AB26" s="8" t="str"/>
      <x:c r="AC26" s="8" t="str"/>
      <x:c r="AD26" s="10" t="str">
        <x:f>IF(X26="",0,INDEX($AK$6:$AK$25,MATCH(X26,$A$6:$A$25,0)))</x:f>
      </x:c>
      <x:c r="AE26" s="10" t="n">
        <x:f>IF(Y26="",0,INDEX($AK$6:$AK$25,MATCH(Y26,$A$6:$A$25,0)))</x:f>
        <x:v>0</x:v>
      </x:c>
      <x:c r="AF26" s="10" t="n">
        <x:f>IF(Z26="",0,INDEX($AK$6:$AK$25,MATCH(Z26,$A$6:$A$25,0)))</x:f>
        <x:v>0</x:v>
      </x:c>
      <x:c r="AG26" s="10" t="n">
        <x:f>IF(AA26="",0,INDEX($AK$6:$AK$25,MATCH(AA26,$A$6:$A$25,0)))</x:f>
        <x:v>0</x:v>
      </x:c>
      <x:c r="AH26" s="10" t="n">
        <x:f>IF(AB26="",0,INDEX($AK$6:$AK$25,MATCH(AB26,$A$6:$A$25,0)))</x:f>
        <x:v>0</x:v>
      </x:c>
      <x:c r="AI26" s="10" t="n">
        <x:f>IF(AC26="",0,INDEX($AK$6:$AK$25,MATCH(AC26,$A$6:$A$25,0)))</x:f>
        <x:v>0</x:v>
      </x:c>
      <x:c r="AJ26" s="10" t="str">
        <x:f>IF(AM26="완료",IF(J26="",K26,J26),IF(OR(COUNT('프로젝트설정'!$B$7:$B$8)&lt;2,COUNT(AD26:AI26)&lt;6,COUNT(S26:U26)&lt;3),"",IF(AM26="제외",MAX('프로젝트설정'!$B$7,AD26:AI26),IF(E26="진행",J26,MAX('프로젝트설정'!$B$7:$B$8,L26,AD26:AI26)))))</x:f>
      </x:c>
      <x:c r="AK26" s="10" t="str">
        <x:f>IF(AM26="완료",K26,IF(AJ26="","",IF(E26="진행",MAX('프로젝트설정'!$B$8,AJ26,AD26:AI26)+T26,AJ26+T26)))</x:f>
      </x:c>
      <x:c r="AL26" s="7" t="str">
        <x:f>IF(OR(I26="",AK26=""),"",AK26-I26)</x:f>
      </x:c>
      <x:c r="AM26" s="7" t="str">
        <x:f>IF(OR(D26="제외",E26="제외"),"제외",IF(D26&lt;&gt;"적용","적용성 확인",IF(E26="완료",IF(ISNUMBER(K26),"완료","실제완료 입력"),IF(E26="보류","보류 해제 필요",IF(E26="진행",IF(AND(ISNUMBER(J26),COUNT(P26:R26)=3,P26&gt;=0,P26&lt;=Q26,Q26&lt;=R26),"입력 OK","실제착수·잔여기간 확인"),IF(AND(COUNT(M26:O26)=3,M26&gt;=0,M26&lt;=N26,N26&lt;=O26),"입력 OK","전체기간 확인"))))))</x:f>
        <x:v>입력 OK</x:v>
      </x:c>
      <x:c r="AN26" s="7" t="str">
        <x:v>05</x:v>
      </x:c>
    </x:row>
    <x:row r="27" ht="38" customHeight="1">
      <x:c r="A27" s="7" t="str">
        <x:v>VP03</x:v>
      </x:c>
      <x:c r="B27" s="7" t="str">
        <x:v>05 Vendor Print 관리</x:v>
      </x:c>
      <x:c r="C27" s="7" t="str">
        <x:v>공정·기계·전기·계장 합동 VP 검토</x:v>
      </x:c>
      <x:c r="D27" s="7" t="str">
        <x:f>'모듈선택'!B10</x:f>
        <x:v>적용</x:v>
      </x:c>
      <x:c r="E27" s="8" t="str">
        <x:v>계획</x:v>
      </x:c>
      <x:c r="F27" s="8" t="str">
        <x:v>주설비 공급사 / 각 벤더 / PM / 오너 검토</x:v>
      </x:c>
      <x:c r="G27" s="8" t="str">
        <x:v>분야별 코멘트 및 interface list</x:v>
      </x:c>
      <x:c r="H27" s="9"/>
      <x:c r="I27" s="9"/>
      <x:c r="J27" s="9"/>
      <x:c r="K27" s="9"/>
      <x:c r="L27" s="9"/>
      <x:c r="M27" s="8" t="n">
        <x:v>5</x:v>
      </x:c>
      <x:c r="N27" s="8" t="n">
        <x:v>7</x:v>
      </x:c>
      <x:c r="O27" s="8" t="n">
        <x:v>12</x:v>
      </x:c>
      <x:c r="P27" s="8"/>
      <x:c r="Q27" s="8"/>
      <x:c r="R27" s="8"/>
      <x:c r="S27" s="7" t="n">
        <x:f>IF(OR(AM27="제외",AM27="완료"),0,IF(AM27&lt;&gt;"입력 OK","",IF(E27="진행",P27,M27)))</x:f>
        <x:v>5</x:v>
      </x:c>
      <x:c r="T27" s="7" t="n">
        <x:f>IF(OR(AM27="제외",AM27="완료"),0,IF(AM27&lt;&gt;"입력 OK","",IF(E27="진행",Q27,N27)))</x:f>
        <x:v>7</x:v>
      </x:c>
      <x:c r="U27" s="7" t="n">
        <x:f>IF(OR(AM27="제외",AM27="완료"),0,IF(AM27&lt;&gt;"입력 OK","",IF(E27="진행",R27,O27)))</x:f>
        <x:v>12</x:v>
      </x:c>
      <x:c r="V27" s="11" t="n">
        <x:f>IF(COUNT(S27:U27)&lt;3,"",(S27+4*T27+U27)/6)</x:f>
        <x:v>7.5</x:v>
      </x:c>
      <x:c r="W27" s="11" t="n">
        <x:f>IF(COUNT(S27:U27)&lt;3,"",((U27-S27)/6)^2)</x:f>
        <x:v>1.3611111111111114</x:v>
      </x:c>
      <x:c r="X27" s="8" t="str">
        <x:v>VP02</x:v>
      </x:c>
      <x:c r="Y27" s="8" t="str"/>
      <x:c r="Z27" s="8" t="str"/>
      <x:c r="AA27" s="8" t="str"/>
      <x:c r="AB27" s="8" t="str"/>
      <x:c r="AC27" s="8" t="str"/>
      <x:c r="AD27" s="10" t="str">
        <x:f>IF(X27="",0,INDEX($AK$6:$AK$26,MATCH(X27,$A$6:$A$26,0)))</x:f>
      </x:c>
      <x:c r="AE27" s="10" t="n">
        <x:f>IF(Y27="",0,INDEX($AK$6:$AK$26,MATCH(Y27,$A$6:$A$26,0)))</x:f>
        <x:v>0</x:v>
      </x:c>
      <x:c r="AF27" s="10" t="n">
        <x:f>IF(Z27="",0,INDEX($AK$6:$AK$26,MATCH(Z27,$A$6:$A$26,0)))</x:f>
        <x:v>0</x:v>
      </x:c>
      <x:c r="AG27" s="10" t="n">
        <x:f>IF(AA27="",0,INDEX($AK$6:$AK$26,MATCH(AA27,$A$6:$A$26,0)))</x:f>
        <x:v>0</x:v>
      </x:c>
      <x:c r="AH27" s="10" t="n">
        <x:f>IF(AB27="",0,INDEX($AK$6:$AK$26,MATCH(AB27,$A$6:$A$26,0)))</x:f>
        <x:v>0</x:v>
      </x:c>
      <x:c r="AI27" s="10" t="n">
        <x:f>IF(AC27="",0,INDEX($AK$6:$AK$26,MATCH(AC27,$A$6:$A$26,0)))</x:f>
        <x:v>0</x:v>
      </x:c>
      <x:c r="AJ27" s="10" t="str">
        <x:f>IF(AM27="완료",IF(J27="",K27,J27),IF(OR(COUNT('프로젝트설정'!$B$7:$B$8)&lt;2,COUNT(AD27:AI27)&lt;6,COUNT(S27:U27)&lt;3),"",IF(AM27="제외",MAX('프로젝트설정'!$B$7,AD27:AI27),IF(E27="진행",J27,MAX('프로젝트설정'!$B$7:$B$8,L27,AD27:AI27)))))</x:f>
      </x:c>
      <x:c r="AK27" s="10" t="str">
        <x:f>IF(AM27="완료",K27,IF(AJ27="","",IF(E27="진행",MAX('프로젝트설정'!$B$8,AJ27,AD27:AI27)+T27,AJ27+T27)))</x:f>
      </x:c>
      <x:c r="AL27" s="7" t="str">
        <x:f>IF(OR(I27="",AK27=""),"",AK27-I27)</x:f>
      </x:c>
      <x:c r="AM27" s="7" t="str">
        <x:f>IF(OR(D27="제외",E27="제외"),"제외",IF(D27&lt;&gt;"적용","적용성 확인",IF(E27="완료",IF(ISNUMBER(K27),"완료","실제완료 입력"),IF(E27="보류","보류 해제 필요",IF(E27="진행",IF(AND(ISNUMBER(J27),COUNT(P27:R27)=3,P27&gt;=0,P27&lt;=Q27,Q27&lt;=R27),"입력 OK","실제착수·잔여기간 확인"),IF(AND(COUNT(M27:O27)=3,M27&gt;=0,M27&lt;=N27,N27&lt;=O27),"입력 OK","전체기간 확인"))))))</x:f>
        <x:v>입력 OK</x:v>
      </x:c>
      <x:c r="AN27" s="7" t="str">
        <x:v>05</x:v>
      </x:c>
    </x:row>
    <x:row r="28" ht="38" customHeight="1">
      <x:c r="A28" s="7" t="str">
        <x:v>VP04</x:v>
      </x:c>
      <x:c r="B28" s="7" t="str">
        <x:v>05 Vendor Print 관리</x:v>
      </x:c>
      <x:c r="C28" s="7" t="str">
        <x:v>벤더 답변 및 수정 VP 접수</x:v>
      </x:c>
      <x:c r="D28" s="7" t="str">
        <x:f>'모듈선택'!B10</x:f>
        <x:v>적용</x:v>
      </x:c>
      <x:c r="E28" s="8" t="str">
        <x:v>계획</x:v>
      </x:c>
      <x:c r="F28" s="8" t="str">
        <x:v>주설비 공급사 / 각 벤더 / PM / 오너 검토</x:v>
      </x:c>
      <x:c r="G28" s="8" t="str">
        <x:v>Comment reply, Rev. drawings</x:v>
      </x:c>
      <x:c r="H28" s="9"/>
      <x:c r="I28" s="9"/>
      <x:c r="J28" s="9"/>
      <x:c r="K28" s="9"/>
      <x:c r="L28" s="9"/>
      <x:c r="M28" s="8" t="n">
        <x:v>7</x:v>
      </x:c>
      <x:c r="N28" s="8" t="n">
        <x:v>10</x:v>
      </x:c>
      <x:c r="O28" s="8" t="n">
        <x:v>17</x:v>
      </x:c>
      <x:c r="P28" s="8"/>
      <x:c r="Q28" s="8"/>
      <x:c r="R28" s="8"/>
      <x:c r="S28" s="7" t="n">
        <x:f>IF(OR(AM28="제외",AM28="완료"),0,IF(AM28&lt;&gt;"입력 OK","",IF(E28="진행",P28,M28)))</x:f>
        <x:v>7</x:v>
      </x:c>
      <x:c r="T28" s="7" t="n">
        <x:f>IF(OR(AM28="제외",AM28="완료"),0,IF(AM28&lt;&gt;"입력 OK","",IF(E28="진행",Q28,N28)))</x:f>
        <x:v>10</x:v>
      </x:c>
      <x:c r="U28" s="7" t="n">
        <x:f>IF(OR(AM28="제외",AM28="완료"),0,IF(AM28&lt;&gt;"입력 OK","",IF(E28="진행",R28,O28)))</x:f>
        <x:v>17</x:v>
      </x:c>
      <x:c r="V28" s="11" t="n">
        <x:f>IF(COUNT(S28:U28)&lt;3,"",(S28+4*T28+U28)/6)</x:f>
        <x:v>10.666666666666666</x:v>
      </x:c>
      <x:c r="W28" s="11" t="n">
        <x:f>IF(COUNT(S28:U28)&lt;3,"",((U28-S28)/6)^2)</x:f>
        <x:v>2.777777777777778</x:v>
      </x:c>
      <x:c r="X28" s="8" t="str">
        <x:v>VP03</x:v>
      </x:c>
      <x:c r="Y28" s="8" t="str"/>
      <x:c r="Z28" s="8" t="str"/>
      <x:c r="AA28" s="8" t="str"/>
      <x:c r="AB28" s="8" t="str"/>
      <x:c r="AC28" s="8" t="str"/>
      <x:c r="AD28" s="10" t="str">
        <x:f>IF(X28="",0,INDEX($AK$6:$AK$27,MATCH(X28,$A$6:$A$27,0)))</x:f>
      </x:c>
      <x:c r="AE28" s="10" t="n">
        <x:f>IF(Y28="",0,INDEX($AK$6:$AK$27,MATCH(Y28,$A$6:$A$27,0)))</x:f>
        <x:v>0</x:v>
      </x:c>
      <x:c r="AF28" s="10" t="n">
        <x:f>IF(Z28="",0,INDEX($AK$6:$AK$27,MATCH(Z28,$A$6:$A$27,0)))</x:f>
        <x:v>0</x:v>
      </x:c>
      <x:c r="AG28" s="10" t="n">
        <x:f>IF(AA28="",0,INDEX($AK$6:$AK$27,MATCH(AA28,$A$6:$A$27,0)))</x:f>
        <x:v>0</x:v>
      </x:c>
      <x:c r="AH28" s="10" t="n">
        <x:f>IF(AB28="",0,INDEX($AK$6:$AK$27,MATCH(AB28,$A$6:$A$27,0)))</x:f>
        <x:v>0</x:v>
      </x:c>
      <x:c r="AI28" s="10" t="n">
        <x:f>IF(AC28="",0,INDEX($AK$6:$AK$27,MATCH(AC28,$A$6:$A$27,0)))</x:f>
        <x:v>0</x:v>
      </x:c>
      <x:c r="AJ28" s="10" t="str">
        <x:f>IF(AM28="완료",IF(J28="",K28,J28),IF(OR(COUNT('프로젝트설정'!$B$7:$B$8)&lt;2,COUNT(AD28:AI28)&lt;6,COUNT(S28:U28)&lt;3),"",IF(AM28="제외",MAX('프로젝트설정'!$B$7,AD28:AI28),IF(E28="진행",J28,MAX('프로젝트설정'!$B$7:$B$8,L28,AD28:AI28)))))</x:f>
      </x:c>
      <x:c r="AK28" s="10" t="str">
        <x:f>IF(AM28="완료",K28,IF(AJ28="","",IF(E28="진행",MAX('프로젝트설정'!$B$8,AJ28,AD28:AI28)+T28,AJ28+T28)))</x:f>
      </x:c>
      <x:c r="AL28" s="7" t="str">
        <x:f>IF(OR(I28="",AK28=""),"",AK28-I28)</x:f>
      </x:c>
      <x:c r="AM28" s="7" t="str">
        <x:f>IF(OR(D28="제외",E28="제외"),"제외",IF(D28&lt;&gt;"적용","적용성 확인",IF(E28="완료",IF(ISNUMBER(K28),"완료","실제완료 입력"),IF(E28="보류","보류 해제 필요",IF(E28="진행",IF(AND(ISNUMBER(J28),COUNT(P28:R28)=3,P28&gt;=0,P28&lt;=Q28,Q28&lt;=R28),"입력 OK","실제착수·잔여기간 확인"),IF(AND(COUNT(M28:O28)=3,M28&gt;=0,M28&lt;=N28,N28&lt;=O28),"입력 OK","전체기간 확인"))))))</x:f>
        <x:v>입력 OK</x:v>
      </x:c>
      <x:c r="AN28" s="7" t="str">
        <x:v>05</x:v>
      </x:c>
    </x:row>
    <x:row r="29" ht="38" customHeight="1">
      <x:c r="A29" s="7" t="str">
        <x:v>VP05</x:v>
      </x:c>
      <x:c r="B29" s="7" t="str">
        <x:v>05 Vendor Print 관리</x:v>
      </x:c>
      <x:c r="C29" s="7" t="str">
        <x:v>VP 2차 검토·미결사항 종료</x:v>
      </x:c>
      <x:c r="D29" s="7" t="str">
        <x:f>'모듈선택'!B10</x:f>
        <x:v>적용</x:v>
      </x:c>
      <x:c r="E29" s="8" t="str">
        <x:v>계획</x:v>
      </x:c>
      <x:c r="F29" s="8" t="str">
        <x:v>주설비 공급사 / 각 벤더 / PM / 오너 검토</x:v>
      </x:c>
      <x:c r="G29" s="8" t="str">
        <x:v>승인조건, hold list</x:v>
      </x:c>
      <x:c r="H29" s="9"/>
      <x:c r="I29" s="9"/>
      <x:c r="J29" s="9"/>
      <x:c r="K29" s="9"/>
      <x:c r="L29" s="9"/>
      <x:c r="M29" s="8" t="n">
        <x:v>3</x:v>
      </x:c>
      <x:c r="N29" s="8" t="n">
        <x:v>5</x:v>
      </x:c>
      <x:c r="O29" s="8" t="n">
        <x:v>9</x:v>
      </x:c>
      <x:c r="P29" s="8"/>
      <x:c r="Q29" s="8"/>
      <x:c r="R29" s="8"/>
      <x:c r="S29" s="7" t="n">
        <x:f>IF(OR(AM29="제외",AM29="완료"),0,IF(AM29&lt;&gt;"입력 OK","",IF(E29="진행",P29,M29)))</x:f>
        <x:v>3</x:v>
      </x:c>
      <x:c r="T29" s="7" t="n">
        <x:f>IF(OR(AM29="제외",AM29="완료"),0,IF(AM29&lt;&gt;"입력 OK","",IF(E29="진행",Q29,N29)))</x:f>
        <x:v>5</x:v>
      </x:c>
      <x:c r="U29" s="7" t="n">
        <x:f>IF(OR(AM29="제외",AM29="완료"),0,IF(AM29&lt;&gt;"입력 OK","",IF(E29="진행",R29,O29)))</x:f>
        <x:v>9</x:v>
      </x:c>
      <x:c r="V29" s="11" t="n">
        <x:f>IF(COUNT(S29:U29)&lt;3,"",(S29+4*T29+U29)/6)</x:f>
        <x:v>5.333333333333333</x:v>
      </x:c>
      <x:c r="W29" s="11" t="n">
        <x:f>IF(COUNT(S29:U29)&lt;3,"",((U29-S29)/6)^2)</x:f>
        <x:v>1</x:v>
      </x:c>
      <x:c r="X29" s="8" t="str">
        <x:v>VP04</x:v>
      </x:c>
      <x:c r="Y29" s="8" t="str"/>
      <x:c r="Z29" s="8" t="str"/>
      <x:c r="AA29" s="8" t="str"/>
      <x:c r="AB29" s="8" t="str"/>
      <x:c r="AC29" s="8" t="str"/>
      <x:c r="AD29" s="10" t="str">
        <x:f>IF(X29="",0,INDEX($AK$6:$AK$28,MATCH(X29,$A$6:$A$28,0)))</x:f>
      </x:c>
      <x:c r="AE29" s="10" t="n">
        <x:f>IF(Y29="",0,INDEX($AK$6:$AK$28,MATCH(Y29,$A$6:$A$28,0)))</x:f>
        <x:v>0</x:v>
      </x:c>
      <x:c r="AF29" s="10" t="n">
        <x:f>IF(Z29="",0,INDEX($AK$6:$AK$28,MATCH(Z29,$A$6:$A$28,0)))</x:f>
        <x:v>0</x:v>
      </x:c>
      <x:c r="AG29" s="10" t="n">
        <x:f>IF(AA29="",0,INDEX($AK$6:$AK$28,MATCH(AA29,$A$6:$A$28,0)))</x:f>
        <x:v>0</x:v>
      </x:c>
      <x:c r="AH29" s="10" t="n">
        <x:f>IF(AB29="",0,INDEX($AK$6:$AK$28,MATCH(AB29,$A$6:$A$28,0)))</x:f>
        <x:v>0</x:v>
      </x:c>
      <x:c r="AI29" s="10" t="n">
        <x:f>IF(AC29="",0,INDEX($AK$6:$AK$28,MATCH(AC29,$A$6:$A$28,0)))</x:f>
        <x:v>0</x:v>
      </x:c>
      <x:c r="AJ29" s="10" t="str">
        <x:f>IF(AM29="완료",IF(J29="",K29,J29),IF(OR(COUNT('프로젝트설정'!$B$7:$B$8)&lt;2,COUNT(AD29:AI29)&lt;6,COUNT(S29:U29)&lt;3),"",IF(AM29="제외",MAX('프로젝트설정'!$B$7,AD29:AI29),IF(E29="진행",J29,MAX('프로젝트설정'!$B$7:$B$8,L29,AD29:AI29)))))</x:f>
      </x:c>
      <x:c r="AK29" s="10" t="str">
        <x:f>IF(AM29="완료",K29,IF(AJ29="","",IF(E29="진행",MAX('프로젝트설정'!$B$8,AJ29,AD29:AI29)+T29,AJ29+T29)))</x:f>
      </x:c>
      <x:c r="AL29" s="7" t="str">
        <x:f>IF(OR(I29="",AK29=""),"",AK29-I29)</x:f>
      </x:c>
      <x:c r="AM29" s="7" t="str">
        <x:f>IF(OR(D29="제외",E29="제외"),"제외",IF(D29&lt;&gt;"적용","적용성 확인",IF(E29="완료",IF(ISNUMBER(K29),"완료","실제완료 입력"),IF(E29="보류","보류 해제 필요",IF(E29="진행",IF(AND(ISNUMBER(J29),COUNT(P29:R29)=3,P29&gt;=0,P29&lt;=Q29,Q29&lt;=R29),"입력 OK","실제착수·잔여기간 확인"),IF(AND(COUNT(M29:O29)=3,M29&gt;=0,M29&lt;=N29,N29&lt;=O29),"입력 OK","전체기간 확인"))))))</x:f>
        <x:v>입력 OK</x:v>
      </x:c>
      <x:c r="AN29" s="7" t="str">
        <x:v>05</x:v>
      </x:c>
    </x:row>
    <x:row r="30" ht="38" customHeight="1">
      <x:c r="A30" s="7" t="str">
        <x:v>VP06</x:v>
      </x:c>
      <x:c r="B30" s="7" t="str">
        <x:v>05 Vendor Print 관리</x:v>
      </x:c>
      <x:c r="C30" s="7" t="str">
        <x:v>설계 반영용 VP 승인·배포</x:v>
      </x:c>
      <x:c r="D30" s="7" t="str">
        <x:f>'모듈선택'!B10</x:f>
        <x:v>적용</x:v>
      </x:c>
      <x:c r="E30" s="8" t="str">
        <x:v>계획</x:v>
      </x:c>
      <x:c r="F30" s="8" t="str">
        <x:v>주설비 공급사 / 각 벤더 / PM / 오너 검토</x:v>
      </x:c>
      <x:c r="G30" s="8" t="str">
        <x:v>Approved VP, transmittal</x:v>
      </x:c>
      <x:c r="H30" s="9"/>
      <x:c r="I30" s="9"/>
      <x:c r="J30" s="9"/>
      <x:c r="K30" s="9"/>
      <x:c r="L30" s="9"/>
      <x:c r="M30" s="8" t="n">
        <x:v>1</x:v>
      </x:c>
      <x:c r="N30" s="8" t="n">
        <x:v>2</x:v>
      </x:c>
      <x:c r="O30" s="8" t="n">
        <x:v>4</x:v>
      </x:c>
      <x:c r="P30" s="8"/>
      <x:c r="Q30" s="8"/>
      <x:c r="R30" s="8"/>
      <x:c r="S30" s="7" t="n">
        <x:f>IF(OR(AM30="제외",AM30="완료"),0,IF(AM30&lt;&gt;"입력 OK","",IF(E30="진행",P30,M30)))</x:f>
        <x:v>1</x:v>
      </x:c>
      <x:c r="T30" s="7" t="n">
        <x:f>IF(OR(AM30="제외",AM30="완료"),0,IF(AM30&lt;&gt;"입력 OK","",IF(E30="진행",Q30,N30)))</x:f>
        <x:v>2</x:v>
      </x:c>
      <x:c r="U30" s="7" t="n">
        <x:f>IF(OR(AM30="제외",AM30="완료"),0,IF(AM30&lt;&gt;"입력 OK","",IF(E30="진행",R30,O30)))</x:f>
        <x:v>4</x:v>
      </x:c>
      <x:c r="V30" s="11" t="n">
        <x:f>IF(COUNT(S30:U30)&lt;3,"",(S30+4*T30+U30)/6)</x:f>
        <x:v>2.1666666666666665</x:v>
      </x:c>
      <x:c r="W30" s="11" t="n">
        <x:f>IF(COUNT(S30:U30)&lt;3,"",((U30-S30)/6)^2)</x:f>
        <x:v>0.25</x:v>
      </x:c>
      <x:c r="X30" s="8" t="str">
        <x:v>VP05</x:v>
      </x:c>
      <x:c r="Y30" s="8" t="str"/>
      <x:c r="Z30" s="8" t="str"/>
      <x:c r="AA30" s="8" t="str"/>
      <x:c r="AB30" s="8" t="str"/>
      <x:c r="AC30" s="8" t="str"/>
      <x:c r="AD30" s="10" t="str">
        <x:f>IF(X30="",0,INDEX($AK$6:$AK$29,MATCH(X30,$A$6:$A$29,0)))</x:f>
      </x:c>
      <x:c r="AE30" s="10" t="n">
        <x:f>IF(Y30="",0,INDEX($AK$6:$AK$29,MATCH(Y30,$A$6:$A$29,0)))</x:f>
        <x:v>0</x:v>
      </x:c>
      <x:c r="AF30" s="10" t="n">
        <x:f>IF(Z30="",0,INDEX($AK$6:$AK$29,MATCH(Z30,$A$6:$A$29,0)))</x:f>
        <x:v>0</x:v>
      </x:c>
      <x:c r="AG30" s="10" t="n">
        <x:f>IF(AA30="",0,INDEX($AK$6:$AK$29,MATCH(AA30,$A$6:$A$29,0)))</x:f>
        <x:v>0</x:v>
      </x:c>
      <x:c r="AH30" s="10" t="n">
        <x:f>IF(AB30="",0,INDEX($AK$6:$AK$29,MATCH(AB30,$A$6:$A$29,0)))</x:f>
        <x:v>0</x:v>
      </x:c>
      <x:c r="AI30" s="10" t="n">
        <x:f>IF(AC30="",0,INDEX($AK$6:$AK$29,MATCH(AC30,$A$6:$A$29,0)))</x:f>
        <x:v>0</x:v>
      </x:c>
      <x:c r="AJ30" s="10" t="str">
        <x:f>IF(AM30="완료",IF(J30="",K30,J30),IF(OR(COUNT('프로젝트설정'!$B$7:$B$8)&lt;2,COUNT(AD30:AI30)&lt;6,COUNT(S30:U30)&lt;3),"",IF(AM30="제외",MAX('프로젝트설정'!$B$7,AD30:AI30),IF(E30="진행",J30,MAX('프로젝트설정'!$B$7:$B$8,L30,AD30:AI30)))))</x:f>
      </x:c>
      <x:c r="AK30" s="10" t="str">
        <x:f>IF(AM30="완료",K30,IF(AJ30="","",IF(E30="진행",MAX('프로젝트설정'!$B$8,AJ30,AD30:AI30)+T30,AJ30+T30)))</x:f>
      </x:c>
      <x:c r="AL30" s="7" t="str">
        <x:f>IF(OR(I30="",AK30=""),"",AK30-I30)</x:f>
      </x:c>
      <x:c r="AM30" s="7" t="str">
        <x:f>IF(OR(D30="제외",E30="제외"),"제외",IF(D30&lt;&gt;"적용","적용성 확인",IF(E30="완료",IF(ISNUMBER(K30),"완료","실제완료 입력"),IF(E30="보류","보류 해제 필요",IF(E30="진행",IF(AND(ISNUMBER(J30),COUNT(P30:R30)=3,P30&gt;=0,P30&lt;=Q30,Q30&lt;=R30),"입력 OK","실제착수·잔여기간 확인"),IF(AND(COUNT(M30:O30)=3,M30&gt;=0,M30&lt;=N30,N30&lt;=O30),"입력 OK","전체기간 확인"))))))</x:f>
        <x:v>입력 OK</x:v>
      </x:c>
      <x:c r="AN30" s="7" t="str">
        <x:v>05</x:v>
      </x:c>
    </x:row>
    <x:row r="31" ht="34" customHeight="1">
      <x:c r="A31" s="7" t="str">
        <x:v>PD01</x:v>
      </x:c>
      <x:c r="B31" s="7" t="str">
        <x:v>06 공정·배관 상세설계</x:v>
      </x:c>
      <x:c r="C31" s="7" t="str">
        <x:v>P&amp;ID·장비 Tag·Line no. 정합성 검토</x:v>
      </x:c>
      <x:c r="D31" s="7" t="str">
        <x:f>'모듈선택'!B11</x:f>
        <x:v>적용</x:v>
      </x:c>
      <x:c r="E31" s="8" t="str">
        <x:v>계획</x:v>
      </x:c>
      <x:c r="F31" s="8" t="str">
        <x:v>종합설계사 / PM / 오너 검토 검토</x:v>
      </x:c>
      <x:c r="G31" s="8" t="str">
        <x:v>P&amp;ID, equipment/line list</x:v>
      </x:c>
      <x:c r="H31" s="9"/>
      <x:c r="I31" s="9"/>
      <x:c r="J31" s="9"/>
      <x:c r="K31" s="9"/>
      <x:c r="L31" s="9"/>
      <x:c r="M31" s="8" t="n">
        <x:v>3</x:v>
      </x:c>
      <x:c r="N31" s="8" t="n">
        <x:v>5</x:v>
      </x:c>
      <x:c r="O31" s="8" t="n">
        <x:v>9</x:v>
      </x:c>
      <x:c r="P31" s="8"/>
      <x:c r="Q31" s="8"/>
      <x:c r="R31" s="8"/>
      <x:c r="S31" s="7" t="n">
        <x:f>IF(OR(AM31="제외",AM31="완료"),0,IF(AM31&lt;&gt;"입력 OK","",IF(E31="진행",P31,M31)))</x:f>
        <x:v>3</x:v>
      </x:c>
      <x:c r="T31" s="7" t="n">
        <x:f>IF(OR(AM31="제외",AM31="완료"),0,IF(AM31&lt;&gt;"입력 OK","",IF(E31="진행",Q31,N31)))</x:f>
        <x:v>5</x:v>
      </x:c>
      <x:c r="U31" s="7" t="n">
        <x:f>IF(OR(AM31="제외",AM31="완료"),0,IF(AM31&lt;&gt;"입력 OK","",IF(E31="진행",R31,O31)))</x:f>
        <x:v>9</x:v>
      </x:c>
      <x:c r="V31" s="11" t="n">
        <x:f>IF(COUNT(S31:U31)&lt;3,"",(S31+4*T31+U31)/6)</x:f>
        <x:v>5.333333333333333</x:v>
      </x:c>
      <x:c r="W31" s="11" t="n">
        <x:f>IF(COUNT(S31:U31)&lt;3,"",((U31-S31)/6)^2)</x:f>
        <x:v>1</x:v>
      </x:c>
      <x:c r="X31" s="8" t="str">
        <x:v>DB06</x:v>
      </x:c>
      <x:c r="Y31" s="8" t="str">
        <x:v>VP06</x:v>
      </x:c>
      <x:c r="Z31" s="8" t="str"/>
      <x:c r="AA31" s="8" t="str"/>
      <x:c r="AB31" s="8" t="str"/>
      <x:c r="AC31" s="8" t="str"/>
      <x:c r="AD31" s="10" t="str">
        <x:f>IF(X31="",0,INDEX($AK$6:$AK$30,MATCH(X31,$A$6:$A$30,0)))</x:f>
      </x:c>
      <x:c r="AE31" s="10" t="str">
        <x:f>IF(Y31="",0,INDEX($AK$6:$AK$30,MATCH(Y31,$A$6:$A$30,0)))</x:f>
      </x:c>
      <x:c r="AF31" s="10" t="n">
        <x:f>IF(Z31="",0,INDEX($AK$6:$AK$30,MATCH(Z31,$A$6:$A$30,0)))</x:f>
        <x:v>0</x:v>
      </x:c>
      <x:c r="AG31" s="10" t="n">
        <x:f>IF(AA31="",0,INDEX($AK$6:$AK$30,MATCH(AA31,$A$6:$A$30,0)))</x:f>
        <x:v>0</x:v>
      </x:c>
      <x:c r="AH31" s="10" t="n">
        <x:f>IF(AB31="",0,INDEX($AK$6:$AK$30,MATCH(AB31,$A$6:$A$30,0)))</x:f>
        <x:v>0</x:v>
      </x:c>
      <x:c r="AI31" s="10" t="n">
        <x:f>IF(AC31="",0,INDEX($AK$6:$AK$30,MATCH(AC31,$A$6:$A$30,0)))</x:f>
        <x:v>0</x:v>
      </x:c>
      <x:c r="AJ31" s="10" t="str">
        <x:f>IF(AM31="완료",IF(J31="",K31,J31),IF(OR(COUNT('프로젝트설정'!$B$7:$B$8)&lt;2,COUNT(AD31:AI31)&lt;6,COUNT(S31:U31)&lt;3),"",IF(AM31="제외",MAX('프로젝트설정'!$B$7,AD31:AI31),IF(E31="진행",J31,MAX('프로젝트설정'!$B$7:$B$8,L31,AD31:AI31)))))</x:f>
      </x:c>
      <x:c r="AK31" s="10" t="str">
        <x:f>IF(AM31="완료",K31,IF(AJ31="","",IF(E31="진행",MAX('프로젝트설정'!$B$8,AJ31,AD31:AI31)+T31,AJ31+T31)))</x:f>
      </x:c>
      <x:c r="AL31" s="7" t="str">
        <x:f>IF(OR(I31="",AK31=""),"",AK31-I31)</x:f>
      </x:c>
      <x:c r="AM31" s="7" t="str">
        <x:f>IF(OR(D31="제외",E31="제외"),"제외",IF(D31&lt;&gt;"적용","적용성 확인",IF(E31="완료",IF(ISNUMBER(K31),"완료","실제완료 입력"),IF(E31="보류","보류 해제 필요",IF(E31="진행",IF(AND(ISNUMBER(J31),COUNT(P31:R31)=3,P31&gt;=0,P31&lt;=Q31,Q31&lt;=R31),"입력 OK","실제착수·잔여기간 확인"),IF(AND(COUNT(M31:O31)=3,M31&gt;=0,M31&lt;=N31,N31&lt;=O31),"입력 OK","전체기간 확인"))))))</x:f>
        <x:v>입력 OK</x:v>
      </x:c>
      <x:c r="AN31" s="7" t="str">
        <x:v>06</x:v>
      </x:c>
    </x:row>
    <x:row r="32" ht="34" customHeight="1">
      <x:c r="A32" s="7" t="str">
        <x:v>PD02</x:v>
      </x:c>
      <x:c r="B32" s="7" t="str">
        <x:v>06 공정·배관 상세설계</x:v>
      </x:c>
      <x:c r="C32" s="7" t="str">
        <x:v>Line list 운전·설계 P/T 및 유체 검증</x:v>
      </x:c>
      <x:c r="D32" s="7" t="str">
        <x:f>'모듈선택'!B11</x:f>
        <x:v>적용</x:v>
      </x:c>
      <x:c r="E32" s="8" t="str">
        <x:v>계획</x:v>
      </x:c>
      <x:c r="F32" s="8" t="str">
        <x:v>종합설계사 / PM / 오너 검토 검토</x:v>
      </x:c>
      <x:c r="G32" s="8" t="str">
        <x:v>Line list, design basis</x:v>
      </x:c>
      <x:c r="H32" s="9"/>
      <x:c r="I32" s="9"/>
      <x:c r="J32" s="9"/>
      <x:c r="K32" s="9"/>
      <x:c r="L32" s="9"/>
      <x:c r="M32" s="8" t="n">
        <x:v>3</x:v>
      </x:c>
      <x:c r="N32" s="8" t="n">
        <x:v>4</x:v>
      </x:c>
      <x:c r="O32" s="8" t="n">
        <x:v>7</x:v>
      </x:c>
      <x:c r="P32" s="8"/>
      <x:c r="Q32" s="8"/>
      <x:c r="R32" s="8"/>
      <x:c r="S32" s="7" t="n">
        <x:f>IF(OR(AM32="제외",AM32="완료"),0,IF(AM32&lt;&gt;"입력 OK","",IF(E32="진행",P32,M32)))</x:f>
        <x:v>3</x:v>
      </x:c>
      <x:c r="T32" s="7" t="n">
        <x:f>IF(OR(AM32="제외",AM32="완료"),0,IF(AM32&lt;&gt;"입력 OK","",IF(E32="진행",Q32,N32)))</x:f>
        <x:v>4</x:v>
      </x:c>
      <x:c r="U32" s="7" t="n">
        <x:f>IF(OR(AM32="제외",AM32="완료"),0,IF(AM32&lt;&gt;"입력 OK","",IF(E32="진행",R32,O32)))</x:f>
        <x:v>7</x:v>
      </x:c>
      <x:c r="V32" s="11" t="n">
        <x:f>IF(COUNT(S32:U32)&lt;3,"",(S32+4*T32+U32)/6)</x:f>
        <x:v>4.333333333333333</x:v>
      </x:c>
      <x:c r="W32" s="11" t="n">
        <x:f>IF(COUNT(S32:U32)&lt;3,"",((U32-S32)/6)^2)</x:f>
        <x:v>0.4444444444444444</x:v>
      </x:c>
      <x:c r="X32" s="8" t="str">
        <x:v>PD01</x:v>
      </x:c>
      <x:c r="Y32" s="8" t="str"/>
      <x:c r="Z32" s="8" t="str"/>
      <x:c r="AA32" s="8" t="str"/>
      <x:c r="AB32" s="8" t="str"/>
      <x:c r="AC32" s="8" t="str"/>
      <x:c r="AD32" s="10" t="str">
        <x:f>IF(X32="",0,INDEX($AK$6:$AK$31,MATCH(X32,$A$6:$A$31,0)))</x:f>
      </x:c>
      <x:c r="AE32" s="10" t="n">
        <x:f>IF(Y32="",0,INDEX($AK$6:$AK$31,MATCH(Y32,$A$6:$A$31,0)))</x:f>
        <x:v>0</x:v>
      </x:c>
      <x:c r="AF32" s="10" t="n">
        <x:f>IF(Z32="",0,INDEX($AK$6:$AK$31,MATCH(Z32,$A$6:$A$31,0)))</x:f>
        <x:v>0</x:v>
      </x:c>
      <x:c r="AG32" s="10" t="n">
        <x:f>IF(AA32="",0,INDEX($AK$6:$AK$31,MATCH(AA32,$A$6:$A$31,0)))</x:f>
        <x:v>0</x:v>
      </x:c>
      <x:c r="AH32" s="10" t="n">
        <x:f>IF(AB32="",0,INDEX($AK$6:$AK$31,MATCH(AB32,$A$6:$A$31,0)))</x:f>
        <x:v>0</x:v>
      </x:c>
      <x:c r="AI32" s="10" t="n">
        <x:f>IF(AC32="",0,INDEX($AK$6:$AK$31,MATCH(AC32,$A$6:$A$31,0)))</x:f>
        <x:v>0</x:v>
      </x:c>
      <x:c r="AJ32" s="10" t="str">
        <x:f>IF(AM32="완료",IF(J32="",K32,J32),IF(OR(COUNT('프로젝트설정'!$B$7:$B$8)&lt;2,COUNT(AD32:AI32)&lt;6,COUNT(S32:U32)&lt;3),"",IF(AM32="제외",MAX('프로젝트설정'!$B$7,AD32:AI32),IF(E32="진행",J32,MAX('프로젝트설정'!$B$7:$B$8,L32,AD32:AI32)))))</x:f>
      </x:c>
      <x:c r="AK32" s="10" t="str">
        <x:f>IF(AM32="완료",K32,IF(AJ32="","",IF(E32="진행",MAX('프로젝트설정'!$B$8,AJ32,AD32:AI32)+T32,AJ32+T32)))</x:f>
      </x:c>
      <x:c r="AL32" s="7" t="str">
        <x:f>IF(OR(I32="",AK32=""),"",AK32-I32)</x:f>
      </x:c>
      <x:c r="AM32" s="7" t="str">
        <x:f>IF(OR(D32="제외",E32="제외"),"제외",IF(D32&lt;&gt;"적용","적용성 확인",IF(E32="완료",IF(ISNUMBER(K32),"완료","실제완료 입력"),IF(E32="보류","보류 해제 필요",IF(E32="진행",IF(AND(ISNUMBER(J32),COUNT(P32:R32)=3,P32&gt;=0,P32&lt;=Q32,Q32&lt;=R32),"입력 OK","실제착수·잔여기간 확인"),IF(AND(COUNT(M32:O32)=3,M32&gt;=0,M32&lt;=N32,N32&lt;=O32),"입력 OK","전체기간 확인"))))))</x:f>
        <x:v>입력 OK</x:v>
      </x:c>
      <x:c r="AN32" s="7" t="str">
        <x:v>06</x:v>
      </x:c>
    </x:row>
    <x:row r="33" ht="34" customHeight="1">
      <x:c r="A33" s="7" t="str">
        <x:v>PD03</x:v>
      </x:c>
      <x:c r="B33" s="7" t="str">
        <x:v>06 공정·배관 상세설계</x:v>
      </x:c>
      <x:c r="C33" s="7" t="str">
        <x:v>PMS·배관재질·압력등급 확정</x:v>
      </x:c>
      <x:c r="D33" s="7" t="str">
        <x:f>'모듈선택'!B11</x:f>
        <x:v>적용</x:v>
      </x:c>
      <x:c r="E33" s="8" t="str">
        <x:v>계획</x:v>
      </x:c>
      <x:c r="F33" s="8" t="str">
        <x:v>종합설계사 / PM / 오너 검토 검토</x:v>
      </x:c>
      <x:c r="G33" s="8" t="str">
        <x:v>PMS, valve specification</x:v>
      </x:c>
      <x:c r="H33" s="9"/>
      <x:c r="I33" s="9"/>
      <x:c r="J33" s="9"/>
      <x:c r="K33" s="9"/>
      <x:c r="L33" s="9"/>
      <x:c r="M33" s="8" t="n">
        <x:v>3</x:v>
      </x:c>
      <x:c r="N33" s="8" t="n">
        <x:v>4</x:v>
      </x:c>
      <x:c r="O33" s="8" t="n">
        <x:v>7</x:v>
      </x:c>
      <x:c r="P33" s="8"/>
      <x:c r="Q33" s="8"/>
      <x:c r="R33" s="8"/>
      <x:c r="S33" s="7" t="n">
        <x:f>IF(OR(AM33="제외",AM33="완료"),0,IF(AM33&lt;&gt;"입력 OK","",IF(E33="진행",P33,M33)))</x:f>
        <x:v>3</x:v>
      </x:c>
      <x:c r="T33" s="7" t="n">
        <x:f>IF(OR(AM33="제외",AM33="완료"),0,IF(AM33&lt;&gt;"입력 OK","",IF(E33="진행",Q33,N33)))</x:f>
        <x:v>4</x:v>
      </x:c>
      <x:c r="U33" s="7" t="n">
        <x:f>IF(OR(AM33="제외",AM33="완료"),0,IF(AM33&lt;&gt;"입력 OK","",IF(E33="진행",R33,O33)))</x:f>
        <x:v>7</x:v>
      </x:c>
      <x:c r="V33" s="11" t="n">
        <x:f>IF(COUNT(S33:U33)&lt;3,"",(S33+4*T33+U33)/6)</x:f>
        <x:v>4.333333333333333</x:v>
      </x:c>
      <x:c r="W33" s="11" t="n">
        <x:f>IF(COUNT(S33:U33)&lt;3,"",((U33-S33)/6)^2)</x:f>
        <x:v>0.4444444444444444</x:v>
      </x:c>
      <x:c r="X33" s="8" t="str">
        <x:v>PD02</x:v>
      </x:c>
      <x:c r="Y33" s="8" t="str"/>
      <x:c r="Z33" s="8" t="str"/>
      <x:c r="AA33" s="8" t="str"/>
      <x:c r="AB33" s="8" t="str"/>
      <x:c r="AC33" s="8" t="str"/>
      <x:c r="AD33" s="10" t="str">
        <x:f>IF(X33="",0,INDEX($AK$6:$AK$32,MATCH(X33,$A$6:$A$32,0)))</x:f>
      </x:c>
      <x:c r="AE33" s="10" t="n">
        <x:f>IF(Y33="",0,INDEX($AK$6:$AK$32,MATCH(Y33,$A$6:$A$32,0)))</x:f>
        <x:v>0</x:v>
      </x:c>
      <x:c r="AF33" s="10" t="n">
        <x:f>IF(Z33="",0,INDEX($AK$6:$AK$32,MATCH(Z33,$A$6:$A$32,0)))</x:f>
        <x:v>0</x:v>
      </x:c>
      <x:c r="AG33" s="10" t="n">
        <x:f>IF(AA33="",0,INDEX($AK$6:$AK$32,MATCH(AA33,$A$6:$A$32,0)))</x:f>
        <x:v>0</x:v>
      </x:c>
      <x:c r="AH33" s="10" t="n">
        <x:f>IF(AB33="",0,INDEX($AK$6:$AK$32,MATCH(AB33,$A$6:$A$32,0)))</x:f>
        <x:v>0</x:v>
      </x:c>
      <x:c r="AI33" s="10" t="n">
        <x:f>IF(AC33="",0,INDEX($AK$6:$AK$32,MATCH(AC33,$A$6:$A$32,0)))</x:f>
        <x:v>0</x:v>
      </x:c>
      <x:c r="AJ33" s="10" t="str">
        <x:f>IF(AM33="완료",IF(J33="",K33,J33),IF(OR(COUNT('프로젝트설정'!$B$7:$B$8)&lt;2,COUNT(AD33:AI33)&lt;6,COUNT(S33:U33)&lt;3),"",IF(AM33="제외",MAX('프로젝트설정'!$B$7,AD33:AI33),IF(E33="진행",J33,MAX('프로젝트설정'!$B$7:$B$8,L33,AD33:AI33)))))</x:f>
      </x:c>
      <x:c r="AK33" s="10" t="str">
        <x:f>IF(AM33="완료",K33,IF(AJ33="","",IF(E33="진행",MAX('프로젝트설정'!$B$8,AJ33,AD33:AI33)+T33,AJ33+T33)))</x:f>
      </x:c>
      <x:c r="AL33" s="7" t="str">
        <x:f>IF(OR(I33="",AK33=""),"",AK33-I33)</x:f>
      </x:c>
      <x:c r="AM33" s="7" t="str">
        <x:f>IF(OR(D33="제외",E33="제외"),"제외",IF(D33&lt;&gt;"적용","적용성 확인",IF(E33="완료",IF(ISNUMBER(K33),"완료","실제완료 입력"),IF(E33="보류","보류 해제 필요",IF(E33="진행",IF(AND(ISNUMBER(J33),COUNT(P33:R33)=3,P33&gt;=0,P33&lt;=Q33,Q33&lt;=R33),"입력 OK","실제착수·잔여기간 확인"),IF(AND(COUNT(M33:O33)=3,M33&gt;=0,M33&lt;=N33,N33&lt;=O33),"입력 OK","전체기간 확인"))))))</x:f>
        <x:v>입력 OK</x:v>
      </x:c>
      <x:c r="AN33" s="7" t="str">
        <x:v>06</x:v>
      </x:c>
    </x:row>
    <x:row r="34" ht="34" customHeight="1">
      <x:c r="A34" s="7" t="str">
        <x:v>PD04</x:v>
      </x:c>
      <x:c r="B34" s="7" t="str">
        <x:v>06 공정·배관 상세설계</x:v>
      </x:c>
      <x:c r="C34" s="7" t="str">
        <x:v>배관경·압력손실·설계두께 계산</x:v>
      </x:c>
      <x:c r="D34" s="7" t="str">
        <x:f>'모듈선택'!B11</x:f>
        <x:v>적용</x:v>
      </x:c>
      <x:c r="E34" s="8" t="str">
        <x:v>계획</x:v>
      </x:c>
      <x:c r="F34" s="8" t="str">
        <x:v>종합설계사 / PM / 오너 검토 검토</x:v>
      </x:c>
      <x:c r="G34" s="8" t="str">
        <x:v>Sizing, hydraulics, thickness calc</x:v>
      </x:c>
      <x:c r="H34" s="9"/>
      <x:c r="I34" s="9"/>
      <x:c r="J34" s="9"/>
      <x:c r="K34" s="9"/>
      <x:c r="L34" s="9"/>
      <x:c r="M34" s="8" t="n">
        <x:v>3</x:v>
      </x:c>
      <x:c r="N34" s="8" t="n">
        <x:v>5</x:v>
      </x:c>
      <x:c r="O34" s="8" t="n">
        <x:v>9</x:v>
      </x:c>
      <x:c r="P34" s="8"/>
      <x:c r="Q34" s="8"/>
      <x:c r="R34" s="8"/>
      <x:c r="S34" s="7" t="n">
        <x:f>IF(OR(AM34="제외",AM34="완료"),0,IF(AM34&lt;&gt;"입력 OK","",IF(E34="진행",P34,M34)))</x:f>
        <x:v>3</x:v>
      </x:c>
      <x:c r="T34" s="7" t="n">
        <x:f>IF(OR(AM34="제외",AM34="완료"),0,IF(AM34&lt;&gt;"입력 OK","",IF(E34="진행",Q34,N34)))</x:f>
        <x:v>5</x:v>
      </x:c>
      <x:c r="U34" s="7" t="n">
        <x:f>IF(OR(AM34="제외",AM34="완료"),0,IF(AM34&lt;&gt;"입력 OK","",IF(E34="진행",R34,O34)))</x:f>
        <x:v>9</x:v>
      </x:c>
      <x:c r="V34" s="11" t="n">
        <x:f>IF(COUNT(S34:U34)&lt;3,"",(S34+4*T34+U34)/6)</x:f>
        <x:v>5.333333333333333</x:v>
      </x:c>
      <x:c r="W34" s="11" t="n">
        <x:f>IF(COUNT(S34:U34)&lt;3,"",((U34-S34)/6)^2)</x:f>
        <x:v>1</x:v>
      </x:c>
      <x:c r="X34" s="8" t="str">
        <x:v>PD03</x:v>
      </x:c>
      <x:c r="Y34" s="8" t="str"/>
      <x:c r="Z34" s="8" t="str"/>
      <x:c r="AA34" s="8" t="str"/>
      <x:c r="AB34" s="8" t="str"/>
      <x:c r="AC34" s="8" t="str"/>
      <x:c r="AD34" s="10" t="str">
        <x:f>IF(X34="",0,INDEX($AK$6:$AK$33,MATCH(X34,$A$6:$A$33,0)))</x:f>
      </x:c>
      <x:c r="AE34" s="10" t="n">
        <x:f>IF(Y34="",0,INDEX($AK$6:$AK$33,MATCH(Y34,$A$6:$A$33,0)))</x:f>
        <x:v>0</x:v>
      </x:c>
      <x:c r="AF34" s="10" t="n">
        <x:f>IF(Z34="",0,INDEX($AK$6:$AK$33,MATCH(Z34,$A$6:$A$33,0)))</x:f>
        <x:v>0</x:v>
      </x:c>
      <x:c r="AG34" s="10" t="n">
        <x:f>IF(AA34="",0,INDEX($AK$6:$AK$33,MATCH(AA34,$A$6:$A$33,0)))</x:f>
        <x:v>0</x:v>
      </x:c>
      <x:c r="AH34" s="10" t="n">
        <x:f>IF(AB34="",0,INDEX($AK$6:$AK$33,MATCH(AB34,$A$6:$A$33,0)))</x:f>
        <x:v>0</x:v>
      </x:c>
      <x:c r="AI34" s="10" t="n">
        <x:f>IF(AC34="",0,INDEX($AK$6:$AK$33,MATCH(AC34,$A$6:$A$33,0)))</x:f>
        <x:v>0</x:v>
      </x:c>
      <x:c r="AJ34" s="10" t="str">
        <x:f>IF(AM34="완료",IF(J34="",K34,J34),IF(OR(COUNT('프로젝트설정'!$B$7:$B$8)&lt;2,COUNT(AD34:AI34)&lt;6,COUNT(S34:U34)&lt;3),"",IF(AM34="제외",MAX('프로젝트설정'!$B$7,AD34:AI34),IF(E34="진행",J34,MAX('프로젝트설정'!$B$7:$B$8,L34,AD34:AI34)))))</x:f>
      </x:c>
      <x:c r="AK34" s="10" t="str">
        <x:f>IF(AM34="완료",K34,IF(AJ34="","",IF(E34="진행",MAX('프로젝트설정'!$B$8,AJ34,AD34:AI34)+T34,AJ34+T34)))</x:f>
      </x:c>
      <x:c r="AL34" s="7" t="str">
        <x:f>IF(OR(I34="",AK34=""),"",AK34-I34)</x:f>
      </x:c>
      <x:c r="AM34" s="7" t="str">
        <x:f>IF(OR(D34="제외",E34="제외"),"제외",IF(D34&lt;&gt;"적용","적용성 확인",IF(E34="완료",IF(ISNUMBER(K34),"완료","실제완료 입력"),IF(E34="보류","보류 해제 필요",IF(E34="진행",IF(AND(ISNUMBER(J34),COUNT(P34:R34)=3,P34&gt;=0,P34&lt;=Q34,Q34&lt;=R34),"입력 OK","실제착수·잔여기간 확인"),IF(AND(COUNT(M34:O34)=3,M34&gt;=0,M34&lt;=N34,N34&lt;=O34),"입력 OK","전체기간 확인"))))))</x:f>
        <x:v>입력 OK</x:v>
      </x:c>
      <x:c r="AN34" s="7" t="str">
        <x:v>06</x:v>
      </x:c>
    </x:row>
    <x:row r="35" ht="34" customHeight="1">
      <x:c r="A35" s="7" t="str">
        <x:v>PD05</x:v>
      </x:c>
      <x:c r="B35" s="7" t="str">
        <x:v>06 공정·배관 상세설계</x:v>
      </x:c>
      <x:c r="C35" s="7" t="str">
        <x:v>배관 배치·지지대·노즐하중 인터페이스 작성</x:v>
      </x:c>
      <x:c r="D35" s="7" t="str">
        <x:f>'모듈선택'!B11</x:f>
        <x:v>적용</x:v>
      </x:c>
      <x:c r="E35" s="8" t="str">
        <x:v>계획</x:v>
      </x:c>
      <x:c r="F35" s="8" t="str">
        <x:v>종합설계사 / PM / 오너 검토 검토</x:v>
      </x:c>
      <x:c r="G35" s="8" t="str">
        <x:v>Piping plan, support, nozzle load</x:v>
      </x:c>
      <x:c r="H35" s="9"/>
      <x:c r="I35" s="9"/>
      <x:c r="J35" s="9"/>
      <x:c r="K35" s="9"/>
      <x:c r="L35" s="9"/>
      <x:c r="M35" s="8" t="n">
        <x:v>5</x:v>
      </x:c>
      <x:c r="N35" s="8" t="n">
        <x:v>7</x:v>
      </x:c>
      <x:c r="O35" s="8" t="n">
        <x:v>12</x:v>
      </x:c>
      <x:c r="P35" s="8"/>
      <x:c r="Q35" s="8"/>
      <x:c r="R35" s="8"/>
      <x:c r="S35" s="7" t="n">
        <x:f>IF(OR(AM35="제외",AM35="완료"),0,IF(AM35&lt;&gt;"입력 OK","",IF(E35="진행",P35,M35)))</x:f>
        <x:v>5</x:v>
      </x:c>
      <x:c r="T35" s="7" t="n">
        <x:f>IF(OR(AM35="제외",AM35="완료"),0,IF(AM35&lt;&gt;"입력 OK","",IF(E35="진행",Q35,N35)))</x:f>
        <x:v>7</x:v>
      </x:c>
      <x:c r="U35" s="7" t="n">
        <x:f>IF(OR(AM35="제외",AM35="완료"),0,IF(AM35&lt;&gt;"입력 OK","",IF(E35="진행",R35,O35)))</x:f>
        <x:v>12</x:v>
      </x:c>
      <x:c r="V35" s="11" t="n">
        <x:f>IF(COUNT(S35:U35)&lt;3,"",(S35+4*T35+U35)/6)</x:f>
        <x:v>7.5</x:v>
      </x:c>
      <x:c r="W35" s="11" t="n">
        <x:f>IF(COUNT(S35:U35)&lt;3,"",((U35-S35)/6)^2)</x:f>
        <x:v>1.3611111111111114</x:v>
      </x:c>
      <x:c r="X35" s="8" t="str">
        <x:v>PD04</x:v>
      </x:c>
      <x:c r="Y35" s="8" t="str"/>
      <x:c r="Z35" s="8" t="str"/>
      <x:c r="AA35" s="8" t="str"/>
      <x:c r="AB35" s="8" t="str"/>
      <x:c r="AC35" s="8" t="str"/>
      <x:c r="AD35" s="10" t="str">
        <x:f>IF(X35="",0,INDEX($AK$6:$AK$34,MATCH(X35,$A$6:$A$34,0)))</x:f>
      </x:c>
      <x:c r="AE35" s="10" t="n">
        <x:f>IF(Y35="",0,INDEX($AK$6:$AK$34,MATCH(Y35,$A$6:$A$34,0)))</x:f>
        <x:v>0</x:v>
      </x:c>
      <x:c r="AF35" s="10" t="n">
        <x:f>IF(Z35="",0,INDEX($AK$6:$AK$34,MATCH(Z35,$A$6:$A$34,0)))</x:f>
        <x:v>0</x:v>
      </x:c>
      <x:c r="AG35" s="10" t="n">
        <x:f>IF(AA35="",0,INDEX($AK$6:$AK$34,MATCH(AA35,$A$6:$A$34,0)))</x:f>
        <x:v>0</x:v>
      </x:c>
      <x:c r="AH35" s="10" t="n">
        <x:f>IF(AB35="",0,INDEX($AK$6:$AK$34,MATCH(AB35,$A$6:$A$34,0)))</x:f>
        <x:v>0</x:v>
      </x:c>
      <x:c r="AI35" s="10" t="n">
        <x:f>IF(AC35="",0,INDEX($AK$6:$AK$34,MATCH(AC35,$A$6:$A$34,0)))</x:f>
        <x:v>0</x:v>
      </x:c>
      <x:c r="AJ35" s="10" t="str">
        <x:f>IF(AM35="완료",IF(J35="",K35,J35),IF(OR(COUNT('프로젝트설정'!$B$7:$B$8)&lt;2,COUNT(AD35:AI35)&lt;6,COUNT(S35:U35)&lt;3),"",IF(AM35="제외",MAX('프로젝트설정'!$B$7,AD35:AI35),IF(E35="진행",J35,MAX('프로젝트설정'!$B$7:$B$8,L35,AD35:AI35)))))</x:f>
      </x:c>
      <x:c r="AK35" s="10" t="str">
        <x:f>IF(AM35="완료",K35,IF(AJ35="","",IF(E35="진행",MAX('프로젝트설정'!$B$8,AJ35,AD35:AI35)+T35,AJ35+T35)))</x:f>
      </x:c>
      <x:c r="AL35" s="7" t="str">
        <x:f>IF(OR(I35="",AK35=""),"",AK35-I35)</x:f>
      </x:c>
      <x:c r="AM35" s="7" t="str">
        <x:f>IF(OR(D35="제외",E35="제외"),"제외",IF(D35&lt;&gt;"적용","적용성 확인",IF(E35="완료",IF(ISNUMBER(K35),"완료","실제완료 입력"),IF(E35="보류","보류 해제 필요",IF(E35="진행",IF(AND(ISNUMBER(J35),COUNT(P35:R35)=3,P35&gt;=0,P35&lt;=Q35,Q35&lt;=R35),"입력 OK","실제착수·잔여기간 확인"),IF(AND(COUNT(M35:O35)=3,M35&gt;=0,M35&lt;=N35,N35&lt;=O35),"입력 OK","전체기간 확인"))))))</x:f>
        <x:v>입력 OK</x:v>
      </x:c>
      <x:c r="AN35" s="7" t="str">
        <x:v>06</x:v>
      </x:c>
    </x:row>
    <x:row r="36" ht="34" customHeight="1">
      <x:c r="A36" s="7" t="str">
        <x:v>PD06</x:v>
      </x:c>
      <x:c r="B36" s="7" t="str">
        <x:v>06 공정·배관 상세설계</x:v>
      </x:c>
      <x:c r="C36" s="7" t="str">
        <x:v>ISO·BOM·밸브리스트·내역서 작성</x:v>
      </x:c>
      <x:c r="D36" s="7" t="str">
        <x:f>'모듈선택'!B11</x:f>
        <x:v>적용</x:v>
      </x:c>
      <x:c r="E36" s="8" t="str">
        <x:v>계획</x:v>
      </x:c>
      <x:c r="F36" s="8" t="str">
        <x:v>종합설계사 / PM / 오너 검토 검토</x:v>
      </x:c>
      <x:c r="G36" s="8" t="str">
        <x:v>ISO, BOM, valve list</x:v>
      </x:c>
      <x:c r="H36" s="9"/>
      <x:c r="I36" s="9"/>
      <x:c r="J36" s="9"/>
      <x:c r="K36" s="9"/>
      <x:c r="L36" s="9"/>
      <x:c r="M36" s="8" t="n">
        <x:v>5</x:v>
      </x:c>
      <x:c r="N36" s="8" t="n">
        <x:v>7</x:v>
      </x:c>
      <x:c r="O36" s="8" t="n">
        <x:v>12</x:v>
      </x:c>
      <x:c r="P36" s="8"/>
      <x:c r="Q36" s="8"/>
      <x:c r="R36" s="8"/>
      <x:c r="S36" s="7" t="n">
        <x:f>IF(OR(AM36="제외",AM36="완료"),0,IF(AM36&lt;&gt;"입력 OK","",IF(E36="진행",P36,M36)))</x:f>
        <x:v>5</x:v>
      </x:c>
      <x:c r="T36" s="7" t="n">
        <x:f>IF(OR(AM36="제외",AM36="완료"),0,IF(AM36&lt;&gt;"입력 OK","",IF(E36="진행",Q36,N36)))</x:f>
        <x:v>7</x:v>
      </x:c>
      <x:c r="U36" s="7" t="n">
        <x:f>IF(OR(AM36="제외",AM36="완료"),0,IF(AM36&lt;&gt;"입력 OK","",IF(E36="진행",R36,O36)))</x:f>
        <x:v>12</x:v>
      </x:c>
      <x:c r="V36" s="11" t="n">
        <x:f>IF(COUNT(S36:U36)&lt;3,"",(S36+4*T36+U36)/6)</x:f>
        <x:v>7.5</x:v>
      </x:c>
      <x:c r="W36" s="11" t="n">
        <x:f>IF(COUNT(S36:U36)&lt;3,"",((U36-S36)/6)^2)</x:f>
        <x:v>1.3611111111111114</x:v>
      </x:c>
      <x:c r="X36" s="8" t="str">
        <x:v>PD05</x:v>
      </x:c>
      <x:c r="Y36" s="8" t="str"/>
      <x:c r="Z36" s="8" t="str"/>
      <x:c r="AA36" s="8" t="str"/>
      <x:c r="AB36" s="8" t="str"/>
      <x:c r="AC36" s="8" t="str"/>
      <x:c r="AD36" s="10" t="str">
        <x:f>IF(X36="",0,INDEX($AK$6:$AK$35,MATCH(X36,$A$6:$A$35,0)))</x:f>
      </x:c>
      <x:c r="AE36" s="10" t="n">
        <x:f>IF(Y36="",0,INDEX($AK$6:$AK$35,MATCH(Y36,$A$6:$A$35,0)))</x:f>
        <x:v>0</x:v>
      </x:c>
      <x:c r="AF36" s="10" t="n">
        <x:f>IF(Z36="",0,INDEX($AK$6:$AK$35,MATCH(Z36,$A$6:$A$35,0)))</x:f>
        <x:v>0</x:v>
      </x:c>
      <x:c r="AG36" s="10" t="n">
        <x:f>IF(AA36="",0,INDEX($AK$6:$AK$35,MATCH(AA36,$A$6:$A$35,0)))</x:f>
        <x:v>0</x:v>
      </x:c>
      <x:c r="AH36" s="10" t="n">
        <x:f>IF(AB36="",0,INDEX($AK$6:$AK$35,MATCH(AB36,$A$6:$A$35,0)))</x:f>
        <x:v>0</x:v>
      </x:c>
      <x:c r="AI36" s="10" t="n">
        <x:f>IF(AC36="",0,INDEX($AK$6:$AK$35,MATCH(AC36,$A$6:$A$35,0)))</x:f>
        <x:v>0</x:v>
      </x:c>
      <x:c r="AJ36" s="10" t="str">
        <x:f>IF(AM36="완료",IF(J36="",K36,J36),IF(OR(COUNT('프로젝트설정'!$B$7:$B$8)&lt;2,COUNT(AD36:AI36)&lt;6,COUNT(S36:U36)&lt;3),"",IF(AM36="제외",MAX('프로젝트설정'!$B$7,AD36:AI36),IF(E36="진행",J36,MAX('프로젝트설정'!$B$7:$B$8,L36,AD36:AI36)))))</x:f>
      </x:c>
      <x:c r="AK36" s="10" t="str">
        <x:f>IF(AM36="완료",K36,IF(AJ36="","",IF(E36="진행",MAX('프로젝트설정'!$B$8,AJ36,AD36:AI36)+T36,AJ36+T36)))</x:f>
      </x:c>
      <x:c r="AL36" s="7" t="str">
        <x:f>IF(OR(I36="",AK36=""),"",AK36-I36)</x:f>
      </x:c>
      <x:c r="AM36" s="7" t="str">
        <x:f>IF(OR(D36="제외",E36="제외"),"제외",IF(D36&lt;&gt;"적용","적용성 확인",IF(E36="완료",IF(ISNUMBER(K36),"완료","실제완료 입력"),IF(E36="보류","보류 해제 필요",IF(E36="진행",IF(AND(ISNUMBER(J36),COUNT(P36:R36)=3,P36&gt;=0,P36&lt;=Q36,Q36&lt;=R36),"입력 OK","실제착수·잔여기간 확인"),IF(AND(COUNT(M36:O36)=3,M36&gt;=0,M36&lt;=N36,N36&lt;=O36),"입력 OK","전체기간 확인"))))))</x:f>
        <x:v>입력 OK</x:v>
      </x:c>
      <x:c r="AN36" s="7" t="str">
        <x:v>06</x:v>
      </x:c>
    </x:row>
    <x:row r="37" ht="34" customHeight="1">
      <x:c r="A37" s="7" t="str">
        <x:v>PD07</x:v>
      </x:c>
      <x:c r="B37" s="7" t="str">
        <x:v>06 공정·배관 상세설계</x:v>
      </x:c>
      <x:c r="C37" s="7" t="str">
        <x:v>설계사 자기검토 및 PM / 오너 검토 코멘트 반영</x:v>
      </x:c>
      <x:c r="D37" s="7" t="str">
        <x:f>'모듈선택'!B11</x:f>
        <x:v>적용</x:v>
      </x:c>
      <x:c r="E37" s="8" t="str">
        <x:v>계획</x:v>
      </x:c>
      <x:c r="F37" s="8" t="str">
        <x:v>종합설계사 / PM / 오너 검토 검토</x:v>
      </x:c>
      <x:c r="G37" s="8" t="str">
        <x:v>Cross-check 기록, comment closure</x:v>
      </x:c>
      <x:c r="H37" s="9"/>
      <x:c r="I37" s="9"/>
      <x:c r="J37" s="9"/>
      <x:c r="K37" s="9"/>
      <x:c r="L37" s="9"/>
      <x:c r="M37" s="8" t="n">
        <x:v>5</x:v>
      </x:c>
      <x:c r="N37" s="8" t="n">
        <x:v>7</x:v>
      </x:c>
      <x:c r="O37" s="8" t="n">
        <x:v>12</x:v>
      </x:c>
      <x:c r="P37" s="8"/>
      <x:c r="Q37" s="8"/>
      <x:c r="R37" s="8"/>
      <x:c r="S37" s="7" t="n">
        <x:f>IF(OR(AM37="제외",AM37="완료"),0,IF(AM37&lt;&gt;"입력 OK","",IF(E37="진행",P37,M37)))</x:f>
        <x:v>5</x:v>
      </x:c>
      <x:c r="T37" s="7" t="n">
        <x:f>IF(OR(AM37="제외",AM37="완료"),0,IF(AM37&lt;&gt;"입력 OK","",IF(E37="진행",Q37,N37)))</x:f>
        <x:v>7</x:v>
      </x:c>
      <x:c r="U37" s="7" t="n">
        <x:f>IF(OR(AM37="제외",AM37="완료"),0,IF(AM37&lt;&gt;"입력 OK","",IF(E37="진행",R37,O37)))</x:f>
        <x:v>12</x:v>
      </x:c>
      <x:c r="V37" s="11" t="n">
        <x:f>IF(COUNT(S37:U37)&lt;3,"",(S37+4*T37+U37)/6)</x:f>
        <x:v>7.5</x:v>
      </x:c>
      <x:c r="W37" s="11" t="n">
        <x:f>IF(COUNT(S37:U37)&lt;3,"",((U37-S37)/6)^2)</x:f>
        <x:v>1.3611111111111114</x:v>
      </x:c>
      <x:c r="X37" s="8" t="str">
        <x:v>PD06</x:v>
      </x:c>
      <x:c r="Y37" s="8" t="str"/>
      <x:c r="Z37" s="8" t="str"/>
      <x:c r="AA37" s="8" t="str"/>
      <x:c r="AB37" s="8" t="str"/>
      <x:c r="AC37" s="8" t="str"/>
      <x:c r="AD37" s="10" t="str">
        <x:f>IF(X37="",0,INDEX($AK$6:$AK$36,MATCH(X37,$A$6:$A$36,0)))</x:f>
      </x:c>
      <x:c r="AE37" s="10" t="n">
        <x:f>IF(Y37="",0,INDEX($AK$6:$AK$36,MATCH(Y37,$A$6:$A$36,0)))</x:f>
        <x:v>0</x:v>
      </x:c>
      <x:c r="AF37" s="10" t="n">
        <x:f>IF(Z37="",0,INDEX($AK$6:$AK$36,MATCH(Z37,$A$6:$A$36,0)))</x:f>
        <x:v>0</x:v>
      </x:c>
      <x:c r="AG37" s="10" t="n">
        <x:f>IF(AA37="",0,INDEX($AK$6:$AK$36,MATCH(AA37,$A$6:$A$36,0)))</x:f>
        <x:v>0</x:v>
      </x:c>
      <x:c r="AH37" s="10" t="n">
        <x:f>IF(AB37="",0,INDEX($AK$6:$AK$36,MATCH(AB37,$A$6:$A$36,0)))</x:f>
        <x:v>0</x:v>
      </x:c>
      <x:c r="AI37" s="10" t="n">
        <x:f>IF(AC37="",0,INDEX($AK$6:$AK$36,MATCH(AC37,$A$6:$A$36,0)))</x:f>
        <x:v>0</x:v>
      </x:c>
      <x:c r="AJ37" s="10" t="str">
        <x:f>IF(AM37="완료",IF(J37="",K37,J37),IF(OR(COUNT('프로젝트설정'!$B$7:$B$8)&lt;2,COUNT(AD37:AI37)&lt;6,COUNT(S37:U37)&lt;3),"",IF(AM37="제외",MAX('프로젝트설정'!$B$7,AD37:AI37),IF(E37="진행",J37,MAX('프로젝트설정'!$B$7:$B$8,L37,AD37:AI37)))))</x:f>
      </x:c>
      <x:c r="AK37" s="10" t="str">
        <x:f>IF(AM37="완료",K37,IF(AJ37="","",IF(E37="진행",MAX('프로젝트설정'!$B$8,AJ37,AD37:AI37)+T37,AJ37+T37)))</x:f>
      </x:c>
      <x:c r="AL37" s="7" t="str">
        <x:f>IF(OR(I37="",AK37=""),"",AK37-I37)</x:f>
      </x:c>
      <x:c r="AM37" s="7" t="str">
        <x:f>IF(OR(D37="제외",E37="제외"),"제외",IF(D37&lt;&gt;"적용","적용성 확인",IF(E37="완료",IF(ISNUMBER(K37),"완료","실제완료 입력"),IF(E37="보류","보류 해제 필요",IF(E37="진행",IF(AND(ISNUMBER(J37),COUNT(P37:R37)=3,P37&gt;=0,P37&lt;=Q37,Q37&lt;=R37),"입력 OK","실제착수·잔여기간 확인"),IF(AND(COUNT(M37:O37)=3,M37&gt;=0,M37&lt;=N37,N37&lt;=O37),"입력 OK","전체기간 확인"))))))</x:f>
        <x:v>입력 OK</x:v>
      </x:c>
      <x:c r="AN37" s="7" t="str">
        <x:v>06</x:v>
      </x:c>
    </x:row>
    <x:row r="38" ht="34" customHeight="1">
      <x:c r="A38" s="7" t="str">
        <x:v>PD08</x:v>
      </x:c>
      <x:c r="B38" s="7" t="str">
        <x:v>06 공정·배관 상세설계</x:v>
      </x:c>
      <x:c r="C38" s="7" t="str">
        <x:v>배관 IFC 발행 및 시공용 물량 동결</x:v>
      </x:c>
      <x:c r="D38" s="7" t="str">
        <x:f>'모듈선택'!B11</x:f>
        <x:v>적용</x:v>
      </x:c>
      <x:c r="E38" s="8" t="str">
        <x:v>계획</x:v>
      </x:c>
      <x:c r="F38" s="8" t="str">
        <x:v>종합설계사 / PM / 오너 검토 검토</x:v>
      </x:c>
      <x:c r="G38" s="8" t="str">
        <x:v>IFC ISO, BOM, 배포대장</x:v>
      </x:c>
      <x:c r="H38" s="9"/>
      <x:c r="I38" s="9"/>
      <x:c r="J38" s="9"/>
      <x:c r="K38" s="9"/>
      <x:c r="L38" s="9"/>
      <x:c r="M38" s="8" t="n">
        <x:v>1</x:v>
      </x:c>
      <x:c r="N38" s="8" t="n">
        <x:v>2</x:v>
      </x:c>
      <x:c r="O38" s="8" t="n">
        <x:v>4</x:v>
      </x:c>
      <x:c r="P38" s="8"/>
      <x:c r="Q38" s="8"/>
      <x:c r="R38" s="8"/>
      <x:c r="S38" s="7" t="n">
        <x:f>IF(OR(AM38="제외",AM38="완료"),0,IF(AM38&lt;&gt;"입력 OK","",IF(E38="진행",P38,M38)))</x:f>
        <x:v>1</x:v>
      </x:c>
      <x:c r="T38" s="7" t="n">
        <x:f>IF(OR(AM38="제외",AM38="완료"),0,IF(AM38&lt;&gt;"입력 OK","",IF(E38="진행",Q38,N38)))</x:f>
        <x:v>2</x:v>
      </x:c>
      <x:c r="U38" s="7" t="n">
        <x:f>IF(OR(AM38="제외",AM38="완료"),0,IF(AM38&lt;&gt;"입력 OK","",IF(E38="진행",R38,O38)))</x:f>
        <x:v>4</x:v>
      </x:c>
      <x:c r="V38" s="11" t="n">
        <x:f>IF(COUNT(S38:U38)&lt;3,"",(S38+4*T38+U38)/6)</x:f>
        <x:v>2.1666666666666665</x:v>
      </x:c>
      <x:c r="W38" s="11" t="n">
        <x:f>IF(COUNT(S38:U38)&lt;3,"",((U38-S38)/6)^2)</x:f>
        <x:v>0.25</x:v>
      </x:c>
      <x:c r="X38" s="8" t="str">
        <x:v>PD07</x:v>
      </x:c>
      <x:c r="Y38" s="8" t="str"/>
      <x:c r="Z38" s="8" t="str"/>
      <x:c r="AA38" s="8" t="str"/>
      <x:c r="AB38" s="8" t="str"/>
      <x:c r="AC38" s="8" t="str"/>
      <x:c r="AD38" s="10" t="str">
        <x:f>IF(X38="",0,INDEX($AK$6:$AK$37,MATCH(X38,$A$6:$A$37,0)))</x:f>
      </x:c>
      <x:c r="AE38" s="10" t="n">
        <x:f>IF(Y38="",0,INDEX($AK$6:$AK$37,MATCH(Y38,$A$6:$A$37,0)))</x:f>
        <x:v>0</x:v>
      </x:c>
      <x:c r="AF38" s="10" t="n">
        <x:f>IF(Z38="",0,INDEX($AK$6:$AK$37,MATCH(Z38,$A$6:$A$37,0)))</x:f>
        <x:v>0</x:v>
      </x:c>
      <x:c r="AG38" s="10" t="n">
        <x:f>IF(AA38="",0,INDEX($AK$6:$AK$37,MATCH(AA38,$A$6:$A$37,0)))</x:f>
        <x:v>0</x:v>
      </x:c>
      <x:c r="AH38" s="10" t="n">
        <x:f>IF(AB38="",0,INDEX($AK$6:$AK$37,MATCH(AB38,$A$6:$A$37,0)))</x:f>
        <x:v>0</x:v>
      </x:c>
      <x:c r="AI38" s="10" t="n">
        <x:f>IF(AC38="",0,INDEX($AK$6:$AK$37,MATCH(AC38,$A$6:$A$37,0)))</x:f>
        <x:v>0</x:v>
      </x:c>
      <x:c r="AJ38" s="10" t="str">
        <x:f>IF(AM38="완료",IF(J38="",K38,J38),IF(OR(COUNT('프로젝트설정'!$B$7:$B$8)&lt;2,COUNT(AD38:AI38)&lt;6,COUNT(S38:U38)&lt;3),"",IF(AM38="제외",MAX('프로젝트설정'!$B$7,AD38:AI38),IF(E38="진행",J38,MAX('프로젝트설정'!$B$7:$B$8,L38,AD38:AI38)))))</x:f>
      </x:c>
      <x:c r="AK38" s="10" t="str">
        <x:f>IF(AM38="완료",K38,IF(AJ38="","",IF(E38="진행",MAX('프로젝트설정'!$B$8,AJ38,AD38:AI38)+T38,AJ38+T38)))</x:f>
      </x:c>
      <x:c r="AL38" s="7" t="str">
        <x:f>IF(OR(I38="",AK38=""),"",AK38-I38)</x:f>
      </x:c>
      <x:c r="AM38" s="7" t="str">
        <x:f>IF(OR(D38="제외",E38="제외"),"제외",IF(D38&lt;&gt;"적용","적용성 확인",IF(E38="완료",IF(ISNUMBER(K38),"완료","실제완료 입력"),IF(E38="보류","보류 해제 필요",IF(E38="진행",IF(AND(ISNUMBER(J38),COUNT(P38:R38)=3,P38&gt;=0,P38&lt;=Q38,Q38&lt;=R38),"입력 OK","실제착수·잔여기간 확인"),IF(AND(COUNT(M38:O38)=3,M38&gt;=0,M38&lt;=N38,N38&lt;=O38),"입력 OK","전체기간 확인"))))))</x:f>
        <x:v>입력 OK</x:v>
      </x:c>
      <x:c r="AN38" s="7" t="str">
        <x:v>06</x:v>
      </x:c>
    </x:row>
    <x:row r="39" ht="34" customHeight="1">
      <x:c r="A39" s="7" t="str">
        <x:v>IC01</x:v>
      </x:c>
      <x:c r="B39" s="7" t="str">
        <x:v>07 계장·제어 상세설계</x:v>
      </x:c>
      <x:c r="C39" s="7" t="str">
        <x:v>Control architecture·PLC 경계 확정</x:v>
      </x:c>
      <x:c r="D39" s="7" t="str">
        <x:f>'모듈선택'!B12</x:f>
        <x:v>적용</x:v>
      </x:c>
      <x:c r="E39" s="8" t="str">
        <x:v>계획</x:v>
      </x:c>
      <x:c r="F39" s="8" t="str">
        <x:v>종합설계사 / PM / 오너 검토 검토</x:v>
      </x:c>
      <x:c r="G39" s="8" t="str">
        <x:v>System architecture, scope matrix</x:v>
      </x:c>
      <x:c r="H39" s="9"/>
      <x:c r="I39" s="9"/>
      <x:c r="J39" s="9"/>
      <x:c r="K39" s="9"/>
      <x:c r="L39" s="9"/>
      <x:c r="M39" s="8" t="n">
        <x:v>3</x:v>
      </x:c>
      <x:c r="N39" s="8" t="n">
        <x:v>4</x:v>
      </x:c>
      <x:c r="O39" s="8" t="n">
        <x:v>7</x:v>
      </x:c>
      <x:c r="P39" s="8"/>
      <x:c r="Q39" s="8"/>
      <x:c r="R39" s="8"/>
      <x:c r="S39" s="7" t="n">
        <x:f>IF(OR(AM39="제외",AM39="완료"),0,IF(AM39&lt;&gt;"입력 OK","",IF(E39="진행",P39,M39)))</x:f>
        <x:v>3</x:v>
      </x:c>
      <x:c r="T39" s="7" t="n">
        <x:f>IF(OR(AM39="제외",AM39="완료"),0,IF(AM39&lt;&gt;"입력 OK","",IF(E39="진행",Q39,N39)))</x:f>
        <x:v>4</x:v>
      </x:c>
      <x:c r="U39" s="7" t="n">
        <x:f>IF(OR(AM39="제외",AM39="완료"),0,IF(AM39&lt;&gt;"입력 OK","",IF(E39="진행",R39,O39)))</x:f>
        <x:v>7</x:v>
      </x:c>
      <x:c r="V39" s="11" t="n">
        <x:f>IF(COUNT(S39:U39)&lt;3,"",(S39+4*T39+U39)/6)</x:f>
        <x:v>4.333333333333333</x:v>
      </x:c>
      <x:c r="W39" s="11" t="n">
        <x:f>IF(COUNT(S39:U39)&lt;3,"",((U39-S39)/6)^2)</x:f>
        <x:v>0.4444444444444444</x:v>
      </x:c>
      <x:c r="X39" s="8" t="str">
        <x:v>DB06</x:v>
      </x:c>
      <x:c r="Y39" s="8" t="str">
        <x:v>VP06</x:v>
      </x:c>
      <x:c r="Z39" s="8" t="str"/>
      <x:c r="AA39" s="8" t="str"/>
      <x:c r="AB39" s="8" t="str"/>
      <x:c r="AC39" s="8" t="str"/>
      <x:c r="AD39" s="10" t="str">
        <x:f>IF(X39="",0,INDEX($AK$6:$AK$38,MATCH(X39,$A$6:$A$38,0)))</x:f>
      </x:c>
      <x:c r="AE39" s="10" t="str">
        <x:f>IF(Y39="",0,INDEX($AK$6:$AK$38,MATCH(Y39,$A$6:$A$38,0)))</x:f>
      </x:c>
      <x:c r="AF39" s="10" t="n">
        <x:f>IF(Z39="",0,INDEX($AK$6:$AK$38,MATCH(Z39,$A$6:$A$38,0)))</x:f>
        <x:v>0</x:v>
      </x:c>
      <x:c r="AG39" s="10" t="n">
        <x:f>IF(AA39="",0,INDEX($AK$6:$AK$38,MATCH(AA39,$A$6:$A$38,0)))</x:f>
        <x:v>0</x:v>
      </x:c>
      <x:c r="AH39" s="10" t="n">
        <x:f>IF(AB39="",0,INDEX($AK$6:$AK$38,MATCH(AB39,$A$6:$A$38,0)))</x:f>
        <x:v>0</x:v>
      </x:c>
      <x:c r="AI39" s="10" t="n">
        <x:f>IF(AC39="",0,INDEX($AK$6:$AK$38,MATCH(AC39,$A$6:$A$38,0)))</x:f>
        <x:v>0</x:v>
      </x:c>
      <x:c r="AJ39" s="10" t="str">
        <x:f>IF(AM39="완료",IF(J39="",K39,J39),IF(OR(COUNT('프로젝트설정'!$B$7:$B$8)&lt;2,COUNT(AD39:AI39)&lt;6,COUNT(S39:U39)&lt;3),"",IF(AM39="제외",MAX('프로젝트설정'!$B$7,AD39:AI39),IF(E39="진행",J39,MAX('프로젝트설정'!$B$7:$B$8,L39,AD39:AI39)))))</x:f>
      </x:c>
      <x:c r="AK39" s="10" t="str">
        <x:f>IF(AM39="완료",K39,IF(AJ39="","",IF(E39="진행",MAX('프로젝트설정'!$B$8,AJ39,AD39:AI39)+T39,AJ39+T39)))</x:f>
      </x:c>
      <x:c r="AL39" s="7" t="str">
        <x:f>IF(OR(I39="",AK39=""),"",AK39-I39)</x:f>
      </x:c>
      <x:c r="AM39" s="7" t="str">
        <x:f>IF(OR(D39="제외",E39="제외"),"제외",IF(D39&lt;&gt;"적용","적용성 확인",IF(E39="완료",IF(ISNUMBER(K39),"완료","실제완료 입력"),IF(E39="보류","보류 해제 필요",IF(E39="진행",IF(AND(ISNUMBER(J39),COUNT(P39:R39)=3,P39&gt;=0,P39&lt;=Q39,Q39&lt;=R39),"입력 OK","실제착수·잔여기간 확인"),IF(AND(COUNT(M39:O39)=3,M39&gt;=0,M39&lt;=N39,N39&lt;=O39),"입력 OK","전체기간 확인"))))))</x:f>
        <x:v>입력 OK</x:v>
      </x:c>
      <x:c r="AN39" s="7" t="str">
        <x:v>07</x:v>
      </x:c>
    </x:row>
    <x:row r="40" ht="34" customHeight="1">
      <x:c r="A40" s="7" t="str">
        <x:v>IC02</x:v>
      </x:c>
      <x:c r="B40" s="7" t="str">
        <x:v>07 계장·제어 상세설계</x:v>
      </x:c>
      <x:c r="C40" s="7" t="str">
        <x:v>I/O list·계기 index·통신 interface 작성</x:v>
      </x:c>
      <x:c r="D40" s="7" t="str">
        <x:f>'모듈선택'!B12</x:f>
        <x:v>적용</x:v>
      </x:c>
      <x:c r="E40" s="8" t="str">
        <x:v>계획</x:v>
      </x:c>
      <x:c r="F40" s="8" t="str">
        <x:v>종합설계사 / PM / 오너 검토 검토</x:v>
      </x:c>
      <x:c r="G40" s="8" t="str">
        <x:v>I/O list, instrument index</x:v>
      </x:c>
      <x:c r="H40" s="9"/>
      <x:c r="I40" s="9"/>
      <x:c r="J40" s="9"/>
      <x:c r="K40" s="9"/>
      <x:c r="L40" s="9"/>
      <x:c r="M40" s="8" t="n">
        <x:v>3</x:v>
      </x:c>
      <x:c r="N40" s="8" t="n">
        <x:v>5</x:v>
      </x:c>
      <x:c r="O40" s="8" t="n">
        <x:v>9</x:v>
      </x:c>
      <x:c r="P40" s="8"/>
      <x:c r="Q40" s="8"/>
      <x:c r="R40" s="8"/>
      <x:c r="S40" s="7" t="n">
        <x:f>IF(OR(AM40="제외",AM40="완료"),0,IF(AM40&lt;&gt;"입력 OK","",IF(E40="진행",P40,M40)))</x:f>
        <x:v>3</x:v>
      </x:c>
      <x:c r="T40" s="7" t="n">
        <x:f>IF(OR(AM40="제외",AM40="완료"),0,IF(AM40&lt;&gt;"입력 OK","",IF(E40="진행",Q40,N40)))</x:f>
        <x:v>5</x:v>
      </x:c>
      <x:c r="U40" s="7" t="n">
        <x:f>IF(OR(AM40="제외",AM40="완료"),0,IF(AM40&lt;&gt;"입력 OK","",IF(E40="진행",R40,O40)))</x:f>
        <x:v>9</x:v>
      </x:c>
      <x:c r="V40" s="11" t="n">
        <x:f>IF(COUNT(S40:U40)&lt;3,"",(S40+4*T40+U40)/6)</x:f>
        <x:v>5.333333333333333</x:v>
      </x:c>
      <x:c r="W40" s="11" t="n">
        <x:f>IF(COUNT(S40:U40)&lt;3,"",((U40-S40)/6)^2)</x:f>
        <x:v>1</x:v>
      </x:c>
      <x:c r="X40" s="8" t="str">
        <x:v>IC01</x:v>
      </x:c>
      <x:c r="Y40" s="8" t="str"/>
      <x:c r="Z40" s="8" t="str"/>
      <x:c r="AA40" s="8" t="str"/>
      <x:c r="AB40" s="8" t="str"/>
      <x:c r="AC40" s="8" t="str"/>
      <x:c r="AD40" s="10" t="str">
        <x:f>IF(X40="",0,INDEX($AK$6:$AK$39,MATCH(X40,$A$6:$A$39,0)))</x:f>
      </x:c>
      <x:c r="AE40" s="10" t="n">
        <x:f>IF(Y40="",0,INDEX($AK$6:$AK$39,MATCH(Y40,$A$6:$A$39,0)))</x:f>
        <x:v>0</x:v>
      </x:c>
      <x:c r="AF40" s="10" t="n">
        <x:f>IF(Z40="",0,INDEX($AK$6:$AK$39,MATCH(Z40,$A$6:$A$39,0)))</x:f>
        <x:v>0</x:v>
      </x:c>
      <x:c r="AG40" s="10" t="n">
        <x:f>IF(AA40="",0,INDEX($AK$6:$AK$39,MATCH(AA40,$A$6:$A$39,0)))</x:f>
        <x:v>0</x:v>
      </x:c>
      <x:c r="AH40" s="10" t="n">
        <x:f>IF(AB40="",0,INDEX($AK$6:$AK$39,MATCH(AB40,$A$6:$A$39,0)))</x:f>
        <x:v>0</x:v>
      </x:c>
      <x:c r="AI40" s="10" t="n">
        <x:f>IF(AC40="",0,INDEX($AK$6:$AK$39,MATCH(AC40,$A$6:$A$39,0)))</x:f>
        <x:v>0</x:v>
      </x:c>
      <x:c r="AJ40" s="10" t="str">
        <x:f>IF(AM40="완료",IF(J40="",K40,J40),IF(OR(COUNT('프로젝트설정'!$B$7:$B$8)&lt;2,COUNT(AD40:AI40)&lt;6,COUNT(S40:U40)&lt;3),"",IF(AM40="제외",MAX('프로젝트설정'!$B$7,AD40:AI40),IF(E40="진행",J40,MAX('프로젝트설정'!$B$7:$B$8,L40,AD40:AI40)))))</x:f>
      </x:c>
      <x:c r="AK40" s="10" t="str">
        <x:f>IF(AM40="완료",K40,IF(AJ40="","",IF(E40="진행",MAX('프로젝트설정'!$B$8,AJ40,AD40:AI40)+T40,AJ40+T40)))</x:f>
      </x:c>
      <x:c r="AL40" s="7" t="str">
        <x:f>IF(OR(I40="",AK40=""),"",AK40-I40)</x:f>
      </x:c>
      <x:c r="AM40" s="7" t="str">
        <x:f>IF(OR(D40="제외",E40="제외"),"제외",IF(D40&lt;&gt;"적용","적용성 확인",IF(E40="완료",IF(ISNUMBER(K40),"완료","실제완료 입력"),IF(E40="보류","보류 해제 필요",IF(E40="진행",IF(AND(ISNUMBER(J40),COUNT(P40:R40)=3,P40&gt;=0,P40&lt;=Q40,Q40&lt;=R40),"입력 OK","실제착수·잔여기간 확인"),IF(AND(COUNT(M40:O40)=3,M40&gt;=0,M40&lt;=N40,N40&lt;=O40),"입력 OK","전체기간 확인"))))))</x:f>
        <x:v>입력 OK</x:v>
      </x:c>
      <x:c r="AN40" s="7" t="str">
        <x:v>07</x:v>
      </x:c>
    </x:row>
    <x:row r="41" ht="34" customHeight="1">
      <x:c r="A41" s="7" t="str">
        <x:v>IC03</x:v>
      </x:c>
      <x:c r="B41" s="7" t="str">
        <x:v>07 계장·제어 상세설계</x:v>
      </x:c>
      <x:c r="C41" s="7" t="str">
        <x:v>C&amp;E·인터록·Alarm/Set point 정합성 확인</x:v>
      </x:c>
      <x:c r="D41" s="7" t="str">
        <x:f>'모듈선택'!B12</x:f>
        <x:v>적용</x:v>
      </x:c>
      <x:c r="E41" s="8" t="str">
        <x:v>계획</x:v>
      </x:c>
      <x:c r="F41" s="8" t="str">
        <x:v>종합설계사 / PM / 오너 검토 검토</x:v>
      </x:c>
      <x:c r="G41" s="8" t="str">
        <x:v>C&amp;E, interlock, alarm list</x:v>
      </x:c>
      <x:c r="H41" s="9"/>
      <x:c r="I41" s="9"/>
      <x:c r="J41" s="9"/>
      <x:c r="K41" s="9"/>
      <x:c r="L41" s="9"/>
      <x:c r="M41" s="8" t="n">
        <x:v>3</x:v>
      </x:c>
      <x:c r="N41" s="8" t="n">
        <x:v>5</x:v>
      </x:c>
      <x:c r="O41" s="8" t="n">
        <x:v>9</x:v>
      </x:c>
      <x:c r="P41" s="8"/>
      <x:c r="Q41" s="8"/>
      <x:c r="R41" s="8"/>
      <x:c r="S41" s="7" t="n">
        <x:f>IF(OR(AM41="제외",AM41="완료"),0,IF(AM41&lt;&gt;"입력 OK","",IF(E41="진행",P41,M41)))</x:f>
        <x:v>3</x:v>
      </x:c>
      <x:c r="T41" s="7" t="n">
        <x:f>IF(OR(AM41="제외",AM41="완료"),0,IF(AM41&lt;&gt;"입력 OK","",IF(E41="진행",Q41,N41)))</x:f>
        <x:v>5</x:v>
      </x:c>
      <x:c r="U41" s="7" t="n">
        <x:f>IF(OR(AM41="제외",AM41="완료"),0,IF(AM41&lt;&gt;"입력 OK","",IF(E41="진행",R41,O41)))</x:f>
        <x:v>9</x:v>
      </x:c>
      <x:c r="V41" s="11" t="n">
        <x:f>IF(COUNT(S41:U41)&lt;3,"",(S41+4*T41+U41)/6)</x:f>
        <x:v>5.333333333333333</x:v>
      </x:c>
      <x:c r="W41" s="11" t="n">
        <x:f>IF(COUNT(S41:U41)&lt;3,"",((U41-S41)/6)^2)</x:f>
        <x:v>1</x:v>
      </x:c>
      <x:c r="X41" s="8" t="str">
        <x:v>IC02</x:v>
      </x:c>
      <x:c r="Y41" s="8" t="str"/>
      <x:c r="Z41" s="8" t="str"/>
      <x:c r="AA41" s="8" t="str"/>
      <x:c r="AB41" s="8" t="str"/>
      <x:c r="AC41" s="8" t="str"/>
      <x:c r="AD41" s="10" t="str">
        <x:f>IF(X41="",0,INDEX($AK$6:$AK$40,MATCH(X41,$A$6:$A$40,0)))</x:f>
      </x:c>
      <x:c r="AE41" s="10" t="n">
        <x:f>IF(Y41="",0,INDEX($AK$6:$AK$40,MATCH(Y41,$A$6:$A$40,0)))</x:f>
        <x:v>0</x:v>
      </x:c>
      <x:c r="AF41" s="10" t="n">
        <x:f>IF(Z41="",0,INDEX($AK$6:$AK$40,MATCH(Z41,$A$6:$A$40,0)))</x:f>
        <x:v>0</x:v>
      </x:c>
      <x:c r="AG41" s="10" t="n">
        <x:f>IF(AA41="",0,INDEX($AK$6:$AK$40,MATCH(AA41,$A$6:$A$40,0)))</x:f>
        <x:v>0</x:v>
      </x:c>
      <x:c r="AH41" s="10" t="n">
        <x:f>IF(AB41="",0,INDEX($AK$6:$AK$40,MATCH(AB41,$A$6:$A$40,0)))</x:f>
        <x:v>0</x:v>
      </x:c>
      <x:c r="AI41" s="10" t="n">
        <x:f>IF(AC41="",0,INDEX($AK$6:$AK$40,MATCH(AC41,$A$6:$A$40,0)))</x:f>
        <x:v>0</x:v>
      </x:c>
      <x:c r="AJ41" s="10" t="str">
        <x:f>IF(AM41="완료",IF(J41="",K41,J41),IF(OR(COUNT('프로젝트설정'!$B$7:$B$8)&lt;2,COUNT(AD41:AI41)&lt;6,COUNT(S41:U41)&lt;3),"",IF(AM41="제외",MAX('프로젝트설정'!$B$7,AD41:AI41),IF(E41="진행",J41,MAX('프로젝트설정'!$B$7:$B$8,L41,AD41:AI41)))))</x:f>
      </x:c>
      <x:c r="AK41" s="10" t="str">
        <x:f>IF(AM41="완료",K41,IF(AJ41="","",IF(E41="진행",MAX('프로젝트설정'!$B$8,AJ41,AD41:AI41)+T41,AJ41+T41)))</x:f>
      </x:c>
      <x:c r="AL41" s="7" t="str">
        <x:f>IF(OR(I41="",AK41=""),"",AK41-I41)</x:f>
      </x:c>
      <x:c r="AM41" s="7" t="str">
        <x:f>IF(OR(D41="제외",E41="제외"),"제외",IF(D41&lt;&gt;"적용","적용성 확인",IF(E41="완료",IF(ISNUMBER(K41),"완료","실제완료 입력"),IF(E41="보류","보류 해제 필요",IF(E41="진행",IF(AND(ISNUMBER(J41),COUNT(P41:R41)=3,P41&gt;=0,P41&lt;=Q41,Q41&lt;=R41),"입력 OK","실제착수·잔여기간 확인"),IF(AND(COUNT(M41:O41)=3,M41&gt;=0,M41&lt;=N41,N41&lt;=O41),"입력 OK","전체기간 확인"))))))</x:f>
        <x:v>입력 OK</x:v>
      </x:c>
      <x:c r="AN41" s="7" t="str">
        <x:v>07</x:v>
      </x:c>
    </x:row>
    <x:row r="42" ht="34" customHeight="1">
      <x:c r="A42" s="7" t="str">
        <x:v>IC04</x:v>
      </x:c>
      <x:c r="B42" s="7" t="str">
        <x:v>07 계장·제어 상세설계</x:v>
      </x:c>
      <x:c r="C42" s="7" t="str">
        <x:v>Loop·wiring·panel GA·cable schedule 작성</x:v>
      </x:c>
      <x:c r="D42" s="7" t="str">
        <x:f>'모듈선택'!B12</x:f>
        <x:v>적용</x:v>
      </x:c>
      <x:c r="E42" s="8" t="str">
        <x:v>계획</x:v>
      </x:c>
      <x:c r="F42" s="8" t="str">
        <x:v>종합설계사 / PM / 오너 검토 검토</x:v>
      </x:c>
      <x:c r="G42" s="8" t="str">
        <x:v>Loop, wiring, panel GA</x:v>
      </x:c>
      <x:c r="H42" s="9"/>
      <x:c r="I42" s="9"/>
      <x:c r="J42" s="9"/>
      <x:c r="K42" s="9"/>
      <x:c r="L42" s="9"/>
      <x:c r="M42" s="8" t="n">
        <x:v>5</x:v>
      </x:c>
      <x:c r="N42" s="8" t="n">
        <x:v>7</x:v>
      </x:c>
      <x:c r="O42" s="8" t="n">
        <x:v>12</x:v>
      </x:c>
      <x:c r="P42" s="8"/>
      <x:c r="Q42" s="8"/>
      <x:c r="R42" s="8"/>
      <x:c r="S42" s="7" t="n">
        <x:f>IF(OR(AM42="제외",AM42="완료"),0,IF(AM42&lt;&gt;"입력 OK","",IF(E42="진행",P42,M42)))</x:f>
        <x:v>5</x:v>
      </x:c>
      <x:c r="T42" s="7" t="n">
        <x:f>IF(OR(AM42="제외",AM42="완료"),0,IF(AM42&lt;&gt;"입력 OK","",IF(E42="진행",Q42,N42)))</x:f>
        <x:v>7</x:v>
      </x:c>
      <x:c r="U42" s="7" t="n">
        <x:f>IF(OR(AM42="제외",AM42="완료"),0,IF(AM42&lt;&gt;"입력 OK","",IF(E42="진행",R42,O42)))</x:f>
        <x:v>12</x:v>
      </x:c>
      <x:c r="V42" s="11" t="n">
        <x:f>IF(COUNT(S42:U42)&lt;3,"",(S42+4*T42+U42)/6)</x:f>
        <x:v>7.5</x:v>
      </x:c>
      <x:c r="W42" s="11" t="n">
        <x:f>IF(COUNT(S42:U42)&lt;3,"",((U42-S42)/6)^2)</x:f>
        <x:v>1.3611111111111114</x:v>
      </x:c>
      <x:c r="X42" s="8" t="str">
        <x:v>IC03</x:v>
      </x:c>
      <x:c r="Y42" s="8" t="str"/>
      <x:c r="Z42" s="8" t="str"/>
      <x:c r="AA42" s="8" t="str"/>
      <x:c r="AB42" s="8" t="str"/>
      <x:c r="AC42" s="8" t="str"/>
      <x:c r="AD42" s="10" t="str">
        <x:f>IF(X42="",0,INDEX($AK$6:$AK$41,MATCH(X42,$A$6:$A$41,0)))</x:f>
      </x:c>
      <x:c r="AE42" s="10" t="n">
        <x:f>IF(Y42="",0,INDEX($AK$6:$AK$41,MATCH(Y42,$A$6:$A$41,0)))</x:f>
        <x:v>0</x:v>
      </x:c>
      <x:c r="AF42" s="10" t="n">
        <x:f>IF(Z42="",0,INDEX($AK$6:$AK$41,MATCH(Z42,$A$6:$A$41,0)))</x:f>
        <x:v>0</x:v>
      </x:c>
      <x:c r="AG42" s="10" t="n">
        <x:f>IF(AA42="",0,INDEX($AK$6:$AK$41,MATCH(AA42,$A$6:$A$41,0)))</x:f>
        <x:v>0</x:v>
      </x:c>
      <x:c r="AH42" s="10" t="n">
        <x:f>IF(AB42="",0,INDEX($AK$6:$AK$41,MATCH(AB42,$A$6:$A$41,0)))</x:f>
        <x:v>0</x:v>
      </x:c>
      <x:c r="AI42" s="10" t="n">
        <x:f>IF(AC42="",0,INDEX($AK$6:$AK$41,MATCH(AC42,$A$6:$A$41,0)))</x:f>
        <x:v>0</x:v>
      </x:c>
      <x:c r="AJ42" s="10" t="str">
        <x:f>IF(AM42="완료",IF(J42="",K42,J42),IF(OR(COUNT('프로젝트설정'!$B$7:$B$8)&lt;2,COUNT(AD42:AI42)&lt;6,COUNT(S42:U42)&lt;3),"",IF(AM42="제외",MAX('프로젝트설정'!$B$7,AD42:AI42),IF(E42="진행",J42,MAX('프로젝트설정'!$B$7:$B$8,L42,AD42:AI42)))))</x:f>
      </x:c>
      <x:c r="AK42" s="10" t="str">
        <x:f>IF(AM42="완료",K42,IF(AJ42="","",IF(E42="진행",MAX('프로젝트설정'!$B$8,AJ42,AD42:AI42)+T42,AJ42+T42)))</x:f>
      </x:c>
      <x:c r="AL42" s="7" t="str">
        <x:f>IF(OR(I42="",AK42=""),"",AK42-I42)</x:f>
      </x:c>
      <x:c r="AM42" s="7" t="str">
        <x:f>IF(OR(D42="제외",E42="제외"),"제외",IF(D42&lt;&gt;"적용","적용성 확인",IF(E42="완료",IF(ISNUMBER(K42),"완료","실제완료 입력"),IF(E42="보류","보류 해제 필요",IF(E42="진행",IF(AND(ISNUMBER(J42),COUNT(P42:R42)=3,P42&gt;=0,P42&lt;=Q42,Q42&lt;=R42),"입력 OK","실제착수·잔여기간 확인"),IF(AND(COUNT(M42:O42)=3,M42&gt;=0,M42&lt;=N42,N42&lt;=O42),"입력 OK","전체기간 확인"))))))</x:f>
        <x:v>입력 OK</x:v>
      </x:c>
      <x:c r="AN42" s="7" t="str">
        <x:v>07</x:v>
      </x:c>
    </x:row>
    <x:row r="43" ht="34" customHeight="1">
      <x:c r="A43" s="7" t="str">
        <x:v>IC05</x:v>
      </x:c>
      <x:c r="B43" s="7" t="str">
        <x:v>07 계장·제어 상세설계</x:v>
      </x:c>
      <x:c r="C43" s="7" t="str">
        <x:v>방폭기기 사양·인증서·접지 연계 확인</x:v>
      </x:c>
      <x:c r="D43" s="7" t="str">
        <x:f>'모듈선택'!B12</x:f>
        <x:v>적용</x:v>
      </x:c>
      <x:c r="E43" s="8" t="str">
        <x:v>계획</x:v>
      </x:c>
      <x:c r="F43" s="8" t="str">
        <x:v>종합설계사 / PM / 오너 검토 검토</x:v>
      </x:c>
      <x:c r="G43" s="8" t="str">
        <x:v>Ex certificate, earthing schedule</x:v>
      </x:c>
      <x:c r="H43" s="9"/>
      <x:c r="I43" s="9"/>
      <x:c r="J43" s="9"/>
      <x:c r="K43" s="9"/>
      <x:c r="L43" s="9"/>
      <x:c r="M43" s="8" t="n">
        <x:v>3</x:v>
      </x:c>
      <x:c r="N43" s="8" t="n">
        <x:v>4</x:v>
      </x:c>
      <x:c r="O43" s="8" t="n">
        <x:v>7</x:v>
      </x:c>
      <x:c r="P43" s="8"/>
      <x:c r="Q43" s="8"/>
      <x:c r="R43" s="8"/>
      <x:c r="S43" s="7" t="n">
        <x:f>IF(OR(AM43="제외",AM43="완료"),0,IF(AM43&lt;&gt;"입력 OK","",IF(E43="진행",P43,M43)))</x:f>
        <x:v>3</x:v>
      </x:c>
      <x:c r="T43" s="7" t="n">
        <x:f>IF(OR(AM43="제외",AM43="완료"),0,IF(AM43&lt;&gt;"입력 OK","",IF(E43="진행",Q43,N43)))</x:f>
        <x:v>4</x:v>
      </x:c>
      <x:c r="U43" s="7" t="n">
        <x:f>IF(OR(AM43="제외",AM43="완료"),0,IF(AM43&lt;&gt;"입력 OK","",IF(E43="진행",R43,O43)))</x:f>
        <x:v>7</x:v>
      </x:c>
      <x:c r="V43" s="11" t="n">
        <x:f>IF(COUNT(S43:U43)&lt;3,"",(S43+4*T43+U43)/6)</x:f>
        <x:v>4.333333333333333</x:v>
      </x:c>
      <x:c r="W43" s="11" t="n">
        <x:f>IF(COUNT(S43:U43)&lt;3,"",((U43-S43)/6)^2)</x:f>
        <x:v>0.4444444444444444</x:v>
      </x:c>
      <x:c r="X43" s="8" t="str">
        <x:v>IC04</x:v>
      </x:c>
      <x:c r="Y43" s="8" t="str"/>
      <x:c r="Z43" s="8" t="str"/>
      <x:c r="AA43" s="8" t="str"/>
      <x:c r="AB43" s="8" t="str"/>
      <x:c r="AC43" s="8" t="str"/>
      <x:c r="AD43" s="10" t="str">
        <x:f>IF(X43="",0,INDEX($AK$6:$AK$42,MATCH(X43,$A$6:$A$42,0)))</x:f>
      </x:c>
      <x:c r="AE43" s="10" t="n">
        <x:f>IF(Y43="",0,INDEX($AK$6:$AK$42,MATCH(Y43,$A$6:$A$42,0)))</x:f>
        <x:v>0</x:v>
      </x:c>
      <x:c r="AF43" s="10" t="n">
        <x:f>IF(Z43="",0,INDEX($AK$6:$AK$42,MATCH(Z43,$A$6:$A$42,0)))</x:f>
        <x:v>0</x:v>
      </x:c>
      <x:c r="AG43" s="10" t="n">
        <x:f>IF(AA43="",0,INDEX($AK$6:$AK$42,MATCH(AA43,$A$6:$A$42,0)))</x:f>
        <x:v>0</x:v>
      </x:c>
      <x:c r="AH43" s="10" t="n">
        <x:f>IF(AB43="",0,INDEX($AK$6:$AK$42,MATCH(AB43,$A$6:$A$42,0)))</x:f>
        <x:v>0</x:v>
      </x:c>
      <x:c r="AI43" s="10" t="n">
        <x:f>IF(AC43="",0,INDEX($AK$6:$AK$42,MATCH(AC43,$A$6:$A$42,0)))</x:f>
        <x:v>0</x:v>
      </x:c>
      <x:c r="AJ43" s="10" t="str">
        <x:f>IF(AM43="완료",IF(J43="",K43,J43),IF(OR(COUNT('프로젝트설정'!$B$7:$B$8)&lt;2,COUNT(AD43:AI43)&lt;6,COUNT(S43:U43)&lt;3),"",IF(AM43="제외",MAX('프로젝트설정'!$B$7,AD43:AI43),IF(E43="진행",J43,MAX('프로젝트설정'!$B$7:$B$8,L43,AD43:AI43)))))</x:f>
      </x:c>
      <x:c r="AK43" s="10" t="str">
        <x:f>IF(AM43="완료",K43,IF(AJ43="","",IF(E43="진행",MAX('프로젝트설정'!$B$8,AJ43,AD43:AI43)+T43,AJ43+T43)))</x:f>
      </x:c>
      <x:c r="AL43" s="7" t="str">
        <x:f>IF(OR(I43="",AK43=""),"",AK43-I43)</x:f>
      </x:c>
      <x:c r="AM43" s="7" t="str">
        <x:f>IF(OR(D43="제외",E43="제외"),"제외",IF(D43&lt;&gt;"적용","적용성 확인",IF(E43="완료",IF(ISNUMBER(K43),"완료","실제완료 입력"),IF(E43="보류","보류 해제 필요",IF(E43="진행",IF(AND(ISNUMBER(J43),COUNT(P43:R43)=3,P43&gt;=0,P43&lt;=Q43,Q43&lt;=R43),"입력 OK","실제착수·잔여기간 확인"),IF(AND(COUNT(M43:O43)=3,M43&gt;=0,M43&lt;=N43,N43&lt;=O43),"입력 OK","전체기간 확인"))))))</x:f>
        <x:v>입력 OK</x:v>
      </x:c>
      <x:c r="AN43" s="7" t="str">
        <x:v>07</x:v>
      </x:c>
    </x:row>
    <x:row r="44" ht="34" customHeight="1">
      <x:c r="A44" s="7" t="str">
        <x:v>IC06</x:v>
      </x:c>
      <x:c r="B44" s="7" t="str">
        <x:v>07 계장·제어 상세설계</x:v>
      </x:c>
      <x:c r="C44" s="7" t="str">
        <x:v>PLC/SCADA 기능설계 검토 및 동결</x:v>
      </x:c>
      <x:c r="D44" s="7" t="str">
        <x:f>'모듈선택'!B12</x:f>
        <x:v>적용</x:v>
      </x:c>
      <x:c r="E44" s="8" t="str">
        <x:v>계획</x:v>
      </x:c>
      <x:c r="F44" s="8" t="str">
        <x:v>종합설계사 / PM / 오너 검토 검토</x:v>
      </x:c>
      <x:c r="G44" s="8" t="str">
        <x:v>FDS/SDS, logic narrative</x:v>
      </x:c>
      <x:c r="H44" s="9"/>
      <x:c r="I44" s="9"/>
      <x:c r="J44" s="9"/>
      <x:c r="K44" s="9"/>
      <x:c r="L44" s="9"/>
      <x:c r="M44" s="8" t="n">
        <x:v>3</x:v>
      </x:c>
      <x:c r="N44" s="8" t="n">
        <x:v>5</x:v>
      </x:c>
      <x:c r="O44" s="8" t="n">
        <x:v>9</x:v>
      </x:c>
      <x:c r="P44" s="8"/>
      <x:c r="Q44" s="8"/>
      <x:c r="R44" s="8"/>
      <x:c r="S44" s="7" t="n">
        <x:f>IF(OR(AM44="제외",AM44="완료"),0,IF(AM44&lt;&gt;"입력 OK","",IF(E44="진행",P44,M44)))</x:f>
        <x:v>3</x:v>
      </x:c>
      <x:c r="T44" s="7" t="n">
        <x:f>IF(OR(AM44="제외",AM44="완료"),0,IF(AM44&lt;&gt;"입력 OK","",IF(E44="진행",Q44,N44)))</x:f>
        <x:v>5</x:v>
      </x:c>
      <x:c r="U44" s="7" t="n">
        <x:f>IF(OR(AM44="제외",AM44="완료"),0,IF(AM44&lt;&gt;"입력 OK","",IF(E44="진행",R44,O44)))</x:f>
        <x:v>9</x:v>
      </x:c>
      <x:c r="V44" s="11" t="n">
        <x:f>IF(COUNT(S44:U44)&lt;3,"",(S44+4*T44+U44)/6)</x:f>
        <x:v>5.333333333333333</x:v>
      </x:c>
      <x:c r="W44" s="11" t="n">
        <x:f>IF(COUNT(S44:U44)&lt;3,"",((U44-S44)/6)^2)</x:f>
        <x:v>1</x:v>
      </x:c>
      <x:c r="X44" s="8" t="str">
        <x:v>IC05</x:v>
      </x:c>
      <x:c r="Y44" s="8" t="str"/>
      <x:c r="Z44" s="8" t="str"/>
      <x:c r="AA44" s="8" t="str"/>
      <x:c r="AB44" s="8" t="str"/>
      <x:c r="AC44" s="8" t="str"/>
      <x:c r="AD44" s="10" t="str">
        <x:f>IF(X44="",0,INDEX($AK$6:$AK$43,MATCH(X44,$A$6:$A$43,0)))</x:f>
      </x:c>
      <x:c r="AE44" s="10" t="n">
        <x:f>IF(Y44="",0,INDEX($AK$6:$AK$43,MATCH(Y44,$A$6:$A$43,0)))</x:f>
        <x:v>0</x:v>
      </x:c>
      <x:c r="AF44" s="10" t="n">
        <x:f>IF(Z44="",0,INDEX($AK$6:$AK$43,MATCH(Z44,$A$6:$A$43,0)))</x:f>
        <x:v>0</x:v>
      </x:c>
      <x:c r="AG44" s="10" t="n">
        <x:f>IF(AA44="",0,INDEX($AK$6:$AK$43,MATCH(AA44,$A$6:$A$43,0)))</x:f>
        <x:v>0</x:v>
      </x:c>
      <x:c r="AH44" s="10" t="n">
        <x:f>IF(AB44="",0,INDEX($AK$6:$AK$43,MATCH(AB44,$A$6:$A$43,0)))</x:f>
        <x:v>0</x:v>
      </x:c>
      <x:c r="AI44" s="10" t="n">
        <x:f>IF(AC44="",0,INDEX($AK$6:$AK$43,MATCH(AC44,$A$6:$A$43,0)))</x:f>
        <x:v>0</x:v>
      </x:c>
      <x:c r="AJ44" s="10" t="str">
        <x:f>IF(AM44="완료",IF(J44="",K44,J44),IF(OR(COUNT('프로젝트설정'!$B$7:$B$8)&lt;2,COUNT(AD44:AI44)&lt;6,COUNT(S44:U44)&lt;3),"",IF(AM44="제외",MAX('프로젝트설정'!$B$7,AD44:AI44),IF(E44="진행",J44,MAX('프로젝트설정'!$B$7:$B$8,L44,AD44:AI44)))))</x:f>
      </x:c>
      <x:c r="AK44" s="10" t="str">
        <x:f>IF(AM44="완료",K44,IF(AJ44="","",IF(E44="진행",MAX('프로젝트설정'!$B$8,AJ44,AD44:AI44)+T44,AJ44+T44)))</x:f>
      </x:c>
      <x:c r="AL44" s="7" t="str">
        <x:f>IF(OR(I44="",AK44=""),"",AK44-I44)</x:f>
      </x:c>
      <x:c r="AM44" s="7" t="str">
        <x:f>IF(OR(D44="제외",E44="제외"),"제외",IF(D44&lt;&gt;"적용","적용성 확인",IF(E44="완료",IF(ISNUMBER(K44),"완료","실제완료 입력"),IF(E44="보류","보류 해제 필요",IF(E44="진행",IF(AND(ISNUMBER(J44),COUNT(P44:R44)=3,P44&gt;=0,P44&lt;=Q44,Q44&lt;=R44),"입력 OK","실제착수·잔여기간 확인"),IF(AND(COUNT(M44:O44)=3,M44&gt;=0,M44&lt;=N44,N44&lt;=O44),"입력 OK","전체기간 확인"))))))</x:f>
        <x:v>입력 OK</x:v>
      </x:c>
      <x:c r="AN44" s="7" t="str">
        <x:v>07</x:v>
      </x:c>
    </x:row>
    <x:row r="45" ht="34" customHeight="1">
      <x:c r="A45" s="7" t="str">
        <x:v>IC07</x:v>
      </x:c>
      <x:c r="B45" s="7" t="str">
        <x:v>07 계장·제어 상세설계</x:v>
      </x:c>
      <x:c r="C45" s="7" t="str">
        <x:v>계장 IFC·시공 내역서 발행</x:v>
      </x:c>
      <x:c r="D45" s="7" t="str">
        <x:f>'모듈선택'!B12</x:f>
        <x:v>적용</x:v>
      </x:c>
      <x:c r="E45" s="8" t="str">
        <x:v>계획</x:v>
      </x:c>
      <x:c r="F45" s="8" t="str">
        <x:v>종합설계사 / PM / 오너 검토 검토</x:v>
      </x:c>
      <x:c r="G45" s="8" t="str">
        <x:v>IFC 도서, MTO</x:v>
      </x:c>
      <x:c r="H45" s="9"/>
      <x:c r="I45" s="9"/>
      <x:c r="J45" s="9"/>
      <x:c r="K45" s="9"/>
      <x:c r="L45" s="9"/>
      <x:c r="M45" s="8" t="n">
        <x:v>2</x:v>
      </x:c>
      <x:c r="N45" s="8" t="n">
        <x:v>3</x:v>
      </x:c>
      <x:c r="O45" s="8" t="n">
        <x:v>6</x:v>
      </x:c>
      <x:c r="P45" s="8"/>
      <x:c r="Q45" s="8"/>
      <x:c r="R45" s="8"/>
      <x:c r="S45" s="7" t="n">
        <x:f>IF(OR(AM45="제외",AM45="완료"),0,IF(AM45&lt;&gt;"입력 OK","",IF(E45="진행",P45,M45)))</x:f>
        <x:v>2</x:v>
      </x:c>
      <x:c r="T45" s="7" t="n">
        <x:f>IF(OR(AM45="제외",AM45="완료"),0,IF(AM45&lt;&gt;"입력 OK","",IF(E45="진행",Q45,N45)))</x:f>
        <x:v>3</x:v>
      </x:c>
      <x:c r="U45" s="7" t="n">
        <x:f>IF(OR(AM45="제외",AM45="완료"),0,IF(AM45&lt;&gt;"입력 OK","",IF(E45="진행",R45,O45)))</x:f>
        <x:v>6</x:v>
      </x:c>
      <x:c r="V45" s="11" t="n">
        <x:f>IF(COUNT(S45:U45)&lt;3,"",(S45+4*T45+U45)/6)</x:f>
        <x:v>3.3333333333333335</x:v>
      </x:c>
      <x:c r="W45" s="11" t="n">
        <x:f>IF(COUNT(S45:U45)&lt;3,"",((U45-S45)/6)^2)</x:f>
        <x:v>0.4444444444444444</x:v>
      </x:c>
      <x:c r="X45" s="8" t="str">
        <x:v>IC06</x:v>
      </x:c>
      <x:c r="Y45" s="8" t="str"/>
      <x:c r="Z45" s="8" t="str"/>
      <x:c r="AA45" s="8" t="str"/>
      <x:c r="AB45" s="8" t="str"/>
      <x:c r="AC45" s="8" t="str"/>
      <x:c r="AD45" s="10" t="str">
        <x:f>IF(X45="",0,INDEX($AK$6:$AK$44,MATCH(X45,$A$6:$A$44,0)))</x:f>
      </x:c>
      <x:c r="AE45" s="10" t="n">
        <x:f>IF(Y45="",0,INDEX($AK$6:$AK$44,MATCH(Y45,$A$6:$A$44,0)))</x:f>
        <x:v>0</x:v>
      </x:c>
      <x:c r="AF45" s="10" t="n">
        <x:f>IF(Z45="",0,INDEX($AK$6:$AK$44,MATCH(Z45,$A$6:$A$44,0)))</x:f>
        <x:v>0</x:v>
      </x:c>
      <x:c r="AG45" s="10" t="n">
        <x:f>IF(AA45="",0,INDEX($AK$6:$AK$44,MATCH(AA45,$A$6:$A$44,0)))</x:f>
        <x:v>0</x:v>
      </x:c>
      <x:c r="AH45" s="10" t="n">
        <x:f>IF(AB45="",0,INDEX($AK$6:$AK$44,MATCH(AB45,$A$6:$A$44,0)))</x:f>
        <x:v>0</x:v>
      </x:c>
      <x:c r="AI45" s="10" t="n">
        <x:f>IF(AC45="",0,INDEX($AK$6:$AK$44,MATCH(AC45,$A$6:$A$44,0)))</x:f>
        <x:v>0</x:v>
      </x:c>
      <x:c r="AJ45" s="10" t="str">
        <x:f>IF(AM45="완료",IF(J45="",K45,J45),IF(OR(COUNT('프로젝트설정'!$B$7:$B$8)&lt;2,COUNT(AD45:AI45)&lt;6,COUNT(S45:U45)&lt;3),"",IF(AM45="제외",MAX('프로젝트설정'!$B$7,AD45:AI45),IF(E45="진행",J45,MAX('프로젝트설정'!$B$7:$B$8,L45,AD45:AI45)))))</x:f>
      </x:c>
      <x:c r="AK45" s="10" t="str">
        <x:f>IF(AM45="완료",K45,IF(AJ45="","",IF(E45="진행",MAX('프로젝트설정'!$B$8,AJ45,AD45:AI45)+T45,AJ45+T45)))</x:f>
      </x:c>
      <x:c r="AL45" s="7" t="str">
        <x:f>IF(OR(I45="",AK45=""),"",AK45-I45)</x:f>
      </x:c>
      <x:c r="AM45" s="7" t="str">
        <x:f>IF(OR(D45="제외",E45="제외"),"제외",IF(D45&lt;&gt;"적용","적용성 확인",IF(E45="완료",IF(ISNUMBER(K45),"완료","실제완료 입력"),IF(E45="보류","보류 해제 필요",IF(E45="진행",IF(AND(ISNUMBER(J45),COUNT(P45:R45)=3,P45&gt;=0,P45&lt;=Q45,Q45&lt;=R45),"입력 OK","실제착수·잔여기간 확인"),IF(AND(COUNT(M45:O45)=3,M45&gt;=0,M45&lt;=N45,N45&lt;=O45),"입력 OK","전체기간 확인"))))))</x:f>
        <x:v>입력 OK</x:v>
      </x:c>
      <x:c r="AN45" s="7" t="str">
        <x:v>07</x:v>
      </x:c>
    </x:row>
    <x:row r="46" ht="34" customHeight="1">
      <x:c r="A46" s="7" t="str">
        <x:v>EL01</x:v>
      </x:c>
      <x:c r="B46" s="7" t="str">
        <x:v>08 전기·통신·소방 설계</x:v>
      </x:c>
      <x:c r="C46" s="7" t="str">
        <x:v>Vendor load list 및 수전용량 검증</x:v>
      </x:c>
      <x:c r="D46" s="7" t="str">
        <x:f>'모듈선택'!B13</x:f>
        <x:v>적용</x:v>
      </x:c>
      <x:c r="E46" s="8" t="str">
        <x:v>계획</x:v>
      </x:c>
      <x:c r="F46" s="8" t="str">
        <x:v>종합설계사 / PM / 오너 검토 검토</x:v>
      </x:c>
      <x:c r="G46" s="8" t="str">
        <x:v>Load list, demand calculation</x:v>
      </x:c>
      <x:c r="H46" s="9"/>
      <x:c r="I46" s="9"/>
      <x:c r="J46" s="9"/>
      <x:c r="K46" s="9"/>
      <x:c r="L46" s="9"/>
      <x:c r="M46" s="8" t="n">
        <x:v>3</x:v>
      </x:c>
      <x:c r="N46" s="8" t="n">
        <x:v>4</x:v>
      </x:c>
      <x:c r="O46" s="8" t="n">
        <x:v>7</x:v>
      </x:c>
      <x:c r="P46" s="8"/>
      <x:c r="Q46" s="8"/>
      <x:c r="R46" s="8"/>
      <x:c r="S46" s="7" t="n">
        <x:f>IF(OR(AM46="제외",AM46="완료"),0,IF(AM46&lt;&gt;"입력 OK","",IF(E46="진행",P46,M46)))</x:f>
        <x:v>3</x:v>
      </x:c>
      <x:c r="T46" s="7" t="n">
        <x:f>IF(OR(AM46="제외",AM46="완료"),0,IF(AM46&lt;&gt;"입력 OK","",IF(E46="진행",Q46,N46)))</x:f>
        <x:v>4</x:v>
      </x:c>
      <x:c r="U46" s="7" t="n">
        <x:f>IF(OR(AM46="제외",AM46="완료"),0,IF(AM46&lt;&gt;"입력 OK","",IF(E46="진행",R46,O46)))</x:f>
        <x:v>7</x:v>
      </x:c>
      <x:c r="V46" s="11" t="n">
        <x:f>IF(COUNT(S46:U46)&lt;3,"",(S46+4*T46+U46)/6)</x:f>
        <x:v>4.333333333333333</x:v>
      </x:c>
      <x:c r="W46" s="11" t="n">
        <x:f>IF(COUNT(S46:U46)&lt;3,"",((U46-S46)/6)^2)</x:f>
        <x:v>0.4444444444444444</x:v>
      </x:c>
      <x:c r="X46" s="8" t="str">
        <x:v>DB06</x:v>
      </x:c>
      <x:c r="Y46" s="8" t="str">
        <x:v>VP06</x:v>
      </x:c>
      <x:c r="Z46" s="8" t="str"/>
      <x:c r="AA46" s="8" t="str"/>
      <x:c r="AB46" s="8" t="str"/>
      <x:c r="AC46" s="8" t="str"/>
      <x:c r="AD46" s="10" t="str">
        <x:f>IF(X46="",0,INDEX($AK$6:$AK$45,MATCH(X46,$A$6:$A$45,0)))</x:f>
      </x:c>
      <x:c r="AE46" s="10" t="str">
        <x:f>IF(Y46="",0,INDEX($AK$6:$AK$45,MATCH(Y46,$A$6:$A$45,0)))</x:f>
      </x:c>
      <x:c r="AF46" s="10" t="n">
        <x:f>IF(Z46="",0,INDEX($AK$6:$AK$45,MATCH(Z46,$A$6:$A$45,0)))</x:f>
        <x:v>0</x:v>
      </x:c>
      <x:c r="AG46" s="10" t="n">
        <x:f>IF(AA46="",0,INDEX($AK$6:$AK$45,MATCH(AA46,$A$6:$A$45,0)))</x:f>
        <x:v>0</x:v>
      </x:c>
      <x:c r="AH46" s="10" t="n">
        <x:f>IF(AB46="",0,INDEX($AK$6:$AK$45,MATCH(AB46,$A$6:$A$45,0)))</x:f>
        <x:v>0</x:v>
      </x:c>
      <x:c r="AI46" s="10" t="n">
        <x:f>IF(AC46="",0,INDEX($AK$6:$AK$45,MATCH(AC46,$A$6:$A$45,0)))</x:f>
        <x:v>0</x:v>
      </x:c>
      <x:c r="AJ46" s="10" t="str">
        <x:f>IF(AM46="완료",IF(J46="",K46,J46),IF(OR(COUNT('프로젝트설정'!$B$7:$B$8)&lt;2,COUNT(AD46:AI46)&lt;6,COUNT(S46:U46)&lt;3),"",IF(AM46="제외",MAX('프로젝트설정'!$B$7,AD46:AI46),IF(E46="진행",J46,MAX('프로젝트설정'!$B$7:$B$8,L46,AD46:AI46)))))</x:f>
      </x:c>
      <x:c r="AK46" s="10" t="str">
        <x:f>IF(AM46="완료",K46,IF(AJ46="","",IF(E46="진행",MAX('프로젝트설정'!$B$8,AJ46,AD46:AI46)+T46,AJ46+T46)))</x:f>
      </x:c>
      <x:c r="AL46" s="7" t="str">
        <x:f>IF(OR(I46="",AK46=""),"",AK46-I46)</x:f>
      </x:c>
      <x:c r="AM46" s="7" t="str">
        <x:f>IF(OR(D46="제외",E46="제외"),"제외",IF(D46&lt;&gt;"적용","적용성 확인",IF(E46="완료",IF(ISNUMBER(K46),"완료","실제완료 입력"),IF(E46="보류","보류 해제 필요",IF(E46="진행",IF(AND(ISNUMBER(J46),COUNT(P46:R46)=3,P46&gt;=0,P46&lt;=Q46,Q46&lt;=R46),"입력 OK","실제착수·잔여기간 확인"),IF(AND(COUNT(M46:O46)=3,M46&gt;=0,M46&lt;=N46,N46&lt;=O46),"입력 OK","전체기간 확인"))))))</x:f>
        <x:v>입력 OK</x:v>
      </x:c>
      <x:c r="AN46" s="7" t="str">
        <x:v>08</x:v>
      </x:c>
    </x:row>
    <x:row r="47" ht="34" customHeight="1">
      <x:c r="A47" s="7" t="str">
        <x:v>EL02</x:v>
      </x:c>
      <x:c r="B47" s="7" t="str">
        <x:v>08 전기·통신·소방 설계</x:v>
      </x:c>
      <x:c r="C47" s="7" t="str">
        <x:v>한전 공급방식·인입경로·공사경계 협의</x:v>
      </x:c>
      <x:c r="D47" s="7" t="str">
        <x:f>'모듈선택'!B13</x:f>
        <x:v>적용</x:v>
      </x:c>
      <x:c r="E47" s="8" t="str">
        <x:v>계획</x:v>
      </x:c>
      <x:c r="F47" s="8" t="str">
        <x:v>종합설계사 / PM / 오너 검토 검토</x:v>
      </x:c>
      <x:c r="G47" s="8" t="str">
        <x:v>한전 사전협의, 인입도</x:v>
      </x:c>
      <x:c r="H47" s="9"/>
      <x:c r="I47" s="9"/>
      <x:c r="J47" s="9"/>
      <x:c r="K47" s="9"/>
      <x:c r="L47" s="9"/>
      <x:c r="M47" s="8" t="n">
        <x:v>5</x:v>
      </x:c>
      <x:c r="N47" s="8" t="n">
        <x:v>7</x:v>
      </x:c>
      <x:c r="O47" s="8" t="n">
        <x:v>12</x:v>
      </x:c>
      <x:c r="P47" s="8"/>
      <x:c r="Q47" s="8"/>
      <x:c r="R47" s="8"/>
      <x:c r="S47" s="7" t="n">
        <x:f>IF(OR(AM47="제외",AM47="완료"),0,IF(AM47&lt;&gt;"입력 OK","",IF(E47="진행",P47,M47)))</x:f>
        <x:v>5</x:v>
      </x:c>
      <x:c r="T47" s="7" t="n">
        <x:f>IF(OR(AM47="제외",AM47="완료"),0,IF(AM47&lt;&gt;"입력 OK","",IF(E47="진행",Q47,N47)))</x:f>
        <x:v>7</x:v>
      </x:c>
      <x:c r="U47" s="7" t="n">
        <x:f>IF(OR(AM47="제외",AM47="완료"),0,IF(AM47&lt;&gt;"입력 OK","",IF(E47="진행",R47,O47)))</x:f>
        <x:v>12</x:v>
      </x:c>
      <x:c r="V47" s="11" t="n">
        <x:f>IF(COUNT(S47:U47)&lt;3,"",(S47+4*T47+U47)/6)</x:f>
        <x:v>7.5</x:v>
      </x:c>
      <x:c r="W47" s="11" t="n">
        <x:f>IF(COUNT(S47:U47)&lt;3,"",((U47-S47)/6)^2)</x:f>
        <x:v>1.3611111111111114</x:v>
      </x:c>
      <x:c r="X47" s="8" t="str">
        <x:v>EL01</x:v>
      </x:c>
      <x:c r="Y47" s="8" t="str"/>
      <x:c r="Z47" s="8" t="str"/>
      <x:c r="AA47" s="8" t="str"/>
      <x:c r="AB47" s="8" t="str"/>
      <x:c r="AC47" s="8" t="str"/>
      <x:c r="AD47" s="10" t="str">
        <x:f>IF(X47="",0,INDEX($AK$6:$AK$46,MATCH(X47,$A$6:$A$46,0)))</x:f>
      </x:c>
      <x:c r="AE47" s="10" t="n">
        <x:f>IF(Y47="",0,INDEX($AK$6:$AK$46,MATCH(Y47,$A$6:$A$46,0)))</x:f>
        <x:v>0</x:v>
      </x:c>
      <x:c r="AF47" s="10" t="n">
        <x:f>IF(Z47="",0,INDEX($AK$6:$AK$46,MATCH(Z47,$A$6:$A$46,0)))</x:f>
        <x:v>0</x:v>
      </x:c>
      <x:c r="AG47" s="10" t="n">
        <x:f>IF(AA47="",0,INDEX($AK$6:$AK$46,MATCH(AA47,$A$6:$A$46,0)))</x:f>
        <x:v>0</x:v>
      </x:c>
      <x:c r="AH47" s="10" t="n">
        <x:f>IF(AB47="",0,INDEX($AK$6:$AK$46,MATCH(AB47,$A$6:$A$46,0)))</x:f>
        <x:v>0</x:v>
      </x:c>
      <x:c r="AI47" s="10" t="n">
        <x:f>IF(AC47="",0,INDEX($AK$6:$AK$46,MATCH(AC47,$A$6:$A$46,0)))</x:f>
        <x:v>0</x:v>
      </x:c>
      <x:c r="AJ47" s="10" t="str">
        <x:f>IF(AM47="완료",IF(J47="",K47,J47),IF(OR(COUNT('프로젝트설정'!$B$7:$B$8)&lt;2,COUNT(AD47:AI47)&lt;6,COUNT(S47:U47)&lt;3),"",IF(AM47="제외",MAX('프로젝트설정'!$B$7,AD47:AI47),IF(E47="진행",J47,MAX('프로젝트설정'!$B$7:$B$8,L47,AD47:AI47)))))</x:f>
      </x:c>
      <x:c r="AK47" s="10" t="str">
        <x:f>IF(AM47="완료",K47,IF(AJ47="","",IF(E47="진행",MAX('프로젝트설정'!$B$8,AJ47,AD47:AI47)+T47,AJ47+T47)))</x:f>
      </x:c>
      <x:c r="AL47" s="7" t="str">
        <x:f>IF(OR(I47="",AK47=""),"",AK47-I47)</x:f>
      </x:c>
      <x:c r="AM47" s="7" t="str">
        <x:f>IF(OR(D47="제외",E47="제외"),"제외",IF(D47&lt;&gt;"적용","적용성 확인",IF(E47="완료",IF(ISNUMBER(K47),"완료","실제완료 입력"),IF(E47="보류","보류 해제 필요",IF(E47="진행",IF(AND(ISNUMBER(J47),COUNT(P47:R47)=3,P47&gt;=0,P47&lt;=Q47,Q47&lt;=R47),"입력 OK","실제착수·잔여기간 확인"),IF(AND(COUNT(M47:O47)=3,M47&gt;=0,M47&lt;=N47,N47&lt;=O47),"입력 OK","전체기간 확인"))))))</x:f>
        <x:v>입력 OK</x:v>
      </x:c>
      <x:c r="AN47" s="7" t="str">
        <x:v>08</x:v>
      </x:c>
    </x:row>
    <x:row r="48" ht="34" customHeight="1">
      <x:c r="A48" s="7" t="str">
        <x:v>EL03</x:v>
      </x:c>
      <x:c r="B48" s="7" t="str">
        <x:v>08 전기·통신·소방 설계</x:v>
      </x:c>
      <x:c r="C48" s="7" t="str">
        <x:v>SLD·보호협조·케이블 산정</x:v>
      </x:c>
      <x:c r="D48" s="7" t="str">
        <x:f>'모듈선택'!B13</x:f>
        <x:v>적용</x:v>
      </x:c>
      <x:c r="E48" s="8" t="str">
        <x:v>계획</x:v>
      </x:c>
      <x:c r="F48" s="8" t="str">
        <x:v>종합설계사 / PM / 오너 검토 검토</x:v>
      </x:c>
      <x:c r="G48" s="8" t="str">
        <x:v>SLD, protection, cable calculation</x:v>
      </x:c>
      <x:c r="H48" s="9"/>
      <x:c r="I48" s="9"/>
      <x:c r="J48" s="9"/>
      <x:c r="K48" s="9"/>
      <x:c r="L48" s="9"/>
      <x:c r="M48" s="8" t="n">
        <x:v>5</x:v>
      </x:c>
      <x:c r="N48" s="8" t="n">
        <x:v>7</x:v>
      </x:c>
      <x:c r="O48" s="8" t="n">
        <x:v>12</x:v>
      </x:c>
      <x:c r="P48" s="8"/>
      <x:c r="Q48" s="8"/>
      <x:c r="R48" s="8"/>
      <x:c r="S48" s="7" t="n">
        <x:f>IF(OR(AM48="제외",AM48="완료"),0,IF(AM48&lt;&gt;"입력 OK","",IF(E48="진행",P48,M48)))</x:f>
        <x:v>5</x:v>
      </x:c>
      <x:c r="T48" s="7" t="n">
        <x:f>IF(OR(AM48="제외",AM48="완료"),0,IF(AM48&lt;&gt;"입력 OK","",IF(E48="진행",Q48,N48)))</x:f>
        <x:v>7</x:v>
      </x:c>
      <x:c r="U48" s="7" t="n">
        <x:f>IF(OR(AM48="제외",AM48="완료"),0,IF(AM48&lt;&gt;"입력 OK","",IF(E48="진행",R48,O48)))</x:f>
        <x:v>12</x:v>
      </x:c>
      <x:c r="V48" s="11" t="n">
        <x:f>IF(COUNT(S48:U48)&lt;3,"",(S48+4*T48+U48)/6)</x:f>
        <x:v>7.5</x:v>
      </x:c>
      <x:c r="W48" s="11" t="n">
        <x:f>IF(COUNT(S48:U48)&lt;3,"",((U48-S48)/6)^2)</x:f>
        <x:v>1.3611111111111114</x:v>
      </x:c>
      <x:c r="X48" s="8" t="str">
        <x:v>EL02</x:v>
      </x:c>
      <x:c r="Y48" s="8" t="str"/>
      <x:c r="Z48" s="8" t="str"/>
      <x:c r="AA48" s="8" t="str"/>
      <x:c r="AB48" s="8" t="str"/>
      <x:c r="AC48" s="8" t="str"/>
      <x:c r="AD48" s="10" t="str">
        <x:f>IF(X48="",0,INDEX($AK$6:$AK$47,MATCH(X48,$A$6:$A$47,0)))</x:f>
      </x:c>
      <x:c r="AE48" s="10" t="n">
        <x:f>IF(Y48="",0,INDEX($AK$6:$AK$47,MATCH(Y48,$A$6:$A$47,0)))</x:f>
        <x:v>0</x:v>
      </x:c>
      <x:c r="AF48" s="10" t="n">
        <x:f>IF(Z48="",0,INDEX($AK$6:$AK$47,MATCH(Z48,$A$6:$A$47,0)))</x:f>
        <x:v>0</x:v>
      </x:c>
      <x:c r="AG48" s="10" t="n">
        <x:f>IF(AA48="",0,INDEX($AK$6:$AK$47,MATCH(AA48,$A$6:$A$47,0)))</x:f>
        <x:v>0</x:v>
      </x:c>
      <x:c r="AH48" s="10" t="n">
        <x:f>IF(AB48="",0,INDEX($AK$6:$AK$47,MATCH(AB48,$A$6:$A$47,0)))</x:f>
        <x:v>0</x:v>
      </x:c>
      <x:c r="AI48" s="10" t="n">
        <x:f>IF(AC48="",0,INDEX($AK$6:$AK$47,MATCH(AC48,$A$6:$A$47,0)))</x:f>
        <x:v>0</x:v>
      </x:c>
      <x:c r="AJ48" s="10" t="str">
        <x:f>IF(AM48="완료",IF(J48="",K48,J48),IF(OR(COUNT('프로젝트설정'!$B$7:$B$8)&lt;2,COUNT(AD48:AI48)&lt;6,COUNT(S48:U48)&lt;3),"",IF(AM48="제외",MAX('프로젝트설정'!$B$7,AD48:AI48),IF(E48="진행",J48,MAX('프로젝트설정'!$B$7:$B$8,L48,AD48:AI48)))))</x:f>
      </x:c>
      <x:c r="AK48" s="10" t="str">
        <x:f>IF(AM48="완료",K48,IF(AJ48="","",IF(E48="진행",MAX('프로젝트설정'!$B$8,AJ48,AD48:AI48)+T48,AJ48+T48)))</x:f>
      </x:c>
      <x:c r="AL48" s="7" t="str">
        <x:f>IF(OR(I48="",AK48=""),"",AK48-I48)</x:f>
      </x:c>
      <x:c r="AM48" s="7" t="str">
        <x:f>IF(OR(D48="제외",E48="제외"),"제외",IF(D48&lt;&gt;"적용","적용성 확인",IF(E48="완료",IF(ISNUMBER(K48),"완료","실제완료 입력"),IF(E48="보류","보류 해제 필요",IF(E48="진행",IF(AND(ISNUMBER(J48),COUNT(P48:R48)=3,P48&gt;=0,P48&lt;=Q48,Q48&lt;=R48),"입력 OK","실제착수·잔여기간 확인"),IF(AND(COUNT(M48:O48)=3,M48&gt;=0,M48&lt;=N48,N48&lt;=O48),"입력 OK","전체기간 확인"))))))</x:f>
        <x:v>입력 OK</x:v>
      </x:c>
      <x:c r="AN48" s="7" t="str">
        <x:v>08</x:v>
      </x:c>
    </x:row>
    <x:row r="49" ht="34" customHeight="1">
      <x:c r="A49" s="7" t="str">
        <x:v>EL04</x:v>
      </x:c>
      <x:c r="B49" s="7" t="str">
        <x:v>08 전기·통신·소방 설계</x:v>
      </x:c>
      <x:c r="C49" s="7" t="str">
        <x:v>전기실 판넬 배치·관통부·기초자료 통보</x:v>
      </x:c>
      <x:c r="D49" s="7" t="str">
        <x:f>'모듈선택'!B13</x:f>
        <x:v>적용</x:v>
      </x:c>
      <x:c r="E49" s="8" t="str">
        <x:v>계획</x:v>
      </x:c>
      <x:c r="F49" s="8" t="str">
        <x:v>종합설계사 / PM / 오너 검토 검토</x:v>
      </x:c>
      <x:c r="G49" s="8" t="str">
        <x:v>Panel GA, opening list</x:v>
      </x:c>
      <x:c r="H49" s="9"/>
      <x:c r="I49" s="9"/>
      <x:c r="J49" s="9"/>
      <x:c r="K49" s="9"/>
      <x:c r="L49" s="9"/>
      <x:c r="M49" s="8" t="n">
        <x:v>3</x:v>
      </x:c>
      <x:c r="N49" s="8" t="n">
        <x:v>4</x:v>
      </x:c>
      <x:c r="O49" s="8" t="n">
        <x:v>7</x:v>
      </x:c>
      <x:c r="P49" s="8"/>
      <x:c r="Q49" s="8"/>
      <x:c r="R49" s="8"/>
      <x:c r="S49" s="7" t="n">
        <x:f>IF(OR(AM49="제외",AM49="완료"),0,IF(AM49&lt;&gt;"입력 OK","",IF(E49="진행",P49,M49)))</x:f>
        <x:v>3</x:v>
      </x:c>
      <x:c r="T49" s="7" t="n">
        <x:f>IF(OR(AM49="제외",AM49="완료"),0,IF(AM49&lt;&gt;"입력 OK","",IF(E49="진행",Q49,N49)))</x:f>
        <x:v>4</x:v>
      </x:c>
      <x:c r="U49" s="7" t="n">
        <x:f>IF(OR(AM49="제외",AM49="완료"),0,IF(AM49&lt;&gt;"입력 OK","",IF(E49="진행",R49,O49)))</x:f>
        <x:v>7</x:v>
      </x:c>
      <x:c r="V49" s="11" t="n">
        <x:f>IF(COUNT(S49:U49)&lt;3,"",(S49+4*T49+U49)/6)</x:f>
        <x:v>4.333333333333333</x:v>
      </x:c>
      <x:c r="W49" s="11" t="n">
        <x:f>IF(COUNT(S49:U49)&lt;3,"",((U49-S49)/6)^2)</x:f>
        <x:v>0.4444444444444444</x:v>
      </x:c>
      <x:c r="X49" s="8" t="str">
        <x:v>EL03</x:v>
      </x:c>
      <x:c r="Y49" s="8" t="str"/>
      <x:c r="Z49" s="8" t="str"/>
      <x:c r="AA49" s="8" t="str"/>
      <x:c r="AB49" s="8" t="str"/>
      <x:c r="AC49" s="8" t="str"/>
      <x:c r="AD49" s="10" t="str">
        <x:f>IF(X49="",0,INDEX($AK$6:$AK$48,MATCH(X49,$A$6:$A$48,0)))</x:f>
      </x:c>
      <x:c r="AE49" s="10" t="n">
        <x:f>IF(Y49="",0,INDEX($AK$6:$AK$48,MATCH(Y49,$A$6:$A$48,0)))</x:f>
        <x:v>0</x:v>
      </x:c>
      <x:c r="AF49" s="10" t="n">
        <x:f>IF(Z49="",0,INDEX($AK$6:$AK$48,MATCH(Z49,$A$6:$A$48,0)))</x:f>
        <x:v>0</x:v>
      </x:c>
      <x:c r="AG49" s="10" t="n">
        <x:f>IF(AA49="",0,INDEX($AK$6:$AK$48,MATCH(AA49,$A$6:$A$48,0)))</x:f>
        <x:v>0</x:v>
      </x:c>
      <x:c r="AH49" s="10" t="n">
        <x:f>IF(AB49="",0,INDEX($AK$6:$AK$48,MATCH(AB49,$A$6:$A$48,0)))</x:f>
        <x:v>0</x:v>
      </x:c>
      <x:c r="AI49" s="10" t="n">
        <x:f>IF(AC49="",0,INDEX($AK$6:$AK$48,MATCH(AC49,$A$6:$A$48,0)))</x:f>
        <x:v>0</x:v>
      </x:c>
      <x:c r="AJ49" s="10" t="str">
        <x:f>IF(AM49="완료",IF(J49="",K49,J49),IF(OR(COUNT('프로젝트설정'!$B$7:$B$8)&lt;2,COUNT(AD49:AI49)&lt;6,COUNT(S49:U49)&lt;3),"",IF(AM49="제외",MAX('프로젝트설정'!$B$7,AD49:AI49),IF(E49="진행",J49,MAX('프로젝트설정'!$B$7:$B$8,L49,AD49:AI49)))))</x:f>
      </x:c>
      <x:c r="AK49" s="10" t="str">
        <x:f>IF(AM49="완료",K49,IF(AJ49="","",IF(E49="진행",MAX('프로젝트설정'!$B$8,AJ49,AD49:AI49)+T49,AJ49+T49)))</x:f>
      </x:c>
      <x:c r="AL49" s="7" t="str">
        <x:f>IF(OR(I49="",AK49=""),"",AK49-I49)</x:f>
      </x:c>
      <x:c r="AM49" s="7" t="str">
        <x:f>IF(OR(D49="제외",E49="제외"),"제외",IF(D49&lt;&gt;"적용","적용성 확인",IF(E49="완료",IF(ISNUMBER(K49),"완료","실제완료 입력"),IF(E49="보류","보류 해제 필요",IF(E49="진행",IF(AND(ISNUMBER(J49),COUNT(P49:R49)=3,P49&gt;=0,P49&lt;=Q49,Q49&lt;=R49),"입력 OK","실제착수·잔여기간 확인"),IF(AND(COUNT(M49:O49)=3,M49&gt;=0,M49&lt;=N49,N49&lt;=O49),"입력 OK","전체기간 확인"))))))</x:f>
        <x:v>입력 OK</x:v>
      </x:c>
      <x:c r="AN49" s="7" t="str">
        <x:v>08</x:v>
      </x:c>
    </x:row>
    <x:row r="50" ht="34" customHeight="1">
      <x:c r="A50" s="7" t="str">
        <x:v>EL05</x:v>
      </x:c>
      <x:c r="B50" s="7" t="str">
        <x:v>08 전기·통신·소방 설계</x:v>
      </x:c>
      <x:c r="C50" s="7" t="str">
        <x:v>전력·조명·접지·피뢰 상세도 작성</x:v>
      </x:c>
      <x:c r="D50" s="7" t="str">
        <x:f>'모듈선택'!B13</x:f>
        <x:v>적용</x:v>
      </x:c>
      <x:c r="E50" s="8" t="str">
        <x:v>계획</x:v>
      </x:c>
      <x:c r="F50" s="8" t="str">
        <x:v>종합설계사 / PM / 오너 검토 검토</x:v>
      </x:c>
      <x:c r="G50" s="8" t="str">
        <x:v>전기 상세도, 접지계산</x:v>
      </x:c>
      <x:c r="H50" s="9"/>
      <x:c r="I50" s="9"/>
      <x:c r="J50" s="9"/>
      <x:c r="K50" s="9"/>
      <x:c r="L50" s="9"/>
      <x:c r="M50" s="8" t="n">
        <x:v>5</x:v>
      </x:c>
      <x:c r="N50" s="8" t="n">
        <x:v>7</x:v>
      </x:c>
      <x:c r="O50" s="8" t="n">
        <x:v>12</x:v>
      </x:c>
      <x:c r="P50" s="8"/>
      <x:c r="Q50" s="8"/>
      <x:c r="R50" s="8"/>
      <x:c r="S50" s="7" t="n">
        <x:f>IF(OR(AM50="제외",AM50="완료"),0,IF(AM50&lt;&gt;"입력 OK","",IF(E50="진행",P50,M50)))</x:f>
        <x:v>5</x:v>
      </x:c>
      <x:c r="T50" s="7" t="n">
        <x:f>IF(OR(AM50="제외",AM50="완료"),0,IF(AM50&lt;&gt;"입력 OK","",IF(E50="진행",Q50,N50)))</x:f>
        <x:v>7</x:v>
      </x:c>
      <x:c r="U50" s="7" t="n">
        <x:f>IF(OR(AM50="제외",AM50="완료"),0,IF(AM50&lt;&gt;"입력 OK","",IF(E50="진행",R50,O50)))</x:f>
        <x:v>12</x:v>
      </x:c>
      <x:c r="V50" s="11" t="n">
        <x:f>IF(COUNT(S50:U50)&lt;3,"",(S50+4*T50+U50)/6)</x:f>
        <x:v>7.5</x:v>
      </x:c>
      <x:c r="W50" s="11" t="n">
        <x:f>IF(COUNT(S50:U50)&lt;3,"",((U50-S50)/6)^2)</x:f>
        <x:v>1.3611111111111114</x:v>
      </x:c>
      <x:c r="X50" s="8" t="str">
        <x:v>EL04</x:v>
      </x:c>
      <x:c r="Y50" s="8" t="str"/>
      <x:c r="Z50" s="8" t="str"/>
      <x:c r="AA50" s="8" t="str"/>
      <x:c r="AB50" s="8" t="str"/>
      <x:c r="AC50" s="8" t="str"/>
      <x:c r="AD50" s="10" t="str">
        <x:f>IF(X50="",0,INDEX($AK$6:$AK$49,MATCH(X50,$A$6:$A$49,0)))</x:f>
      </x:c>
      <x:c r="AE50" s="10" t="n">
        <x:f>IF(Y50="",0,INDEX($AK$6:$AK$49,MATCH(Y50,$A$6:$A$49,0)))</x:f>
        <x:v>0</x:v>
      </x:c>
      <x:c r="AF50" s="10" t="n">
        <x:f>IF(Z50="",0,INDEX($AK$6:$AK$49,MATCH(Z50,$A$6:$A$49,0)))</x:f>
        <x:v>0</x:v>
      </x:c>
      <x:c r="AG50" s="10" t="n">
        <x:f>IF(AA50="",0,INDEX($AK$6:$AK$49,MATCH(AA50,$A$6:$A$49,0)))</x:f>
        <x:v>0</x:v>
      </x:c>
      <x:c r="AH50" s="10" t="n">
        <x:f>IF(AB50="",0,INDEX($AK$6:$AK$49,MATCH(AB50,$A$6:$A$49,0)))</x:f>
        <x:v>0</x:v>
      </x:c>
      <x:c r="AI50" s="10" t="n">
        <x:f>IF(AC50="",0,INDEX($AK$6:$AK$49,MATCH(AC50,$A$6:$A$49,0)))</x:f>
        <x:v>0</x:v>
      </x:c>
      <x:c r="AJ50" s="10" t="str">
        <x:f>IF(AM50="완료",IF(J50="",K50,J50),IF(OR(COUNT('프로젝트설정'!$B$7:$B$8)&lt;2,COUNT(AD50:AI50)&lt;6,COUNT(S50:U50)&lt;3),"",IF(AM50="제외",MAX('프로젝트설정'!$B$7,AD50:AI50),IF(E50="진행",J50,MAX('프로젝트설정'!$B$7:$B$8,L50,AD50:AI50)))))</x:f>
      </x:c>
      <x:c r="AK50" s="10" t="str">
        <x:f>IF(AM50="완료",K50,IF(AJ50="","",IF(E50="진행",MAX('프로젝트설정'!$B$8,AJ50,AD50:AI50)+T50,AJ50+T50)))</x:f>
      </x:c>
      <x:c r="AL50" s="7" t="str">
        <x:f>IF(OR(I50="",AK50=""),"",AK50-I50)</x:f>
      </x:c>
      <x:c r="AM50" s="7" t="str">
        <x:f>IF(OR(D50="제외",E50="제외"),"제외",IF(D50&lt;&gt;"적용","적용성 확인",IF(E50="완료",IF(ISNUMBER(K50),"완료","실제완료 입력"),IF(E50="보류","보류 해제 필요",IF(E50="진행",IF(AND(ISNUMBER(J50),COUNT(P50:R50)=3,P50&gt;=0,P50&lt;=Q50,Q50&lt;=R50),"입력 OK","실제착수·잔여기간 확인"),IF(AND(COUNT(M50:O50)=3,M50&gt;=0,M50&lt;=N50,N50&lt;=O50),"입력 OK","전체기간 확인"))))))</x:f>
        <x:v>입력 OK</x:v>
      </x:c>
      <x:c r="AN50" s="7" t="str">
        <x:v>08</x:v>
      </x:c>
    </x:row>
    <x:row r="51" ht="34" customHeight="1">
      <x:c r="A51" s="7" t="str">
        <x:v>EL06</x:v>
      </x:c>
      <x:c r="B51" s="7" t="str">
        <x:v>08 전기·통신·소방 설계</x:v>
      </x:c>
      <x:c r="C51" s="7" t="str">
        <x:v>통신·소방 설계도 및 관계기관 의견 반영</x:v>
      </x:c>
      <x:c r="D51" s="7" t="str">
        <x:f>'모듈선택'!B13</x:f>
        <x:v>적용</x:v>
      </x:c>
      <x:c r="E51" s="8" t="str">
        <x:v>계획</x:v>
      </x:c>
      <x:c r="F51" s="8" t="str">
        <x:v>종합설계사 / PM / 오너 검토 검토</x:v>
      </x:c>
      <x:c r="G51" s="8" t="str">
        <x:v>통신/소방 도면, 장비리스트</x:v>
      </x:c>
      <x:c r="H51" s="9"/>
      <x:c r="I51" s="9"/>
      <x:c r="J51" s="9"/>
      <x:c r="K51" s="9"/>
      <x:c r="L51" s="9"/>
      <x:c r="M51" s="8" t="n">
        <x:v>5</x:v>
      </x:c>
      <x:c r="N51" s="8" t="n">
        <x:v>7</x:v>
      </x:c>
      <x:c r="O51" s="8" t="n">
        <x:v>12</x:v>
      </x:c>
      <x:c r="P51" s="8"/>
      <x:c r="Q51" s="8"/>
      <x:c r="R51" s="8"/>
      <x:c r="S51" s="7" t="n">
        <x:f>IF(OR(AM51="제외",AM51="완료"),0,IF(AM51&lt;&gt;"입력 OK","",IF(E51="진행",P51,M51)))</x:f>
        <x:v>5</x:v>
      </x:c>
      <x:c r="T51" s="7" t="n">
        <x:f>IF(OR(AM51="제외",AM51="완료"),0,IF(AM51&lt;&gt;"입력 OK","",IF(E51="진행",Q51,N51)))</x:f>
        <x:v>7</x:v>
      </x:c>
      <x:c r="U51" s="7" t="n">
        <x:f>IF(OR(AM51="제외",AM51="완료"),0,IF(AM51&lt;&gt;"입력 OK","",IF(E51="진행",R51,O51)))</x:f>
        <x:v>12</x:v>
      </x:c>
      <x:c r="V51" s="11" t="n">
        <x:f>IF(COUNT(S51:U51)&lt;3,"",(S51+4*T51+U51)/6)</x:f>
        <x:v>7.5</x:v>
      </x:c>
      <x:c r="W51" s="11" t="n">
        <x:f>IF(COUNT(S51:U51)&lt;3,"",((U51-S51)/6)^2)</x:f>
        <x:v>1.3611111111111114</x:v>
      </x:c>
      <x:c r="X51" s="8" t="str">
        <x:v>EL05</x:v>
      </x:c>
      <x:c r="Y51" s="8" t="str"/>
      <x:c r="Z51" s="8" t="str"/>
      <x:c r="AA51" s="8" t="str"/>
      <x:c r="AB51" s="8" t="str"/>
      <x:c r="AC51" s="8" t="str"/>
      <x:c r="AD51" s="10" t="str">
        <x:f>IF(X51="",0,INDEX($AK$6:$AK$50,MATCH(X51,$A$6:$A$50,0)))</x:f>
      </x:c>
      <x:c r="AE51" s="10" t="n">
        <x:f>IF(Y51="",0,INDEX($AK$6:$AK$50,MATCH(Y51,$A$6:$A$50,0)))</x:f>
        <x:v>0</x:v>
      </x:c>
      <x:c r="AF51" s="10" t="n">
        <x:f>IF(Z51="",0,INDEX($AK$6:$AK$50,MATCH(Z51,$A$6:$A$50,0)))</x:f>
        <x:v>0</x:v>
      </x:c>
      <x:c r="AG51" s="10" t="n">
        <x:f>IF(AA51="",0,INDEX($AK$6:$AK$50,MATCH(AA51,$A$6:$A$50,0)))</x:f>
        <x:v>0</x:v>
      </x:c>
      <x:c r="AH51" s="10" t="n">
        <x:f>IF(AB51="",0,INDEX($AK$6:$AK$50,MATCH(AB51,$A$6:$A$50,0)))</x:f>
        <x:v>0</x:v>
      </x:c>
      <x:c r="AI51" s="10" t="n">
        <x:f>IF(AC51="",0,INDEX($AK$6:$AK$50,MATCH(AC51,$A$6:$A$50,0)))</x:f>
        <x:v>0</x:v>
      </x:c>
      <x:c r="AJ51" s="10" t="str">
        <x:f>IF(AM51="완료",IF(J51="",K51,J51),IF(OR(COUNT('프로젝트설정'!$B$7:$B$8)&lt;2,COUNT(AD51:AI51)&lt;6,COUNT(S51:U51)&lt;3),"",IF(AM51="제외",MAX('프로젝트설정'!$B$7,AD51:AI51),IF(E51="진행",J51,MAX('프로젝트설정'!$B$7:$B$8,L51,AD51:AI51)))))</x:f>
      </x:c>
      <x:c r="AK51" s="10" t="str">
        <x:f>IF(AM51="완료",K51,IF(AJ51="","",IF(E51="진행",MAX('프로젝트설정'!$B$8,AJ51,AD51:AI51)+T51,AJ51+T51)))</x:f>
      </x:c>
      <x:c r="AL51" s="7" t="str">
        <x:f>IF(OR(I51="",AK51=""),"",AK51-I51)</x:f>
      </x:c>
      <x:c r="AM51" s="7" t="str">
        <x:f>IF(OR(D51="제외",E51="제외"),"제외",IF(D51&lt;&gt;"적용","적용성 확인",IF(E51="완료",IF(ISNUMBER(K51),"완료","실제완료 입력"),IF(E51="보류","보류 해제 필요",IF(E51="진행",IF(AND(ISNUMBER(J51),COUNT(P51:R51)=3,P51&gt;=0,P51&lt;=Q51,Q51&lt;=R51),"입력 OK","실제착수·잔여기간 확인"),IF(AND(COUNT(M51:O51)=3,M51&gt;=0,M51&lt;=N51,N51&lt;=O51),"입력 OK","전체기간 확인"))))))</x:f>
        <x:v>입력 OK</x:v>
      </x:c>
      <x:c r="AN51" s="7" t="str">
        <x:v>08</x:v>
      </x:c>
    </x:row>
    <x:row r="52" ht="34" customHeight="1">
      <x:c r="A52" s="7" t="str">
        <x:v>EL07</x:v>
      </x:c>
      <x:c r="B52" s="7" t="str">
        <x:v>08 전기·통신·소방 설계</x:v>
      </x:c>
      <x:c r="C52" s="7" t="str">
        <x:v>전기·통신·소방 IFC 및 물량 발행</x:v>
      </x:c>
      <x:c r="D52" s="7" t="str">
        <x:f>'모듈선택'!B13</x:f>
        <x:v>적용</x:v>
      </x:c>
      <x:c r="E52" s="8" t="str">
        <x:v>계획</x:v>
      </x:c>
      <x:c r="F52" s="8" t="str">
        <x:v>종합설계사 / PM / 오너 검토 검토</x:v>
      </x:c>
      <x:c r="G52" s="8" t="str">
        <x:v>IFC, BOQ, 공사시방서</x:v>
      </x:c>
      <x:c r="H52" s="9"/>
      <x:c r="I52" s="9"/>
      <x:c r="J52" s="9"/>
      <x:c r="K52" s="9"/>
      <x:c r="L52" s="9"/>
      <x:c r="M52" s="8" t="n">
        <x:v>3</x:v>
      </x:c>
      <x:c r="N52" s="8" t="n">
        <x:v>4</x:v>
      </x:c>
      <x:c r="O52" s="8" t="n">
        <x:v>7</x:v>
      </x:c>
      <x:c r="P52" s="8"/>
      <x:c r="Q52" s="8"/>
      <x:c r="R52" s="8"/>
      <x:c r="S52" s="7" t="n">
        <x:f>IF(OR(AM52="제외",AM52="완료"),0,IF(AM52&lt;&gt;"입력 OK","",IF(E52="진행",P52,M52)))</x:f>
        <x:v>3</x:v>
      </x:c>
      <x:c r="T52" s="7" t="n">
        <x:f>IF(OR(AM52="제외",AM52="완료"),0,IF(AM52&lt;&gt;"입력 OK","",IF(E52="진행",Q52,N52)))</x:f>
        <x:v>4</x:v>
      </x:c>
      <x:c r="U52" s="7" t="n">
        <x:f>IF(OR(AM52="제외",AM52="완료"),0,IF(AM52&lt;&gt;"입력 OK","",IF(E52="진행",R52,O52)))</x:f>
        <x:v>7</x:v>
      </x:c>
      <x:c r="V52" s="11" t="n">
        <x:f>IF(COUNT(S52:U52)&lt;3,"",(S52+4*T52+U52)/6)</x:f>
        <x:v>4.333333333333333</x:v>
      </x:c>
      <x:c r="W52" s="11" t="n">
        <x:f>IF(COUNT(S52:U52)&lt;3,"",((U52-S52)/6)^2)</x:f>
        <x:v>0.4444444444444444</x:v>
      </x:c>
      <x:c r="X52" s="8" t="str">
        <x:v>EL06</x:v>
      </x:c>
      <x:c r="Y52" s="8" t="str"/>
      <x:c r="Z52" s="8" t="str"/>
      <x:c r="AA52" s="8" t="str"/>
      <x:c r="AB52" s="8" t="str"/>
      <x:c r="AC52" s="8" t="str"/>
      <x:c r="AD52" s="10" t="str">
        <x:f>IF(X52="",0,INDEX($AK$6:$AK$51,MATCH(X52,$A$6:$A$51,0)))</x:f>
      </x:c>
      <x:c r="AE52" s="10" t="n">
        <x:f>IF(Y52="",0,INDEX($AK$6:$AK$51,MATCH(Y52,$A$6:$A$51,0)))</x:f>
        <x:v>0</x:v>
      </x:c>
      <x:c r="AF52" s="10" t="n">
        <x:f>IF(Z52="",0,INDEX($AK$6:$AK$51,MATCH(Z52,$A$6:$A$51,0)))</x:f>
        <x:v>0</x:v>
      </x:c>
      <x:c r="AG52" s="10" t="n">
        <x:f>IF(AA52="",0,INDEX($AK$6:$AK$51,MATCH(AA52,$A$6:$A$51,0)))</x:f>
        <x:v>0</x:v>
      </x:c>
      <x:c r="AH52" s="10" t="n">
        <x:f>IF(AB52="",0,INDEX($AK$6:$AK$51,MATCH(AB52,$A$6:$A$51,0)))</x:f>
        <x:v>0</x:v>
      </x:c>
      <x:c r="AI52" s="10" t="n">
        <x:f>IF(AC52="",0,INDEX($AK$6:$AK$51,MATCH(AC52,$A$6:$A$51,0)))</x:f>
        <x:v>0</x:v>
      </x:c>
      <x:c r="AJ52" s="10" t="str">
        <x:f>IF(AM52="완료",IF(J52="",K52,J52),IF(OR(COUNT('프로젝트설정'!$B$7:$B$8)&lt;2,COUNT(AD52:AI52)&lt;6,COUNT(S52:U52)&lt;3),"",IF(AM52="제외",MAX('프로젝트설정'!$B$7,AD52:AI52),IF(E52="진행",J52,MAX('프로젝트설정'!$B$7:$B$8,L52,AD52:AI52)))))</x:f>
      </x:c>
      <x:c r="AK52" s="10" t="str">
        <x:f>IF(AM52="완료",K52,IF(AJ52="","",IF(E52="진행",MAX('프로젝트설정'!$B$8,AJ52,AD52:AI52)+T52,AJ52+T52)))</x:f>
      </x:c>
      <x:c r="AL52" s="7" t="str">
        <x:f>IF(OR(I52="",AK52=""),"",AK52-I52)</x:f>
      </x:c>
      <x:c r="AM52" s="7" t="str">
        <x:f>IF(OR(D52="제외",E52="제외"),"제외",IF(D52&lt;&gt;"적용","적용성 확인",IF(E52="완료",IF(ISNUMBER(K52),"완료","실제완료 입력"),IF(E52="보류","보류 해제 필요",IF(E52="진행",IF(AND(ISNUMBER(J52),COUNT(P52:R52)=3,P52&gt;=0,P52&lt;=Q52,Q52&lt;=R52),"입력 OK","실제착수·잔여기간 확인"),IF(AND(COUNT(M52:O52)=3,M52&gt;=0,M52&lt;=N52,N52&lt;=O52),"입력 OK","전체기간 확인"))))))</x:f>
        <x:v>입력 OK</x:v>
      </x:c>
      <x:c r="AN52" s="7" t="str">
        <x:v>08</x:v>
      </x:c>
    </x:row>
    <x:row r="53" ht="38" customHeight="1">
      <x:c r="A53" s="7" t="str">
        <x:v>CV01</x:v>
      </x:c>
      <x:c r="B53" s="7" t="str">
        <x:v>09 토목·구조·건축 설계</x:v>
      </x:c>
      <x:c r="C53" s="7" t="str">
        <x:v>최신 VP 하중·앵커·배수·개구부 취합</x:v>
      </x:c>
      <x:c r="D53" s="7" t="str">
        <x:f>'모듈선택'!B14</x:f>
        <x:v>적용</x:v>
      </x:c>
      <x:c r="E53" s="8" t="str">
        <x:v>계획</x:v>
      </x:c>
      <x:c r="F53" s="8" t="str">
        <x:v>건축설계사 / 종합설계사 / PM / 오너 검토</x:v>
      </x:c>
      <x:c r="G53" s="8" t="str">
        <x:v>Civil information, load/anchor list</x:v>
      </x:c>
      <x:c r="H53" s="9"/>
      <x:c r="I53" s="9"/>
      <x:c r="J53" s="9"/>
      <x:c r="K53" s="9"/>
      <x:c r="L53" s="9"/>
      <x:c r="M53" s="8" t="n">
        <x:v>3</x:v>
      </x:c>
      <x:c r="N53" s="8" t="n">
        <x:v>4</x:v>
      </x:c>
      <x:c r="O53" s="8" t="n">
        <x:v>7</x:v>
      </x:c>
      <x:c r="P53" s="8"/>
      <x:c r="Q53" s="8"/>
      <x:c r="R53" s="8"/>
      <x:c r="S53" s="7" t="n">
        <x:f>IF(OR(AM53="제외",AM53="완료"),0,IF(AM53&lt;&gt;"입력 OK","",IF(E53="진행",P53,M53)))</x:f>
        <x:v>3</x:v>
      </x:c>
      <x:c r="T53" s="7" t="n">
        <x:f>IF(OR(AM53="제외",AM53="완료"),0,IF(AM53&lt;&gt;"입력 OK","",IF(E53="진행",Q53,N53)))</x:f>
        <x:v>4</x:v>
      </x:c>
      <x:c r="U53" s="7" t="n">
        <x:f>IF(OR(AM53="제외",AM53="완료"),0,IF(AM53&lt;&gt;"입력 OK","",IF(E53="진행",R53,O53)))</x:f>
        <x:v>7</x:v>
      </x:c>
      <x:c r="V53" s="11" t="n">
        <x:f>IF(COUNT(S53:U53)&lt;3,"",(S53+4*T53+U53)/6)</x:f>
        <x:v>4.333333333333333</x:v>
      </x:c>
      <x:c r="W53" s="11" t="n">
        <x:f>IF(COUNT(S53:U53)&lt;3,"",((U53-S53)/6)^2)</x:f>
        <x:v>0.4444444444444444</x:v>
      </x:c>
      <x:c r="X53" s="8" t="str">
        <x:v>DB06</x:v>
      </x:c>
      <x:c r="Y53" s="8" t="str">
        <x:v>VP06</x:v>
      </x:c>
      <x:c r="Z53" s="8" t="str">
        <x:v>LD02</x:v>
      </x:c>
      <x:c r="AA53" s="8" t="str"/>
      <x:c r="AB53" s="8" t="str"/>
      <x:c r="AC53" s="8" t="str"/>
      <x:c r="AD53" s="10" t="str">
        <x:f>IF(X53="",0,INDEX($AK$6:$AK$52,MATCH(X53,$A$6:$A$52,0)))</x:f>
      </x:c>
      <x:c r="AE53" s="10" t="str">
        <x:f>IF(Y53="",0,INDEX($AK$6:$AK$52,MATCH(Y53,$A$6:$A$52,0)))</x:f>
      </x:c>
      <x:c r="AF53" s="10" t="str">
        <x:f>IF(Z53="",0,INDEX($AK$6:$AK$52,MATCH(Z53,$A$6:$A$52,0)))</x:f>
      </x:c>
      <x:c r="AG53" s="10" t="n">
        <x:f>IF(AA53="",0,INDEX($AK$6:$AK$52,MATCH(AA53,$A$6:$A$52,0)))</x:f>
        <x:v>0</x:v>
      </x:c>
      <x:c r="AH53" s="10" t="n">
        <x:f>IF(AB53="",0,INDEX($AK$6:$AK$52,MATCH(AB53,$A$6:$A$52,0)))</x:f>
        <x:v>0</x:v>
      </x:c>
      <x:c r="AI53" s="10" t="n">
        <x:f>IF(AC53="",0,INDEX($AK$6:$AK$52,MATCH(AC53,$A$6:$A$52,0)))</x:f>
        <x:v>0</x:v>
      </x:c>
      <x:c r="AJ53" s="10" t="str">
        <x:f>IF(AM53="완료",IF(J53="",K53,J53),IF(OR(COUNT('프로젝트설정'!$B$7:$B$8)&lt;2,COUNT(AD53:AI53)&lt;6,COUNT(S53:U53)&lt;3),"",IF(AM53="제외",MAX('프로젝트설정'!$B$7,AD53:AI53),IF(E53="진행",J53,MAX('프로젝트설정'!$B$7:$B$8,L53,AD53:AI53)))))</x:f>
      </x:c>
      <x:c r="AK53" s="10" t="str">
        <x:f>IF(AM53="완료",K53,IF(AJ53="","",IF(E53="진행",MAX('프로젝트설정'!$B$8,AJ53,AD53:AI53)+T53,AJ53+T53)))</x:f>
      </x:c>
      <x:c r="AL53" s="7" t="str">
        <x:f>IF(OR(I53="",AK53=""),"",AK53-I53)</x:f>
      </x:c>
      <x:c r="AM53" s="7" t="str">
        <x:f>IF(OR(D53="제외",E53="제외"),"제외",IF(D53&lt;&gt;"적용","적용성 확인",IF(E53="완료",IF(ISNUMBER(K53),"완료","실제완료 입력"),IF(E53="보류","보류 해제 필요",IF(E53="진행",IF(AND(ISNUMBER(J53),COUNT(P53:R53)=3,P53&gt;=0,P53&lt;=Q53,Q53&lt;=R53),"입력 OK","실제착수·잔여기간 확인"),IF(AND(COUNT(M53:O53)=3,M53&gt;=0,M53&lt;=N53,N53&lt;=O53),"입력 OK","전체기간 확인"))))))</x:f>
        <x:v>입력 OK</x:v>
      </x:c>
      <x:c r="AN53" s="7" t="str">
        <x:v>09</x:v>
      </x:c>
    </x:row>
    <x:row r="54" ht="38" customHeight="1">
      <x:c r="A54" s="7" t="str">
        <x:v>CV02</x:v>
      </x:c>
      <x:c r="B54" s="7" t="str">
        <x:v>09 토목·구조·건축 설계</x:v>
      </x:c>
      <x:c r="C54" s="7" t="str">
        <x:v>토목 계획고·우오수·집수정·트렌치 설계</x:v>
      </x:c>
      <x:c r="D54" s="7" t="str">
        <x:f>'모듈선택'!B14</x:f>
        <x:v>적용</x:v>
      </x:c>
      <x:c r="E54" s="8" t="str">
        <x:v>계획</x:v>
      </x:c>
      <x:c r="F54" s="8" t="str">
        <x:v>건축설계사 / 종합설계사 / PM / 오너 검토</x:v>
      </x:c>
      <x:c r="G54" s="8" t="str">
        <x:v>토목도, 종횡단도, 배수계산</x:v>
      </x:c>
      <x:c r="H54" s="9"/>
      <x:c r="I54" s="9"/>
      <x:c r="J54" s="9"/>
      <x:c r="K54" s="9"/>
      <x:c r="L54" s="9"/>
      <x:c r="M54" s="8" t="n">
        <x:v>4</x:v>
      </x:c>
      <x:c r="N54" s="8" t="n">
        <x:v>6</x:v>
      </x:c>
      <x:c r="O54" s="8" t="n">
        <x:v>11</x:v>
      </x:c>
      <x:c r="P54" s="8"/>
      <x:c r="Q54" s="8"/>
      <x:c r="R54" s="8"/>
      <x:c r="S54" s="7" t="n">
        <x:f>IF(OR(AM54="제외",AM54="완료"),0,IF(AM54&lt;&gt;"입력 OK","",IF(E54="진행",P54,M54)))</x:f>
        <x:v>4</x:v>
      </x:c>
      <x:c r="T54" s="7" t="n">
        <x:f>IF(OR(AM54="제외",AM54="완료"),0,IF(AM54&lt;&gt;"입력 OK","",IF(E54="진행",Q54,N54)))</x:f>
        <x:v>6</x:v>
      </x:c>
      <x:c r="U54" s="7" t="n">
        <x:f>IF(OR(AM54="제외",AM54="완료"),0,IF(AM54&lt;&gt;"입력 OK","",IF(E54="진행",R54,O54)))</x:f>
        <x:v>11</x:v>
      </x:c>
      <x:c r="V54" s="11" t="n">
        <x:f>IF(COUNT(S54:U54)&lt;3,"",(S54+4*T54+U54)/6)</x:f>
        <x:v>6.5</x:v>
      </x:c>
      <x:c r="W54" s="11" t="n">
        <x:f>IF(COUNT(S54:U54)&lt;3,"",((U54-S54)/6)^2)</x:f>
        <x:v>1.3611111111111114</x:v>
      </x:c>
      <x:c r="X54" s="8" t="str">
        <x:v>CV01</x:v>
      </x:c>
      <x:c r="Y54" s="8" t="str"/>
      <x:c r="Z54" s="8" t="str"/>
      <x:c r="AA54" s="8" t="str"/>
      <x:c r="AB54" s="8" t="str"/>
      <x:c r="AC54" s="8" t="str"/>
      <x:c r="AD54" s="10" t="str">
        <x:f>IF(X54="",0,INDEX($AK$6:$AK$53,MATCH(X54,$A$6:$A$53,0)))</x:f>
      </x:c>
      <x:c r="AE54" s="10" t="n">
        <x:f>IF(Y54="",0,INDEX($AK$6:$AK$53,MATCH(Y54,$A$6:$A$53,0)))</x:f>
        <x:v>0</x:v>
      </x:c>
      <x:c r="AF54" s="10" t="n">
        <x:f>IF(Z54="",0,INDEX($AK$6:$AK$53,MATCH(Z54,$A$6:$A$53,0)))</x:f>
        <x:v>0</x:v>
      </x:c>
      <x:c r="AG54" s="10" t="n">
        <x:f>IF(AA54="",0,INDEX($AK$6:$AK$53,MATCH(AA54,$A$6:$A$53,0)))</x:f>
        <x:v>0</x:v>
      </x:c>
      <x:c r="AH54" s="10" t="n">
        <x:f>IF(AB54="",0,INDEX($AK$6:$AK$53,MATCH(AB54,$A$6:$A$53,0)))</x:f>
        <x:v>0</x:v>
      </x:c>
      <x:c r="AI54" s="10" t="n">
        <x:f>IF(AC54="",0,INDEX($AK$6:$AK$53,MATCH(AC54,$A$6:$A$53,0)))</x:f>
        <x:v>0</x:v>
      </x:c>
      <x:c r="AJ54" s="10" t="str">
        <x:f>IF(AM54="완료",IF(J54="",K54,J54),IF(OR(COUNT('프로젝트설정'!$B$7:$B$8)&lt;2,COUNT(AD54:AI54)&lt;6,COUNT(S54:U54)&lt;3),"",IF(AM54="제외",MAX('프로젝트설정'!$B$7,AD54:AI54),IF(E54="진행",J54,MAX('프로젝트설정'!$B$7:$B$8,L54,AD54:AI54)))))</x:f>
      </x:c>
      <x:c r="AK54" s="10" t="str">
        <x:f>IF(AM54="완료",K54,IF(AJ54="","",IF(E54="진행",MAX('프로젝트설정'!$B$8,AJ54,AD54:AI54)+T54,AJ54+T54)))</x:f>
      </x:c>
      <x:c r="AL54" s="7" t="str">
        <x:f>IF(OR(I54="",AK54=""),"",AK54-I54)</x:f>
      </x:c>
      <x:c r="AM54" s="7" t="str">
        <x:f>IF(OR(D54="제외",E54="제외"),"제외",IF(D54&lt;&gt;"적용","적용성 확인",IF(E54="완료",IF(ISNUMBER(K54),"완료","실제완료 입력"),IF(E54="보류","보류 해제 필요",IF(E54="진행",IF(AND(ISNUMBER(J54),COUNT(P54:R54)=3,P54&gt;=0,P54&lt;=Q54,Q54&lt;=R54),"입력 OK","실제착수·잔여기간 확인"),IF(AND(COUNT(M54:O54)=3,M54&gt;=0,M54&lt;=N54,N54&lt;=O54),"입력 OK","전체기간 확인"))))))</x:f>
        <x:v>입력 OK</x:v>
      </x:c>
      <x:c r="AN54" s="7" t="str">
        <x:v>09</x:v>
      </x:c>
    </x:row>
    <x:row r="55" ht="38" customHeight="1">
      <x:c r="A55" s="7" t="str">
        <x:v>CV03</x:v>
      </x:c>
      <x:c r="B55" s="7" t="str">
        <x:v>09 토목·구조·건축 설계</x:v>
      </x:c>
      <x:c r="C55" s="7" t="str">
        <x:v>기초형식·파일 적용성·내진구조 계산</x:v>
      </x:c>
      <x:c r="D55" s="7" t="str">
        <x:f>'모듈선택'!B14</x:f>
        <x:v>적용</x:v>
      </x:c>
      <x:c r="E55" s="8" t="str">
        <x:v>계획</x:v>
      </x:c>
      <x:c r="F55" s="8" t="str">
        <x:v>건축설계사 / 종합설계사 / PM / 오너 검토</x:v>
      </x:c>
      <x:c r="G55" s="8" t="str">
        <x:v>지반보고서, 구조계산서</x:v>
      </x:c>
      <x:c r="H55" s="9"/>
      <x:c r="I55" s="9"/>
      <x:c r="J55" s="9"/>
      <x:c r="K55" s="9"/>
      <x:c r="L55" s="9"/>
      <x:c r="M55" s="8" t="n">
        <x:v>5</x:v>
      </x:c>
      <x:c r="N55" s="8" t="n">
        <x:v>7</x:v>
      </x:c>
      <x:c r="O55" s="8" t="n">
        <x:v>12</x:v>
      </x:c>
      <x:c r="P55" s="8"/>
      <x:c r="Q55" s="8"/>
      <x:c r="R55" s="8"/>
      <x:c r="S55" s="7" t="n">
        <x:f>IF(OR(AM55="제외",AM55="완료"),0,IF(AM55&lt;&gt;"입력 OK","",IF(E55="진행",P55,M55)))</x:f>
        <x:v>5</x:v>
      </x:c>
      <x:c r="T55" s="7" t="n">
        <x:f>IF(OR(AM55="제외",AM55="완료"),0,IF(AM55&lt;&gt;"입력 OK","",IF(E55="진행",Q55,N55)))</x:f>
        <x:v>7</x:v>
      </x:c>
      <x:c r="U55" s="7" t="n">
        <x:f>IF(OR(AM55="제외",AM55="완료"),0,IF(AM55&lt;&gt;"입력 OK","",IF(E55="진행",R55,O55)))</x:f>
        <x:v>12</x:v>
      </x:c>
      <x:c r="V55" s="11" t="n">
        <x:f>IF(COUNT(S55:U55)&lt;3,"",(S55+4*T55+U55)/6)</x:f>
        <x:v>7.5</x:v>
      </x:c>
      <x:c r="W55" s="11" t="n">
        <x:f>IF(COUNT(S55:U55)&lt;3,"",((U55-S55)/6)^2)</x:f>
        <x:v>1.3611111111111114</x:v>
      </x:c>
      <x:c r="X55" s="8" t="str">
        <x:v>CV02</x:v>
      </x:c>
      <x:c r="Y55" s="8" t="str"/>
      <x:c r="Z55" s="8" t="str"/>
      <x:c r="AA55" s="8" t="str"/>
      <x:c r="AB55" s="8" t="str"/>
      <x:c r="AC55" s="8" t="str"/>
      <x:c r="AD55" s="10" t="str">
        <x:f>IF(X55="",0,INDEX($AK$6:$AK$54,MATCH(X55,$A$6:$A$54,0)))</x:f>
      </x:c>
      <x:c r="AE55" s="10" t="n">
        <x:f>IF(Y55="",0,INDEX($AK$6:$AK$54,MATCH(Y55,$A$6:$A$54,0)))</x:f>
        <x:v>0</x:v>
      </x:c>
      <x:c r="AF55" s="10" t="n">
        <x:f>IF(Z55="",0,INDEX($AK$6:$AK$54,MATCH(Z55,$A$6:$A$54,0)))</x:f>
        <x:v>0</x:v>
      </x:c>
      <x:c r="AG55" s="10" t="n">
        <x:f>IF(AA55="",0,INDEX($AK$6:$AK$54,MATCH(AA55,$A$6:$A$54,0)))</x:f>
        <x:v>0</x:v>
      </x:c>
      <x:c r="AH55" s="10" t="n">
        <x:f>IF(AB55="",0,INDEX($AK$6:$AK$54,MATCH(AB55,$A$6:$A$54,0)))</x:f>
        <x:v>0</x:v>
      </x:c>
      <x:c r="AI55" s="10" t="n">
        <x:f>IF(AC55="",0,INDEX($AK$6:$AK$54,MATCH(AC55,$A$6:$A$54,0)))</x:f>
        <x:v>0</x:v>
      </x:c>
      <x:c r="AJ55" s="10" t="str">
        <x:f>IF(AM55="완료",IF(J55="",K55,J55),IF(OR(COUNT('프로젝트설정'!$B$7:$B$8)&lt;2,COUNT(AD55:AI55)&lt;6,COUNT(S55:U55)&lt;3),"",IF(AM55="제외",MAX('프로젝트설정'!$B$7,AD55:AI55),IF(E55="진행",J55,MAX('프로젝트설정'!$B$7:$B$8,L55,AD55:AI55)))))</x:f>
      </x:c>
      <x:c r="AK55" s="10" t="str">
        <x:f>IF(AM55="완료",K55,IF(AJ55="","",IF(E55="진행",MAX('프로젝트설정'!$B$8,AJ55,AD55:AI55)+T55,AJ55+T55)))</x:f>
      </x:c>
      <x:c r="AL55" s="7" t="str">
        <x:f>IF(OR(I55="",AK55=""),"",AK55-I55)</x:f>
      </x:c>
      <x:c r="AM55" s="7" t="str">
        <x:f>IF(OR(D55="제외",E55="제외"),"제외",IF(D55&lt;&gt;"적용","적용성 확인",IF(E55="완료",IF(ISNUMBER(K55),"완료","실제완료 입력"),IF(E55="보류","보류 해제 필요",IF(E55="진행",IF(AND(ISNUMBER(J55),COUNT(P55:R55)=3,P55&gt;=0,P55&lt;=Q55,Q55&lt;=R55),"입력 OK","실제착수·잔여기간 확인"),IF(AND(COUNT(M55:O55)=3,M55&gt;=0,M55&lt;=N55,N55&lt;=O55),"입력 OK","전체기간 확인"))))))</x:f>
        <x:v>입력 OK</x:v>
      </x:c>
      <x:c r="AN55" s="7" t="str">
        <x:v>09</x:v>
      </x:c>
    </x:row>
    <x:row r="56" ht="38" customHeight="1">
      <x:c r="A56" s="7" t="str">
        <x:v>CV04</x:v>
      </x:c>
      <x:c r="B56" s="7" t="str">
        <x:v>09 토목·구조·건축 설계</x:v>
      </x:c>
      <x:c r="C56" s="7" t="str">
        <x:v>건축 평입단면·방화·피난·환기 설계</x:v>
      </x:c>
      <x:c r="D56" s="7" t="str">
        <x:f>'모듈선택'!B14</x:f>
        <x:v>적용</x:v>
      </x:c>
      <x:c r="E56" s="8" t="str">
        <x:v>계획</x:v>
      </x:c>
      <x:c r="F56" s="8" t="str">
        <x:v>건축설계사 / 종합설계사 / PM / 오너 검토</x:v>
      </x:c>
      <x:c r="G56" s="8" t="str">
        <x:v>건축허가도, 환기계획</x:v>
      </x:c>
      <x:c r="H56" s="9"/>
      <x:c r="I56" s="9"/>
      <x:c r="J56" s="9"/>
      <x:c r="K56" s="9"/>
      <x:c r="L56" s="9"/>
      <x:c r="M56" s="8" t="n">
        <x:v>4</x:v>
      </x:c>
      <x:c r="N56" s="8" t="n">
        <x:v>6</x:v>
      </x:c>
      <x:c r="O56" s="8" t="n">
        <x:v>11</x:v>
      </x:c>
      <x:c r="P56" s="8"/>
      <x:c r="Q56" s="8"/>
      <x:c r="R56" s="8"/>
      <x:c r="S56" s="7" t="n">
        <x:f>IF(OR(AM56="제외",AM56="완료"),0,IF(AM56&lt;&gt;"입력 OK","",IF(E56="진행",P56,M56)))</x:f>
        <x:v>4</x:v>
      </x:c>
      <x:c r="T56" s="7" t="n">
        <x:f>IF(OR(AM56="제외",AM56="완료"),0,IF(AM56&lt;&gt;"입력 OK","",IF(E56="진행",Q56,N56)))</x:f>
        <x:v>6</x:v>
      </x:c>
      <x:c r="U56" s="7" t="n">
        <x:f>IF(OR(AM56="제외",AM56="완료"),0,IF(AM56&lt;&gt;"입력 OK","",IF(E56="진행",R56,O56)))</x:f>
        <x:v>11</x:v>
      </x:c>
      <x:c r="V56" s="11" t="n">
        <x:f>IF(COUNT(S56:U56)&lt;3,"",(S56+4*T56+U56)/6)</x:f>
        <x:v>6.5</x:v>
      </x:c>
      <x:c r="W56" s="11" t="n">
        <x:f>IF(COUNT(S56:U56)&lt;3,"",((U56-S56)/6)^2)</x:f>
        <x:v>1.3611111111111114</x:v>
      </x:c>
      <x:c r="X56" s="8" t="str">
        <x:v>CV03</x:v>
      </x:c>
      <x:c r="Y56" s="8" t="str"/>
      <x:c r="Z56" s="8" t="str"/>
      <x:c r="AA56" s="8" t="str"/>
      <x:c r="AB56" s="8" t="str"/>
      <x:c r="AC56" s="8" t="str"/>
      <x:c r="AD56" s="10" t="str">
        <x:f>IF(X56="",0,INDEX($AK$6:$AK$55,MATCH(X56,$A$6:$A$55,0)))</x:f>
      </x:c>
      <x:c r="AE56" s="10" t="n">
        <x:f>IF(Y56="",0,INDEX($AK$6:$AK$55,MATCH(Y56,$A$6:$A$55,0)))</x:f>
        <x:v>0</x:v>
      </x:c>
      <x:c r="AF56" s="10" t="n">
        <x:f>IF(Z56="",0,INDEX($AK$6:$AK$55,MATCH(Z56,$A$6:$A$55,0)))</x:f>
        <x:v>0</x:v>
      </x:c>
      <x:c r="AG56" s="10" t="n">
        <x:f>IF(AA56="",0,INDEX($AK$6:$AK$55,MATCH(AA56,$A$6:$A$55,0)))</x:f>
        <x:v>0</x:v>
      </x:c>
      <x:c r="AH56" s="10" t="n">
        <x:f>IF(AB56="",0,INDEX($AK$6:$AK$55,MATCH(AB56,$A$6:$A$55,0)))</x:f>
        <x:v>0</x:v>
      </x:c>
      <x:c r="AI56" s="10" t="n">
        <x:f>IF(AC56="",0,INDEX($AK$6:$AK$55,MATCH(AC56,$A$6:$A$55,0)))</x:f>
        <x:v>0</x:v>
      </x:c>
      <x:c r="AJ56" s="10" t="str">
        <x:f>IF(AM56="완료",IF(J56="",K56,J56),IF(OR(COUNT('프로젝트설정'!$B$7:$B$8)&lt;2,COUNT(AD56:AI56)&lt;6,COUNT(S56:U56)&lt;3),"",IF(AM56="제외",MAX('프로젝트설정'!$B$7,AD56:AI56),IF(E56="진행",J56,MAX('프로젝트설정'!$B$7:$B$8,L56,AD56:AI56)))))</x:f>
      </x:c>
      <x:c r="AK56" s="10" t="str">
        <x:f>IF(AM56="완료",K56,IF(AJ56="","",IF(E56="진행",MAX('프로젝트설정'!$B$8,AJ56,AD56:AI56)+T56,AJ56+T56)))</x:f>
      </x:c>
      <x:c r="AL56" s="7" t="str">
        <x:f>IF(OR(I56="",AK56=""),"",AK56-I56)</x:f>
      </x:c>
      <x:c r="AM56" s="7" t="str">
        <x:f>IF(OR(D56="제외",E56="제외"),"제외",IF(D56&lt;&gt;"적용","적용성 확인",IF(E56="완료",IF(ISNUMBER(K56),"완료","실제완료 입력"),IF(E56="보류","보류 해제 필요",IF(E56="진행",IF(AND(ISNUMBER(J56),COUNT(P56:R56)=3,P56&gt;=0,P56&lt;=Q56,Q56&lt;=R56),"입력 OK","실제착수·잔여기간 확인"),IF(AND(COUNT(M56:O56)=3,M56&gt;=0,M56&lt;=N56,N56&lt;=O56),"입력 OK","전체기간 확인"))))))</x:f>
        <x:v>입력 OK</x:v>
      </x:c>
      <x:c r="AN56" s="7" t="str">
        <x:v>09</x:v>
      </x:c>
    </x:row>
    <x:row r="57" ht="38" customHeight="1">
      <x:c r="A57" s="7" t="str">
        <x:v>CV05</x:v>
      </x:c>
      <x:c r="B57" s="7" t="str">
        <x:v>09 토목·구조·건축 설계</x:v>
      </x:c>
      <x:c r="C57" s="7" t="str">
        <x:v>건축·구조·전기·설비 간섭 검토</x:v>
      </x:c>
      <x:c r="D57" s="7" t="str">
        <x:f>'모듈선택'!B14</x:f>
        <x:v>적용</x:v>
      </x:c>
      <x:c r="E57" s="8" t="str">
        <x:v>계획</x:v>
      </x:c>
      <x:c r="F57" s="8" t="str">
        <x:v>건축설계사 / 종합설계사 / PM / 오너 검토</x:v>
      </x:c>
      <x:c r="G57" s="8" t="str">
        <x:v>Opening/anchor/interface check</x:v>
      </x:c>
      <x:c r="H57" s="9"/>
      <x:c r="I57" s="9"/>
      <x:c r="J57" s="9"/>
      <x:c r="K57" s="9"/>
      <x:c r="L57" s="9"/>
      <x:c r="M57" s="8" t="n">
        <x:v>3</x:v>
      </x:c>
      <x:c r="N57" s="8" t="n">
        <x:v>5</x:v>
      </x:c>
      <x:c r="O57" s="8" t="n">
        <x:v>9</x:v>
      </x:c>
      <x:c r="P57" s="8"/>
      <x:c r="Q57" s="8"/>
      <x:c r="R57" s="8"/>
      <x:c r="S57" s="7" t="n">
        <x:f>IF(OR(AM57="제외",AM57="완료"),0,IF(AM57&lt;&gt;"입력 OK","",IF(E57="진행",P57,M57)))</x:f>
        <x:v>3</x:v>
      </x:c>
      <x:c r="T57" s="7" t="n">
        <x:f>IF(OR(AM57="제외",AM57="완료"),0,IF(AM57&lt;&gt;"입력 OK","",IF(E57="진행",Q57,N57)))</x:f>
        <x:v>5</x:v>
      </x:c>
      <x:c r="U57" s="7" t="n">
        <x:f>IF(OR(AM57="제외",AM57="완료"),0,IF(AM57&lt;&gt;"입력 OK","",IF(E57="진행",R57,O57)))</x:f>
        <x:v>9</x:v>
      </x:c>
      <x:c r="V57" s="11" t="n">
        <x:f>IF(COUNT(S57:U57)&lt;3,"",(S57+4*T57+U57)/6)</x:f>
        <x:v>5.333333333333333</x:v>
      </x:c>
      <x:c r="W57" s="11" t="n">
        <x:f>IF(COUNT(S57:U57)&lt;3,"",((U57-S57)/6)^2)</x:f>
        <x:v>1</x:v>
      </x:c>
      <x:c r="X57" s="8" t="str">
        <x:v>CV04</x:v>
      </x:c>
      <x:c r="Y57" s="8" t="str"/>
      <x:c r="Z57" s="8" t="str"/>
      <x:c r="AA57" s="8" t="str"/>
      <x:c r="AB57" s="8" t="str"/>
      <x:c r="AC57" s="8" t="str"/>
      <x:c r="AD57" s="10" t="str">
        <x:f>IF(X57="",0,INDEX($AK$6:$AK$56,MATCH(X57,$A$6:$A$56,0)))</x:f>
      </x:c>
      <x:c r="AE57" s="10" t="n">
        <x:f>IF(Y57="",0,INDEX($AK$6:$AK$56,MATCH(Y57,$A$6:$A$56,0)))</x:f>
        <x:v>0</x:v>
      </x:c>
      <x:c r="AF57" s="10" t="n">
        <x:f>IF(Z57="",0,INDEX($AK$6:$AK$56,MATCH(Z57,$A$6:$A$56,0)))</x:f>
        <x:v>0</x:v>
      </x:c>
      <x:c r="AG57" s="10" t="n">
        <x:f>IF(AA57="",0,INDEX($AK$6:$AK$56,MATCH(AA57,$A$6:$A$56,0)))</x:f>
        <x:v>0</x:v>
      </x:c>
      <x:c r="AH57" s="10" t="n">
        <x:f>IF(AB57="",0,INDEX($AK$6:$AK$56,MATCH(AB57,$A$6:$A$56,0)))</x:f>
        <x:v>0</x:v>
      </x:c>
      <x:c r="AI57" s="10" t="n">
        <x:f>IF(AC57="",0,INDEX($AK$6:$AK$56,MATCH(AC57,$A$6:$A$56,0)))</x:f>
        <x:v>0</x:v>
      </x:c>
      <x:c r="AJ57" s="10" t="str">
        <x:f>IF(AM57="완료",IF(J57="",K57,J57),IF(OR(COUNT('프로젝트설정'!$B$7:$B$8)&lt;2,COUNT(AD57:AI57)&lt;6,COUNT(S57:U57)&lt;3),"",IF(AM57="제외",MAX('프로젝트설정'!$B$7,AD57:AI57),IF(E57="진행",J57,MAX('프로젝트설정'!$B$7:$B$8,L57,AD57:AI57)))))</x:f>
      </x:c>
      <x:c r="AK57" s="10" t="str">
        <x:f>IF(AM57="완료",K57,IF(AJ57="","",IF(E57="진행",MAX('프로젝트설정'!$B$8,AJ57,AD57:AI57)+T57,AJ57+T57)))</x:f>
      </x:c>
      <x:c r="AL57" s="7" t="str">
        <x:f>IF(OR(I57="",AK57=""),"",AK57-I57)</x:f>
      </x:c>
      <x:c r="AM57" s="7" t="str">
        <x:f>IF(OR(D57="제외",E57="제외"),"제외",IF(D57&lt;&gt;"적용","적용성 확인",IF(E57="완료",IF(ISNUMBER(K57),"완료","실제완료 입력"),IF(E57="보류","보류 해제 필요",IF(E57="진행",IF(AND(ISNUMBER(J57),COUNT(P57:R57)=3,P57&gt;=0,P57&lt;=Q57,Q57&lt;=R57),"입력 OK","실제착수·잔여기간 확인"),IF(AND(COUNT(M57:O57)=3,M57&gt;=0,M57&lt;=N57,N57&lt;=O57),"입력 OK","전체기간 확인"))))))</x:f>
        <x:v>입력 OK</x:v>
      </x:c>
      <x:c r="AN57" s="7" t="str">
        <x:v>09</x:v>
      </x:c>
    </x:row>
    <x:row r="58" ht="38" customHeight="1">
      <x:c r="A58" s="7" t="str">
        <x:v>CV06</x:v>
      </x:c>
      <x:c r="B58" s="7" t="str">
        <x:v>09 토목·구조·건축 설계</x:v>
      </x:c>
      <x:c r="C58" s="7" t="str">
        <x:v>토건 승인도서·물량산출서 초안 발행</x:v>
      </x:c>
      <x:c r="D58" s="7" t="str">
        <x:f>'모듈선택'!B14</x:f>
        <x:v>적용</x:v>
      </x:c>
      <x:c r="E58" s="8" t="str">
        <x:v>계획</x:v>
      </x:c>
      <x:c r="F58" s="8" t="str">
        <x:v>건축설계사 / 종합설계사 / PM / 오너 검토</x:v>
      </x:c>
      <x:c r="G58" s="8" t="str">
        <x:v>승인도서, 수량산출서 초안</x:v>
      </x:c>
      <x:c r="H58" s="9"/>
      <x:c r="I58" s="9"/>
      <x:c r="J58" s="9"/>
      <x:c r="K58" s="9"/>
      <x:c r="L58" s="9"/>
      <x:c r="M58" s="8" t="n">
        <x:v>2</x:v>
      </x:c>
      <x:c r="N58" s="8" t="n">
        <x:v>3</x:v>
      </x:c>
      <x:c r="O58" s="8" t="n">
        <x:v>6</x:v>
      </x:c>
      <x:c r="P58" s="8"/>
      <x:c r="Q58" s="8"/>
      <x:c r="R58" s="8"/>
      <x:c r="S58" s="7" t="n">
        <x:f>IF(OR(AM58="제외",AM58="완료"),0,IF(AM58&lt;&gt;"입력 OK","",IF(E58="진행",P58,M58)))</x:f>
        <x:v>2</x:v>
      </x:c>
      <x:c r="T58" s="7" t="n">
        <x:f>IF(OR(AM58="제외",AM58="완료"),0,IF(AM58&lt;&gt;"입력 OK","",IF(E58="진행",Q58,N58)))</x:f>
        <x:v>3</x:v>
      </x:c>
      <x:c r="U58" s="7" t="n">
        <x:f>IF(OR(AM58="제외",AM58="완료"),0,IF(AM58&lt;&gt;"입력 OK","",IF(E58="진행",R58,O58)))</x:f>
        <x:v>6</x:v>
      </x:c>
      <x:c r="V58" s="11" t="n">
        <x:f>IF(COUNT(S58:U58)&lt;3,"",(S58+4*T58+U58)/6)</x:f>
        <x:v>3.3333333333333335</x:v>
      </x:c>
      <x:c r="W58" s="11" t="n">
        <x:f>IF(COUNT(S58:U58)&lt;3,"",((U58-S58)/6)^2)</x:f>
        <x:v>0.4444444444444444</x:v>
      </x:c>
      <x:c r="X58" s="8" t="str">
        <x:v>CV05</x:v>
      </x:c>
      <x:c r="Y58" s="8" t="str"/>
      <x:c r="Z58" s="8" t="str"/>
      <x:c r="AA58" s="8" t="str"/>
      <x:c r="AB58" s="8" t="str"/>
      <x:c r="AC58" s="8" t="str"/>
      <x:c r="AD58" s="10" t="str">
        <x:f>IF(X58="",0,INDEX($AK$6:$AK$57,MATCH(X58,$A$6:$A$57,0)))</x:f>
      </x:c>
      <x:c r="AE58" s="10" t="n">
        <x:f>IF(Y58="",0,INDEX($AK$6:$AK$57,MATCH(Y58,$A$6:$A$57,0)))</x:f>
        <x:v>0</x:v>
      </x:c>
      <x:c r="AF58" s="10" t="n">
        <x:f>IF(Z58="",0,INDEX($AK$6:$AK$57,MATCH(Z58,$A$6:$A$57,0)))</x:f>
        <x:v>0</x:v>
      </x:c>
      <x:c r="AG58" s="10" t="n">
        <x:f>IF(AA58="",0,INDEX($AK$6:$AK$57,MATCH(AA58,$A$6:$A$57,0)))</x:f>
        <x:v>0</x:v>
      </x:c>
      <x:c r="AH58" s="10" t="n">
        <x:f>IF(AB58="",0,INDEX($AK$6:$AK$57,MATCH(AB58,$A$6:$A$57,0)))</x:f>
        <x:v>0</x:v>
      </x:c>
      <x:c r="AI58" s="10" t="n">
        <x:f>IF(AC58="",0,INDEX($AK$6:$AK$57,MATCH(AC58,$A$6:$A$57,0)))</x:f>
        <x:v>0</x:v>
      </x:c>
      <x:c r="AJ58" s="10" t="str">
        <x:f>IF(AM58="완료",IF(J58="",K58,J58),IF(OR(COUNT('프로젝트설정'!$B$7:$B$8)&lt;2,COUNT(AD58:AI58)&lt;6,COUNT(S58:U58)&lt;3),"",IF(AM58="제외",MAX('프로젝트설정'!$B$7,AD58:AI58),IF(E58="진행",J58,MAX('프로젝트설정'!$B$7:$B$8,L58,AD58:AI58)))))</x:f>
      </x:c>
      <x:c r="AK58" s="10" t="str">
        <x:f>IF(AM58="완료",K58,IF(AJ58="","",IF(E58="진행",MAX('프로젝트설정'!$B$8,AJ58,AD58:AI58)+T58,AJ58+T58)))</x:f>
      </x:c>
      <x:c r="AL58" s="7" t="str">
        <x:f>IF(OR(I58="",AK58=""),"",AK58-I58)</x:f>
      </x:c>
      <x:c r="AM58" s="7" t="str">
        <x:f>IF(OR(D58="제외",E58="제외"),"제외",IF(D58&lt;&gt;"적용","적용성 확인",IF(E58="완료",IF(ISNUMBER(K58),"완료","실제완료 입력"),IF(E58="보류","보류 해제 필요",IF(E58="진행",IF(AND(ISNUMBER(J58),COUNT(P58:R58)=3,P58&gt;=0,P58&lt;=Q58,Q58&lt;=R58),"입력 OK","실제착수·잔여기간 확인"),IF(AND(COUNT(M58:O58)=3,M58&gt;=0,M58&lt;=N58,N58&lt;=O58),"입력 OK","전체기간 확인"))))))</x:f>
        <x:v>입력 OK</x:v>
      </x:c>
      <x:c r="AN58" s="7" t="str">
        <x:v>09</x:v>
      </x:c>
    </x:row>
    <x:row r="59" ht="38" customHeight="1">
      <x:c r="A59" s="7" t="str">
        <x:v>CV07</x:v>
      </x:c>
      <x:c r="B59" s="7" t="str">
        <x:v>09 토목·구조·건축 설계</x:v>
      </x:c>
      <x:c r="C59" s="7" t="str">
        <x:v>토건 공사시방·내역서 및 IFC 발행</x:v>
      </x:c>
      <x:c r="D59" s="7" t="str">
        <x:f>'모듈선택'!B14</x:f>
        <x:v>적용</x:v>
      </x:c>
      <x:c r="E59" s="8" t="str">
        <x:v>계획</x:v>
      </x:c>
      <x:c r="F59" s="8" t="str">
        <x:v>건축설계사 / 종합설계사 / PM / 오너 검토</x:v>
      </x:c>
      <x:c r="G59" s="8" t="str">
        <x:v>IFC, BOQ, 공사시방서</x:v>
      </x:c>
      <x:c r="H59" s="9"/>
      <x:c r="I59" s="9"/>
      <x:c r="J59" s="9"/>
      <x:c r="K59" s="9"/>
      <x:c r="L59" s="9"/>
      <x:c r="M59" s="8" t="n">
        <x:v>3</x:v>
      </x:c>
      <x:c r="N59" s="8" t="n">
        <x:v>5</x:v>
      </x:c>
      <x:c r="O59" s="8" t="n">
        <x:v>9</x:v>
      </x:c>
      <x:c r="P59" s="8"/>
      <x:c r="Q59" s="8"/>
      <x:c r="R59" s="8"/>
      <x:c r="S59" s="7" t="n">
        <x:f>IF(OR(AM59="제외",AM59="완료"),0,IF(AM59&lt;&gt;"입력 OK","",IF(E59="진행",P59,M59)))</x:f>
        <x:v>3</x:v>
      </x:c>
      <x:c r="T59" s="7" t="n">
        <x:f>IF(OR(AM59="제외",AM59="완료"),0,IF(AM59&lt;&gt;"입력 OK","",IF(E59="진행",Q59,N59)))</x:f>
        <x:v>5</x:v>
      </x:c>
      <x:c r="U59" s="7" t="n">
        <x:f>IF(OR(AM59="제외",AM59="완료"),0,IF(AM59&lt;&gt;"입력 OK","",IF(E59="진행",R59,O59)))</x:f>
        <x:v>9</x:v>
      </x:c>
      <x:c r="V59" s="11" t="n">
        <x:f>IF(COUNT(S59:U59)&lt;3,"",(S59+4*T59+U59)/6)</x:f>
        <x:v>5.333333333333333</x:v>
      </x:c>
      <x:c r="W59" s="11" t="n">
        <x:f>IF(COUNT(S59:U59)&lt;3,"",((U59-S59)/6)^2)</x:f>
        <x:v>1</x:v>
      </x:c>
      <x:c r="X59" s="8" t="str">
        <x:v>CV06</x:v>
      </x:c>
      <x:c r="Y59" s="8" t="str"/>
      <x:c r="Z59" s="8" t="str"/>
      <x:c r="AA59" s="8" t="str"/>
      <x:c r="AB59" s="8" t="str"/>
      <x:c r="AC59" s="8" t="str"/>
      <x:c r="AD59" s="10" t="str">
        <x:f>IF(X59="",0,INDEX($AK$6:$AK$58,MATCH(X59,$A$6:$A$58,0)))</x:f>
      </x:c>
      <x:c r="AE59" s="10" t="n">
        <x:f>IF(Y59="",0,INDEX($AK$6:$AK$58,MATCH(Y59,$A$6:$A$58,0)))</x:f>
        <x:v>0</x:v>
      </x:c>
      <x:c r="AF59" s="10" t="n">
        <x:f>IF(Z59="",0,INDEX($AK$6:$AK$58,MATCH(Z59,$A$6:$A$58,0)))</x:f>
        <x:v>0</x:v>
      </x:c>
      <x:c r="AG59" s="10" t="n">
        <x:f>IF(AA59="",0,INDEX($AK$6:$AK$58,MATCH(AA59,$A$6:$A$58,0)))</x:f>
        <x:v>0</x:v>
      </x:c>
      <x:c r="AH59" s="10" t="n">
        <x:f>IF(AB59="",0,INDEX($AK$6:$AK$58,MATCH(AB59,$A$6:$A$58,0)))</x:f>
        <x:v>0</x:v>
      </x:c>
      <x:c r="AI59" s="10" t="n">
        <x:f>IF(AC59="",0,INDEX($AK$6:$AK$58,MATCH(AC59,$A$6:$A$58,0)))</x:f>
        <x:v>0</x:v>
      </x:c>
      <x:c r="AJ59" s="10" t="str">
        <x:f>IF(AM59="완료",IF(J59="",K59,J59),IF(OR(COUNT('프로젝트설정'!$B$7:$B$8)&lt;2,COUNT(AD59:AI59)&lt;6,COUNT(S59:U59)&lt;3),"",IF(AM59="제외",MAX('프로젝트설정'!$B$7,AD59:AI59),IF(E59="진행",J59,MAX('프로젝트설정'!$B$7:$B$8,L59,AD59:AI59)))))</x:f>
      </x:c>
      <x:c r="AK59" s="10" t="str">
        <x:f>IF(AM59="완료",K59,IF(AJ59="","",IF(E59="진행",MAX('프로젝트설정'!$B$8,AJ59,AD59:AI59)+T59,AJ59+T59)))</x:f>
      </x:c>
      <x:c r="AL59" s="7" t="str">
        <x:f>IF(OR(I59="",AK59=""),"",AK59-I59)</x:f>
      </x:c>
      <x:c r="AM59" s="7" t="str">
        <x:f>IF(OR(D59="제외",E59="제외"),"제외",IF(D59&lt;&gt;"적용","적용성 확인",IF(E59="완료",IF(ISNUMBER(K59),"완료","실제완료 입력"),IF(E59="보류","보류 해제 필요",IF(E59="진행",IF(AND(ISNUMBER(J59),COUNT(P59:R59)=3,P59&gt;=0,P59&lt;=Q59,Q59&lt;=R59),"입력 OK","실제착수·잔여기간 확인"),IF(AND(COUNT(M59:O59)=3,M59&gt;=0,M59&lt;=N59,N59&lt;=O59),"입력 OK","전체기간 확인"))))))</x:f>
        <x:v>입력 OK</x:v>
      </x:c>
      <x:c r="AN59" s="7" t="str">
        <x:v>09</x:v>
      </x:c>
    </x:row>
    <x:row r="60" ht="34" customHeight="1">
      <x:c r="A60" s="7" t="str">
        <x:v>EX01</x:v>
      </x:c>
      <x:c r="B60" s="7" t="str">
        <x:v>03 도시계획·실시계획</x:v>
      </x:c>
      <x:c r="C60" s="7" t="str">
        <x:v>실시계획인가·건축허가 의제 경로 확인</x:v>
      </x:c>
      <x:c r="D60" s="7" t="str">
        <x:f>'모듈선택'!B8</x:f>
        <x:v>검토 필요</x:v>
      </x:c>
      <x:c r="E60" s="8" t="str">
        <x:v>계획</x:v>
      </x:c>
      <x:c r="F60" s="8" t="str">
        <x:v>인허가 용역사 / 건축설계사 / 사업주</x:v>
      </x:c>
      <x:c r="G60" s="8" t="str">
        <x:v>신청 경로 및 부서별 체크리스트</x:v>
      </x:c>
      <x:c r="H60" s="9"/>
      <x:c r="I60" s="9"/>
      <x:c r="J60" s="9"/>
      <x:c r="K60" s="9"/>
      <x:c r="L60" s="9"/>
      <x:c r="M60" s="8" t="n">
        <x:v>2</x:v>
      </x:c>
      <x:c r="N60" s="8" t="n">
        <x:v>3</x:v>
      </x:c>
      <x:c r="O60" s="8" t="n">
        <x:v>6</x:v>
      </x:c>
      <x:c r="P60" s="8"/>
      <x:c r="Q60" s="8"/>
      <x:c r="R60" s="8"/>
      <x:c r="S60" s="7" t="str">
        <x:f>IF(OR(AM60="제외",AM60="완료"),0,IF(AM60&lt;&gt;"입력 OK","",IF(E60="진행",P60,M60)))</x:f>
      </x:c>
      <x:c r="T60" s="7" t="str">
        <x:f>IF(OR(AM60="제외",AM60="완료"),0,IF(AM60&lt;&gt;"입력 OK","",IF(E60="진행",Q60,N60)))</x:f>
      </x:c>
      <x:c r="U60" s="7" t="str">
        <x:f>IF(OR(AM60="제외",AM60="완료"),0,IF(AM60&lt;&gt;"입력 OK","",IF(E60="진행",R60,O60)))</x:f>
      </x:c>
      <x:c r="V60" s="11" t="str">
        <x:f>IF(COUNT(S60:U60)&lt;3,"",(S60+4*T60+U60)/6)</x:f>
      </x:c>
      <x:c r="W60" s="11" t="str">
        <x:f>IF(COUNT(S60:U60)&lt;3,"",((U60-S60)/6)^2)</x:f>
      </x:c>
      <x:c r="X60" s="8" t="str">
        <x:v>UP05</x:v>
      </x:c>
      <x:c r="Y60" s="8" t="str">
        <x:v>CV06</x:v>
      </x:c>
      <x:c r="Z60" s="8" t="str">
        <x:v>LD04</x:v>
      </x:c>
      <x:c r="AA60" s="8" t="str"/>
      <x:c r="AB60" s="8" t="str"/>
      <x:c r="AC60" s="8" t="str"/>
      <x:c r="AD60" s="10" t="str">
        <x:f>IF(X60="",0,INDEX($AK$6:$AK$59,MATCH(X60,$A$6:$A$59,0)))</x:f>
      </x:c>
      <x:c r="AE60" s="10" t="str">
        <x:f>IF(Y60="",0,INDEX($AK$6:$AK$59,MATCH(Y60,$A$6:$A$59,0)))</x:f>
      </x:c>
      <x:c r="AF60" s="10" t="str">
        <x:f>IF(Z60="",0,INDEX($AK$6:$AK$59,MATCH(Z60,$A$6:$A$59,0)))</x:f>
      </x:c>
      <x:c r="AG60" s="10" t="n">
        <x:f>IF(AA60="",0,INDEX($AK$6:$AK$59,MATCH(AA60,$A$6:$A$59,0)))</x:f>
        <x:v>0</x:v>
      </x:c>
      <x:c r="AH60" s="10" t="n">
        <x:f>IF(AB60="",0,INDEX($AK$6:$AK$59,MATCH(AB60,$A$6:$A$59,0)))</x:f>
        <x:v>0</x:v>
      </x:c>
      <x:c r="AI60" s="10" t="n">
        <x:f>IF(AC60="",0,INDEX($AK$6:$AK$59,MATCH(AC60,$A$6:$A$59,0)))</x:f>
        <x:v>0</x:v>
      </x:c>
      <x:c r="AJ60" s="10" t="str">
        <x:f>IF(AM60="완료",IF(J60="",K60,J60),IF(OR(COUNT('프로젝트설정'!$B$7:$B$8)&lt;2,COUNT(AD60:AI60)&lt;6,COUNT(S60:U60)&lt;3),"",IF(AM60="제외",MAX('프로젝트설정'!$B$7,AD60:AI60),IF(E60="진행",J60,MAX('프로젝트설정'!$B$7:$B$8,L60,AD60:AI60)))))</x:f>
      </x:c>
      <x:c r="AK60" s="10" t="str">
        <x:f>IF(AM60="완료",K60,IF(AJ60="","",IF(E60="진행",MAX('프로젝트설정'!$B$8,AJ60,AD60:AI60)+T60,AJ60+T60)))</x:f>
      </x:c>
      <x:c r="AL60" s="7" t="str">
        <x:f>IF(OR(I60="",AK60=""),"",AK60-I60)</x:f>
      </x:c>
      <x:c r="AM60" s="7" t="str">
        <x:f>IF(OR(D60="제외",E60="제외"),"제외",IF(D60&lt;&gt;"적용","적용성 확인",IF(E60="완료",IF(ISNUMBER(K60),"완료","실제완료 입력"),IF(E60="보류","보류 해제 필요",IF(E60="진행",IF(AND(ISNUMBER(J60),COUNT(P60:R60)=3,P60&gt;=0,P60&lt;=Q60,Q60&lt;=R60),"입력 OK","실제착수·잔여기간 확인"),IF(AND(COUNT(M60:O60)=3,M60&gt;=0,M60&lt;=N60,N60&lt;=O60),"입력 OK","전체기간 확인"))))))</x:f>
        <x:v>적용성 확인</x:v>
      </x:c>
      <x:c r="AN60" s="7" t="str">
        <x:v>03</x:v>
      </x:c>
    </x:row>
    <x:row r="61" ht="34" customHeight="1">
      <x:c r="A61" s="7" t="str">
        <x:v>EX02</x:v>
      </x:c>
      <x:c r="B61" s="7" t="str">
        <x:v>03 도시계획·실시계획</x:v>
      </x:c>
      <x:c r="C61" s="7" t="str">
        <x:v>실시설계도서·협의조서·변경사유 취합</x:v>
      </x:c>
      <x:c r="D61" s="7" t="str">
        <x:f>'모듈선택'!B8</x:f>
        <x:v>검토 필요</x:v>
      </x:c>
      <x:c r="E61" s="8" t="str">
        <x:v>계획</x:v>
      </x:c>
      <x:c r="F61" s="8" t="str">
        <x:v>인허가 용역사 / 건축설계사 / 사업주</x:v>
      </x:c>
      <x:c r="G61" s="8" t="str">
        <x:v>실시설계도서, 협의조서</x:v>
      </x:c>
      <x:c r="H61" s="9"/>
      <x:c r="I61" s="9"/>
      <x:c r="J61" s="9"/>
      <x:c r="K61" s="9"/>
      <x:c r="L61" s="9"/>
      <x:c r="M61" s="8" t="n">
        <x:v>3</x:v>
      </x:c>
      <x:c r="N61" s="8" t="n">
        <x:v>5</x:v>
      </x:c>
      <x:c r="O61" s="8" t="n">
        <x:v>9</x:v>
      </x:c>
      <x:c r="P61" s="8"/>
      <x:c r="Q61" s="8"/>
      <x:c r="R61" s="8"/>
      <x:c r="S61" s="7" t="str">
        <x:f>IF(OR(AM61="제외",AM61="완료"),0,IF(AM61&lt;&gt;"입력 OK","",IF(E61="진행",P61,M61)))</x:f>
      </x:c>
      <x:c r="T61" s="7" t="str">
        <x:f>IF(OR(AM61="제외",AM61="완료"),0,IF(AM61&lt;&gt;"입력 OK","",IF(E61="진행",Q61,N61)))</x:f>
      </x:c>
      <x:c r="U61" s="7" t="str">
        <x:f>IF(OR(AM61="제외",AM61="완료"),0,IF(AM61&lt;&gt;"입력 OK","",IF(E61="진행",R61,O61)))</x:f>
      </x:c>
      <x:c r="V61" s="11" t="str">
        <x:f>IF(COUNT(S61:U61)&lt;3,"",(S61+4*T61+U61)/6)</x:f>
      </x:c>
      <x:c r="W61" s="11" t="str">
        <x:f>IF(COUNT(S61:U61)&lt;3,"",((U61-S61)/6)^2)</x:f>
      </x:c>
      <x:c r="X61" s="8" t="str">
        <x:v>EX01</x:v>
      </x:c>
      <x:c r="Y61" s="8" t="str"/>
      <x:c r="Z61" s="8" t="str"/>
      <x:c r="AA61" s="8" t="str"/>
      <x:c r="AB61" s="8" t="str"/>
      <x:c r="AC61" s="8" t="str"/>
      <x:c r="AD61" s="10" t="str">
        <x:f>IF(X61="",0,INDEX($AK$6:$AK$60,MATCH(X61,$A$6:$A$60,0)))</x:f>
      </x:c>
      <x:c r="AE61" s="10" t="n">
        <x:f>IF(Y61="",0,INDEX($AK$6:$AK$60,MATCH(Y61,$A$6:$A$60,0)))</x:f>
        <x:v>0</x:v>
      </x:c>
      <x:c r="AF61" s="10" t="n">
        <x:f>IF(Z61="",0,INDEX($AK$6:$AK$60,MATCH(Z61,$A$6:$A$60,0)))</x:f>
        <x:v>0</x:v>
      </x:c>
      <x:c r="AG61" s="10" t="n">
        <x:f>IF(AA61="",0,INDEX($AK$6:$AK$60,MATCH(AA61,$A$6:$A$60,0)))</x:f>
        <x:v>0</x:v>
      </x:c>
      <x:c r="AH61" s="10" t="n">
        <x:f>IF(AB61="",0,INDEX($AK$6:$AK$60,MATCH(AB61,$A$6:$A$60,0)))</x:f>
        <x:v>0</x:v>
      </x:c>
      <x:c r="AI61" s="10" t="n">
        <x:f>IF(AC61="",0,INDEX($AK$6:$AK$60,MATCH(AC61,$A$6:$A$60,0)))</x:f>
        <x:v>0</x:v>
      </x:c>
      <x:c r="AJ61" s="10" t="str">
        <x:f>IF(AM61="완료",IF(J61="",K61,J61),IF(OR(COUNT('프로젝트설정'!$B$7:$B$8)&lt;2,COUNT(AD61:AI61)&lt;6,COUNT(S61:U61)&lt;3),"",IF(AM61="제외",MAX('프로젝트설정'!$B$7,AD61:AI61),IF(E61="진행",J61,MAX('프로젝트설정'!$B$7:$B$8,L61,AD61:AI61)))))</x:f>
      </x:c>
      <x:c r="AK61" s="10" t="str">
        <x:f>IF(AM61="완료",K61,IF(AJ61="","",IF(E61="진행",MAX('프로젝트설정'!$B$8,AJ61,AD61:AI61)+T61,AJ61+T61)))</x:f>
      </x:c>
      <x:c r="AL61" s="7" t="str">
        <x:f>IF(OR(I61="",AK61=""),"",AK61-I61)</x:f>
      </x:c>
      <x:c r="AM61" s="7" t="str">
        <x:f>IF(OR(D61="제외",E61="제외"),"제외",IF(D61&lt;&gt;"적용","적용성 확인",IF(E61="완료",IF(ISNUMBER(K61),"완료","실제완료 입력"),IF(E61="보류","보류 해제 필요",IF(E61="진행",IF(AND(ISNUMBER(J61),COUNT(P61:R61)=3,P61&gt;=0,P61&lt;=Q61,Q61&lt;=R61),"입력 OK","실제착수·잔여기간 확인"),IF(AND(COUNT(M61:O61)=3,M61&gt;=0,M61&lt;=N61,N61&lt;=O61),"입력 OK","전체기간 확인"))))))</x:f>
        <x:v>적용성 확인</x:v>
      </x:c>
      <x:c r="AN61" s="7" t="str">
        <x:v>03</x:v>
      </x:c>
    </x:row>
    <x:row r="62" ht="34" customHeight="1">
      <x:c r="A62" s="7" t="str">
        <x:v>EX03</x:v>
      </x:c>
      <x:c r="B62" s="7" t="str">
        <x:v>03 도시계획·실시계획</x:v>
      </x:c>
      <x:c r="C62" s="7" t="str">
        <x:v>사업주 직인·위임장·첨부서류 확보</x:v>
      </x:c>
      <x:c r="D62" s="7" t="str">
        <x:f>'모듈선택'!B8</x:f>
        <x:v>검토 필요</x:v>
      </x:c>
      <x:c r="E62" s="8" t="str">
        <x:v>계획</x:v>
      </x:c>
      <x:c r="F62" s="8" t="str">
        <x:v>인허가 용역사 / 건축설계사 / 사업주</x:v>
      </x:c>
      <x:c r="G62" s="8" t="str">
        <x:v>날인본, 위임장, 신청서</x:v>
      </x:c>
      <x:c r="H62" s="9"/>
      <x:c r="I62" s="9"/>
      <x:c r="J62" s="9"/>
      <x:c r="K62" s="9"/>
      <x:c r="L62" s="9"/>
      <x:c r="M62" s="8" t="n">
        <x:v>2</x:v>
      </x:c>
      <x:c r="N62" s="8" t="n">
        <x:v>3</x:v>
      </x:c>
      <x:c r="O62" s="8" t="n">
        <x:v>6</x:v>
      </x:c>
      <x:c r="P62" s="8"/>
      <x:c r="Q62" s="8"/>
      <x:c r="R62" s="8"/>
      <x:c r="S62" s="7" t="str">
        <x:f>IF(OR(AM62="제외",AM62="완료"),0,IF(AM62&lt;&gt;"입력 OK","",IF(E62="진행",P62,M62)))</x:f>
      </x:c>
      <x:c r="T62" s="7" t="str">
        <x:f>IF(OR(AM62="제외",AM62="완료"),0,IF(AM62&lt;&gt;"입력 OK","",IF(E62="진행",Q62,N62)))</x:f>
      </x:c>
      <x:c r="U62" s="7" t="str">
        <x:f>IF(OR(AM62="제외",AM62="완료"),0,IF(AM62&lt;&gt;"입력 OK","",IF(E62="진행",R62,O62)))</x:f>
      </x:c>
      <x:c r="V62" s="11" t="str">
        <x:f>IF(COUNT(S62:U62)&lt;3,"",(S62+4*T62+U62)/6)</x:f>
      </x:c>
      <x:c r="W62" s="11" t="str">
        <x:f>IF(COUNT(S62:U62)&lt;3,"",((U62-S62)/6)^2)</x:f>
      </x:c>
      <x:c r="X62" s="8" t="str">
        <x:v>EX02</x:v>
      </x:c>
      <x:c r="Y62" s="8" t="str"/>
      <x:c r="Z62" s="8" t="str"/>
      <x:c r="AA62" s="8" t="str"/>
      <x:c r="AB62" s="8" t="str"/>
      <x:c r="AC62" s="8" t="str"/>
      <x:c r="AD62" s="10" t="str">
        <x:f>IF(X62="",0,INDEX($AK$6:$AK$61,MATCH(X62,$A$6:$A$61,0)))</x:f>
      </x:c>
      <x:c r="AE62" s="10" t="n">
        <x:f>IF(Y62="",0,INDEX($AK$6:$AK$61,MATCH(Y62,$A$6:$A$61,0)))</x:f>
        <x:v>0</x:v>
      </x:c>
      <x:c r="AF62" s="10" t="n">
        <x:f>IF(Z62="",0,INDEX($AK$6:$AK$61,MATCH(Z62,$A$6:$A$61,0)))</x:f>
        <x:v>0</x:v>
      </x:c>
      <x:c r="AG62" s="10" t="n">
        <x:f>IF(AA62="",0,INDEX($AK$6:$AK$61,MATCH(AA62,$A$6:$A$61,0)))</x:f>
        <x:v>0</x:v>
      </x:c>
      <x:c r="AH62" s="10" t="n">
        <x:f>IF(AB62="",0,INDEX($AK$6:$AK$61,MATCH(AB62,$A$6:$A$61,0)))</x:f>
        <x:v>0</x:v>
      </x:c>
      <x:c r="AI62" s="10" t="n">
        <x:f>IF(AC62="",0,INDEX($AK$6:$AK$61,MATCH(AC62,$A$6:$A$61,0)))</x:f>
        <x:v>0</x:v>
      </x:c>
      <x:c r="AJ62" s="10" t="str">
        <x:f>IF(AM62="완료",IF(J62="",K62,J62),IF(OR(COUNT('프로젝트설정'!$B$7:$B$8)&lt;2,COUNT(AD62:AI62)&lt;6,COUNT(S62:U62)&lt;3),"",IF(AM62="제외",MAX('프로젝트설정'!$B$7,AD62:AI62),IF(E62="진행",J62,MAX('프로젝트설정'!$B$7:$B$8,L62,AD62:AI62)))))</x:f>
      </x:c>
      <x:c r="AK62" s="10" t="str">
        <x:f>IF(AM62="완료",K62,IF(AJ62="","",IF(E62="진행",MAX('프로젝트설정'!$B$8,AJ62,AD62:AI62)+T62,AJ62+T62)))</x:f>
      </x:c>
      <x:c r="AL62" s="7" t="str">
        <x:f>IF(OR(I62="",AK62=""),"",AK62-I62)</x:f>
      </x:c>
      <x:c r="AM62" s="7" t="str">
        <x:f>IF(OR(D62="제외",E62="제외"),"제외",IF(D62&lt;&gt;"적용","적용성 확인",IF(E62="완료",IF(ISNUMBER(K62),"완료","실제완료 입력"),IF(E62="보류","보류 해제 필요",IF(E62="진행",IF(AND(ISNUMBER(J62),COUNT(P62:R62)=3,P62&gt;=0,P62&lt;=Q62,Q62&lt;=R62),"입력 OK","실제착수·잔여기간 확인"),IF(AND(COUNT(M62:O62)=3,M62&gt;=0,M62&lt;=N62,N62&lt;=O62),"입력 OK","전체기간 확인"))))))</x:f>
        <x:v>적용성 확인</x:v>
      </x:c>
      <x:c r="AN62" s="7" t="str">
        <x:v>03</x:v>
      </x:c>
    </x:row>
    <x:row r="63" ht="34" customHeight="1">
      <x:c r="A63" s="7" t="str">
        <x:v>EX04</x:v>
      </x:c>
      <x:c r="B63" s="7" t="str">
        <x:v>03 도시계획·실시계획</x:v>
      </x:c>
      <x:c r="C63" s="7" t="str">
        <x:v>실시계획인가 및 의제협의 신청</x:v>
      </x:c>
      <x:c r="D63" s="7" t="str">
        <x:f>'모듈선택'!B8</x:f>
        <x:v>검토 필요</x:v>
      </x:c>
      <x:c r="E63" s="8" t="str">
        <x:v>계획</x:v>
      </x:c>
      <x:c r="F63" s="8" t="str">
        <x:v>인허가 용역사 / 건축설계사 / 사업주</x:v>
      </x:c>
      <x:c r="G63" s="8" t="str">
        <x:v>접수증 및 제출도서 목록</x:v>
      </x:c>
      <x:c r="H63" s="9"/>
      <x:c r="I63" s="9"/>
      <x:c r="J63" s="9"/>
      <x:c r="K63" s="9"/>
      <x:c r="L63" s="9"/>
      <x:c r="M63" s="8" t="n">
        <x:v>1</x:v>
      </x:c>
      <x:c r="N63" s="8" t="n">
        <x:v>1</x:v>
      </x:c>
      <x:c r="O63" s="8" t="n">
        <x:v>2</x:v>
      </x:c>
      <x:c r="P63" s="8"/>
      <x:c r="Q63" s="8"/>
      <x:c r="R63" s="8"/>
      <x:c r="S63" s="7" t="str">
        <x:f>IF(OR(AM63="제외",AM63="완료"),0,IF(AM63&lt;&gt;"입력 OK","",IF(E63="진행",P63,M63)))</x:f>
      </x:c>
      <x:c r="T63" s="7" t="str">
        <x:f>IF(OR(AM63="제외",AM63="완료"),0,IF(AM63&lt;&gt;"입력 OK","",IF(E63="진행",Q63,N63)))</x:f>
      </x:c>
      <x:c r="U63" s="7" t="str">
        <x:f>IF(OR(AM63="제외",AM63="완료"),0,IF(AM63&lt;&gt;"입력 OK","",IF(E63="진행",R63,O63)))</x:f>
      </x:c>
      <x:c r="V63" s="11" t="str">
        <x:f>IF(COUNT(S63:U63)&lt;3,"",(S63+4*T63+U63)/6)</x:f>
      </x:c>
      <x:c r="W63" s="11" t="str">
        <x:f>IF(COUNT(S63:U63)&lt;3,"",((U63-S63)/6)^2)</x:f>
      </x:c>
      <x:c r="X63" s="8" t="str">
        <x:v>EX03</x:v>
      </x:c>
      <x:c r="Y63" s="8" t="str"/>
      <x:c r="Z63" s="8" t="str"/>
      <x:c r="AA63" s="8" t="str"/>
      <x:c r="AB63" s="8" t="str"/>
      <x:c r="AC63" s="8" t="str"/>
      <x:c r="AD63" s="10" t="str">
        <x:f>IF(X63="",0,INDEX($AK$6:$AK$62,MATCH(X63,$A$6:$A$62,0)))</x:f>
      </x:c>
      <x:c r="AE63" s="10" t="n">
        <x:f>IF(Y63="",0,INDEX($AK$6:$AK$62,MATCH(Y63,$A$6:$A$62,0)))</x:f>
        <x:v>0</x:v>
      </x:c>
      <x:c r="AF63" s="10" t="n">
        <x:f>IF(Z63="",0,INDEX($AK$6:$AK$62,MATCH(Z63,$A$6:$A$62,0)))</x:f>
        <x:v>0</x:v>
      </x:c>
      <x:c r="AG63" s="10" t="n">
        <x:f>IF(AA63="",0,INDEX($AK$6:$AK$62,MATCH(AA63,$A$6:$A$62,0)))</x:f>
        <x:v>0</x:v>
      </x:c>
      <x:c r="AH63" s="10" t="n">
        <x:f>IF(AB63="",0,INDEX($AK$6:$AK$62,MATCH(AB63,$A$6:$A$62,0)))</x:f>
        <x:v>0</x:v>
      </x:c>
      <x:c r="AI63" s="10" t="n">
        <x:f>IF(AC63="",0,INDEX($AK$6:$AK$62,MATCH(AC63,$A$6:$A$62,0)))</x:f>
        <x:v>0</x:v>
      </x:c>
      <x:c r="AJ63" s="10" t="str">
        <x:f>IF(AM63="완료",IF(J63="",K63,J63),IF(OR(COUNT('프로젝트설정'!$B$7:$B$8)&lt;2,COUNT(AD63:AI63)&lt;6,COUNT(S63:U63)&lt;3),"",IF(AM63="제외",MAX('프로젝트설정'!$B$7,AD63:AI63),IF(E63="진행",J63,MAX('프로젝트설정'!$B$7:$B$8,L63,AD63:AI63)))))</x:f>
      </x:c>
      <x:c r="AK63" s="10" t="str">
        <x:f>IF(AM63="완료",K63,IF(AJ63="","",IF(E63="진행",MAX('프로젝트설정'!$B$8,AJ63,AD63:AI63)+T63,AJ63+T63)))</x:f>
      </x:c>
      <x:c r="AL63" s="7" t="str">
        <x:f>IF(OR(I63="",AK63=""),"",AK63-I63)</x:f>
      </x:c>
      <x:c r="AM63" s="7" t="str">
        <x:f>IF(OR(D63="제외",E63="제외"),"제외",IF(D63&lt;&gt;"적용","적용성 확인",IF(E63="완료",IF(ISNUMBER(K63),"완료","실제완료 입력"),IF(E63="보류","보류 해제 필요",IF(E63="진행",IF(AND(ISNUMBER(J63),COUNT(P63:R63)=3,P63&gt;=0,P63&lt;=Q63,Q63&lt;=R63),"입력 OK","실제착수·잔여기간 확인"),IF(AND(COUNT(M63:O63)=3,M63&gt;=0,M63&lt;=N63,N63&lt;=O63),"입력 OK","전체기간 확인"))))))</x:f>
        <x:v>적용성 확인</x:v>
      </x:c>
      <x:c r="AN63" s="7" t="str">
        <x:v>03</x:v>
      </x:c>
    </x:row>
    <x:row r="64" ht="34" customHeight="1">
      <x:c r="A64" s="7" t="str">
        <x:v>EX05</x:v>
      </x:c>
      <x:c r="B64" s="7" t="str">
        <x:v>03 도시계획·실시계획</x:v>
      </x:c>
      <x:c r="C64" s="7" t="str">
        <x:v>관계기관 협의·열람·보완 대응</x:v>
      </x:c>
      <x:c r="D64" s="7" t="str">
        <x:f>'모듈선택'!B8</x:f>
        <x:v>검토 필요</x:v>
      </x:c>
      <x:c r="E64" s="8" t="str">
        <x:v>계획</x:v>
      </x:c>
      <x:c r="F64" s="8" t="str">
        <x:v>인허가 용역사 / 건축설계사 / 사업주</x:v>
      </x:c>
      <x:c r="G64" s="8" t="str">
        <x:v>협의회신, 보완도서</x:v>
      </x:c>
      <x:c r="H64" s="9"/>
      <x:c r="I64" s="9"/>
      <x:c r="J64" s="9"/>
      <x:c r="K64" s="9"/>
      <x:c r="L64" s="9"/>
      <x:c r="M64" s="8" t="n">
        <x:v>14</x:v>
      </x:c>
      <x:c r="N64" s="8" t="n">
        <x:v>21</x:v>
      </x:c>
      <x:c r="O64" s="8" t="n">
        <x:v>36</x:v>
      </x:c>
      <x:c r="P64" s="8"/>
      <x:c r="Q64" s="8"/>
      <x:c r="R64" s="8"/>
      <x:c r="S64" s="7" t="str">
        <x:f>IF(OR(AM64="제외",AM64="완료"),0,IF(AM64&lt;&gt;"입력 OK","",IF(E64="진행",P64,M64)))</x:f>
      </x:c>
      <x:c r="T64" s="7" t="str">
        <x:f>IF(OR(AM64="제외",AM64="완료"),0,IF(AM64&lt;&gt;"입력 OK","",IF(E64="진행",Q64,N64)))</x:f>
      </x:c>
      <x:c r="U64" s="7" t="str">
        <x:f>IF(OR(AM64="제외",AM64="완료"),0,IF(AM64&lt;&gt;"입력 OK","",IF(E64="진행",R64,O64)))</x:f>
      </x:c>
      <x:c r="V64" s="11" t="str">
        <x:f>IF(COUNT(S64:U64)&lt;3,"",(S64+4*T64+U64)/6)</x:f>
      </x:c>
      <x:c r="W64" s="11" t="str">
        <x:f>IF(COUNT(S64:U64)&lt;3,"",((U64-S64)/6)^2)</x:f>
      </x:c>
      <x:c r="X64" s="8" t="str">
        <x:v>EX04</x:v>
      </x:c>
      <x:c r="Y64" s="8" t="str"/>
      <x:c r="Z64" s="8" t="str"/>
      <x:c r="AA64" s="8" t="str"/>
      <x:c r="AB64" s="8" t="str"/>
      <x:c r="AC64" s="8" t="str"/>
      <x:c r="AD64" s="10" t="str">
        <x:f>IF(X64="",0,INDEX($AK$6:$AK$63,MATCH(X64,$A$6:$A$63,0)))</x:f>
      </x:c>
      <x:c r="AE64" s="10" t="n">
        <x:f>IF(Y64="",0,INDEX($AK$6:$AK$63,MATCH(Y64,$A$6:$A$63,0)))</x:f>
        <x:v>0</x:v>
      </x:c>
      <x:c r="AF64" s="10" t="n">
        <x:f>IF(Z64="",0,INDEX($AK$6:$AK$63,MATCH(Z64,$A$6:$A$63,0)))</x:f>
        <x:v>0</x:v>
      </x:c>
      <x:c r="AG64" s="10" t="n">
        <x:f>IF(AA64="",0,INDEX($AK$6:$AK$63,MATCH(AA64,$A$6:$A$63,0)))</x:f>
        <x:v>0</x:v>
      </x:c>
      <x:c r="AH64" s="10" t="n">
        <x:f>IF(AB64="",0,INDEX($AK$6:$AK$63,MATCH(AB64,$A$6:$A$63,0)))</x:f>
        <x:v>0</x:v>
      </x:c>
      <x:c r="AI64" s="10" t="n">
        <x:f>IF(AC64="",0,INDEX($AK$6:$AK$63,MATCH(AC64,$A$6:$A$63,0)))</x:f>
        <x:v>0</x:v>
      </x:c>
      <x:c r="AJ64" s="10" t="str">
        <x:f>IF(AM64="완료",IF(J64="",K64,J64),IF(OR(COUNT('프로젝트설정'!$B$7:$B$8)&lt;2,COUNT(AD64:AI64)&lt;6,COUNT(S64:U64)&lt;3),"",IF(AM64="제외",MAX('프로젝트설정'!$B$7,AD64:AI64),IF(E64="진행",J64,MAX('프로젝트설정'!$B$7:$B$8,L64,AD64:AI64)))))</x:f>
      </x:c>
      <x:c r="AK64" s="10" t="str">
        <x:f>IF(AM64="완료",K64,IF(AJ64="","",IF(E64="진행",MAX('프로젝트설정'!$B$8,AJ64,AD64:AI64)+T64,AJ64+T64)))</x:f>
      </x:c>
      <x:c r="AL64" s="7" t="str">
        <x:f>IF(OR(I64="",AK64=""),"",AK64-I64)</x:f>
      </x:c>
      <x:c r="AM64" s="7" t="str">
        <x:f>IF(OR(D64="제외",E64="제외"),"제외",IF(D64&lt;&gt;"적용","적용성 확인",IF(E64="완료",IF(ISNUMBER(K64),"완료","실제완료 입력"),IF(E64="보류","보류 해제 필요",IF(E64="진행",IF(AND(ISNUMBER(J64),COUNT(P64:R64)=3,P64&gt;=0,P64&lt;=Q64,Q64&lt;=R64),"입력 OK","실제착수·잔여기간 확인"),IF(AND(COUNT(M64:O64)=3,M64&gt;=0,M64&lt;=N64,N64&lt;=O64),"입력 OK","전체기간 확인"))))))</x:f>
        <x:v>적용성 확인</x:v>
      </x:c>
      <x:c r="AN64" s="7" t="str">
        <x:v>03</x:v>
      </x:c>
    </x:row>
    <x:row r="65" ht="34" customHeight="1">
      <x:c r="A65" s="7" t="str">
        <x:v>EX06</x:v>
      </x:c>
      <x:c r="B65" s="7" t="str">
        <x:v>03 도시계획·실시계획</x:v>
      </x:c>
      <x:c r="C65" s="7" t="str">
        <x:v>실시계획인가 고시 및 조건 이행계획</x:v>
      </x:c>
      <x:c r="D65" s="7" t="str">
        <x:f>'모듈선택'!B8</x:f>
        <x:v>검토 필요</x:v>
      </x:c>
      <x:c r="E65" s="8" t="str">
        <x:v>계획</x:v>
      </x:c>
      <x:c r="F65" s="8" t="str">
        <x:v>인허가 용역사 / 건축설계사 / 사업주</x:v>
      </x:c>
      <x:c r="G65" s="8" t="str">
        <x:v>인가고시, 조건관리표</x:v>
      </x:c>
      <x:c r="H65" s="9"/>
      <x:c r="I65" s="9"/>
      <x:c r="J65" s="9"/>
      <x:c r="K65" s="9"/>
      <x:c r="L65" s="9"/>
      <x:c r="M65" s="8" t="n">
        <x:v>2</x:v>
      </x:c>
      <x:c r="N65" s="8" t="n">
        <x:v>3</x:v>
      </x:c>
      <x:c r="O65" s="8" t="n">
        <x:v>6</x:v>
      </x:c>
      <x:c r="P65" s="8"/>
      <x:c r="Q65" s="8"/>
      <x:c r="R65" s="8"/>
      <x:c r="S65" s="7" t="str">
        <x:f>IF(OR(AM65="제외",AM65="완료"),0,IF(AM65&lt;&gt;"입력 OK","",IF(E65="진행",P65,M65)))</x:f>
      </x:c>
      <x:c r="T65" s="7" t="str">
        <x:f>IF(OR(AM65="제외",AM65="완료"),0,IF(AM65&lt;&gt;"입력 OK","",IF(E65="진행",Q65,N65)))</x:f>
      </x:c>
      <x:c r="U65" s="7" t="str">
        <x:f>IF(OR(AM65="제외",AM65="완료"),0,IF(AM65&lt;&gt;"입력 OK","",IF(E65="진행",R65,O65)))</x:f>
      </x:c>
      <x:c r="V65" s="11" t="str">
        <x:f>IF(COUNT(S65:U65)&lt;3,"",(S65+4*T65+U65)/6)</x:f>
      </x:c>
      <x:c r="W65" s="11" t="str">
        <x:f>IF(COUNT(S65:U65)&lt;3,"",((U65-S65)/6)^2)</x:f>
      </x:c>
      <x:c r="X65" s="8" t="str">
        <x:v>EX05</x:v>
      </x:c>
      <x:c r="Y65" s="8" t="str"/>
      <x:c r="Z65" s="8" t="str"/>
      <x:c r="AA65" s="8" t="str"/>
      <x:c r="AB65" s="8" t="str"/>
      <x:c r="AC65" s="8" t="str"/>
      <x:c r="AD65" s="10" t="str">
        <x:f>IF(X65="",0,INDEX($AK$6:$AK$64,MATCH(X65,$A$6:$A$64,0)))</x:f>
      </x:c>
      <x:c r="AE65" s="10" t="n">
        <x:f>IF(Y65="",0,INDEX($AK$6:$AK$64,MATCH(Y65,$A$6:$A$64,0)))</x:f>
        <x:v>0</x:v>
      </x:c>
      <x:c r="AF65" s="10" t="n">
        <x:f>IF(Z65="",0,INDEX($AK$6:$AK$64,MATCH(Z65,$A$6:$A$64,0)))</x:f>
        <x:v>0</x:v>
      </x:c>
      <x:c r="AG65" s="10" t="n">
        <x:f>IF(AA65="",0,INDEX($AK$6:$AK$64,MATCH(AA65,$A$6:$A$64,0)))</x:f>
        <x:v>0</x:v>
      </x:c>
      <x:c r="AH65" s="10" t="n">
        <x:f>IF(AB65="",0,INDEX($AK$6:$AK$64,MATCH(AB65,$A$6:$A$64,0)))</x:f>
        <x:v>0</x:v>
      </x:c>
      <x:c r="AI65" s="10" t="n">
        <x:f>IF(AC65="",0,INDEX($AK$6:$AK$64,MATCH(AC65,$A$6:$A$64,0)))</x:f>
        <x:v>0</x:v>
      </x:c>
      <x:c r="AJ65" s="10" t="str">
        <x:f>IF(AM65="완료",IF(J65="",K65,J65),IF(OR(COUNT('프로젝트설정'!$B$7:$B$8)&lt;2,COUNT(AD65:AI65)&lt;6,COUNT(S65:U65)&lt;3),"",IF(AM65="제외",MAX('프로젝트설정'!$B$7,AD65:AI65),IF(E65="진행",J65,MAX('프로젝트설정'!$B$7:$B$8,L65,AD65:AI65)))))</x:f>
      </x:c>
      <x:c r="AK65" s="10" t="str">
        <x:f>IF(AM65="완료",K65,IF(AJ65="","",IF(E65="진행",MAX('프로젝트설정'!$B$8,AJ65,AD65:AI65)+T65,AJ65+T65)))</x:f>
      </x:c>
      <x:c r="AL65" s="7" t="str">
        <x:f>IF(OR(I65="",AK65=""),"",AK65-I65)</x:f>
      </x:c>
      <x:c r="AM65" s="7" t="str">
        <x:f>IF(OR(D65="제외",E65="제외"),"제외",IF(D65&lt;&gt;"적용","적용성 확인",IF(E65="완료",IF(ISNUMBER(K65),"완료","실제완료 입력"),IF(E65="보류","보류 해제 필요",IF(E65="진행",IF(AND(ISNUMBER(J65),COUNT(P65:R65)=3,P65&gt;=0,P65&lt;=Q65,Q65&lt;=R65),"입력 OK","실제착수·잔여기간 확인"),IF(AND(COUNT(M65:O65)=3,M65&gt;=0,M65&lt;=N65,N65&lt;=O65),"입력 OK","전체기간 확인"))))))</x:f>
        <x:v>적용성 확인</x:v>
      </x:c>
      <x:c r="AN65" s="7" t="str">
        <x:v>03</x:v>
      </x:c>
    </x:row>
    <x:row r="66" ht="34" customHeight="1">
      <x:c r="A66" s="7" t="str">
        <x:v>BP01</x:v>
      </x:c>
      <x:c r="B66" s="7" t="str">
        <x:v>10 건축허가</x:v>
      </x:c>
      <x:c r="C66" s="7" t="str">
        <x:v>건축허가 도서·구조계산서 완결성 검토</x:v>
      </x:c>
      <x:c r="D66" s="7" t="str">
        <x:f>'모듈선택'!B15</x:f>
        <x:v>검토 필요</x:v>
      </x:c>
      <x:c r="E66" s="8" t="str">
        <x:v>계획</x:v>
      </x:c>
      <x:c r="F66" s="8" t="str">
        <x:v>건축설계사 / 사업주 / 관할 지자체</x:v>
      </x:c>
      <x:c r="G66" s="8" t="str">
        <x:v>건축/구조/토목/기계/전기 도서</x:v>
      </x:c>
      <x:c r="H66" s="9"/>
      <x:c r="I66" s="9"/>
      <x:c r="J66" s="9"/>
      <x:c r="K66" s="9"/>
      <x:c r="L66" s="9"/>
      <x:c r="M66" s="8" t="n">
        <x:v>2</x:v>
      </x:c>
      <x:c r="N66" s="8" t="n">
        <x:v>3</x:v>
      </x:c>
      <x:c r="O66" s="8" t="n">
        <x:v>6</x:v>
      </x:c>
      <x:c r="P66" s="8"/>
      <x:c r="Q66" s="8"/>
      <x:c r="R66" s="8"/>
      <x:c r="S66" s="7" t="str">
        <x:f>IF(OR(AM66="제외",AM66="완료"),0,IF(AM66&lt;&gt;"입력 OK","",IF(E66="진행",P66,M66)))</x:f>
      </x:c>
      <x:c r="T66" s="7" t="str">
        <x:f>IF(OR(AM66="제외",AM66="완료"),0,IF(AM66&lt;&gt;"입력 OK","",IF(E66="진행",Q66,N66)))</x:f>
      </x:c>
      <x:c r="U66" s="7" t="str">
        <x:f>IF(OR(AM66="제외",AM66="완료"),0,IF(AM66&lt;&gt;"입력 OK","",IF(E66="진행",R66,O66)))</x:f>
      </x:c>
      <x:c r="V66" s="11" t="str">
        <x:f>IF(COUNT(S66:U66)&lt;3,"",(S66+4*T66+U66)/6)</x:f>
      </x:c>
      <x:c r="W66" s="11" t="str">
        <x:f>IF(COUNT(S66:U66)&lt;3,"",((U66-S66)/6)^2)</x:f>
      </x:c>
      <x:c r="X66" s="8" t="str">
        <x:v>CV06</x:v>
      </x:c>
      <x:c r="Y66" s="8" t="str">
        <x:v>EX03</x:v>
      </x:c>
      <x:c r="Z66" s="8" t="str"/>
      <x:c r="AA66" s="8" t="str"/>
      <x:c r="AB66" s="8" t="str"/>
      <x:c r="AC66" s="8" t="str"/>
      <x:c r="AD66" s="10" t="str">
        <x:f>IF(X66="",0,INDEX($AK$6:$AK$65,MATCH(X66,$A$6:$A$65,0)))</x:f>
      </x:c>
      <x:c r="AE66" s="10" t="str">
        <x:f>IF(Y66="",0,INDEX($AK$6:$AK$65,MATCH(Y66,$A$6:$A$65,0)))</x:f>
      </x:c>
      <x:c r="AF66" s="10" t="n">
        <x:f>IF(Z66="",0,INDEX($AK$6:$AK$65,MATCH(Z66,$A$6:$A$65,0)))</x:f>
        <x:v>0</x:v>
      </x:c>
      <x:c r="AG66" s="10" t="n">
        <x:f>IF(AA66="",0,INDEX($AK$6:$AK$65,MATCH(AA66,$A$6:$A$65,0)))</x:f>
        <x:v>0</x:v>
      </x:c>
      <x:c r="AH66" s="10" t="n">
        <x:f>IF(AB66="",0,INDEX($AK$6:$AK$65,MATCH(AB66,$A$6:$A$65,0)))</x:f>
        <x:v>0</x:v>
      </x:c>
      <x:c r="AI66" s="10" t="n">
        <x:f>IF(AC66="",0,INDEX($AK$6:$AK$65,MATCH(AC66,$A$6:$A$65,0)))</x:f>
        <x:v>0</x:v>
      </x:c>
      <x:c r="AJ66" s="10" t="str">
        <x:f>IF(AM66="완료",IF(J66="",K66,J66),IF(OR(COUNT('프로젝트설정'!$B$7:$B$8)&lt;2,COUNT(AD66:AI66)&lt;6,COUNT(S66:U66)&lt;3),"",IF(AM66="제외",MAX('프로젝트설정'!$B$7,AD66:AI66),IF(E66="진행",J66,MAX('프로젝트설정'!$B$7:$B$8,L66,AD66:AI66)))))</x:f>
      </x:c>
      <x:c r="AK66" s="10" t="str">
        <x:f>IF(AM66="완료",K66,IF(AJ66="","",IF(E66="진행",MAX('프로젝트설정'!$B$8,AJ66,AD66:AI66)+T66,AJ66+T66)))</x:f>
      </x:c>
      <x:c r="AL66" s="7" t="str">
        <x:f>IF(OR(I66="",AK66=""),"",AK66-I66)</x:f>
      </x:c>
      <x:c r="AM66" s="7" t="str">
        <x:f>IF(OR(D66="제외",E66="제외"),"제외",IF(D66&lt;&gt;"적용","적용성 확인",IF(E66="완료",IF(ISNUMBER(K66),"완료","실제완료 입력"),IF(E66="보류","보류 해제 필요",IF(E66="진행",IF(AND(ISNUMBER(J66),COUNT(P66:R66)=3,P66&gt;=0,P66&lt;=Q66,Q66&lt;=R66),"입력 OK","실제착수·잔여기간 확인"),IF(AND(COUNT(M66:O66)=3,M66&gt;=0,M66&lt;=N66,N66&lt;=O66),"입력 OK","전체기간 확인"))))))</x:f>
        <x:v>적용성 확인</x:v>
      </x:c>
      <x:c r="AN66" s="7" t="str">
        <x:v>10</x:v>
      </x:c>
    </x:row>
    <x:row r="67" ht="34" customHeight="1">
      <x:c r="A67" s="7" t="str">
        <x:v>BP02</x:v>
      </x:c>
      <x:c r="B67" s="7" t="str">
        <x:v>10 건축허가</x:v>
      </x:c>
      <x:c r="C67" s="7" t="str">
        <x:v>건축허가 개별 신청서·의제협의 서류 제출</x:v>
      </x:c>
      <x:c r="D67" s="7" t="str">
        <x:f>'모듈선택'!B15</x:f>
        <x:v>검토 필요</x:v>
      </x:c>
      <x:c r="E67" s="8" t="str">
        <x:v>계획</x:v>
      </x:c>
      <x:c r="F67" s="8" t="str">
        <x:v>건축설계사 / 사업주 / 관할 지자체</x:v>
      </x:c>
      <x:c r="G67" s="8" t="str">
        <x:v>접수증, 의제협의 목록</x:v>
      </x:c>
      <x:c r="H67" s="9"/>
      <x:c r="I67" s="9"/>
      <x:c r="J67" s="9"/>
      <x:c r="K67" s="9"/>
      <x:c r="L67" s="9"/>
      <x:c r="M67" s="8" t="n">
        <x:v>1</x:v>
      </x:c>
      <x:c r="N67" s="8" t="n">
        <x:v>1</x:v>
      </x:c>
      <x:c r="O67" s="8" t="n">
        <x:v>2</x:v>
      </x:c>
      <x:c r="P67" s="8"/>
      <x:c r="Q67" s="8"/>
      <x:c r="R67" s="8"/>
      <x:c r="S67" s="7" t="str">
        <x:f>IF(OR(AM67="제외",AM67="완료"),0,IF(AM67&lt;&gt;"입력 OK","",IF(E67="진행",P67,M67)))</x:f>
      </x:c>
      <x:c r="T67" s="7" t="str">
        <x:f>IF(OR(AM67="제외",AM67="완료"),0,IF(AM67&lt;&gt;"입력 OK","",IF(E67="진행",Q67,N67)))</x:f>
      </x:c>
      <x:c r="U67" s="7" t="str">
        <x:f>IF(OR(AM67="제외",AM67="완료"),0,IF(AM67&lt;&gt;"입력 OK","",IF(E67="진행",R67,O67)))</x:f>
      </x:c>
      <x:c r="V67" s="11" t="str">
        <x:f>IF(COUNT(S67:U67)&lt;3,"",(S67+4*T67+U67)/6)</x:f>
      </x:c>
      <x:c r="W67" s="11" t="str">
        <x:f>IF(COUNT(S67:U67)&lt;3,"",((U67-S67)/6)^2)</x:f>
      </x:c>
      <x:c r="X67" s="8" t="str">
        <x:v>BP01</x:v>
      </x:c>
      <x:c r="Y67" s="8" t="str"/>
      <x:c r="Z67" s="8" t="str"/>
      <x:c r="AA67" s="8" t="str"/>
      <x:c r="AB67" s="8" t="str"/>
      <x:c r="AC67" s="8" t="str"/>
      <x:c r="AD67" s="10" t="str">
        <x:f>IF(X67="",0,INDEX($AK$6:$AK$66,MATCH(X67,$A$6:$A$66,0)))</x:f>
      </x:c>
      <x:c r="AE67" s="10" t="n">
        <x:f>IF(Y67="",0,INDEX($AK$6:$AK$66,MATCH(Y67,$A$6:$A$66,0)))</x:f>
        <x:v>0</x:v>
      </x:c>
      <x:c r="AF67" s="10" t="n">
        <x:f>IF(Z67="",0,INDEX($AK$6:$AK$66,MATCH(Z67,$A$6:$A$66,0)))</x:f>
        <x:v>0</x:v>
      </x:c>
      <x:c r="AG67" s="10" t="n">
        <x:f>IF(AA67="",0,INDEX($AK$6:$AK$66,MATCH(AA67,$A$6:$A$66,0)))</x:f>
        <x:v>0</x:v>
      </x:c>
      <x:c r="AH67" s="10" t="n">
        <x:f>IF(AB67="",0,INDEX($AK$6:$AK$66,MATCH(AB67,$A$6:$A$66,0)))</x:f>
        <x:v>0</x:v>
      </x:c>
      <x:c r="AI67" s="10" t="n">
        <x:f>IF(AC67="",0,INDEX($AK$6:$AK$66,MATCH(AC67,$A$6:$A$66,0)))</x:f>
        <x:v>0</x:v>
      </x:c>
      <x:c r="AJ67" s="10" t="str">
        <x:f>IF(AM67="완료",IF(J67="",K67,J67),IF(OR(COUNT('프로젝트설정'!$B$7:$B$8)&lt;2,COUNT(AD67:AI67)&lt;6,COUNT(S67:U67)&lt;3),"",IF(AM67="제외",MAX('프로젝트설정'!$B$7,AD67:AI67),IF(E67="진행",J67,MAX('프로젝트설정'!$B$7:$B$8,L67,AD67:AI67)))))</x:f>
      </x:c>
      <x:c r="AK67" s="10" t="str">
        <x:f>IF(AM67="완료",K67,IF(AJ67="","",IF(E67="진행",MAX('프로젝트설정'!$B$8,AJ67,AD67:AI67)+T67,AJ67+T67)))</x:f>
      </x:c>
      <x:c r="AL67" s="7" t="str">
        <x:f>IF(OR(I67="",AK67=""),"",AK67-I67)</x:f>
      </x:c>
      <x:c r="AM67" s="7" t="str">
        <x:f>IF(OR(D67="제외",E67="제외"),"제외",IF(D67&lt;&gt;"적용","적용성 확인",IF(E67="완료",IF(ISNUMBER(K67),"완료","실제완료 입력"),IF(E67="보류","보류 해제 필요",IF(E67="진행",IF(AND(ISNUMBER(J67),COUNT(P67:R67)=3,P67&gt;=0,P67&lt;=Q67,Q67&lt;=R67),"입력 OK","실제착수·잔여기간 확인"),IF(AND(COUNT(M67:O67)=3,M67&gt;=0,M67&lt;=N67,N67&lt;=O67),"입력 OK","전체기간 확인"))))))</x:f>
        <x:v>적용성 확인</x:v>
      </x:c>
      <x:c r="AN67" s="7" t="str">
        <x:v>10</x:v>
      </x:c>
    </x:row>
    <x:row r="68" ht="34" customHeight="1">
      <x:c r="A68" s="7" t="str">
        <x:v>BP03</x:v>
      </x:c>
      <x:c r="B68" s="7" t="str">
        <x:v>10 건축허가</x:v>
      </x:c>
      <x:c r="C68" s="7" t="str">
        <x:v>건축·소방 등 담당부서 검토 및 보완</x:v>
      </x:c>
      <x:c r="D68" s="7" t="str">
        <x:f>'모듈선택'!B15</x:f>
        <x:v>검토 필요</x:v>
      </x:c>
      <x:c r="E68" s="8" t="str">
        <x:v>계획</x:v>
      </x:c>
      <x:c r="F68" s="8" t="str">
        <x:v>건축설계사 / 사업주 / 관할 지자체</x:v>
      </x:c>
      <x:c r="G68" s="8" t="str">
        <x:v>부서별 조치계획</x:v>
      </x:c>
      <x:c r="H68" s="9"/>
      <x:c r="I68" s="9"/>
      <x:c r="J68" s="9"/>
      <x:c r="K68" s="9"/>
      <x:c r="L68" s="9"/>
      <x:c r="M68" s="8" t="n">
        <x:v>9</x:v>
      </x:c>
      <x:c r="N68" s="8" t="n">
        <x:v>14</x:v>
      </x:c>
      <x:c r="O68" s="8" t="n">
        <x:v>24</x:v>
      </x:c>
      <x:c r="P68" s="8"/>
      <x:c r="Q68" s="8"/>
      <x:c r="R68" s="8"/>
      <x:c r="S68" s="7" t="str">
        <x:f>IF(OR(AM68="제외",AM68="완료"),0,IF(AM68&lt;&gt;"입력 OK","",IF(E68="진행",P68,M68)))</x:f>
      </x:c>
      <x:c r="T68" s="7" t="str">
        <x:f>IF(OR(AM68="제외",AM68="완료"),0,IF(AM68&lt;&gt;"입력 OK","",IF(E68="진행",Q68,N68)))</x:f>
      </x:c>
      <x:c r="U68" s="7" t="str">
        <x:f>IF(OR(AM68="제외",AM68="완료"),0,IF(AM68&lt;&gt;"입력 OK","",IF(E68="진행",R68,O68)))</x:f>
      </x:c>
      <x:c r="V68" s="11" t="str">
        <x:f>IF(COUNT(S68:U68)&lt;3,"",(S68+4*T68+U68)/6)</x:f>
      </x:c>
      <x:c r="W68" s="11" t="str">
        <x:f>IF(COUNT(S68:U68)&lt;3,"",((U68-S68)/6)^2)</x:f>
      </x:c>
      <x:c r="X68" s="8" t="str">
        <x:v>BP02</x:v>
      </x:c>
      <x:c r="Y68" s="8" t="str"/>
      <x:c r="Z68" s="8" t="str"/>
      <x:c r="AA68" s="8" t="str"/>
      <x:c r="AB68" s="8" t="str"/>
      <x:c r="AC68" s="8" t="str"/>
      <x:c r="AD68" s="10" t="str">
        <x:f>IF(X68="",0,INDEX($AK$6:$AK$67,MATCH(X68,$A$6:$A$67,0)))</x:f>
      </x:c>
      <x:c r="AE68" s="10" t="n">
        <x:f>IF(Y68="",0,INDEX($AK$6:$AK$67,MATCH(Y68,$A$6:$A$67,0)))</x:f>
        <x:v>0</x:v>
      </x:c>
      <x:c r="AF68" s="10" t="n">
        <x:f>IF(Z68="",0,INDEX($AK$6:$AK$67,MATCH(Z68,$A$6:$A$67,0)))</x:f>
        <x:v>0</x:v>
      </x:c>
      <x:c r="AG68" s="10" t="n">
        <x:f>IF(AA68="",0,INDEX($AK$6:$AK$67,MATCH(AA68,$A$6:$A$67,0)))</x:f>
        <x:v>0</x:v>
      </x:c>
      <x:c r="AH68" s="10" t="n">
        <x:f>IF(AB68="",0,INDEX($AK$6:$AK$67,MATCH(AB68,$A$6:$A$67,0)))</x:f>
        <x:v>0</x:v>
      </x:c>
      <x:c r="AI68" s="10" t="n">
        <x:f>IF(AC68="",0,INDEX($AK$6:$AK$67,MATCH(AC68,$A$6:$A$67,0)))</x:f>
        <x:v>0</x:v>
      </x:c>
      <x:c r="AJ68" s="10" t="str">
        <x:f>IF(AM68="완료",IF(J68="",K68,J68),IF(OR(COUNT('프로젝트설정'!$B$7:$B$8)&lt;2,COUNT(AD68:AI68)&lt;6,COUNT(S68:U68)&lt;3),"",IF(AM68="제외",MAX('프로젝트설정'!$B$7,AD68:AI68),IF(E68="진행",J68,MAX('프로젝트설정'!$B$7:$B$8,L68,AD68:AI68)))))</x:f>
      </x:c>
      <x:c r="AK68" s="10" t="str">
        <x:f>IF(AM68="완료",K68,IF(AJ68="","",IF(E68="진행",MAX('프로젝트설정'!$B$8,AJ68,AD68:AI68)+T68,AJ68+T68)))</x:f>
      </x:c>
      <x:c r="AL68" s="7" t="str">
        <x:f>IF(OR(I68="",AK68=""),"",AK68-I68)</x:f>
      </x:c>
      <x:c r="AM68" s="7" t="str">
        <x:f>IF(OR(D68="제외",E68="제외"),"제외",IF(D68&lt;&gt;"적용","적용성 확인",IF(E68="완료",IF(ISNUMBER(K68),"완료","실제완료 입력"),IF(E68="보류","보류 해제 필요",IF(E68="진행",IF(AND(ISNUMBER(J68),COUNT(P68:R68)=3,P68&gt;=0,P68&lt;=Q68,Q68&lt;=R68),"입력 OK","실제착수·잔여기간 확인"),IF(AND(COUNT(M68:O68)=3,M68&gt;=0,M68&lt;=N68,N68&lt;=O68),"입력 OK","전체기간 확인"))))))</x:f>
        <x:v>적용성 확인</x:v>
      </x:c>
      <x:c r="AN68" s="7" t="str">
        <x:v>10</x:v>
      </x:c>
    </x:row>
    <x:row r="69" ht="34" customHeight="1">
      <x:c r="A69" s="7" t="str">
        <x:v>BP04</x:v>
      </x:c>
      <x:c r="B69" s="7" t="str">
        <x:v>10 건축허가</x:v>
      </x:c>
      <x:c r="C69" s="7" t="str">
        <x:v>건축허가 확인 및 허가조건 배포</x:v>
      </x:c>
      <x:c r="D69" s="7" t="str">
        <x:f>'모듈선택'!B15</x:f>
        <x:v>검토 필요</x:v>
      </x:c>
      <x:c r="E69" s="8" t="str">
        <x:v>계획</x:v>
      </x:c>
      <x:c r="F69" s="8" t="str">
        <x:v>건축설계사 / 사업주 / 관할 지자체</x:v>
      </x:c>
      <x:c r="G69" s="8" t="str">
        <x:v>건축허가서, 허가조건</x:v>
      </x:c>
      <x:c r="H69" s="9"/>
      <x:c r="I69" s="9"/>
      <x:c r="J69" s="9"/>
      <x:c r="K69" s="9"/>
      <x:c r="L69" s="9"/>
      <x:c r="M69" s="8" t="n">
        <x:v>1</x:v>
      </x:c>
      <x:c r="N69" s="8" t="n">
        <x:v>2</x:v>
      </x:c>
      <x:c r="O69" s="8" t="n">
        <x:v>4</x:v>
      </x:c>
      <x:c r="P69" s="8"/>
      <x:c r="Q69" s="8"/>
      <x:c r="R69" s="8"/>
      <x:c r="S69" s="7" t="str">
        <x:f>IF(OR(AM69="제외",AM69="완료"),0,IF(AM69&lt;&gt;"입력 OK","",IF(E69="진행",P69,M69)))</x:f>
      </x:c>
      <x:c r="T69" s="7" t="str">
        <x:f>IF(OR(AM69="제외",AM69="완료"),0,IF(AM69&lt;&gt;"입력 OK","",IF(E69="진행",Q69,N69)))</x:f>
      </x:c>
      <x:c r="U69" s="7" t="str">
        <x:f>IF(OR(AM69="제외",AM69="완료"),0,IF(AM69&lt;&gt;"입력 OK","",IF(E69="진행",R69,O69)))</x:f>
      </x:c>
      <x:c r="V69" s="11" t="str">
        <x:f>IF(COUNT(S69:U69)&lt;3,"",(S69+4*T69+U69)/6)</x:f>
      </x:c>
      <x:c r="W69" s="11" t="str">
        <x:f>IF(COUNT(S69:U69)&lt;3,"",((U69-S69)/6)^2)</x:f>
      </x:c>
      <x:c r="X69" s="8" t="str">
        <x:v>BP03</x:v>
      </x:c>
      <x:c r="Y69" s="8" t="str"/>
      <x:c r="Z69" s="8" t="str"/>
      <x:c r="AA69" s="8" t="str"/>
      <x:c r="AB69" s="8" t="str"/>
      <x:c r="AC69" s="8" t="str"/>
      <x:c r="AD69" s="10" t="str">
        <x:f>IF(X69="",0,INDEX($AK$6:$AK$68,MATCH(X69,$A$6:$A$68,0)))</x:f>
      </x:c>
      <x:c r="AE69" s="10" t="n">
        <x:f>IF(Y69="",0,INDEX($AK$6:$AK$68,MATCH(Y69,$A$6:$A$68,0)))</x:f>
        <x:v>0</x:v>
      </x:c>
      <x:c r="AF69" s="10" t="n">
        <x:f>IF(Z69="",0,INDEX($AK$6:$AK$68,MATCH(Z69,$A$6:$A$68,0)))</x:f>
        <x:v>0</x:v>
      </x:c>
      <x:c r="AG69" s="10" t="n">
        <x:f>IF(AA69="",0,INDEX($AK$6:$AK$68,MATCH(AA69,$A$6:$A$68,0)))</x:f>
        <x:v>0</x:v>
      </x:c>
      <x:c r="AH69" s="10" t="n">
        <x:f>IF(AB69="",0,INDEX($AK$6:$AK$68,MATCH(AB69,$A$6:$A$68,0)))</x:f>
        <x:v>0</x:v>
      </x:c>
      <x:c r="AI69" s="10" t="n">
        <x:f>IF(AC69="",0,INDEX($AK$6:$AK$68,MATCH(AC69,$A$6:$A$68,0)))</x:f>
        <x:v>0</x:v>
      </x:c>
      <x:c r="AJ69" s="10" t="str">
        <x:f>IF(AM69="완료",IF(J69="",K69,J69),IF(OR(COUNT('프로젝트설정'!$B$7:$B$8)&lt;2,COUNT(AD69:AI69)&lt;6,COUNT(S69:U69)&lt;3),"",IF(AM69="제외",MAX('프로젝트설정'!$B$7,AD69:AI69),IF(E69="진행",J69,MAX('프로젝트설정'!$B$7:$B$8,L69,AD69:AI69)))))</x:f>
      </x:c>
      <x:c r="AK69" s="10" t="str">
        <x:f>IF(AM69="완료",K69,IF(AJ69="","",IF(E69="진행",MAX('프로젝트설정'!$B$8,AJ69,AD69:AI69)+T69,AJ69+T69)))</x:f>
      </x:c>
      <x:c r="AL69" s="7" t="str">
        <x:f>IF(OR(I69="",AK69=""),"",AK69-I69)</x:f>
      </x:c>
      <x:c r="AM69" s="7" t="str">
        <x:f>IF(OR(D69="제외",E69="제외"),"제외",IF(D69&lt;&gt;"적용","적용성 확인",IF(E69="완료",IF(ISNUMBER(K69),"완료","실제완료 입력"),IF(E69="보류","보류 해제 필요",IF(E69="진행",IF(AND(ISNUMBER(J69),COUNT(P69:R69)=3,P69&gt;=0,P69&lt;=Q69,Q69&lt;=R69),"입력 OK","실제착수·잔여기간 확인"),IF(AND(COUNT(M69:O69)=3,M69&gt;=0,M69&lt;=N69,N69&lt;=O69),"입력 OK","전체기간 확인"))))))</x:f>
        <x:v>적용성 확인</x:v>
      </x:c>
      <x:c r="AN69" s="7" t="str">
        <x:v>10</x:v>
      </x:c>
    </x:row>
    <x:row r="70" ht="34" customHeight="1">
      <x:c r="A70" s="7" t="str">
        <x:v>HZ01</x:v>
      </x:c>
      <x:c r="B70" s="7" t="str">
        <x:v>11 위험성평가</x:v>
      </x:c>
      <x:c r="C70" s="7" t="str">
        <x:v>위험성평가 범위·검토팀·설계기준 확정</x:v>
      </x:c>
      <x:c r="D70" s="7" t="str">
        <x:f>'모듈선택'!B16</x:f>
        <x:v>적용</x:v>
      </x:c>
      <x:c r="E70" s="8" t="str">
        <x:v>계획</x:v>
      </x:c>
      <x:c r="F70" s="8" t="str">
        <x:v>종합설계사 / PM / 오너 검토 검토</x:v>
      </x:c>
      <x:c r="G70" s="8" t="str">
        <x:v>HAZID/HAZOP 계획, P&amp;ID</x:v>
      </x:c>
      <x:c r="H70" s="9"/>
      <x:c r="I70" s="9"/>
      <x:c r="J70" s="9"/>
      <x:c r="K70" s="9"/>
      <x:c r="L70" s="9"/>
      <x:c r="M70" s="8" t="n">
        <x:v>2</x:v>
      </x:c>
      <x:c r="N70" s="8" t="n">
        <x:v>3</x:v>
      </x:c>
      <x:c r="O70" s="8" t="n">
        <x:v>6</x:v>
      </x:c>
      <x:c r="P70" s="8"/>
      <x:c r="Q70" s="8"/>
      <x:c r="R70" s="8"/>
      <x:c r="S70" s="7" t="n">
        <x:f>IF(OR(AM70="제외",AM70="완료"),0,IF(AM70&lt;&gt;"입력 OK","",IF(E70="진행",P70,M70)))</x:f>
        <x:v>2</x:v>
      </x:c>
      <x:c r="T70" s="7" t="n">
        <x:f>IF(OR(AM70="제외",AM70="완료"),0,IF(AM70&lt;&gt;"입력 OK","",IF(E70="진행",Q70,N70)))</x:f>
        <x:v>3</x:v>
      </x:c>
      <x:c r="U70" s="7" t="n">
        <x:f>IF(OR(AM70="제외",AM70="완료"),0,IF(AM70&lt;&gt;"입력 OK","",IF(E70="진행",R70,O70)))</x:f>
        <x:v>6</x:v>
      </x:c>
      <x:c r="V70" s="11" t="n">
        <x:f>IF(COUNT(S70:U70)&lt;3,"",(S70+4*T70+U70)/6)</x:f>
        <x:v>3.3333333333333335</x:v>
      </x:c>
      <x:c r="W70" s="11" t="n">
        <x:f>IF(COUNT(S70:U70)&lt;3,"",((U70-S70)/6)^2)</x:f>
        <x:v>0.4444444444444444</x:v>
      </x:c>
      <x:c r="X70" s="8" t="str">
        <x:v>PD01</x:v>
      </x:c>
      <x:c r="Y70" s="8" t="str">
        <x:v>IC03</x:v>
      </x:c>
      <x:c r="Z70" s="8" t="str"/>
      <x:c r="AA70" s="8" t="str"/>
      <x:c r="AB70" s="8" t="str"/>
      <x:c r="AC70" s="8" t="str"/>
      <x:c r="AD70" s="10" t="str">
        <x:f>IF(X70="",0,INDEX($AK$6:$AK$69,MATCH(X70,$A$6:$A$69,0)))</x:f>
      </x:c>
      <x:c r="AE70" s="10" t="str">
        <x:f>IF(Y70="",0,INDEX($AK$6:$AK$69,MATCH(Y70,$A$6:$A$69,0)))</x:f>
      </x:c>
      <x:c r="AF70" s="10" t="n">
        <x:f>IF(Z70="",0,INDEX($AK$6:$AK$69,MATCH(Z70,$A$6:$A$69,0)))</x:f>
        <x:v>0</x:v>
      </x:c>
      <x:c r="AG70" s="10" t="n">
        <x:f>IF(AA70="",0,INDEX($AK$6:$AK$69,MATCH(AA70,$A$6:$A$69,0)))</x:f>
        <x:v>0</x:v>
      </x:c>
      <x:c r="AH70" s="10" t="n">
        <x:f>IF(AB70="",0,INDEX($AK$6:$AK$69,MATCH(AB70,$A$6:$A$69,0)))</x:f>
        <x:v>0</x:v>
      </x:c>
      <x:c r="AI70" s="10" t="n">
        <x:f>IF(AC70="",0,INDEX($AK$6:$AK$69,MATCH(AC70,$A$6:$A$69,0)))</x:f>
        <x:v>0</x:v>
      </x:c>
      <x:c r="AJ70" s="10" t="str">
        <x:f>IF(AM70="완료",IF(J70="",K70,J70),IF(OR(COUNT('프로젝트설정'!$B$7:$B$8)&lt;2,COUNT(AD70:AI70)&lt;6,COUNT(S70:U70)&lt;3),"",IF(AM70="제외",MAX('프로젝트설정'!$B$7,AD70:AI70),IF(E70="진행",J70,MAX('프로젝트설정'!$B$7:$B$8,L70,AD70:AI70)))))</x:f>
      </x:c>
      <x:c r="AK70" s="10" t="str">
        <x:f>IF(AM70="완료",K70,IF(AJ70="","",IF(E70="진행",MAX('프로젝트설정'!$B$8,AJ70,AD70:AI70)+T70,AJ70+T70)))</x:f>
      </x:c>
      <x:c r="AL70" s="7" t="str">
        <x:f>IF(OR(I70="",AK70=""),"",AK70-I70)</x:f>
      </x:c>
      <x:c r="AM70" s="7" t="str">
        <x:f>IF(OR(D70="제외",E70="제외"),"제외",IF(D70&lt;&gt;"적용","적용성 확인",IF(E70="완료",IF(ISNUMBER(K70),"완료","실제완료 입력"),IF(E70="보류","보류 해제 필요",IF(E70="진행",IF(AND(ISNUMBER(J70),COUNT(P70:R70)=3,P70&gt;=0,P70&lt;=Q70,Q70&lt;=R70),"입력 OK","실제착수·잔여기간 확인"),IF(AND(COUNT(M70:O70)=3,M70&gt;=0,M70&lt;=N70,N70&lt;=O70),"입력 OK","전체기간 확인"))))))</x:f>
        <x:v>입력 OK</x:v>
      </x:c>
      <x:c r="AN70" s="7" t="str">
        <x:v>11</x:v>
      </x:c>
    </x:row>
    <x:row r="71" ht="34" customHeight="1">
      <x:c r="A71" s="7" t="str">
        <x:v>HZ02</x:v>
      </x:c>
      <x:c r="B71" s="7" t="str">
        <x:v>11 위험성평가</x:v>
      </x:c>
      <x:c r="C71" s="7" t="str">
        <x:v>폭발위험장소 계산 및 방폭구역도 작성</x:v>
      </x:c>
      <x:c r="D71" s="7" t="str">
        <x:f>'모듈선택'!B16</x:f>
        <x:v>적용</x:v>
      </x:c>
      <x:c r="E71" s="8" t="str">
        <x:v>계획</x:v>
      </x:c>
      <x:c r="F71" s="8" t="str">
        <x:v>종합설계사 / PM / 오너 검토 검토</x:v>
      </x:c>
      <x:c r="G71" s="8" t="str">
        <x:v>방폭구역 계산, 구역도</x:v>
      </x:c>
      <x:c r="H71" s="9"/>
      <x:c r="I71" s="9"/>
      <x:c r="J71" s="9"/>
      <x:c r="K71" s="9"/>
      <x:c r="L71" s="9"/>
      <x:c r="M71" s="8" t="n">
        <x:v>3</x:v>
      </x:c>
      <x:c r="N71" s="8" t="n">
        <x:v>5</x:v>
      </x:c>
      <x:c r="O71" s="8" t="n">
        <x:v>9</x:v>
      </x:c>
      <x:c r="P71" s="8"/>
      <x:c r="Q71" s="8"/>
      <x:c r="R71" s="8"/>
      <x:c r="S71" s="7" t="n">
        <x:f>IF(OR(AM71="제외",AM71="완료"),0,IF(AM71&lt;&gt;"입력 OK","",IF(E71="진행",P71,M71)))</x:f>
        <x:v>3</x:v>
      </x:c>
      <x:c r="T71" s="7" t="n">
        <x:f>IF(OR(AM71="제외",AM71="완료"),0,IF(AM71&lt;&gt;"입력 OK","",IF(E71="진행",Q71,N71)))</x:f>
        <x:v>5</x:v>
      </x:c>
      <x:c r="U71" s="7" t="n">
        <x:f>IF(OR(AM71="제외",AM71="완료"),0,IF(AM71&lt;&gt;"입력 OK","",IF(E71="진행",R71,O71)))</x:f>
        <x:v>9</x:v>
      </x:c>
      <x:c r="V71" s="11" t="n">
        <x:f>IF(COUNT(S71:U71)&lt;3,"",(S71+4*T71+U71)/6)</x:f>
        <x:v>5.333333333333333</x:v>
      </x:c>
      <x:c r="W71" s="11" t="n">
        <x:f>IF(COUNT(S71:U71)&lt;3,"",((U71-S71)/6)^2)</x:f>
        <x:v>1</x:v>
      </x:c>
      <x:c r="X71" s="8" t="str">
        <x:v>HZ01</x:v>
      </x:c>
      <x:c r="Y71" s="8" t="str"/>
      <x:c r="Z71" s="8" t="str"/>
      <x:c r="AA71" s="8" t="str"/>
      <x:c r="AB71" s="8" t="str"/>
      <x:c r="AC71" s="8" t="str"/>
      <x:c r="AD71" s="10" t="str">
        <x:f>IF(X71="",0,INDEX($AK$6:$AK$70,MATCH(X71,$A$6:$A$70,0)))</x:f>
      </x:c>
      <x:c r="AE71" s="10" t="n">
        <x:f>IF(Y71="",0,INDEX($AK$6:$AK$70,MATCH(Y71,$A$6:$A$70,0)))</x:f>
        <x:v>0</x:v>
      </x:c>
      <x:c r="AF71" s="10" t="n">
        <x:f>IF(Z71="",0,INDEX($AK$6:$AK$70,MATCH(Z71,$A$6:$A$70,0)))</x:f>
        <x:v>0</x:v>
      </x:c>
      <x:c r="AG71" s="10" t="n">
        <x:f>IF(AA71="",0,INDEX($AK$6:$AK$70,MATCH(AA71,$A$6:$A$70,0)))</x:f>
        <x:v>0</x:v>
      </x:c>
      <x:c r="AH71" s="10" t="n">
        <x:f>IF(AB71="",0,INDEX($AK$6:$AK$70,MATCH(AB71,$A$6:$A$70,0)))</x:f>
        <x:v>0</x:v>
      </x:c>
      <x:c r="AI71" s="10" t="n">
        <x:f>IF(AC71="",0,INDEX($AK$6:$AK$70,MATCH(AC71,$A$6:$A$70,0)))</x:f>
        <x:v>0</x:v>
      </x:c>
      <x:c r="AJ71" s="10" t="str">
        <x:f>IF(AM71="완료",IF(J71="",K71,J71),IF(OR(COUNT('프로젝트설정'!$B$7:$B$8)&lt;2,COUNT(AD71:AI71)&lt;6,COUNT(S71:U71)&lt;3),"",IF(AM71="제외",MAX('프로젝트설정'!$B$7,AD71:AI71),IF(E71="진행",J71,MAX('프로젝트설정'!$B$7:$B$8,L71,AD71:AI71)))))</x:f>
      </x:c>
      <x:c r="AK71" s="10" t="str">
        <x:f>IF(AM71="완료",K71,IF(AJ71="","",IF(E71="진행",MAX('프로젝트설정'!$B$8,AJ71,AD71:AI71)+T71,AJ71+T71)))</x:f>
      </x:c>
      <x:c r="AL71" s="7" t="str">
        <x:f>IF(OR(I71="",AK71=""),"",AK71-I71)</x:f>
      </x:c>
      <x:c r="AM71" s="7" t="str">
        <x:f>IF(OR(D71="제외",E71="제외"),"제외",IF(D71&lt;&gt;"적용","적용성 확인",IF(E71="완료",IF(ISNUMBER(K71),"완료","실제완료 입력"),IF(E71="보류","보류 해제 필요",IF(E71="진행",IF(AND(ISNUMBER(J71),COUNT(P71:R71)=3,P71&gt;=0,P71&lt;=Q71,Q71&lt;=R71),"입력 OK","실제착수·잔여기간 확인"),IF(AND(COUNT(M71:O71)=3,M71&gt;=0,M71&lt;=N71,N71&lt;=O71),"입력 OK","전체기간 확인"))))))</x:f>
        <x:v>입력 OK</x:v>
      </x:c>
      <x:c r="AN71" s="7" t="str">
        <x:v>11</x:v>
      </x:c>
    </x:row>
    <x:row r="72" ht="34" customHeight="1">
      <x:c r="A72" s="7" t="str">
        <x:v>HZ03</x:v>
      </x:c>
      <x:c r="B72" s="7" t="str">
        <x:v>11 위험성평가</x:v>
      </x:c>
      <x:c r="C72" s="7" t="str">
        <x:v>공정 위험성평가 회의 실시</x:v>
      </x:c>
      <x:c r="D72" s="7" t="str">
        <x:f>'모듈선택'!B16</x:f>
        <x:v>적용</x:v>
      </x:c>
      <x:c r="E72" s="8" t="str">
        <x:v>계획</x:v>
      </x:c>
      <x:c r="F72" s="8" t="str">
        <x:v>종합설계사 / PM / 오너 검토 검토</x:v>
      </x:c>
      <x:c r="G72" s="8" t="str">
        <x:v>HAZOP worksheets, action list</x:v>
      </x:c>
      <x:c r="H72" s="9"/>
      <x:c r="I72" s="9"/>
      <x:c r="J72" s="9"/>
      <x:c r="K72" s="9"/>
      <x:c r="L72" s="9"/>
      <x:c r="M72" s="8" t="n">
        <x:v>2</x:v>
      </x:c>
      <x:c r="N72" s="8" t="n">
        <x:v>3</x:v>
      </x:c>
      <x:c r="O72" s="8" t="n">
        <x:v>6</x:v>
      </x:c>
      <x:c r="P72" s="8"/>
      <x:c r="Q72" s="8"/>
      <x:c r="R72" s="8"/>
      <x:c r="S72" s="7" t="n">
        <x:f>IF(OR(AM72="제외",AM72="완료"),0,IF(AM72&lt;&gt;"입력 OK","",IF(E72="진행",P72,M72)))</x:f>
        <x:v>2</x:v>
      </x:c>
      <x:c r="T72" s="7" t="n">
        <x:f>IF(OR(AM72="제외",AM72="완료"),0,IF(AM72&lt;&gt;"입력 OK","",IF(E72="진행",Q72,N72)))</x:f>
        <x:v>3</x:v>
      </x:c>
      <x:c r="U72" s="7" t="n">
        <x:f>IF(OR(AM72="제외",AM72="완료"),0,IF(AM72&lt;&gt;"입력 OK","",IF(E72="진행",R72,O72)))</x:f>
        <x:v>6</x:v>
      </x:c>
      <x:c r="V72" s="11" t="n">
        <x:f>IF(COUNT(S72:U72)&lt;3,"",(S72+4*T72+U72)/6)</x:f>
        <x:v>3.3333333333333335</x:v>
      </x:c>
      <x:c r="W72" s="11" t="n">
        <x:f>IF(COUNT(S72:U72)&lt;3,"",((U72-S72)/6)^2)</x:f>
        <x:v>0.4444444444444444</x:v>
      </x:c>
      <x:c r="X72" s="8" t="str">
        <x:v>HZ02</x:v>
      </x:c>
      <x:c r="Y72" s="8" t="str"/>
      <x:c r="Z72" s="8" t="str"/>
      <x:c r="AA72" s="8" t="str"/>
      <x:c r="AB72" s="8" t="str"/>
      <x:c r="AC72" s="8" t="str"/>
      <x:c r="AD72" s="10" t="str">
        <x:f>IF(X72="",0,INDEX($AK$6:$AK$71,MATCH(X72,$A$6:$A$71,0)))</x:f>
      </x:c>
      <x:c r="AE72" s="10" t="n">
        <x:f>IF(Y72="",0,INDEX($AK$6:$AK$71,MATCH(Y72,$A$6:$A$71,0)))</x:f>
        <x:v>0</x:v>
      </x:c>
      <x:c r="AF72" s="10" t="n">
        <x:f>IF(Z72="",0,INDEX($AK$6:$AK$71,MATCH(Z72,$A$6:$A$71,0)))</x:f>
        <x:v>0</x:v>
      </x:c>
      <x:c r="AG72" s="10" t="n">
        <x:f>IF(AA72="",0,INDEX($AK$6:$AK$71,MATCH(AA72,$A$6:$A$71,0)))</x:f>
        <x:v>0</x:v>
      </x:c>
      <x:c r="AH72" s="10" t="n">
        <x:f>IF(AB72="",0,INDEX($AK$6:$AK$71,MATCH(AB72,$A$6:$A$71,0)))</x:f>
        <x:v>0</x:v>
      </x:c>
      <x:c r="AI72" s="10" t="n">
        <x:f>IF(AC72="",0,INDEX($AK$6:$AK$71,MATCH(AC72,$A$6:$A$71,0)))</x:f>
        <x:v>0</x:v>
      </x:c>
      <x:c r="AJ72" s="10" t="str">
        <x:f>IF(AM72="완료",IF(J72="",K72,J72),IF(OR(COUNT('프로젝트설정'!$B$7:$B$8)&lt;2,COUNT(AD72:AI72)&lt;6,COUNT(S72:U72)&lt;3),"",IF(AM72="제외",MAX('프로젝트설정'!$B$7,AD72:AI72),IF(E72="진행",J72,MAX('프로젝트설정'!$B$7:$B$8,L72,AD72:AI72)))))</x:f>
      </x:c>
      <x:c r="AK72" s="10" t="str">
        <x:f>IF(AM72="완료",K72,IF(AJ72="","",IF(E72="진행",MAX('프로젝트설정'!$B$8,AJ72,AD72:AI72)+T72,AJ72+T72)))</x:f>
      </x:c>
      <x:c r="AL72" s="7" t="str">
        <x:f>IF(OR(I72="",AK72=""),"",AK72-I72)</x:f>
      </x:c>
      <x:c r="AM72" s="7" t="str">
        <x:f>IF(OR(D72="제외",E72="제외"),"제외",IF(D72&lt;&gt;"적용","적용성 확인",IF(E72="완료",IF(ISNUMBER(K72),"완료","실제완료 입력"),IF(E72="보류","보류 해제 필요",IF(E72="진행",IF(AND(ISNUMBER(J72),COUNT(P72:R72)=3,P72&gt;=0,P72&lt;=Q72,Q72&lt;=R72),"입력 OK","실제착수·잔여기간 확인"),IF(AND(COUNT(M72:O72)=3,M72&gt;=0,M72&lt;=N72,N72&lt;=O72),"입력 OK","전체기간 확인"))))))</x:f>
        <x:v>입력 OK</x:v>
      </x:c>
      <x:c r="AN72" s="7" t="str">
        <x:v>11</x:v>
      </x:c>
    </x:row>
    <x:row r="73" ht="34" customHeight="1">
      <x:c r="A73" s="7" t="str">
        <x:v>HZ04</x:v>
      </x:c>
      <x:c r="B73" s="7" t="str">
        <x:v>11 위험성평가</x:v>
      </x:c>
      <x:c r="C73" s="7" t="str">
        <x:v>안전장치·인터록·비상정지 보완</x:v>
      </x:c>
      <x:c r="D73" s="7" t="str">
        <x:f>'모듈선택'!B16</x:f>
        <x:v>적용</x:v>
      </x:c>
      <x:c r="E73" s="8" t="str">
        <x:v>계획</x:v>
      </x:c>
      <x:c r="F73" s="8" t="str">
        <x:v>종합설계사 / PM / 오너 검토 검토</x:v>
      </x:c>
      <x:c r="G73" s="8" t="str">
        <x:v>C&amp;E, relief basis, ESD</x:v>
      </x:c>
      <x:c r="H73" s="9"/>
      <x:c r="I73" s="9"/>
      <x:c r="J73" s="9"/>
      <x:c r="K73" s="9"/>
      <x:c r="L73" s="9"/>
      <x:c r="M73" s="8" t="n">
        <x:v>5</x:v>
      </x:c>
      <x:c r="N73" s="8" t="n">
        <x:v>7</x:v>
      </x:c>
      <x:c r="O73" s="8" t="n">
        <x:v>12</x:v>
      </x:c>
      <x:c r="P73" s="8"/>
      <x:c r="Q73" s="8"/>
      <x:c r="R73" s="8"/>
      <x:c r="S73" s="7" t="n">
        <x:f>IF(OR(AM73="제외",AM73="완료"),0,IF(AM73&lt;&gt;"입력 OK","",IF(E73="진행",P73,M73)))</x:f>
        <x:v>5</x:v>
      </x:c>
      <x:c r="T73" s="7" t="n">
        <x:f>IF(OR(AM73="제외",AM73="완료"),0,IF(AM73&lt;&gt;"입력 OK","",IF(E73="진행",Q73,N73)))</x:f>
        <x:v>7</x:v>
      </x:c>
      <x:c r="U73" s="7" t="n">
        <x:f>IF(OR(AM73="제외",AM73="완료"),0,IF(AM73&lt;&gt;"입력 OK","",IF(E73="진행",R73,O73)))</x:f>
        <x:v>12</x:v>
      </x:c>
      <x:c r="V73" s="11" t="n">
        <x:f>IF(COUNT(S73:U73)&lt;3,"",(S73+4*T73+U73)/6)</x:f>
        <x:v>7.5</x:v>
      </x:c>
      <x:c r="W73" s="11" t="n">
        <x:f>IF(COUNT(S73:U73)&lt;3,"",((U73-S73)/6)^2)</x:f>
        <x:v>1.3611111111111114</x:v>
      </x:c>
      <x:c r="X73" s="8" t="str">
        <x:v>HZ03</x:v>
      </x:c>
      <x:c r="Y73" s="8" t="str"/>
      <x:c r="Z73" s="8" t="str"/>
      <x:c r="AA73" s="8" t="str"/>
      <x:c r="AB73" s="8" t="str"/>
      <x:c r="AC73" s="8" t="str"/>
      <x:c r="AD73" s="10" t="str">
        <x:f>IF(X73="",0,INDEX($AK$6:$AK$72,MATCH(X73,$A$6:$A$72,0)))</x:f>
      </x:c>
      <x:c r="AE73" s="10" t="n">
        <x:f>IF(Y73="",0,INDEX($AK$6:$AK$72,MATCH(Y73,$A$6:$A$72,0)))</x:f>
        <x:v>0</x:v>
      </x:c>
      <x:c r="AF73" s="10" t="n">
        <x:f>IF(Z73="",0,INDEX($AK$6:$AK$72,MATCH(Z73,$A$6:$A$72,0)))</x:f>
        <x:v>0</x:v>
      </x:c>
      <x:c r="AG73" s="10" t="n">
        <x:f>IF(AA73="",0,INDEX($AK$6:$AK$72,MATCH(AA73,$A$6:$A$72,0)))</x:f>
        <x:v>0</x:v>
      </x:c>
      <x:c r="AH73" s="10" t="n">
        <x:f>IF(AB73="",0,INDEX($AK$6:$AK$72,MATCH(AB73,$A$6:$A$72,0)))</x:f>
        <x:v>0</x:v>
      </x:c>
      <x:c r="AI73" s="10" t="n">
        <x:f>IF(AC73="",0,INDEX($AK$6:$AK$72,MATCH(AC73,$A$6:$A$72,0)))</x:f>
        <x:v>0</x:v>
      </x:c>
      <x:c r="AJ73" s="10" t="str">
        <x:f>IF(AM73="완료",IF(J73="",K73,J73),IF(OR(COUNT('프로젝트설정'!$B$7:$B$8)&lt;2,COUNT(AD73:AI73)&lt;6,COUNT(S73:U73)&lt;3),"",IF(AM73="제외",MAX('프로젝트설정'!$B$7,AD73:AI73),IF(E73="진행",J73,MAX('프로젝트설정'!$B$7:$B$8,L73,AD73:AI73)))))</x:f>
      </x:c>
      <x:c r="AK73" s="10" t="str">
        <x:f>IF(AM73="완료",K73,IF(AJ73="","",IF(E73="진행",MAX('프로젝트설정'!$B$8,AJ73,AD73:AI73)+T73,AJ73+T73)))</x:f>
      </x:c>
      <x:c r="AL73" s="7" t="str">
        <x:f>IF(OR(I73="",AK73=""),"",AK73-I73)</x:f>
      </x:c>
      <x:c r="AM73" s="7" t="str">
        <x:f>IF(OR(D73="제외",E73="제외"),"제외",IF(D73&lt;&gt;"적용","적용성 확인",IF(E73="완료",IF(ISNUMBER(K73),"완료","실제완료 입력"),IF(E73="보류","보류 해제 필요",IF(E73="진행",IF(AND(ISNUMBER(J73),COUNT(P73:R73)=3,P73&gt;=0,P73&lt;=Q73,Q73&lt;=R73),"입력 OK","실제착수·잔여기간 확인"),IF(AND(COUNT(M73:O73)=3,M73&gt;=0,M73&lt;=N73,N73&lt;=O73),"입력 OK","전체기간 확인"))))))</x:f>
        <x:v>입력 OK</x:v>
      </x:c>
      <x:c r="AN73" s="7" t="str">
        <x:v>11</x:v>
      </x:c>
    </x:row>
    <x:row r="74" ht="34" customHeight="1">
      <x:c r="A74" s="7" t="str">
        <x:v>HZ05</x:v>
      </x:c>
      <x:c r="B74" s="7" t="str">
        <x:v>11 위험성평가</x:v>
      </x:c>
      <x:c r="C74" s="7" t="str">
        <x:v>위험성평가 조치 확인 및 보고서 승인</x:v>
      </x:c>
      <x:c r="D74" s="7" t="str">
        <x:f>'모듈선택'!B16</x:f>
        <x:v>적용</x:v>
      </x:c>
      <x:c r="E74" s="8" t="str">
        <x:v>계획</x:v>
      </x:c>
      <x:c r="F74" s="8" t="str">
        <x:v>종합설계사 / PM / 오너 검토 검토</x:v>
      </x:c>
      <x:c r="G74" s="8" t="str">
        <x:v>Close-out evidence, report</x:v>
      </x:c>
      <x:c r="H74" s="9"/>
      <x:c r="I74" s="9"/>
      <x:c r="J74" s="9"/>
      <x:c r="K74" s="9"/>
      <x:c r="L74" s="9"/>
      <x:c r="M74" s="8" t="n">
        <x:v>3</x:v>
      </x:c>
      <x:c r="N74" s="8" t="n">
        <x:v>4</x:v>
      </x:c>
      <x:c r="O74" s="8" t="n">
        <x:v>7</x:v>
      </x:c>
      <x:c r="P74" s="8"/>
      <x:c r="Q74" s="8"/>
      <x:c r="R74" s="8"/>
      <x:c r="S74" s="7" t="n">
        <x:f>IF(OR(AM74="제외",AM74="완료"),0,IF(AM74&lt;&gt;"입력 OK","",IF(E74="진행",P74,M74)))</x:f>
        <x:v>3</x:v>
      </x:c>
      <x:c r="T74" s="7" t="n">
        <x:f>IF(OR(AM74="제외",AM74="완료"),0,IF(AM74&lt;&gt;"입력 OK","",IF(E74="진행",Q74,N74)))</x:f>
        <x:v>4</x:v>
      </x:c>
      <x:c r="U74" s="7" t="n">
        <x:f>IF(OR(AM74="제외",AM74="완료"),0,IF(AM74&lt;&gt;"입력 OK","",IF(E74="진행",R74,O74)))</x:f>
        <x:v>7</x:v>
      </x:c>
      <x:c r="V74" s="11" t="n">
        <x:f>IF(COUNT(S74:U74)&lt;3,"",(S74+4*T74+U74)/6)</x:f>
        <x:v>4.333333333333333</x:v>
      </x:c>
      <x:c r="W74" s="11" t="n">
        <x:f>IF(COUNT(S74:U74)&lt;3,"",((U74-S74)/6)^2)</x:f>
        <x:v>0.4444444444444444</x:v>
      </x:c>
      <x:c r="X74" s="8" t="str">
        <x:v>HZ04</x:v>
      </x:c>
      <x:c r="Y74" s="8" t="str"/>
      <x:c r="Z74" s="8" t="str"/>
      <x:c r="AA74" s="8" t="str"/>
      <x:c r="AB74" s="8" t="str"/>
      <x:c r="AC74" s="8" t="str"/>
      <x:c r="AD74" s="10" t="str">
        <x:f>IF(X74="",0,INDEX($AK$6:$AK$73,MATCH(X74,$A$6:$A$73,0)))</x:f>
      </x:c>
      <x:c r="AE74" s="10" t="n">
        <x:f>IF(Y74="",0,INDEX($AK$6:$AK$73,MATCH(Y74,$A$6:$A$73,0)))</x:f>
        <x:v>0</x:v>
      </x:c>
      <x:c r="AF74" s="10" t="n">
        <x:f>IF(Z74="",0,INDEX($AK$6:$AK$73,MATCH(Z74,$A$6:$A$73,0)))</x:f>
        <x:v>0</x:v>
      </x:c>
      <x:c r="AG74" s="10" t="n">
        <x:f>IF(AA74="",0,INDEX($AK$6:$AK$73,MATCH(AA74,$A$6:$A$73,0)))</x:f>
        <x:v>0</x:v>
      </x:c>
      <x:c r="AH74" s="10" t="n">
        <x:f>IF(AB74="",0,INDEX($AK$6:$AK$73,MATCH(AB74,$A$6:$A$73,0)))</x:f>
        <x:v>0</x:v>
      </x:c>
      <x:c r="AI74" s="10" t="n">
        <x:f>IF(AC74="",0,INDEX($AK$6:$AK$73,MATCH(AC74,$A$6:$A$73,0)))</x:f>
        <x:v>0</x:v>
      </x:c>
      <x:c r="AJ74" s="10" t="str">
        <x:f>IF(AM74="완료",IF(J74="",K74,J74),IF(OR(COUNT('프로젝트설정'!$B$7:$B$8)&lt;2,COUNT(AD74:AI74)&lt;6,COUNT(S74:U74)&lt;3),"",IF(AM74="제외",MAX('프로젝트설정'!$B$7,AD74:AI74),IF(E74="진행",J74,MAX('프로젝트설정'!$B$7:$B$8,L74,AD74:AI74)))))</x:f>
      </x:c>
      <x:c r="AK74" s="10" t="str">
        <x:f>IF(AM74="완료",K74,IF(AJ74="","",IF(E74="진행",MAX('프로젝트설정'!$B$8,AJ74,AD74:AI74)+T74,AJ74+T74)))</x:f>
      </x:c>
      <x:c r="AL74" s="7" t="str">
        <x:f>IF(OR(I74="",AK74=""),"",AK74-I74)</x:f>
      </x:c>
      <x:c r="AM74" s="7" t="str">
        <x:f>IF(OR(D74="제외",E74="제외"),"제외",IF(D74&lt;&gt;"적용","적용성 확인",IF(E74="완료",IF(ISNUMBER(K74),"완료","실제완료 입력"),IF(E74="보류","보류 해제 필요",IF(E74="진행",IF(AND(ISNUMBER(J74),COUNT(P74:R74)=3,P74&gt;=0,P74&lt;=Q74,Q74&lt;=R74),"입력 OK","실제착수·잔여기간 확인"),IF(AND(COUNT(M74:O74)=3,M74&gt;=0,M74&lt;=N74,N74&lt;=O74),"입력 OK","전체기간 확인"))))))</x:f>
        <x:v>입력 OK</x:v>
      </x:c>
      <x:c r="AN74" s="7" t="str">
        <x:v>11</x:v>
      </x:c>
    </x:row>
    <x:row r="75" ht="34" customHeight="1">
      <x:c r="A75" s="7" t="str">
        <x:v>KG01</x:v>
      </x:c>
      <x:c r="B75" s="7" t="str">
        <x:v>12 KGS 기술검토·허가</x:v>
      </x:c>
      <x:c r="C75" s="7" t="str">
        <x:v>시설별 기술검토 범위·적용코드 기관 사전협의</x:v>
      </x:c>
      <x:c r="D75" s="7" t="str">
        <x:f>'모듈선택'!B17</x:f>
        <x:v>검토 필요</x:v>
      </x:c>
      <x:c r="E75" s="8" t="str">
        <x:v>계획</x:v>
      </x:c>
      <x:c r="F75" s="8" t="str">
        <x:v>종합설계사 / 사업주 / KGS·허가관청</x:v>
      </x:c>
      <x:c r="G75" s="8" t="str">
        <x:v>생산/압축/저장/원료가스 시설 분류</x:v>
      </x:c>
      <x:c r="H75" s="9"/>
      <x:c r="I75" s="9"/>
      <x:c r="J75" s="9"/>
      <x:c r="K75" s="9"/>
      <x:c r="L75" s="9"/>
      <x:c r="M75" s="8" t="n">
        <x:v>2</x:v>
      </x:c>
      <x:c r="N75" s="8" t="n">
        <x:v>3</x:v>
      </x:c>
      <x:c r="O75" s="8" t="n">
        <x:v>6</x:v>
      </x:c>
      <x:c r="P75" s="8"/>
      <x:c r="Q75" s="8"/>
      <x:c r="R75" s="8"/>
      <x:c r="S75" s="7" t="str">
        <x:f>IF(OR(AM75="제외",AM75="완료"),0,IF(AM75&lt;&gt;"입력 OK","",IF(E75="진행",P75,M75)))</x:f>
      </x:c>
      <x:c r="T75" s="7" t="str">
        <x:f>IF(OR(AM75="제외",AM75="완료"),0,IF(AM75&lt;&gt;"입력 OK","",IF(E75="진행",Q75,N75)))</x:f>
      </x:c>
      <x:c r="U75" s="7" t="str">
        <x:f>IF(OR(AM75="제외",AM75="완료"),0,IF(AM75&lt;&gt;"입력 OK","",IF(E75="진행",R75,O75)))</x:f>
      </x:c>
      <x:c r="V75" s="11" t="str">
        <x:f>IF(COUNT(S75:U75)&lt;3,"",(S75+4*T75+U75)/6)</x:f>
      </x:c>
      <x:c r="W75" s="11" t="str">
        <x:f>IF(COUNT(S75:U75)&lt;3,"",((U75-S75)/6)^2)</x:f>
      </x:c>
      <x:c r="X75" s="8" t="str">
        <x:v>DB06</x:v>
      </x:c>
      <x:c r="Y75" s="8" t="str">
        <x:v>VP06</x:v>
      </x:c>
      <x:c r="Z75" s="8" t="str"/>
      <x:c r="AA75" s="8" t="str"/>
      <x:c r="AB75" s="8" t="str"/>
      <x:c r="AC75" s="8" t="str"/>
      <x:c r="AD75" s="10" t="str">
        <x:f>IF(X75="",0,INDEX($AK$6:$AK$74,MATCH(X75,$A$6:$A$74,0)))</x:f>
      </x:c>
      <x:c r="AE75" s="10" t="str">
        <x:f>IF(Y75="",0,INDEX($AK$6:$AK$74,MATCH(Y75,$A$6:$A$74,0)))</x:f>
      </x:c>
      <x:c r="AF75" s="10" t="n">
        <x:f>IF(Z75="",0,INDEX($AK$6:$AK$74,MATCH(Z75,$A$6:$A$74,0)))</x:f>
        <x:v>0</x:v>
      </x:c>
      <x:c r="AG75" s="10" t="n">
        <x:f>IF(AA75="",0,INDEX($AK$6:$AK$74,MATCH(AA75,$A$6:$A$74,0)))</x:f>
        <x:v>0</x:v>
      </x:c>
      <x:c r="AH75" s="10" t="n">
        <x:f>IF(AB75="",0,INDEX($AK$6:$AK$74,MATCH(AB75,$A$6:$A$74,0)))</x:f>
        <x:v>0</x:v>
      </x:c>
      <x:c r="AI75" s="10" t="n">
        <x:f>IF(AC75="",0,INDEX($AK$6:$AK$74,MATCH(AC75,$A$6:$A$74,0)))</x:f>
        <x:v>0</x:v>
      </x:c>
      <x:c r="AJ75" s="10" t="str">
        <x:f>IF(AM75="완료",IF(J75="",K75,J75),IF(OR(COUNT('프로젝트설정'!$B$7:$B$8)&lt;2,COUNT(AD75:AI75)&lt;6,COUNT(S75:U75)&lt;3),"",IF(AM75="제외",MAX('프로젝트설정'!$B$7,AD75:AI75),IF(E75="진행",J75,MAX('프로젝트설정'!$B$7:$B$8,L75,AD75:AI75)))))</x:f>
      </x:c>
      <x:c r="AK75" s="10" t="str">
        <x:f>IF(AM75="완료",K75,IF(AJ75="","",IF(E75="진행",MAX('프로젝트설정'!$B$8,AJ75,AD75:AI75)+T75,AJ75+T75)))</x:f>
      </x:c>
      <x:c r="AL75" s="7" t="str">
        <x:f>IF(OR(I75="",AK75=""),"",AK75-I75)</x:f>
      </x:c>
      <x:c r="AM75" s="7" t="str">
        <x:f>IF(OR(D75="제외",E75="제외"),"제외",IF(D75&lt;&gt;"적용","적용성 확인",IF(E75="완료",IF(ISNUMBER(K75),"완료","실제완료 입력"),IF(E75="보류","보류 해제 필요",IF(E75="진행",IF(AND(ISNUMBER(J75),COUNT(P75:R75)=3,P75&gt;=0,P75&lt;=Q75,Q75&lt;=R75),"입력 OK","실제착수·잔여기간 확인"),IF(AND(COUNT(M75:O75)=3,M75&gt;=0,M75&lt;=N75,N75&lt;=O75),"입력 OK","전체기간 확인"))))))</x:f>
        <x:v>적용성 확인</x:v>
      </x:c>
      <x:c r="AN75" s="7" t="str">
        <x:v>12</x:v>
      </x:c>
    </x:row>
    <x:row r="76" ht="34" customHeight="1">
      <x:c r="A76" s="7" t="str">
        <x:v>KG02</x:v>
      </x:c>
      <x:c r="B76" s="7" t="str">
        <x:v>12 KGS 기술검토·허가</x:v>
      </x:c>
      <x:c r="C76" s="7" t="str">
        <x:v>시설설치계획서·배치·안전거리 자료 취합</x:v>
      </x:c>
      <x:c r="D76" s="7" t="str">
        <x:f>'모듈선택'!B17</x:f>
        <x:v>검토 필요</x:v>
      </x:c>
      <x:c r="E76" s="8" t="str">
        <x:v>계획</x:v>
      </x:c>
      <x:c r="F76" s="8" t="str">
        <x:v>종합설계사 / 사업주 / KGS·허가관청</x:v>
      </x:c>
      <x:c r="G76" s="8" t="str">
        <x:v>설치계획, Plot plan, 거리 검토</x:v>
      </x:c>
      <x:c r="H76" s="9"/>
      <x:c r="I76" s="9"/>
      <x:c r="J76" s="9"/>
      <x:c r="K76" s="9"/>
      <x:c r="L76" s="9"/>
      <x:c r="M76" s="8" t="n">
        <x:v>3</x:v>
      </x:c>
      <x:c r="N76" s="8" t="n">
        <x:v>5</x:v>
      </x:c>
      <x:c r="O76" s="8" t="n">
        <x:v>9</x:v>
      </x:c>
      <x:c r="P76" s="8"/>
      <x:c r="Q76" s="8"/>
      <x:c r="R76" s="8"/>
      <x:c r="S76" s="7" t="str">
        <x:f>IF(OR(AM76="제외",AM76="완료"),0,IF(AM76&lt;&gt;"입력 OK","",IF(E76="진행",P76,M76)))</x:f>
      </x:c>
      <x:c r="T76" s="7" t="str">
        <x:f>IF(OR(AM76="제외",AM76="완료"),0,IF(AM76&lt;&gt;"입력 OK","",IF(E76="진행",Q76,N76)))</x:f>
      </x:c>
      <x:c r="U76" s="7" t="str">
        <x:f>IF(OR(AM76="제외",AM76="완료"),0,IF(AM76&lt;&gt;"입력 OK","",IF(E76="진행",R76,O76)))</x:f>
      </x:c>
      <x:c r="V76" s="11" t="str">
        <x:f>IF(COUNT(S76:U76)&lt;3,"",(S76+4*T76+U76)/6)</x:f>
      </x:c>
      <x:c r="W76" s="11" t="str">
        <x:f>IF(COUNT(S76:U76)&lt;3,"",((U76-S76)/6)^2)</x:f>
      </x:c>
      <x:c r="X76" s="8" t="str">
        <x:v>KG01</x:v>
      </x:c>
      <x:c r="Y76" s="8" t="str"/>
      <x:c r="Z76" s="8" t="str"/>
      <x:c r="AA76" s="8" t="str"/>
      <x:c r="AB76" s="8" t="str"/>
      <x:c r="AC76" s="8" t="str"/>
      <x:c r="AD76" s="10" t="str">
        <x:f>IF(X76="",0,INDEX($AK$6:$AK$75,MATCH(X76,$A$6:$A$75,0)))</x:f>
      </x:c>
      <x:c r="AE76" s="10" t="n">
        <x:f>IF(Y76="",0,INDEX($AK$6:$AK$75,MATCH(Y76,$A$6:$A$75,0)))</x:f>
        <x:v>0</x:v>
      </x:c>
      <x:c r="AF76" s="10" t="n">
        <x:f>IF(Z76="",0,INDEX($AK$6:$AK$75,MATCH(Z76,$A$6:$A$75,0)))</x:f>
        <x:v>0</x:v>
      </x:c>
      <x:c r="AG76" s="10" t="n">
        <x:f>IF(AA76="",0,INDEX($AK$6:$AK$75,MATCH(AA76,$A$6:$A$75,0)))</x:f>
        <x:v>0</x:v>
      </x:c>
      <x:c r="AH76" s="10" t="n">
        <x:f>IF(AB76="",0,INDEX($AK$6:$AK$75,MATCH(AB76,$A$6:$A$75,0)))</x:f>
        <x:v>0</x:v>
      </x:c>
      <x:c r="AI76" s="10" t="n">
        <x:f>IF(AC76="",0,INDEX($AK$6:$AK$75,MATCH(AC76,$A$6:$A$75,0)))</x:f>
        <x:v>0</x:v>
      </x:c>
      <x:c r="AJ76" s="10" t="str">
        <x:f>IF(AM76="완료",IF(J76="",K76,J76),IF(OR(COUNT('프로젝트설정'!$B$7:$B$8)&lt;2,COUNT(AD76:AI76)&lt;6,COUNT(S76:U76)&lt;3),"",IF(AM76="제외",MAX('프로젝트설정'!$B$7,AD76:AI76),IF(E76="진행",J76,MAX('프로젝트설정'!$B$7:$B$8,L76,AD76:AI76)))))</x:f>
      </x:c>
      <x:c r="AK76" s="10" t="str">
        <x:f>IF(AM76="완료",K76,IF(AJ76="","",IF(E76="진행",MAX('프로젝트설정'!$B$8,AJ76,AD76:AI76)+T76,AJ76+T76)))</x:f>
      </x:c>
      <x:c r="AL76" s="7" t="str">
        <x:f>IF(OR(I76="",AK76=""),"",AK76-I76)</x:f>
      </x:c>
      <x:c r="AM76" s="7" t="str">
        <x:f>IF(OR(D76="제외",E76="제외"),"제외",IF(D76&lt;&gt;"적용","적용성 확인",IF(E76="완료",IF(ISNUMBER(K76),"완료","실제완료 입력"),IF(E76="보류","보류 해제 필요",IF(E76="진행",IF(AND(ISNUMBER(J76),COUNT(P76:R76)=3,P76&gt;=0,P76&lt;=Q76,Q76&lt;=R76),"입력 OK","실제착수·잔여기간 확인"),IF(AND(COUNT(M76:O76)=3,M76&gt;=0,M76&lt;=N76,N76&lt;=O76),"입력 OK","전체기간 확인"))))))</x:f>
        <x:v>적용성 확인</x:v>
      </x:c>
      <x:c r="AN76" s="7" t="str">
        <x:v>12</x:v>
      </x:c>
    </x:row>
    <x:row r="77" ht="34" customHeight="1">
      <x:c r="A77" s="7" t="str">
        <x:v>KG03</x:v>
      </x:c>
      <x:c r="B77" s="7" t="str">
        <x:v>12 KGS 기술검토·허가</x:v>
      </x:c>
      <x:c r="C77" s="7" t="str">
        <x:v>PFD·P&amp;ID·장비·배관 사양 및 계산서 취합</x:v>
      </x:c>
      <x:c r="D77" s="7" t="str">
        <x:f>'모듈선택'!B17</x:f>
        <x:v>검토 필요</x:v>
      </x:c>
      <x:c r="E77" s="8" t="str">
        <x:v>계획</x:v>
      </x:c>
      <x:c r="F77" s="8" t="str">
        <x:v>종합설계사 / 사업주 / KGS·허가관청</x:v>
      </x:c>
      <x:c r="G77" s="8" t="str">
        <x:v>승인 VP, 도면, 계산서</x:v>
      </x:c>
      <x:c r="H77" s="9"/>
      <x:c r="I77" s="9"/>
      <x:c r="J77" s="9"/>
      <x:c r="K77" s="9"/>
      <x:c r="L77" s="9"/>
      <x:c r="M77" s="8" t="n">
        <x:v>3</x:v>
      </x:c>
      <x:c r="N77" s="8" t="n">
        <x:v>5</x:v>
      </x:c>
      <x:c r="O77" s="8" t="n">
        <x:v>9</x:v>
      </x:c>
      <x:c r="P77" s="8"/>
      <x:c r="Q77" s="8"/>
      <x:c r="R77" s="8"/>
      <x:c r="S77" s="7" t="str">
        <x:f>IF(OR(AM77="제외",AM77="완료"),0,IF(AM77&lt;&gt;"입력 OK","",IF(E77="진행",P77,M77)))</x:f>
      </x:c>
      <x:c r="T77" s="7" t="str">
        <x:f>IF(OR(AM77="제외",AM77="완료"),0,IF(AM77&lt;&gt;"입력 OK","",IF(E77="진행",Q77,N77)))</x:f>
      </x:c>
      <x:c r="U77" s="7" t="str">
        <x:f>IF(OR(AM77="제외",AM77="완료"),0,IF(AM77&lt;&gt;"입력 OK","",IF(E77="진행",R77,O77)))</x:f>
      </x:c>
      <x:c r="V77" s="11" t="str">
        <x:f>IF(COUNT(S77:U77)&lt;3,"",(S77+4*T77+U77)/6)</x:f>
      </x:c>
      <x:c r="W77" s="11" t="str">
        <x:f>IF(COUNT(S77:U77)&lt;3,"",((U77-S77)/6)^2)</x:f>
      </x:c>
      <x:c r="X77" s="8" t="str">
        <x:v>KG02</x:v>
      </x:c>
      <x:c r="Y77" s="8" t="str"/>
      <x:c r="Z77" s="8" t="str"/>
      <x:c r="AA77" s="8" t="str"/>
      <x:c r="AB77" s="8" t="str"/>
      <x:c r="AC77" s="8" t="str"/>
      <x:c r="AD77" s="10" t="str">
        <x:f>IF(X77="",0,INDEX($AK$6:$AK$76,MATCH(X77,$A$6:$A$76,0)))</x:f>
      </x:c>
      <x:c r="AE77" s="10" t="n">
        <x:f>IF(Y77="",0,INDEX($AK$6:$AK$76,MATCH(Y77,$A$6:$A$76,0)))</x:f>
        <x:v>0</x:v>
      </x:c>
      <x:c r="AF77" s="10" t="n">
        <x:f>IF(Z77="",0,INDEX($AK$6:$AK$76,MATCH(Z77,$A$6:$A$76,0)))</x:f>
        <x:v>0</x:v>
      </x:c>
      <x:c r="AG77" s="10" t="n">
        <x:f>IF(AA77="",0,INDEX($AK$6:$AK$76,MATCH(AA77,$A$6:$A$76,0)))</x:f>
        <x:v>0</x:v>
      </x:c>
      <x:c r="AH77" s="10" t="n">
        <x:f>IF(AB77="",0,INDEX($AK$6:$AK$76,MATCH(AB77,$A$6:$A$76,0)))</x:f>
        <x:v>0</x:v>
      </x:c>
      <x:c r="AI77" s="10" t="n">
        <x:f>IF(AC77="",0,INDEX($AK$6:$AK$76,MATCH(AC77,$A$6:$A$76,0)))</x:f>
        <x:v>0</x:v>
      </x:c>
      <x:c r="AJ77" s="10" t="str">
        <x:f>IF(AM77="완료",IF(J77="",K77,J77),IF(OR(COUNT('프로젝트설정'!$B$7:$B$8)&lt;2,COUNT(AD77:AI77)&lt;6,COUNT(S77:U77)&lt;3),"",IF(AM77="제외",MAX('프로젝트설정'!$B$7,AD77:AI77),IF(E77="진행",J77,MAX('프로젝트설정'!$B$7:$B$8,L77,AD77:AI77)))))</x:f>
      </x:c>
      <x:c r="AK77" s="10" t="str">
        <x:f>IF(AM77="완료",K77,IF(AJ77="","",IF(E77="진행",MAX('프로젝트설정'!$B$8,AJ77,AD77:AI77)+T77,AJ77+T77)))</x:f>
      </x:c>
      <x:c r="AL77" s="7" t="str">
        <x:f>IF(OR(I77="",AK77=""),"",AK77-I77)</x:f>
      </x:c>
      <x:c r="AM77" s="7" t="str">
        <x:f>IF(OR(D77="제외",E77="제외"),"제외",IF(D77&lt;&gt;"적용","적용성 확인",IF(E77="완료",IF(ISNUMBER(K77),"완료","실제완료 입력"),IF(E77="보류","보류 해제 필요",IF(E77="진행",IF(AND(ISNUMBER(J77),COUNT(P77:R77)=3,P77&gt;=0,P77&lt;=Q77,Q77&lt;=R77),"입력 OK","실제착수·잔여기간 확인"),IF(AND(COUNT(M77:O77)=3,M77&gt;=0,M77&lt;=N77,N77&lt;=O77),"입력 OK","전체기간 확인"))))))</x:f>
        <x:v>적용성 확인</x:v>
      </x:c>
      <x:c r="AN77" s="7" t="str">
        <x:v>12</x:v>
      </x:c>
    </x:row>
    <x:row r="78" ht="34" customHeight="1">
      <x:c r="A78" s="7" t="str">
        <x:v>KG04</x:v>
      </x:c>
      <x:c r="B78" s="7" t="str">
        <x:v>12 KGS 기술검토·허가</x:v>
      </x:c>
      <x:c r="C78" s="7" t="str">
        <x:v>KGS 제출본 작성·사업주 검토·날인</x:v>
      </x:c>
      <x:c r="D78" s="7" t="str">
        <x:f>'모듈선택'!B17</x:f>
        <x:v>검토 필요</x:v>
      </x:c>
      <x:c r="E78" s="8" t="str">
        <x:v>계획</x:v>
      </x:c>
      <x:c r="F78" s="8" t="str">
        <x:v>종합설계사 / 사업주 / KGS·허가관청</x:v>
      </x:c>
      <x:c r="G78" s="8" t="str">
        <x:v>기술검토서 제출본</x:v>
      </x:c>
      <x:c r="H78" s="9"/>
      <x:c r="I78" s="9"/>
      <x:c r="J78" s="9"/>
      <x:c r="K78" s="9"/>
      <x:c r="L78" s="9"/>
      <x:c r="M78" s="8" t="n">
        <x:v>3</x:v>
      </x:c>
      <x:c r="N78" s="8" t="n">
        <x:v>5</x:v>
      </x:c>
      <x:c r="O78" s="8" t="n">
        <x:v>9</x:v>
      </x:c>
      <x:c r="P78" s="8"/>
      <x:c r="Q78" s="8"/>
      <x:c r="R78" s="8"/>
      <x:c r="S78" s="7" t="str">
        <x:f>IF(OR(AM78="제외",AM78="완료"),0,IF(AM78&lt;&gt;"입력 OK","",IF(E78="진행",P78,M78)))</x:f>
      </x:c>
      <x:c r="T78" s="7" t="str">
        <x:f>IF(OR(AM78="제외",AM78="완료"),0,IF(AM78&lt;&gt;"입력 OK","",IF(E78="진행",Q78,N78)))</x:f>
      </x:c>
      <x:c r="U78" s="7" t="str">
        <x:f>IF(OR(AM78="제외",AM78="완료"),0,IF(AM78&lt;&gt;"입력 OK","",IF(E78="진행",R78,O78)))</x:f>
      </x:c>
      <x:c r="V78" s="11" t="str">
        <x:f>IF(COUNT(S78:U78)&lt;3,"",(S78+4*T78+U78)/6)</x:f>
      </x:c>
      <x:c r="W78" s="11" t="str">
        <x:f>IF(COUNT(S78:U78)&lt;3,"",((U78-S78)/6)^2)</x:f>
      </x:c>
      <x:c r="X78" s="8" t="str">
        <x:v>KG03</x:v>
      </x:c>
      <x:c r="Y78" s="8" t="str"/>
      <x:c r="Z78" s="8" t="str"/>
      <x:c r="AA78" s="8" t="str"/>
      <x:c r="AB78" s="8" t="str"/>
      <x:c r="AC78" s="8" t="str"/>
      <x:c r="AD78" s="10" t="str">
        <x:f>IF(X78="",0,INDEX($AK$6:$AK$77,MATCH(X78,$A$6:$A$77,0)))</x:f>
      </x:c>
      <x:c r="AE78" s="10" t="n">
        <x:f>IF(Y78="",0,INDEX($AK$6:$AK$77,MATCH(Y78,$A$6:$A$77,0)))</x:f>
        <x:v>0</x:v>
      </x:c>
      <x:c r="AF78" s="10" t="n">
        <x:f>IF(Z78="",0,INDEX($AK$6:$AK$77,MATCH(Z78,$A$6:$A$77,0)))</x:f>
        <x:v>0</x:v>
      </x:c>
      <x:c r="AG78" s="10" t="n">
        <x:f>IF(AA78="",0,INDEX($AK$6:$AK$77,MATCH(AA78,$A$6:$A$77,0)))</x:f>
        <x:v>0</x:v>
      </x:c>
      <x:c r="AH78" s="10" t="n">
        <x:f>IF(AB78="",0,INDEX($AK$6:$AK$77,MATCH(AB78,$A$6:$A$77,0)))</x:f>
        <x:v>0</x:v>
      </x:c>
      <x:c r="AI78" s="10" t="n">
        <x:f>IF(AC78="",0,INDEX($AK$6:$AK$77,MATCH(AC78,$A$6:$A$77,0)))</x:f>
        <x:v>0</x:v>
      </x:c>
      <x:c r="AJ78" s="10" t="str">
        <x:f>IF(AM78="완료",IF(J78="",K78,J78),IF(OR(COUNT('프로젝트설정'!$B$7:$B$8)&lt;2,COUNT(AD78:AI78)&lt;6,COUNT(S78:U78)&lt;3),"",IF(AM78="제외",MAX('프로젝트설정'!$B$7,AD78:AI78),IF(E78="진행",J78,MAX('프로젝트설정'!$B$7:$B$8,L78,AD78:AI78)))))</x:f>
      </x:c>
      <x:c r="AK78" s="10" t="str">
        <x:f>IF(AM78="완료",K78,IF(AJ78="","",IF(E78="진행",MAX('프로젝트설정'!$B$8,AJ78,AD78:AI78)+T78,AJ78+T78)))</x:f>
      </x:c>
      <x:c r="AL78" s="7" t="str">
        <x:f>IF(OR(I78="",AK78=""),"",AK78-I78)</x:f>
      </x:c>
      <x:c r="AM78" s="7" t="str">
        <x:f>IF(OR(D78="제외",E78="제외"),"제외",IF(D78&lt;&gt;"적용","적용성 확인",IF(E78="완료",IF(ISNUMBER(K78),"완료","실제완료 입력"),IF(E78="보류","보류 해제 필요",IF(E78="진행",IF(AND(ISNUMBER(J78),COUNT(P78:R78)=3,P78&gt;=0,P78&lt;=Q78,Q78&lt;=R78),"입력 OK","실제착수·잔여기간 확인"),IF(AND(COUNT(M78:O78)=3,M78&gt;=0,M78&lt;=N78,N78&lt;=O78),"입력 OK","전체기간 확인"))))))</x:f>
        <x:v>적용성 확인</x:v>
      </x:c>
      <x:c r="AN78" s="7" t="str">
        <x:v>12</x:v>
      </x:c>
    </x:row>
    <x:row r="79" ht="34" customHeight="1">
      <x:c r="A79" s="7" t="str">
        <x:v>KG05</x:v>
      </x:c>
      <x:c r="B79" s="7" t="str">
        <x:v>12 KGS 기술검토·허가</x:v>
      </x:c>
      <x:c r="C79" s="7" t="str">
        <x:v>KGS 기술검토 접수 및 보완창구 지정</x:v>
      </x:c>
      <x:c r="D79" s="7" t="str">
        <x:f>'모듈선택'!B17</x:f>
        <x:v>검토 필요</x:v>
      </x:c>
      <x:c r="E79" s="8" t="str">
        <x:v>계획</x:v>
      </x:c>
      <x:c r="F79" s="8" t="str">
        <x:v>종합설계사 / 사업주 / KGS·허가관청</x:v>
      </x:c>
      <x:c r="G79" s="8" t="str">
        <x:v>접수증, 담당자, 제출본 Rev.</x:v>
      </x:c>
      <x:c r="H79" s="9"/>
      <x:c r="I79" s="9"/>
      <x:c r="J79" s="9"/>
      <x:c r="K79" s="9"/>
      <x:c r="L79" s="9"/>
      <x:c r="M79" s="8" t="n">
        <x:v>1</x:v>
      </x:c>
      <x:c r="N79" s="8" t="n">
        <x:v>1</x:v>
      </x:c>
      <x:c r="O79" s="8" t="n">
        <x:v>2</x:v>
      </x:c>
      <x:c r="P79" s="8"/>
      <x:c r="Q79" s="8"/>
      <x:c r="R79" s="8"/>
      <x:c r="S79" s="7" t="str">
        <x:f>IF(OR(AM79="제외",AM79="완료"),0,IF(AM79&lt;&gt;"입력 OK","",IF(E79="진행",P79,M79)))</x:f>
      </x:c>
      <x:c r="T79" s="7" t="str">
        <x:f>IF(OR(AM79="제외",AM79="완료"),0,IF(AM79&lt;&gt;"입력 OK","",IF(E79="진행",Q79,N79)))</x:f>
      </x:c>
      <x:c r="U79" s="7" t="str">
        <x:f>IF(OR(AM79="제외",AM79="완료"),0,IF(AM79&lt;&gt;"입력 OK","",IF(E79="진행",R79,O79)))</x:f>
      </x:c>
      <x:c r="V79" s="11" t="str">
        <x:f>IF(COUNT(S79:U79)&lt;3,"",(S79+4*T79+U79)/6)</x:f>
      </x:c>
      <x:c r="W79" s="11" t="str">
        <x:f>IF(COUNT(S79:U79)&lt;3,"",((U79-S79)/6)^2)</x:f>
      </x:c>
      <x:c r="X79" s="8" t="str">
        <x:v>KG04</x:v>
      </x:c>
      <x:c r="Y79" s="8" t="str"/>
      <x:c r="Z79" s="8" t="str"/>
      <x:c r="AA79" s="8" t="str"/>
      <x:c r="AB79" s="8" t="str"/>
      <x:c r="AC79" s="8" t="str"/>
      <x:c r="AD79" s="10" t="str">
        <x:f>IF(X79="",0,INDEX($AK$6:$AK$78,MATCH(X79,$A$6:$A$78,0)))</x:f>
      </x:c>
      <x:c r="AE79" s="10" t="n">
        <x:f>IF(Y79="",0,INDEX($AK$6:$AK$78,MATCH(Y79,$A$6:$A$78,0)))</x:f>
        <x:v>0</x:v>
      </x:c>
      <x:c r="AF79" s="10" t="n">
        <x:f>IF(Z79="",0,INDEX($AK$6:$AK$78,MATCH(Z79,$A$6:$A$78,0)))</x:f>
        <x:v>0</x:v>
      </x:c>
      <x:c r="AG79" s="10" t="n">
        <x:f>IF(AA79="",0,INDEX($AK$6:$AK$78,MATCH(AA79,$A$6:$A$78,0)))</x:f>
        <x:v>0</x:v>
      </x:c>
      <x:c r="AH79" s="10" t="n">
        <x:f>IF(AB79="",0,INDEX($AK$6:$AK$78,MATCH(AB79,$A$6:$A$78,0)))</x:f>
        <x:v>0</x:v>
      </x:c>
      <x:c r="AI79" s="10" t="n">
        <x:f>IF(AC79="",0,INDEX($AK$6:$AK$78,MATCH(AC79,$A$6:$A$78,0)))</x:f>
        <x:v>0</x:v>
      </x:c>
      <x:c r="AJ79" s="10" t="str">
        <x:f>IF(AM79="완료",IF(J79="",K79,J79),IF(OR(COUNT('프로젝트설정'!$B$7:$B$8)&lt;2,COUNT(AD79:AI79)&lt;6,COUNT(S79:U79)&lt;3),"",IF(AM79="제외",MAX('프로젝트설정'!$B$7,AD79:AI79),IF(E79="진행",J79,MAX('프로젝트설정'!$B$7:$B$8,L79,AD79:AI79)))))</x:f>
      </x:c>
      <x:c r="AK79" s="10" t="str">
        <x:f>IF(AM79="완료",K79,IF(AJ79="","",IF(E79="진행",MAX('프로젝트설정'!$B$8,AJ79,AD79:AI79)+T79,AJ79+T79)))</x:f>
      </x:c>
      <x:c r="AL79" s="7" t="str">
        <x:f>IF(OR(I79="",AK79=""),"",AK79-I79)</x:f>
      </x:c>
      <x:c r="AM79" s="7" t="str">
        <x:f>IF(OR(D79="제외",E79="제외"),"제외",IF(D79&lt;&gt;"적용","적용성 확인",IF(E79="완료",IF(ISNUMBER(K79),"완료","실제완료 입력"),IF(E79="보류","보류 해제 필요",IF(E79="진행",IF(AND(ISNUMBER(J79),COUNT(P79:R79)=3,P79&gt;=0,P79&lt;=Q79,Q79&lt;=R79),"입력 OK","실제착수·잔여기간 확인"),IF(AND(COUNT(M79:O79)=3,M79&gt;=0,M79&lt;=N79,N79&lt;=O79),"입력 OK","전체기간 확인"))))))</x:f>
        <x:v>적용성 확인</x:v>
      </x:c>
      <x:c r="AN79" s="7" t="str">
        <x:v>12</x:v>
      </x:c>
    </x:row>
    <x:row r="80" ht="34" customHeight="1">
      <x:c r="A80" s="7" t="str">
        <x:v>KG06</x:v>
      </x:c>
      <x:c r="B80" s="7" t="str">
        <x:v>12 KGS 기술검토·허가</x:v>
      </x:c>
      <x:c r="C80" s="7" t="str">
        <x:v>KGS 1차 검토 대기 및 질의 접수</x:v>
      </x:c>
      <x:c r="D80" s="7" t="str">
        <x:f>'모듈선택'!B17</x:f>
        <x:v>검토 필요</x:v>
      </x:c>
      <x:c r="E80" s="8" t="str">
        <x:v>계획</x:v>
      </x:c>
      <x:c r="F80" s="8" t="str">
        <x:v>종합설계사 / 사업주 / KGS·허가관청</x:v>
      </x:c>
      <x:c r="G80" s="8" t="str">
        <x:v>기관 검토의견</x:v>
      </x:c>
      <x:c r="H80" s="9"/>
      <x:c r="I80" s="9"/>
      <x:c r="J80" s="9"/>
      <x:c r="K80" s="9"/>
      <x:c r="L80" s="9"/>
      <x:c r="M80" s="8" t="n">
        <x:v>10</x:v>
      </x:c>
      <x:c r="N80" s="8" t="n">
        <x:v>15</x:v>
      </x:c>
      <x:c r="O80" s="8" t="n">
        <x:v>25</x:v>
      </x:c>
      <x:c r="P80" s="8"/>
      <x:c r="Q80" s="8"/>
      <x:c r="R80" s="8"/>
      <x:c r="S80" s="7" t="str">
        <x:f>IF(OR(AM80="제외",AM80="완료"),0,IF(AM80&lt;&gt;"입력 OK","",IF(E80="진행",P80,M80)))</x:f>
      </x:c>
      <x:c r="T80" s="7" t="str">
        <x:f>IF(OR(AM80="제외",AM80="완료"),0,IF(AM80&lt;&gt;"입력 OK","",IF(E80="진행",Q80,N80)))</x:f>
      </x:c>
      <x:c r="U80" s="7" t="str">
        <x:f>IF(OR(AM80="제외",AM80="완료"),0,IF(AM80&lt;&gt;"입력 OK","",IF(E80="진행",R80,O80)))</x:f>
      </x:c>
      <x:c r="V80" s="11" t="str">
        <x:f>IF(COUNT(S80:U80)&lt;3,"",(S80+4*T80+U80)/6)</x:f>
      </x:c>
      <x:c r="W80" s="11" t="str">
        <x:f>IF(COUNT(S80:U80)&lt;3,"",((U80-S80)/6)^2)</x:f>
      </x:c>
      <x:c r="X80" s="8" t="str">
        <x:v>KG05</x:v>
      </x:c>
      <x:c r="Y80" s="8" t="str"/>
      <x:c r="Z80" s="8" t="str"/>
      <x:c r="AA80" s="8" t="str"/>
      <x:c r="AB80" s="8" t="str"/>
      <x:c r="AC80" s="8" t="str"/>
      <x:c r="AD80" s="10" t="str">
        <x:f>IF(X80="",0,INDEX($AK$6:$AK$79,MATCH(X80,$A$6:$A$79,0)))</x:f>
      </x:c>
      <x:c r="AE80" s="10" t="n">
        <x:f>IF(Y80="",0,INDEX($AK$6:$AK$79,MATCH(Y80,$A$6:$A$79,0)))</x:f>
        <x:v>0</x:v>
      </x:c>
      <x:c r="AF80" s="10" t="n">
        <x:f>IF(Z80="",0,INDEX($AK$6:$AK$79,MATCH(Z80,$A$6:$A$79,0)))</x:f>
        <x:v>0</x:v>
      </x:c>
      <x:c r="AG80" s="10" t="n">
        <x:f>IF(AA80="",0,INDEX($AK$6:$AK$79,MATCH(AA80,$A$6:$A$79,0)))</x:f>
        <x:v>0</x:v>
      </x:c>
      <x:c r="AH80" s="10" t="n">
        <x:f>IF(AB80="",0,INDEX($AK$6:$AK$79,MATCH(AB80,$A$6:$A$79,0)))</x:f>
        <x:v>0</x:v>
      </x:c>
      <x:c r="AI80" s="10" t="n">
        <x:f>IF(AC80="",0,INDEX($AK$6:$AK$79,MATCH(AC80,$A$6:$A$79,0)))</x:f>
        <x:v>0</x:v>
      </x:c>
      <x:c r="AJ80" s="10" t="str">
        <x:f>IF(AM80="완료",IF(J80="",K80,J80),IF(OR(COUNT('프로젝트설정'!$B$7:$B$8)&lt;2,COUNT(AD80:AI80)&lt;6,COUNT(S80:U80)&lt;3),"",IF(AM80="제외",MAX('프로젝트설정'!$B$7,AD80:AI80),IF(E80="진행",J80,MAX('프로젝트설정'!$B$7:$B$8,L80,AD80:AI80)))))</x:f>
      </x:c>
      <x:c r="AK80" s="10" t="str">
        <x:f>IF(AM80="완료",K80,IF(AJ80="","",IF(E80="진행",MAX('프로젝트설정'!$B$8,AJ80,AD80:AI80)+T80,AJ80+T80)))</x:f>
      </x:c>
      <x:c r="AL80" s="7" t="str">
        <x:f>IF(OR(I80="",AK80=""),"",AK80-I80)</x:f>
      </x:c>
      <x:c r="AM80" s="7" t="str">
        <x:f>IF(OR(D80="제외",E80="제외"),"제외",IF(D80&lt;&gt;"적용","적용성 확인",IF(E80="완료",IF(ISNUMBER(K80),"완료","실제완료 입력"),IF(E80="보류","보류 해제 필요",IF(E80="진행",IF(AND(ISNUMBER(J80),COUNT(P80:R80)=3,P80&gt;=0,P80&lt;=Q80,Q80&lt;=R80),"입력 OK","실제착수·잔여기간 확인"),IF(AND(COUNT(M80:O80)=3,M80&gt;=0,M80&lt;=N80,N80&lt;=O80),"입력 OK","전체기간 확인"))))))</x:f>
        <x:v>적용성 확인</x:v>
      </x:c>
      <x:c r="AN80" s="7" t="str">
        <x:v>12</x:v>
      </x:c>
    </x:row>
    <x:row r="81" ht="34" customHeight="1">
      <x:c r="A81" s="7" t="str">
        <x:v>KG07</x:v>
      </x:c>
      <x:c r="B81" s="7" t="str">
        <x:v>12 KGS 기술검토·허가</x:v>
      </x:c>
      <x:c r="C81" s="7" t="str">
        <x:v>설계/벤더 보완 및 재제출</x:v>
      </x:c>
      <x:c r="D81" s="7" t="str">
        <x:f>'모듈선택'!B17</x:f>
        <x:v>검토 필요</x:v>
      </x:c>
      <x:c r="E81" s="8" t="str">
        <x:v>계획</x:v>
      </x:c>
      <x:c r="F81" s="8" t="str">
        <x:v>종합설계사 / 사업주 / KGS·허가관청</x:v>
      </x:c>
      <x:c r="G81" s="8" t="str">
        <x:v>보완답변서, 수정도면</x:v>
      </x:c>
      <x:c r="H81" s="9"/>
      <x:c r="I81" s="9"/>
      <x:c r="J81" s="9"/>
      <x:c r="K81" s="9"/>
      <x:c r="L81" s="9"/>
      <x:c r="M81" s="8" t="n">
        <x:v>3</x:v>
      </x:c>
      <x:c r="N81" s="8" t="n">
        <x:v>7</x:v>
      </x:c>
      <x:c r="O81" s="8" t="n">
        <x:v>14</x:v>
      </x:c>
      <x:c r="P81" s="8"/>
      <x:c r="Q81" s="8"/>
      <x:c r="R81" s="8"/>
      <x:c r="S81" s="7" t="str">
        <x:f>IF(OR(AM81="제외",AM81="완료"),0,IF(AM81&lt;&gt;"입력 OK","",IF(E81="진행",P81,M81)))</x:f>
      </x:c>
      <x:c r="T81" s="7" t="str">
        <x:f>IF(OR(AM81="제외",AM81="완료"),0,IF(AM81&lt;&gt;"입력 OK","",IF(E81="진행",Q81,N81)))</x:f>
      </x:c>
      <x:c r="U81" s="7" t="str">
        <x:f>IF(OR(AM81="제외",AM81="완료"),0,IF(AM81&lt;&gt;"입력 OK","",IF(E81="진행",R81,O81)))</x:f>
      </x:c>
      <x:c r="V81" s="11" t="str">
        <x:f>IF(COUNT(S81:U81)&lt;3,"",(S81+4*T81+U81)/6)</x:f>
      </x:c>
      <x:c r="W81" s="11" t="str">
        <x:f>IF(COUNT(S81:U81)&lt;3,"",((U81-S81)/6)^2)</x:f>
      </x:c>
      <x:c r="X81" s="8" t="str">
        <x:v>KG06</x:v>
      </x:c>
      <x:c r="Y81" s="8" t="str"/>
      <x:c r="Z81" s="8" t="str"/>
      <x:c r="AA81" s="8" t="str"/>
      <x:c r="AB81" s="8" t="str"/>
      <x:c r="AC81" s="8" t="str"/>
      <x:c r="AD81" s="10" t="str">
        <x:f>IF(X81="",0,INDEX($AK$6:$AK$80,MATCH(X81,$A$6:$A$80,0)))</x:f>
      </x:c>
      <x:c r="AE81" s="10" t="n">
        <x:f>IF(Y81="",0,INDEX($AK$6:$AK$80,MATCH(Y81,$A$6:$A$80,0)))</x:f>
        <x:v>0</x:v>
      </x:c>
      <x:c r="AF81" s="10" t="n">
        <x:f>IF(Z81="",0,INDEX($AK$6:$AK$80,MATCH(Z81,$A$6:$A$80,0)))</x:f>
        <x:v>0</x:v>
      </x:c>
      <x:c r="AG81" s="10" t="n">
        <x:f>IF(AA81="",0,INDEX($AK$6:$AK$80,MATCH(AA81,$A$6:$A$80,0)))</x:f>
        <x:v>0</x:v>
      </x:c>
      <x:c r="AH81" s="10" t="n">
        <x:f>IF(AB81="",0,INDEX($AK$6:$AK$80,MATCH(AB81,$A$6:$A$80,0)))</x:f>
        <x:v>0</x:v>
      </x:c>
      <x:c r="AI81" s="10" t="n">
        <x:f>IF(AC81="",0,INDEX($AK$6:$AK$80,MATCH(AC81,$A$6:$A$80,0)))</x:f>
        <x:v>0</x:v>
      </x:c>
      <x:c r="AJ81" s="10" t="str">
        <x:f>IF(AM81="완료",IF(J81="",K81,J81),IF(OR(COUNT('프로젝트설정'!$B$7:$B$8)&lt;2,COUNT(AD81:AI81)&lt;6,COUNT(S81:U81)&lt;3),"",IF(AM81="제외",MAX('프로젝트설정'!$B$7,AD81:AI81),IF(E81="진행",J81,MAX('프로젝트설정'!$B$7:$B$8,L81,AD81:AI81)))))</x:f>
      </x:c>
      <x:c r="AK81" s="10" t="str">
        <x:f>IF(AM81="완료",K81,IF(AJ81="","",IF(E81="진행",MAX('프로젝트설정'!$B$8,AJ81,AD81:AI81)+T81,AJ81+T81)))</x:f>
      </x:c>
      <x:c r="AL81" s="7" t="str">
        <x:f>IF(OR(I81="",AK81=""),"",AK81-I81)</x:f>
      </x:c>
      <x:c r="AM81" s="7" t="str">
        <x:f>IF(OR(D81="제외",E81="제외"),"제외",IF(D81&lt;&gt;"적용","적용성 확인",IF(E81="완료",IF(ISNUMBER(K81),"완료","실제완료 입력"),IF(E81="보류","보류 해제 필요",IF(E81="진행",IF(AND(ISNUMBER(J81),COUNT(P81:R81)=3,P81&gt;=0,P81&lt;=Q81,Q81&lt;=R81),"입력 OK","실제착수·잔여기간 확인"),IF(AND(COUNT(M81:O81)=3,M81&gt;=0,M81&lt;=N81,N81&lt;=O81),"입력 OK","전체기간 확인"))))))</x:f>
        <x:v>적용성 확인</x:v>
      </x:c>
      <x:c r="AN81" s="7" t="str">
        <x:v>12</x:v>
      </x:c>
    </x:row>
    <x:row r="82" ht="34" customHeight="1">
      <x:c r="A82" s="7" t="str">
        <x:v>KG08</x:v>
      </x:c>
      <x:c r="B82" s="7" t="str">
        <x:v>12 KGS 기술검토·허가</x:v>
      </x:c>
      <x:c r="C82" s="7" t="str">
        <x:v>재검토·기술검토 결과서 확보</x:v>
      </x:c>
      <x:c r="D82" s="7" t="str">
        <x:f>'모듈선택'!B17</x:f>
        <x:v>검토 필요</x:v>
      </x:c>
      <x:c r="E82" s="8" t="str">
        <x:v>계획</x:v>
      </x:c>
      <x:c r="F82" s="8" t="str">
        <x:v>종합설계사 / 사업주 / KGS·허가관청</x:v>
      </x:c>
      <x:c r="G82" s="8" t="str">
        <x:v>검토 결과서, 조건 목록</x:v>
      </x:c>
      <x:c r="H82" s="9"/>
      <x:c r="I82" s="9"/>
      <x:c r="J82" s="9"/>
      <x:c r="K82" s="9"/>
      <x:c r="L82" s="9"/>
      <x:c r="M82" s="8" t="n">
        <x:v>3</x:v>
      </x:c>
      <x:c r="N82" s="8" t="n">
        <x:v>7</x:v>
      </x:c>
      <x:c r="O82" s="8" t="n">
        <x:v>14</x:v>
      </x:c>
      <x:c r="P82" s="8"/>
      <x:c r="Q82" s="8"/>
      <x:c r="R82" s="8"/>
      <x:c r="S82" s="7" t="str">
        <x:f>IF(OR(AM82="제외",AM82="완료"),0,IF(AM82&lt;&gt;"입력 OK","",IF(E82="진행",P82,M82)))</x:f>
      </x:c>
      <x:c r="T82" s="7" t="str">
        <x:f>IF(OR(AM82="제외",AM82="완료"),0,IF(AM82&lt;&gt;"입력 OK","",IF(E82="진행",Q82,N82)))</x:f>
      </x:c>
      <x:c r="U82" s="7" t="str">
        <x:f>IF(OR(AM82="제외",AM82="완료"),0,IF(AM82&lt;&gt;"입력 OK","",IF(E82="진행",R82,O82)))</x:f>
      </x:c>
      <x:c r="V82" s="11" t="str">
        <x:f>IF(COUNT(S82:U82)&lt;3,"",(S82+4*T82+U82)/6)</x:f>
      </x:c>
      <x:c r="W82" s="11" t="str">
        <x:f>IF(COUNT(S82:U82)&lt;3,"",((U82-S82)/6)^2)</x:f>
      </x:c>
      <x:c r="X82" s="8" t="str">
        <x:v>KG07</x:v>
      </x:c>
      <x:c r="Y82" s="8" t="str"/>
      <x:c r="Z82" s="8" t="str"/>
      <x:c r="AA82" s="8" t="str"/>
      <x:c r="AB82" s="8" t="str"/>
      <x:c r="AC82" s="8" t="str"/>
      <x:c r="AD82" s="10" t="str">
        <x:f>IF(X82="",0,INDEX($AK$6:$AK$81,MATCH(X82,$A$6:$A$81,0)))</x:f>
      </x:c>
      <x:c r="AE82" s="10" t="n">
        <x:f>IF(Y82="",0,INDEX($AK$6:$AK$81,MATCH(Y82,$A$6:$A$81,0)))</x:f>
        <x:v>0</x:v>
      </x:c>
      <x:c r="AF82" s="10" t="n">
        <x:f>IF(Z82="",0,INDEX($AK$6:$AK$81,MATCH(Z82,$A$6:$A$81,0)))</x:f>
        <x:v>0</x:v>
      </x:c>
      <x:c r="AG82" s="10" t="n">
        <x:f>IF(AA82="",0,INDEX($AK$6:$AK$81,MATCH(AA82,$A$6:$A$81,0)))</x:f>
        <x:v>0</x:v>
      </x:c>
      <x:c r="AH82" s="10" t="n">
        <x:f>IF(AB82="",0,INDEX($AK$6:$AK$81,MATCH(AB82,$A$6:$A$81,0)))</x:f>
        <x:v>0</x:v>
      </x:c>
      <x:c r="AI82" s="10" t="n">
        <x:f>IF(AC82="",0,INDEX($AK$6:$AK$81,MATCH(AC82,$A$6:$A$81,0)))</x:f>
        <x:v>0</x:v>
      </x:c>
      <x:c r="AJ82" s="10" t="str">
        <x:f>IF(AM82="완료",IF(J82="",K82,J82),IF(OR(COUNT('프로젝트설정'!$B$7:$B$8)&lt;2,COUNT(AD82:AI82)&lt;6,COUNT(S82:U82)&lt;3),"",IF(AM82="제외",MAX('프로젝트설정'!$B$7,AD82:AI82),IF(E82="진행",J82,MAX('프로젝트설정'!$B$7:$B$8,L82,AD82:AI82)))))</x:f>
      </x:c>
      <x:c r="AK82" s="10" t="str">
        <x:f>IF(AM82="완료",K82,IF(AJ82="","",IF(E82="진행",MAX('프로젝트설정'!$B$8,AJ82,AD82:AI82)+T82,AJ82+T82)))</x:f>
      </x:c>
      <x:c r="AL82" s="7" t="str">
        <x:f>IF(OR(I82="",AK82=""),"",AK82-I82)</x:f>
      </x:c>
      <x:c r="AM82" s="7" t="str">
        <x:f>IF(OR(D82="제외",E82="제외"),"제외",IF(D82&lt;&gt;"적용","적용성 확인",IF(E82="완료",IF(ISNUMBER(K82),"완료","실제완료 입력"),IF(E82="보류","보류 해제 필요",IF(E82="진행",IF(AND(ISNUMBER(J82),COUNT(P82:R82)=3,P82&gt;=0,P82&lt;=Q82,Q82&lt;=R82),"입력 OK","실제착수·잔여기간 확인"),IF(AND(COUNT(M82:O82)=3,M82&gt;=0,M82&lt;=N82,N82&lt;=O82),"입력 OK","전체기간 확인"))))))</x:f>
        <x:v>적용성 확인</x:v>
      </x:c>
      <x:c r="AN82" s="7" t="str">
        <x:v>12</x:v>
      </x:c>
    </x:row>
    <x:row r="83" ht="34" customHeight="1">
      <x:c r="A83" s="7" t="str">
        <x:v>KG09</x:v>
      </x:c>
      <x:c r="B83" s="7" t="str">
        <x:v>12 KGS 기술검토·허가</x:v>
      </x:c>
      <x:c r="C83" s="7" t="str">
        <x:v>고압가스 제조허가 신청자료 취합</x:v>
      </x:c>
      <x:c r="D83" s="7" t="str">
        <x:f>'모듈선택'!B17</x:f>
        <x:v>검토 필요</x:v>
      </x:c>
      <x:c r="E83" s="8" t="str">
        <x:v>계획</x:v>
      </x:c>
      <x:c r="F83" s="8" t="str">
        <x:v>종합설계사 / 사업주 / KGS·허가관청</x:v>
      </x:c>
      <x:c r="G83" s="8" t="str">
        <x:v>법인자료, 검토 결과서, 신청서</x:v>
      </x:c>
      <x:c r="H83" s="9"/>
      <x:c r="I83" s="9"/>
      <x:c r="J83" s="9"/>
      <x:c r="K83" s="9"/>
      <x:c r="L83" s="9"/>
      <x:c r="M83" s="8" t="n">
        <x:v>2</x:v>
      </x:c>
      <x:c r="N83" s="8" t="n">
        <x:v>3</x:v>
      </x:c>
      <x:c r="O83" s="8" t="n">
        <x:v>6</x:v>
      </x:c>
      <x:c r="P83" s="8"/>
      <x:c r="Q83" s="8"/>
      <x:c r="R83" s="8"/>
      <x:c r="S83" s="7" t="str">
        <x:f>IF(OR(AM83="제외",AM83="완료"),0,IF(AM83&lt;&gt;"입력 OK","",IF(E83="진행",P83,M83)))</x:f>
      </x:c>
      <x:c r="T83" s="7" t="str">
        <x:f>IF(OR(AM83="제외",AM83="완료"),0,IF(AM83&lt;&gt;"입력 OK","",IF(E83="진행",Q83,N83)))</x:f>
      </x:c>
      <x:c r="U83" s="7" t="str">
        <x:f>IF(OR(AM83="제외",AM83="완료"),0,IF(AM83&lt;&gt;"입력 OK","",IF(E83="진행",R83,O83)))</x:f>
      </x:c>
      <x:c r="V83" s="11" t="str">
        <x:f>IF(COUNT(S83:U83)&lt;3,"",(S83+4*T83+U83)/6)</x:f>
      </x:c>
      <x:c r="W83" s="11" t="str">
        <x:f>IF(COUNT(S83:U83)&lt;3,"",((U83-S83)/6)^2)</x:f>
      </x:c>
      <x:c r="X83" s="8" t="str">
        <x:v>KG08</x:v>
      </x:c>
      <x:c r="Y83" s="8" t="str"/>
      <x:c r="Z83" s="8" t="str"/>
      <x:c r="AA83" s="8" t="str"/>
      <x:c r="AB83" s="8" t="str"/>
      <x:c r="AC83" s="8" t="str"/>
      <x:c r="AD83" s="10" t="str">
        <x:f>IF(X83="",0,INDEX($AK$6:$AK$82,MATCH(X83,$A$6:$A$82,0)))</x:f>
      </x:c>
      <x:c r="AE83" s="10" t="n">
        <x:f>IF(Y83="",0,INDEX($AK$6:$AK$82,MATCH(Y83,$A$6:$A$82,0)))</x:f>
        <x:v>0</x:v>
      </x:c>
      <x:c r="AF83" s="10" t="n">
        <x:f>IF(Z83="",0,INDEX($AK$6:$AK$82,MATCH(Z83,$A$6:$A$82,0)))</x:f>
        <x:v>0</x:v>
      </x:c>
      <x:c r="AG83" s="10" t="n">
        <x:f>IF(AA83="",0,INDEX($AK$6:$AK$82,MATCH(AA83,$A$6:$A$82,0)))</x:f>
        <x:v>0</x:v>
      </x:c>
      <x:c r="AH83" s="10" t="n">
        <x:f>IF(AB83="",0,INDEX($AK$6:$AK$82,MATCH(AB83,$A$6:$A$82,0)))</x:f>
        <x:v>0</x:v>
      </x:c>
      <x:c r="AI83" s="10" t="n">
        <x:f>IF(AC83="",0,INDEX($AK$6:$AK$82,MATCH(AC83,$A$6:$A$82,0)))</x:f>
        <x:v>0</x:v>
      </x:c>
      <x:c r="AJ83" s="10" t="str">
        <x:f>IF(AM83="완료",IF(J83="",K83,J83),IF(OR(COUNT('프로젝트설정'!$B$7:$B$8)&lt;2,COUNT(AD83:AI83)&lt;6,COUNT(S83:U83)&lt;3),"",IF(AM83="제외",MAX('프로젝트설정'!$B$7,AD83:AI83),IF(E83="진행",J83,MAX('프로젝트설정'!$B$7:$B$8,L83,AD83:AI83)))))</x:f>
      </x:c>
      <x:c r="AK83" s="10" t="str">
        <x:f>IF(AM83="완료",K83,IF(AJ83="","",IF(E83="진행",MAX('프로젝트설정'!$B$8,AJ83,AD83:AI83)+T83,AJ83+T83)))</x:f>
      </x:c>
      <x:c r="AL83" s="7" t="str">
        <x:f>IF(OR(I83="",AK83=""),"",AK83-I83)</x:f>
      </x:c>
      <x:c r="AM83" s="7" t="str">
        <x:f>IF(OR(D83="제외",E83="제외"),"제외",IF(D83&lt;&gt;"적용","적용성 확인",IF(E83="완료",IF(ISNUMBER(K83),"완료","실제완료 입력"),IF(E83="보류","보류 해제 필요",IF(E83="진행",IF(AND(ISNUMBER(J83),COUNT(P83:R83)=3,P83&gt;=0,P83&lt;=Q83,Q83&lt;=R83),"입력 OK","실제착수·잔여기간 확인"),IF(AND(COUNT(M83:O83)=3,M83&gt;=0,M83&lt;=N83,N83&lt;=O83),"입력 OK","전체기간 확인"))))))</x:f>
        <x:v>적용성 확인</x:v>
      </x:c>
      <x:c r="AN83" s="7" t="str">
        <x:v>12</x:v>
      </x:c>
    </x:row>
    <x:row r="84" ht="34" customHeight="1">
      <x:c r="A84" s="7" t="str">
        <x:v>KG10</x:v>
      </x:c>
      <x:c r="B84" s="7" t="str">
        <x:v>12 KGS 기술검토·허가</x:v>
      </x:c>
      <x:c r="C84" s="7" t="str">
        <x:v>허가관청 신청·보완·제조허가 확보</x:v>
      </x:c>
      <x:c r="D84" s="7" t="str">
        <x:f>'모듈선택'!B17</x:f>
        <x:v>검토 필요</x:v>
      </x:c>
      <x:c r="E84" s="8" t="str">
        <x:v>계획</x:v>
      </x:c>
      <x:c r="F84" s="8" t="str">
        <x:v>종합설계사 / 사업주 / KGS·허가관청</x:v>
      </x:c>
      <x:c r="G84" s="8" t="str">
        <x:v>허가증, 조건 이행표</x:v>
      </x:c>
      <x:c r="H84" s="9"/>
      <x:c r="I84" s="9"/>
      <x:c r="J84" s="9"/>
      <x:c r="K84" s="9"/>
      <x:c r="L84" s="9"/>
      <x:c r="M84" s="8" t="n">
        <x:v>7</x:v>
      </x:c>
      <x:c r="N84" s="8" t="n">
        <x:v>14</x:v>
      </x:c>
      <x:c r="O84" s="8" t="n">
        <x:v>28</x:v>
      </x:c>
      <x:c r="P84" s="8"/>
      <x:c r="Q84" s="8"/>
      <x:c r="R84" s="8"/>
      <x:c r="S84" s="7" t="str">
        <x:f>IF(OR(AM84="제외",AM84="완료"),0,IF(AM84&lt;&gt;"입력 OK","",IF(E84="진행",P84,M84)))</x:f>
      </x:c>
      <x:c r="T84" s="7" t="str">
        <x:f>IF(OR(AM84="제외",AM84="완료"),0,IF(AM84&lt;&gt;"입력 OK","",IF(E84="진행",Q84,N84)))</x:f>
      </x:c>
      <x:c r="U84" s="7" t="str">
        <x:f>IF(OR(AM84="제외",AM84="완료"),0,IF(AM84&lt;&gt;"입력 OK","",IF(E84="진행",R84,O84)))</x:f>
      </x:c>
      <x:c r="V84" s="11" t="str">
        <x:f>IF(COUNT(S84:U84)&lt;3,"",(S84+4*T84+U84)/6)</x:f>
      </x:c>
      <x:c r="W84" s="11" t="str">
        <x:f>IF(COUNT(S84:U84)&lt;3,"",((U84-S84)/6)^2)</x:f>
      </x:c>
      <x:c r="X84" s="8" t="str">
        <x:v>KG09</x:v>
      </x:c>
      <x:c r="Y84" s="8" t="str"/>
      <x:c r="Z84" s="8" t="str"/>
      <x:c r="AA84" s="8" t="str"/>
      <x:c r="AB84" s="8" t="str"/>
      <x:c r="AC84" s="8" t="str"/>
      <x:c r="AD84" s="10" t="str">
        <x:f>IF(X84="",0,INDEX($AK$6:$AK$83,MATCH(X84,$A$6:$A$83,0)))</x:f>
      </x:c>
      <x:c r="AE84" s="10" t="n">
        <x:f>IF(Y84="",0,INDEX($AK$6:$AK$83,MATCH(Y84,$A$6:$A$83,0)))</x:f>
        <x:v>0</x:v>
      </x:c>
      <x:c r="AF84" s="10" t="n">
        <x:f>IF(Z84="",0,INDEX($AK$6:$AK$83,MATCH(Z84,$A$6:$A$83,0)))</x:f>
        <x:v>0</x:v>
      </x:c>
      <x:c r="AG84" s="10" t="n">
        <x:f>IF(AA84="",0,INDEX($AK$6:$AK$83,MATCH(AA84,$A$6:$A$83,0)))</x:f>
        <x:v>0</x:v>
      </x:c>
      <x:c r="AH84" s="10" t="n">
        <x:f>IF(AB84="",0,INDEX($AK$6:$AK$83,MATCH(AB84,$A$6:$A$83,0)))</x:f>
        <x:v>0</x:v>
      </x:c>
      <x:c r="AI84" s="10" t="n">
        <x:f>IF(AC84="",0,INDEX($AK$6:$AK$83,MATCH(AC84,$A$6:$A$83,0)))</x:f>
        <x:v>0</x:v>
      </x:c>
      <x:c r="AJ84" s="10" t="str">
        <x:f>IF(AM84="완료",IF(J84="",K84,J84),IF(OR(COUNT('프로젝트설정'!$B$7:$B$8)&lt;2,COUNT(AD84:AI84)&lt;6,COUNT(S84:U84)&lt;3),"",IF(AM84="제외",MAX('프로젝트설정'!$B$7,AD84:AI84),IF(E84="진행",J84,MAX('프로젝트설정'!$B$7:$B$8,L84,AD84:AI84)))))</x:f>
      </x:c>
      <x:c r="AK84" s="10" t="str">
        <x:f>IF(AM84="완료",K84,IF(AJ84="","",IF(E84="진행",MAX('프로젝트설정'!$B$8,AJ84,AD84:AI84)+T84,AJ84+T84)))</x:f>
      </x:c>
      <x:c r="AL84" s="7" t="str">
        <x:f>IF(OR(I84="",AK84=""),"",AK84-I84)</x:f>
      </x:c>
      <x:c r="AM84" s="7" t="str">
        <x:f>IF(OR(D84="제외",E84="제외"),"제외",IF(D84&lt;&gt;"적용","적용성 확인",IF(E84="완료",IF(ISNUMBER(K84),"완료","실제완료 입력"),IF(E84="보류","보류 해제 필요",IF(E84="진행",IF(AND(ISNUMBER(J84),COUNT(P84:R84)=3,P84&gt;=0,P84&lt;=Q84,Q84&lt;=R84),"입력 OK","실제착수·잔여기간 확인"),IF(AND(COUNT(M84:O84)=3,M84&gt;=0,M84&lt;=N84,N84&lt;=O84),"입력 OK","전체기간 확인"))))))</x:f>
        <x:v>적용성 확인</x:v>
      </x:c>
      <x:c r="AN84" s="7" t="str">
        <x:v>12</x:v>
      </x:c>
    </x:row>
    <x:row r="85" ht="34" customHeight="1">
      <x:c r="A85" s="7" t="str">
        <x:v>SH01</x:v>
      </x:c>
      <x:c r="B85" s="7" t="str">
        <x:v>13 유해위험방지계획</x:v>
      </x:c>
      <x:c r="C85" s="7" t="str">
        <x:v>제조설비·건설공사 등 적용대상 및 제출경계 확인</x:v>
      </x:c>
      <x:c r="D85" s="7" t="str">
        <x:f>'모듈선택'!B18</x:f>
        <x:v>검토 필요</x:v>
      </x:c>
      <x:c r="E85" s="8" t="str">
        <x:v>계획</x:v>
      </x:c>
      <x:c r="F85" s="8" t="str">
        <x:v>종합설계사 / 사업주 / 안전보건공단</x:v>
      </x:c>
      <x:c r="G85" s="8" t="str">
        <x:v>대상판정 회신, 공사범위</x:v>
      </x:c>
      <x:c r="H85" s="9"/>
      <x:c r="I85" s="9"/>
      <x:c r="J85" s="9"/>
      <x:c r="K85" s="9"/>
      <x:c r="L85" s="9"/>
      <x:c r="M85" s="8" t="n">
        <x:v>2</x:v>
      </x:c>
      <x:c r="N85" s="8" t="n">
        <x:v>3</x:v>
      </x:c>
      <x:c r="O85" s="8" t="n">
        <x:v>6</x:v>
      </x:c>
      <x:c r="P85" s="8"/>
      <x:c r="Q85" s="8"/>
      <x:c r="R85" s="8"/>
      <x:c r="S85" s="7" t="str">
        <x:f>IF(OR(AM85="제외",AM85="완료"),0,IF(AM85&lt;&gt;"입력 OK","",IF(E85="진행",P85,M85)))</x:f>
      </x:c>
      <x:c r="T85" s="7" t="str">
        <x:f>IF(OR(AM85="제외",AM85="완료"),0,IF(AM85&lt;&gt;"입력 OK","",IF(E85="진행",Q85,N85)))</x:f>
      </x:c>
      <x:c r="U85" s="7" t="str">
        <x:f>IF(OR(AM85="제외",AM85="완료"),0,IF(AM85&lt;&gt;"입력 OK","",IF(E85="진행",R85,O85)))</x:f>
      </x:c>
      <x:c r="V85" s="11" t="str">
        <x:f>IF(COUNT(S85:U85)&lt;3,"",(S85+4*T85+U85)/6)</x:f>
      </x:c>
      <x:c r="W85" s="11" t="str">
        <x:f>IF(COUNT(S85:U85)&lt;3,"",((U85-S85)/6)^2)</x:f>
      </x:c>
      <x:c r="X85" s="8" t="str">
        <x:v>HZ05</x:v>
      </x:c>
      <x:c r="Y85" s="8" t="str">
        <x:v>VP06</x:v>
      </x:c>
      <x:c r="Z85" s="8" t="str"/>
      <x:c r="AA85" s="8" t="str"/>
      <x:c r="AB85" s="8" t="str"/>
      <x:c r="AC85" s="8" t="str"/>
      <x:c r="AD85" s="10" t="str">
        <x:f>IF(X85="",0,INDEX($AK$6:$AK$84,MATCH(X85,$A$6:$A$84,0)))</x:f>
      </x:c>
      <x:c r="AE85" s="10" t="str">
        <x:f>IF(Y85="",0,INDEX($AK$6:$AK$84,MATCH(Y85,$A$6:$A$84,0)))</x:f>
      </x:c>
      <x:c r="AF85" s="10" t="n">
        <x:f>IF(Z85="",0,INDEX($AK$6:$AK$84,MATCH(Z85,$A$6:$A$84,0)))</x:f>
        <x:v>0</x:v>
      </x:c>
      <x:c r="AG85" s="10" t="n">
        <x:f>IF(AA85="",0,INDEX($AK$6:$AK$84,MATCH(AA85,$A$6:$A$84,0)))</x:f>
        <x:v>0</x:v>
      </x:c>
      <x:c r="AH85" s="10" t="n">
        <x:f>IF(AB85="",0,INDEX($AK$6:$AK$84,MATCH(AB85,$A$6:$A$84,0)))</x:f>
        <x:v>0</x:v>
      </x:c>
      <x:c r="AI85" s="10" t="n">
        <x:f>IF(AC85="",0,INDEX($AK$6:$AK$84,MATCH(AC85,$A$6:$A$84,0)))</x:f>
        <x:v>0</x:v>
      </x:c>
      <x:c r="AJ85" s="10" t="str">
        <x:f>IF(AM85="완료",IF(J85="",K85,J85),IF(OR(COUNT('프로젝트설정'!$B$7:$B$8)&lt;2,COUNT(AD85:AI85)&lt;6,COUNT(S85:U85)&lt;3),"",IF(AM85="제외",MAX('프로젝트설정'!$B$7,AD85:AI85),IF(E85="진행",J85,MAX('프로젝트설정'!$B$7:$B$8,L85,AD85:AI85)))))</x:f>
      </x:c>
      <x:c r="AK85" s="10" t="str">
        <x:f>IF(AM85="완료",K85,IF(AJ85="","",IF(E85="진행",MAX('프로젝트설정'!$B$8,AJ85,AD85:AI85)+T85,AJ85+T85)))</x:f>
      </x:c>
      <x:c r="AL85" s="7" t="str">
        <x:f>IF(OR(I85="",AK85=""),"",AK85-I85)</x:f>
      </x:c>
      <x:c r="AM85" s="7" t="str">
        <x:f>IF(OR(D85="제외",E85="제외"),"제외",IF(D85&lt;&gt;"적용","적용성 확인",IF(E85="완료",IF(ISNUMBER(K85),"완료","실제완료 입력"),IF(E85="보류","보류 해제 필요",IF(E85="진행",IF(AND(ISNUMBER(J85),COUNT(P85:R85)=3,P85&gt;=0,P85&lt;=Q85,Q85&lt;=R85),"입력 OK","실제착수·잔여기간 확인"),IF(AND(COUNT(M85:O85)=3,M85&gt;=0,M85&lt;=N85,N85&lt;=O85),"입력 OK","전체기간 확인"))))))</x:f>
        <x:v>적용성 확인</x:v>
      </x:c>
      <x:c r="AN85" s="7" t="str">
        <x:v>13</x:v>
      </x:c>
    </x:row>
    <x:row r="86" ht="34" customHeight="1">
      <x:c r="A86" s="7" t="str">
        <x:v>SH02</x:v>
      </x:c>
      <x:c r="B86" s="7" t="str">
        <x:v>13 유해위험방지계획</x:v>
      </x:c>
      <x:c r="C86" s="7" t="str">
        <x:v>계획서 필수 도면·설비·안전자료 완결성 확인</x:v>
      </x:c>
      <x:c r="D86" s="7" t="str">
        <x:f>'모듈선택'!B18</x:f>
        <x:v>검토 필요</x:v>
      </x:c>
      <x:c r="E86" s="8" t="str">
        <x:v>계획</x:v>
      </x:c>
      <x:c r="F86" s="8" t="str">
        <x:v>종합설계사 / 사업주 / 안전보건공단</x:v>
      </x:c>
      <x:c r="G86" s="8" t="str">
        <x:v>PFD/P&amp;ID/배치/방폭/안전장치</x:v>
      </x:c>
      <x:c r="H86" s="9"/>
      <x:c r="I86" s="9"/>
      <x:c r="J86" s="9"/>
      <x:c r="K86" s="9"/>
      <x:c r="L86" s="9"/>
      <x:c r="M86" s="8" t="n">
        <x:v>3</x:v>
      </x:c>
      <x:c r="N86" s="8" t="n">
        <x:v>4</x:v>
      </x:c>
      <x:c r="O86" s="8" t="n">
        <x:v>7</x:v>
      </x:c>
      <x:c r="P86" s="8"/>
      <x:c r="Q86" s="8"/>
      <x:c r="R86" s="8"/>
      <x:c r="S86" s="7" t="str">
        <x:f>IF(OR(AM86="제외",AM86="완료"),0,IF(AM86&lt;&gt;"입력 OK","",IF(E86="진행",P86,M86)))</x:f>
      </x:c>
      <x:c r="T86" s="7" t="str">
        <x:f>IF(OR(AM86="제외",AM86="완료"),0,IF(AM86&lt;&gt;"입력 OK","",IF(E86="진행",Q86,N86)))</x:f>
      </x:c>
      <x:c r="U86" s="7" t="str">
        <x:f>IF(OR(AM86="제외",AM86="완료"),0,IF(AM86&lt;&gt;"입력 OK","",IF(E86="진행",R86,O86)))</x:f>
      </x:c>
      <x:c r="V86" s="11" t="str">
        <x:f>IF(COUNT(S86:U86)&lt;3,"",(S86+4*T86+U86)/6)</x:f>
      </x:c>
      <x:c r="W86" s="11" t="str">
        <x:f>IF(COUNT(S86:U86)&lt;3,"",((U86-S86)/6)^2)</x:f>
      </x:c>
      <x:c r="X86" s="8" t="str">
        <x:v>SH01</x:v>
      </x:c>
      <x:c r="Y86" s="8" t="str"/>
      <x:c r="Z86" s="8" t="str"/>
      <x:c r="AA86" s="8" t="str"/>
      <x:c r="AB86" s="8" t="str"/>
      <x:c r="AC86" s="8" t="str"/>
      <x:c r="AD86" s="10" t="str">
        <x:f>IF(X86="",0,INDEX($AK$6:$AK$85,MATCH(X86,$A$6:$A$85,0)))</x:f>
      </x:c>
      <x:c r="AE86" s="10" t="n">
        <x:f>IF(Y86="",0,INDEX($AK$6:$AK$85,MATCH(Y86,$A$6:$A$85,0)))</x:f>
        <x:v>0</x:v>
      </x:c>
      <x:c r="AF86" s="10" t="n">
        <x:f>IF(Z86="",0,INDEX($AK$6:$AK$85,MATCH(Z86,$A$6:$A$85,0)))</x:f>
        <x:v>0</x:v>
      </x:c>
      <x:c r="AG86" s="10" t="n">
        <x:f>IF(AA86="",0,INDEX($AK$6:$AK$85,MATCH(AA86,$A$6:$A$85,0)))</x:f>
        <x:v>0</x:v>
      </x:c>
      <x:c r="AH86" s="10" t="n">
        <x:f>IF(AB86="",0,INDEX($AK$6:$AK$85,MATCH(AB86,$A$6:$A$85,0)))</x:f>
        <x:v>0</x:v>
      </x:c>
      <x:c r="AI86" s="10" t="n">
        <x:f>IF(AC86="",0,INDEX($AK$6:$AK$85,MATCH(AC86,$A$6:$A$85,0)))</x:f>
        <x:v>0</x:v>
      </x:c>
      <x:c r="AJ86" s="10" t="str">
        <x:f>IF(AM86="완료",IF(J86="",K86,J86),IF(OR(COUNT('프로젝트설정'!$B$7:$B$8)&lt;2,COUNT(AD86:AI86)&lt;6,COUNT(S86:U86)&lt;3),"",IF(AM86="제외",MAX('프로젝트설정'!$B$7,AD86:AI86),IF(E86="진행",J86,MAX('프로젝트설정'!$B$7:$B$8,L86,AD86:AI86)))))</x:f>
      </x:c>
      <x:c r="AK86" s="10" t="str">
        <x:f>IF(AM86="완료",K86,IF(AJ86="","",IF(E86="진행",MAX('프로젝트설정'!$B$8,AJ86,AD86:AI86)+T86,AJ86+T86)))</x:f>
      </x:c>
      <x:c r="AL86" s="7" t="str">
        <x:f>IF(OR(I86="",AK86=""),"",AK86-I86)</x:f>
      </x:c>
      <x:c r="AM86" s="7" t="str">
        <x:f>IF(OR(D86="제외",E86="제외"),"제외",IF(D86&lt;&gt;"적용","적용성 확인",IF(E86="완료",IF(ISNUMBER(K86),"완료","실제완료 입력"),IF(E86="보류","보류 해제 필요",IF(E86="진행",IF(AND(ISNUMBER(J86),COUNT(P86:R86)=3,P86&gt;=0,P86&lt;=Q86,Q86&lt;=R86),"입력 OK","실제착수·잔여기간 확인"),IF(AND(COUNT(M86:O86)=3,M86&gt;=0,M86&lt;=N86,N86&lt;=O86),"입력 OK","전체기간 확인"))))))</x:f>
        <x:v>적용성 확인</x:v>
      </x:c>
      <x:c r="AN86" s="7" t="str">
        <x:v>13</x:v>
      </x:c>
    </x:row>
    <x:row r="87" ht="34" customHeight="1">
      <x:c r="A87" s="7" t="str">
        <x:v>SH03</x:v>
      </x:c>
      <x:c r="B87" s="7" t="str">
        <x:v>13 유해위험방지계획</x:v>
      </x:c>
      <x:c r="C87" s="7" t="str">
        <x:v>유해위험방지계획서 본문 및 첨부 작성</x:v>
      </x:c>
      <x:c r="D87" s="7" t="str">
        <x:f>'모듈선택'!B18</x:f>
        <x:v>검토 필요</x:v>
      </x:c>
      <x:c r="E87" s="8" t="str">
        <x:v>계획</x:v>
      </x:c>
      <x:c r="F87" s="8" t="str">
        <x:v>종합설계사 / 사업주 / 안전보건공단</x:v>
      </x:c>
      <x:c r="G87" s="8" t="str">
        <x:v>계획서, 위험성평가 결과</x:v>
      </x:c>
      <x:c r="H87" s="9"/>
      <x:c r="I87" s="9"/>
      <x:c r="J87" s="9"/>
      <x:c r="K87" s="9"/>
      <x:c r="L87" s="9"/>
      <x:c r="M87" s="8" t="n">
        <x:v>5</x:v>
      </x:c>
      <x:c r="N87" s="8" t="n">
        <x:v>7</x:v>
      </x:c>
      <x:c r="O87" s="8" t="n">
        <x:v>12</x:v>
      </x:c>
      <x:c r="P87" s="8"/>
      <x:c r="Q87" s="8"/>
      <x:c r="R87" s="8"/>
      <x:c r="S87" s="7" t="str">
        <x:f>IF(OR(AM87="제외",AM87="완료"),0,IF(AM87&lt;&gt;"입력 OK","",IF(E87="진행",P87,M87)))</x:f>
      </x:c>
      <x:c r="T87" s="7" t="str">
        <x:f>IF(OR(AM87="제외",AM87="완료"),0,IF(AM87&lt;&gt;"입력 OK","",IF(E87="진행",Q87,N87)))</x:f>
      </x:c>
      <x:c r="U87" s="7" t="str">
        <x:f>IF(OR(AM87="제외",AM87="완료"),0,IF(AM87&lt;&gt;"입력 OK","",IF(E87="진행",R87,O87)))</x:f>
      </x:c>
      <x:c r="V87" s="11" t="str">
        <x:f>IF(COUNT(S87:U87)&lt;3,"",(S87+4*T87+U87)/6)</x:f>
      </x:c>
      <x:c r="W87" s="11" t="str">
        <x:f>IF(COUNT(S87:U87)&lt;3,"",((U87-S87)/6)^2)</x:f>
      </x:c>
      <x:c r="X87" s="8" t="str">
        <x:v>SH02</x:v>
      </x:c>
      <x:c r="Y87" s="8" t="str"/>
      <x:c r="Z87" s="8" t="str"/>
      <x:c r="AA87" s="8" t="str"/>
      <x:c r="AB87" s="8" t="str"/>
      <x:c r="AC87" s="8" t="str"/>
      <x:c r="AD87" s="10" t="str">
        <x:f>IF(X87="",0,INDEX($AK$6:$AK$86,MATCH(X87,$A$6:$A$86,0)))</x:f>
      </x:c>
      <x:c r="AE87" s="10" t="n">
        <x:f>IF(Y87="",0,INDEX($AK$6:$AK$86,MATCH(Y87,$A$6:$A$86,0)))</x:f>
        <x:v>0</x:v>
      </x:c>
      <x:c r="AF87" s="10" t="n">
        <x:f>IF(Z87="",0,INDEX($AK$6:$AK$86,MATCH(Z87,$A$6:$A$86,0)))</x:f>
        <x:v>0</x:v>
      </x:c>
      <x:c r="AG87" s="10" t="n">
        <x:f>IF(AA87="",0,INDEX($AK$6:$AK$86,MATCH(AA87,$A$6:$A$86,0)))</x:f>
        <x:v>0</x:v>
      </x:c>
      <x:c r="AH87" s="10" t="n">
        <x:f>IF(AB87="",0,INDEX($AK$6:$AK$86,MATCH(AB87,$A$6:$A$86,0)))</x:f>
        <x:v>0</x:v>
      </x:c>
      <x:c r="AI87" s="10" t="n">
        <x:f>IF(AC87="",0,INDEX($AK$6:$AK$86,MATCH(AC87,$A$6:$A$86,0)))</x:f>
        <x:v>0</x:v>
      </x:c>
      <x:c r="AJ87" s="10" t="str">
        <x:f>IF(AM87="완료",IF(J87="",K87,J87),IF(OR(COUNT('프로젝트설정'!$B$7:$B$8)&lt;2,COUNT(AD87:AI87)&lt;6,COUNT(S87:U87)&lt;3),"",IF(AM87="제외",MAX('프로젝트설정'!$B$7,AD87:AI87),IF(E87="진행",J87,MAX('프로젝트설정'!$B$7:$B$8,L87,AD87:AI87)))))</x:f>
      </x:c>
      <x:c r="AK87" s="10" t="str">
        <x:f>IF(AM87="완료",K87,IF(AJ87="","",IF(E87="진행",MAX('프로젝트설정'!$B$8,AJ87,AD87:AI87)+T87,AJ87+T87)))</x:f>
      </x:c>
      <x:c r="AL87" s="7" t="str">
        <x:f>IF(OR(I87="",AK87=""),"",AK87-I87)</x:f>
      </x:c>
      <x:c r="AM87" s="7" t="str">
        <x:f>IF(OR(D87="제외",E87="제외"),"제외",IF(D87&lt;&gt;"적용","적용성 확인",IF(E87="완료",IF(ISNUMBER(K87),"완료","실제완료 입력"),IF(E87="보류","보류 해제 필요",IF(E87="진행",IF(AND(ISNUMBER(J87),COUNT(P87:R87)=3,P87&gt;=0,P87&lt;=Q87,Q87&lt;=R87),"입력 OK","실제착수·잔여기간 확인"),IF(AND(COUNT(M87:O87)=3,M87&gt;=0,M87&lt;=N87,N87&lt;=O87),"입력 OK","전체기간 확인"))))))</x:f>
        <x:v>적용성 확인</x:v>
      </x:c>
      <x:c r="AN87" s="7" t="str">
        <x:v>13</x:v>
      </x:c>
    </x:row>
    <x:row r="88" ht="34" customHeight="1">
      <x:c r="A88" s="7" t="str">
        <x:v>SH04</x:v>
      </x:c>
      <x:c r="B88" s="7" t="str">
        <x:v>13 유해위험방지계획</x:v>
      </x:c>
      <x:c r="C88" s="7" t="str">
        <x:v>내부 검토·사업주 날인·제출</x:v>
      </x:c>
      <x:c r="D88" s="7" t="str">
        <x:f>'모듈선택'!B18</x:f>
        <x:v>검토 필요</x:v>
      </x:c>
      <x:c r="E88" s="8" t="str">
        <x:v>계획</x:v>
      </x:c>
      <x:c r="F88" s="8" t="str">
        <x:v>종합설계사 / 사업주 / 안전보건공단</x:v>
      </x:c>
      <x:c r="G88" s="8" t="str">
        <x:v>제출본, 접수증</x:v>
      </x:c>
      <x:c r="H88" s="9"/>
      <x:c r="I88" s="9"/>
      <x:c r="J88" s="9"/>
      <x:c r="K88" s="9"/>
      <x:c r="L88" s="9"/>
      <x:c r="M88" s="8" t="n">
        <x:v>2</x:v>
      </x:c>
      <x:c r="N88" s="8" t="n">
        <x:v>3</x:v>
      </x:c>
      <x:c r="O88" s="8" t="n">
        <x:v>6</x:v>
      </x:c>
      <x:c r="P88" s="8"/>
      <x:c r="Q88" s="8"/>
      <x:c r="R88" s="8"/>
      <x:c r="S88" s="7" t="str">
        <x:f>IF(OR(AM88="제외",AM88="완료"),0,IF(AM88&lt;&gt;"입력 OK","",IF(E88="진행",P88,M88)))</x:f>
      </x:c>
      <x:c r="T88" s="7" t="str">
        <x:f>IF(OR(AM88="제외",AM88="완료"),0,IF(AM88&lt;&gt;"입력 OK","",IF(E88="진행",Q88,N88)))</x:f>
      </x:c>
      <x:c r="U88" s="7" t="str">
        <x:f>IF(OR(AM88="제외",AM88="완료"),0,IF(AM88&lt;&gt;"입력 OK","",IF(E88="진행",R88,O88)))</x:f>
      </x:c>
      <x:c r="V88" s="11" t="str">
        <x:f>IF(COUNT(S88:U88)&lt;3,"",(S88+4*T88+U88)/6)</x:f>
      </x:c>
      <x:c r="W88" s="11" t="str">
        <x:f>IF(COUNT(S88:U88)&lt;3,"",((U88-S88)/6)^2)</x:f>
      </x:c>
      <x:c r="X88" s="8" t="str">
        <x:v>SH03</x:v>
      </x:c>
      <x:c r="Y88" s="8" t="str"/>
      <x:c r="Z88" s="8" t="str"/>
      <x:c r="AA88" s="8" t="str"/>
      <x:c r="AB88" s="8" t="str"/>
      <x:c r="AC88" s="8" t="str"/>
      <x:c r="AD88" s="10" t="str">
        <x:f>IF(X88="",0,INDEX($AK$6:$AK$87,MATCH(X88,$A$6:$A$87,0)))</x:f>
      </x:c>
      <x:c r="AE88" s="10" t="n">
        <x:f>IF(Y88="",0,INDEX($AK$6:$AK$87,MATCH(Y88,$A$6:$A$87,0)))</x:f>
        <x:v>0</x:v>
      </x:c>
      <x:c r="AF88" s="10" t="n">
        <x:f>IF(Z88="",0,INDEX($AK$6:$AK$87,MATCH(Z88,$A$6:$A$87,0)))</x:f>
        <x:v>0</x:v>
      </x:c>
      <x:c r="AG88" s="10" t="n">
        <x:f>IF(AA88="",0,INDEX($AK$6:$AK$87,MATCH(AA88,$A$6:$A$87,0)))</x:f>
        <x:v>0</x:v>
      </x:c>
      <x:c r="AH88" s="10" t="n">
        <x:f>IF(AB88="",0,INDEX($AK$6:$AK$87,MATCH(AB88,$A$6:$A$87,0)))</x:f>
        <x:v>0</x:v>
      </x:c>
      <x:c r="AI88" s="10" t="n">
        <x:f>IF(AC88="",0,INDEX($AK$6:$AK$87,MATCH(AC88,$A$6:$A$87,0)))</x:f>
        <x:v>0</x:v>
      </x:c>
      <x:c r="AJ88" s="10" t="str">
        <x:f>IF(AM88="완료",IF(J88="",K88,J88),IF(OR(COUNT('프로젝트설정'!$B$7:$B$8)&lt;2,COUNT(AD88:AI88)&lt;6,COUNT(S88:U88)&lt;3),"",IF(AM88="제외",MAX('프로젝트설정'!$B$7,AD88:AI88),IF(E88="진행",J88,MAX('프로젝트설정'!$B$7:$B$8,L88,AD88:AI88)))))</x:f>
      </x:c>
      <x:c r="AK88" s="10" t="str">
        <x:f>IF(AM88="완료",K88,IF(AJ88="","",IF(E88="진행",MAX('프로젝트설정'!$B$8,AJ88,AD88:AI88)+T88,AJ88+T88)))</x:f>
      </x:c>
      <x:c r="AL88" s="7" t="str">
        <x:f>IF(OR(I88="",AK88=""),"",AK88-I88)</x:f>
      </x:c>
      <x:c r="AM88" s="7" t="str">
        <x:f>IF(OR(D88="제외",E88="제외"),"제외",IF(D88&lt;&gt;"적용","적용성 확인",IF(E88="완료",IF(ISNUMBER(K88),"완료","실제완료 입력"),IF(E88="보류","보류 해제 필요",IF(E88="진행",IF(AND(ISNUMBER(J88),COUNT(P88:R88)=3,P88&gt;=0,P88&lt;=Q88,Q88&lt;=R88),"입력 OK","실제착수·잔여기간 확인"),IF(AND(COUNT(M88:O88)=3,M88&gt;=0,M88&lt;=N88,N88&lt;=O88),"입력 OK","전체기간 확인"))))))</x:f>
        <x:v>적용성 확인</x:v>
      </x:c>
      <x:c r="AN88" s="7" t="str">
        <x:v>13</x:v>
      </x:c>
    </x:row>
    <x:row r="89" ht="34" customHeight="1">
      <x:c r="A89" s="7" t="str">
        <x:v>SH05</x:v>
      </x:c>
      <x:c r="B89" s="7" t="str">
        <x:v>13 유해위험방지계획</x:v>
      </x:c>
      <x:c r="C89" s="7" t="str">
        <x:v>기관 심사·현장설명 및 질의 대응</x:v>
      </x:c>
      <x:c r="D89" s="7" t="str">
        <x:f>'모듈선택'!B18</x:f>
        <x:v>검토 필요</x:v>
      </x:c>
      <x:c r="E89" s="8" t="str">
        <x:v>계획</x:v>
      </x:c>
      <x:c r="F89" s="8" t="str">
        <x:v>종합설계사 / 사업주 / 안전보건공단</x:v>
      </x:c>
      <x:c r="G89" s="8" t="str">
        <x:v>심사의견</x:v>
      </x:c>
      <x:c r="H89" s="9"/>
      <x:c r="I89" s="9"/>
      <x:c r="J89" s="9"/>
      <x:c r="K89" s="9"/>
      <x:c r="L89" s="9"/>
      <x:c r="M89" s="8" t="n">
        <x:v>7</x:v>
      </x:c>
      <x:c r="N89" s="8" t="n">
        <x:v>14</x:v>
      </x:c>
      <x:c r="O89" s="8" t="n">
        <x:v>21</x:v>
      </x:c>
      <x:c r="P89" s="8"/>
      <x:c r="Q89" s="8"/>
      <x:c r="R89" s="8"/>
      <x:c r="S89" s="7" t="str">
        <x:f>IF(OR(AM89="제외",AM89="완료"),0,IF(AM89&lt;&gt;"입력 OK","",IF(E89="진행",P89,M89)))</x:f>
      </x:c>
      <x:c r="T89" s="7" t="str">
        <x:f>IF(OR(AM89="제외",AM89="완료"),0,IF(AM89&lt;&gt;"입력 OK","",IF(E89="진행",Q89,N89)))</x:f>
      </x:c>
      <x:c r="U89" s="7" t="str">
        <x:f>IF(OR(AM89="제외",AM89="완료"),0,IF(AM89&lt;&gt;"입력 OK","",IF(E89="진행",R89,O89)))</x:f>
      </x:c>
      <x:c r="V89" s="11" t="str">
        <x:f>IF(COUNT(S89:U89)&lt;3,"",(S89+4*T89+U89)/6)</x:f>
      </x:c>
      <x:c r="W89" s="11" t="str">
        <x:f>IF(COUNT(S89:U89)&lt;3,"",((U89-S89)/6)^2)</x:f>
      </x:c>
      <x:c r="X89" s="8" t="str">
        <x:v>SH04</x:v>
      </x:c>
      <x:c r="Y89" s="8" t="str"/>
      <x:c r="Z89" s="8" t="str"/>
      <x:c r="AA89" s="8" t="str"/>
      <x:c r="AB89" s="8" t="str"/>
      <x:c r="AC89" s="8" t="str"/>
      <x:c r="AD89" s="10" t="str">
        <x:f>IF(X89="",0,INDEX($AK$6:$AK$88,MATCH(X89,$A$6:$A$88,0)))</x:f>
      </x:c>
      <x:c r="AE89" s="10" t="n">
        <x:f>IF(Y89="",0,INDEX($AK$6:$AK$88,MATCH(Y89,$A$6:$A$88,0)))</x:f>
        <x:v>0</x:v>
      </x:c>
      <x:c r="AF89" s="10" t="n">
        <x:f>IF(Z89="",0,INDEX($AK$6:$AK$88,MATCH(Z89,$A$6:$A$88,0)))</x:f>
        <x:v>0</x:v>
      </x:c>
      <x:c r="AG89" s="10" t="n">
        <x:f>IF(AA89="",0,INDEX($AK$6:$AK$88,MATCH(AA89,$A$6:$A$88,0)))</x:f>
        <x:v>0</x:v>
      </x:c>
      <x:c r="AH89" s="10" t="n">
        <x:f>IF(AB89="",0,INDEX($AK$6:$AK$88,MATCH(AB89,$A$6:$A$88,0)))</x:f>
        <x:v>0</x:v>
      </x:c>
      <x:c r="AI89" s="10" t="n">
        <x:f>IF(AC89="",0,INDEX($AK$6:$AK$88,MATCH(AC89,$A$6:$A$88,0)))</x:f>
        <x:v>0</x:v>
      </x:c>
      <x:c r="AJ89" s="10" t="str">
        <x:f>IF(AM89="완료",IF(J89="",K89,J89),IF(OR(COUNT('프로젝트설정'!$B$7:$B$8)&lt;2,COUNT(AD89:AI89)&lt;6,COUNT(S89:U89)&lt;3),"",IF(AM89="제외",MAX('프로젝트설정'!$B$7,AD89:AI89),IF(E89="진행",J89,MAX('프로젝트설정'!$B$7:$B$8,L89,AD89:AI89)))))</x:f>
      </x:c>
      <x:c r="AK89" s="10" t="str">
        <x:f>IF(AM89="완료",K89,IF(AJ89="","",IF(E89="진행",MAX('프로젝트설정'!$B$8,AJ89,AD89:AI89)+T89,AJ89+T89)))</x:f>
      </x:c>
      <x:c r="AL89" s="7" t="str">
        <x:f>IF(OR(I89="",AK89=""),"",AK89-I89)</x:f>
      </x:c>
      <x:c r="AM89" s="7" t="str">
        <x:f>IF(OR(D89="제외",E89="제외"),"제외",IF(D89&lt;&gt;"적용","적용성 확인",IF(E89="완료",IF(ISNUMBER(K89),"완료","실제완료 입력"),IF(E89="보류","보류 해제 필요",IF(E89="진행",IF(AND(ISNUMBER(J89),COUNT(P89:R89)=3,P89&gt;=0,P89&lt;=Q89,Q89&lt;=R89),"입력 OK","실제착수·잔여기간 확인"),IF(AND(COUNT(M89:O89)=3,M89&gt;=0,M89&lt;=N89,N89&lt;=O89),"입력 OK","전체기간 확인"))))))</x:f>
        <x:v>적용성 확인</x:v>
      </x:c>
      <x:c r="AN89" s="7" t="str">
        <x:v>13</x:v>
      </x:c>
    </x:row>
    <x:row r="90" ht="34" customHeight="1">
      <x:c r="A90" s="7" t="str">
        <x:v>SH06</x:v>
      </x:c>
      <x:c r="B90" s="7" t="str">
        <x:v>13 유해위험방지계획</x:v>
      </x:c>
      <x:c r="C90" s="7" t="str">
        <x:v>보완도서 작성 및 재심사</x:v>
      </x:c>
      <x:c r="D90" s="7" t="str">
        <x:f>'모듈선택'!B18</x:f>
        <x:v>검토 필요</x:v>
      </x:c>
      <x:c r="E90" s="8" t="str">
        <x:v>계획</x:v>
      </x:c>
      <x:c r="F90" s="8" t="str">
        <x:v>종합설계사 / 사업주 / 안전보건공단</x:v>
      </x:c>
      <x:c r="G90" s="8" t="str">
        <x:v>보완답변, 변경도서</x:v>
      </x:c>
      <x:c r="H90" s="9"/>
      <x:c r="I90" s="9"/>
      <x:c r="J90" s="9"/>
      <x:c r="K90" s="9"/>
      <x:c r="L90" s="9"/>
      <x:c r="M90" s="8" t="n">
        <x:v>5</x:v>
      </x:c>
      <x:c r="N90" s="8" t="n">
        <x:v>10</x:v>
      </x:c>
      <x:c r="O90" s="8" t="n">
        <x:v>21</x:v>
      </x:c>
      <x:c r="P90" s="8"/>
      <x:c r="Q90" s="8"/>
      <x:c r="R90" s="8"/>
      <x:c r="S90" s="7" t="str">
        <x:f>IF(OR(AM90="제외",AM90="완료"),0,IF(AM90&lt;&gt;"입력 OK","",IF(E90="진행",P90,M90)))</x:f>
      </x:c>
      <x:c r="T90" s="7" t="str">
        <x:f>IF(OR(AM90="제외",AM90="완료"),0,IF(AM90&lt;&gt;"입력 OK","",IF(E90="진행",Q90,N90)))</x:f>
      </x:c>
      <x:c r="U90" s="7" t="str">
        <x:f>IF(OR(AM90="제외",AM90="완료"),0,IF(AM90&lt;&gt;"입력 OK","",IF(E90="진행",R90,O90)))</x:f>
      </x:c>
      <x:c r="V90" s="11" t="str">
        <x:f>IF(COUNT(S90:U90)&lt;3,"",(S90+4*T90+U90)/6)</x:f>
      </x:c>
      <x:c r="W90" s="11" t="str">
        <x:f>IF(COUNT(S90:U90)&lt;3,"",((U90-S90)/6)^2)</x:f>
      </x:c>
      <x:c r="X90" s="8" t="str">
        <x:v>SH05</x:v>
      </x:c>
      <x:c r="Y90" s="8" t="str"/>
      <x:c r="Z90" s="8" t="str"/>
      <x:c r="AA90" s="8" t="str"/>
      <x:c r="AB90" s="8" t="str"/>
      <x:c r="AC90" s="8" t="str"/>
      <x:c r="AD90" s="10" t="str">
        <x:f>IF(X90="",0,INDEX($AK$6:$AK$89,MATCH(X90,$A$6:$A$89,0)))</x:f>
      </x:c>
      <x:c r="AE90" s="10" t="n">
        <x:f>IF(Y90="",0,INDEX($AK$6:$AK$89,MATCH(Y90,$A$6:$A$89,0)))</x:f>
        <x:v>0</x:v>
      </x:c>
      <x:c r="AF90" s="10" t="n">
        <x:f>IF(Z90="",0,INDEX($AK$6:$AK$89,MATCH(Z90,$A$6:$A$89,0)))</x:f>
        <x:v>0</x:v>
      </x:c>
      <x:c r="AG90" s="10" t="n">
        <x:f>IF(AA90="",0,INDEX($AK$6:$AK$89,MATCH(AA90,$A$6:$A$89,0)))</x:f>
        <x:v>0</x:v>
      </x:c>
      <x:c r="AH90" s="10" t="n">
        <x:f>IF(AB90="",0,INDEX($AK$6:$AK$89,MATCH(AB90,$A$6:$A$89,0)))</x:f>
        <x:v>0</x:v>
      </x:c>
      <x:c r="AI90" s="10" t="n">
        <x:f>IF(AC90="",0,INDEX($AK$6:$AK$89,MATCH(AC90,$A$6:$A$89,0)))</x:f>
        <x:v>0</x:v>
      </x:c>
      <x:c r="AJ90" s="10" t="str">
        <x:f>IF(AM90="완료",IF(J90="",K90,J90),IF(OR(COUNT('프로젝트설정'!$B$7:$B$8)&lt;2,COUNT(AD90:AI90)&lt;6,COUNT(S90:U90)&lt;3),"",IF(AM90="제외",MAX('프로젝트설정'!$B$7,AD90:AI90),IF(E90="진행",J90,MAX('프로젝트설정'!$B$7:$B$8,L90,AD90:AI90)))))</x:f>
      </x:c>
      <x:c r="AK90" s="10" t="str">
        <x:f>IF(AM90="완료",K90,IF(AJ90="","",IF(E90="진행",MAX('프로젝트설정'!$B$8,AJ90,AD90:AI90)+T90,AJ90+T90)))</x:f>
      </x:c>
      <x:c r="AL90" s="7" t="str">
        <x:f>IF(OR(I90="",AK90=""),"",AK90-I90)</x:f>
      </x:c>
      <x:c r="AM90" s="7" t="str">
        <x:f>IF(OR(D90="제외",E90="제외"),"제외",IF(D90&lt;&gt;"적용","적용성 확인",IF(E90="완료",IF(ISNUMBER(K90),"완료","실제완료 입력"),IF(E90="보류","보류 해제 필요",IF(E90="진행",IF(AND(ISNUMBER(J90),COUNT(P90:R90)=3,P90&gt;=0,P90&lt;=Q90,Q90&lt;=R90),"입력 OK","실제착수·잔여기간 확인"),IF(AND(COUNT(M90:O90)=3,M90&gt;=0,M90&lt;=N90,N90&lt;=O90),"입력 OK","전체기간 확인"))))))</x:f>
        <x:v>적용성 확인</x:v>
      </x:c>
      <x:c r="AN90" s="7" t="str">
        <x:v>13</x:v>
      </x:c>
    </x:row>
    <x:row r="91" ht="34" customHeight="1">
      <x:c r="A91" s="7" t="str">
        <x:v>SH07</x:v>
      </x:c>
      <x:c r="B91" s="7" t="str">
        <x:v>13 유해위험방지계획</x:v>
      </x:c>
      <x:c r="C91" s="7" t="str">
        <x:v>심사결과 확보 및 착수조건 반영</x:v>
      </x:c>
      <x:c r="D91" s="7" t="str">
        <x:f>'모듈선택'!B18</x:f>
        <x:v>검토 필요</x:v>
      </x:c>
      <x:c r="E91" s="8" t="str">
        <x:v>계획</x:v>
      </x:c>
      <x:c r="F91" s="8" t="str">
        <x:v>종합설계사 / 사업주 / 안전보건공단</x:v>
      </x:c>
      <x:c r="G91" s="8" t="str">
        <x:v>결과통보, 조건 이행목록</x:v>
      </x:c>
      <x:c r="H91" s="9"/>
      <x:c r="I91" s="9"/>
      <x:c r="J91" s="9"/>
      <x:c r="K91" s="9"/>
      <x:c r="L91" s="9"/>
      <x:c r="M91" s="8" t="n">
        <x:v>1</x:v>
      </x:c>
      <x:c r="N91" s="8" t="n">
        <x:v>2</x:v>
      </x:c>
      <x:c r="O91" s="8" t="n">
        <x:v>4</x:v>
      </x:c>
      <x:c r="P91" s="8"/>
      <x:c r="Q91" s="8"/>
      <x:c r="R91" s="8"/>
      <x:c r="S91" s="7" t="str">
        <x:f>IF(OR(AM91="제외",AM91="완료"),0,IF(AM91&lt;&gt;"입력 OK","",IF(E91="진행",P91,M91)))</x:f>
      </x:c>
      <x:c r="T91" s="7" t="str">
        <x:f>IF(OR(AM91="제외",AM91="완료"),0,IF(AM91&lt;&gt;"입력 OK","",IF(E91="진행",Q91,N91)))</x:f>
      </x:c>
      <x:c r="U91" s="7" t="str">
        <x:f>IF(OR(AM91="제외",AM91="완료"),0,IF(AM91&lt;&gt;"입력 OK","",IF(E91="진행",R91,O91)))</x:f>
      </x:c>
      <x:c r="V91" s="11" t="str">
        <x:f>IF(COUNT(S91:U91)&lt;3,"",(S91+4*T91+U91)/6)</x:f>
      </x:c>
      <x:c r="W91" s="11" t="str">
        <x:f>IF(COUNT(S91:U91)&lt;3,"",((U91-S91)/6)^2)</x:f>
      </x:c>
      <x:c r="X91" s="8" t="str">
        <x:v>SH06</x:v>
      </x:c>
      <x:c r="Y91" s="8" t="str"/>
      <x:c r="Z91" s="8" t="str"/>
      <x:c r="AA91" s="8" t="str"/>
      <x:c r="AB91" s="8" t="str"/>
      <x:c r="AC91" s="8" t="str"/>
      <x:c r="AD91" s="10" t="str">
        <x:f>IF(X91="",0,INDEX($AK$6:$AK$90,MATCH(X91,$A$6:$A$90,0)))</x:f>
      </x:c>
      <x:c r="AE91" s="10" t="n">
        <x:f>IF(Y91="",0,INDEX($AK$6:$AK$90,MATCH(Y91,$A$6:$A$90,0)))</x:f>
        <x:v>0</x:v>
      </x:c>
      <x:c r="AF91" s="10" t="n">
        <x:f>IF(Z91="",0,INDEX($AK$6:$AK$90,MATCH(Z91,$A$6:$A$90,0)))</x:f>
        <x:v>0</x:v>
      </x:c>
      <x:c r="AG91" s="10" t="n">
        <x:f>IF(AA91="",0,INDEX($AK$6:$AK$90,MATCH(AA91,$A$6:$A$90,0)))</x:f>
        <x:v>0</x:v>
      </x:c>
      <x:c r="AH91" s="10" t="n">
        <x:f>IF(AB91="",0,INDEX($AK$6:$AK$90,MATCH(AB91,$A$6:$A$90,0)))</x:f>
        <x:v>0</x:v>
      </x:c>
      <x:c r="AI91" s="10" t="n">
        <x:f>IF(AC91="",0,INDEX($AK$6:$AK$90,MATCH(AC91,$A$6:$A$90,0)))</x:f>
        <x:v>0</x:v>
      </x:c>
      <x:c r="AJ91" s="10" t="str">
        <x:f>IF(AM91="완료",IF(J91="",K91,J91),IF(OR(COUNT('프로젝트설정'!$B$7:$B$8)&lt;2,COUNT(AD91:AI91)&lt;6,COUNT(S91:U91)&lt;3),"",IF(AM91="제외",MAX('프로젝트설정'!$B$7,AD91:AI91),IF(E91="진행",J91,MAX('프로젝트설정'!$B$7:$B$8,L91,AD91:AI91)))))</x:f>
      </x:c>
      <x:c r="AK91" s="10" t="str">
        <x:f>IF(AM91="완료",K91,IF(AJ91="","",IF(E91="진행",MAX('프로젝트설정'!$B$8,AJ91,AD91:AI91)+T91,AJ91+T91)))</x:f>
      </x:c>
      <x:c r="AL91" s="7" t="str">
        <x:f>IF(OR(I91="",AK91=""),"",AK91-I91)</x:f>
      </x:c>
      <x:c r="AM91" s="7" t="str">
        <x:f>IF(OR(D91="제외",E91="제외"),"제외",IF(D91&lt;&gt;"적용","적용성 확인",IF(E91="완료",IF(ISNUMBER(K91),"완료","실제완료 입력"),IF(E91="보류","보류 해제 필요",IF(E91="진행",IF(AND(ISNUMBER(J91),COUNT(P91:R91)=3,P91&gt;=0,P91&lt;=Q91,Q91&lt;=R91),"입력 OK","실제착수·잔여기간 확인"),IF(AND(COUNT(M91:O91)=3,M91&gt;=0,M91&lt;=N91,N91&lt;=O91),"입력 OK","전체기간 확인"))))))</x:f>
        <x:v>적용성 확인</x:v>
      </x:c>
      <x:c r="AN91" s="7" t="str">
        <x:v>13</x:v>
      </x:c>
    </x:row>
    <x:row r="92" ht="34" customHeight="1">
      <x:c r="A92" s="7" t="str">
        <x:v>CT01</x:v>
      </x:c>
      <x:c r="B92" s="7" t="str">
        <x:v>14 공사업체·감리 선정</x:v>
      </x:c>
      <x:c r="C92" s="7" t="str">
        <x:v>분야별 발주범위·수량·공사예산 검토</x:v>
      </x:c>
      <x:c r="D92" s="7" t="str">
        <x:f>'모듈선택'!B19</x:f>
        <x:v>적용</x:v>
      </x:c>
      <x:c r="E92" s="8" t="str">
        <x:v>계획</x:v>
      </x:c>
      <x:c r="F92" s="8" t="str">
        <x:v>사업주 / 주설비 공급사 / 감리사</x:v>
      </x:c>
      <x:c r="G92" s="8" t="str">
        <x:v>BOQ, 경계/제외범위</x:v>
      </x:c>
      <x:c r="H92" s="9"/>
      <x:c r="I92" s="9"/>
      <x:c r="J92" s="9"/>
      <x:c r="K92" s="9"/>
      <x:c r="L92" s="9"/>
      <x:c r="M92" s="8" t="n">
        <x:v>3</x:v>
      </x:c>
      <x:c r="N92" s="8" t="n">
        <x:v>5</x:v>
      </x:c>
      <x:c r="O92" s="8" t="n">
        <x:v>9</x:v>
      </x:c>
      <x:c r="P92" s="8"/>
      <x:c r="Q92" s="8"/>
      <x:c r="R92" s="8"/>
      <x:c r="S92" s="7" t="n">
        <x:f>IF(OR(AM92="제외",AM92="완료"),0,IF(AM92&lt;&gt;"입력 OK","",IF(E92="진행",P92,M92)))</x:f>
        <x:v>3</x:v>
      </x:c>
      <x:c r="T92" s="7" t="n">
        <x:f>IF(OR(AM92="제외",AM92="완료"),0,IF(AM92&lt;&gt;"입력 OK","",IF(E92="진행",Q92,N92)))</x:f>
        <x:v>5</x:v>
      </x:c>
      <x:c r="U92" s="7" t="n">
        <x:f>IF(OR(AM92="제외",AM92="완료"),0,IF(AM92&lt;&gt;"입력 OK","",IF(E92="진행",R92,O92)))</x:f>
        <x:v>9</x:v>
      </x:c>
      <x:c r="V92" s="11" t="n">
        <x:f>IF(COUNT(S92:U92)&lt;3,"",(S92+4*T92+U92)/6)</x:f>
        <x:v>5.333333333333333</x:v>
      </x:c>
      <x:c r="W92" s="11" t="n">
        <x:f>IF(COUNT(S92:U92)&lt;3,"",((U92-S92)/6)^2)</x:f>
        <x:v>1</x:v>
      </x:c>
      <x:c r="X92" s="8" t="str">
        <x:v>CV06</x:v>
      </x:c>
      <x:c r="Y92" s="8" t="str">
        <x:v>EL07</x:v>
      </x:c>
      <x:c r="Z92" s="8" t="str"/>
      <x:c r="AA92" s="8" t="str"/>
      <x:c r="AB92" s="8" t="str"/>
      <x:c r="AC92" s="8" t="str"/>
      <x:c r="AD92" s="10" t="str">
        <x:f>IF(X92="",0,INDEX($AK$6:$AK$91,MATCH(X92,$A$6:$A$91,0)))</x:f>
      </x:c>
      <x:c r="AE92" s="10" t="str">
        <x:f>IF(Y92="",0,INDEX($AK$6:$AK$91,MATCH(Y92,$A$6:$A$91,0)))</x:f>
      </x:c>
      <x:c r="AF92" s="10" t="n">
        <x:f>IF(Z92="",0,INDEX($AK$6:$AK$91,MATCH(Z92,$A$6:$A$91,0)))</x:f>
        <x:v>0</x:v>
      </x:c>
      <x:c r="AG92" s="10" t="n">
        <x:f>IF(AA92="",0,INDEX($AK$6:$AK$91,MATCH(AA92,$A$6:$A$91,0)))</x:f>
        <x:v>0</x:v>
      </x:c>
      <x:c r="AH92" s="10" t="n">
        <x:f>IF(AB92="",0,INDEX($AK$6:$AK$91,MATCH(AB92,$A$6:$A$91,0)))</x:f>
        <x:v>0</x:v>
      </x:c>
      <x:c r="AI92" s="10" t="n">
        <x:f>IF(AC92="",0,INDEX($AK$6:$AK$91,MATCH(AC92,$A$6:$A$91,0)))</x:f>
        <x:v>0</x:v>
      </x:c>
      <x:c r="AJ92" s="10" t="str">
        <x:f>IF(AM92="완료",IF(J92="",K92,J92),IF(OR(COUNT('프로젝트설정'!$B$7:$B$8)&lt;2,COUNT(AD92:AI92)&lt;6,COUNT(S92:U92)&lt;3),"",IF(AM92="제외",MAX('프로젝트설정'!$B$7,AD92:AI92),IF(E92="진행",J92,MAX('프로젝트설정'!$B$7:$B$8,L92,AD92:AI92)))))</x:f>
      </x:c>
      <x:c r="AK92" s="10" t="str">
        <x:f>IF(AM92="완료",K92,IF(AJ92="","",IF(E92="진행",MAX('프로젝트설정'!$B$8,AJ92,AD92:AI92)+T92,AJ92+T92)))</x:f>
      </x:c>
      <x:c r="AL92" s="7" t="str">
        <x:f>IF(OR(I92="",AK92=""),"",AK92-I92)</x:f>
      </x:c>
      <x:c r="AM92" s="7" t="str">
        <x:f>IF(OR(D92="제외",E92="제외"),"제외",IF(D92&lt;&gt;"적용","적용성 확인",IF(E92="완료",IF(ISNUMBER(K92),"완료","실제완료 입력"),IF(E92="보류","보류 해제 필요",IF(E92="진행",IF(AND(ISNUMBER(J92),COUNT(P92:R92)=3,P92&gt;=0,P92&lt;=Q92,Q92&lt;=R92),"입력 OK","실제착수·잔여기간 확인"),IF(AND(COUNT(M92:O92)=3,M92&gt;=0,M92&lt;=N92,N92&lt;=O92),"입력 OK","전체기간 확인"))))))</x:f>
        <x:v>입력 OK</x:v>
      </x:c>
      <x:c r="AN92" s="7" t="str">
        <x:v>14</x:v>
      </x:c>
    </x:row>
    <x:row r="93" ht="34" customHeight="1">
      <x:c r="A93" s="7" t="str">
        <x:v>CT02</x:v>
      </x:c>
      <x:c r="B93" s="7" t="str">
        <x:v>14 공사업체·감리 선정</x:v>
      </x:c>
      <x:c r="C93" s="7" t="str">
        <x:v>발주사양·과업지시서·공고자료 확정</x:v>
      </x:c>
      <x:c r="D93" s="7" t="str">
        <x:f>'모듈선택'!B19</x:f>
        <x:v>적용</x:v>
      </x:c>
      <x:c r="E93" s="8" t="str">
        <x:v>계획</x:v>
      </x:c>
      <x:c r="F93" s="8" t="str">
        <x:v>사업주 / 주설비 공급사 / 감리사</x:v>
      </x:c>
      <x:c r="G93" s="8" t="str">
        <x:v>입찰설명서, 시방서</x:v>
      </x:c>
      <x:c r="H93" s="9"/>
      <x:c r="I93" s="9"/>
      <x:c r="J93" s="9"/>
      <x:c r="K93" s="9"/>
      <x:c r="L93" s="9"/>
      <x:c r="M93" s="8" t="n">
        <x:v>3</x:v>
      </x:c>
      <x:c r="N93" s="8" t="n">
        <x:v>5</x:v>
      </x:c>
      <x:c r="O93" s="8" t="n">
        <x:v>9</x:v>
      </x:c>
      <x:c r="P93" s="8"/>
      <x:c r="Q93" s="8"/>
      <x:c r="R93" s="8"/>
      <x:c r="S93" s="7" t="n">
        <x:f>IF(OR(AM93="제외",AM93="완료"),0,IF(AM93&lt;&gt;"입력 OK","",IF(E93="진행",P93,M93)))</x:f>
        <x:v>3</x:v>
      </x:c>
      <x:c r="T93" s="7" t="n">
        <x:f>IF(OR(AM93="제외",AM93="완료"),0,IF(AM93&lt;&gt;"입력 OK","",IF(E93="진행",Q93,N93)))</x:f>
        <x:v>5</x:v>
      </x:c>
      <x:c r="U93" s="7" t="n">
        <x:f>IF(OR(AM93="제외",AM93="완료"),0,IF(AM93&lt;&gt;"입력 OK","",IF(E93="진행",R93,O93)))</x:f>
        <x:v>9</x:v>
      </x:c>
      <x:c r="V93" s="11" t="n">
        <x:f>IF(COUNT(S93:U93)&lt;3,"",(S93+4*T93+U93)/6)</x:f>
        <x:v>5.333333333333333</x:v>
      </x:c>
      <x:c r="W93" s="11" t="n">
        <x:f>IF(COUNT(S93:U93)&lt;3,"",((U93-S93)/6)^2)</x:f>
        <x:v>1</x:v>
      </x:c>
      <x:c r="X93" s="8" t="str">
        <x:v>CT01</x:v>
      </x:c>
      <x:c r="Y93" s="8" t="str"/>
      <x:c r="Z93" s="8" t="str"/>
      <x:c r="AA93" s="8" t="str"/>
      <x:c r="AB93" s="8" t="str"/>
      <x:c r="AC93" s="8" t="str"/>
      <x:c r="AD93" s="10" t="str">
        <x:f>IF(X93="",0,INDEX($AK$6:$AK$92,MATCH(X93,$A$6:$A$92,0)))</x:f>
      </x:c>
      <x:c r="AE93" s="10" t="n">
        <x:f>IF(Y93="",0,INDEX($AK$6:$AK$92,MATCH(Y93,$A$6:$A$92,0)))</x:f>
        <x:v>0</x:v>
      </x:c>
      <x:c r="AF93" s="10" t="n">
        <x:f>IF(Z93="",0,INDEX($AK$6:$AK$92,MATCH(Z93,$A$6:$A$92,0)))</x:f>
        <x:v>0</x:v>
      </x:c>
      <x:c r="AG93" s="10" t="n">
        <x:f>IF(AA93="",0,INDEX($AK$6:$AK$92,MATCH(AA93,$A$6:$A$92,0)))</x:f>
        <x:v>0</x:v>
      </x:c>
      <x:c r="AH93" s="10" t="n">
        <x:f>IF(AB93="",0,INDEX($AK$6:$AK$92,MATCH(AB93,$A$6:$A$92,0)))</x:f>
        <x:v>0</x:v>
      </x:c>
      <x:c r="AI93" s="10" t="n">
        <x:f>IF(AC93="",0,INDEX($AK$6:$AK$92,MATCH(AC93,$A$6:$A$92,0)))</x:f>
        <x:v>0</x:v>
      </x:c>
      <x:c r="AJ93" s="10" t="str">
        <x:f>IF(AM93="완료",IF(J93="",K93,J93),IF(OR(COUNT('프로젝트설정'!$B$7:$B$8)&lt;2,COUNT(AD93:AI93)&lt;6,COUNT(S93:U93)&lt;3),"",IF(AM93="제외",MAX('프로젝트설정'!$B$7,AD93:AI93),IF(E93="진행",J93,MAX('프로젝트설정'!$B$7:$B$8,L93,AD93:AI93)))))</x:f>
      </x:c>
      <x:c r="AK93" s="10" t="str">
        <x:f>IF(AM93="완료",K93,IF(AJ93="","",IF(E93="진행",MAX('프로젝트설정'!$B$8,AJ93,AD93:AI93)+T93,AJ93+T93)))</x:f>
      </x:c>
      <x:c r="AL93" s="7" t="str">
        <x:f>IF(OR(I93="",AK93=""),"",AK93-I93)</x:f>
      </x:c>
      <x:c r="AM93" s="7" t="str">
        <x:f>IF(OR(D93="제외",E93="제외"),"제외",IF(D93&lt;&gt;"적용","적용성 확인",IF(E93="완료",IF(ISNUMBER(K93),"완료","실제완료 입력"),IF(E93="보류","보류 해제 필요",IF(E93="진행",IF(AND(ISNUMBER(J93),COUNT(P93:R93)=3,P93&gt;=0,P93&lt;=Q93,Q93&lt;=R93),"입력 OK","실제착수·잔여기간 확인"),IF(AND(COUNT(M93:O93)=3,M93&gt;=0,M93&lt;=N93,N93&lt;=O93),"입력 OK","전체기간 확인"))))))</x:f>
        <x:v>입력 OK</x:v>
      </x:c>
      <x:c r="AN93" s="7" t="str">
        <x:v>14</x:v>
      </x:c>
    </x:row>
    <x:row r="94" ht="34" customHeight="1">
      <x:c r="A94" s="7" t="str">
        <x:v>CT03</x:v>
      </x:c>
      <x:c r="B94" s="7" t="str">
        <x:v>14 공사업체·감리 선정</x:v>
      </x:c>
      <x:c r="C94" s="7" t="str">
        <x:v>공고·현장설명·질의 및 견적 접수</x:v>
      </x:c>
      <x:c r="D94" s="7" t="str">
        <x:f>'모듈선택'!B19</x:f>
        <x:v>적용</x:v>
      </x:c>
      <x:c r="E94" s="8" t="str">
        <x:v>계획</x:v>
      </x:c>
      <x:c r="F94" s="8" t="str">
        <x:v>사업주 / 주설비 공급사 / 감리사</x:v>
      </x:c>
      <x:c r="G94" s="8" t="str">
        <x:v>공고, 질의답변, 견적</x:v>
      </x:c>
      <x:c r="H94" s="9"/>
      <x:c r="I94" s="9"/>
      <x:c r="J94" s="9"/>
      <x:c r="K94" s="9"/>
      <x:c r="L94" s="9"/>
      <x:c r="M94" s="8" t="n">
        <x:v>9</x:v>
      </x:c>
      <x:c r="N94" s="8" t="n">
        <x:v>14</x:v>
      </x:c>
      <x:c r="O94" s="8" t="n">
        <x:v>24</x:v>
      </x:c>
      <x:c r="P94" s="8"/>
      <x:c r="Q94" s="8"/>
      <x:c r="R94" s="8"/>
      <x:c r="S94" s="7" t="n">
        <x:f>IF(OR(AM94="제외",AM94="완료"),0,IF(AM94&lt;&gt;"입력 OK","",IF(E94="진행",P94,M94)))</x:f>
        <x:v>9</x:v>
      </x:c>
      <x:c r="T94" s="7" t="n">
        <x:f>IF(OR(AM94="제외",AM94="완료"),0,IF(AM94&lt;&gt;"입력 OK","",IF(E94="진행",Q94,N94)))</x:f>
        <x:v>14</x:v>
      </x:c>
      <x:c r="U94" s="7" t="n">
        <x:f>IF(OR(AM94="제외",AM94="완료"),0,IF(AM94&lt;&gt;"입력 OK","",IF(E94="진행",R94,O94)))</x:f>
        <x:v>24</x:v>
      </x:c>
      <x:c r="V94" s="11" t="n">
        <x:f>IF(COUNT(S94:U94)&lt;3,"",(S94+4*T94+U94)/6)</x:f>
        <x:v>14.833333333333334</x:v>
      </x:c>
      <x:c r="W94" s="11" t="n">
        <x:f>IF(COUNT(S94:U94)&lt;3,"",((U94-S94)/6)^2)</x:f>
        <x:v>6.25</x:v>
      </x:c>
      <x:c r="X94" s="8" t="str">
        <x:v>CT02</x:v>
      </x:c>
      <x:c r="Y94" s="8" t="str"/>
      <x:c r="Z94" s="8" t="str"/>
      <x:c r="AA94" s="8" t="str"/>
      <x:c r="AB94" s="8" t="str"/>
      <x:c r="AC94" s="8" t="str"/>
      <x:c r="AD94" s="10" t="str">
        <x:f>IF(X94="",0,INDEX($AK$6:$AK$93,MATCH(X94,$A$6:$A$93,0)))</x:f>
      </x:c>
      <x:c r="AE94" s="10" t="n">
        <x:f>IF(Y94="",0,INDEX($AK$6:$AK$93,MATCH(Y94,$A$6:$A$93,0)))</x:f>
        <x:v>0</x:v>
      </x:c>
      <x:c r="AF94" s="10" t="n">
        <x:f>IF(Z94="",0,INDEX($AK$6:$AK$93,MATCH(Z94,$A$6:$A$93,0)))</x:f>
        <x:v>0</x:v>
      </x:c>
      <x:c r="AG94" s="10" t="n">
        <x:f>IF(AA94="",0,INDEX($AK$6:$AK$93,MATCH(AA94,$A$6:$A$93,0)))</x:f>
        <x:v>0</x:v>
      </x:c>
      <x:c r="AH94" s="10" t="n">
        <x:f>IF(AB94="",0,INDEX($AK$6:$AK$93,MATCH(AB94,$A$6:$A$93,0)))</x:f>
        <x:v>0</x:v>
      </x:c>
      <x:c r="AI94" s="10" t="n">
        <x:f>IF(AC94="",0,INDEX($AK$6:$AK$93,MATCH(AC94,$A$6:$A$93,0)))</x:f>
        <x:v>0</x:v>
      </x:c>
      <x:c r="AJ94" s="10" t="str">
        <x:f>IF(AM94="완료",IF(J94="",K94,J94),IF(OR(COUNT('프로젝트설정'!$B$7:$B$8)&lt;2,COUNT(AD94:AI94)&lt;6,COUNT(S94:U94)&lt;3),"",IF(AM94="제외",MAX('프로젝트설정'!$B$7,AD94:AI94),IF(E94="진행",J94,MAX('프로젝트설정'!$B$7:$B$8,L94,AD94:AI94)))))</x:f>
      </x:c>
      <x:c r="AK94" s="10" t="str">
        <x:f>IF(AM94="완료",K94,IF(AJ94="","",IF(E94="진행",MAX('프로젝트설정'!$B$8,AJ94,AD94:AI94)+T94,AJ94+T94)))</x:f>
      </x:c>
      <x:c r="AL94" s="7" t="str">
        <x:f>IF(OR(I94="",AK94=""),"",AK94-I94)</x:f>
      </x:c>
      <x:c r="AM94" s="7" t="str">
        <x:f>IF(OR(D94="제외",E94="제외"),"제외",IF(D94&lt;&gt;"적용","적용성 확인",IF(E94="완료",IF(ISNUMBER(K94),"완료","실제완료 입력"),IF(E94="보류","보류 해제 필요",IF(E94="진행",IF(AND(ISNUMBER(J94),COUNT(P94:R94)=3,P94&gt;=0,P94&lt;=Q94,Q94&lt;=R94),"입력 OK","실제착수·잔여기간 확인"),IF(AND(COUNT(M94:O94)=3,M94&gt;=0,M94&lt;=N94,N94&lt;=O94),"입력 OK","전체기간 확인"))))))</x:f>
        <x:v>입력 OK</x:v>
      </x:c>
      <x:c r="AN94" s="7" t="str">
        <x:v>14</x:v>
      </x:c>
    </x:row>
    <x:row r="95" ht="34" customHeight="1">
      <x:c r="A95" s="7" t="str">
        <x:v>CT04</x:v>
      </x:c>
      <x:c r="B95" s="7" t="str">
        <x:v>14 공사업체·감리 선정</x:v>
      </x:c>
      <x:c r="C95" s="7" t="str">
        <x:v>기술평가·견적 정합성 및 협상</x:v>
      </x:c>
      <x:c r="D95" s="7" t="str">
        <x:f>'모듈선택'!B19</x:f>
        <x:v>적용</x:v>
      </x:c>
      <x:c r="E95" s="8" t="str">
        <x:v>계획</x:v>
      </x:c>
      <x:c r="F95" s="8" t="str">
        <x:v>사업주 / 주설비 공급사 / 감리사</x:v>
      </x:c>
      <x:c r="G95" s="8" t="str">
        <x:v>평가표, scope clarification</x:v>
      </x:c>
      <x:c r="H95" s="9"/>
      <x:c r="I95" s="9"/>
      <x:c r="J95" s="9"/>
      <x:c r="K95" s="9"/>
      <x:c r="L95" s="9"/>
      <x:c r="M95" s="8" t="n">
        <x:v>5</x:v>
      </x:c>
      <x:c r="N95" s="8" t="n">
        <x:v>7</x:v>
      </x:c>
      <x:c r="O95" s="8" t="n">
        <x:v>12</x:v>
      </x:c>
      <x:c r="P95" s="8"/>
      <x:c r="Q95" s="8"/>
      <x:c r="R95" s="8"/>
      <x:c r="S95" s="7" t="n">
        <x:f>IF(OR(AM95="제외",AM95="완료"),0,IF(AM95&lt;&gt;"입력 OK","",IF(E95="진행",P95,M95)))</x:f>
        <x:v>5</x:v>
      </x:c>
      <x:c r="T95" s="7" t="n">
        <x:f>IF(OR(AM95="제외",AM95="완료"),0,IF(AM95&lt;&gt;"입력 OK","",IF(E95="진행",Q95,N95)))</x:f>
        <x:v>7</x:v>
      </x:c>
      <x:c r="U95" s="7" t="n">
        <x:f>IF(OR(AM95="제외",AM95="완료"),0,IF(AM95&lt;&gt;"입력 OK","",IF(E95="진행",R95,O95)))</x:f>
        <x:v>12</x:v>
      </x:c>
      <x:c r="V95" s="11" t="n">
        <x:f>IF(COUNT(S95:U95)&lt;3,"",(S95+4*T95+U95)/6)</x:f>
        <x:v>7.5</x:v>
      </x:c>
      <x:c r="W95" s="11" t="n">
        <x:f>IF(COUNT(S95:U95)&lt;3,"",((U95-S95)/6)^2)</x:f>
        <x:v>1.3611111111111114</x:v>
      </x:c>
      <x:c r="X95" s="8" t="str">
        <x:v>CT03</x:v>
      </x:c>
      <x:c r="Y95" s="8" t="str"/>
      <x:c r="Z95" s="8" t="str"/>
      <x:c r="AA95" s="8" t="str"/>
      <x:c r="AB95" s="8" t="str"/>
      <x:c r="AC95" s="8" t="str"/>
      <x:c r="AD95" s="10" t="str">
        <x:f>IF(X95="",0,INDEX($AK$6:$AK$94,MATCH(X95,$A$6:$A$94,0)))</x:f>
      </x:c>
      <x:c r="AE95" s="10" t="n">
        <x:f>IF(Y95="",0,INDEX($AK$6:$AK$94,MATCH(Y95,$A$6:$A$94,0)))</x:f>
        <x:v>0</x:v>
      </x:c>
      <x:c r="AF95" s="10" t="n">
        <x:f>IF(Z95="",0,INDEX($AK$6:$AK$94,MATCH(Z95,$A$6:$A$94,0)))</x:f>
        <x:v>0</x:v>
      </x:c>
      <x:c r="AG95" s="10" t="n">
        <x:f>IF(AA95="",0,INDEX($AK$6:$AK$94,MATCH(AA95,$A$6:$A$94,0)))</x:f>
        <x:v>0</x:v>
      </x:c>
      <x:c r="AH95" s="10" t="n">
        <x:f>IF(AB95="",0,INDEX($AK$6:$AK$94,MATCH(AB95,$A$6:$A$94,0)))</x:f>
        <x:v>0</x:v>
      </x:c>
      <x:c r="AI95" s="10" t="n">
        <x:f>IF(AC95="",0,INDEX($AK$6:$AK$94,MATCH(AC95,$A$6:$A$94,0)))</x:f>
        <x:v>0</x:v>
      </x:c>
      <x:c r="AJ95" s="10" t="str">
        <x:f>IF(AM95="완료",IF(J95="",K95,J95),IF(OR(COUNT('프로젝트설정'!$B$7:$B$8)&lt;2,COUNT(AD95:AI95)&lt;6,COUNT(S95:U95)&lt;3),"",IF(AM95="제외",MAX('프로젝트설정'!$B$7,AD95:AI95),IF(E95="진행",J95,MAX('프로젝트설정'!$B$7:$B$8,L95,AD95:AI95)))))</x:f>
      </x:c>
      <x:c r="AK95" s="10" t="str">
        <x:f>IF(AM95="완료",K95,IF(AJ95="","",IF(E95="진행",MAX('프로젝트설정'!$B$8,AJ95,AD95:AI95)+T95,AJ95+T95)))</x:f>
      </x:c>
      <x:c r="AL95" s="7" t="str">
        <x:f>IF(OR(I95="",AK95=""),"",AK95-I95)</x:f>
      </x:c>
      <x:c r="AM95" s="7" t="str">
        <x:f>IF(OR(D95="제외",E95="제외"),"제외",IF(D95&lt;&gt;"적용","적용성 확인",IF(E95="완료",IF(ISNUMBER(K95),"완료","실제완료 입력"),IF(E95="보류","보류 해제 필요",IF(E95="진행",IF(AND(ISNUMBER(J95),COUNT(P95:R95)=3,P95&gt;=0,P95&lt;=Q95,Q95&lt;=R95),"입력 OK","실제착수·잔여기간 확인"),IF(AND(COUNT(M95:O95)=3,M95&gt;=0,M95&lt;=N95,N95&lt;=O95),"입력 OK","전체기간 확인"))))))</x:f>
        <x:v>입력 OK</x:v>
      </x:c>
      <x:c r="AN95" s="7" t="str">
        <x:v>14</x:v>
      </x:c>
    </x:row>
    <x:row r="96" ht="34" customHeight="1">
      <x:c r="A96" s="7" t="str">
        <x:v>CT05</x:v>
      </x:c>
      <x:c r="B96" s="7" t="str">
        <x:v>14 공사업체·감리 선정</x:v>
      </x:c>
      <x:c r="C96" s="7" t="str">
        <x:v>시공 계약 체결·착수회의</x:v>
      </x:c>
      <x:c r="D96" s="7" t="str">
        <x:f>'모듈선택'!B19</x:f>
        <x:v>적용</x:v>
      </x:c>
      <x:c r="E96" s="8" t="str">
        <x:v>계획</x:v>
      </x:c>
      <x:c r="F96" s="8" t="str">
        <x:v>사업주 / 주설비 공급사 / 감리사</x:v>
      </x:c>
      <x:c r="G96" s="8" t="str">
        <x:v>계약서, 통합공정표</x:v>
      </x:c>
      <x:c r="H96" s="9"/>
      <x:c r="I96" s="9"/>
      <x:c r="J96" s="9"/>
      <x:c r="K96" s="9"/>
      <x:c r="L96" s="9"/>
      <x:c r="M96" s="8" t="n">
        <x:v>3</x:v>
      </x:c>
      <x:c r="N96" s="8" t="n">
        <x:v>5</x:v>
      </x:c>
      <x:c r="O96" s="8" t="n">
        <x:v>9</x:v>
      </x:c>
      <x:c r="P96" s="8"/>
      <x:c r="Q96" s="8"/>
      <x:c r="R96" s="8"/>
      <x:c r="S96" s="7" t="n">
        <x:f>IF(OR(AM96="제외",AM96="완료"),0,IF(AM96&lt;&gt;"입력 OK","",IF(E96="진행",P96,M96)))</x:f>
        <x:v>3</x:v>
      </x:c>
      <x:c r="T96" s="7" t="n">
        <x:f>IF(OR(AM96="제외",AM96="완료"),0,IF(AM96&lt;&gt;"입력 OK","",IF(E96="진행",Q96,N96)))</x:f>
        <x:v>5</x:v>
      </x:c>
      <x:c r="U96" s="7" t="n">
        <x:f>IF(OR(AM96="제외",AM96="완료"),0,IF(AM96&lt;&gt;"입력 OK","",IF(E96="진행",R96,O96)))</x:f>
        <x:v>9</x:v>
      </x:c>
      <x:c r="V96" s="11" t="n">
        <x:f>IF(COUNT(S96:U96)&lt;3,"",(S96+4*T96+U96)/6)</x:f>
        <x:v>5.333333333333333</x:v>
      </x:c>
      <x:c r="W96" s="11" t="n">
        <x:f>IF(COUNT(S96:U96)&lt;3,"",((U96-S96)/6)^2)</x:f>
        <x:v>1</x:v>
      </x:c>
      <x:c r="X96" s="8" t="str">
        <x:v>CT04</x:v>
      </x:c>
      <x:c r="Y96" s="8" t="str"/>
      <x:c r="Z96" s="8" t="str"/>
      <x:c r="AA96" s="8" t="str"/>
      <x:c r="AB96" s="8" t="str"/>
      <x:c r="AC96" s="8" t="str"/>
      <x:c r="AD96" s="10" t="str">
        <x:f>IF(X96="",0,INDEX($AK$6:$AK$95,MATCH(X96,$A$6:$A$95,0)))</x:f>
      </x:c>
      <x:c r="AE96" s="10" t="n">
        <x:f>IF(Y96="",0,INDEX($AK$6:$AK$95,MATCH(Y96,$A$6:$A$95,0)))</x:f>
        <x:v>0</x:v>
      </x:c>
      <x:c r="AF96" s="10" t="n">
        <x:f>IF(Z96="",0,INDEX($AK$6:$AK$95,MATCH(Z96,$A$6:$A$95,0)))</x:f>
        <x:v>0</x:v>
      </x:c>
      <x:c r="AG96" s="10" t="n">
        <x:f>IF(AA96="",0,INDEX($AK$6:$AK$95,MATCH(AA96,$A$6:$A$95,0)))</x:f>
        <x:v>0</x:v>
      </x:c>
      <x:c r="AH96" s="10" t="n">
        <x:f>IF(AB96="",0,INDEX($AK$6:$AK$95,MATCH(AB96,$A$6:$A$95,0)))</x:f>
        <x:v>0</x:v>
      </x:c>
      <x:c r="AI96" s="10" t="n">
        <x:f>IF(AC96="",0,INDEX($AK$6:$AK$95,MATCH(AC96,$A$6:$A$95,0)))</x:f>
        <x:v>0</x:v>
      </x:c>
      <x:c r="AJ96" s="10" t="str">
        <x:f>IF(AM96="완료",IF(J96="",K96,J96),IF(OR(COUNT('프로젝트설정'!$B$7:$B$8)&lt;2,COUNT(AD96:AI96)&lt;6,COUNT(S96:U96)&lt;3),"",IF(AM96="제외",MAX('프로젝트설정'!$B$7,AD96:AI96),IF(E96="진행",J96,MAX('프로젝트설정'!$B$7:$B$8,L96,AD96:AI96)))))</x:f>
      </x:c>
      <x:c r="AK96" s="10" t="str">
        <x:f>IF(AM96="완료",K96,IF(AJ96="","",IF(E96="진행",MAX('프로젝트설정'!$B$8,AJ96,AD96:AI96)+T96,AJ96+T96)))</x:f>
      </x:c>
      <x:c r="AL96" s="7" t="str">
        <x:f>IF(OR(I96="",AK96=""),"",AK96-I96)</x:f>
      </x:c>
      <x:c r="AM96" s="7" t="str">
        <x:f>IF(OR(D96="제외",E96="제외"),"제외",IF(D96&lt;&gt;"적용","적용성 확인",IF(E96="완료",IF(ISNUMBER(K96),"완료","실제완료 입력"),IF(E96="보류","보류 해제 필요",IF(E96="진행",IF(AND(ISNUMBER(J96),COUNT(P96:R96)=3,P96&gt;=0,P96&lt;=Q96,Q96&lt;=R96),"입력 OK","실제착수·잔여기간 확인"),IF(AND(COUNT(M96:O96)=3,M96&gt;=0,M96&lt;=N96,N96&lt;=O96),"입력 OK","전체기간 확인"))))))</x:f>
        <x:v>입력 OK</x:v>
      </x:c>
      <x:c r="AN96" s="7" t="str">
        <x:v>14</x:v>
      </x:c>
    </x:row>
    <x:row r="97" ht="34" customHeight="1">
      <x:c r="A97" s="7" t="str">
        <x:v>CT06</x:v>
      </x:c>
      <x:c r="B97" s="7" t="str">
        <x:v>14 공사업체·감리 선정</x:v>
      </x:c>
      <x:c r="C97" s="7" t="str">
        <x:v>감리 범위·인력 지정 및 계약</x:v>
      </x:c>
      <x:c r="D97" s="7" t="str">
        <x:f>'모듈선택'!B19</x:f>
        <x:v>적용</x:v>
      </x:c>
      <x:c r="E97" s="8" t="str">
        <x:v>계획</x:v>
      </x:c>
      <x:c r="F97" s="8" t="str">
        <x:v>사업주 / 주설비 공급사 / 감리사</x:v>
      </x:c>
      <x:c r="G97" s="8" t="str">
        <x:v>감리계약, 배치계획</x:v>
      </x:c>
      <x:c r="H97" s="9"/>
      <x:c r="I97" s="9"/>
      <x:c r="J97" s="9"/>
      <x:c r="K97" s="9"/>
      <x:c r="L97" s="9"/>
      <x:c r="M97" s="8" t="n">
        <x:v>3</x:v>
      </x:c>
      <x:c r="N97" s="8" t="n">
        <x:v>5</x:v>
      </x:c>
      <x:c r="O97" s="8" t="n">
        <x:v>9</x:v>
      </x:c>
      <x:c r="P97" s="8"/>
      <x:c r="Q97" s="8"/>
      <x:c r="R97" s="8"/>
      <x:c r="S97" s="7" t="n">
        <x:f>IF(OR(AM97="제외",AM97="완료"),0,IF(AM97&lt;&gt;"입력 OK","",IF(E97="진행",P97,M97)))</x:f>
        <x:v>3</x:v>
      </x:c>
      <x:c r="T97" s="7" t="n">
        <x:f>IF(OR(AM97="제외",AM97="완료"),0,IF(AM97&lt;&gt;"입력 OK","",IF(E97="진행",Q97,N97)))</x:f>
        <x:v>5</x:v>
      </x:c>
      <x:c r="U97" s="7" t="n">
        <x:f>IF(OR(AM97="제외",AM97="완료"),0,IF(AM97&lt;&gt;"입력 OK","",IF(E97="진행",R97,O97)))</x:f>
        <x:v>9</x:v>
      </x:c>
      <x:c r="V97" s="11" t="n">
        <x:f>IF(COUNT(S97:U97)&lt;3,"",(S97+4*T97+U97)/6)</x:f>
        <x:v>5.333333333333333</x:v>
      </x:c>
      <x:c r="W97" s="11" t="n">
        <x:f>IF(COUNT(S97:U97)&lt;3,"",((U97-S97)/6)^2)</x:f>
        <x:v>1</x:v>
      </x:c>
      <x:c r="X97" s="8" t="str">
        <x:v>CT05</x:v>
      </x:c>
      <x:c r="Y97" s="8" t="str"/>
      <x:c r="Z97" s="8" t="str"/>
      <x:c r="AA97" s="8" t="str"/>
      <x:c r="AB97" s="8" t="str"/>
      <x:c r="AC97" s="8" t="str"/>
      <x:c r="AD97" s="10" t="str">
        <x:f>IF(X97="",0,INDEX($AK$6:$AK$96,MATCH(X97,$A$6:$A$96,0)))</x:f>
      </x:c>
      <x:c r="AE97" s="10" t="n">
        <x:f>IF(Y97="",0,INDEX($AK$6:$AK$96,MATCH(Y97,$A$6:$A$96,0)))</x:f>
        <x:v>0</x:v>
      </x:c>
      <x:c r="AF97" s="10" t="n">
        <x:f>IF(Z97="",0,INDEX($AK$6:$AK$96,MATCH(Z97,$A$6:$A$96,0)))</x:f>
        <x:v>0</x:v>
      </x:c>
      <x:c r="AG97" s="10" t="n">
        <x:f>IF(AA97="",0,INDEX($AK$6:$AK$96,MATCH(AA97,$A$6:$A$96,0)))</x:f>
        <x:v>0</x:v>
      </x:c>
      <x:c r="AH97" s="10" t="n">
        <x:f>IF(AB97="",0,INDEX($AK$6:$AK$96,MATCH(AB97,$A$6:$A$96,0)))</x:f>
        <x:v>0</x:v>
      </x:c>
      <x:c r="AI97" s="10" t="n">
        <x:f>IF(AC97="",0,INDEX($AK$6:$AK$96,MATCH(AC97,$A$6:$A$96,0)))</x:f>
        <x:v>0</x:v>
      </x:c>
      <x:c r="AJ97" s="10" t="str">
        <x:f>IF(AM97="완료",IF(J97="",K97,J97),IF(OR(COUNT('프로젝트설정'!$B$7:$B$8)&lt;2,COUNT(AD97:AI97)&lt;6,COUNT(S97:U97)&lt;3),"",IF(AM97="제외",MAX('프로젝트설정'!$B$7,AD97:AI97),IF(E97="진행",J97,MAX('프로젝트설정'!$B$7:$B$8,L97,AD97:AI97)))))</x:f>
      </x:c>
      <x:c r="AK97" s="10" t="str">
        <x:f>IF(AM97="완료",K97,IF(AJ97="","",IF(E97="진행",MAX('프로젝트설정'!$B$8,AJ97,AD97:AI97)+T97,AJ97+T97)))</x:f>
      </x:c>
      <x:c r="AL97" s="7" t="str">
        <x:f>IF(OR(I97="",AK97=""),"",AK97-I97)</x:f>
      </x:c>
      <x:c r="AM97" s="7" t="str">
        <x:f>IF(OR(D97="제외",E97="제외"),"제외",IF(D97&lt;&gt;"적용","적용성 확인",IF(E97="완료",IF(ISNUMBER(K97),"완료","실제완료 입력"),IF(E97="보류","보류 해제 필요",IF(E97="진행",IF(AND(ISNUMBER(J97),COUNT(P97:R97)=3,P97&gt;=0,P97&lt;=Q97,Q97&lt;=R97),"입력 OK","실제착수·잔여기간 확인"),IF(AND(COUNT(M97:O97)=3,M97&gt;=0,M97&lt;=N97,N97&lt;=O97),"입력 OK","전체기간 확인"))))))</x:f>
        <x:v>입력 OK</x:v>
      </x:c>
      <x:c r="AN97" s="7" t="str">
        <x:v>14</x:v>
      </x:c>
    </x:row>
    <x:row r="98" ht="34" customHeight="1">
      <x:c r="A98" s="7" t="str">
        <x:v>SA01</x:v>
      </x:c>
      <x:c r="B98" s="7" t="str">
        <x:v>15 착공 전 준비</x:v>
      </x:c>
      <x:c r="C98" s="7" t="str">
        <x:v>시공계획·장비투입·안전관리계획 자료 취합</x:v>
      </x:c>
      <x:c r="D98" s="7" t="str">
        <x:f>'모듈선택'!B20</x:f>
        <x:v>적용</x:v>
      </x:c>
      <x:c r="E98" s="8" t="str">
        <x:v>계획</x:v>
      </x:c>
      <x:c r="F98" s="8" t="str">
        <x:v>시공사 / 감리 / 사업주</x:v>
      </x:c>
      <x:c r="G98" s="8" t="str">
        <x:v>시공계획, 가설/항타 계획</x:v>
      </x:c>
      <x:c r="H98" s="9"/>
      <x:c r="I98" s="9"/>
      <x:c r="J98" s="9"/>
      <x:c r="K98" s="9"/>
      <x:c r="L98" s="9"/>
      <x:c r="M98" s="8" t="n">
        <x:v>3</x:v>
      </x:c>
      <x:c r="N98" s="8" t="n">
        <x:v>5</x:v>
      </x:c>
      <x:c r="O98" s="8" t="n">
        <x:v>9</x:v>
      </x:c>
      <x:c r="P98" s="8"/>
      <x:c r="Q98" s="8"/>
      <x:c r="R98" s="8"/>
      <x:c r="S98" s="7" t="n">
        <x:f>IF(OR(AM98="제외",AM98="완료"),0,IF(AM98&lt;&gt;"입력 OK","",IF(E98="진행",P98,M98)))</x:f>
        <x:v>3</x:v>
      </x:c>
      <x:c r="T98" s="7" t="n">
        <x:f>IF(OR(AM98="제외",AM98="완료"),0,IF(AM98&lt;&gt;"입력 OK","",IF(E98="진행",Q98,N98)))</x:f>
        <x:v>5</x:v>
      </x:c>
      <x:c r="U98" s="7" t="n">
        <x:f>IF(OR(AM98="제외",AM98="완료"),0,IF(AM98&lt;&gt;"입력 OK","",IF(E98="진행",R98,O98)))</x:f>
        <x:v>9</x:v>
      </x:c>
      <x:c r="V98" s="11" t="n">
        <x:f>IF(COUNT(S98:U98)&lt;3,"",(S98+4*T98+U98)/6)</x:f>
        <x:v>5.333333333333333</x:v>
      </x:c>
      <x:c r="W98" s="11" t="n">
        <x:f>IF(COUNT(S98:U98)&lt;3,"",((U98-S98)/6)^2)</x:f>
        <x:v>1</x:v>
      </x:c>
      <x:c r="X98" s="8" t="str">
        <x:v>CT05</x:v>
      </x:c>
      <x:c r="Y98" s="8" t="str"/>
      <x:c r="Z98" s="8" t="str"/>
      <x:c r="AA98" s="8" t="str"/>
      <x:c r="AB98" s="8" t="str"/>
      <x:c r="AC98" s="8" t="str"/>
      <x:c r="AD98" s="10" t="str">
        <x:f>IF(X98="",0,INDEX($AK$6:$AK$97,MATCH(X98,$A$6:$A$97,0)))</x:f>
      </x:c>
      <x:c r="AE98" s="10" t="n">
        <x:f>IF(Y98="",0,INDEX($AK$6:$AK$97,MATCH(Y98,$A$6:$A$97,0)))</x:f>
        <x:v>0</x:v>
      </x:c>
      <x:c r="AF98" s="10" t="n">
        <x:f>IF(Z98="",0,INDEX($AK$6:$AK$97,MATCH(Z98,$A$6:$A$97,0)))</x:f>
        <x:v>0</x:v>
      </x:c>
      <x:c r="AG98" s="10" t="n">
        <x:f>IF(AA98="",0,INDEX($AK$6:$AK$97,MATCH(AA98,$A$6:$A$97,0)))</x:f>
        <x:v>0</x:v>
      </x:c>
      <x:c r="AH98" s="10" t="n">
        <x:f>IF(AB98="",0,INDEX($AK$6:$AK$97,MATCH(AB98,$A$6:$A$97,0)))</x:f>
        <x:v>0</x:v>
      </x:c>
      <x:c r="AI98" s="10" t="n">
        <x:f>IF(AC98="",0,INDEX($AK$6:$AK$97,MATCH(AC98,$A$6:$A$97,0)))</x:f>
        <x:v>0</x:v>
      </x:c>
      <x:c r="AJ98" s="10" t="str">
        <x:f>IF(AM98="완료",IF(J98="",K98,J98),IF(OR(COUNT('프로젝트설정'!$B$7:$B$8)&lt;2,COUNT(AD98:AI98)&lt;6,COUNT(S98:U98)&lt;3),"",IF(AM98="제외",MAX('프로젝트설정'!$B$7,AD98:AI98),IF(E98="진행",J98,MAX('프로젝트설정'!$B$7:$B$8,L98,AD98:AI98)))))</x:f>
      </x:c>
      <x:c r="AK98" s="10" t="str">
        <x:f>IF(AM98="완료",K98,IF(AJ98="","",IF(E98="진행",MAX('프로젝트설정'!$B$8,AJ98,AD98:AI98)+T98,AJ98+T98)))</x:f>
      </x:c>
      <x:c r="AL98" s="7" t="str">
        <x:f>IF(OR(I98="",AK98=""),"",AK98-I98)</x:f>
      </x:c>
      <x:c r="AM98" s="7" t="str">
        <x:f>IF(OR(D98="제외",E98="제외"),"제외",IF(D98&lt;&gt;"적용","적용성 확인",IF(E98="완료",IF(ISNUMBER(K98),"완료","실제완료 입력"),IF(E98="보류","보류 해제 필요",IF(E98="진행",IF(AND(ISNUMBER(J98),COUNT(P98:R98)=3,P98&gt;=0,P98&lt;=Q98,Q98&lt;=R98),"입력 OK","실제착수·잔여기간 확인"),IF(AND(COUNT(M98:O98)=3,M98&gt;=0,M98&lt;=N98,N98&lt;=O98),"입력 OK","전체기간 확인"))))))</x:f>
        <x:v>입력 OK</x:v>
      </x:c>
      <x:c r="AN98" s="7" t="str">
        <x:v>15</x:v>
      </x:c>
    </x:row>
    <x:row r="99" ht="34" customHeight="1">
      <x:c r="A99" s="7" t="str">
        <x:v>SA02</x:v>
      </x:c>
      <x:c r="B99" s="7" t="str">
        <x:v>15 착공 전 준비</x:v>
      </x:c>
      <x:c r="C99" s="7" t="str">
        <x:v>안전관리계획 작성·검토 의뢰</x:v>
      </x:c>
      <x:c r="D99" s="7" t="str">
        <x:f>'모듈선택'!B20</x:f>
        <x:v>적용</x:v>
      </x:c>
      <x:c r="E99" s="8" t="str">
        <x:v>계획</x:v>
      </x:c>
      <x:c r="F99" s="8" t="str">
        <x:v>시공사 / 감리 / 사업주</x:v>
      </x:c>
      <x:c r="G99" s="8" t="str">
        <x:v>안전관리계획서</x:v>
      </x:c>
      <x:c r="H99" s="9"/>
      <x:c r="I99" s="9"/>
      <x:c r="J99" s="9"/>
      <x:c r="K99" s="9"/>
      <x:c r="L99" s="9"/>
      <x:c r="M99" s="8" t="n">
        <x:v>7</x:v>
      </x:c>
      <x:c r="N99" s="8" t="n">
        <x:v>10</x:v>
      </x:c>
      <x:c r="O99" s="8" t="n">
        <x:v>17</x:v>
      </x:c>
      <x:c r="P99" s="8"/>
      <x:c r="Q99" s="8"/>
      <x:c r="R99" s="8"/>
      <x:c r="S99" s="7" t="n">
        <x:f>IF(OR(AM99="제외",AM99="완료"),0,IF(AM99&lt;&gt;"입력 OK","",IF(E99="진행",P99,M99)))</x:f>
        <x:v>7</x:v>
      </x:c>
      <x:c r="T99" s="7" t="n">
        <x:f>IF(OR(AM99="제외",AM99="완료"),0,IF(AM99&lt;&gt;"입력 OK","",IF(E99="진행",Q99,N99)))</x:f>
        <x:v>10</x:v>
      </x:c>
      <x:c r="U99" s="7" t="n">
        <x:f>IF(OR(AM99="제외",AM99="완료"),0,IF(AM99&lt;&gt;"입력 OK","",IF(E99="진행",R99,O99)))</x:f>
        <x:v>17</x:v>
      </x:c>
      <x:c r="V99" s="11" t="n">
        <x:f>IF(COUNT(S99:U99)&lt;3,"",(S99+4*T99+U99)/6)</x:f>
        <x:v>10.666666666666666</x:v>
      </x:c>
      <x:c r="W99" s="11" t="n">
        <x:f>IF(COUNT(S99:U99)&lt;3,"",((U99-S99)/6)^2)</x:f>
        <x:v>2.777777777777778</x:v>
      </x:c>
      <x:c r="X99" s="8" t="str">
        <x:v>SA01</x:v>
      </x:c>
      <x:c r="Y99" s="8" t="str"/>
      <x:c r="Z99" s="8" t="str"/>
      <x:c r="AA99" s="8" t="str"/>
      <x:c r="AB99" s="8" t="str"/>
      <x:c r="AC99" s="8" t="str"/>
      <x:c r="AD99" s="10" t="str">
        <x:f>IF(X99="",0,INDEX($AK$6:$AK$98,MATCH(X99,$A$6:$A$98,0)))</x:f>
      </x:c>
      <x:c r="AE99" s="10" t="n">
        <x:f>IF(Y99="",0,INDEX($AK$6:$AK$98,MATCH(Y99,$A$6:$A$98,0)))</x:f>
        <x:v>0</x:v>
      </x:c>
      <x:c r="AF99" s="10" t="n">
        <x:f>IF(Z99="",0,INDEX($AK$6:$AK$98,MATCH(Z99,$A$6:$A$98,0)))</x:f>
        <x:v>0</x:v>
      </x:c>
      <x:c r="AG99" s="10" t="n">
        <x:f>IF(AA99="",0,INDEX($AK$6:$AK$98,MATCH(AA99,$A$6:$A$98,0)))</x:f>
        <x:v>0</x:v>
      </x:c>
      <x:c r="AH99" s="10" t="n">
        <x:f>IF(AB99="",0,INDEX($AK$6:$AK$98,MATCH(AB99,$A$6:$A$98,0)))</x:f>
        <x:v>0</x:v>
      </x:c>
      <x:c r="AI99" s="10" t="n">
        <x:f>IF(AC99="",0,INDEX($AK$6:$AK$98,MATCH(AC99,$A$6:$A$98,0)))</x:f>
        <x:v>0</x:v>
      </x:c>
      <x:c r="AJ99" s="10" t="str">
        <x:f>IF(AM99="완료",IF(J99="",K99,J99),IF(OR(COUNT('프로젝트설정'!$B$7:$B$8)&lt;2,COUNT(AD99:AI99)&lt;6,COUNT(S99:U99)&lt;3),"",IF(AM99="제외",MAX('프로젝트설정'!$B$7,AD99:AI99),IF(E99="진행",J99,MAX('프로젝트설정'!$B$7:$B$8,L99,AD99:AI99)))))</x:f>
      </x:c>
      <x:c r="AK99" s="10" t="str">
        <x:f>IF(AM99="완료",K99,IF(AJ99="","",IF(E99="진행",MAX('프로젝트설정'!$B$8,AJ99,AD99:AI99)+T99,AJ99+T99)))</x:f>
      </x:c>
      <x:c r="AL99" s="7" t="str">
        <x:f>IF(OR(I99="",AK99=""),"",AK99-I99)</x:f>
      </x:c>
      <x:c r="AM99" s="7" t="str">
        <x:f>IF(OR(D99="제외",E99="제외"),"제외",IF(D99&lt;&gt;"적용","적용성 확인",IF(E99="완료",IF(ISNUMBER(K99),"완료","실제완료 입력"),IF(E99="보류","보류 해제 필요",IF(E99="진행",IF(AND(ISNUMBER(J99),COUNT(P99:R99)=3,P99&gt;=0,P99&lt;=Q99,Q99&lt;=R99),"입력 OK","실제착수·잔여기간 확인"),IF(AND(COUNT(M99:O99)=3,M99&gt;=0,M99&lt;=N99,N99&lt;=O99),"입력 OK","전체기간 확인"))))))</x:f>
        <x:v>입력 OK</x:v>
      </x:c>
      <x:c r="AN99" s="7" t="str">
        <x:v>15</x:v>
      </x:c>
    </x:row>
    <x:row r="100" ht="34" customHeight="1">
      <x:c r="A100" s="7" t="str">
        <x:v>SA03</x:v>
      </x:c>
      <x:c r="B100" s="7" t="str">
        <x:v>15 착공 전 준비</x:v>
      </x:c>
      <x:c r="C100" s="7" t="str">
        <x:v>안전관리계획 보완·검토결과 확보</x:v>
      </x:c>
      <x:c r="D100" s="7" t="str">
        <x:f>'모듈선택'!B20</x:f>
        <x:v>적용</x:v>
      </x:c>
      <x:c r="E100" s="8" t="str">
        <x:v>계획</x:v>
      </x:c>
      <x:c r="F100" s="8" t="str">
        <x:v>시공사 / 감리 / 사업주</x:v>
      </x:c>
      <x:c r="G100" s="8" t="str">
        <x:v>검토결과, 조치계획</x:v>
      </x:c>
      <x:c r="H100" s="9"/>
      <x:c r="I100" s="9"/>
      <x:c r="J100" s="9"/>
      <x:c r="K100" s="9"/>
      <x:c r="L100" s="9"/>
      <x:c r="M100" s="8" t="n">
        <x:v>9</x:v>
      </x:c>
      <x:c r="N100" s="8" t="n">
        <x:v>14</x:v>
      </x:c>
      <x:c r="O100" s="8" t="n">
        <x:v>24</x:v>
      </x:c>
      <x:c r="P100" s="8"/>
      <x:c r="Q100" s="8"/>
      <x:c r="R100" s="8"/>
      <x:c r="S100" s="7" t="n">
        <x:f>IF(OR(AM100="제외",AM100="완료"),0,IF(AM100&lt;&gt;"입력 OK","",IF(E100="진행",P100,M100)))</x:f>
        <x:v>9</x:v>
      </x:c>
      <x:c r="T100" s="7" t="n">
        <x:f>IF(OR(AM100="제외",AM100="완료"),0,IF(AM100&lt;&gt;"입력 OK","",IF(E100="진행",Q100,N100)))</x:f>
        <x:v>14</x:v>
      </x:c>
      <x:c r="U100" s="7" t="n">
        <x:f>IF(OR(AM100="제외",AM100="완료"),0,IF(AM100&lt;&gt;"입력 OK","",IF(E100="진행",R100,O100)))</x:f>
        <x:v>24</x:v>
      </x:c>
      <x:c r="V100" s="11" t="n">
        <x:f>IF(COUNT(S100:U100)&lt;3,"",(S100+4*T100+U100)/6)</x:f>
        <x:v>14.833333333333334</x:v>
      </x:c>
      <x:c r="W100" s="11" t="n">
        <x:f>IF(COUNT(S100:U100)&lt;3,"",((U100-S100)/6)^2)</x:f>
        <x:v>6.25</x:v>
      </x:c>
      <x:c r="X100" s="8" t="str">
        <x:v>SA02</x:v>
      </x:c>
      <x:c r="Y100" s="8" t="str"/>
      <x:c r="Z100" s="8" t="str"/>
      <x:c r="AA100" s="8" t="str"/>
      <x:c r="AB100" s="8" t="str"/>
      <x:c r="AC100" s="8" t="str"/>
      <x:c r="AD100" s="10" t="str">
        <x:f>IF(X100="",0,INDEX($AK$6:$AK$99,MATCH(X100,$A$6:$A$99,0)))</x:f>
      </x:c>
      <x:c r="AE100" s="10" t="n">
        <x:f>IF(Y100="",0,INDEX($AK$6:$AK$99,MATCH(Y100,$A$6:$A$99,0)))</x:f>
        <x:v>0</x:v>
      </x:c>
      <x:c r="AF100" s="10" t="n">
        <x:f>IF(Z100="",0,INDEX($AK$6:$AK$99,MATCH(Z100,$A$6:$A$99,0)))</x:f>
        <x:v>0</x:v>
      </x:c>
      <x:c r="AG100" s="10" t="n">
        <x:f>IF(AA100="",0,INDEX($AK$6:$AK$99,MATCH(AA100,$A$6:$A$99,0)))</x:f>
        <x:v>0</x:v>
      </x:c>
      <x:c r="AH100" s="10" t="n">
        <x:f>IF(AB100="",0,INDEX($AK$6:$AK$99,MATCH(AB100,$A$6:$A$99,0)))</x:f>
        <x:v>0</x:v>
      </x:c>
      <x:c r="AI100" s="10" t="n">
        <x:f>IF(AC100="",0,INDEX($AK$6:$AK$99,MATCH(AC100,$A$6:$A$99,0)))</x:f>
        <x:v>0</x:v>
      </x:c>
      <x:c r="AJ100" s="10" t="str">
        <x:f>IF(AM100="완료",IF(J100="",K100,J100),IF(OR(COUNT('프로젝트설정'!$B$7:$B$8)&lt;2,COUNT(AD100:AI100)&lt;6,COUNT(S100:U100)&lt;3),"",IF(AM100="제외",MAX('프로젝트설정'!$B$7,AD100:AI100),IF(E100="진행",J100,MAX('프로젝트설정'!$B$7:$B$8,L100,AD100:AI100)))))</x:f>
      </x:c>
      <x:c r="AK100" s="10" t="str">
        <x:f>IF(AM100="완료",K100,IF(AJ100="","",IF(E100="진행",MAX('프로젝트설정'!$B$8,AJ100,AD100:AI100)+T100,AJ100+T100)))</x:f>
      </x:c>
      <x:c r="AL100" s="7" t="str">
        <x:f>IF(OR(I100="",AK100=""),"",AK100-I100)</x:f>
      </x:c>
      <x:c r="AM100" s="7" t="str">
        <x:f>IF(OR(D100="제외",E100="제외"),"제외",IF(D100&lt;&gt;"적용","적용성 확인",IF(E100="완료",IF(ISNUMBER(K100),"완료","실제완료 입력"),IF(E100="보류","보류 해제 필요",IF(E100="진행",IF(AND(ISNUMBER(J100),COUNT(P100:R100)=3,P100&gt;=0,P100&lt;=Q100,Q100&lt;=R100),"입력 OK","실제착수·잔여기간 확인"),IF(AND(COUNT(M100:O100)=3,M100&gt;=0,M100&lt;=N100,N100&lt;=O100),"입력 OK","전체기간 확인"))))))</x:f>
        <x:v>입력 OK</x:v>
      </x:c>
      <x:c r="AN100" s="7" t="str">
        <x:v>15</x:v>
      </x:c>
    </x:row>
    <x:row r="101" ht="34" customHeight="1">
      <x:c r="A101" s="7" t="str">
        <x:v>SA04</x:v>
      </x:c>
      <x:c r="B101" s="7" t="str">
        <x:v>15 착공 전 준비</x:v>
      </x:c>
      <x:c r="C101" s="7" t="str">
        <x:v>가설건축물·비산먼지·소음진동 신고 적용 확인</x:v>
      </x:c>
      <x:c r="D101" s="7" t="str">
        <x:f>'모듈선택'!B20</x:f>
        <x:v>적용</x:v>
      </x:c>
      <x:c r="E101" s="8" t="str">
        <x:v>계획</x:v>
      </x:c>
      <x:c r="F101" s="8" t="str">
        <x:v>시공사 / 감리 / 사업주</x:v>
      </x:c>
      <x:c r="G101" s="8" t="str">
        <x:v>대상판정 및 신고서</x:v>
      </x:c>
      <x:c r="H101" s="9"/>
      <x:c r="I101" s="9"/>
      <x:c r="J101" s="9"/>
      <x:c r="K101" s="9"/>
      <x:c r="L101" s="9"/>
      <x:c r="M101" s="8" t="n">
        <x:v>3</x:v>
      </x:c>
      <x:c r="N101" s="8" t="n">
        <x:v>4</x:v>
      </x:c>
      <x:c r="O101" s="8" t="n">
        <x:v>7</x:v>
      </x:c>
      <x:c r="P101" s="8"/>
      <x:c r="Q101" s="8"/>
      <x:c r="R101" s="8"/>
      <x:c r="S101" s="7" t="n">
        <x:f>IF(OR(AM101="제외",AM101="완료"),0,IF(AM101&lt;&gt;"입력 OK","",IF(E101="진행",P101,M101)))</x:f>
        <x:v>3</x:v>
      </x:c>
      <x:c r="T101" s="7" t="n">
        <x:f>IF(OR(AM101="제외",AM101="완료"),0,IF(AM101&lt;&gt;"입력 OK","",IF(E101="진행",Q101,N101)))</x:f>
        <x:v>4</x:v>
      </x:c>
      <x:c r="U101" s="7" t="n">
        <x:f>IF(OR(AM101="제외",AM101="완료"),0,IF(AM101&lt;&gt;"입력 OK","",IF(E101="진행",R101,O101)))</x:f>
        <x:v>7</x:v>
      </x:c>
      <x:c r="V101" s="11" t="n">
        <x:f>IF(COUNT(S101:U101)&lt;3,"",(S101+4*T101+U101)/6)</x:f>
        <x:v>4.333333333333333</x:v>
      </x:c>
      <x:c r="W101" s="11" t="n">
        <x:f>IF(COUNT(S101:U101)&lt;3,"",((U101-S101)/6)^2)</x:f>
        <x:v>0.4444444444444444</x:v>
      </x:c>
      <x:c r="X101" s="8" t="str">
        <x:v>SA03</x:v>
      </x:c>
      <x:c r="Y101" s="8" t="str"/>
      <x:c r="Z101" s="8" t="str"/>
      <x:c r="AA101" s="8" t="str"/>
      <x:c r="AB101" s="8" t="str"/>
      <x:c r="AC101" s="8" t="str"/>
      <x:c r="AD101" s="10" t="str">
        <x:f>IF(X101="",0,INDEX($AK$6:$AK$100,MATCH(X101,$A$6:$A$100,0)))</x:f>
      </x:c>
      <x:c r="AE101" s="10" t="n">
        <x:f>IF(Y101="",0,INDEX($AK$6:$AK$100,MATCH(Y101,$A$6:$A$100,0)))</x:f>
        <x:v>0</x:v>
      </x:c>
      <x:c r="AF101" s="10" t="n">
        <x:f>IF(Z101="",0,INDEX($AK$6:$AK$100,MATCH(Z101,$A$6:$A$100,0)))</x:f>
        <x:v>0</x:v>
      </x:c>
      <x:c r="AG101" s="10" t="n">
        <x:f>IF(AA101="",0,INDEX($AK$6:$AK$100,MATCH(AA101,$A$6:$A$100,0)))</x:f>
        <x:v>0</x:v>
      </x:c>
      <x:c r="AH101" s="10" t="n">
        <x:f>IF(AB101="",0,INDEX($AK$6:$AK$100,MATCH(AB101,$A$6:$A$100,0)))</x:f>
        <x:v>0</x:v>
      </x:c>
      <x:c r="AI101" s="10" t="n">
        <x:f>IF(AC101="",0,INDEX($AK$6:$AK$100,MATCH(AC101,$A$6:$A$100,0)))</x:f>
        <x:v>0</x:v>
      </x:c>
      <x:c r="AJ101" s="10" t="str">
        <x:f>IF(AM101="완료",IF(J101="",K101,J101),IF(OR(COUNT('프로젝트설정'!$B$7:$B$8)&lt;2,COUNT(AD101:AI101)&lt;6,COUNT(S101:U101)&lt;3),"",IF(AM101="제외",MAX('프로젝트설정'!$B$7,AD101:AI101),IF(E101="진행",J101,MAX('프로젝트설정'!$B$7:$B$8,L101,AD101:AI101)))))</x:f>
      </x:c>
      <x:c r="AK101" s="10" t="str">
        <x:f>IF(AM101="완료",K101,IF(AJ101="","",IF(E101="진행",MAX('프로젝트설정'!$B$8,AJ101,AD101:AI101)+T101,AJ101+T101)))</x:f>
      </x:c>
      <x:c r="AL101" s="7" t="str">
        <x:f>IF(OR(I101="",AK101=""),"",AK101-I101)</x:f>
      </x:c>
      <x:c r="AM101" s="7" t="str">
        <x:f>IF(OR(D101="제외",E101="제외"),"제외",IF(D101&lt;&gt;"적용","적용성 확인",IF(E101="완료",IF(ISNUMBER(K101),"완료","실제완료 입력"),IF(E101="보류","보류 해제 필요",IF(E101="진행",IF(AND(ISNUMBER(J101),COUNT(P101:R101)=3,P101&gt;=0,P101&lt;=Q101,Q101&lt;=R101),"입력 OK","실제착수·잔여기간 확인"),IF(AND(COUNT(M101:O101)=3,M101&gt;=0,M101&lt;=N101,N101&lt;=O101),"입력 OK","전체기간 확인"))))))</x:f>
        <x:v>입력 OK</x:v>
      </x:c>
      <x:c r="AN101" s="7" t="str">
        <x:v>15</x:v>
      </x:c>
    </x:row>
    <x:row r="102" ht="34" customHeight="1">
      <x:c r="A102" s="7" t="str">
        <x:v>SA05</x:v>
      </x:c>
      <x:c r="B102" s="7" t="str">
        <x:v>15 착공 전 준비</x:v>
      </x:c>
      <x:c r="C102" s="7" t="str">
        <x:v>신고 접수·환경관리·폐기물 반출체계 확정</x:v>
      </x:c>
      <x:c r="D102" s="7" t="str">
        <x:f>'모듈선택'!B20</x:f>
        <x:v>적용</x:v>
      </x:c>
      <x:c r="E102" s="8" t="str">
        <x:v>계획</x:v>
      </x:c>
      <x:c r="F102" s="8" t="str">
        <x:v>시공사 / 감리 / 사업주</x:v>
      </x:c>
      <x:c r="G102" s="8" t="str">
        <x:v>신고증, 위탁계약, 반출절차</x:v>
      </x:c>
      <x:c r="H102" s="9"/>
      <x:c r="I102" s="9"/>
      <x:c r="J102" s="9"/>
      <x:c r="K102" s="9"/>
      <x:c r="L102" s="9"/>
      <x:c r="M102" s="8" t="n">
        <x:v>3</x:v>
      </x:c>
      <x:c r="N102" s="8" t="n">
        <x:v>5</x:v>
      </x:c>
      <x:c r="O102" s="8" t="n">
        <x:v>9</x:v>
      </x:c>
      <x:c r="P102" s="8"/>
      <x:c r="Q102" s="8"/>
      <x:c r="R102" s="8"/>
      <x:c r="S102" s="7" t="n">
        <x:f>IF(OR(AM102="제외",AM102="완료"),0,IF(AM102&lt;&gt;"입력 OK","",IF(E102="진행",P102,M102)))</x:f>
        <x:v>3</x:v>
      </x:c>
      <x:c r="T102" s="7" t="n">
        <x:f>IF(OR(AM102="제외",AM102="완료"),0,IF(AM102&lt;&gt;"입력 OK","",IF(E102="진행",Q102,N102)))</x:f>
        <x:v>5</x:v>
      </x:c>
      <x:c r="U102" s="7" t="n">
        <x:f>IF(OR(AM102="제외",AM102="완료"),0,IF(AM102&lt;&gt;"입력 OK","",IF(E102="진행",R102,O102)))</x:f>
        <x:v>9</x:v>
      </x:c>
      <x:c r="V102" s="11" t="n">
        <x:f>IF(COUNT(S102:U102)&lt;3,"",(S102+4*T102+U102)/6)</x:f>
        <x:v>5.333333333333333</x:v>
      </x:c>
      <x:c r="W102" s="11" t="n">
        <x:f>IF(COUNT(S102:U102)&lt;3,"",((U102-S102)/6)^2)</x:f>
        <x:v>1</x:v>
      </x:c>
      <x:c r="X102" s="8" t="str">
        <x:v>SA04</x:v>
      </x:c>
      <x:c r="Y102" s="8" t="str"/>
      <x:c r="Z102" s="8" t="str"/>
      <x:c r="AA102" s="8" t="str"/>
      <x:c r="AB102" s="8" t="str"/>
      <x:c r="AC102" s="8" t="str"/>
      <x:c r="AD102" s="10" t="str">
        <x:f>IF(X102="",0,INDEX($AK$6:$AK$101,MATCH(X102,$A$6:$A$101,0)))</x:f>
      </x:c>
      <x:c r="AE102" s="10" t="n">
        <x:f>IF(Y102="",0,INDEX($AK$6:$AK$101,MATCH(Y102,$A$6:$A$101,0)))</x:f>
        <x:v>0</x:v>
      </x:c>
      <x:c r="AF102" s="10" t="n">
        <x:f>IF(Z102="",0,INDEX($AK$6:$AK$101,MATCH(Z102,$A$6:$A$101,0)))</x:f>
        <x:v>0</x:v>
      </x:c>
      <x:c r="AG102" s="10" t="n">
        <x:f>IF(AA102="",0,INDEX($AK$6:$AK$101,MATCH(AA102,$A$6:$A$101,0)))</x:f>
        <x:v>0</x:v>
      </x:c>
      <x:c r="AH102" s="10" t="n">
        <x:f>IF(AB102="",0,INDEX($AK$6:$AK$101,MATCH(AB102,$A$6:$A$101,0)))</x:f>
        <x:v>0</x:v>
      </x:c>
      <x:c r="AI102" s="10" t="n">
        <x:f>IF(AC102="",0,INDEX($AK$6:$AK$101,MATCH(AC102,$A$6:$A$101,0)))</x:f>
        <x:v>0</x:v>
      </x:c>
      <x:c r="AJ102" s="10" t="str">
        <x:f>IF(AM102="완료",IF(J102="",K102,J102),IF(OR(COUNT('프로젝트설정'!$B$7:$B$8)&lt;2,COUNT(AD102:AI102)&lt;6,COUNT(S102:U102)&lt;3),"",IF(AM102="제외",MAX('프로젝트설정'!$B$7,AD102:AI102),IF(E102="진행",J102,MAX('프로젝트설정'!$B$7:$B$8,L102,AD102:AI102)))))</x:f>
      </x:c>
      <x:c r="AK102" s="10" t="str">
        <x:f>IF(AM102="완료",K102,IF(AJ102="","",IF(E102="진행",MAX('프로젝트설정'!$B$8,AJ102,AD102:AI102)+T102,AJ102+T102)))</x:f>
      </x:c>
      <x:c r="AL102" s="7" t="str">
        <x:f>IF(OR(I102="",AK102=""),"",AK102-I102)</x:f>
      </x:c>
      <x:c r="AM102" s="7" t="str">
        <x:f>IF(OR(D102="제외",E102="제외"),"제외",IF(D102&lt;&gt;"적용","적용성 확인",IF(E102="완료",IF(ISNUMBER(K102),"완료","실제완료 입력"),IF(E102="보류","보류 해제 필요",IF(E102="진행",IF(AND(ISNUMBER(J102),COUNT(P102:R102)=3,P102&gt;=0,P102&lt;=Q102,Q102&lt;=R102),"입력 OK","실제착수·잔여기간 확인"),IF(AND(COUNT(M102:O102)=3,M102&gt;=0,M102&lt;=N102,N102&lt;=O102),"입력 OK","전체기간 확인"))))))</x:f>
        <x:v>입력 OK</x:v>
      </x:c>
      <x:c r="AN102" s="7" t="str">
        <x:v>15</x:v>
      </x:c>
    </x:row>
    <x:row r="103" ht="34" customHeight="1">
      <x:c r="A103" s="7" t="str">
        <x:v>SA06</x:v>
      </x:c>
      <x:c r="B103" s="7" t="str">
        <x:v>15 착공 전 준비</x:v>
      </x:c>
      <x:c r="C103" s="7" t="str">
        <x:v>정보통신·소방·전기 공사 관련 신고 확인</x:v>
      </x:c>
      <x:c r="D103" s="7" t="str">
        <x:f>'모듈선택'!B20</x:f>
        <x:v>적용</x:v>
      </x:c>
      <x:c r="E103" s="8" t="str">
        <x:v>계획</x:v>
      </x:c>
      <x:c r="F103" s="8" t="str">
        <x:v>시공사 / 감리 / 사업주</x:v>
      </x:c>
      <x:c r="G103" s="8" t="str">
        <x:v>분야별 신고/확인 증빙</x:v>
      </x:c>
      <x:c r="H103" s="9"/>
      <x:c r="I103" s="9"/>
      <x:c r="J103" s="9"/>
      <x:c r="K103" s="9"/>
      <x:c r="L103" s="9"/>
      <x:c r="M103" s="8" t="n">
        <x:v>3</x:v>
      </x:c>
      <x:c r="N103" s="8" t="n">
        <x:v>4</x:v>
      </x:c>
      <x:c r="O103" s="8" t="n">
        <x:v>7</x:v>
      </x:c>
      <x:c r="P103" s="8"/>
      <x:c r="Q103" s="8"/>
      <x:c r="R103" s="8"/>
      <x:c r="S103" s="7" t="n">
        <x:f>IF(OR(AM103="제외",AM103="완료"),0,IF(AM103&lt;&gt;"입력 OK","",IF(E103="진행",P103,M103)))</x:f>
        <x:v>3</x:v>
      </x:c>
      <x:c r="T103" s="7" t="n">
        <x:f>IF(OR(AM103="제외",AM103="완료"),0,IF(AM103&lt;&gt;"입력 OK","",IF(E103="진행",Q103,N103)))</x:f>
        <x:v>4</x:v>
      </x:c>
      <x:c r="U103" s="7" t="n">
        <x:f>IF(OR(AM103="제외",AM103="완료"),0,IF(AM103&lt;&gt;"입력 OK","",IF(E103="진행",R103,O103)))</x:f>
        <x:v>7</x:v>
      </x:c>
      <x:c r="V103" s="11" t="n">
        <x:f>IF(COUNT(S103:U103)&lt;3,"",(S103+4*T103+U103)/6)</x:f>
        <x:v>4.333333333333333</x:v>
      </x:c>
      <x:c r="W103" s="11" t="n">
        <x:f>IF(COUNT(S103:U103)&lt;3,"",((U103-S103)/6)^2)</x:f>
        <x:v>0.4444444444444444</x:v>
      </x:c>
      <x:c r="X103" s="8" t="str">
        <x:v>SA05</x:v>
      </x:c>
      <x:c r="Y103" s="8" t="str"/>
      <x:c r="Z103" s="8" t="str"/>
      <x:c r="AA103" s="8" t="str"/>
      <x:c r="AB103" s="8" t="str"/>
      <x:c r="AC103" s="8" t="str"/>
      <x:c r="AD103" s="10" t="str">
        <x:f>IF(X103="",0,INDEX($AK$6:$AK$102,MATCH(X103,$A$6:$A$102,0)))</x:f>
      </x:c>
      <x:c r="AE103" s="10" t="n">
        <x:f>IF(Y103="",0,INDEX($AK$6:$AK$102,MATCH(Y103,$A$6:$A$102,0)))</x:f>
        <x:v>0</x:v>
      </x:c>
      <x:c r="AF103" s="10" t="n">
        <x:f>IF(Z103="",0,INDEX($AK$6:$AK$102,MATCH(Z103,$A$6:$A$102,0)))</x:f>
        <x:v>0</x:v>
      </x:c>
      <x:c r="AG103" s="10" t="n">
        <x:f>IF(AA103="",0,INDEX($AK$6:$AK$102,MATCH(AA103,$A$6:$A$102,0)))</x:f>
        <x:v>0</x:v>
      </x:c>
      <x:c r="AH103" s="10" t="n">
        <x:f>IF(AB103="",0,INDEX($AK$6:$AK$102,MATCH(AB103,$A$6:$A$102,0)))</x:f>
        <x:v>0</x:v>
      </x:c>
      <x:c r="AI103" s="10" t="n">
        <x:f>IF(AC103="",0,INDEX($AK$6:$AK$102,MATCH(AC103,$A$6:$A$102,0)))</x:f>
        <x:v>0</x:v>
      </x:c>
      <x:c r="AJ103" s="10" t="str">
        <x:f>IF(AM103="완료",IF(J103="",K103,J103),IF(OR(COUNT('프로젝트설정'!$B$7:$B$8)&lt;2,COUNT(AD103:AI103)&lt;6,COUNT(S103:U103)&lt;3),"",IF(AM103="제외",MAX('프로젝트설정'!$B$7,AD103:AI103),IF(E103="진행",J103,MAX('프로젝트설정'!$B$7:$B$8,L103,AD103:AI103)))))</x:f>
      </x:c>
      <x:c r="AK103" s="10" t="str">
        <x:f>IF(AM103="완료",K103,IF(AJ103="","",IF(E103="진행",MAX('프로젝트설정'!$B$8,AJ103,AD103:AI103)+T103,AJ103+T103)))</x:f>
      </x:c>
      <x:c r="AL103" s="7" t="str">
        <x:f>IF(OR(I103="",AK103=""),"",AK103-I103)</x:f>
      </x:c>
      <x:c r="AM103" s="7" t="str">
        <x:f>IF(OR(D103="제외",E103="제외"),"제외",IF(D103&lt;&gt;"적용","적용성 확인",IF(E103="완료",IF(ISNUMBER(K103),"완료","실제완료 입력"),IF(E103="보류","보류 해제 필요",IF(E103="진행",IF(AND(ISNUMBER(J103),COUNT(P103:R103)=3,P103&gt;=0,P103&lt;=Q103,Q103&lt;=R103),"입력 OK","실제착수·잔여기간 확인"),IF(AND(COUNT(M103:O103)=3,M103&gt;=0,M103&lt;=N103,N103&lt;=O103),"입력 OK","전체기간 확인"))))))</x:f>
        <x:v>입력 OK</x:v>
      </x:c>
      <x:c r="AN103" s="7" t="str">
        <x:v>15</x:v>
      </x:c>
    </x:row>
    <x:row r="104" ht="34" customHeight="1">
      <x:c r="A104" s="7" t="str">
        <x:v>MS01</x:v>
      </x:c>
      <x:c r="B104" s="7" t="str">
        <x:v>15 착공 전 준비</x:v>
      </x:c>
      <x:c r="C104" s="7" t="str">
        <x:v>착공 전 인허가·계약·안전계획 조건 합동 확인</x:v>
      </x:c>
      <x:c r="D104" s="7" t="str">
        <x:f>'모듈선택'!B20</x:f>
        <x:v>적용</x:v>
      </x:c>
      <x:c r="E104" s="8" t="str">
        <x:v>계획</x:v>
      </x:c>
      <x:c r="F104" s="8" t="str">
        <x:v>사업주 / PM / 오너 검토 / 담당기관</x:v>
      </x:c>
      <x:c r="G104" s="8" t="str">
        <x:v>승인/접수/검사 증빙 및 미결사항 확인</x:v>
      </x:c>
      <x:c r="H104" s="9"/>
      <x:c r="I104" s="9"/>
      <x:c r="J104" s="9"/>
      <x:c r="K104" s="9"/>
      <x:c r="L104" s="9"/>
      <x:c r="M104" s="8" t="n">
        <x:v>0</x:v>
      </x:c>
      <x:c r="N104" s="8" t="n">
        <x:v>0</x:v>
      </x:c>
      <x:c r="O104" s="8" t="n">
        <x:v>0</x:v>
      </x:c>
      <x:c r="P104" s="8"/>
      <x:c r="Q104" s="8"/>
      <x:c r="R104" s="8"/>
      <x:c r="S104" s="7" t="n">
        <x:f>IF(OR(AM104="제외",AM104="완료"),0,IF(AM104&lt;&gt;"입력 OK","",IF(E104="진행",P104,M104)))</x:f>
        <x:v>0</x:v>
      </x:c>
      <x:c r="T104" s="7" t="n">
        <x:f>IF(OR(AM104="제외",AM104="완료"),0,IF(AM104&lt;&gt;"입력 OK","",IF(E104="진행",Q104,N104)))</x:f>
        <x:v>0</x:v>
      </x:c>
      <x:c r="U104" s="7" t="n">
        <x:f>IF(OR(AM104="제외",AM104="완료"),0,IF(AM104&lt;&gt;"입력 OK","",IF(E104="진행",R104,O104)))</x:f>
        <x:v>0</x:v>
      </x:c>
      <x:c r="V104" s="11" t="n">
        <x:f>IF(COUNT(S104:U104)&lt;3,"",(S104+4*T104+U104)/6)</x:f>
        <x:v>0</x:v>
      </x:c>
      <x:c r="W104" s="11" t="n">
        <x:f>IF(COUNT(S104:U104)&lt;3,"",((U104-S104)/6)^2)</x:f>
        <x:v>0</x:v>
      </x:c>
      <x:c r="X104" s="8" t="str">
        <x:v>EX06</x:v>
      </x:c>
      <x:c r="Y104" s="8" t="str">
        <x:v>BP04</x:v>
      </x:c>
      <x:c r="Z104" s="8" t="str">
        <x:v>KG10</x:v>
      </x:c>
      <x:c r="AA104" s="8" t="str">
        <x:v>SH07</x:v>
      </x:c>
      <x:c r="AB104" s="8" t="str">
        <x:v>SA06</x:v>
      </x:c>
      <x:c r="AC104" s="8" t="str">
        <x:v>CT06</x:v>
      </x:c>
      <x:c r="AD104" s="10" t="str">
        <x:f>IF(X104="",0,INDEX($AK$6:$AK$103,MATCH(X104,$A$6:$A$103,0)))</x:f>
      </x:c>
      <x:c r="AE104" s="10" t="str">
        <x:f>IF(Y104="",0,INDEX($AK$6:$AK$103,MATCH(Y104,$A$6:$A$103,0)))</x:f>
      </x:c>
      <x:c r="AF104" s="10" t="str">
        <x:f>IF(Z104="",0,INDEX($AK$6:$AK$103,MATCH(Z104,$A$6:$A$103,0)))</x:f>
      </x:c>
      <x:c r="AG104" s="10" t="str">
        <x:f>IF(AA104="",0,INDEX($AK$6:$AK$103,MATCH(AA104,$A$6:$A$103,0)))</x:f>
      </x:c>
      <x:c r="AH104" s="10" t="str">
        <x:f>IF(AB104="",0,INDEX($AK$6:$AK$103,MATCH(AB104,$A$6:$A$103,0)))</x:f>
      </x:c>
      <x:c r="AI104" s="10" t="str">
        <x:f>IF(AC104="",0,INDEX($AK$6:$AK$103,MATCH(AC104,$A$6:$A$103,0)))</x:f>
      </x:c>
      <x:c r="AJ104" s="10" t="str">
        <x:f>IF(AM104="완료",IF(J104="",K104,J104),IF(OR(COUNT('프로젝트설정'!$B$7:$B$8)&lt;2,COUNT(AD104:AI104)&lt;6,COUNT(S104:U104)&lt;3),"",IF(AM104="제외",MAX('프로젝트설정'!$B$7,AD104:AI104),IF(E104="진행",J104,MAX('프로젝트설정'!$B$7:$B$8,L104,AD104:AI104)))))</x:f>
      </x:c>
      <x:c r="AK104" s="10" t="str">
        <x:f>IF(AM104="완료",K104,IF(AJ104="","",IF(E104="진행",MAX('프로젝트설정'!$B$8,AJ104,AD104:AI104)+T104,AJ104+T104)))</x:f>
      </x:c>
      <x:c r="AL104" s="7" t="str">
        <x:f>IF(OR(I104="",AK104=""),"",AK104-I104)</x:f>
      </x:c>
      <x:c r="AM104" s="7" t="str">
        <x:f>IF(OR(D104="제외",E104="제외"),"제외",IF(D104&lt;&gt;"적용","적용성 확인",IF(E104="완료",IF(ISNUMBER(K104),"완료","실제완료 입력"),IF(E104="보류","보류 해제 필요",IF(E104="진행",IF(AND(ISNUMBER(J104),COUNT(P104:R104)=3,P104&gt;=0,P104&lt;=Q104,Q104&lt;=R104),"입력 OK","실제착수·잔여기간 확인"),IF(AND(COUNT(M104:O104)=3,M104&gt;=0,M104&lt;=N104,N104&lt;=O104),"입력 OK","전체기간 확인"))))))</x:f>
        <x:v>입력 OK</x:v>
      </x:c>
      <x:c r="AN104" s="7" t="str">
        <x:v>15</x:v>
      </x:c>
    </x:row>
    <x:row r="105" ht="34" customHeight="1">
      <x:c r="A105" s="7" t="str">
        <x:v>ST01</x:v>
      </x:c>
      <x:c r="B105" s="7" t="str">
        <x:v>15 착공 전 준비</x:v>
      </x:c>
      <x:c r="C105" s="7" t="str">
        <x:v>착공신고서·감리·허가조건 제출</x:v>
      </x:c>
      <x:c r="D105" s="7" t="str">
        <x:f>'모듈선택'!B20</x:f>
        <x:v>적용</x:v>
      </x:c>
      <x:c r="E105" s="8" t="str">
        <x:v>계획</x:v>
      </x:c>
      <x:c r="F105" s="8" t="str">
        <x:v>시공사 / 건축설계사 / 사업주</x:v>
      </x:c>
      <x:c r="G105" s="8" t="str">
        <x:v>착공신고 접수본</x:v>
      </x:c>
      <x:c r="H105" s="9"/>
      <x:c r="I105" s="9"/>
      <x:c r="J105" s="9"/>
      <x:c r="K105" s="9"/>
      <x:c r="L105" s="9"/>
      <x:c r="M105" s="8" t="n">
        <x:v>2</x:v>
      </x:c>
      <x:c r="N105" s="8" t="n">
        <x:v>3</x:v>
      </x:c>
      <x:c r="O105" s="8" t="n">
        <x:v>6</x:v>
      </x:c>
      <x:c r="P105" s="8"/>
      <x:c r="Q105" s="8"/>
      <x:c r="R105" s="8"/>
      <x:c r="S105" s="7" t="n">
        <x:f>IF(OR(AM105="제외",AM105="완료"),0,IF(AM105&lt;&gt;"입력 OK","",IF(E105="진행",P105,M105)))</x:f>
        <x:v>2</x:v>
      </x:c>
      <x:c r="T105" s="7" t="n">
        <x:f>IF(OR(AM105="제외",AM105="완료"),0,IF(AM105&lt;&gt;"입력 OK","",IF(E105="진행",Q105,N105)))</x:f>
        <x:v>3</x:v>
      </x:c>
      <x:c r="U105" s="7" t="n">
        <x:f>IF(OR(AM105="제외",AM105="완료"),0,IF(AM105&lt;&gt;"입력 OK","",IF(E105="진행",R105,O105)))</x:f>
        <x:v>6</x:v>
      </x:c>
      <x:c r="V105" s="11" t="n">
        <x:f>IF(COUNT(S105:U105)&lt;3,"",(S105+4*T105+U105)/6)</x:f>
        <x:v>3.3333333333333335</x:v>
      </x:c>
      <x:c r="W105" s="11" t="n">
        <x:f>IF(COUNT(S105:U105)&lt;3,"",((U105-S105)/6)^2)</x:f>
        <x:v>0.4444444444444444</x:v>
      </x:c>
      <x:c r="X105" s="8" t="str">
        <x:v>MS01</x:v>
      </x:c>
      <x:c r="Y105" s="8" t="str"/>
      <x:c r="Z105" s="8" t="str"/>
      <x:c r="AA105" s="8" t="str"/>
      <x:c r="AB105" s="8" t="str"/>
      <x:c r="AC105" s="8" t="str"/>
      <x:c r="AD105" s="10" t="str">
        <x:f>IF(X105="",0,INDEX($AK$6:$AK$104,MATCH(X105,$A$6:$A$104,0)))</x:f>
      </x:c>
      <x:c r="AE105" s="10" t="n">
        <x:f>IF(Y105="",0,INDEX($AK$6:$AK$104,MATCH(Y105,$A$6:$A$104,0)))</x:f>
        <x:v>0</x:v>
      </x:c>
      <x:c r="AF105" s="10" t="n">
        <x:f>IF(Z105="",0,INDEX($AK$6:$AK$104,MATCH(Z105,$A$6:$A$104,0)))</x:f>
        <x:v>0</x:v>
      </x:c>
      <x:c r="AG105" s="10" t="n">
        <x:f>IF(AA105="",0,INDEX($AK$6:$AK$104,MATCH(AA105,$A$6:$A$104,0)))</x:f>
        <x:v>0</x:v>
      </x:c>
      <x:c r="AH105" s="10" t="n">
        <x:f>IF(AB105="",0,INDEX($AK$6:$AK$104,MATCH(AB105,$A$6:$A$104,0)))</x:f>
        <x:v>0</x:v>
      </x:c>
      <x:c r="AI105" s="10" t="n">
        <x:f>IF(AC105="",0,INDEX($AK$6:$AK$104,MATCH(AC105,$A$6:$A$104,0)))</x:f>
        <x:v>0</x:v>
      </x:c>
      <x:c r="AJ105" s="10" t="str">
        <x:f>IF(AM105="완료",IF(J105="",K105,J105),IF(OR(COUNT('프로젝트설정'!$B$7:$B$8)&lt;2,COUNT(AD105:AI105)&lt;6,COUNT(S105:U105)&lt;3),"",IF(AM105="제외",MAX('프로젝트설정'!$B$7,AD105:AI105),IF(E105="진행",J105,MAX('프로젝트설정'!$B$7:$B$8,L105,AD105:AI105)))))</x:f>
      </x:c>
      <x:c r="AK105" s="10" t="str">
        <x:f>IF(AM105="완료",K105,IF(AJ105="","",IF(E105="진행",MAX('프로젝트설정'!$B$8,AJ105,AD105:AI105)+T105,AJ105+T105)))</x:f>
      </x:c>
      <x:c r="AL105" s="7" t="str">
        <x:f>IF(OR(I105="",AK105=""),"",AK105-I105)</x:f>
      </x:c>
      <x:c r="AM105" s="7" t="str">
        <x:f>IF(OR(D105="제외",E105="제외"),"제외",IF(D105&lt;&gt;"적용","적용성 확인",IF(E105="완료",IF(ISNUMBER(K105),"완료","실제완료 입력"),IF(E105="보류","보류 해제 필요",IF(E105="진행",IF(AND(ISNUMBER(J105),COUNT(P105:R105)=3,P105&gt;=0,P105&lt;=Q105,Q105&lt;=R105),"입력 OK","실제착수·잔여기간 확인"),IF(AND(COUNT(M105:O105)=3,M105&gt;=0,M105&lt;=N105,N105&lt;=O105),"입력 OK","전체기간 확인"))))))</x:f>
        <x:v>입력 OK</x:v>
      </x:c>
      <x:c r="AN105" s="7" t="str">
        <x:v>15</x:v>
      </x:c>
    </x:row>
    <x:row r="106" ht="34" customHeight="1">
      <x:c r="A106" s="7" t="str">
        <x:v>ST02</x:v>
      </x:c>
      <x:c r="B106" s="7" t="str">
        <x:v>15 착공 전 준비</x:v>
      </x:c>
      <x:c r="C106" s="7" t="str">
        <x:v>착공신고 확인·현장 인계</x:v>
      </x:c>
      <x:c r="D106" s="7" t="str">
        <x:f>'모듈선택'!B20</x:f>
        <x:v>적용</x:v>
      </x:c>
      <x:c r="E106" s="8" t="str">
        <x:v>계획</x:v>
      </x:c>
      <x:c r="F106" s="8" t="str">
        <x:v>시공사 / 건축설계사 / 사업주</x:v>
      </x:c>
      <x:c r="G106" s="8" t="str">
        <x:v>신고처리 결과, 인계서</x:v>
      </x:c>
      <x:c r="H106" s="9"/>
      <x:c r="I106" s="9"/>
      <x:c r="J106" s="9"/>
      <x:c r="K106" s="9"/>
      <x:c r="L106" s="9"/>
      <x:c r="M106" s="8" t="n">
        <x:v>1</x:v>
      </x:c>
      <x:c r="N106" s="8" t="n">
        <x:v>2</x:v>
      </x:c>
      <x:c r="O106" s="8" t="n">
        <x:v>4</x:v>
      </x:c>
      <x:c r="P106" s="8"/>
      <x:c r="Q106" s="8"/>
      <x:c r="R106" s="8"/>
      <x:c r="S106" s="7" t="n">
        <x:f>IF(OR(AM106="제외",AM106="완료"),0,IF(AM106&lt;&gt;"입력 OK","",IF(E106="진행",P106,M106)))</x:f>
        <x:v>1</x:v>
      </x:c>
      <x:c r="T106" s="7" t="n">
        <x:f>IF(OR(AM106="제외",AM106="완료"),0,IF(AM106&lt;&gt;"입력 OK","",IF(E106="진행",Q106,N106)))</x:f>
        <x:v>2</x:v>
      </x:c>
      <x:c r="U106" s="7" t="n">
        <x:f>IF(OR(AM106="제외",AM106="완료"),0,IF(AM106&lt;&gt;"입력 OK","",IF(E106="진행",R106,O106)))</x:f>
        <x:v>4</x:v>
      </x:c>
      <x:c r="V106" s="11" t="n">
        <x:f>IF(COUNT(S106:U106)&lt;3,"",(S106+4*T106+U106)/6)</x:f>
        <x:v>2.1666666666666665</x:v>
      </x:c>
      <x:c r="W106" s="11" t="n">
        <x:f>IF(COUNT(S106:U106)&lt;3,"",((U106-S106)/6)^2)</x:f>
        <x:v>0.25</x:v>
      </x:c>
      <x:c r="X106" s="8" t="str">
        <x:v>ST01</x:v>
      </x:c>
      <x:c r="Y106" s="8" t="str"/>
      <x:c r="Z106" s="8" t="str"/>
      <x:c r="AA106" s="8" t="str"/>
      <x:c r="AB106" s="8" t="str"/>
      <x:c r="AC106" s="8" t="str"/>
      <x:c r="AD106" s="10" t="str">
        <x:f>IF(X106="",0,INDEX($AK$6:$AK$105,MATCH(X106,$A$6:$A$105,0)))</x:f>
      </x:c>
      <x:c r="AE106" s="10" t="n">
        <x:f>IF(Y106="",0,INDEX($AK$6:$AK$105,MATCH(Y106,$A$6:$A$105,0)))</x:f>
        <x:v>0</x:v>
      </x:c>
      <x:c r="AF106" s="10" t="n">
        <x:f>IF(Z106="",0,INDEX($AK$6:$AK$105,MATCH(Z106,$A$6:$A$105,0)))</x:f>
        <x:v>0</x:v>
      </x:c>
      <x:c r="AG106" s="10" t="n">
        <x:f>IF(AA106="",0,INDEX($AK$6:$AK$105,MATCH(AA106,$A$6:$A$105,0)))</x:f>
        <x:v>0</x:v>
      </x:c>
      <x:c r="AH106" s="10" t="n">
        <x:f>IF(AB106="",0,INDEX($AK$6:$AK$105,MATCH(AB106,$A$6:$A$105,0)))</x:f>
        <x:v>0</x:v>
      </x:c>
      <x:c r="AI106" s="10" t="n">
        <x:f>IF(AC106="",0,INDEX($AK$6:$AK$105,MATCH(AC106,$A$6:$A$105,0)))</x:f>
        <x:v>0</x:v>
      </x:c>
      <x:c r="AJ106" s="10" t="str">
        <x:f>IF(AM106="완료",IF(J106="",K106,J106),IF(OR(COUNT('프로젝트설정'!$B$7:$B$8)&lt;2,COUNT(AD106:AI106)&lt;6,COUNT(S106:U106)&lt;3),"",IF(AM106="제외",MAX('프로젝트설정'!$B$7,AD106:AI106),IF(E106="진행",J106,MAX('프로젝트설정'!$B$7:$B$8,L106,AD106:AI106)))))</x:f>
      </x:c>
      <x:c r="AK106" s="10" t="str">
        <x:f>IF(AM106="완료",K106,IF(AJ106="","",IF(E106="진행",MAX('프로젝트설정'!$B$8,AJ106,AD106:AI106)+T106,AJ106+T106)))</x:f>
      </x:c>
      <x:c r="AL106" s="7" t="str">
        <x:f>IF(OR(I106="",AK106=""),"",AK106-I106)</x:f>
      </x:c>
      <x:c r="AM106" s="7" t="str">
        <x:f>IF(OR(D106="제외",E106="제외"),"제외",IF(D106&lt;&gt;"적용","적용성 확인",IF(E106="완료",IF(ISNUMBER(K106),"완료","실제완료 입력"),IF(E106="보류","보류 해제 필요",IF(E106="진행",IF(AND(ISNUMBER(J106),COUNT(P106:R106)=3,P106&gt;=0,P106&lt;=Q106,Q106&lt;=R106),"입력 OK","실제착수·잔여기간 확인"),IF(AND(COUNT(M106:O106)=3,M106&gt;=0,M106&lt;=N106,N106&lt;=O106),"입력 OK","전체기간 확인"))))))</x:f>
        <x:v>입력 OK</x:v>
      </x:c>
      <x:c r="AN106" s="7" t="str">
        <x:v>15</x:v>
      </x:c>
    </x:row>
    <x:row r="107" ht="34" customHeight="1">
      <x:c r="A107" s="7" t="str">
        <x:v>MS02</x:v>
      </x:c>
      <x:c r="B107" s="7" t="str">
        <x:v>15 착공 전 준비</x:v>
      </x:c>
      <x:c r="C107" s="7" t="str">
        <x:v>토건 착공 가능 게이트</x:v>
      </x:c>
      <x:c r="D107" s="7" t="str">
        <x:f>'모듈선택'!B20</x:f>
        <x:v>적용</x:v>
      </x:c>
      <x:c r="E107" s="8" t="str">
        <x:v>계획</x:v>
      </x:c>
      <x:c r="F107" s="8" t="str">
        <x:v>사업주 / PM / 오너 검토 / 담당기관</x:v>
      </x:c>
      <x:c r="G107" s="8" t="str">
        <x:v>승인/접수/검사 증빙 및 미결사항 확인</x:v>
      </x:c>
      <x:c r="H107" s="9"/>
      <x:c r="I107" s="9"/>
      <x:c r="J107" s="9"/>
      <x:c r="K107" s="9"/>
      <x:c r="L107" s="9"/>
      <x:c r="M107" s="8" t="n">
        <x:v>0</x:v>
      </x:c>
      <x:c r="N107" s="8" t="n">
        <x:v>0</x:v>
      </x:c>
      <x:c r="O107" s="8" t="n">
        <x:v>0</x:v>
      </x:c>
      <x:c r="P107" s="8"/>
      <x:c r="Q107" s="8"/>
      <x:c r="R107" s="8"/>
      <x:c r="S107" s="7" t="n">
        <x:f>IF(OR(AM107="제외",AM107="완료"),0,IF(AM107&lt;&gt;"입력 OK","",IF(E107="진행",P107,M107)))</x:f>
        <x:v>0</x:v>
      </x:c>
      <x:c r="T107" s="7" t="n">
        <x:f>IF(OR(AM107="제외",AM107="완료"),0,IF(AM107&lt;&gt;"입력 OK","",IF(E107="진행",Q107,N107)))</x:f>
        <x:v>0</x:v>
      </x:c>
      <x:c r="U107" s="7" t="n">
        <x:f>IF(OR(AM107="제외",AM107="완료"),0,IF(AM107&lt;&gt;"입력 OK","",IF(E107="진행",R107,O107)))</x:f>
        <x:v>0</x:v>
      </x:c>
      <x:c r="V107" s="11" t="n">
        <x:f>IF(COUNT(S107:U107)&lt;3,"",(S107+4*T107+U107)/6)</x:f>
        <x:v>0</x:v>
      </x:c>
      <x:c r="W107" s="11" t="n">
        <x:f>IF(COUNT(S107:U107)&lt;3,"",((U107-S107)/6)^2)</x:f>
        <x:v>0</x:v>
      </x:c>
      <x:c r="X107" s="8" t="str">
        <x:v>ST02</x:v>
      </x:c>
      <x:c r="Y107" s="8" t="str"/>
      <x:c r="Z107" s="8" t="str"/>
      <x:c r="AA107" s="8" t="str"/>
      <x:c r="AB107" s="8" t="str"/>
      <x:c r="AC107" s="8" t="str"/>
      <x:c r="AD107" s="10" t="str">
        <x:f>IF(X107="",0,INDEX($AK$6:$AK$106,MATCH(X107,$A$6:$A$106,0)))</x:f>
      </x:c>
      <x:c r="AE107" s="10" t="n">
        <x:f>IF(Y107="",0,INDEX($AK$6:$AK$106,MATCH(Y107,$A$6:$A$106,0)))</x:f>
        <x:v>0</x:v>
      </x:c>
      <x:c r="AF107" s="10" t="n">
        <x:f>IF(Z107="",0,INDEX($AK$6:$AK$106,MATCH(Z107,$A$6:$A$106,0)))</x:f>
        <x:v>0</x:v>
      </x:c>
      <x:c r="AG107" s="10" t="n">
        <x:f>IF(AA107="",0,INDEX($AK$6:$AK$106,MATCH(AA107,$A$6:$A$106,0)))</x:f>
        <x:v>0</x:v>
      </x:c>
      <x:c r="AH107" s="10" t="n">
        <x:f>IF(AB107="",0,INDEX($AK$6:$AK$106,MATCH(AB107,$A$6:$A$106,0)))</x:f>
        <x:v>0</x:v>
      </x:c>
      <x:c r="AI107" s="10" t="n">
        <x:f>IF(AC107="",0,INDEX($AK$6:$AK$106,MATCH(AC107,$A$6:$A$106,0)))</x:f>
        <x:v>0</x:v>
      </x:c>
      <x:c r="AJ107" s="10" t="str">
        <x:f>IF(AM107="완료",IF(J107="",K107,J107),IF(OR(COUNT('프로젝트설정'!$B$7:$B$8)&lt;2,COUNT(AD107:AI107)&lt;6,COUNT(S107:U107)&lt;3),"",IF(AM107="제외",MAX('프로젝트설정'!$B$7,AD107:AI107),IF(E107="진행",J107,MAX('프로젝트설정'!$B$7:$B$8,L107,AD107:AI107)))))</x:f>
      </x:c>
      <x:c r="AK107" s="10" t="str">
        <x:f>IF(AM107="완료",K107,IF(AJ107="","",IF(E107="진행",MAX('프로젝트설정'!$B$8,AJ107,AD107:AI107)+T107,AJ107+T107)))</x:f>
      </x:c>
      <x:c r="AL107" s="7" t="str">
        <x:f>IF(OR(I107="",AK107=""),"",AK107-I107)</x:f>
      </x:c>
      <x:c r="AM107" s="7" t="str">
        <x:f>IF(OR(D107="제외",E107="제외"),"제외",IF(D107&lt;&gt;"적용","적용성 확인",IF(E107="완료",IF(ISNUMBER(K107),"완료","실제완료 입력"),IF(E107="보류","보류 해제 필요",IF(E107="진행",IF(AND(ISNUMBER(J107),COUNT(P107:R107)=3,P107&gt;=0,P107&lt;=Q107,Q107&lt;=R107),"입력 OK","실제착수·잔여기간 확인"),IF(AND(COUNT(M107:O107)=3,M107&gt;=0,M107&lt;=N107,N107&lt;=O107),"입력 OK","전체기간 확인"))))))</x:f>
        <x:v>입력 OK</x:v>
      </x:c>
      <x:c r="AN107" s="7" t="str">
        <x:v>15</x:v>
      </x:c>
    </x:row>
    <x:row r="108" ht="38" customHeight="1">
      <x:c r="A108" s="7" t="str">
        <x:v>PR01</x:v>
      </x:c>
      <x:c r="B108" s="7" t="str">
        <x:v>16 기자재 구매·제작</x:v>
      </x:c>
      <x:c r="C108" s="7" t="str">
        <x:v>주공정 패키지 A 잔여 발주범위·사양 확정</x:v>
      </x:c>
      <x:c r="D108" s="7" t="str">
        <x:f>'모듈선택'!B21</x:f>
        <x:v>적용</x:v>
      </x:c>
      <x:c r="E108" s="8" t="str">
        <x:v>계획</x:v>
      </x:c>
      <x:c r="F108" s="8" t="str">
        <x:v>주설비 공급사 / 패키지 벤더 / PM / 오너 검토</x:v>
      </x:c>
      <x:c r="G108" s="8" t="str">
        <x:v>Datasheet, RFQ, 기존 PO 확인</x:v>
      </x:c>
      <x:c r="H108" s="9"/>
      <x:c r="I108" s="9"/>
      <x:c r="J108" s="9"/>
      <x:c r="K108" s="9"/>
      <x:c r="L108" s="9"/>
      <x:c r="M108" s="8" t="n">
        <x:v>3</x:v>
      </x:c>
      <x:c r="N108" s="8" t="n">
        <x:v>4</x:v>
      </x:c>
      <x:c r="O108" s="8" t="n">
        <x:v>7</x:v>
      </x:c>
      <x:c r="P108" s="8"/>
      <x:c r="Q108" s="8"/>
      <x:c r="R108" s="8"/>
      <x:c r="S108" s="7" t="n">
        <x:f>IF(OR(AM108="제외",AM108="완료"),0,IF(AM108&lt;&gt;"입력 OK","",IF(E108="진행",P108,M108)))</x:f>
        <x:v>3</x:v>
      </x:c>
      <x:c r="T108" s="7" t="n">
        <x:f>IF(OR(AM108="제외",AM108="완료"),0,IF(AM108&lt;&gt;"입력 OK","",IF(E108="진행",Q108,N108)))</x:f>
        <x:v>4</x:v>
      </x:c>
      <x:c r="U108" s="7" t="n">
        <x:f>IF(OR(AM108="제외",AM108="완료"),0,IF(AM108&lt;&gt;"입력 OK","",IF(E108="진행",R108,O108)))</x:f>
        <x:v>7</x:v>
      </x:c>
      <x:c r="V108" s="11" t="n">
        <x:f>IF(COUNT(S108:U108)&lt;3,"",(S108+4*T108+U108)/6)</x:f>
        <x:v>4.333333333333333</x:v>
      </x:c>
      <x:c r="W108" s="11" t="n">
        <x:f>IF(COUNT(S108:U108)&lt;3,"",((U108-S108)/6)^2)</x:f>
        <x:v>0.4444444444444444</x:v>
      </x:c>
      <x:c r="X108" s="8" t="str">
        <x:v>VP06</x:v>
      </x:c>
      <x:c r="Y108" s="8" t="str"/>
      <x:c r="Z108" s="8" t="str"/>
      <x:c r="AA108" s="8" t="str"/>
      <x:c r="AB108" s="8" t="str"/>
      <x:c r="AC108" s="8" t="str"/>
      <x:c r="AD108" s="10" t="str">
        <x:f>IF(X108="",0,INDEX($AK$6:$AK$107,MATCH(X108,$A$6:$A$107,0)))</x:f>
      </x:c>
      <x:c r="AE108" s="10" t="n">
        <x:f>IF(Y108="",0,INDEX($AK$6:$AK$107,MATCH(Y108,$A$6:$A$107,0)))</x:f>
        <x:v>0</x:v>
      </x:c>
      <x:c r="AF108" s="10" t="n">
        <x:f>IF(Z108="",0,INDEX($AK$6:$AK$107,MATCH(Z108,$A$6:$A$107,0)))</x:f>
        <x:v>0</x:v>
      </x:c>
      <x:c r="AG108" s="10" t="n">
        <x:f>IF(AA108="",0,INDEX($AK$6:$AK$107,MATCH(AA108,$A$6:$A$107,0)))</x:f>
        <x:v>0</x:v>
      </x:c>
      <x:c r="AH108" s="10" t="n">
        <x:f>IF(AB108="",0,INDEX($AK$6:$AK$107,MATCH(AB108,$A$6:$A$107,0)))</x:f>
        <x:v>0</x:v>
      </x:c>
      <x:c r="AI108" s="10" t="n">
        <x:f>IF(AC108="",0,INDEX($AK$6:$AK$107,MATCH(AC108,$A$6:$A$107,0)))</x:f>
        <x:v>0</x:v>
      </x:c>
      <x:c r="AJ108" s="10" t="str">
        <x:f>IF(AM108="완료",IF(J108="",K108,J108),IF(OR(COUNT('프로젝트설정'!$B$7:$B$8)&lt;2,COUNT(AD108:AI108)&lt;6,COUNT(S108:U108)&lt;3),"",IF(AM108="제외",MAX('프로젝트설정'!$B$7,AD108:AI108),IF(E108="진행",J108,MAX('프로젝트설정'!$B$7:$B$8,L108,AD108:AI108)))))</x:f>
      </x:c>
      <x:c r="AK108" s="10" t="str">
        <x:f>IF(AM108="완료",K108,IF(AJ108="","",IF(E108="진행",MAX('프로젝트설정'!$B$8,AJ108,AD108:AI108)+T108,AJ108+T108)))</x:f>
      </x:c>
      <x:c r="AL108" s="7" t="str">
        <x:f>IF(OR(I108="",AK108=""),"",AK108-I108)</x:f>
      </x:c>
      <x:c r="AM108" s="7" t="str">
        <x:f>IF(OR(D108="제외",E108="제외"),"제외",IF(D108&lt;&gt;"적용","적용성 확인",IF(E108="완료",IF(ISNUMBER(K108),"완료","실제완료 입력"),IF(E108="보류","보류 해제 필요",IF(E108="진행",IF(AND(ISNUMBER(J108),COUNT(P108:R108)=3,P108&gt;=0,P108&lt;=Q108,Q108&lt;=R108),"입력 OK","실제착수·잔여기간 확인"),IF(AND(COUNT(M108:O108)=3,M108&gt;=0,M108&lt;=N108,N108&lt;=O108),"입력 OK","전체기간 확인"))))))</x:f>
        <x:v>입력 OK</x:v>
      </x:c>
      <x:c r="AN108" s="7" t="str">
        <x:v>16</x:v>
      </x:c>
    </x:row>
    <x:row r="109" ht="38" customHeight="1">
      <x:c r="A109" s="7" t="str">
        <x:v>PR02</x:v>
      </x:c>
      <x:c r="B109" s="7" t="str">
        <x:v>16 기자재 구매·제작</x:v>
      </x:c>
      <x:c r="C109" s="7" t="str">
        <x:v>주공정 패키지 A 견적/TBE·계약조건·납기 합의</x:v>
      </x:c>
      <x:c r="D109" s="7" t="str">
        <x:f>'모듈선택'!B21</x:f>
        <x:v>적용</x:v>
      </x:c>
      <x:c r="E109" s="8" t="str">
        <x:v>계획</x:v>
      </x:c>
      <x:c r="F109" s="8" t="str">
        <x:v>주설비 공급사 / 패키지 벤더 / PM / 오너 검토</x:v>
      </x:c>
      <x:c r="G109" s="8" t="str">
        <x:v>TBE, PO, 납기표</x:v>
      </x:c>
      <x:c r="H109" s="9"/>
      <x:c r="I109" s="9"/>
      <x:c r="J109" s="9"/>
      <x:c r="K109" s="9"/>
      <x:c r="L109" s="9"/>
      <x:c r="M109" s="8" t="n">
        <x:v>5</x:v>
      </x:c>
      <x:c r="N109" s="8" t="n">
        <x:v>7</x:v>
      </x:c>
      <x:c r="O109" s="8" t="n">
        <x:v>12</x:v>
      </x:c>
      <x:c r="P109" s="8"/>
      <x:c r="Q109" s="8"/>
      <x:c r="R109" s="8"/>
      <x:c r="S109" s="7" t="n">
        <x:f>IF(OR(AM109="제외",AM109="완료"),0,IF(AM109&lt;&gt;"입력 OK","",IF(E109="진행",P109,M109)))</x:f>
        <x:v>5</x:v>
      </x:c>
      <x:c r="T109" s="7" t="n">
        <x:f>IF(OR(AM109="제외",AM109="완료"),0,IF(AM109&lt;&gt;"입력 OK","",IF(E109="진행",Q109,N109)))</x:f>
        <x:v>7</x:v>
      </x:c>
      <x:c r="U109" s="7" t="n">
        <x:f>IF(OR(AM109="제외",AM109="완료"),0,IF(AM109&lt;&gt;"입력 OK","",IF(E109="진행",R109,O109)))</x:f>
        <x:v>12</x:v>
      </x:c>
      <x:c r="V109" s="11" t="n">
        <x:f>IF(COUNT(S109:U109)&lt;3,"",(S109+4*T109+U109)/6)</x:f>
        <x:v>7.5</x:v>
      </x:c>
      <x:c r="W109" s="11" t="n">
        <x:f>IF(COUNT(S109:U109)&lt;3,"",((U109-S109)/6)^2)</x:f>
        <x:v>1.3611111111111114</x:v>
      </x:c>
      <x:c r="X109" s="8" t="str">
        <x:v>PR01</x:v>
      </x:c>
      <x:c r="Y109" s="8" t="str"/>
      <x:c r="Z109" s="8" t="str"/>
      <x:c r="AA109" s="8" t="str"/>
      <x:c r="AB109" s="8" t="str"/>
      <x:c r="AC109" s="8" t="str"/>
      <x:c r="AD109" s="10" t="str">
        <x:f>IF(X109="",0,INDEX($AK$6:$AK$108,MATCH(X109,$A$6:$A$108,0)))</x:f>
      </x:c>
      <x:c r="AE109" s="10" t="n">
        <x:f>IF(Y109="",0,INDEX($AK$6:$AK$108,MATCH(Y109,$A$6:$A$108,0)))</x:f>
        <x:v>0</x:v>
      </x:c>
      <x:c r="AF109" s="10" t="n">
        <x:f>IF(Z109="",0,INDEX($AK$6:$AK$108,MATCH(Z109,$A$6:$A$108,0)))</x:f>
        <x:v>0</x:v>
      </x:c>
      <x:c r="AG109" s="10" t="n">
        <x:f>IF(AA109="",0,INDEX($AK$6:$AK$108,MATCH(AA109,$A$6:$A$108,0)))</x:f>
        <x:v>0</x:v>
      </x:c>
      <x:c r="AH109" s="10" t="n">
        <x:f>IF(AB109="",0,INDEX($AK$6:$AK$108,MATCH(AB109,$A$6:$A$108,0)))</x:f>
        <x:v>0</x:v>
      </x:c>
      <x:c r="AI109" s="10" t="n">
        <x:f>IF(AC109="",0,INDEX($AK$6:$AK$108,MATCH(AC109,$A$6:$A$108,0)))</x:f>
        <x:v>0</x:v>
      </x:c>
      <x:c r="AJ109" s="10" t="str">
        <x:f>IF(AM109="완료",IF(J109="",K109,J109),IF(OR(COUNT('프로젝트설정'!$B$7:$B$8)&lt;2,COUNT(AD109:AI109)&lt;6,COUNT(S109:U109)&lt;3),"",IF(AM109="제외",MAX('프로젝트설정'!$B$7,AD109:AI109),IF(E109="진행",J109,MAX('프로젝트설정'!$B$7:$B$8,L109,AD109:AI109)))))</x:f>
      </x:c>
      <x:c r="AK109" s="10" t="str">
        <x:f>IF(AM109="완료",K109,IF(AJ109="","",IF(E109="진행",MAX('프로젝트설정'!$B$8,AJ109,AD109:AI109)+T109,AJ109+T109)))</x:f>
      </x:c>
      <x:c r="AL109" s="7" t="str">
        <x:f>IF(OR(I109="",AK109=""),"",AK109-I109)</x:f>
      </x:c>
      <x:c r="AM109" s="7" t="str">
        <x:f>IF(OR(D109="제외",E109="제외"),"제외",IF(D109&lt;&gt;"적용","적용성 확인",IF(E109="완료",IF(ISNUMBER(K109),"완료","실제완료 입력"),IF(E109="보류","보류 해제 필요",IF(E109="진행",IF(AND(ISNUMBER(J109),COUNT(P109:R109)=3,P109&gt;=0,P109&lt;=Q109,Q109&lt;=R109),"입력 OK","실제착수·잔여기간 확인"),IF(AND(COUNT(M109:O109)=3,M109&gt;=0,M109&lt;=N109,N109&lt;=O109),"입력 OK","전체기간 확인"))))))</x:f>
        <x:v>입력 OK</x:v>
      </x:c>
      <x:c r="AN109" s="7" t="str">
        <x:v>16</x:v>
      </x:c>
    </x:row>
    <x:row r="110" ht="38" customHeight="1">
      <x:c r="A110" s="7" t="str">
        <x:v>PR03</x:v>
      </x:c>
      <x:c r="B110" s="7" t="str">
        <x:v>16 기자재 구매·제작</x:v>
      </x:c>
      <x:c r="C110" s="7" t="str">
        <x:v>주공정 패키지 A 제작도·ITP 승인</x:v>
      </x:c>
      <x:c r="D110" s="7" t="str">
        <x:f>'모듈선택'!B21</x:f>
        <x:v>적용</x:v>
      </x:c>
      <x:c r="E110" s="8" t="str">
        <x:v>계획</x:v>
      </x:c>
      <x:c r="F110" s="8" t="str">
        <x:v>주설비 공급사 / 패키지 벤더 / PM / 오너 검토</x:v>
      </x:c>
      <x:c r="G110" s="8" t="str">
        <x:v>Approved drawing, ITP</x:v>
      </x:c>
      <x:c r="H110" s="9"/>
      <x:c r="I110" s="9"/>
      <x:c r="J110" s="9"/>
      <x:c r="K110" s="9"/>
      <x:c r="L110" s="9"/>
      <x:c r="M110" s="8" t="n">
        <x:v>7</x:v>
      </x:c>
      <x:c r="N110" s="8" t="n">
        <x:v>10</x:v>
      </x:c>
      <x:c r="O110" s="8" t="n">
        <x:v>17</x:v>
      </x:c>
      <x:c r="P110" s="8"/>
      <x:c r="Q110" s="8"/>
      <x:c r="R110" s="8"/>
      <x:c r="S110" s="7" t="n">
        <x:f>IF(OR(AM110="제외",AM110="완료"),0,IF(AM110&lt;&gt;"입력 OK","",IF(E110="진행",P110,M110)))</x:f>
        <x:v>7</x:v>
      </x:c>
      <x:c r="T110" s="7" t="n">
        <x:f>IF(OR(AM110="제외",AM110="완료"),0,IF(AM110&lt;&gt;"입력 OK","",IF(E110="진행",Q110,N110)))</x:f>
        <x:v>10</x:v>
      </x:c>
      <x:c r="U110" s="7" t="n">
        <x:f>IF(OR(AM110="제외",AM110="완료"),0,IF(AM110&lt;&gt;"입력 OK","",IF(E110="진행",R110,O110)))</x:f>
        <x:v>17</x:v>
      </x:c>
      <x:c r="V110" s="11" t="n">
        <x:f>IF(COUNT(S110:U110)&lt;3,"",(S110+4*T110+U110)/6)</x:f>
        <x:v>10.666666666666666</x:v>
      </x:c>
      <x:c r="W110" s="11" t="n">
        <x:f>IF(COUNT(S110:U110)&lt;3,"",((U110-S110)/6)^2)</x:f>
        <x:v>2.777777777777778</x:v>
      </x:c>
      <x:c r="X110" s="8" t="str">
        <x:v>PR02</x:v>
      </x:c>
      <x:c r="Y110" s="8" t="str"/>
      <x:c r="Z110" s="8" t="str"/>
      <x:c r="AA110" s="8" t="str"/>
      <x:c r="AB110" s="8" t="str"/>
      <x:c r="AC110" s="8" t="str"/>
      <x:c r="AD110" s="10" t="str">
        <x:f>IF(X110="",0,INDEX($AK$6:$AK$109,MATCH(X110,$A$6:$A$109,0)))</x:f>
      </x:c>
      <x:c r="AE110" s="10" t="n">
        <x:f>IF(Y110="",0,INDEX($AK$6:$AK$109,MATCH(Y110,$A$6:$A$109,0)))</x:f>
        <x:v>0</x:v>
      </x:c>
      <x:c r="AF110" s="10" t="n">
        <x:f>IF(Z110="",0,INDEX($AK$6:$AK$109,MATCH(Z110,$A$6:$A$109,0)))</x:f>
        <x:v>0</x:v>
      </x:c>
      <x:c r="AG110" s="10" t="n">
        <x:f>IF(AA110="",0,INDEX($AK$6:$AK$109,MATCH(AA110,$A$6:$A$109,0)))</x:f>
        <x:v>0</x:v>
      </x:c>
      <x:c r="AH110" s="10" t="n">
        <x:f>IF(AB110="",0,INDEX($AK$6:$AK$109,MATCH(AB110,$A$6:$A$109,0)))</x:f>
        <x:v>0</x:v>
      </x:c>
      <x:c r="AI110" s="10" t="n">
        <x:f>IF(AC110="",0,INDEX($AK$6:$AK$109,MATCH(AC110,$A$6:$A$109,0)))</x:f>
        <x:v>0</x:v>
      </x:c>
      <x:c r="AJ110" s="10" t="str">
        <x:f>IF(AM110="완료",IF(J110="",K110,J110),IF(OR(COUNT('프로젝트설정'!$B$7:$B$8)&lt;2,COUNT(AD110:AI110)&lt;6,COUNT(S110:U110)&lt;3),"",IF(AM110="제외",MAX('프로젝트설정'!$B$7,AD110:AI110),IF(E110="진행",J110,MAX('프로젝트설정'!$B$7:$B$8,L110,AD110:AI110)))))</x:f>
      </x:c>
      <x:c r="AK110" s="10" t="str">
        <x:f>IF(AM110="완료",K110,IF(AJ110="","",IF(E110="진행",MAX('프로젝트설정'!$B$8,AJ110,AD110:AI110)+T110,AJ110+T110)))</x:f>
      </x:c>
      <x:c r="AL110" s="7" t="str">
        <x:f>IF(OR(I110="",AK110=""),"",AK110-I110)</x:f>
      </x:c>
      <x:c r="AM110" s="7" t="str">
        <x:f>IF(OR(D110="제외",E110="제외"),"제외",IF(D110&lt;&gt;"적용","적용성 확인",IF(E110="완료",IF(ISNUMBER(K110),"완료","실제완료 입력"),IF(E110="보류","보류 해제 필요",IF(E110="진행",IF(AND(ISNUMBER(J110),COUNT(P110:R110)=3,P110&gt;=0,P110&lt;=Q110,Q110&lt;=R110),"입력 OK","실제착수·잔여기간 확인"),IF(AND(COUNT(M110:O110)=3,M110&gt;=0,M110&lt;=N110,N110&lt;=O110),"입력 OK","전체기간 확인"))))))</x:f>
        <x:v>입력 OK</x:v>
      </x:c>
      <x:c r="AN110" s="7" t="str">
        <x:v>16</x:v>
      </x:c>
    </x:row>
    <x:row r="111" ht="38" customHeight="1">
      <x:c r="A111" s="7" t="str">
        <x:v>PR04</x:v>
      </x:c>
      <x:c r="B111" s="7" t="str">
        <x:v>16 기자재 구매·제작</x:v>
      </x:c>
      <x:c r="C111" s="7" t="str">
        <x:v>주공정 패키지 A 자재조달·제작</x:v>
      </x:c>
      <x:c r="D111" s="7" t="str">
        <x:f>'모듈선택'!B21</x:f>
        <x:v>적용</x:v>
      </x:c>
      <x:c r="E111" s="8" t="str">
        <x:v>계획</x:v>
      </x:c>
      <x:c r="F111" s="8" t="str">
        <x:v>주설비 공급사 / 패키지 벤더 / PM / 오너 검토</x:v>
      </x:c>
      <x:c r="G111" s="8" t="str">
        <x:v>제작공정표, 자재성적서</x:v>
      </x:c>
      <x:c r="H111" s="9"/>
      <x:c r="I111" s="9"/>
      <x:c r="J111" s="9"/>
      <x:c r="K111" s="9"/>
      <x:c r="L111" s="9"/>
      <x:c r="M111" s="8" t="n">
        <x:v>63</x:v>
      </x:c>
      <x:c r="N111" s="8" t="n">
        <x:v>90</x:v>
      </x:c>
      <x:c r="O111" s="8" t="n">
        <x:v>135</x:v>
      </x:c>
      <x:c r="P111" s="8"/>
      <x:c r="Q111" s="8"/>
      <x:c r="R111" s="8"/>
      <x:c r="S111" s="7" t="n">
        <x:f>IF(OR(AM111="제외",AM111="완료"),0,IF(AM111&lt;&gt;"입력 OK","",IF(E111="진행",P111,M111)))</x:f>
        <x:v>63</x:v>
      </x:c>
      <x:c r="T111" s="7" t="n">
        <x:f>IF(OR(AM111="제외",AM111="완료"),0,IF(AM111&lt;&gt;"입력 OK","",IF(E111="진행",Q111,N111)))</x:f>
        <x:v>90</x:v>
      </x:c>
      <x:c r="U111" s="7" t="n">
        <x:f>IF(OR(AM111="제외",AM111="완료"),0,IF(AM111&lt;&gt;"입력 OK","",IF(E111="진행",R111,O111)))</x:f>
        <x:v>135</x:v>
      </x:c>
      <x:c r="V111" s="11" t="n">
        <x:f>IF(COUNT(S111:U111)&lt;3,"",(S111+4*T111+U111)/6)</x:f>
        <x:v>93</x:v>
      </x:c>
      <x:c r="W111" s="11" t="n">
        <x:f>IF(COUNT(S111:U111)&lt;3,"",((U111-S111)/6)^2)</x:f>
        <x:v>144</x:v>
      </x:c>
      <x:c r="X111" s="8" t="str">
        <x:v>PR03</x:v>
      </x:c>
      <x:c r="Y111" s="8" t="str"/>
      <x:c r="Z111" s="8" t="str"/>
      <x:c r="AA111" s="8" t="str"/>
      <x:c r="AB111" s="8" t="str"/>
      <x:c r="AC111" s="8" t="str"/>
      <x:c r="AD111" s="10" t="str">
        <x:f>IF(X111="",0,INDEX($AK$6:$AK$110,MATCH(X111,$A$6:$A$110,0)))</x:f>
      </x:c>
      <x:c r="AE111" s="10" t="n">
        <x:f>IF(Y111="",0,INDEX($AK$6:$AK$110,MATCH(Y111,$A$6:$A$110,0)))</x:f>
        <x:v>0</x:v>
      </x:c>
      <x:c r="AF111" s="10" t="n">
        <x:f>IF(Z111="",0,INDEX($AK$6:$AK$110,MATCH(Z111,$A$6:$A$110,0)))</x:f>
        <x:v>0</x:v>
      </x:c>
      <x:c r="AG111" s="10" t="n">
        <x:f>IF(AA111="",0,INDEX($AK$6:$AK$110,MATCH(AA111,$A$6:$A$110,0)))</x:f>
        <x:v>0</x:v>
      </x:c>
      <x:c r="AH111" s="10" t="n">
        <x:f>IF(AB111="",0,INDEX($AK$6:$AK$110,MATCH(AB111,$A$6:$A$110,0)))</x:f>
        <x:v>0</x:v>
      </x:c>
      <x:c r="AI111" s="10" t="n">
        <x:f>IF(AC111="",0,INDEX($AK$6:$AK$110,MATCH(AC111,$A$6:$A$110,0)))</x:f>
        <x:v>0</x:v>
      </x:c>
      <x:c r="AJ111" s="10" t="str">
        <x:f>IF(AM111="완료",IF(J111="",K111,J111),IF(OR(COUNT('프로젝트설정'!$B$7:$B$8)&lt;2,COUNT(AD111:AI111)&lt;6,COUNT(S111:U111)&lt;3),"",IF(AM111="제외",MAX('프로젝트설정'!$B$7,AD111:AI111),IF(E111="진행",J111,MAX('프로젝트설정'!$B$7:$B$8,L111,AD111:AI111)))))</x:f>
      </x:c>
      <x:c r="AK111" s="10" t="str">
        <x:f>IF(AM111="완료",K111,IF(AJ111="","",IF(E111="진행",MAX('프로젝트설정'!$B$8,AJ111,AD111:AI111)+T111,AJ111+T111)))</x:f>
      </x:c>
      <x:c r="AL111" s="7" t="str">
        <x:f>IF(OR(I111="",AK111=""),"",AK111-I111)</x:f>
      </x:c>
      <x:c r="AM111" s="7" t="str">
        <x:f>IF(OR(D111="제외",E111="제외"),"제외",IF(D111&lt;&gt;"적용","적용성 확인",IF(E111="완료",IF(ISNUMBER(K111),"완료","실제완료 입력"),IF(E111="보류","보류 해제 필요",IF(E111="진행",IF(AND(ISNUMBER(J111),COUNT(P111:R111)=3,P111&gt;=0,P111&lt;=Q111,Q111&lt;=R111),"입력 OK","실제착수·잔여기간 확인"),IF(AND(COUNT(M111:O111)=3,M111&gt;=0,M111&lt;=N111,N111&lt;=O111),"입력 OK","전체기간 확인"))))))</x:f>
        <x:v>입력 OK</x:v>
      </x:c>
      <x:c r="AN111" s="7" t="str">
        <x:v>16</x:v>
      </x:c>
    </x:row>
    <x:row r="112" ht="38" customHeight="1">
      <x:c r="A112" s="7" t="str">
        <x:v>PR05</x:v>
      </x:c>
      <x:c r="B112" s="7" t="str">
        <x:v>16 기자재 구매·제작</x:v>
      </x:c>
      <x:c r="C112" s="7" t="str">
        <x:v>주공정 패키지 A 조립·공장 기능시험</x:v>
      </x:c>
      <x:c r="D112" s="7" t="str">
        <x:f>'모듈선택'!B21</x:f>
        <x:v>적용</x:v>
      </x:c>
      <x:c r="E112" s="8" t="str">
        <x:v>계획</x:v>
      </x:c>
      <x:c r="F112" s="8" t="str">
        <x:v>주설비 공급사 / 패키지 벤더 / PM / 오너 검토</x:v>
      </x:c>
      <x:c r="G112" s="8" t="str">
        <x:v>조립기록, 시험절차</x:v>
      </x:c>
      <x:c r="H112" s="9"/>
      <x:c r="I112" s="9"/>
      <x:c r="J112" s="9"/>
      <x:c r="K112" s="9"/>
      <x:c r="L112" s="9"/>
      <x:c r="M112" s="8" t="n">
        <x:v>5</x:v>
      </x:c>
      <x:c r="N112" s="8" t="n">
        <x:v>7</x:v>
      </x:c>
      <x:c r="O112" s="8" t="n">
        <x:v>12</x:v>
      </x:c>
      <x:c r="P112" s="8"/>
      <x:c r="Q112" s="8"/>
      <x:c r="R112" s="8"/>
      <x:c r="S112" s="7" t="n">
        <x:f>IF(OR(AM112="제외",AM112="완료"),0,IF(AM112&lt;&gt;"입력 OK","",IF(E112="진행",P112,M112)))</x:f>
        <x:v>5</x:v>
      </x:c>
      <x:c r="T112" s="7" t="n">
        <x:f>IF(OR(AM112="제외",AM112="완료"),0,IF(AM112&lt;&gt;"입력 OK","",IF(E112="진행",Q112,N112)))</x:f>
        <x:v>7</x:v>
      </x:c>
      <x:c r="U112" s="7" t="n">
        <x:f>IF(OR(AM112="제외",AM112="완료"),0,IF(AM112&lt;&gt;"입력 OK","",IF(E112="진행",R112,O112)))</x:f>
        <x:v>12</x:v>
      </x:c>
      <x:c r="V112" s="11" t="n">
        <x:f>IF(COUNT(S112:U112)&lt;3,"",(S112+4*T112+U112)/6)</x:f>
        <x:v>7.5</x:v>
      </x:c>
      <x:c r="W112" s="11" t="n">
        <x:f>IF(COUNT(S112:U112)&lt;3,"",((U112-S112)/6)^2)</x:f>
        <x:v>1.3611111111111114</x:v>
      </x:c>
      <x:c r="X112" s="8" t="str">
        <x:v>PR04</x:v>
      </x:c>
      <x:c r="Y112" s="8" t="str"/>
      <x:c r="Z112" s="8" t="str"/>
      <x:c r="AA112" s="8" t="str"/>
      <x:c r="AB112" s="8" t="str"/>
      <x:c r="AC112" s="8" t="str"/>
      <x:c r="AD112" s="10" t="str">
        <x:f>IF(X112="",0,INDEX($AK$6:$AK$111,MATCH(X112,$A$6:$A$111,0)))</x:f>
      </x:c>
      <x:c r="AE112" s="10" t="n">
        <x:f>IF(Y112="",0,INDEX($AK$6:$AK$111,MATCH(Y112,$A$6:$A$111,0)))</x:f>
        <x:v>0</x:v>
      </x:c>
      <x:c r="AF112" s="10" t="n">
        <x:f>IF(Z112="",0,INDEX($AK$6:$AK$111,MATCH(Z112,$A$6:$A$111,0)))</x:f>
        <x:v>0</x:v>
      </x:c>
      <x:c r="AG112" s="10" t="n">
        <x:f>IF(AA112="",0,INDEX($AK$6:$AK$111,MATCH(AA112,$A$6:$A$111,0)))</x:f>
        <x:v>0</x:v>
      </x:c>
      <x:c r="AH112" s="10" t="n">
        <x:f>IF(AB112="",0,INDEX($AK$6:$AK$111,MATCH(AB112,$A$6:$A$111,0)))</x:f>
        <x:v>0</x:v>
      </x:c>
      <x:c r="AI112" s="10" t="n">
        <x:f>IF(AC112="",0,INDEX($AK$6:$AK$111,MATCH(AC112,$A$6:$A$111,0)))</x:f>
        <x:v>0</x:v>
      </x:c>
      <x:c r="AJ112" s="10" t="str">
        <x:f>IF(AM112="완료",IF(J112="",K112,J112),IF(OR(COUNT('프로젝트설정'!$B$7:$B$8)&lt;2,COUNT(AD112:AI112)&lt;6,COUNT(S112:U112)&lt;3),"",IF(AM112="제외",MAX('프로젝트설정'!$B$7,AD112:AI112),IF(E112="진행",J112,MAX('프로젝트설정'!$B$7:$B$8,L112,AD112:AI112)))))</x:f>
      </x:c>
      <x:c r="AK112" s="10" t="str">
        <x:f>IF(AM112="완료",K112,IF(AJ112="","",IF(E112="진행",MAX('프로젝트설정'!$B$8,AJ112,AD112:AI112)+T112,AJ112+T112)))</x:f>
      </x:c>
      <x:c r="AL112" s="7" t="str">
        <x:f>IF(OR(I112="",AK112=""),"",AK112-I112)</x:f>
      </x:c>
      <x:c r="AM112" s="7" t="str">
        <x:f>IF(OR(D112="제외",E112="제외"),"제외",IF(D112&lt;&gt;"적용","적용성 확인",IF(E112="완료",IF(ISNUMBER(K112),"완료","실제완료 입력"),IF(E112="보류","보류 해제 필요",IF(E112="진행",IF(AND(ISNUMBER(J112),COUNT(P112:R112)=3,P112&gt;=0,P112&lt;=Q112,Q112&lt;=R112),"입력 OK","실제착수·잔여기간 확인"),IF(AND(COUNT(M112:O112)=3,M112&gt;=0,M112&lt;=N112,N112&lt;=O112),"입력 OK","전체기간 확인"))))))</x:f>
        <x:v>입력 OK</x:v>
      </x:c>
      <x:c r="AN112" s="7" t="str">
        <x:v>16</x:v>
      </x:c>
    </x:row>
    <x:row r="113" ht="38" customHeight="1">
      <x:c r="A113" s="7" t="str">
        <x:v>PR06</x:v>
      </x:c>
      <x:c r="B113" s="7" t="str">
        <x:v>16 기자재 구매·제작</x:v>
      </x:c>
      <x:c r="C113" s="7" t="str">
        <x:v>주공정 패키지 A FAT 입회·지적사항 조치</x:v>
      </x:c>
      <x:c r="D113" s="7" t="str">
        <x:f>'모듈선택'!B21</x:f>
        <x:v>적용</x:v>
      </x:c>
      <x:c r="E113" s="8" t="str">
        <x:v>계획</x:v>
      </x:c>
      <x:c r="F113" s="8" t="str">
        <x:v>주설비 공급사 / 패키지 벤더 / PM / 오너 검토</x:v>
      </x:c>
      <x:c r="G113" s="8" t="str">
        <x:v>FAT report, punch close</x:v>
      </x:c>
      <x:c r="H113" s="9"/>
      <x:c r="I113" s="9"/>
      <x:c r="J113" s="9"/>
      <x:c r="K113" s="9"/>
      <x:c r="L113" s="9"/>
      <x:c r="M113" s="8" t="n">
        <x:v>3</x:v>
      </x:c>
      <x:c r="N113" s="8" t="n">
        <x:v>5</x:v>
      </x:c>
      <x:c r="O113" s="8" t="n">
        <x:v>9</x:v>
      </x:c>
      <x:c r="P113" s="8"/>
      <x:c r="Q113" s="8"/>
      <x:c r="R113" s="8"/>
      <x:c r="S113" s="7" t="n">
        <x:f>IF(OR(AM113="제외",AM113="완료"),0,IF(AM113&lt;&gt;"입력 OK","",IF(E113="진행",P113,M113)))</x:f>
        <x:v>3</x:v>
      </x:c>
      <x:c r="T113" s="7" t="n">
        <x:f>IF(OR(AM113="제외",AM113="완료"),0,IF(AM113&lt;&gt;"입력 OK","",IF(E113="진행",Q113,N113)))</x:f>
        <x:v>5</x:v>
      </x:c>
      <x:c r="U113" s="7" t="n">
        <x:f>IF(OR(AM113="제외",AM113="완료"),0,IF(AM113&lt;&gt;"입력 OK","",IF(E113="진행",R113,O113)))</x:f>
        <x:v>9</x:v>
      </x:c>
      <x:c r="V113" s="11" t="n">
        <x:f>IF(COUNT(S113:U113)&lt;3,"",(S113+4*T113+U113)/6)</x:f>
        <x:v>5.333333333333333</x:v>
      </x:c>
      <x:c r="W113" s="11" t="n">
        <x:f>IF(COUNT(S113:U113)&lt;3,"",((U113-S113)/6)^2)</x:f>
        <x:v>1</x:v>
      </x:c>
      <x:c r="X113" s="8" t="str">
        <x:v>PR05</x:v>
      </x:c>
      <x:c r="Y113" s="8" t="str"/>
      <x:c r="Z113" s="8" t="str"/>
      <x:c r="AA113" s="8" t="str"/>
      <x:c r="AB113" s="8" t="str"/>
      <x:c r="AC113" s="8" t="str"/>
      <x:c r="AD113" s="10" t="str">
        <x:f>IF(X113="",0,INDEX($AK$6:$AK$112,MATCH(X113,$A$6:$A$112,0)))</x:f>
      </x:c>
      <x:c r="AE113" s="10" t="n">
        <x:f>IF(Y113="",0,INDEX($AK$6:$AK$112,MATCH(Y113,$A$6:$A$112,0)))</x:f>
        <x:v>0</x:v>
      </x:c>
      <x:c r="AF113" s="10" t="n">
        <x:f>IF(Z113="",0,INDEX($AK$6:$AK$112,MATCH(Z113,$A$6:$A$112,0)))</x:f>
        <x:v>0</x:v>
      </x:c>
      <x:c r="AG113" s="10" t="n">
        <x:f>IF(AA113="",0,INDEX($AK$6:$AK$112,MATCH(AA113,$A$6:$A$112,0)))</x:f>
        <x:v>0</x:v>
      </x:c>
      <x:c r="AH113" s="10" t="n">
        <x:f>IF(AB113="",0,INDEX($AK$6:$AK$112,MATCH(AB113,$A$6:$A$112,0)))</x:f>
        <x:v>0</x:v>
      </x:c>
      <x:c r="AI113" s="10" t="n">
        <x:f>IF(AC113="",0,INDEX($AK$6:$AK$112,MATCH(AC113,$A$6:$A$112,0)))</x:f>
        <x:v>0</x:v>
      </x:c>
      <x:c r="AJ113" s="10" t="str">
        <x:f>IF(AM113="완료",IF(J113="",K113,J113),IF(OR(COUNT('프로젝트설정'!$B$7:$B$8)&lt;2,COUNT(AD113:AI113)&lt;6,COUNT(S113:U113)&lt;3),"",IF(AM113="제외",MAX('프로젝트설정'!$B$7,AD113:AI113),IF(E113="진행",J113,MAX('프로젝트설정'!$B$7:$B$8,L113,AD113:AI113)))))</x:f>
      </x:c>
      <x:c r="AK113" s="10" t="str">
        <x:f>IF(AM113="완료",K113,IF(AJ113="","",IF(E113="진행",MAX('프로젝트설정'!$B$8,AJ113,AD113:AI113)+T113,AJ113+T113)))</x:f>
      </x:c>
      <x:c r="AL113" s="7" t="str">
        <x:f>IF(OR(I113="",AK113=""),"",AK113-I113)</x:f>
      </x:c>
      <x:c r="AM113" s="7" t="str">
        <x:f>IF(OR(D113="제외",E113="제외"),"제외",IF(D113&lt;&gt;"적용","적용성 확인",IF(E113="완료",IF(ISNUMBER(K113),"완료","실제완료 입력"),IF(E113="보류","보류 해제 필요",IF(E113="진행",IF(AND(ISNUMBER(J113),COUNT(P113:R113)=3,P113&gt;=0,P113&lt;=Q113,Q113&lt;=R113),"입력 OK","실제착수·잔여기간 확인"),IF(AND(COUNT(M113:O113)=3,M113&gt;=0,M113&lt;=N113,N113&lt;=O113),"입력 OK","전체기간 확인"))))))</x:f>
        <x:v>입력 OK</x:v>
      </x:c>
      <x:c r="AN113" s="7" t="str">
        <x:v>16</x:v>
      </x:c>
    </x:row>
    <x:row r="114" ht="38" customHeight="1">
      <x:c r="A114" s="7" t="str">
        <x:v>PR07</x:v>
      </x:c>
      <x:c r="B114" s="7" t="str">
        <x:v>16 기자재 구매·제작</x:v>
      </x:c>
      <x:c r="C114" s="7" t="str">
        <x:v>주공정 패키지 A 출하승인·운송·현장 입고</x:v>
      </x:c>
      <x:c r="D114" s="7" t="str">
        <x:f>'모듈선택'!B21</x:f>
        <x:v>적용</x:v>
      </x:c>
      <x:c r="E114" s="8" t="str">
        <x:v>계획</x:v>
      </x:c>
      <x:c r="F114" s="8" t="str">
        <x:v>주설비 공급사 / 패키지 벤더 / PM / 오너 검토</x:v>
      </x:c>
      <x:c r="G114" s="8" t="str">
        <x:v>Release note, packing list, 입고검수</x:v>
      </x:c>
      <x:c r="H114" s="9"/>
      <x:c r="I114" s="9"/>
      <x:c r="J114" s="9"/>
      <x:c r="K114" s="9"/>
      <x:c r="L114" s="9"/>
      <x:c r="M114" s="8" t="n">
        <x:v>3</x:v>
      </x:c>
      <x:c r="N114" s="8" t="n">
        <x:v>4</x:v>
      </x:c>
      <x:c r="O114" s="8" t="n">
        <x:v>7</x:v>
      </x:c>
      <x:c r="P114" s="8"/>
      <x:c r="Q114" s="8"/>
      <x:c r="R114" s="8"/>
      <x:c r="S114" s="7" t="n">
        <x:f>IF(OR(AM114="제외",AM114="완료"),0,IF(AM114&lt;&gt;"입력 OK","",IF(E114="진행",P114,M114)))</x:f>
        <x:v>3</x:v>
      </x:c>
      <x:c r="T114" s="7" t="n">
        <x:f>IF(OR(AM114="제외",AM114="완료"),0,IF(AM114&lt;&gt;"입력 OK","",IF(E114="진행",Q114,N114)))</x:f>
        <x:v>4</x:v>
      </x:c>
      <x:c r="U114" s="7" t="n">
        <x:f>IF(OR(AM114="제외",AM114="완료"),0,IF(AM114&lt;&gt;"입력 OK","",IF(E114="진행",R114,O114)))</x:f>
        <x:v>7</x:v>
      </x:c>
      <x:c r="V114" s="11" t="n">
        <x:f>IF(COUNT(S114:U114)&lt;3,"",(S114+4*T114+U114)/6)</x:f>
        <x:v>4.333333333333333</x:v>
      </x:c>
      <x:c r="W114" s="11" t="n">
        <x:f>IF(COUNT(S114:U114)&lt;3,"",((U114-S114)/6)^2)</x:f>
        <x:v>0.4444444444444444</x:v>
      </x:c>
      <x:c r="X114" s="8" t="str">
        <x:v>PR06</x:v>
      </x:c>
      <x:c r="Y114" s="8" t="str"/>
      <x:c r="Z114" s="8" t="str"/>
      <x:c r="AA114" s="8" t="str"/>
      <x:c r="AB114" s="8" t="str"/>
      <x:c r="AC114" s="8" t="str"/>
      <x:c r="AD114" s="10" t="str">
        <x:f>IF(X114="",0,INDEX($AK$6:$AK$113,MATCH(X114,$A$6:$A$113,0)))</x:f>
      </x:c>
      <x:c r="AE114" s="10" t="n">
        <x:f>IF(Y114="",0,INDEX($AK$6:$AK$113,MATCH(Y114,$A$6:$A$113,0)))</x:f>
        <x:v>0</x:v>
      </x:c>
      <x:c r="AF114" s="10" t="n">
        <x:f>IF(Z114="",0,INDEX($AK$6:$AK$113,MATCH(Z114,$A$6:$A$113,0)))</x:f>
        <x:v>0</x:v>
      </x:c>
      <x:c r="AG114" s="10" t="n">
        <x:f>IF(AA114="",0,INDEX($AK$6:$AK$113,MATCH(AA114,$A$6:$A$113,0)))</x:f>
        <x:v>0</x:v>
      </x:c>
      <x:c r="AH114" s="10" t="n">
        <x:f>IF(AB114="",0,INDEX($AK$6:$AK$113,MATCH(AB114,$A$6:$A$113,0)))</x:f>
        <x:v>0</x:v>
      </x:c>
      <x:c r="AI114" s="10" t="n">
        <x:f>IF(AC114="",0,INDEX($AK$6:$AK$113,MATCH(AC114,$A$6:$A$113,0)))</x:f>
        <x:v>0</x:v>
      </x:c>
      <x:c r="AJ114" s="10" t="str">
        <x:f>IF(AM114="완료",IF(J114="",K114,J114),IF(OR(COUNT('프로젝트설정'!$B$7:$B$8)&lt;2,COUNT(AD114:AI114)&lt;6,COUNT(S114:U114)&lt;3),"",IF(AM114="제외",MAX('프로젝트설정'!$B$7,AD114:AI114),IF(E114="진행",J114,MAX('프로젝트설정'!$B$7:$B$8,L114,AD114:AI114)))))</x:f>
      </x:c>
      <x:c r="AK114" s="10" t="str">
        <x:f>IF(AM114="완료",K114,IF(AJ114="","",IF(E114="진행",MAX('프로젝트설정'!$B$8,AJ114,AD114:AI114)+T114,AJ114+T114)))</x:f>
      </x:c>
      <x:c r="AL114" s="7" t="str">
        <x:f>IF(OR(I114="",AK114=""),"",AK114-I114)</x:f>
      </x:c>
      <x:c r="AM114" s="7" t="str">
        <x:f>IF(OR(D114="제외",E114="제외"),"제외",IF(D114&lt;&gt;"적용","적용성 확인",IF(E114="완료",IF(ISNUMBER(K114),"완료","실제완료 입력"),IF(E114="보류","보류 해제 필요",IF(E114="진행",IF(AND(ISNUMBER(J114),COUNT(P114:R114)=3,P114&gt;=0,P114&lt;=Q114,Q114&lt;=R114),"입력 OK","실제착수·잔여기간 확인"),IF(AND(COUNT(M114:O114)=3,M114&gt;=0,M114&lt;=N114,N114&lt;=O114),"입력 OK","전체기간 확인"))))))</x:f>
        <x:v>입력 OK</x:v>
      </x:c>
      <x:c r="AN114" s="7" t="str">
        <x:v>16</x:v>
      </x:c>
    </x:row>
    <x:row r="115" ht="38" customHeight="1">
      <x:c r="A115" s="7" t="str">
        <x:v>BG01</x:v>
      </x:c>
      <x:c r="B115" s="7" t="str">
        <x:v>16 기자재 구매·제작</x:v>
      </x:c>
      <x:c r="C115" s="7" t="str">
        <x:v>전처리 패키지 B 잔여 발주범위·사양 확정</x:v>
      </x:c>
      <x:c r="D115" s="7" t="str">
        <x:f>'모듈선택'!B21</x:f>
        <x:v>적용</x:v>
      </x:c>
      <x:c r="E115" s="8" t="str">
        <x:v>계획</x:v>
      </x:c>
      <x:c r="F115" s="8" t="str">
        <x:v>주설비 공급사 / 패키지 벤더 / PM / 오너 검토</x:v>
      </x:c>
      <x:c r="G115" s="8" t="str">
        <x:v>Datasheet, RFQ, 기존 PO 확인</x:v>
      </x:c>
      <x:c r="H115" s="9"/>
      <x:c r="I115" s="9"/>
      <x:c r="J115" s="9"/>
      <x:c r="K115" s="9"/>
      <x:c r="L115" s="9"/>
      <x:c r="M115" s="8" t="n">
        <x:v>3</x:v>
      </x:c>
      <x:c r="N115" s="8" t="n">
        <x:v>4</x:v>
      </x:c>
      <x:c r="O115" s="8" t="n">
        <x:v>7</x:v>
      </x:c>
      <x:c r="P115" s="8"/>
      <x:c r="Q115" s="8"/>
      <x:c r="R115" s="8"/>
      <x:c r="S115" s="7" t="n">
        <x:f>IF(OR(AM115="제외",AM115="완료"),0,IF(AM115&lt;&gt;"입력 OK","",IF(E115="진행",P115,M115)))</x:f>
        <x:v>3</x:v>
      </x:c>
      <x:c r="T115" s="7" t="n">
        <x:f>IF(OR(AM115="제외",AM115="완료"),0,IF(AM115&lt;&gt;"입력 OK","",IF(E115="진행",Q115,N115)))</x:f>
        <x:v>4</x:v>
      </x:c>
      <x:c r="U115" s="7" t="n">
        <x:f>IF(OR(AM115="제외",AM115="완료"),0,IF(AM115&lt;&gt;"입력 OK","",IF(E115="진행",R115,O115)))</x:f>
        <x:v>7</x:v>
      </x:c>
      <x:c r="V115" s="11" t="n">
        <x:f>IF(COUNT(S115:U115)&lt;3,"",(S115+4*T115+U115)/6)</x:f>
        <x:v>4.333333333333333</x:v>
      </x:c>
      <x:c r="W115" s="11" t="n">
        <x:f>IF(COUNT(S115:U115)&lt;3,"",((U115-S115)/6)^2)</x:f>
        <x:v>0.4444444444444444</x:v>
      </x:c>
      <x:c r="X115" s="8" t="str">
        <x:v>VP06</x:v>
      </x:c>
      <x:c r="Y115" s="8" t="str"/>
      <x:c r="Z115" s="8" t="str"/>
      <x:c r="AA115" s="8" t="str"/>
      <x:c r="AB115" s="8" t="str"/>
      <x:c r="AC115" s="8" t="str"/>
      <x:c r="AD115" s="10" t="str">
        <x:f>IF(X115="",0,INDEX($AK$6:$AK$114,MATCH(X115,$A$6:$A$114,0)))</x:f>
      </x:c>
      <x:c r="AE115" s="10" t="n">
        <x:f>IF(Y115="",0,INDEX($AK$6:$AK$114,MATCH(Y115,$A$6:$A$114,0)))</x:f>
        <x:v>0</x:v>
      </x:c>
      <x:c r="AF115" s="10" t="n">
        <x:f>IF(Z115="",0,INDEX($AK$6:$AK$114,MATCH(Z115,$A$6:$A$114,0)))</x:f>
        <x:v>0</x:v>
      </x:c>
      <x:c r="AG115" s="10" t="n">
        <x:f>IF(AA115="",0,INDEX($AK$6:$AK$114,MATCH(AA115,$A$6:$A$114,0)))</x:f>
        <x:v>0</x:v>
      </x:c>
      <x:c r="AH115" s="10" t="n">
        <x:f>IF(AB115="",0,INDEX($AK$6:$AK$114,MATCH(AB115,$A$6:$A$114,0)))</x:f>
        <x:v>0</x:v>
      </x:c>
      <x:c r="AI115" s="10" t="n">
        <x:f>IF(AC115="",0,INDEX($AK$6:$AK$114,MATCH(AC115,$A$6:$A$114,0)))</x:f>
        <x:v>0</x:v>
      </x:c>
      <x:c r="AJ115" s="10" t="str">
        <x:f>IF(AM115="완료",IF(J115="",K115,J115),IF(OR(COUNT('프로젝트설정'!$B$7:$B$8)&lt;2,COUNT(AD115:AI115)&lt;6,COUNT(S115:U115)&lt;3),"",IF(AM115="제외",MAX('프로젝트설정'!$B$7,AD115:AI115),IF(E115="진행",J115,MAX('프로젝트설정'!$B$7:$B$8,L115,AD115:AI115)))))</x:f>
      </x:c>
      <x:c r="AK115" s="10" t="str">
        <x:f>IF(AM115="완료",K115,IF(AJ115="","",IF(E115="진행",MAX('프로젝트설정'!$B$8,AJ115,AD115:AI115)+T115,AJ115+T115)))</x:f>
      </x:c>
      <x:c r="AL115" s="7" t="str">
        <x:f>IF(OR(I115="",AK115=""),"",AK115-I115)</x:f>
      </x:c>
      <x:c r="AM115" s="7" t="str">
        <x:f>IF(OR(D115="제외",E115="제외"),"제외",IF(D115&lt;&gt;"적용","적용성 확인",IF(E115="완료",IF(ISNUMBER(K115),"완료","실제완료 입력"),IF(E115="보류","보류 해제 필요",IF(E115="진행",IF(AND(ISNUMBER(J115),COUNT(P115:R115)=3,P115&gt;=0,P115&lt;=Q115,Q115&lt;=R115),"입력 OK","실제착수·잔여기간 확인"),IF(AND(COUNT(M115:O115)=3,M115&gt;=0,M115&lt;=N115,N115&lt;=O115),"입력 OK","전체기간 확인"))))))</x:f>
        <x:v>입력 OK</x:v>
      </x:c>
      <x:c r="AN115" s="7" t="str">
        <x:v>16</x:v>
      </x:c>
    </x:row>
    <x:row r="116" ht="38" customHeight="1">
      <x:c r="A116" s="7" t="str">
        <x:v>BG02</x:v>
      </x:c>
      <x:c r="B116" s="7" t="str">
        <x:v>16 기자재 구매·제작</x:v>
      </x:c>
      <x:c r="C116" s="7" t="str">
        <x:v>전처리 패키지 B 견적/TBE·계약조건·납기 합의</x:v>
      </x:c>
      <x:c r="D116" s="7" t="str">
        <x:f>'모듈선택'!B21</x:f>
        <x:v>적용</x:v>
      </x:c>
      <x:c r="E116" s="8" t="str">
        <x:v>계획</x:v>
      </x:c>
      <x:c r="F116" s="8" t="str">
        <x:v>주설비 공급사 / 패키지 벤더 / PM / 오너 검토</x:v>
      </x:c>
      <x:c r="G116" s="8" t="str">
        <x:v>TBE, PO, 납기표</x:v>
      </x:c>
      <x:c r="H116" s="9"/>
      <x:c r="I116" s="9"/>
      <x:c r="J116" s="9"/>
      <x:c r="K116" s="9"/>
      <x:c r="L116" s="9"/>
      <x:c r="M116" s="8" t="n">
        <x:v>5</x:v>
      </x:c>
      <x:c r="N116" s="8" t="n">
        <x:v>7</x:v>
      </x:c>
      <x:c r="O116" s="8" t="n">
        <x:v>12</x:v>
      </x:c>
      <x:c r="P116" s="8"/>
      <x:c r="Q116" s="8"/>
      <x:c r="R116" s="8"/>
      <x:c r="S116" s="7" t="n">
        <x:f>IF(OR(AM116="제외",AM116="완료"),0,IF(AM116&lt;&gt;"입력 OK","",IF(E116="진행",P116,M116)))</x:f>
        <x:v>5</x:v>
      </x:c>
      <x:c r="T116" s="7" t="n">
        <x:f>IF(OR(AM116="제외",AM116="완료"),0,IF(AM116&lt;&gt;"입력 OK","",IF(E116="진행",Q116,N116)))</x:f>
        <x:v>7</x:v>
      </x:c>
      <x:c r="U116" s="7" t="n">
        <x:f>IF(OR(AM116="제외",AM116="완료"),0,IF(AM116&lt;&gt;"입력 OK","",IF(E116="진행",R116,O116)))</x:f>
        <x:v>12</x:v>
      </x:c>
      <x:c r="V116" s="11" t="n">
        <x:f>IF(COUNT(S116:U116)&lt;3,"",(S116+4*T116+U116)/6)</x:f>
        <x:v>7.5</x:v>
      </x:c>
      <x:c r="W116" s="11" t="n">
        <x:f>IF(COUNT(S116:U116)&lt;3,"",((U116-S116)/6)^2)</x:f>
        <x:v>1.3611111111111114</x:v>
      </x:c>
      <x:c r="X116" s="8" t="str">
        <x:v>BG01</x:v>
      </x:c>
      <x:c r="Y116" s="8" t="str"/>
      <x:c r="Z116" s="8" t="str"/>
      <x:c r="AA116" s="8" t="str"/>
      <x:c r="AB116" s="8" t="str"/>
      <x:c r="AC116" s="8" t="str"/>
      <x:c r="AD116" s="10" t="str">
        <x:f>IF(X116="",0,INDEX($AK$6:$AK$115,MATCH(X116,$A$6:$A$115,0)))</x:f>
      </x:c>
      <x:c r="AE116" s="10" t="n">
        <x:f>IF(Y116="",0,INDEX($AK$6:$AK$115,MATCH(Y116,$A$6:$A$115,0)))</x:f>
        <x:v>0</x:v>
      </x:c>
      <x:c r="AF116" s="10" t="n">
        <x:f>IF(Z116="",0,INDEX($AK$6:$AK$115,MATCH(Z116,$A$6:$A$115,0)))</x:f>
        <x:v>0</x:v>
      </x:c>
      <x:c r="AG116" s="10" t="n">
        <x:f>IF(AA116="",0,INDEX($AK$6:$AK$115,MATCH(AA116,$A$6:$A$115,0)))</x:f>
        <x:v>0</x:v>
      </x:c>
      <x:c r="AH116" s="10" t="n">
        <x:f>IF(AB116="",0,INDEX($AK$6:$AK$115,MATCH(AB116,$A$6:$A$115,0)))</x:f>
        <x:v>0</x:v>
      </x:c>
      <x:c r="AI116" s="10" t="n">
        <x:f>IF(AC116="",0,INDEX($AK$6:$AK$115,MATCH(AC116,$A$6:$A$115,0)))</x:f>
        <x:v>0</x:v>
      </x:c>
      <x:c r="AJ116" s="10" t="str">
        <x:f>IF(AM116="완료",IF(J116="",K116,J116),IF(OR(COUNT('프로젝트설정'!$B$7:$B$8)&lt;2,COUNT(AD116:AI116)&lt;6,COUNT(S116:U116)&lt;3),"",IF(AM116="제외",MAX('프로젝트설정'!$B$7,AD116:AI116),IF(E116="진행",J116,MAX('프로젝트설정'!$B$7:$B$8,L116,AD116:AI116)))))</x:f>
      </x:c>
      <x:c r="AK116" s="10" t="str">
        <x:f>IF(AM116="완료",K116,IF(AJ116="","",IF(E116="진행",MAX('프로젝트설정'!$B$8,AJ116,AD116:AI116)+T116,AJ116+T116)))</x:f>
      </x:c>
      <x:c r="AL116" s="7" t="str">
        <x:f>IF(OR(I116="",AK116=""),"",AK116-I116)</x:f>
      </x:c>
      <x:c r="AM116" s="7" t="str">
        <x:f>IF(OR(D116="제외",E116="제외"),"제외",IF(D116&lt;&gt;"적용","적용성 확인",IF(E116="완료",IF(ISNUMBER(K116),"완료","실제완료 입력"),IF(E116="보류","보류 해제 필요",IF(E116="진행",IF(AND(ISNUMBER(J116),COUNT(P116:R116)=3,P116&gt;=0,P116&lt;=Q116,Q116&lt;=R116),"입력 OK","실제착수·잔여기간 확인"),IF(AND(COUNT(M116:O116)=3,M116&gt;=0,M116&lt;=N116,N116&lt;=O116),"입력 OK","전체기간 확인"))))))</x:f>
        <x:v>입력 OK</x:v>
      </x:c>
      <x:c r="AN116" s="7" t="str">
        <x:v>16</x:v>
      </x:c>
    </x:row>
    <x:row r="117" ht="38" customHeight="1">
      <x:c r="A117" s="7" t="str">
        <x:v>BG03</x:v>
      </x:c>
      <x:c r="B117" s="7" t="str">
        <x:v>16 기자재 구매·제작</x:v>
      </x:c>
      <x:c r="C117" s="7" t="str">
        <x:v>전처리 패키지 B 제작도·ITP 승인</x:v>
      </x:c>
      <x:c r="D117" s="7" t="str">
        <x:f>'모듈선택'!B21</x:f>
        <x:v>적용</x:v>
      </x:c>
      <x:c r="E117" s="8" t="str">
        <x:v>계획</x:v>
      </x:c>
      <x:c r="F117" s="8" t="str">
        <x:v>주설비 공급사 / 패키지 벤더 / PM / 오너 검토</x:v>
      </x:c>
      <x:c r="G117" s="8" t="str">
        <x:v>Approved drawing, ITP</x:v>
      </x:c>
      <x:c r="H117" s="9"/>
      <x:c r="I117" s="9"/>
      <x:c r="J117" s="9"/>
      <x:c r="K117" s="9"/>
      <x:c r="L117" s="9"/>
      <x:c r="M117" s="8" t="n">
        <x:v>7</x:v>
      </x:c>
      <x:c r="N117" s="8" t="n">
        <x:v>10</x:v>
      </x:c>
      <x:c r="O117" s="8" t="n">
        <x:v>17</x:v>
      </x:c>
      <x:c r="P117" s="8"/>
      <x:c r="Q117" s="8"/>
      <x:c r="R117" s="8"/>
      <x:c r="S117" s="7" t="n">
        <x:f>IF(OR(AM117="제외",AM117="완료"),0,IF(AM117&lt;&gt;"입력 OK","",IF(E117="진행",P117,M117)))</x:f>
        <x:v>7</x:v>
      </x:c>
      <x:c r="T117" s="7" t="n">
        <x:f>IF(OR(AM117="제외",AM117="완료"),0,IF(AM117&lt;&gt;"입력 OK","",IF(E117="진행",Q117,N117)))</x:f>
        <x:v>10</x:v>
      </x:c>
      <x:c r="U117" s="7" t="n">
        <x:f>IF(OR(AM117="제외",AM117="완료"),0,IF(AM117&lt;&gt;"입력 OK","",IF(E117="진행",R117,O117)))</x:f>
        <x:v>17</x:v>
      </x:c>
      <x:c r="V117" s="11" t="n">
        <x:f>IF(COUNT(S117:U117)&lt;3,"",(S117+4*T117+U117)/6)</x:f>
        <x:v>10.666666666666666</x:v>
      </x:c>
      <x:c r="W117" s="11" t="n">
        <x:f>IF(COUNT(S117:U117)&lt;3,"",((U117-S117)/6)^2)</x:f>
        <x:v>2.777777777777778</x:v>
      </x:c>
      <x:c r="X117" s="8" t="str">
        <x:v>BG02</x:v>
      </x:c>
      <x:c r="Y117" s="8" t="str"/>
      <x:c r="Z117" s="8" t="str"/>
      <x:c r="AA117" s="8" t="str"/>
      <x:c r="AB117" s="8" t="str"/>
      <x:c r="AC117" s="8" t="str"/>
      <x:c r="AD117" s="10" t="str">
        <x:f>IF(X117="",0,INDEX($AK$6:$AK$116,MATCH(X117,$A$6:$A$116,0)))</x:f>
      </x:c>
      <x:c r="AE117" s="10" t="n">
        <x:f>IF(Y117="",0,INDEX($AK$6:$AK$116,MATCH(Y117,$A$6:$A$116,0)))</x:f>
        <x:v>0</x:v>
      </x:c>
      <x:c r="AF117" s="10" t="n">
        <x:f>IF(Z117="",0,INDEX($AK$6:$AK$116,MATCH(Z117,$A$6:$A$116,0)))</x:f>
        <x:v>0</x:v>
      </x:c>
      <x:c r="AG117" s="10" t="n">
        <x:f>IF(AA117="",0,INDEX($AK$6:$AK$116,MATCH(AA117,$A$6:$A$116,0)))</x:f>
        <x:v>0</x:v>
      </x:c>
      <x:c r="AH117" s="10" t="n">
        <x:f>IF(AB117="",0,INDEX($AK$6:$AK$116,MATCH(AB117,$A$6:$A$116,0)))</x:f>
        <x:v>0</x:v>
      </x:c>
      <x:c r="AI117" s="10" t="n">
        <x:f>IF(AC117="",0,INDEX($AK$6:$AK$116,MATCH(AC117,$A$6:$A$116,0)))</x:f>
        <x:v>0</x:v>
      </x:c>
      <x:c r="AJ117" s="10" t="str">
        <x:f>IF(AM117="완료",IF(J117="",K117,J117),IF(OR(COUNT('프로젝트설정'!$B$7:$B$8)&lt;2,COUNT(AD117:AI117)&lt;6,COUNT(S117:U117)&lt;3),"",IF(AM117="제외",MAX('프로젝트설정'!$B$7,AD117:AI117),IF(E117="진행",J117,MAX('프로젝트설정'!$B$7:$B$8,L117,AD117:AI117)))))</x:f>
      </x:c>
      <x:c r="AK117" s="10" t="str">
        <x:f>IF(AM117="완료",K117,IF(AJ117="","",IF(E117="진행",MAX('프로젝트설정'!$B$8,AJ117,AD117:AI117)+T117,AJ117+T117)))</x:f>
      </x:c>
      <x:c r="AL117" s="7" t="str">
        <x:f>IF(OR(I117="",AK117=""),"",AK117-I117)</x:f>
      </x:c>
      <x:c r="AM117" s="7" t="str">
        <x:f>IF(OR(D117="제외",E117="제외"),"제외",IF(D117&lt;&gt;"적용","적용성 확인",IF(E117="완료",IF(ISNUMBER(K117),"완료","실제완료 입력"),IF(E117="보류","보류 해제 필요",IF(E117="진행",IF(AND(ISNUMBER(J117),COUNT(P117:R117)=3,P117&gt;=0,P117&lt;=Q117,Q117&lt;=R117),"입력 OK","실제착수·잔여기간 확인"),IF(AND(COUNT(M117:O117)=3,M117&gt;=0,M117&lt;=N117,N117&lt;=O117),"입력 OK","전체기간 확인"))))))</x:f>
        <x:v>입력 OK</x:v>
      </x:c>
      <x:c r="AN117" s="7" t="str">
        <x:v>16</x:v>
      </x:c>
    </x:row>
    <x:row r="118" ht="38" customHeight="1">
      <x:c r="A118" s="7" t="str">
        <x:v>BG04</x:v>
      </x:c>
      <x:c r="B118" s="7" t="str">
        <x:v>16 기자재 구매·제작</x:v>
      </x:c>
      <x:c r="C118" s="7" t="str">
        <x:v>전처리 패키지 B 자재조달·제작</x:v>
      </x:c>
      <x:c r="D118" s="7" t="str">
        <x:f>'모듈선택'!B21</x:f>
        <x:v>적용</x:v>
      </x:c>
      <x:c r="E118" s="8" t="str">
        <x:v>계획</x:v>
      </x:c>
      <x:c r="F118" s="8" t="str">
        <x:v>주설비 공급사 / 패키지 벤더 / PM / 오너 검토</x:v>
      </x:c>
      <x:c r="G118" s="8" t="str">
        <x:v>제작공정표, 자재성적서</x:v>
      </x:c>
      <x:c r="H118" s="9"/>
      <x:c r="I118" s="9"/>
      <x:c r="J118" s="9"/>
      <x:c r="K118" s="9"/>
      <x:c r="L118" s="9"/>
      <x:c r="M118" s="8" t="n">
        <x:v>70</x:v>
      </x:c>
      <x:c r="N118" s="8" t="n">
        <x:v>100</x:v>
      </x:c>
      <x:c r="O118" s="8" t="n">
        <x:v>150</x:v>
      </x:c>
      <x:c r="P118" s="8"/>
      <x:c r="Q118" s="8"/>
      <x:c r="R118" s="8"/>
      <x:c r="S118" s="7" t="n">
        <x:f>IF(OR(AM118="제외",AM118="완료"),0,IF(AM118&lt;&gt;"입력 OK","",IF(E118="진행",P118,M118)))</x:f>
        <x:v>70</x:v>
      </x:c>
      <x:c r="T118" s="7" t="n">
        <x:f>IF(OR(AM118="제외",AM118="완료"),0,IF(AM118&lt;&gt;"입력 OK","",IF(E118="진행",Q118,N118)))</x:f>
        <x:v>100</x:v>
      </x:c>
      <x:c r="U118" s="7" t="n">
        <x:f>IF(OR(AM118="제외",AM118="완료"),0,IF(AM118&lt;&gt;"입력 OK","",IF(E118="진행",R118,O118)))</x:f>
        <x:v>150</x:v>
      </x:c>
      <x:c r="V118" s="11" t="n">
        <x:f>IF(COUNT(S118:U118)&lt;3,"",(S118+4*T118+U118)/6)</x:f>
        <x:v>103.33333333333333</x:v>
      </x:c>
      <x:c r="W118" s="11" t="n">
        <x:f>IF(COUNT(S118:U118)&lt;3,"",((U118-S118)/6)^2)</x:f>
        <x:v>177.7777777777778</x:v>
      </x:c>
      <x:c r="X118" s="8" t="str">
        <x:v>BG03</x:v>
      </x:c>
      <x:c r="Y118" s="8" t="str"/>
      <x:c r="Z118" s="8" t="str"/>
      <x:c r="AA118" s="8" t="str"/>
      <x:c r="AB118" s="8" t="str"/>
      <x:c r="AC118" s="8" t="str"/>
      <x:c r="AD118" s="10" t="str">
        <x:f>IF(X118="",0,INDEX($AK$6:$AK$117,MATCH(X118,$A$6:$A$117,0)))</x:f>
      </x:c>
      <x:c r="AE118" s="10" t="n">
        <x:f>IF(Y118="",0,INDEX($AK$6:$AK$117,MATCH(Y118,$A$6:$A$117,0)))</x:f>
        <x:v>0</x:v>
      </x:c>
      <x:c r="AF118" s="10" t="n">
        <x:f>IF(Z118="",0,INDEX($AK$6:$AK$117,MATCH(Z118,$A$6:$A$117,0)))</x:f>
        <x:v>0</x:v>
      </x:c>
      <x:c r="AG118" s="10" t="n">
        <x:f>IF(AA118="",0,INDEX($AK$6:$AK$117,MATCH(AA118,$A$6:$A$117,0)))</x:f>
        <x:v>0</x:v>
      </x:c>
      <x:c r="AH118" s="10" t="n">
        <x:f>IF(AB118="",0,INDEX($AK$6:$AK$117,MATCH(AB118,$A$6:$A$117,0)))</x:f>
        <x:v>0</x:v>
      </x:c>
      <x:c r="AI118" s="10" t="n">
        <x:f>IF(AC118="",0,INDEX($AK$6:$AK$117,MATCH(AC118,$A$6:$A$117,0)))</x:f>
        <x:v>0</x:v>
      </x:c>
      <x:c r="AJ118" s="10" t="str">
        <x:f>IF(AM118="완료",IF(J118="",K118,J118),IF(OR(COUNT('프로젝트설정'!$B$7:$B$8)&lt;2,COUNT(AD118:AI118)&lt;6,COUNT(S118:U118)&lt;3),"",IF(AM118="제외",MAX('프로젝트설정'!$B$7,AD118:AI118),IF(E118="진행",J118,MAX('프로젝트설정'!$B$7:$B$8,L118,AD118:AI118)))))</x:f>
      </x:c>
      <x:c r="AK118" s="10" t="str">
        <x:f>IF(AM118="완료",K118,IF(AJ118="","",IF(E118="진행",MAX('프로젝트설정'!$B$8,AJ118,AD118:AI118)+T118,AJ118+T118)))</x:f>
      </x:c>
      <x:c r="AL118" s="7" t="str">
        <x:f>IF(OR(I118="",AK118=""),"",AK118-I118)</x:f>
      </x:c>
      <x:c r="AM118" s="7" t="str">
        <x:f>IF(OR(D118="제외",E118="제외"),"제외",IF(D118&lt;&gt;"적용","적용성 확인",IF(E118="완료",IF(ISNUMBER(K118),"완료","실제완료 입력"),IF(E118="보류","보류 해제 필요",IF(E118="진행",IF(AND(ISNUMBER(J118),COUNT(P118:R118)=3,P118&gt;=0,P118&lt;=Q118,Q118&lt;=R118),"입력 OK","실제착수·잔여기간 확인"),IF(AND(COUNT(M118:O118)=3,M118&gt;=0,M118&lt;=N118,N118&lt;=O118),"입력 OK","전체기간 확인"))))))</x:f>
        <x:v>입력 OK</x:v>
      </x:c>
      <x:c r="AN118" s="7" t="str">
        <x:v>16</x:v>
      </x:c>
    </x:row>
    <x:row r="119" ht="38" customHeight="1">
      <x:c r="A119" s="7" t="str">
        <x:v>BG05</x:v>
      </x:c>
      <x:c r="B119" s="7" t="str">
        <x:v>16 기자재 구매·제작</x:v>
      </x:c>
      <x:c r="C119" s="7" t="str">
        <x:v>전처리 패키지 B 조립·공장 기능시험</x:v>
      </x:c>
      <x:c r="D119" s="7" t="str">
        <x:f>'모듈선택'!B21</x:f>
        <x:v>적용</x:v>
      </x:c>
      <x:c r="E119" s="8" t="str">
        <x:v>계획</x:v>
      </x:c>
      <x:c r="F119" s="8" t="str">
        <x:v>주설비 공급사 / 패키지 벤더 / PM / 오너 검토</x:v>
      </x:c>
      <x:c r="G119" s="8" t="str">
        <x:v>조립기록, 시험절차</x:v>
      </x:c>
      <x:c r="H119" s="9"/>
      <x:c r="I119" s="9"/>
      <x:c r="J119" s="9"/>
      <x:c r="K119" s="9"/>
      <x:c r="L119" s="9"/>
      <x:c r="M119" s="8" t="n">
        <x:v>5</x:v>
      </x:c>
      <x:c r="N119" s="8" t="n">
        <x:v>7</x:v>
      </x:c>
      <x:c r="O119" s="8" t="n">
        <x:v>12</x:v>
      </x:c>
      <x:c r="P119" s="8"/>
      <x:c r="Q119" s="8"/>
      <x:c r="R119" s="8"/>
      <x:c r="S119" s="7" t="n">
        <x:f>IF(OR(AM119="제외",AM119="완료"),0,IF(AM119&lt;&gt;"입력 OK","",IF(E119="진행",P119,M119)))</x:f>
        <x:v>5</x:v>
      </x:c>
      <x:c r="T119" s="7" t="n">
        <x:f>IF(OR(AM119="제외",AM119="완료"),0,IF(AM119&lt;&gt;"입력 OK","",IF(E119="진행",Q119,N119)))</x:f>
        <x:v>7</x:v>
      </x:c>
      <x:c r="U119" s="7" t="n">
        <x:f>IF(OR(AM119="제외",AM119="완료"),0,IF(AM119&lt;&gt;"입력 OK","",IF(E119="진행",R119,O119)))</x:f>
        <x:v>12</x:v>
      </x:c>
      <x:c r="V119" s="11" t="n">
        <x:f>IF(COUNT(S119:U119)&lt;3,"",(S119+4*T119+U119)/6)</x:f>
        <x:v>7.5</x:v>
      </x:c>
      <x:c r="W119" s="11" t="n">
        <x:f>IF(COUNT(S119:U119)&lt;3,"",((U119-S119)/6)^2)</x:f>
        <x:v>1.3611111111111114</x:v>
      </x:c>
      <x:c r="X119" s="8" t="str">
        <x:v>BG04</x:v>
      </x:c>
      <x:c r="Y119" s="8" t="str"/>
      <x:c r="Z119" s="8" t="str"/>
      <x:c r="AA119" s="8" t="str"/>
      <x:c r="AB119" s="8" t="str"/>
      <x:c r="AC119" s="8" t="str"/>
      <x:c r="AD119" s="10" t="str">
        <x:f>IF(X119="",0,INDEX($AK$6:$AK$118,MATCH(X119,$A$6:$A$118,0)))</x:f>
      </x:c>
      <x:c r="AE119" s="10" t="n">
        <x:f>IF(Y119="",0,INDEX($AK$6:$AK$118,MATCH(Y119,$A$6:$A$118,0)))</x:f>
        <x:v>0</x:v>
      </x:c>
      <x:c r="AF119" s="10" t="n">
        <x:f>IF(Z119="",0,INDEX($AK$6:$AK$118,MATCH(Z119,$A$6:$A$118,0)))</x:f>
        <x:v>0</x:v>
      </x:c>
      <x:c r="AG119" s="10" t="n">
        <x:f>IF(AA119="",0,INDEX($AK$6:$AK$118,MATCH(AA119,$A$6:$A$118,0)))</x:f>
        <x:v>0</x:v>
      </x:c>
      <x:c r="AH119" s="10" t="n">
        <x:f>IF(AB119="",0,INDEX($AK$6:$AK$118,MATCH(AB119,$A$6:$A$118,0)))</x:f>
        <x:v>0</x:v>
      </x:c>
      <x:c r="AI119" s="10" t="n">
        <x:f>IF(AC119="",0,INDEX($AK$6:$AK$118,MATCH(AC119,$A$6:$A$118,0)))</x:f>
        <x:v>0</x:v>
      </x:c>
      <x:c r="AJ119" s="10" t="str">
        <x:f>IF(AM119="완료",IF(J119="",K119,J119),IF(OR(COUNT('프로젝트설정'!$B$7:$B$8)&lt;2,COUNT(AD119:AI119)&lt;6,COUNT(S119:U119)&lt;3),"",IF(AM119="제외",MAX('프로젝트설정'!$B$7,AD119:AI119),IF(E119="진행",J119,MAX('프로젝트설정'!$B$7:$B$8,L119,AD119:AI119)))))</x:f>
      </x:c>
      <x:c r="AK119" s="10" t="str">
        <x:f>IF(AM119="완료",K119,IF(AJ119="","",IF(E119="진행",MAX('프로젝트설정'!$B$8,AJ119,AD119:AI119)+T119,AJ119+T119)))</x:f>
      </x:c>
      <x:c r="AL119" s="7" t="str">
        <x:f>IF(OR(I119="",AK119=""),"",AK119-I119)</x:f>
      </x:c>
      <x:c r="AM119" s="7" t="str">
        <x:f>IF(OR(D119="제외",E119="제외"),"제외",IF(D119&lt;&gt;"적용","적용성 확인",IF(E119="완료",IF(ISNUMBER(K119),"완료","실제완료 입력"),IF(E119="보류","보류 해제 필요",IF(E119="진행",IF(AND(ISNUMBER(J119),COUNT(P119:R119)=3,P119&gt;=0,P119&lt;=Q119,Q119&lt;=R119),"입력 OK","실제착수·잔여기간 확인"),IF(AND(COUNT(M119:O119)=3,M119&gt;=0,M119&lt;=N119,N119&lt;=O119),"입력 OK","전체기간 확인"))))))</x:f>
        <x:v>입력 OK</x:v>
      </x:c>
      <x:c r="AN119" s="7" t="str">
        <x:v>16</x:v>
      </x:c>
    </x:row>
    <x:row r="120" ht="38" customHeight="1">
      <x:c r="A120" s="7" t="str">
        <x:v>BG06</x:v>
      </x:c>
      <x:c r="B120" s="7" t="str">
        <x:v>16 기자재 구매·제작</x:v>
      </x:c>
      <x:c r="C120" s="7" t="str">
        <x:v>전처리 패키지 B FAT 입회·지적사항 조치</x:v>
      </x:c>
      <x:c r="D120" s="7" t="str">
        <x:f>'모듈선택'!B21</x:f>
        <x:v>적용</x:v>
      </x:c>
      <x:c r="E120" s="8" t="str">
        <x:v>계획</x:v>
      </x:c>
      <x:c r="F120" s="8" t="str">
        <x:v>주설비 공급사 / 패키지 벤더 / PM / 오너 검토</x:v>
      </x:c>
      <x:c r="G120" s="8" t="str">
        <x:v>FAT report, punch close</x:v>
      </x:c>
      <x:c r="H120" s="9"/>
      <x:c r="I120" s="9"/>
      <x:c r="J120" s="9"/>
      <x:c r="K120" s="9"/>
      <x:c r="L120" s="9"/>
      <x:c r="M120" s="8" t="n">
        <x:v>3</x:v>
      </x:c>
      <x:c r="N120" s="8" t="n">
        <x:v>5</x:v>
      </x:c>
      <x:c r="O120" s="8" t="n">
        <x:v>9</x:v>
      </x:c>
      <x:c r="P120" s="8"/>
      <x:c r="Q120" s="8"/>
      <x:c r="R120" s="8"/>
      <x:c r="S120" s="7" t="n">
        <x:f>IF(OR(AM120="제외",AM120="완료"),0,IF(AM120&lt;&gt;"입력 OK","",IF(E120="진행",P120,M120)))</x:f>
        <x:v>3</x:v>
      </x:c>
      <x:c r="T120" s="7" t="n">
        <x:f>IF(OR(AM120="제외",AM120="완료"),0,IF(AM120&lt;&gt;"입력 OK","",IF(E120="진행",Q120,N120)))</x:f>
        <x:v>5</x:v>
      </x:c>
      <x:c r="U120" s="7" t="n">
        <x:f>IF(OR(AM120="제외",AM120="완료"),0,IF(AM120&lt;&gt;"입력 OK","",IF(E120="진행",R120,O120)))</x:f>
        <x:v>9</x:v>
      </x:c>
      <x:c r="V120" s="11" t="n">
        <x:f>IF(COUNT(S120:U120)&lt;3,"",(S120+4*T120+U120)/6)</x:f>
        <x:v>5.333333333333333</x:v>
      </x:c>
      <x:c r="W120" s="11" t="n">
        <x:f>IF(COUNT(S120:U120)&lt;3,"",((U120-S120)/6)^2)</x:f>
        <x:v>1</x:v>
      </x:c>
      <x:c r="X120" s="8" t="str">
        <x:v>BG05</x:v>
      </x:c>
      <x:c r="Y120" s="8" t="str"/>
      <x:c r="Z120" s="8" t="str"/>
      <x:c r="AA120" s="8" t="str"/>
      <x:c r="AB120" s="8" t="str"/>
      <x:c r="AC120" s="8" t="str"/>
      <x:c r="AD120" s="10" t="str">
        <x:f>IF(X120="",0,INDEX($AK$6:$AK$119,MATCH(X120,$A$6:$A$119,0)))</x:f>
      </x:c>
      <x:c r="AE120" s="10" t="n">
        <x:f>IF(Y120="",0,INDEX($AK$6:$AK$119,MATCH(Y120,$A$6:$A$119,0)))</x:f>
        <x:v>0</x:v>
      </x:c>
      <x:c r="AF120" s="10" t="n">
        <x:f>IF(Z120="",0,INDEX($AK$6:$AK$119,MATCH(Z120,$A$6:$A$119,0)))</x:f>
        <x:v>0</x:v>
      </x:c>
      <x:c r="AG120" s="10" t="n">
        <x:f>IF(AA120="",0,INDEX($AK$6:$AK$119,MATCH(AA120,$A$6:$A$119,0)))</x:f>
        <x:v>0</x:v>
      </x:c>
      <x:c r="AH120" s="10" t="n">
        <x:f>IF(AB120="",0,INDEX($AK$6:$AK$119,MATCH(AB120,$A$6:$A$119,0)))</x:f>
        <x:v>0</x:v>
      </x:c>
      <x:c r="AI120" s="10" t="n">
        <x:f>IF(AC120="",0,INDEX($AK$6:$AK$119,MATCH(AC120,$A$6:$A$119,0)))</x:f>
        <x:v>0</x:v>
      </x:c>
      <x:c r="AJ120" s="10" t="str">
        <x:f>IF(AM120="완료",IF(J120="",K120,J120),IF(OR(COUNT('프로젝트설정'!$B$7:$B$8)&lt;2,COUNT(AD120:AI120)&lt;6,COUNT(S120:U120)&lt;3),"",IF(AM120="제외",MAX('프로젝트설정'!$B$7,AD120:AI120),IF(E120="진행",J120,MAX('프로젝트설정'!$B$7:$B$8,L120,AD120:AI120)))))</x:f>
      </x:c>
      <x:c r="AK120" s="10" t="str">
        <x:f>IF(AM120="완료",K120,IF(AJ120="","",IF(E120="진행",MAX('프로젝트설정'!$B$8,AJ120,AD120:AI120)+T120,AJ120+T120)))</x:f>
      </x:c>
      <x:c r="AL120" s="7" t="str">
        <x:f>IF(OR(I120="",AK120=""),"",AK120-I120)</x:f>
      </x:c>
      <x:c r="AM120" s="7" t="str">
        <x:f>IF(OR(D120="제외",E120="제외"),"제외",IF(D120&lt;&gt;"적용","적용성 확인",IF(E120="완료",IF(ISNUMBER(K120),"완료","실제완료 입력"),IF(E120="보류","보류 해제 필요",IF(E120="진행",IF(AND(ISNUMBER(J120),COUNT(P120:R120)=3,P120&gt;=0,P120&lt;=Q120,Q120&lt;=R120),"입력 OK","실제착수·잔여기간 확인"),IF(AND(COUNT(M120:O120)=3,M120&gt;=0,M120&lt;=N120,N120&lt;=O120),"입력 OK","전체기간 확인"))))))</x:f>
        <x:v>입력 OK</x:v>
      </x:c>
      <x:c r="AN120" s="7" t="str">
        <x:v>16</x:v>
      </x:c>
    </x:row>
    <x:row r="121" ht="38" customHeight="1">
      <x:c r="A121" s="7" t="str">
        <x:v>BG07</x:v>
      </x:c>
      <x:c r="B121" s="7" t="str">
        <x:v>16 기자재 구매·제작</x:v>
      </x:c>
      <x:c r="C121" s="7" t="str">
        <x:v>전처리 패키지 B 출하승인·운송·현장 입고</x:v>
      </x:c>
      <x:c r="D121" s="7" t="str">
        <x:f>'모듈선택'!B21</x:f>
        <x:v>적용</x:v>
      </x:c>
      <x:c r="E121" s="8" t="str">
        <x:v>계획</x:v>
      </x:c>
      <x:c r="F121" s="8" t="str">
        <x:v>주설비 공급사 / 패키지 벤더 / PM / 오너 검토</x:v>
      </x:c>
      <x:c r="G121" s="8" t="str">
        <x:v>Release note, packing list, 입고검수</x:v>
      </x:c>
      <x:c r="H121" s="9"/>
      <x:c r="I121" s="9"/>
      <x:c r="J121" s="9"/>
      <x:c r="K121" s="9"/>
      <x:c r="L121" s="9"/>
      <x:c r="M121" s="8" t="n">
        <x:v>3</x:v>
      </x:c>
      <x:c r="N121" s="8" t="n">
        <x:v>4</x:v>
      </x:c>
      <x:c r="O121" s="8" t="n">
        <x:v>7</x:v>
      </x:c>
      <x:c r="P121" s="8"/>
      <x:c r="Q121" s="8"/>
      <x:c r="R121" s="8"/>
      <x:c r="S121" s="7" t="n">
        <x:f>IF(OR(AM121="제외",AM121="완료"),0,IF(AM121&lt;&gt;"입력 OK","",IF(E121="진행",P121,M121)))</x:f>
        <x:v>3</x:v>
      </x:c>
      <x:c r="T121" s="7" t="n">
        <x:f>IF(OR(AM121="제외",AM121="완료"),0,IF(AM121&lt;&gt;"입력 OK","",IF(E121="진행",Q121,N121)))</x:f>
        <x:v>4</x:v>
      </x:c>
      <x:c r="U121" s="7" t="n">
        <x:f>IF(OR(AM121="제외",AM121="완료"),0,IF(AM121&lt;&gt;"입력 OK","",IF(E121="진행",R121,O121)))</x:f>
        <x:v>7</x:v>
      </x:c>
      <x:c r="V121" s="11" t="n">
        <x:f>IF(COUNT(S121:U121)&lt;3,"",(S121+4*T121+U121)/6)</x:f>
        <x:v>4.333333333333333</x:v>
      </x:c>
      <x:c r="W121" s="11" t="n">
        <x:f>IF(COUNT(S121:U121)&lt;3,"",((U121-S121)/6)^2)</x:f>
        <x:v>0.4444444444444444</x:v>
      </x:c>
      <x:c r="X121" s="8" t="str">
        <x:v>BG06</x:v>
      </x:c>
      <x:c r="Y121" s="8" t="str"/>
      <x:c r="Z121" s="8" t="str"/>
      <x:c r="AA121" s="8" t="str"/>
      <x:c r="AB121" s="8" t="str"/>
      <x:c r="AC121" s="8" t="str"/>
      <x:c r="AD121" s="10" t="str">
        <x:f>IF(X121="",0,INDEX($AK$6:$AK$120,MATCH(X121,$A$6:$A$120,0)))</x:f>
      </x:c>
      <x:c r="AE121" s="10" t="n">
        <x:f>IF(Y121="",0,INDEX($AK$6:$AK$120,MATCH(Y121,$A$6:$A$120,0)))</x:f>
        <x:v>0</x:v>
      </x:c>
      <x:c r="AF121" s="10" t="n">
        <x:f>IF(Z121="",0,INDEX($AK$6:$AK$120,MATCH(Z121,$A$6:$A$120,0)))</x:f>
        <x:v>0</x:v>
      </x:c>
      <x:c r="AG121" s="10" t="n">
        <x:f>IF(AA121="",0,INDEX($AK$6:$AK$120,MATCH(AA121,$A$6:$A$120,0)))</x:f>
        <x:v>0</x:v>
      </x:c>
      <x:c r="AH121" s="10" t="n">
        <x:f>IF(AB121="",0,INDEX($AK$6:$AK$120,MATCH(AB121,$A$6:$A$120,0)))</x:f>
        <x:v>0</x:v>
      </x:c>
      <x:c r="AI121" s="10" t="n">
        <x:f>IF(AC121="",0,INDEX($AK$6:$AK$120,MATCH(AC121,$A$6:$A$120,0)))</x:f>
        <x:v>0</x:v>
      </x:c>
      <x:c r="AJ121" s="10" t="str">
        <x:f>IF(AM121="완료",IF(J121="",K121,J121),IF(OR(COUNT('프로젝트설정'!$B$7:$B$8)&lt;2,COUNT(AD121:AI121)&lt;6,COUNT(S121:U121)&lt;3),"",IF(AM121="제외",MAX('프로젝트설정'!$B$7,AD121:AI121),IF(E121="진행",J121,MAX('프로젝트설정'!$B$7:$B$8,L121,AD121:AI121)))))</x:f>
      </x:c>
      <x:c r="AK121" s="10" t="str">
        <x:f>IF(AM121="완료",K121,IF(AJ121="","",IF(E121="진행",MAX('프로젝트설정'!$B$8,AJ121,AD121:AI121)+T121,AJ121+T121)))</x:f>
      </x:c>
      <x:c r="AL121" s="7" t="str">
        <x:f>IF(OR(I121="",AK121=""),"",AK121-I121)</x:f>
      </x:c>
      <x:c r="AM121" s="7" t="str">
        <x:f>IF(OR(D121="제외",E121="제외"),"제외",IF(D121&lt;&gt;"적용","적용성 확인",IF(E121="완료",IF(ISNUMBER(K121),"완료","실제완료 입력"),IF(E121="보류","보류 해제 필요",IF(E121="진행",IF(AND(ISNUMBER(J121),COUNT(P121:R121)=3,P121&gt;=0,P121&lt;=Q121,Q121&lt;=R121),"입력 OK","실제착수·잔여기간 확인"),IF(AND(COUNT(M121:O121)=3,M121&gt;=0,M121&lt;=N121,N121&lt;=O121),"입력 OK","전체기간 확인"))))))</x:f>
        <x:v>입력 OK</x:v>
      </x:c>
      <x:c r="AN121" s="7" t="str">
        <x:v>16</x:v>
      </x:c>
    </x:row>
    <x:row r="122" ht="38" customHeight="1">
      <x:c r="A122" s="7" t="str">
        <x:v>CP01</x:v>
      </x:c>
      <x:c r="B122" s="7" t="str">
        <x:v>16 기자재 구매·제작</x:v>
      </x:c>
      <x:c r="C122" s="7" t="str">
        <x:v>압축기 잔여 발주범위·사양 확정</x:v>
      </x:c>
      <x:c r="D122" s="7" t="str">
        <x:f>'모듈선택'!B21</x:f>
        <x:v>적용</x:v>
      </x:c>
      <x:c r="E122" s="8" t="str">
        <x:v>계획</x:v>
      </x:c>
      <x:c r="F122" s="8" t="str">
        <x:v>주설비 공급사 / 패키지 벤더 / PM / 오너 검토</x:v>
      </x:c>
      <x:c r="G122" s="8" t="str">
        <x:v>Datasheet, RFQ, 기존 PO 확인</x:v>
      </x:c>
      <x:c r="H122" s="9"/>
      <x:c r="I122" s="9"/>
      <x:c r="J122" s="9"/>
      <x:c r="K122" s="9"/>
      <x:c r="L122" s="9"/>
      <x:c r="M122" s="8" t="n">
        <x:v>3</x:v>
      </x:c>
      <x:c r="N122" s="8" t="n">
        <x:v>4</x:v>
      </x:c>
      <x:c r="O122" s="8" t="n">
        <x:v>7</x:v>
      </x:c>
      <x:c r="P122" s="8"/>
      <x:c r="Q122" s="8"/>
      <x:c r="R122" s="8"/>
      <x:c r="S122" s="7" t="n">
        <x:f>IF(OR(AM122="제외",AM122="완료"),0,IF(AM122&lt;&gt;"입력 OK","",IF(E122="진행",P122,M122)))</x:f>
        <x:v>3</x:v>
      </x:c>
      <x:c r="T122" s="7" t="n">
        <x:f>IF(OR(AM122="제외",AM122="완료"),0,IF(AM122&lt;&gt;"입력 OK","",IF(E122="진행",Q122,N122)))</x:f>
        <x:v>4</x:v>
      </x:c>
      <x:c r="U122" s="7" t="n">
        <x:f>IF(OR(AM122="제외",AM122="완료"),0,IF(AM122&lt;&gt;"입력 OK","",IF(E122="진행",R122,O122)))</x:f>
        <x:v>7</x:v>
      </x:c>
      <x:c r="V122" s="11" t="n">
        <x:f>IF(COUNT(S122:U122)&lt;3,"",(S122+4*T122+U122)/6)</x:f>
        <x:v>4.333333333333333</x:v>
      </x:c>
      <x:c r="W122" s="11" t="n">
        <x:f>IF(COUNT(S122:U122)&lt;3,"",((U122-S122)/6)^2)</x:f>
        <x:v>0.4444444444444444</x:v>
      </x:c>
      <x:c r="X122" s="8" t="str">
        <x:v>VP06</x:v>
      </x:c>
      <x:c r="Y122" s="8" t="str"/>
      <x:c r="Z122" s="8" t="str"/>
      <x:c r="AA122" s="8" t="str"/>
      <x:c r="AB122" s="8" t="str"/>
      <x:c r="AC122" s="8" t="str"/>
      <x:c r="AD122" s="10" t="str">
        <x:f>IF(X122="",0,INDEX($AK$6:$AK$121,MATCH(X122,$A$6:$A$121,0)))</x:f>
      </x:c>
      <x:c r="AE122" s="10" t="n">
        <x:f>IF(Y122="",0,INDEX($AK$6:$AK$121,MATCH(Y122,$A$6:$A$121,0)))</x:f>
        <x:v>0</x:v>
      </x:c>
      <x:c r="AF122" s="10" t="n">
        <x:f>IF(Z122="",0,INDEX($AK$6:$AK$121,MATCH(Z122,$A$6:$A$121,0)))</x:f>
        <x:v>0</x:v>
      </x:c>
      <x:c r="AG122" s="10" t="n">
        <x:f>IF(AA122="",0,INDEX($AK$6:$AK$121,MATCH(AA122,$A$6:$A$121,0)))</x:f>
        <x:v>0</x:v>
      </x:c>
      <x:c r="AH122" s="10" t="n">
        <x:f>IF(AB122="",0,INDEX($AK$6:$AK$121,MATCH(AB122,$A$6:$A$121,0)))</x:f>
        <x:v>0</x:v>
      </x:c>
      <x:c r="AI122" s="10" t="n">
        <x:f>IF(AC122="",0,INDEX($AK$6:$AK$121,MATCH(AC122,$A$6:$A$121,0)))</x:f>
        <x:v>0</x:v>
      </x:c>
      <x:c r="AJ122" s="10" t="str">
        <x:f>IF(AM122="완료",IF(J122="",K122,J122),IF(OR(COUNT('프로젝트설정'!$B$7:$B$8)&lt;2,COUNT(AD122:AI122)&lt;6,COUNT(S122:U122)&lt;3),"",IF(AM122="제외",MAX('프로젝트설정'!$B$7,AD122:AI122),IF(E122="진행",J122,MAX('프로젝트설정'!$B$7:$B$8,L122,AD122:AI122)))))</x:f>
      </x:c>
      <x:c r="AK122" s="10" t="str">
        <x:f>IF(AM122="완료",K122,IF(AJ122="","",IF(E122="진행",MAX('프로젝트설정'!$B$8,AJ122,AD122:AI122)+T122,AJ122+T122)))</x:f>
      </x:c>
      <x:c r="AL122" s="7" t="str">
        <x:f>IF(OR(I122="",AK122=""),"",AK122-I122)</x:f>
      </x:c>
      <x:c r="AM122" s="7" t="str">
        <x:f>IF(OR(D122="제외",E122="제외"),"제외",IF(D122&lt;&gt;"적용","적용성 확인",IF(E122="완료",IF(ISNUMBER(K122),"완료","실제완료 입력"),IF(E122="보류","보류 해제 필요",IF(E122="진행",IF(AND(ISNUMBER(J122),COUNT(P122:R122)=3,P122&gt;=0,P122&lt;=Q122,Q122&lt;=R122),"입력 OK","실제착수·잔여기간 확인"),IF(AND(COUNT(M122:O122)=3,M122&gt;=0,M122&lt;=N122,N122&lt;=O122),"입력 OK","전체기간 확인"))))))</x:f>
        <x:v>입력 OK</x:v>
      </x:c>
      <x:c r="AN122" s="7" t="str">
        <x:v>16</x:v>
      </x:c>
    </x:row>
    <x:row r="123" ht="38" customHeight="1">
      <x:c r="A123" s="7" t="str">
        <x:v>CP02</x:v>
      </x:c>
      <x:c r="B123" s="7" t="str">
        <x:v>16 기자재 구매·제작</x:v>
      </x:c>
      <x:c r="C123" s="7" t="str">
        <x:v>압축기 견적/TBE·계약조건·납기 합의</x:v>
      </x:c>
      <x:c r="D123" s="7" t="str">
        <x:f>'모듈선택'!B21</x:f>
        <x:v>적용</x:v>
      </x:c>
      <x:c r="E123" s="8" t="str">
        <x:v>계획</x:v>
      </x:c>
      <x:c r="F123" s="8" t="str">
        <x:v>주설비 공급사 / 패키지 벤더 / PM / 오너 검토</x:v>
      </x:c>
      <x:c r="G123" s="8" t="str">
        <x:v>TBE, PO, 납기표</x:v>
      </x:c>
      <x:c r="H123" s="9"/>
      <x:c r="I123" s="9"/>
      <x:c r="J123" s="9"/>
      <x:c r="K123" s="9"/>
      <x:c r="L123" s="9"/>
      <x:c r="M123" s="8" t="n">
        <x:v>5</x:v>
      </x:c>
      <x:c r="N123" s="8" t="n">
        <x:v>7</x:v>
      </x:c>
      <x:c r="O123" s="8" t="n">
        <x:v>12</x:v>
      </x:c>
      <x:c r="P123" s="8"/>
      <x:c r="Q123" s="8"/>
      <x:c r="R123" s="8"/>
      <x:c r="S123" s="7" t="n">
        <x:f>IF(OR(AM123="제외",AM123="완료"),0,IF(AM123&lt;&gt;"입력 OK","",IF(E123="진행",P123,M123)))</x:f>
        <x:v>5</x:v>
      </x:c>
      <x:c r="T123" s="7" t="n">
        <x:f>IF(OR(AM123="제외",AM123="완료"),0,IF(AM123&lt;&gt;"입력 OK","",IF(E123="진행",Q123,N123)))</x:f>
        <x:v>7</x:v>
      </x:c>
      <x:c r="U123" s="7" t="n">
        <x:f>IF(OR(AM123="제외",AM123="완료"),0,IF(AM123&lt;&gt;"입력 OK","",IF(E123="진행",R123,O123)))</x:f>
        <x:v>12</x:v>
      </x:c>
      <x:c r="V123" s="11" t="n">
        <x:f>IF(COUNT(S123:U123)&lt;3,"",(S123+4*T123+U123)/6)</x:f>
        <x:v>7.5</x:v>
      </x:c>
      <x:c r="W123" s="11" t="n">
        <x:f>IF(COUNT(S123:U123)&lt;3,"",((U123-S123)/6)^2)</x:f>
        <x:v>1.3611111111111114</x:v>
      </x:c>
      <x:c r="X123" s="8" t="str">
        <x:v>CP01</x:v>
      </x:c>
      <x:c r="Y123" s="8" t="str"/>
      <x:c r="Z123" s="8" t="str"/>
      <x:c r="AA123" s="8" t="str"/>
      <x:c r="AB123" s="8" t="str"/>
      <x:c r="AC123" s="8" t="str"/>
      <x:c r="AD123" s="10" t="str">
        <x:f>IF(X123="",0,INDEX($AK$6:$AK$122,MATCH(X123,$A$6:$A$122,0)))</x:f>
      </x:c>
      <x:c r="AE123" s="10" t="n">
        <x:f>IF(Y123="",0,INDEX($AK$6:$AK$122,MATCH(Y123,$A$6:$A$122,0)))</x:f>
        <x:v>0</x:v>
      </x:c>
      <x:c r="AF123" s="10" t="n">
        <x:f>IF(Z123="",0,INDEX($AK$6:$AK$122,MATCH(Z123,$A$6:$A$122,0)))</x:f>
        <x:v>0</x:v>
      </x:c>
      <x:c r="AG123" s="10" t="n">
        <x:f>IF(AA123="",0,INDEX($AK$6:$AK$122,MATCH(AA123,$A$6:$A$122,0)))</x:f>
        <x:v>0</x:v>
      </x:c>
      <x:c r="AH123" s="10" t="n">
        <x:f>IF(AB123="",0,INDEX($AK$6:$AK$122,MATCH(AB123,$A$6:$A$122,0)))</x:f>
        <x:v>0</x:v>
      </x:c>
      <x:c r="AI123" s="10" t="n">
        <x:f>IF(AC123="",0,INDEX($AK$6:$AK$122,MATCH(AC123,$A$6:$A$122,0)))</x:f>
        <x:v>0</x:v>
      </x:c>
      <x:c r="AJ123" s="10" t="str">
        <x:f>IF(AM123="완료",IF(J123="",K123,J123),IF(OR(COUNT('프로젝트설정'!$B$7:$B$8)&lt;2,COUNT(AD123:AI123)&lt;6,COUNT(S123:U123)&lt;3),"",IF(AM123="제외",MAX('프로젝트설정'!$B$7,AD123:AI123),IF(E123="진행",J123,MAX('프로젝트설정'!$B$7:$B$8,L123,AD123:AI123)))))</x:f>
      </x:c>
      <x:c r="AK123" s="10" t="str">
        <x:f>IF(AM123="완료",K123,IF(AJ123="","",IF(E123="진행",MAX('프로젝트설정'!$B$8,AJ123,AD123:AI123)+T123,AJ123+T123)))</x:f>
      </x:c>
      <x:c r="AL123" s="7" t="str">
        <x:f>IF(OR(I123="",AK123=""),"",AK123-I123)</x:f>
      </x:c>
      <x:c r="AM123" s="7" t="str">
        <x:f>IF(OR(D123="제외",E123="제외"),"제외",IF(D123&lt;&gt;"적용","적용성 확인",IF(E123="완료",IF(ISNUMBER(K123),"완료","실제완료 입력"),IF(E123="보류","보류 해제 필요",IF(E123="진행",IF(AND(ISNUMBER(J123),COUNT(P123:R123)=3,P123&gt;=0,P123&lt;=Q123,Q123&lt;=R123),"입력 OK","실제착수·잔여기간 확인"),IF(AND(COUNT(M123:O123)=3,M123&gt;=0,M123&lt;=N123,N123&lt;=O123),"입력 OK","전체기간 확인"))))))</x:f>
        <x:v>입력 OK</x:v>
      </x:c>
      <x:c r="AN123" s="7" t="str">
        <x:v>16</x:v>
      </x:c>
    </x:row>
    <x:row r="124" ht="38" customHeight="1">
      <x:c r="A124" s="7" t="str">
        <x:v>CP03</x:v>
      </x:c>
      <x:c r="B124" s="7" t="str">
        <x:v>16 기자재 구매·제작</x:v>
      </x:c>
      <x:c r="C124" s="7" t="str">
        <x:v>압축기 제작도·ITP 승인</x:v>
      </x:c>
      <x:c r="D124" s="7" t="str">
        <x:f>'모듈선택'!B21</x:f>
        <x:v>적용</x:v>
      </x:c>
      <x:c r="E124" s="8" t="str">
        <x:v>계획</x:v>
      </x:c>
      <x:c r="F124" s="8" t="str">
        <x:v>주설비 공급사 / 패키지 벤더 / PM / 오너 검토</x:v>
      </x:c>
      <x:c r="G124" s="8" t="str">
        <x:v>Approved drawing, ITP</x:v>
      </x:c>
      <x:c r="H124" s="9"/>
      <x:c r="I124" s="9"/>
      <x:c r="J124" s="9"/>
      <x:c r="K124" s="9"/>
      <x:c r="L124" s="9"/>
      <x:c r="M124" s="8" t="n">
        <x:v>7</x:v>
      </x:c>
      <x:c r="N124" s="8" t="n">
        <x:v>10</x:v>
      </x:c>
      <x:c r="O124" s="8" t="n">
        <x:v>17</x:v>
      </x:c>
      <x:c r="P124" s="8"/>
      <x:c r="Q124" s="8"/>
      <x:c r="R124" s="8"/>
      <x:c r="S124" s="7" t="n">
        <x:f>IF(OR(AM124="제외",AM124="완료"),0,IF(AM124&lt;&gt;"입력 OK","",IF(E124="진행",P124,M124)))</x:f>
        <x:v>7</x:v>
      </x:c>
      <x:c r="T124" s="7" t="n">
        <x:f>IF(OR(AM124="제외",AM124="완료"),0,IF(AM124&lt;&gt;"입력 OK","",IF(E124="진행",Q124,N124)))</x:f>
        <x:v>10</x:v>
      </x:c>
      <x:c r="U124" s="7" t="n">
        <x:f>IF(OR(AM124="제외",AM124="완료"),0,IF(AM124&lt;&gt;"입력 OK","",IF(E124="진행",R124,O124)))</x:f>
        <x:v>17</x:v>
      </x:c>
      <x:c r="V124" s="11" t="n">
        <x:f>IF(COUNT(S124:U124)&lt;3,"",(S124+4*T124+U124)/6)</x:f>
        <x:v>10.666666666666666</x:v>
      </x:c>
      <x:c r="W124" s="11" t="n">
        <x:f>IF(COUNT(S124:U124)&lt;3,"",((U124-S124)/6)^2)</x:f>
        <x:v>2.777777777777778</x:v>
      </x:c>
      <x:c r="X124" s="8" t="str">
        <x:v>CP02</x:v>
      </x:c>
      <x:c r="Y124" s="8" t="str"/>
      <x:c r="Z124" s="8" t="str"/>
      <x:c r="AA124" s="8" t="str"/>
      <x:c r="AB124" s="8" t="str"/>
      <x:c r="AC124" s="8" t="str"/>
      <x:c r="AD124" s="10" t="str">
        <x:f>IF(X124="",0,INDEX($AK$6:$AK$123,MATCH(X124,$A$6:$A$123,0)))</x:f>
      </x:c>
      <x:c r="AE124" s="10" t="n">
        <x:f>IF(Y124="",0,INDEX($AK$6:$AK$123,MATCH(Y124,$A$6:$A$123,0)))</x:f>
        <x:v>0</x:v>
      </x:c>
      <x:c r="AF124" s="10" t="n">
        <x:f>IF(Z124="",0,INDEX($AK$6:$AK$123,MATCH(Z124,$A$6:$A$123,0)))</x:f>
        <x:v>0</x:v>
      </x:c>
      <x:c r="AG124" s="10" t="n">
        <x:f>IF(AA124="",0,INDEX($AK$6:$AK$123,MATCH(AA124,$A$6:$A$123,0)))</x:f>
        <x:v>0</x:v>
      </x:c>
      <x:c r="AH124" s="10" t="n">
        <x:f>IF(AB124="",0,INDEX($AK$6:$AK$123,MATCH(AB124,$A$6:$A$123,0)))</x:f>
        <x:v>0</x:v>
      </x:c>
      <x:c r="AI124" s="10" t="n">
        <x:f>IF(AC124="",0,INDEX($AK$6:$AK$123,MATCH(AC124,$A$6:$A$123,0)))</x:f>
        <x:v>0</x:v>
      </x:c>
      <x:c r="AJ124" s="10" t="str">
        <x:f>IF(AM124="완료",IF(J124="",K124,J124),IF(OR(COUNT('프로젝트설정'!$B$7:$B$8)&lt;2,COUNT(AD124:AI124)&lt;6,COUNT(S124:U124)&lt;3),"",IF(AM124="제외",MAX('프로젝트설정'!$B$7,AD124:AI124),IF(E124="진행",J124,MAX('프로젝트설정'!$B$7:$B$8,L124,AD124:AI124)))))</x:f>
      </x:c>
      <x:c r="AK124" s="10" t="str">
        <x:f>IF(AM124="완료",K124,IF(AJ124="","",IF(E124="진행",MAX('프로젝트설정'!$B$8,AJ124,AD124:AI124)+T124,AJ124+T124)))</x:f>
      </x:c>
      <x:c r="AL124" s="7" t="str">
        <x:f>IF(OR(I124="",AK124=""),"",AK124-I124)</x:f>
      </x:c>
      <x:c r="AM124" s="7" t="str">
        <x:f>IF(OR(D124="제외",E124="제외"),"제외",IF(D124&lt;&gt;"적용","적용성 확인",IF(E124="완료",IF(ISNUMBER(K124),"완료","실제완료 입력"),IF(E124="보류","보류 해제 필요",IF(E124="진행",IF(AND(ISNUMBER(J124),COUNT(P124:R124)=3,P124&gt;=0,P124&lt;=Q124,Q124&lt;=R124),"입력 OK","실제착수·잔여기간 확인"),IF(AND(COUNT(M124:O124)=3,M124&gt;=0,M124&lt;=N124,N124&lt;=O124),"입력 OK","전체기간 확인"))))))</x:f>
        <x:v>입력 OK</x:v>
      </x:c>
      <x:c r="AN124" s="7" t="str">
        <x:v>16</x:v>
      </x:c>
    </x:row>
    <x:row r="125" ht="38" customHeight="1">
      <x:c r="A125" s="7" t="str">
        <x:v>CP04</x:v>
      </x:c>
      <x:c r="B125" s="7" t="str">
        <x:v>16 기자재 구매·제작</x:v>
      </x:c>
      <x:c r="C125" s="7" t="str">
        <x:v>압축기 자재조달·제작</x:v>
      </x:c>
      <x:c r="D125" s="7" t="str">
        <x:f>'모듈선택'!B21</x:f>
        <x:v>적용</x:v>
      </x:c>
      <x:c r="E125" s="8" t="str">
        <x:v>계획</x:v>
      </x:c>
      <x:c r="F125" s="8" t="str">
        <x:v>주설비 공급사 / 패키지 벤더 / PM / 오너 검토</x:v>
      </x:c>
      <x:c r="G125" s="8" t="str">
        <x:v>제작공정표, 자재성적서</x:v>
      </x:c>
      <x:c r="H125" s="9"/>
      <x:c r="I125" s="9"/>
      <x:c r="J125" s="9"/>
      <x:c r="K125" s="9"/>
      <x:c r="L125" s="9"/>
      <x:c r="M125" s="8" t="n">
        <x:v>70</x:v>
      </x:c>
      <x:c r="N125" s="8" t="n">
        <x:v>100</x:v>
      </x:c>
      <x:c r="O125" s="8" t="n">
        <x:v>150</x:v>
      </x:c>
      <x:c r="P125" s="8"/>
      <x:c r="Q125" s="8"/>
      <x:c r="R125" s="8"/>
      <x:c r="S125" s="7" t="n">
        <x:f>IF(OR(AM125="제외",AM125="완료"),0,IF(AM125&lt;&gt;"입력 OK","",IF(E125="진행",P125,M125)))</x:f>
        <x:v>70</x:v>
      </x:c>
      <x:c r="T125" s="7" t="n">
        <x:f>IF(OR(AM125="제외",AM125="완료"),0,IF(AM125&lt;&gt;"입력 OK","",IF(E125="진행",Q125,N125)))</x:f>
        <x:v>100</x:v>
      </x:c>
      <x:c r="U125" s="7" t="n">
        <x:f>IF(OR(AM125="제외",AM125="완료"),0,IF(AM125&lt;&gt;"입력 OK","",IF(E125="진행",R125,O125)))</x:f>
        <x:v>150</x:v>
      </x:c>
      <x:c r="V125" s="11" t="n">
        <x:f>IF(COUNT(S125:U125)&lt;3,"",(S125+4*T125+U125)/6)</x:f>
        <x:v>103.33333333333333</x:v>
      </x:c>
      <x:c r="W125" s="11" t="n">
        <x:f>IF(COUNT(S125:U125)&lt;3,"",((U125-S125)/6)^2)</x:f>
        <x:v>177.7777777777778</x:v>
      </x:c>
      <x:c r="X125" s="8" t="str">
        <x:v>CP03</x:v>
      </x:c>
      <x:c r="Y125" s="8" t="str"/>
      <x:c r="Z125" s="8" t="str"/>
      <x:c r="AA125" s="8" t="str"/>
      <x:c r="AB125" s="8" t="str"/>
      <x:c r="AC125" s="8" t="str"/>
      <x:c r="AD125" s="10" t="str">
        <x:f>IF(X125="",0,INDEX($AK$6:$AK$124,MATCH(X125,$A$6:$A$124,0)))</x:f>
      </x:c>
      <x:c r="AE125" s="10" t="n">
        <x:f>IF(Y125="",0,INDEX($AK$6:$AK$124,MATCH(Y125,$A$6:$A$124,0)))</x:f>
        <x:v>0</x:v>
      </x:c>
      <x:c r="AF125" s="10" t="n">
        <x:f>IF(Z125="",0,INDEX($AK$6:$AK$124,MATCH(Z125,$A$6:$A$124,0)))</x:f>
        <x:v>0</x:v>
      </x:c>
      <x:c r="AG125" s="10" t="n">
        <x:f>IF(AA125="",0,INDEX($AK$6:$AK$124,MATCH(AA125,$A$6:$A$124,0)))</x:f>
        <x:v>0</x:v>
      </x:c>
      <x:c r="AH125" s="10" t="n">
        <x:f>IF(AB125="",0,INDEX($AK$6:$AK$124,MATCH(AB125,$A$6:$A$124,0)))</x:f>
        <x:v>0</x:v>
      </x:c>
      <x:c r="AI125" s="10" t="n">
        <x:f>IF(AC125="",0,INDEX($AK$6:$AK$124,MATCH(AC125,$A$6:$A$124,0)))</x:f>
        <x:v>0</x:v>
      </x:c>
      <x:c r="AJ125" s="10" t="str">
        <x:f>IF(AM125="완료",IF(J125="",K125,J125),IF(OR(COUNT('프로젝트설정'!$B$7:$B$8)&lt;2,COUNT(AD125:AI125)&lt;6,COUNT(S125:U125)&lt;3),"",IF(AM125="제외",MAX('프로젝트설정'!$B$7,AD125:AI125),IF(E125="진행",J125,MAX('프로젝트설정'!$B$7:$B$8,L125,AD125:AI125)))))</x:f>
      </x:c>
      <x:c r="AK125" s="10" t="str">
        <x:f>IF(AM125="완료",K125,IF(AJ125="","",IF(E125="진행",MAX('프로젝트설정'!$B$8,AJ125,AD125:AI125)+T125,AJ125+T125)))</x:f>
      </x:c>
      <x:c r="AL125" s="7" t="str">
        <x:f>IF(OR(I125="",AK125=""),"",AK125-I125)</x:f>
      </x:c>
      <x:c r="AM125" s="7" t="str">
        <x:f>IF(OR(D125="제외",E125="제외"),"제외",IF(D125&lt;&gt;"적용","적용성 확인",IF(E125="완료",IF(ISNUMBER(K125),"완료","실제완료 입력"),IF(E125="보류","보류 해제 필요",IF(E125="진행",IF(AND(ISNUMBER(J125),COUNT(P125:R125)=3,P125&gt;=0,P125&lt;=Q125,Q125&lt;=R125),"입력 OK","실제착수·잔여기간 확인"),IF(AND(COUNT(M125:O125)=3,M125&gt;=0,M125&lt;=N125,N125&lt;=O125),"입력 OK","전체기간 확인"))))))</x:f>
        <x:v>입력 OK</x:v>
      </x:c>
      <x:c r="AN125" s="7" t="str">
        <x:v>16</x:v>
      </x:c>
    </x:row>
    <x:row r="126" ht="38" customHeight="1">
      <x:c r="A126" s="7" t="str">
        <x:v>CP05</x:v>
      </x:c>
      <x:c r="B126" s="7" t="str">
        <x:v>16 기자재 구매·제작</x:v>
      </x:c>
      <x:c r="C126" s="7" t="str">
        <x:v>압축기 조립·공장 기능시험</x:v>
      </x:c>
      <x:c r="D126" s="7" t="str">
        <x:f>'모듈선택'!B21</x:f>
        <x:v>적용</x:v>
      </x:c>
      <x:c r="E126" s="8" t="str">
        <x:v>계획</x:v>
      </x:c>
      <x:c r="F126" s="8" t="str">
        <x:v>주설비 공급사 / 패키지 벤더 / PM / 오너 검토</x:v>
      </x:c>
      <x:c r="G126" s="8" t="str">
        <x:v>조립기록, 시험절차</x:v>
      </x:c>
      <x:c r="H126" s="9"/>
      <x:c r="I126" s="9"/>
      <x:c r="J126" s="9"/>
      <x:c r="K126" s="9"/>
      <x:c r="L126" s="9"/>
      <x:c r="M126" s="8" t="n">
        <x:v>5</x:v>
      </x:c>
      <x:c r="N126" s="8" t="n">
        <x:v>7</x:v>
      </x:c>
      <x:c r="O126" s="8" t="n">
        <x:v>12</x:v>
      </x:c>
      <x:c r="P126" s="8"/>
      <x:c r="Q126" s="8"/>
      <x:c r="R126" s="8"/>
      <x:c r="S126" s="7" t="n">
        <x:f>IF(OR(AM126="제외",AM126="완료"),0,IF(AM126&lt;&gt;"입력 OK","",IF(E126="진행",P126,M126)))</x:f>
        <x:v>5</x:v>
      </x:c>
      <x:c r="T126" s="7" t="n">
        <x:f>IF(OR(AM126="제외",AM126="완료"),0,IF(AM126&lt;&gt;"입력 OK","",IF(E126="진행",Q126,N126)))</x:f>
        <x:v>7</x:v>
      </x:c>
      <x:c r="U126" s="7" t="n">
        <x:f>IF(OR(AM126="제외",AM126="완료"),0,IF(AM126&lt;&gt;"입력 OK","",IF(E126="진행",R126,O126)))</x:f>
        <x:v>12</x:v>
      </x:c>
      <x:c r="V126" s="11" t="n">
        <x:f>IF(COUNT(S126:U126)&lt;3,"",(S126+4*T126+U126)/6)</x:f>
        <x:v>7.5</x:v>
      </x:c>
      <x:c r="W126" s="11" t="n">
        <x:f>IF(COUNT(S126:U126)&lt;3,"",((U126-S126)/6)^2)</x:f>
        <x:v>1.3611111111111114</x:v>
      </x:c>
      <x:c r="X126" s="8" t="str">
        <x:v>CP04</x:v>
      </x:c>
      <x:c r="Y126" s="8" t="str"/>
      <x:c r="Z126" s="8" t="str"/>
      <x:c r="AA126" s="8" t="str"/>
      <x:c r="AB126" s="8" t="str"/>
      <x:c r="AC126" s="8" t="str"/>
      <x:c r="AD126" s="10" t="str">
        <x:f>IF(X126="",0,INDEX($AK$6:$AK$125,MATCH(X126,$A$6:$A$125,0)))</x:f>
      </x:c>
      <x:c r="AE126" s="10" t="n">
        <x:f>IF(Y126="",0,INDEX($AK$6:$AK$125,MATCH(Y126,$A$6:$A$125,0)))</x:f>
        <x:v>0</x:v>
      </x:c>
      <x:c r="AF126" s="10" t="n">
        <x:f>IF(Z126="",0,INDEX($AK$6:$AK$125,MATCH(Z126,$A$6:$A$125,0)))</x:f>
        <x:v>0</x:v>
      </x:c>
      <x:c r="AG126" s="10" t="n">
        <x:f>IF(AA126="",0,INDEX($AK$6:$AK$125,MATCH(AA126,$A$6:$A$125,0)))</x:f>
        <x:v>0</x:v>
      </x:c>
      <x:c r="AH126" s="10" t="n">
        <x:f>IF(AB126="",0,INDEX($AK$6:$AK$125,MATCH(AB126,$A$6:$A$125,0)))</x:f>
        <x:v>0</x:v>
      </x:c>
      <x:c r="AI126" s="10" t="n">
        <x:f>IF(AC126="",0,INDEX($AK$6:$AK$125,MATCH(AC126,$A$6:$A$125,0)))</x:f>
        <x:v>0</x:v>
      </x:c>
      <x:c r="AJ126" s="10" t="str">
        <x:f>IF(AM126="완료",IF(J126="",K126,J126),IF(OR(COUNT('프로젝트설정'!$B$7:$B$8)&lt;2,COUNT(AD126:AI126)&lt;6,COUNT(S126:U126)&lt;3),"",IF(AM126="제외",MAX('프로젝트설정'!$B$7,AD126:AI126),IF(E126="진행",J126,MAX('프로젝트설정'!$B$7:$B$8,L126,AD126:AI126)))))</x:f>
      </x:c>
      <x:c r="AK126" s="10" t="str">
        <x:f>IF(AM126="완료",K126,IF(AJ126="","",IF(E126="진행",MAX('프로젝트설정'!$B$8,AJ126,AD126:AI126)+T126,AJ126+T126)))</x:f>
      </x:c>
      <x:c r="AL126" s="7" t="str">
        <x:f>IF(OR(I126="",AK126=""),"",AK126-I126)</x:f>
      </x:c>
      <x:c r="AM126" s="7" t="str">
        <x:f>IF(OR(D126="제외",E126="제외"),"제외",IF(D126&lt;&gt;"적용","적용성 확인",IF(E126="완료",IF(ISNUMBER(K126),"완료","실제완료 입력"),IF(E126="보류","보류 해제 필요",IF(E126="진행",IF(AND(ISNUMBER(J126),COUNT(P126:R126)=3,P126&gt;=0,P126&lt;=Q126,Q126&lt;=R126),"입력 OK","실제착수·잔여기간 확인"),IF(AND(COUNT(M126:O126)=3,M126&gt;=0,M126&lt;=N126,N126&lt;=O126),"입력 OK","전체기간 확인"))))))</x:f>
        <x:v>입력 OK</x:v>
      </x:c>
      <x:c r="AN126" s="7" t="str">
        <x:v>16</x:v>
      </x:c>
    </x:row>
    <x:row r="127" ht="38" customHeight="1">
      <x:c r="A127" s="7" t="str">
        <x:v>CP06</x:v>
      </x:c>
      <x:c r="B127" s="7" t="str">
        <x:v>16 기자재 구매·제작</x:v>
      </x:c>
      <x:c r="C127" s="7" t="str">
        <x:v>압축기 FAT 입회·지적사항 조치</x:v>
      </x:c>
      <x:c r="D127" s="7" t="str">
        <x:f>'모듈선택'!B21</x:f>
        <x:v>적용</x:v>
      </x:c>
      <x:c r="E127" s="8" t="str">
        <x:v>계획</x:v>
      </x:c>
      <x:c r="F127" s="8" t="str">
        <x:v>주설비 공급사 / 패키지 벤더 / PM / 오너 검토</x:v>
      </x:c>
      <x:c r="G127" s="8" t="str">
        <x:v>FAT report, punch close</x:v>
      </x:c>
      <x:c r="H127" s="9"/>
      <x:c r="I127" s="9"/>
      <x:c r="J127" s="9"/>
      <x:c r="K127" s="9"/>
      <x:c r="L127" s="9"/>
      <x:c r="M127" s="8" t="n">
        <x:v>3</x:v>
      </x:c>
      <x:c r="N127" s="8" t="n">
        <x:v>5</x:v>
      </x:c>
      <x:c r="O127" s="8" t="n">
        <x:v>9</x:v>
      </x:c>
      <x:c r="P127" s="8"/>
      <x:c r="Q127" s="8"/>
      <x:c r="R127" s="8"/>
      <x:c r="S127" s="7" t="n">
        <x:f>IF(OR(AM127="제외",AM127="완료"),0,IF(AM127&lt;&gt;"입력 OK","",IF(E127="진행",P127,M127)))</x:f>
        <x:v>3</x:v>
      </x:c>
      <x:c r="T127" s="7" t="n">
        <x:f>IF(OR(AM127="제외",AM127="완료"),0,IF(AM127&lt;&gt;"입력 OK","",IF(E127="진행",Q127,N127)))</x:f>
        <x:v>5</x:v>
      </x:c>
      <x:c r="U127" s="7" t="n">
        <x:f>IF(OR(AM127="제외",AM127="완료"),0,IF(AM127&lt;&gt;"입력 OK","",IF(E127="진행",R127,O127)))</x:f>
        <x:v>9</x:v>
      </x:c>
      <x:c r="V127" s="11" t="n">
        <x:f>IF(COUNT(S127:U127)&lt;3,"",(S127+4*T127+U127)/6)</x:f>
        <x:v>5.333333333333333</x:v>
      </x:c>
      <x:c r="W127" s="11" t="n">
        <x:f>IF(COUNT(S127:U127)&lt;3,"",((U127-S127)/6)^2)</x:f>
        <x:v>1</x:v>
      </x:c>
      <x:c r="X127" s="8" t="str">
        <x:v>CP05</x:v>
      </x:c>
      <x:c r="Y127" s="8" t="str"/>
      <x:c r="Z127" s="8" t="str"/>
      <x:c r="AA127" s="8" t="str"/>
      <x:c r="AB127" s="8" t="str"/>
      <x:c r="AC127" s="8" t="str"/>
      <x:c r="AD127" s="10" t="str">
        <x:f>IF(X127="",0,INDEX($AK$6:$AK$126,MATCH(X127,$A$6:$A$126,0)))</x:f>
      </x:c>
      <x:c r="AE127" s="10" t="n">
        <x:f>IF(Y127="",0,INDEX($AK$6:$AK$126,MATCH(Y127,$A$6:$A$126,0)))</x:f>
        <x:v>0</x:v>
      </x:c>
      <x:c r="AF127" s="10" t="n">
        <x:f>IF(Z127="",0,INDEX($AK$6:$AK$126,MATCH(Z127,$A$6:$A$126,0)))</x:f>
        <x:v>0</x:v>
      </x:c>
      <x:c r="AG127" s="10" t="n">
        <x:f>IF(AA127="",0,INDEX($AK$6:$AK$126,MATCH(AA127,$A$6:$A$126,0)))</x:f>
        <x:v>0</x:v>
      </x:c>
      <x:c r="AH127" s="10" t="n">
        <x:f>IF(AB127="",0,INDEX($AK$6:$AK$126,MATCH(AB127,$A$6:$A$126,0)))</x:f>
        <x:v>0</x:v>
      </x:c>
      <x:c r="AI127" s="10" t="n">
        <x:f>IF(AC127="",0,INDEX($AK$6:$AK$126,MATCH(AC127,$A$6:$A$126,0)))</x:f>
        <x:v>0</x:v>
      </x:c>
      <x:c r="AJ127" s="10" t="str">
        <x:f>IF(AM127="완료",IF(J127="",K127,J127),IF(OR(COUNT('프로젝트설정'!$B$7:$B$8)&lt;2,COUNT(AD127:AI127)&lt;6,COUNT(S127:U127)&lt;3),"",IF(AM127="제외",MAX('프로젝트설정'!$B$7,AD127:AI127),IF(E127="진행",J127,MAX('프로젝트설정'!$B$7:$B$8,L127,AD127:AI127)))))</x:f>
      </x:c>
      <x:c r="AK127" s="10" t="str">
        <x:f>IF(AM127="완료",K127,IF(AJ127="","",IF(E127="진행",MAX('프로젝트설정'!$B$8,AJ127,AD127:AI127)+T127,AJ127+T127)))</x:f>
      </x:c>
      <x:c r="AL127" s="7" t="str">
        <x:f>IF(OR(I127="",AK127=""),"",AK127-I127)</x:f>
      </x:c>
      <x:c r="AM127" s="7" t="str">
        <x:f>IF(OR(D127="제외",E127="제외"),"제외",IF(D127&lt;&gt;"적용","적용성 확인",IF(E127="완료",IF(ISNUMBER(K127),"완료","실제완료 입력"),IF(E127="보류","보류 해제 필요",IF(E127="진행",IF(AND(ISNUMBER(J127),COUNT(P127:R127)=3,P127&gt;=0,P127&lt;=Q127,Q127&lt;=R127),"입력 OK","실제착수·잔여기간 확인"),IF(AND(COUNT(M127:O127)=3,M127&gt;=0,M127&lt;=N127,N127&lt;=O127),"입력 OK","전체기간 확인"))))))</x:f>
        <x:v>입력 OK</x:v>
      </x:c>
      <x:c r="AN127" s="7" t="str">
        <x:v>16</x:v>
      </x:c>
    </x:row>
    <x:row r="128" ht="38" customHeight="1">
      <x:c r="A128" s="7" t="str">
        <x:v>CP07</x:v>
      </x:c>
      <x:c r="B128" s="7" t="str">
        <x:v>16 기자재 구매·제작</x:v>
      </x:c>
      <x:c r="C128" s="7" t="str">
        <x:v>압축기 출하승인·운송·현장 입고</x:v>
      </x:c>
      <x:c r="D128" s="7" t="str">
        <x:f>'모듈선택'!B21</x:f>
        <x:v>적용</x:v>
      </x:c>
      <x:c r="E128" s="8" t="str">
        <x:v>계획</x:v>
      </x:c>
      <x:c r="F128" s="8" t="str">
        <x:v>주설비 공급사 / 패키지 벤더 / PM / 오너 검토</x:v>
      </x:c>
      <x:c r="G128" s="8" t="str">
        <x:v>Release note, packing list, 입고검수</x:v>
      </x:c>
      <x:c r="H128" s="9"/>
      <x:c r="I128" s="9"/>
      <x:c r="J128" s="9"/>
      <x:c r="K128" s="9"/>
      <x:c r="L128" s="9"/>
      <x:c r="M128" s="8" t="n">
        <x:v>3</x:v>
      </x:c>
      <x:c r="N128" s="8" t="n">
        <x:v>4</x:v>
      </x:c>
      <x:c r="O128" s="8" t="n">
        <x:v>7</x:v>
      </x:c>
      <x:c r="P128" s="8"/>
      <x:c r="Q128" s="8"/>
      <x:c r="R128" s="8"/>
      <x:c r="S128" s="7" t="n">
        <x:f>IF(OR(AM128="제외",AM128="완료"),0,IF(AM128&lt;&gt;"입력 OK","",IF(E128="진행",P128,M128)))</x:f>
        <x:v>3</x:v>
      </x:c>
      <x:c r="T128" s="7" t="n">
        <x:f>IF(OR(AM128="제외",AM128="완료"),0,IF(AM128&lt;&gt;"입력 OK","",IF(E128="진행",Q128,N128)))</x:f>
        <x:v>4</x:v>
      </x:c>
      <x:c r="U128" s="7" t="n">
        <x:f>IF(OR(AM128="제외",AM128="완료"),0,IF(AM128&lt;&gt;"입력 OK","",IF(E128="진행",R128,O128)))</x:f>
        <x:v>7</x:v>
      </x:c>
      <x:c r="V128" s="11" t="n">
        <x:f>IF(COUNT(S128:U128)&lt;3,"",(S128+4*T128+U128)/6)</x:f>
        <x:v>4.333333333333333</x:v>
      </x:c>
      <x:c r="W128" s="11" t="n">
        <x:f>IF(COUNT(S128:U128)&lt;3,"",((U128-S128)/6)^2)</x:f>
        <x:v>0.4444444444444444</x:v>
      </x:c>
      <x:c r="X128" s="8" t="str">
        <x:v>CP06</x:v>
      </x:c>
      <x:c r="Y128" s="8" t="str"/>
      <x:c r="Z128" s="8" t="str"/>
      <x:c r="AA128" s="8" t="str"/>
      <x:c r="AB128" s="8" t="str"/>
      <x:c r="AC128" s="8" t="str"/>
      <x:c r="AD128" s="10" t="str">
        <x:f>IF(X128="",0,INDEX($AK$6:$AK$127,MATCH(X128,$A$6:$A$127,0)))</x:f>
      </x:c>
      <x:c r="AE128" s="10" t="n">
        <x:f>IF(Y128="",0,INDEX($AK$6:$AK$127,MATCH(Y128,$A$6:$A$127,0)))</x:f>
        <x:v>0</x:v>
      </x:c>
      <x:c r="AF128" s="10" t="n">
        <x:f>IF(Z128="",0,INDEX($AK$6:$AK$127,MATCH(Z128,$A$6:$A$127,0)))</x:f>
        <x:v>0</x:v>
      </x:c>
      <x:c r="AG128" s="10" t="n">
        <x:f>IF(AA128="",0,INDEX($AK$6:$AK$127,MATCH(AA128,$A$6:$A$127,0)))</x:f>
        <x:v>0</x:v>
      </x:c>
      <x:c r="AH128" s="10" t="n">
        <x:f>IF(AB128="",0,INDEX($AK$6:$AK$127,MATCH(AB128,$A$6:$A$127,0)))</x:f>
        <x:v>0</x:v>
      </x:c>
      <x:c r="AI128" s="10" t="n">
        <x:f>IF(AC128="",0,INDEX($AK$6:$AK$127,MATCH(AC128,$A$6:$A$127,0)))</x:f>
        <x:v>0</x:v>
      </x:c>
      <x:c r="AJ128" s="10" t="str">
        <x:f>IF(AM128="완료",IF(J128="",K128,J128),IF(OR(COUNT('프로젝트설정'!$B$7:$B$8)&lt;2,COUNT(AD128:AI128)&lt;6,COUNT(S128:U128)&lt;3),"",IF(AM128="제외",MAX('프로젝트설정'!$B$7,AD128:AI128),IF(E128="진행",J128,MAX('프로젝트설정'!$B$7:$B$8,L128,AD128:AI128)))))</x:f>
      </x:c>
      <x:c r="AK128" s="10" t="str">
        <x:f>IF(AM128="완료",K128,IF(AJ128="","",IF(E128="진행",MAX('프로젝트설정'!$B$8,AJ128,AD128:AI128)+T128,AJ128+T128)))</x:f>
      </x:c>
      <x:c r="AL128" s="7" t="str">
        <x:f>IF(OR(I128="",AK128=""),"",AK128-I128)</x:f>
      </x:c>
      <x:c r="AM128" s="7" t="str">
        <x:f>IF(OR(D128="제외",E128="제외"),"제외",IF(D128&lt;&gt;"적용","적용성 확인",IF(E128="완료",IF(ISNUMBER(K128),"완료","실제완료 입력"),IF(E128="보류","보류 해제 필요",IF(E128="진행",IF(AND(ISNUMBER(J128),COUNT(P128:R128)=3,P128&gt;=0,P128&lt;=Q128,Q128&lt;=R128),"입력 OK","실제착수·잔여기간 확인"),IF(AND(COUNT(M128:O128)=3,M128&gt;=0,M128&lt;=N128,N128&lt;=O128),"입력 OK","전체기간 확인"))))))</x:f>
        <x:v>입력 OK</x:v>
      </x:c>
      <x:c r="AN128" s="7" t="str">
        <x:v>16</x:v>
      </x:c>
    </x:row>
    <x:row r="129" ht="38" customHeight="1">
      <x:c r="A129" s="7" t="str">
        <x:v>TK01</x:v>
      </x:c>
      <x:c r="B129" s="7" t="str">
        <x:v>16 기자재 구매·제작</x:v>
      </x:c>
      <x:c r="C129" s="7" t="str">
        <x:v>저장용기·버퍼탱크 잔여 발주범위·사양 확정</x:v>
      </x:c>
      <x:c r="D129" s="7" t="str">
        <x:f>'모듈선택'!B21</x:f>
        <x:v>적용</x:v>
      </x:c>
      <x:c r="E129" s="8" t="str">
        <x:v>계획</x:v>
      </x:c>
      <x:c r="F129" s="8" t="str">
        <x:v>주설비 공급사 / 패키지 벤더 / PM / 오너 검토</x:v>
      </x:c>
      <x:c r="G129" s="8" t="str">
        <x:v>Datasheet, RFQ, 기존 PO 확인</x:v>
      </x:c>
      <x:c r="H129" s="9"/>
      <x:c r="I129" s="9"/>
      <x:c r="J129" s="9"/>
      <x:c r="K129" s="9"/>
      <x:c r="L129" s="9"/>
      <x:c r="M129" s="8" t="n">
        <x:v>3</x:v>
      </x:c>
      <x:c r="N129" s="8" t="n">
        <x:v>4</x:v>
      </x:c>
      <x:c r="O129" s="8" t="n">
        <x:v>7</x:v>
      </x:c>
      <x:c r="P129" s="8"/>
      <x:c r="Q129" s="8"/>
      <x:c r="R129" s="8"/>
      <x:c r="S129" s="7" t="n">
        <x:f>IF(OR(AM129="제외",AM129="완료"),0,IF(AM129&lt;&gt;"입력 OK","",IF(E129="진행",P129,M129)))</x:f>
        <x:v>3</x:v>
      </x:c>
      <x:c r="T129" s="7" t="n">
        <x:f>IF(OR(AM129="제외",AM129="완료"),0,IF(AM129&lt;&gt;"입력 OK","",IF(E129="진행",Q129,N129)))</x:f>
        <x:v>4</x:v>
      </x:c>
      <x:c r="U129" s="7" t="n">
        <x:f>IF(OR(AM129="제외",AM129="완료"),0,IF(AM129&lt;&gt;"입력 OK","",IF(E129="진행",R129,O129)))</x:f>
        <x:v>7</x:v>
      </x:c>
      <x:c r="V129" s="11" t="n">
        <x:f>IF(COUNT(S129:U129)&lt;3,"",(S129+4*T129+U129)/6)</x:f>
        <x:v>4.333333333333333</x:v>
      </x:c>
      <x:c r="W129" s="11" t="n">
        <x:f>IF(COUNT(S129:U129)&lt;3,"",((U129-S129)/6)^2)</x:f>
        <x:v>0.4444444444444444</x:v>
      </x:c>
      <x:c r="X129" s="8" t="str">
        <x:v>VP06</x:v>
      </x:c>
      <x:c r="Y129" s="8" t="str"/>
      <x:c r="Z129" s="8" t="str"/>
      <x:c r="AA129" s="8" t="str"/>
      <x:c r="AB129" s="8" t="str"/>
      <x:c r="AC129" s="8" t="str"/>
      <x:c r="AD129" s="10" t="str">
        <x:f>IF(X129="",0,INDEX($AK$6:$AK$128,MATCH(X129,$A$6:$A$128,0)))</x:f>
      </x:c>
      <x:c r="AE129" s="10" t="n">
        <x:f>IF(Y129="",0,INDEX($AK$6:$AK$128,MATCH(Y129,$A$6:$A$128,0)))</x:f>
        <x:v>0</x:v>
      </x:c>
      <x:c r="AF129" s="10" t="n">
        <x:f>IF(Z129="",0,INDEX($AK$6:$AK$128,MATCH(Z129,$A$6:$A$128,0)))</x:f>
        <x:v>0</x:v>
      </x:c>
      <x:c r="AG129" s="10" t="n">
        <x:f>IF(AA129="",0,INDEX($AK$6:$AK$128,MATCH(AA129,$A$6:$A$128,0)))</x:f>
        <x:v>0</x:v>
      </x:c>
      <x:c r="AH129" s="10" t="n">
        <x:f>IF(AB129="",0,INDEX($AK$6:$AK$128,MATCH(AB129,$A$6:$A$128,0)))</x:f>
        <x:v>0</x:v>
      </x:c>
      <x:c r="AI129" s="10" t="n">
        <x:f>IF(AC129="",0,INDEX($AK$6:$AK$128,MATCH(AC129,$A$6:$A$128,0)))</x:f>
        <x:v>0</x:v>
      </x:c>
      <x:c r="AJ129" s="10" t="str">
        <x:f>IF(AM129="완료",IF(J129="",K129,J129),IF(OR(COUNT('프로젝트설정'!$B$7:$B$8)&lt;2,COUNT(AD129:AI129)&lt;6,COUNT(S129:U129)&lt;3),"",IF(AM129="제외",MAX('프로젝트설정'!$B$7,AD129:AI129),IF(E129="진행",J129,MAX('프로젝트설정'!$B$7:$B$8,L129,AD129:AI129)))))</x:f>
      </x:c>
      <x:c r="AK129" s="10" t="str">
        <x:f>IF(AM129="완료",K129,IF(AJ129="","",IF(E129="진행",MAX('프로젝트설정'!$B$8,AJ129,AD129:AI129)+T129,AJ129+T129)))</x:f>
      </x:c>
      <x:c r="AL129" s="7" t="str">
        <x:f>IF(OR(I129="",AK129=""),"",AK129-I129)</x:f>
      </x:c>
      <x:c r="AM129" s="7" t="str">
        <x:f>IF(OR(D129="제외",E129="제외"),"제외",IF(D129&lt;&gt;"적용","적용성 확인",IF(E129="완료",IF(ISNUMBER(K129),"완료","실제완료 입력"),IF(E129="보류","보류 해제 필요",IF(E129="진행",IF(AND(ISNUMBER(J129),COUNT(P129:R129)=3,P129&gt;=0,P129&lt;=Q129,Q129&lt;=R129),"입력 OK","실제착수·잔여기간 확인"),IF(AND(COUNT(M129:O129)=3,M129&gt;=0,M129&lt;=N129,N129&lt;=O129),"입력 OK","전체기간 확인"))))))</x:f>
        <x:v>입력 OK</x:v>
      </x:c>
      <x:c r="AN129" s="7" t="str">
        <x:v>16</x:v>
      </x:c>
    </x:row>
    <x:row r="130" ht="38" customHeight="1">
      <x:c r="A130" s="7" t="str">
        <x:v>TK02</x:v>
      </x:c>
      <x:c r="B130" s="7" t="str">
        <x:v>16 기자재 구매·제작</x:v>
      </x:c>
      <x:c r="C130" s="7" t="str">
        <x:v>저장용기·버퍼탱크 견적/TBE·계약조건·납기 합의</x:v>
      </x:c>
      <x:c r="D130" s="7" t="str">
        <x:f>'모듈선택'!B21</x:f>
        <x:v>적용</x:v>
      </x:c>
      <x:c r="E130" s="8" t="str">
        <x:v>계획</x:v>
      </x:c>
      <x:c r="F130" s="8" t="str">
        <x:v>주설비 공급사 / 패키지 벤더 / PM / 오너 검토</x:v>
      </x:c>
      <x:c r="G130" s="8" t="str">
        <x:v>TBE, PO, 납기표</x:v>
      </x:c>
      <x:c r="H130" s="9"/>
      <x:c r="I130" s="9"/>
      <x:c r="J130" s="9"/>
      <x:c r="K130" s="9"/>
      <x:c r="L130" s="9"/>
      <x:c r="M130" s="8" t="n">
        <x:v>5</x:v>
      </x:c>
      <x:c r="N130" s="8" t="n">
        <x:v>7</x:v>
      </x:c>
      <x:c r="O130" s="8" t="n">
        <x:v>12</x:v>
      </x:c>
      <x:c r="P130" s="8"/>
      <x:c r="Q130" s="8"/>
      <x:c r="R130" s="8"/>
      <x:c r="S130" s="7" t="n">
        <x:f>IF(OR(AM130="제외",AM130="완료"),0,IF(AM130&lt;&gt;"입력 OK","",IF(E130="진행",P130,M130)))</x:f>
        <x:v>5</x:v>
      </x:c>
      <x:c r="T130" s="7" t="n">
        <x:f>IF(OR(AM130="제외",AM130="완료"),0,IF(AM130&lt;&gt;"입력 OK","",IF(E130="진행",Q130,N130)))</x:f>
        <x:v>7</x:v>
      </x:c>
      <x:c r="U130" s="7" t="n">
        <x:f>IF(OR(AM130="제외",AM130="완료"),0,IF(AM130&lt;&gt;"입력 OK","",IF(E130="진행",R130,O130)))</x:f>
        <x:v>12</x:v>
      </x:c>
      <x:c r="V130" s="11" t="n">
        <x:f>IF(COUNT(S130:U130)&lt;3,"",(S130+4*T130+U130)/6)</x:f>
        <x:v>7.5</x:v>
      </x:c>
      <x:c r="W130" s="11" t="n">
        <x:f>IF(COUNT(S130:U130)&lt;3,"",((U130-S130)/6)^2)</x:f>
        <x:v>1.3611111111111114</x:v>
      </x:c>
      <x:c r="X130" s="8" t="str">
        <x:v>TK01</x:v>
      </x:c>
      <x:c r="Y130" s="8" t="str"/>
      <x:c r="Z130" s="8" t="str"/>
      <x:c r="AA130" s="8" t="str"/>
      <x:c r="AB130" s="8" t="str"/>
      <x:c r="AC130" s="8" t="str"/>
      <x:c r="AD130" s="10" t="str">
        <x:f>IF(X130="",0,INDEX($AK$6:$AK$129,MATCH(X130,$A$6:$A$129,0)))</x:f>
      </x:c>
      <x:c r="AE130" s="10" t="n">
        <x:f>IF(Y130="",0,INDEX($AK$6:$AK$129,MATCH(Y130,$A$6:$A$129,0)))</x:f>
        <x:v>0</x:v>
      </x:c>
      <x:c r="AF130" s="10" t="n">
        <x:f>IF(Z130="",0,INDEX($AK$6:$AK$129,MATCH(Z130,$A$6:$A$129,0)))</x:f>
        <x:v>0</x:v>
      </x:c>
      <x:c r="AG130" s="10" t="n">
        <x:f>IF(AA130="",0,INDEX($AK$6:$AK$129,MATCH(AA130,$A$6:$A$129,0)))</x:f>
        <x:v>0</x:v>
      </x:c>
      <x:c r="AH130" s="10" t="n">
        <x:f>IF(AB130="",0,INDEX($AK$6:$AK$129,MATCH(AB130,$A$6:$A$129,0)))</x:f>
        <x:v>0</x:v>
      </x:c>
      <x:c r="AI130" s="10" t="n">
        <x:f>IF(AC130="",0,INDEX($AK$6:$AK$129,MATCH(AC130,$A$6:$A$129,0)))</x:f>
        <x:v>0</x:v>
      </x:c>
      <x:c r="AJ130" s="10" t="str">
        <x:f>IF(AM130="완료",IF(J130="",K130,J130),IF(OR(COUNT('프로젝트설정'!$B$7:$B$8)&lt;2,COUNT(AD130:AI130)&lt;6,COUNT(S130:U130)&lt;3),"",IF(AM130="제외",MAX('프로젝트설정'!$B$7,AD130:AI130),IF(E130="진행",J130,MAX('프로젝트설정'!$B$7:$B$8,L130,AD130:AI130)))))</x:f>
      </x:c>
      <x:c r="AK130" s="10" t="str">
        <x:f>IF(AM130="완료",K130,IF(AJ130="","",IF(E130="진행",MAX('프로젝트설정'!$B$8,AJ130,AD130:AI130)+T130,AJ130+T130)))</x:f>
      </x:c>
      <x:c r="AL130" s="7" t="str">
        <x:f>IF(OR(I130="",AK130=""),"",AK130-I130)</x:f>
      </x:c>
      <x:c r="AM130" s="7" t="str">
        <x:f>IF(OR(D130="제외",E130="제외"),"제외",IF(D130&lt;&gt;"적용","적용성 확인",IF(E130="완료",IF(ISNUMBER(K130),"완료","실제완료 입력"),IF(E130="보류","보류 해제 필요",IF(E130="진행",IF(AND(ISNUMBER(J130),COUNT(P130:R130)=3,P130&gt;=0,P130&lt;=Q130,Q130&lt;=R130),"입력 OK","실제착수·잔여기간 확인"),IF(AND(COUNT(M130:O130)=3,M130&gt;=0,M130&lt;=N130,N130&lt;=O130),"입력 OK","전체기간 확인"))))))</x:f>
        <x:v>입력 OK</x:v>
      </x:c>
      <x:c r="AN130" s="7" t="str">
        <x:v>16</x:v>
      </x:c>
    </x:row>
    <x:row r="131" ht="38" customHeight="1">
      <x:c r="A131" s="7" t="str">
        <x:v>TK03</x:v>
      </x:c>
      <x:c r="B131" s="7" t="str">
        <x:v>16 기자재 구매·제작</x:v>
      </x:c>
      <x:c r="C131" s="7" t="str">
        <x:v>저장용기·버퍼탱크 제작도·ITP 승인</x:v>
      </x:c>
      <x:c r="D131" s="7" t="str">
        <x:f>'모듈선택'!B21</x:f>
        <x:v>적용</x:v>
      </x:c>
      <x:c r="E131" s="8" t="str">
        <x:v>계획</x:v>
      </x:c>
      <x:c r="F131" s="8" t="str">
        <x:v>주설비 공급사 / 패키지 벤더 / PM / 오너 검토</x:v>
      </x:c>
      <x:c r="G131" s="8" t="str">
        <x:v>Approved drawing, ITP</x:v>
      </x:c>
      <x:c r="H131" s="9"/>
      <x:c r="I131" s="9"/>
      <x:c r="J131" s="9"/>
      <x:c r="K131" s="9"/>
      <x:c r="L131" s="9"/>
      <x:c r="M131" s="8" t="n">
        <x:v>7</x:v>
      </x:c>
      <x:c r="N131" s="8" t="n">
        <x:v>10</x:v>
      </x:c>
      <x:c r="O131" s="8" t="n">
        <x:v>17</x:v>
      </x:c>
      <x:c r="P131" s="8"/>
      <x:c r="Q131" s="8"/>
      <x:c r="R131" s="8"/>
      <x:c r="S131" s="7" t="n">
        <x:f>IF(OR(AM131="제외",AM131="완료"),0,IF(AM131&lt;&gt;"입력 OK","",IF(E131="진행",P131,M131)))</x:f>
        <x:v>7</x:v>
      </x:c>
      <x:c r="T131" s="7" t="n">
        <x:f>IF(OR(AM131="제외",AM131="완료"),0,IF(AM131&lt;&gt;"입력 OK","",IF(E131="진행",Q131,N131)))</x:f>
        <x:v>10</x:v>
      </x:c>
      <x:c r="U131" s="7" t="n">
        <x:f>IF(OR(AM131="제외",AM131="완료"),0,IF(AM131&lt;&gt;"입력 OK","",IF(E131="진행",R131,O131)))</x:f>
        <x:v>17</x:v>
      </x:c>
      <x:c r="V131" s="11" t="n">
        <x:f>IF(COUNT(S131:U131)&lt;3,"",(S131+4*T131+U131)/6)</x:f>
        <x:v>10.666666666666666</x:v>
      </x:c>
      <x:c r="W131" s="11" t="n">
        <x:f>IF(COUNT(S131:U131)&lt;3,"",((U131-S131)/6)^2)</x:f>
        <x:v>2.777777777777778</x:v>
      </x:c>
      <x:c r="X131" s="8" t="str">
        <x:v>TK02</x:v>
      </x:c>
      <x:c r="Y131" s="8" t="str"/>
      <x:c r="Z131" s="8" t="str"/>
      <x:c r="AA131" s="8" t="str"/>
      <x:c r="AB131" s="8" t="str"/>
      <x:c r="AC131" s="8" t="str"/>
      <x:c r="AD131" s="10" t="str">
        <x:f>IF(X131="",0,INDEX($AK$6:$AK$130,MATCH(X131,$A$6:$A$130,0)))</x:f>
      </x:c>
      <x:c r="AE131" s="10" t="n">
        <x:f>IF(Y131="",0,INDEX($AK$6:$AK$130,MATCH(Y131,$A$6:$A$130,0)))</x:f>
        <x:v>0</x:v>
      </x:c>
      <x:c r="AF131" s="10" t="n">
        <x:f>IF(Z131="",0,INDEX($AK$6:$AK$130,MATCH(Z131,$A$6:$A$130,0)))</x:f>
        <x:v>0</x:v>
      </x:c>
      <x:c r="AG131" s="10" t="n">
        <x:f>IF(AA131="",0,INDEX($AK$6:$AK$130,MATCH(AA131,$A$6:$A$130,0)))</x:f>
        <x:v>0</x:v>
      </x:c>
      <x:c r="AH131" s="10" t="n">
        <x:f>IF(AB131="",0,INDEX($AK$6:$AK$130,MATCH(AB131,$A$6:$A$130,0)))</x:f>
        <x:v>0</x:v>
      </x:c>
      <x:c r="AI131" s="10" t="n">
        <x:f>IF(AC131="",0,INDEX($AK$6:$AK$130,MATCH(AC131,$A$6:$A$130,0)))</x:f>
        <x:v>0</x:v>
      </x:c>
      <x:c r="AJ131" s="10" t="str">
        <x:f>IF(AM131="완료",IF(J131="",K131,J131),IF(OR(COUNT('프로젝트설정'!$B$7:$B$8)&lt;2,COUNT(AD131:AI131)&lt;6,COUNT(S131:U131)&lt;3),"",IF(AM131="제외",MAX('프로젝트설정'!$B$7,AD131:AI131),IF(E131="진행",J131,MAX('프로젝트설정'!$B$7:$B$8,L131,AD131:AI131)))))</x:f>
      </x:c>
      <x:c r="AK131" s="10" t="str">
        <x:f>IF(AM131="완료",K131,IF(AJ131="","",IF(E131="진행",MAX('프로젝트설정'!$B$8,AJ131,AD131:AI131)+T131,AJ131+T131)))</x:f>
      </x:c>
      <x:c r="AL131" s="7" t="str">
        <x:f>IF(OR(I131="",AK131=""),"",AK131-I131)</x:f>
      </x:c>
      <x:c r="AM131" s="7" t="str">
        <x:f>IF(OR(D131="제외",E131="제외"),"제외",IF(D131&lt;&gt;"적용","적용성 확인",IF(E131="완료",IF(ISNUMBER(K131),"완료","실제완료 입력"),IF(E131="보류","보류 해제 필요",IF(E131="진행",IF(AND(ISNUMBER(J131),COUNT(P131:R131)=3,P131&gt;=0,P131&lt;=Q131,Q131&lt;=R131),"입력 OK","실제착수·잔여기간 확인"),IF(AND(COUNT(M131:O131)=3,M131&gt;=0,M131&lt;=N131,N131&lt;=O131),"입력 OK","전체기간 확인"))))))</x:f>
        <x:v>입력 OK</x:v>
      </x:c>
      <x:c r="AN131" s="7" t="str">
        <x:v>16</x:v>
      </x:c>
    </x:row>
    <x:row r="132" ht="38" customHeight="1">
      <x:c r="A132" s="7" t="str">
        <x:v>TK04</x:v>
      </x:c>
      <x:c r="B132" s="7" t="str">
        <x:v>16 기자재 구매·제작</x:v>
      </x:c>
      <x:c r="C132" s="7" t="str">
        <x:v>저장용기·버퍼탱크 자재조달·제작</x:v>
      </x:c>
      <x:c r="D132" s="7" t="str">
        <x:f>'모듈선택'!B21</x:f>
        <x:v>적용</x:v>
      </x:c>
      <x:c r="E132" s="8" t="str">
        <x:v>계획</x:v>
      </x:c>
      <x:c r="F132" s="8" t="str">
        <x:v>주설비 공급사 / 패키지 벤더 / PM / 오너 검토</x:v>
      </x:c>
      <x:c r="G132" s="8" t="str">
        <x:v>제작공정표, 자재성적서</x:v>
      </x:c>
      <x:c r="H132" s="9"/>
      <x:c r="I132" s="9"/>
      <x:c r="J132" s="9"/>
      <x:c r="K132" s="9"/>
      <x:c r="L132" s="9"/>
      <x:c r="M132" s="8" t="n">
        <x:v>56</x:v>
      </x:c>
      <x:c r="N132" s="8" t="n">
        <x:v>80</x:v>
      </x:c>
      <x:c r="O132" s="8" t="n">
        <x:v>120</x:v>
      </x:c>
      <x:c r="P132" s="8"/>
      <x:c r="Q132" s="8"/>
      <x:c r="R132" s="8"/>
      <x:c r="S132" s="7" t="n">
        <x:f>IF(OR(AM132="제외",AM132="완료"),0,IF(AM132&lt;&gt;"입력 OK","",IF(E132="진행",P132,M132)))</x:f>
        <x:v>56</x:v>
      </x:c>
      <x:c r="T132" s="7" t="n">
        <x:f>IF(OR(AM132="제외",AM132="완료"),0,IF(AM132&lt;&gt;"입력 OK","",IF(E132="진행",Q132,N132)))</x:f>
        <x:v>80</x:v>
      </x:c>
      <x:c r="U132" s="7" t="n">
        <x:f>IF(OR(AM132="제외",AM132="완료"),0,IF(AM132&lt;&gt;"입력 OK","",IF(E132="진행",R132,O132)))</x:f>
        <x:v>120</x:v>
      </x:c>
      <x:c r="V132" s="11" t="n">
        <x:f>IF(COUNT(S132:U132)&lt;3,"",(S132+4*T132+U132)/6)</x:f>
        <x:v>82.66666666666667</x:v>
      </x:c>
      <x:c r="W132" s="11" t="n">
        <x:f>IF(COUNT(S132:U132)&lt;3,"",((U132-S132)/6)^2)</x:f>
        <x:v>113.77777777777777</x:v>
      </x:c>
      <x:c r="X132" s="8" t="str">
        <x:v>TK03</x:v>
      </x:c>
      <x:c r="Y132" s="8" t="str"/>
      <x:c r="Z132" s="8" t="str"/>
      <x:c r="AA132" s="8" t="str"/>
      <x:c r="AB132" s="8" t="str"/>
      <x:c r="AC132" s="8" t="str"/>
      <x:c r="AD132" s="10" t="str">
        <x:f>IF(X132="",0,INDEX($AK$6:$AK$131,MATCH(X132,$A$6:$A$131,0)))</x:f>
      </x:c>
      <x:c r="AE132" s="10" t="n">
        <x:f>IF(Y132="",0,INDEX($AK$6:$AK$131,MATCH(Y132,$A$6:$A$131,0)))</x:f>
        <x:v>0</x:v>
      </x:c>
      <x:c r="AF132" s="10" t="n">
        <x:f>IF(Z132="",0,INDEX($AK$6:$AK$131,MATCH(Z132,$A$6:$A$131,0)))</x:f>
        <x:v>0</x:v>
      </x:c>
      <x:c r="AG132" s="10" t="n">
        <x:f>IF(AA132="",0,INDEX($AK$6:$AK$131,MATCH(AA132,$A$6:$A$131,0)))</x:f>
        <x:v>0</x:v>
      </x:c>
      <x:c r="AH132" s="10" t="n">
        <x:f>IF(AB132="",0,INDEX($AK$6:$AK$131,MATCH(AB132,$A$6:$A$131,0)))</x:f>
        <x:v>0</x:v>
      </x:c>
      <x:c r="AI132" s="10" t="n">
        <x:f>IF(AC132="",0,INDEX($AK$6:$AK$131,MATCH(AC132,$A$6:$A$131,0)))</x:f>
        <x:v>0</x:v>
      </x:c>
      <x:c r="AJ132" s="10" t="str">
        <x:f>IF(AM132="완료",IF(J132="",K132,J132),IF(OR(COUNT('프로젝트설정'!$B$7:$B$8)&lt;2,COUNT(AD132:AI132)&lt;6,COUNT(S132:U132)&lt;3),"",IF(AM132="제외",MAX('프로젝트설정'!$B$7,AD132:AI132),IF(E132="진행",J132,MAX('프로젝트설정'!$B$7:$B$8,L132,AD132:AI132)))))</x:f>
      </x:c>
      <x:c r="AK132" s="10" t="str">
        <x:f>IF(AM132="완료",K132,IF(AJ132="","",IF(E132="진행",MAX('프로젝트설정'!$B$8,AJ132,AD132:AI132)+T132,AJ132+T132)))</x:f>
      </x:c>
      <x:c r="AL132" s="7" t="str">
        <x:f>IF(OR(I132="",AK132=""),"",AK132-I132)</x:f>
      </x:c>
      <x:c r="AM132" s="7" t="str">
        <x:f>IF(OR(D132="제외",E132="제외"),"제외",IF(D132&lt;&gt;"적용","적용성 확인",IF(E132="완료",IF(ISNUMBER(K132),"완료","실제완료 입력"),IF(E132="보류","보류 해제 필요",IF(E132="진행",IF(AND(ISNUMBER(J132),COUNT(P132:R132)=3,P132&gt;=0,P132&lt;=Q132,Q132&lt;=R132),"입력 OK","실제착수·잔여기간 확인"),IF(AND(COUNT(M132:O132)=3,M132&gt;=0,M132&lt;=N132,N132&lt;=O132),"입력 OK","전체기간 확인"))))))</x:f>
        <x:v>입력 OK</x:v>
      </x:c>
      <x:c r="AN132" s="7" t="str">
        <x:v>16</x:v>
      </x:c>
    </x:row>
    <x:row r="133" ht="38" customHeight="1">
      <x:c r="A133" s="7" t="str">
        <x:v>TK05</x:v>
      </x:c>
      <x:c r="B133" s="7" t="str">
        <x:v>16 기자재 구매·제작</x:v>
      </x:c>
      <x:c r="C133" s="7" t="str">
        <x:v>저장용기·버퍼탱크 조립·공장 기능시험</x:v>
      </x:c>
      <x:c r="D133" s="7" t="str">
        <x:f>'모듈선택'!B21</x:f>
        <x:v>적용</x:v>
      </x:c>
      <x:c r="E133" s="8" t="str">
        <x:v>계획</x:v>
      </x:c>
      <x:c r="F133" s="8" t="str">
        <x:v>주설비 공급사 / 패키지 벤더 / PM / 오너 검토</x:v>
      </x:c>
      <x:c r="G133" s="8" t="str">
        <x:v>조립기록, 시험절차</x:v>
      </x:c>
      <x:c r="H133" s="9"/>
      <x:c r="I133" s="9"/>
      <x:c r="J133" s="9"/>
      <x:c r="K133" s="9"/>
      <x:c r="L133" s="9"/>
      <x:c r="M133" s="8" t="n">
        <x:v>5</x:v>
      </x:c>
      <x:c r="N133" s="8" t="n">
        <x:v>7</x:v>
      </x:c>
      <x:c r="O133" s="8" t="n">
        <x:v>12</x:v>
      </x:c>
      <x:c r="P133" s="8"/>
      <x:c r="Q133" s="8"/>
      <x:c r="R133" s="8"/>
      <x:c r="S133" s="7" t="n">
        <x:f>IF(OR(AM133="제외",AM133="완료"),0,IF(AM133&lt;&gt;"입력 OK","",IF(E133="진행",P133,M133)))</x:f>
        <x:v>5</x:v>
      </x:c>
      <x:c r="T133" s="7" t="n">
        <x:f>IF(OR(AM133="제외",AM133="완료"),0,IF(AM133&lt;&gt;"입력 OK","",IF(E133="진행",Q133,N133)))</x:f>
        <x:v>7</x:v>
      </x:c>
      <x:c r="U133" s="7" t="n">
        <x:f>IF(OR(AM133="제외",AM133="완료"),0,IF(AM133&lt;&gt;"입력 OK","",IF(E133="진행",R133,O133)))</x:f>
        <x:v>12</x:v>
      </x:c>
      <x:c r="V133" s="11" t="n">
        <x:f>IF(COUNT(S133:U133)&lt;3,"",(S133+4*T133+U133)/6)</x:f>
        <x:v>7.5</x:v>
      </x:c>
      <x:c r="W133" s="11" t="n">
        <x:f>IF(COUNT(S133:U133)&lt;3,"",((U133-S133)/6)^2)</x:f>
        <x:v>1.3611111111111114</x:v>
      </x:c>
      <x:c r="X133" s="8" t="str">
        <x:v>TK04</x:v>
      </x:c>
      <x:c r="Y133" s="8" t="str"/>
      <x:c r="Z133" s="8" t="str"/>
      <x:c r="AA133" s="8" t="str"/>
      <x:c r="AB133" s="8" t="str"/>
      <x:c r="AC133" s="8" t="str"/>
      <x:c r="AD133" s="10" t="str">
        <x:f>IF(X133="",0,INDEX($AK$6:$AK$132,MATCH(X133,$A$6:$A$132,0)))</x:f>
      </x:c>
      <x:c r="AE133" s="10" t="n">
        <x:f>IF(Y133="",0,INDEX($AK$6:$AK$132,MATCH(Y133,$A$6:$A$132,0)))</x:f>
        <x:v>0</x:v>
      </x:c>
      <x:c r="AF133" s="10" t="n">
        <x:f>IF(Z133="",0,INDEX($AK$6:$AK$132,MATCH(Z133,$A$6:$A$132,0)))</x:f>
        <x:v>0</x:v>
      </x:c>
      <x:c r="AG133" s="10" t="n">
        <x:f>IF(AA133="",0,INDEX($AK$6:$AK$132,MATCH(AA133,$A$6:$A$132,0)))</x:f>
        <x:v>0</x:v>
      </x:c>
      <x:c r="AH133" s="10" t="n">
        <x:f>IF(AB133="",0,INDEX($AK$6:$AK$132,MATCH(AB133,$A$6:$A$132,0)))</x:f>
        <x:v>0</x:v>
      </x:c>
      <x:c r="AI133" s="10" t="n">
        <x:f>IF(AC133="",0,INDEX($AK$6:$AK$132,MATCH(AC133,$A$6:$A$132,0)))</x:f>
        <x:v>0</x:v>
      </x:c>
      <x:c r="AJ133" s="10" t="str">
        <x:f>IF(AM133="완료",IF(J133="",K133,J133),IF(OR(COUNT('프로젝트설정'!$B$7:$B$8)&lt;2,COUNT(AD133:AI133)&lt;6,COUNT(S133:U133)&lt;3),"",IF(AM133="제외",MAX('프로젝트설정'!$B$7,AD133:AI133),IF(E133="진행",J133,MAX('프로젝트설정'!$B$7:$B$8,L133,AD133:AI133)))))</x:f>
      </x:c>
      <x:c r="AK133" s="10" t="str">
        <x:f>IF(AM133="완료",K133,IF(AJ133="","",IF(E133="진행",MAX('프로젝트설정'!$B$8,AJ133,AD133:AI133)+T133,AJ133+T133)))</x:f>
      </x:c>
      <x:c r="AL133" s="7" t="str">
        <x:f>IF(OR(I133="",AK133=""),"",AK133-I133)</x:f>
      </x:c>
      <x:c r="AM133" s="7" t="str">
        <x:f>IF(OR(D133="제외",E133="제외"),"제외",IF(D133&lt;&gt;"적용","적용성 확인",IF(E133="완료",IF(ISNUMBER(K133),"완료","실제완료 입력"),IF(E133="보류","보류 해제 필요",IF(E133="진행",IF(AND(ISNUMBER(J133),COUNT(P133:R133)=3,P133&gt;=0,P133&lt;=Q133,Q133&lt;=R133),"입력 OK","실제착수·잔여기간 확인"),IF(AND(COUNT(M133:O133)=3,M133&gt;=0,M133&lt;=N133,N133&lt;=O133),"입력 OK","전체기간 확인"))))))</x:f>
        <x:v>입력 OK</x:v>
      </x:c>
      <x:c r="AN133" s="7" t="str">
        <x:v>16</x:v>
      </x:c>
    </x:row>
    <x:row r="134" ht="38" customHeight="1">
      <x:c r="A134" s="7" t="str">
        <x:v>TK06</x:v>
      </x:c>
      <x:c r="B134" s="7" t="str">
        <x:v>16 기자재 구매·제작</x:v>
      </x:c>
      <x:c r="C134" s="7" t="str">
        <x:v>저장용기·버퍼탱크 FAT 입회·지적사항 조치</x:v>
      </x:c>
      <x:c r="D134" s="7" t="str">
        <x:f>'모듈선택'!B21</x:f>
        <x:v>적용</x:v>
      </x:c>
      <x:c r="E134" s="8" t="str">
        <x:v>계획</x:v>
      </x:c>
      <x:c r="F134" s="8" t="str">
        <x:v>주설비 공급사 / 패키지 벤더 / PM / 오너 검토</x:v>
      </x:c>
      <x:c r="G134" s="8" t="str">
        <x:v>FAT report, punch close</x:v>
      </x:c>
      <x:c r="H134" s="9"/>
      <x:c r="I134" s="9"/>
      <x:c r="J134" s="9"/>
      <x:c r="K134" s="9"/>
      <x:c r="L134" s="9"/>
      <x:c r="M134" s="8" t="n">
        <x:v>3</x:v>
      </x:c>
      <x:c r="N134" s="8" t="n">
        <x:v>5</x:v>
      </x:c>
      <x:c r="O134" s="8" t="n">
        <x:v>9</x:v>
      </x:c>
      <x:c r="P134" s="8"/>
      <x:c r="Q134" s="8"/>
      <x:c r="R134" s="8"/>
      <x:c r="S134" s="7" t="n">
        <x:f>IF(OR(AM134="제외",AM134="완료"),0,IF(AM134&lt;&gt;"입력 OK","",IF(E134="진행",P134,M134)))</x:f>
        <x:v>3</x:v>
      </x:c>
      <x:c r="T134" s="7" t="n">
        <x:f>IF(OR(AM134="제외",AM134="완료"),0,IF(AM134&lt;&gt;"입력 OK","",IF(E134="진행",Q134,N134)))</x:f>
        <x:v>5</x:v>
      </x:c>
      <x:c r="U134" s="7" t="n">
        <x:f>IF(OR(AM134="제외",AM134="완료"),0,IF(AM134&lt;&gt;"입력 OK","",IF(E134="진행",R134,O134)))</x:f>
        <x:v>9</x:v>
      </x:c>
      <x:c r="V134" s="11" t="n">
        <x:f>IF(COUNT(S134:U134)&lt;3,"",(S134+4*T134+U134)/6)</x:f>
        <x:v>5.333333333333333</x:v>
      </x:c>
      <x:c r="W134" s="11" t="n">
        <x:f>IF(COUNT(S134:U134)&lt;3,"",((U134-S134)/6)^2)</x:f>
        <x:v>1</x:v>
      </x:c>
      <x:c r="X134" s="8" t="str">
        <x:v>TK05</x:v>
      </x:c>
      <x:c r="Y134" s="8" t="str"/>
      <x:c r="Z134" s="8" t="str"/>
      <x:c r="AA134" s="8" t="str"/>
      <x:c r="AB134" s="8" t="str"/>
      <x:c r="AC134" s="8" t="str"/>
      <x:c r="AD134" s="10" t="str">
        <x:f>IF(X134="",0,INDEX($AK$6:$AK$133,MATCH(X134,$A$6:$A$133,0)))</x:f>
      </x:c>
      <x:c r="AE134" s="10" t="n">
        <x:f>IF(Y134="",0,INDEX($AK$6:$AK$133,MATCH(Y134,$A$6:$A$133,0)))</x:f>
        <x:v>0</x:v>
      </x:c>
      <x:c r="AF134" s="10" t="n">
        <x:f>IF(Z134="",0,INDEX($AK$6:$AK$133,MATCH(Z134,$A$6:$A$133,0)))</x:f>
        <x:v>0</x:v>
      </x:c>
      <x:c r="AG134" s="10" t="n">
        <x:f>IF(AA134="",0,INDEX($AK$6:$AK$133,MATCH(AA134,$A$6:$A$133,0)))</x:f>
        <x:v>0</x:v>
      </x:c>
      <x:c r="AH134" s="10" t="n">
        <x:f>IF(AB134="",0,INDEX($AK$6:$AK$133,MATCH(AB134,$A$6:$A$133,0)))</x:f>
        <x:v>0</x:v>
      </x:c>
      <x:c r="AI134" s="10" t="n">
        <x:f>IF(AC134="",0,INDEX($AK$6:$AK$133,MATCH(AC134,$A$6:$A$133,0)))</x:f>
        <x:v>0</x:v>
      </x:c>
      <x:c r="AJ134" s="10" t="str">
        <x:f>IF(AM134="완료",IF(J134="",K134,J134),IF(OR(COUNT('프로젝트설정'!$B$7:$B$8)&lt;2,COUNT(AD134:AI134)&lt;6,COUNT(S134:U134)&lt;3),"",IF(AM134="제외",MAX('프로젝트설정'!$B$7,AD134:AI134),IF(E134="진행",J134,MAX('프로젝트설정'!$B$7:$B$8,L134,AD134:AI134)))))</x:f>
      </x:c>
      <x:c r="AK134" s="10" t="str">
        <x:f>IF(AM134="완료",K134,IF(AJ134="","",IF(E134="진행",MAX('프로젝트설정'!$B$8,AJ134,AD134:AI134)+T134,AJ134+T134)))</x:f>
      </x:c>
      <x:c r="AL134" s="7" t="str">
        <x:f>IF(OR(I134="",AK134=""),"",AK134-I134)</x:f>
      </x:c>
      <x:c r="AM134" s="7" t="str">
        <x:f>IF(OR(D134="제외",E134="제외"),"제외",IF(D134&lt;&gt;"적용","적용성 확인",IF(E134="완료",IF(ISNUMBER(K134),"완료","실제완료 입력"),IF(E134="보류","보류 해제 필요",IF(E134="진행",IF(AND(ISNUMBER(J134),COUNT(P134:R134)=3,P134&gt;=0,P134&lt;=Q134,Q134&lt;=R134),"입력 OK","실제착수·잔여기간 확인"),IF(AND(COUNT(M134:O134)=3,M134&gt;=0,M134&lt;=N134,N134&lt;=O134),"입력 OK","전체기간 확인"))))))</x:f>
        <x:v>입력 OK</x:v>
      </x:c>
      <x:c r="AN134" s="7" t="str">
        <x:v>16</x:v>
      </x:c>
    </x:row>
    <x:row r="135" ht="38" customHeight="1">
      <x:c r="A135" s="7" t="str">
        <x:v>TK07</x:v>
      </x:c>
      <x:c r="B135" s="7" t="str">
        <x:v>16 기자재 구매·제작</x:v>
      </x:c>
      <x:c r="C135" s="7" t="str">
        <x:v>저장용기·버퍼탱크 출하승인·운송·현장 입고</x:v>
      </x:c>
      <x:c r="D135" s="7" t="str">
        <x:f>'모듈선택'!B21</x:f>
        <x:v>적용</x:v>
      </x:c>
      <x:c r="E135" s="8" t="str">
        <x:v>계획</x:v>
      </x:c>
      <x:c r="F135" s="8" t="str">
        <x:v>주설비 공급사 / 패키지 벤더 / PM / 오너 검토</x:v>
      </x:c>
      <x:c r="G135" s="8" t="str">
        <x:v>Release note, packing list, 입고검수</x:v>
      </x:c>
      <x:c r="H135" s="9"/>
      <x:c r="I135" s="9"/>
      <x:c r="J135" s="9"/>
      <x:c r="K135" s="9"/>
      <x:c r="L135" s="9"/>
      <x:c r="M135" s="8" t="n">
        <x:v>3</x:v>
      </x:c>
      <x:c r="N135" s="8" t="n">
        <x:v>4</x:v>
      </x:c>
      <x:c r="O135" s="8" t="n">
        <x:v>7</x:v>
      </x:c>
      <x:c r="P135" s="8"/>
      <x:c r="Q135" s="8"/>
      <x:c r="R135" s="8"/>
      <x:c r="S135" s="7" t="n">
        <x:f>IF(OR(AM135="제외",AM135="완료"),0,IF(AM135&lt;&gt;"입력 OK","",IF(E135="진행",P135,M135)))</x:f>
        <x:v>3</x:v>
      </x:c>
      <x:c r="T135" s="7" t="n">
        <x:f>IF(OR(AM135="제외",AM135="완료"),0,IF(AM135&lt;&gt;"입력 OK","",IF(E135="진행",Q135,N135)))</x:f>
        <x:v>4</x:v>
      </x:c>
      <x:c r="U135" s="7" t="n">
        <x:f>IF(OR(AM135="제외",AM135="완료"),0,IF(AM135&lt;&gt;"입력 OK","",IF(E135="진행",R135,O135)))</x:f>
        <x:v>7</x:v>
      </x:c>
      <x:c r="V135" s="11" t="n">
        <x:f>IF(COUNT(S135:U135)&lt;3,"",(S135+4*T135+U135)/6)</x:f>
        <x:v>4.333333333333333</x:v>
      </x:c>
      <x:c r="W135" s="11" t="n">
        <x:f>IF(COUNT(S135:U135)&lt;3,"",((U135-S135)/6)^2)</x:f>
        <x:v>0.4444444444444444</x:v>
      </x:c>
      <x:c r="X135" s="8" t="str">
        <x:v>TK06</x:v>
      </x:c>
      <x:c r="Y135" s="8" t="str"/>
      <x:c r="Z135" s="8" t="str"/>
      <x:c r="AA135" s="8" t="str"/>
      <x:c r="AB135" s="8" t="str"/>
      <x:c r="AC135" s="8" t="str"/>
      <x:c r="AD135" s="10" t="str">
        <x:f>IF(X135="",0,INDEX($AK$6:$AK$134,MATCH(X135,$A$6:$A$134,0)))</x:f>
      </x:c>
      <x:c r="AE135" s="10" t="n">
        <x:f>IF(Y135="",0,INDEX($AK$6:$AK$134,MATCH(Y135,$A$6:$A$134,0)))</x:f>
        <x:v>0</x:v>
      </x:c>
      <x:c r="AF135" s="10" t="n">
        <x:f>IF(Z135="",0,INDEX($AK$6:$AK$134,MATCH(Z135,$A$6:$A$134,0)))</x:f>
        <x:v>0</x:v>
      </x:c>
      <x:c r="AG135" s="10" t="n">
        <x:f>IF(AA135="",0,INDEX($AK$6:$AK$134,MATCH(AA135,$A$6:$A$134,0)))</x:f>
        <x:v>0</x:v>
      </x:c>
      <x:c r="AH135" s="10" t="n">
        <x:f>IF(AB135="",0,INDEX($AK$6:$AK$134,MATCH(AB135,$A$6:$A$134,0)))</x:f>
        <x:v>0</x:v>
      </x:c>
      <x:c r="AI135" s="10" t="n">
        <x:f>IF(AC135="",0,INDEX($AK$6:$AK$134,MATCH(AC135,$A$6:$A$134,0)))</x:f>
        <x:v>0</x:v>
      </x:c>
      <x:c r="AJ135" s="10" t="str">
        <x:f>IF(AM135="완료",IF(J135="",K135,J135),IF(OR(COUNT('프로젝트설정'!$B$7:$B$8)&lt;2,COUNT(AD135:AI135)&lt;6,COUNT(S135:U135)&lt;3),"",IF(AM135="제외",MAX('프로젝트설정'!$B$7,AD135:AI135),IF(E135="진행",J135,MAX('프로젝트설정'!$B$7:$B$8,L135,AD135:AI135)))))</x:f>
      </x:c>
      <x:c r="AK135" s="10" t="str">
        <x:f>IF(AM135="완료",K135,IF(AJ135="","",IF(E135="진행",MAX('프로젝트설정'!$B$8,AJ135,AD135:AI135)+T135,AJ135+T135)))</x:f>
      </x:c>
      <x:c r="AL135" s="7" t="str">
        <x:f>IF(OR(I135="",AK135=""),"",AK135-I135)</x:f>
      </x:c>
      <x:c r="AM135" s="7" t="str">
        <x:f>IF(OR(D135="제외",E135="제외"),"제외",IF(D135&lt;&gt;"적용","적용성 확인",IF(E135="완료",IF(ISNUMBER(K135),"완료","실제완료 입력"),IF(E135="보류","보류 해제 필요",IF(E135="진행",IF(AND(ISNUMBER(J135),COUNT(P135:R135)=3,P135&gt;=0,P135&lt;=Q135,Q135&lt;=R135),"입력 OK","실제착수·잔여기간 확인"),IF(AND(COUNT(M135:O135)=3,M135&gt;=0,M135&lt;=N135,N135&lt;=O135),"입력 OK","전체기간 확인"))))))</x:f>
        <x:v>입력 OK</x:v>
      </x:c>
      <x:c r="AN135" s="7" t="str">
        <x:v>16</x:v>
      </x:c>
    </x:row>
    <x:row r="136" ht="38" customHeight="1">
      <x:c r="A136" s="7" t="str">
        <x:v>AN01</x:v>
      </x:c>
      <x:c r="B136" s="7" t="str">
        <x:v>16 기자재 구매·제작</x:v>
      </x:c>
      <x:c r="C136" s="7" t="str">
        <x:v>제품분석기·Sampling system 잔여 발주범위·사양 확정</x:v>
      </x:c>
      <x:c r="D136" s="7" t="str">
        <x:f>'모듈선택'!B21</x:f>
        <x:v>적용</x:v>
      </x:c>
      <x:c r="E136" s="8" t="str">
        <x:v>계획</x:v>
      </x:c>
      <x:c r="F136" s="8" t="str">
        <x:v>주설비 공급사 / 패키지 벤더 / PM / 오너 검토</x:v>
      </x:c>
      <x:c r="G136" s="8" t="str">
        <x:v>Datasheet, RFQ, 기존 PO 확인</x:v>
      </x:c>
      <x:c r="H136" s="9"/>
      <x:c r="I136" s="9"/>
      <x:c r="J136" s="9"/>
      <x:c r="K136" s="9"/>
      <x:c r="L136" s="9"/>
      <x:c r="M136" s="8" t="n">
        <x:v>3</x:v>
      </x:c>
      <x:c r="N136" s="8" t="n">
        <x:v>4</x:v>
      </x:c>
      <x:c r="O136" s="8" t="n">
        <x:v>7</x:v>
      </x:c>
      <x:c r="P136" s="8"/>
      <x:c r="Q136" s="8"/>
      <x:c r="R136" s="8"/>
      <x:c r="S136" s="7" t="n">
        <x:f>IF(OR(AM136="제외",AM136="완료"),0,IF(AM136&lt;&gt;"입력 OK","",IF(E136="진행",P136,M136)))</x:f>
        <x:v>3</x:v>
      </x:c>
      <x:c r="T136" s="7" t="n">
        <x:f>IF(OR(AM136="제외",AM136="완료"),0,IF(AM136&lt;&gt;"입력 OK","",IF(E136="진행",Q136,N136)))</x:f>
        <x:v>4</x:v>
      </x:c>
      <x:c r="U136" s="7" t="n">
        <x:f>IF(OR(AM136="제외",AM136="완료"),0,IF(AM136&lt;&gt;"입력 OK","",IF(E136="진행",R136,O136)))</x:f>
        <x:v>7</x:v>
      </x:c>
      <x:c r="V136" s="11" t="n">
        <x:f>IF(COUNT(S136:U136)&lt;3,"",(S136+4*T136+U136)/6)</x:f>
        <x:v>4.333333333333333</x:v>
      </x:c>
      <x:c r="W136" s="11" t="n">
        <x:f>IF(COUNT(S136:U136)&lt;3,"",((U136-S136)/6)^2)</x:f>
        <x:v>0.4444444444444444</x:v>
      </x:c>
      <x:c r="X136" s="8" t="str">
        <x:v>VP06</x:v>
      </x:c>
      <x:c r="Y136" s="8" t="str"/>
      <x:c r="Z136" s="8" t="str"/>
      <x:c r="AA136" s="8" t="str"/>
      <x:c r="AB136" s="8" t="str"/>
      <x:c r="AC136" s="8" t="str"/>
      <x:c r="AD136" s="10" t="str">
        <x:f>IF(X136="",0,INDEX($AK$6:$AK$135,MATCH(X136,$A$6:$A$135,0)))</x:f>
      </x:c>
      <x:c r="AE136" s="10" t="n">
        <x:f>IF(Y136="",0,INDEX($AK$6:$AK$135,MATCH(Y136,$A$6:$A$135,0)))</x:f>
        <x:v>0</x:v>
      </x:c>
      <x:c r="AF136" s="10" t="n">
        <x:f>IF(Z136="",0,INDEX($AK$6:$AK$135,MATCH(Z136,$A$6:$A$135,0)))</x:f>
        <x:v>0</x:v>
      </x:c>
      <x:c r="AG136" s="10" t="n">
        <x:f>IF(AA136="",0,INDEX($AK$6:$AK$135,MATCH(AA136,$A$6:$A$135,0)))</x:f>
        <x:v>0</x:v>
      </x:c>
      <x:c r="AH136" s="10" t="n">
        <x:f>IF(AB136="",0,INDEX($AK$6:$AK$135,MATCH(AB136,$A$6:$A$135,0)))</x:f>
        <x:v>0</x:v>
      </x:c>
      <x:c r="AI136" s="10" t="n">
        <x:f>IF(AC136="",0,INDEX($AK$6:$AK$135,MATCH(AC136,$A$6:$A$135,0)))</x:f>
        <x:v>0</x:v>
      </x:c>
      <x:c r="AJ136" s="10" t="str">
        <x:f>IF(AM136="완료",IF(J136="",K136,J136),IF(OR(COUNT('프로젝트설정'!$B$7:$B$8)&lt;2,COUNT(AD136:AI136)&lt;6,COUNT(S136:U136)&lt;3),"",IF(AM136="제외",MAX('프로젝트설정'!$B$7,AD136:AI136),IF(E136="진행",J136,MAX('프로젝트설정'!$B$7:$B$8,L136,AD136:AI136)))))</x:f>
      </x:c>
      <x:c r="AK136" s="10" t="str">
        <x:f>IF(AM136="완료",K136,IF(AJ136="","",IF(E136="진행",MAX('프로젝트설정'!$B$8,AJ136,AD136:AI136)+T136,AJ136+T136)))</x:f>
      </x:c>
      <x:c r="AL136" s="7" t="str">
        <x:f>IF(OR(I136="",AK136=""),"",AK136-I136)</x:f>
      </x:c>
      <x:c r="AM136" s="7" t="str">
        <x:f>IF(OR(D136="제외",E136="제외"),"제외",IF(D136&lt;&gt;"적용","적용성 확인",IF(E136="완료",IF(ISNUMBER(K136),"완료","실제완료 입력"),IF(E136="보류","보류 해제 필요",IF(E136="진행",IF(AND(ISNUMBER(J136),COUNT(P136:R136)=3,P136&gt;=0,P136&lt;=Q136,Q136&lt;=R136),"입력 OK","실제착수·잔여기간 확인"),IF(AND(COUNT(M136:O136)=3,M136&gt;=0,M136&lt;=N136,N136&lt;=O136),"입력 OK","전체기간 확인"))))))</x:f>
        <x:v>입력 OK</x:v>
      </x:c>
      <x:c r="AN136" s="7" t="str">
        <x:v>16</x:v>
      </x:c>
    </x:row>
    <x:row r="137" ht="38" customHeight="1">
      <x:c r="A137" s="7" t="str">
        <x:v>AN02</x:v>
      </x:c>
      <x:c r="B137" s="7" t="str">
        <x:v>16 기자재 구매·제작</x:v>
      </x:c>
      <x:c r="C137" s="7" t="str">
        <x:v>제품분석기·Sampling system 견적/TBE·계약조건·납기 합의</x:v>
      </x:c>
      <x:c r="D137" s="7" t="str">
        <x:f>'모듈선택'!B21</x:f>
        <x:v>적용</x:v>
      </x:c>
      <x:c r="E137" s="8" t="str">
        <x:v>계획</x:v>
      </x:c>
      <x:c r="F137" s="8" t="str">
        <x:v>주설비 공급사 / 패키지 벤더 / PM / 오너 검토</x:v>
      </x:c>
      <x:c r="G137" s="8" t="str">
        <x:v>TBE, PO, 납기표</x:v>
      </x:c>
      <x:c r="H137" s="9"/>
      <x:c r="I137" s="9"/>
      <x:c r="J137" s="9"/>
      <x:c r="K137" s="9"/>
      <x:c r="L137" s="9"/>
      <x:c r="M137" s="8" t="n">
        <x:v>5</x:v>
      </x:c>
      <x:c r="N137" s="8" t="n">
        <x:v>7</x:v>
      </x:c>
      <x:c r="O137" s="8" t="n">
        <x:v>12</x:v>
      </x:c>
      <x:c r="P137" s="8"/>
      <x:c r="Q137" s="8"/>
      <x:c r="R137" s="8"/>
      <x:c r="S137" s="7" t="n">
        <x:f>IF(OR(AM137="제외",AM137="완료"),0,IF(AM137&lt;&gt;"입력 OK","",IF(E137="진행",P137,M137)))</x:f>
        <x:v>5</x:v>
      </x:c>
      <x:c r="T137" s="7" t="n">
        <x:f>IF(OR(AM137="제외",AM137="완료"),0,IF(AM137&lt;&gt;"입력 OK","",IF(E137="진행",Q137,N137)))</x:f>
        <x:v>7</x:v>
      </x:c>
      <x:c r="U137" s="7" t="n">
        <x:f>IF(OR(AM137="제외",AM137="완료"),0,IF(AM137&lt;&gt;"입력 OK","",IF(E137="진행",R137,O137)))</x:f>
        <x:v>12</x:v>
      </x:c>
      <x:c r="V137" s="11" t="n">
        <x:f>IF(COUNT(S137:U137)&lt;3,"",(S137+4*T137+U137)/6)</x:f>
        <x:v>7.5</x:v>
      </x:c>
      <x:c r="W137" s="11" t="n">
        <x:f>IF(COUNT(S137:U137)&lt;3,"",((U137-S137)/6)^2)</x:f>
        <x:v>1.3611111111111114</x:v>
      </x:c>
      <x:c r="X137" s="8" t="str">
        <x:v>AN01</x:v>
      </x:c>
      <x:c r="Y137" s="8" t="str"/>
      <x:c r="Z137" s="8" t="str"/>
      <x:c r="AA137" s="8" t="str"/>
      <x:c r="AB137" s="8" t="str"/>
      <x:c r="AC137" s="8" t="str"/>
      <x:c r="AD137" s="10" t="str">
        <x:f>IF(X137="",0,INDEX($AK$6:$AK$136,MATCH(X137,$A$6:$A$136,0)))</x:f>
      </x:c>
      <x:c r="AE137" s="10" t="n">
        <x:f>IF(Y137="",0,INDEX($AK$6:$AK$136,MATCH(Y137,$A$6:$A$136,0)))</x:f>
        <x:v>0</x:v>
      </x:c>
      <x:c r="AF137" s="10" t="n">
        <x:f>IF(Z137="",0,INDEX($AK$6:$AK$136,MATCH(Z137,$A$6:$A$136,0)))</x:f>
        <x:v>0</x:v>
      </x:c>
      <x:c r="AG137" s="10" t="n">
        <x:f>IF(AA137="",0,INDEX($AK$6:$AK$136,MATCH(AA137,$A$6:$A$136,0)))</x:f>
        <x:v>0</x:v>
      </x:c>
      <x:c r="AH137" s="10" t="n">
        <x:f>IF(AB137="",0,INDEX($AK$6:$AK$136,MATCH(AB137,$A$6:$A$136,0)))</x:f>
        <x:v>0</x:v>
      </x:c>
      <x:c r="AI137" s="10" t="n">
        <x:f>IF(AC137="",0,INDEX($AK$6:$AK$136,MATCH(AC137,$A$6:$A$136,0)))</x:f>
        <x:v>0</x:v>
      </x:c>
      <x:c r="AJ137" s="10" t="str">
        <x:f>IF(AM137="완료",IF(J137="",K137,J137),IF(OR(COUNT('프로젝트설정'!$B$7:$B$8)&lt;2,COUNT(AD137:AI137)&lt;6,COUNT(S137:U137)&lt;3),"",IF(AM137="제외",MAX('프로젝트설정'!$B$7,AD137:AI137),IF(E137="진행",J137,MAX('프로젝트설정'!$B$7:$B$8,L137,AD137:AI137)))))</x:f>
      </x:c>
      <x:c r="AK137" s="10" t="str">
        <x:f>IF(AM137="완료",K137,IF(AJ137="","",IF(E137="진행",MAX('프로젝트설정'!$B$8,AJ137,AD137:AI137)+T137,AJ137+T137)))</x:f>
      </x:c>
      <x:c r="AL137" s="7" t="str">
        <x:f>IF(OR(I137="",AK137=""),"",AK137-I137)</x:f>
      </x:c>
      <x:c r="AM137" s="7" t="str">
        <x:f>IF(OR(D137="제외",E137="제외"),"제외",IF(D137&lt;&gt;"적용","적용성 확인",IF(E137="완료",IF(ISNUMBER(K137),"완료","실제완료 입력"),IF(E137="보류","보류 해제 필요",IF(E137="진행",IF(AND(ISNUMBER(J137),COUNT(P137:R137)=3,P137&gt;=0,P137&lt;=Q137,Q137&lt;=R137),"입력 OK","실제착수·잔여기간 확인"),IF(AND(COUNT(M137:O137)=3,M137&gt;=0,M137&lt;=N137,N137&lt;=O137),"입력 OK","전체기간 확인"))))))</x:f>
        <x:v>입력 OK</x:v>
      </x:c>
      <x:c r="AN137" s="7" t="str">
        <x:v>16</x:v>
      </x:c>
    </x:row>
    <x:row r="138" ht="38" customHeight="1">
      <x:c r="A138" s="7" t="str">
        <x:v>AN03</x:v>
      </x:c>
      <x:c r="B138" s="7" t="str">
        <x:v>16 기자재 구매·제작</x:v>
      </x:c>
      <x:c r="C138" s="7" t="str">
        <x:v>제품분석기·Sampling system 제작도·ITP 승인</x:v>
      </x:c>
      <x:c r="D138" s="7" t="str">
        <x:f>'모듈선택'!B21</x:f>
        <x:v>적용</x:v>
      </x:c>
      <x:c r="E138" s="8" t="str">
        <x:v>계획</x:v>
      </x:c>
      <x:c r="F138" s="8" t="str">
        <x:v>주설비 공급사 / 패키지 벤더 / PM / 오너 검토</x:v>
      </x:c>
      <x:c r="G138" s="8" t="str">
        <x:v>Approved drawing, ITP</x:v>
      </x:c>
      <x:c r="H138" s="9"/>
      <x:c r="I138" s="9"/>
      <x:c r="J138" s="9"/>
      <x:c r="K138" s="9"/>
      <x:c r="L138" s="9"/>
      <x:c r="M138" s="8" t="n">
        <x:v>7</x:v>
      </x:c>
      <x:c r="N138" s="8" t="n">
        <x:v>10</x:v>
      </x:c>
      <x:c r="O138" s="8" t="n">
        <x:v>17</x:v>
      </x:c>
      <x:c r="P138" s="8"/>
      <x:c r="Q138" s="8"/>
      <x:c r="R138" s="8"/>
      <x:c r="S138" s="7" t="n">
        <x:f>IF(OR(AM138="제외",AM138="완료"),0,IF(AM138&lt;&gt;"입력 OK","",IF(E138="진행",P138,M138)))</x:f>
        <x:v>7</x:v>
      </x:c>
      <x:c r="T138" s="7" t="n">
        <x:f>IF(OR(AM138="제외",AM138="완료"),0,IF(AM138&lt;&gt;"입력 OK","",IF(E138="진행",Q138,N138)))</x:f>
        <x:v>10</x:v>
      </x:c>
      <x:c r="U138" s="7" t="n">
        <x:f>IF(OR(AM138="제외",AM138="완료"),0,IF(AM138&lt;&gt;"입력 OK","",IF(E138="진행",R138,O138)))</x:f>
        <x:v>17</x:v>
      </x:c>
      <x:c r="V138" s="11" t="n">
        <x:f>IF(COUNT(S138:U138)&lt;3,"",(S138+4*T138+U138)/6)</x:f>
        <x:v>10.666666666666666</x:v>
      </x:c>
      <x:c r="W138" s="11" t="n">
        <x:f>IF(COUNT(S138:U138)&lt;3,"",((U138-S138)/6)^2)</x:f>
        <x:v>2.777777777777778</x:v>
      </x:c>
      <x:c r="X138" s="8" t="str">
        <x:v>AN02</x:v>
      </x:c>
      <x:c r="Y138" s="8" t="str"/>
      <x:c r="Z138" s="8" t="str"/>
      <x:c r="AA138" s="8" t="str"/>
      <x:c r="AB138" s="8" t="str"/>
      <x:c r="AC138" s="8" t="str"/>
      <x:c r="AD138" s="10" t="str">
        <x:f>IF(X138="",0,INDEX($AK$6:$AK$137,MATCH(X138,$A$6:$A$137,0)))</x:f>
      </x:c>
      <x:c r="AE138" s="10" t="n">
        <x:f>IF(Y138="",0,INDEX($AK$6:$AK$137,MATCH(Y138,$A$6:$A$137,0)))</x:f>
        <x:v>0</x:v>
      </x:c>
      <x:c r="AF138" s="10" t="n">
        <x:f>IF(Z138="",0,INDEX($AK$6:$AK$137,MATCH(Z138,$A$6:$A$137,0)))</x:f>
        <x:v>0</x:v>
      </x:c>
      <x:c r="AG138" s="10" t="n">
        <x:f>IF(AA138="",0,INDEX($AK$6:$AK$137,MATCH(AA138,$A$6:$A$137,0)))</x:f>
        <x:v>0</x:v>
      </x:c>
      <x:c r="AH138" s="10" t="n">
        <x:f>IF(AB138="",0,INDEX($AK$6:$AK$137,MATCH(AB138,$A$6:$A$137,0)))</x:f>
        <x:v>0</x:v>
      </x:c>
      <x:c r="AI138" s="10" t="n">
        <x:f>IF(AC138="",0,INDEX($AK$6:$AK$137,MATCH(AC138,$A$6:$A$137,0)))</x:f>
        <x:v>0</x:v>
      </x:c>
      <x:c r="AJ138" s="10" t="str">
        <x:f>IF(AM138="완료",IF(J138="",K138,J138),IF(OR(COUNT('프로젝트설정'!$B$7:$B$8)&lt;2,COUNT(AD138:AI138)&lt;6,COUNT(S138:U138)&lt;3),"",IF(AM138="제외",MAX('프로젝트설정'!$B$7,AD138:AI138),IF(E138="진행",J138,MAX('프로젝트설정'!$B$7:$B$8,L138,AD138:AI138)))))</x:f>
      </x:c>
      <x:c r="AK138" s="10" t="str">
        <x:f>IF(AM138="완료",K138,IF(AJ138="","",IF(E138="진행",MAX('프로젝트설정'!$B$8,AJ138,AD138:AI138)+T138,AJ138+T138)))</x:f>
      </x:c>
      <x:c r="AL138" s="7" t="str">
        <x:f>IF(OR(I138="",AK138=""),"",AK138-I138)</x:f>
      </x:c>
      <x:c r="AM138" s="7" t="str">
        <x:f>IF(OR(D138="제외",E138="제외"),"제외",IF(D138&lt;&gt;"적용","적용성 확인",IF(E138="완료",IF(ISNUMBER(K138),"완료","실제완료 입력"),IF(E138="보류","보류 해제 필요",IF(E138="진행",IF(AND(ISNUMBER(J138),COUNT(P138:R138)=3,P138&gt;=0,P138&lt;=Q138,Q138&lt;=R138),"입력 OK","실제착수·잔여기간 확인"),IF(AND(COUNT(M138:O138)=3,M138&gt;=0,M138&lt;=N138,N138&lt;=O138),"입력 OK","전체기간 확인"))))))</x:f>
        <x:v>입력 OK</x:v>
      </x:c>
      <x:c r="AN138" s="7" t="str">
        <x:v>16</x:v>
      </x:c>
    </x:row>
    <x:row r="139" ht="38" customHeight="1">
      <x:c r="A139" s="7" t="str">
        <x:v>AN04</x:v>
      </x:c>
      <x:c r="B139" s="7" t="str">
        <x:v>16 기자재 구매·제작</x:v>
      </x:c>
      <x:c r="C139" s="7" t="str">
        <x:v>제품분석기·Sampling system 자재조달·제작</x:v>
      </x:c>
      <x:c r="D139" s="7" t="str">
        <x:f>'모듈선택'!B21</x:f>
        <x:v>적용</x:v>
      </x:c>
      <x:c r="E139" s="8" t="str">
        <x:v>계획</x:v>
      </x:c>
      <x:c r="F139" s="8" t="str">
        <x:v>주설비 공급사 / 패키지 벤더 / PM / 오너 검토</x:v>
      </x:c>
      <x:c r="G139" s="8" t="str">
        <x:v>제작공정표, 자재성적서</x:v>
      </x:c>
      <x:c r="H139" s="9"/>
      <x:c r="I139" s="9"/>
      <x:c r="J139" s="9"/>
      <x:c r="K139" s="9"/>
      <x:c r="L139" s="9"/>
      <x:c r="M139" s="8" t="n">
        <x:v>56</x:v>
      </x:c>
      <x:c r="N139" s="8" t="n">
        <x:v>80</x:v>
      </x:c>
      <x:c r="O139" s="8" t="n">
        <x:v>120</x:v>
      </x:c>
      <x:c r="P139" s="8"/>
      <x:c r="Q139" s="8"/>
      <x:c r="R139" s="8"/>
      <x:c r="S139" s="7" t="n">
        <x:f>IF(OR(AM139="제외",AM139="완료"),0,IF(AM139&lt;&gt;"입력 OK","",IF(E139="진행",P139,M139)))</x:f>
        <x:v>56</x:v>
      </x:c>
      <x:c r="T139" s="7" t="n">
        <x:f>IF(OR(AM139="제외",AM139="완료"),0,IF(AM139&lt;&gt;"입력 OK","",IF(E139="진행",Q139,N139)))</x:f>
        <x:v>80</x:v>
      </x:c>
      <x:c r="U139" s="7" t="n">
        <x:f>IF(OR(AM139="제외",AM139="완료"),0,IF(AM139&lt;&gt;"입력 OK","",IF(E139="진행",R139,O139)))</x:f>
        <x:v>120</x:v>
      </x:c>
      <x:c r="V139" s="11" t="n">
        <x:f>IF(COUNT(S139:U139)&lt;3,"",(S139+4*T139+U139)/6)</x:f>
        <x:v>82.66666666666667</x:v>
      </x:c>
      <x:c r="W139" s="11" t="n">
        <x:f>IF(COUNT(S139:U139)&lt;3,"",((U139-S139)/6)^2)</x:f>
        <x:v>113.77777777777777</x:v>
      </x:c>
      <x:c r="X139" s="8" t="str">
        <x:v>AN03</x:v>
      </x:c>
      <x:c r="Y139" s="8" t="str"/>
      <x:c r="Z139" s="8" t="str"/>
      <x:c r="AA139" s="8" t="str"/>
      <x:c r="AB139" s="8" t="str"/>
      <x:c r="AC139" s="8" t="str"/>
      <x:c r="AD139" s="10" t="str">
        <x:f>IF(X139="",0,INDEX($AK$6:$AK$138,MATCH(X139,$A$6:$A$138,0)))</x:f>
      </x:c>
      <x:c r="AE139" s="10" t="n">
        <x:f>IF(Y139="",0,INDEX($AK$6:$AK$138,MATCH(Y139,$A$6:$A$138,0)))</x:f>
        <x:v>0</x:v>
      </x:c>
      <x:c r="AF139" s="10" t="n">
        <x:f>IF(Z139="",0,INDEX($AK$6:$AK$138,MATCH(Z139,$A$6:$A$138,0)))</x:f>
        <x:v>0</x:v>
      </x:c>
      <x:c r="AG139" s="10" t="n">
        <x:f>IF(AA139="",0,INDEX($AK$6:$AK$138,MATCH(AA139,$A$6:$A$138,0)))</x:f>
        <x:v>0</x:v>
      </x:c>
      <x:c r="AH139" s="10" t="n">
        <x:f>IF(AB139="",0,INDEX($AK$6:$AK$138,MATCH(AB139,$A$6:$A$138,0)))</x:f>
        <x:v>0</x:v>
      </x:c>
      <x:c r="AI139" s="10" t="n">
        <x:f>IF(AC139="",0,INDEX($AK$6:$AK$138,MATCH(AC139,$A$6:$A$138,0)))</x:f>
        <x:v>0</x:v>
      </x:c>
      <x:c r="AJ139" s="10" t="str">
        <x:f>IF(AM139="완료",IF(J139="",K139,J139),IF(OR(COUNT('프로젝트설정'!$B$7:$B$8)&lt;2,COUNT(AD139:AI139)&lt;6,COUNT(S139:U139)&lt;3),"",IF(AM139="제외",MAX('프로젝트설정'!$B$7,AD139:AI139),IF(E139="진행",J139,MAX('프로젝트설정'!$B$7:$B$8,L139,AD139:AI139)))))</x:f>
      </x:c>
      <x:c r="AK139" s="10" t="str">
        <x:f>IF(AM139="완료",K139,IF(AJ139="","",IF(E139="진행",MAX('프로젝트설정'!$B$8,AJ139,AD139:AI139)+T139,AJ139+T139)))</x:f>
      </x:c>
      <x:c r="AL139" s="7" t="str">
        <x:f>IF(OR(I139="",AK139=""),"",AK139-I139)</x:f>
      </x:c>
      <x:c r="AM139" s="7" t="str">
        <x:f>IF(OR(D139="제외",E139="제외"),"제외",IF(D139&lt;&gt;"적용","적용성 확인",IF(E139="완료",IF(ISNUMBER(K139),"완료","실제완료 입력"),IF(E139="보류","보류 해제 필요",IF(E139="진행",IF(AND(ISNUMBER(J139),COUNT(P139:R139)=3,P139&gt;=0,P139&lt;=Q139,Q139&lt;=R139),"입력 OK","실제착수·잔여기간 확인"),IF(AND(COUNT(M139:O139)=3,M139&gt;=0,M139&lt;=N139,N139&lt;=O139),"입력 OK","전체기간 확인"))))))</x:f>
        <x:v>입력 OK</x:v>
      </x:c>
      <x:c r="AN139" s="7" t="str">
        <x:v>16</x:v>
      </x:c>
    </x:row>
    <x:row r="140" ht="38" customHeight="1">
      <x:c r="A140" s="7" t="str">
        <x:v>AN05</x:v>
      </x:c>
      <x:c r="B140" s="7" t="str">
        <x:v>16 기자재 구매·제작</x:v>
      </x:c>
      <x:c r="C140" s="7" t="str">
        <x:v>제품분석기·Sampling system 조립·공장 기능시험</x:v>
      </x:c>
      <x:c r="D140" s="7" t="str">
        <x:f>'모듈선택'!B21</x:f>
        <x:v>적용</x:v>
      </x:c>
      <x:c r="E140" s="8" t="str">
        <x:v>계획</x:v>
      </x:c>
      <x:c r="F140" s="8" t="str">
        <x:v>주설비 공급사 / 패키지 벤더 / PM / 오너 검토</x:v>
      </x:c>
      <x:c r="G140" s="8" t="str">
        <x:v>조립기록, 시험절차</x:v>
      </x:c>
      <x:c r="H140" s="9"/>
      <x:c r="I140" s="9"/>
      <x:c r="J140" s="9"/>
      <x:c r="K140" s="9"/>
      <x:c r="L140" s="9"/>
      <x:c r="M140" s="8" t="n">
        <x:v>5</x:v>
      </x:c>
      <x:c r="N140" s="8" t="n">
        <x:v>7</x:v>
      </x:c>
      <x:c r="O140" s="8" t="n">
        <x:v>12</x:v>
      </x:c>
      <x:c r="P140" s="8"/>
      <x:c r="Q140" s="8"/>
      <x:c r="R140" s="8"/>
      <x:c r="S140" s="7" t="n">
        <x:f>IF(OR(AM140="제외",AM140="완료"),0,IF(AM140&lt;&gt;"입력 OK","",IF(E140="진행",P140,M140)))</x:f>
        <x:v>5</x:v>
      </x:c>
      <x:c r="T140" s="7" t="n">
        <x:f>IF(OR(AM140="제외",AM140="완료"),0,IF(AM140&lt;&gt;"입력 OK","",IF(E140="진행",Q140,N140)))</x:f>
        <x:v>7</x:v>
      </x:c>
      <x:c r="U140" s="7" t="n">
        <x:f>IF(OR(AM140="제외",AM140="완료"),0,IF(AM140&lt;&gt;"입력 OK","",IF(E140="진행",R140,O140)))</x:f>
        <x:v>12</x:v>
      </x:c>
      <x:c r="V140" s="11" t="n">
        <x:f>IF(COUNT(S140:U140)&lt;3,"",(S140+4*T140+U140)/6)</x:f>
        <x:v>7.5</x:v>
      </x:c>
      <x:c r="W140" s="11" t="n">
        <x:f>IF(COUNT(S140:U140)&lt;3,"",((U140-S140)/6)^2)</x:f>
        <x:v>1.3611111111111114</x:v>
      </x:c>
      <x:c r="X140" s="8" t="str">
        <x:v>AN04</x:v>
      </x:c>
      <x:c r="Y140" s="8" t="str"/>
      <x:c r="Z140" s="8" t="str"/>
      <x:c r="AA140" s="8" t="str"/>
      <x:c r="AB140" s="8" t="str"/>
      <x:c r="AC140" s="8" t="str"/>
      <x:c r="AD140" s="10" t="str">
        <x:f>IF(X140="",0,INDEX($AK$6:$AK$139,MATCH(X140,$A$6:$A$139,0)))</x:f>
      </x:c>
      <x:c r="AE140" s="10" t="n">
        <x:f>IF(Y140="",0,INDEX($AK$6:$AK$139,MATCH(Y140,$A$6:$A$139,0)))</x:f>
        <x:v>0</x:v>
      </x:c>
      <x:c r="AF140" s="10" t="n">
        <x:f>IF(Z140="",0,INDEX($AK$6:$AK$139,MATCH(Z140,$A$6:$A$139,0)))</x:f>
        <x:v>0</x:v>
      </x:c>
      <x:c r="AG140" s="10" t="n">
        <x:f>IF(AA140="",0,INDEX($AK$6:$AK$139,MATCH(AA140,$A$6:$A$139,0)))</x:f>
        <x:v>0</x:v>
      </x:c>
      <x:c r="AH140" s="10" t="n">
        <x:f>IF(AB140="",0,INDEX($AK$6:$AK$139,MATCH(AB140,$A$6:$A$139,0)))</x:f>
        <x:v>0</x:v>
      </x:c>
      <x:c r="AI140" s="10" t="n">
        <x:f>IF(AC140="",0,INDEX($AK$6:$AK$139,MATCH(AC140,$A$6:$A$139,0)))</x:f>
        <x:v>0</x:v>
      </x:c>
      <x:c r="AJ140" s="10" t="str">
        <x:f>IF(AM140="완료",IF(J140="",K140,J140),IF(OR(COUNT('프로젝트설정'!$B$7:$B$8)&lt;2,COUNT(AD140:AI140)&lt;6,COUNT(S140:U140)&lt;3),"",IF(AM140="제외",MAX('프로젝트설정'!$B$7,AD140:AI140),IF(E140="진행",J140,MAX('프로젝트설정'!$B$7:$B$8,L140,AD140:AI140)))))</x:f>
      </x:c>
      <x:c r="AK140" s="10" t="str">
        <x:f>IF(AM140="완료",K140,IF(AJ140="","",IF(E140="진행",MAX('프로젝트설정'!$B$8,AJ140,AD140:AI140)+T140,AJ140+T140)))</x:f>
      </x:c>
      <x:c r="AL140" s="7" t="str">
        <x:f>IF(OR(I140="",AK140=""),"",AK140-I140)</x:f>
      </x:c>
      <x:c r="AM140" s="7" t="str">
        <x:f>IF(OR(D140="제외",E140="제외"),"제외",IF(D140&lt;&gt;"적용","적용성 확인",IF(E140="완료",IF(ISNUMBER(K140),"완료","실제완료 입력"),IF(E140="보류","보류 해제 필요",IF(E140="진행",IF(AND(ISNUMBER(J140),COUNT(P140:R140)=3,P140&gt;=0,P140&lt;=Q140,Q140&lt;=R140),"입력 OK","실제착수·잔여기간 확인"),IF(AND(COUNT(M140:O140)=3,M140&gt;=0,M140&lt;=N140,N140&lt;=O140),"입력 OK","전체기간 확인"))))))</x:f>
        <x:v>입력 OK</x:v>
      </x:c>
      <x:c r="AN140" s="7" t="str">
        <x:v>16</x:v>
      </x:c>
    </x:row>
    <x:row r="141" ht="38" customHeight="1">
      <x:c r="A141" s="7" t="str">
        <x:v>AN06</x:v>
      </x:c>
      <x:c r="B141" s="7" t="str">
        <x:v>16 기자재 구매·제작</x:v>
      </x:c>
      <x:c r="C141" s="7" t="str">
        <x:v>제품분석기·Sampling system FAT 입회·지적사항 조치</x:v>
      </x:c>
      <x:c r="D141" s="7" t="str">
        <x:f>'모듈선택'!B21</x:f>
        <x:v>적용</x:v>
      </x:c>
      <x:c r="E141" s="8" t="str">
        <x:v>계획</x:v>
      </x:c>
      <x:c r="F141" s="8" t="str">
        <x:v>주설비 공급사 / 패키지 벤더 / PM / 오너 검토</x:v>
      </x:c>
      <x:c r="G141" s="8" t="str">
        <x:v>FAT report, punch close</x:v>
      </x:c>
      <x:c r="H141" s="9"/>
      <x:c r="I141" s="9"/>
      <x:c r="J141" s="9"/>
      <x:c r="K141" s="9"/>
      <x:c r="L141" s="9"/>
      <x:c r="M141" s="8" t="n">
        <x:v>3</x:v>
      </x:c>
      <x:c r="N141" s="8" t="n">
        <x:v>5</x:v>
      </x:c>
      <x:c r="O141" s="8" t="n">
        <x:v>9</x:v>
      </x:c>
      <x:c r="P141" s="8"/>
      <x:c r="Q141" s="8"/>
      <x:c r="R141" s="8"/>
      <x:c r="S141" s="7" t="n">
        <x:f>IF(OR(AM141="제외",AM141="완료"),0,IF(AM141&lt;&gt;"입력 OK","",IF(E141="진행",P141,M141)))</x:f>
        <x:v>3</x:v>
      </x:c>
      <x:c r="T141" s="7" t="n">
        <x:f>IF(OR(AM141="제외",AM141="완료"),0,IF(AM141&lt;&gt;"입력 OK","",IF(E141="진행",Q141,N141)))</x:f>
        <x:v>5</x:v>
      </x:c>
      <x:c r="U141" s="7" t="n">
        <x:f>IF(OR(AM141="제외",AM141="완료"),0,IF(AM141&lt;&gt;"입력 OK","",IF(E141="진행",R141,O141)))</x:f>
        <x:v>9</x:v>
      </x:c>
      <x:c r="V141" s="11" t="n">
        <x:f>IF(COUNT(S141:U141)&lt;3,"",(S141+4*T141+U141)/6)</x:f>
        <x:v>5.333333333333333</x:v>
      </x:c>
      <x:c r="W141" s="11" t="n">
        <x:f>IF(COUNT(S141:U141)&lt;3,"",((U141-S141)/6)^2)</x:f>
        <x:v>1</x:v>
      </x:c>
      <x:c r="X141" s="8" t="str">
        <x:v>AN05</x:v>
      </x:c>
      <x:c r="Y141" s="8" t="str"/>
      <x:c r="Z141" s="8" t="str"/>
      <x:c r="AA141" s="8" t="str"/>
      <x:c r="AB141" s="8" t="str"/>
      <x:c r="AC141" s="8" t="str"/>
      <x:c r="AD141" s="10" t="str">
        <x:f>IF(X141="",0,INDEX($AK$6:$AK$140,MATCH(X141,$A$6:$A$140,0)))</x:f>
      </x:c>
      <x:c r="AE141" s="10" t="n">
        <x:f>IF(Y141="",0,INDEX($AK$6:$AK$140,MATCH(Y141,$A$6:$A$140,0)))</x:f>
        <x:v>0</x:v>
      </x:c>
      <x:c r="AF141" s="10" t="n">
        <x:f>IF(Z141="",0,INDEX($AK$6:$AK$140,MATCH(Z141,$A$6:$A$140,0)))</x:f>
        <x:v>0</x:v>
      </x:c>
      <x:c r="AG141" s="10" t="n">
        <x:f>IF(AA141="",0,INDEX($AK$6:$AK$140,MATCH(AA141,$A$6:$A$140,0)))</x:f>
        <x:v>0</x:v>
      </x:c>
      <x:c r="AH141" s="10" t="n">
        <x:f>IF(AB141="",0,INDEX($AK$6:$AK$140,MATCH(AB141,$A$6:$A$140,0)))</x:f>
        <x:v>0</x:v>
      </x:c>
      <x:c r="AI141" s="10" t="n">
        <x:f>IF(AC141="",0,INDEX($AK$6:$AK$140,MATCH(AC141,$A$6:$A$140,0)))</x:f>
        <x:v>0</x:v>
      </x:c>
      <x:c r="AJ141" s="10" t="str">
        <x:f>IF(AM141="완료",IF(J141="",K141,J141),IF(OR(COUNT('프로젝트설정'!$B$7:$B$8)&lt;2,COUNT(AD141:AI141)&lt;6,COUNT(S141:U141)&lt;3),"",IF(AM141="제외",MAX('프로젝트설정'!$B$7,AD141:AI141),IF(E141="진행",J141,MAX('프로젝트설정'!$B$7:$B$8,L141,AD141:AI141)))))</x:f>
      </x:c>
      <x:c r="AK141" s="10" t="str">
        <x:f>IF(AM141="완료",K141,IF(AJ141="","",IF(E141="진행",MAX('프로젝트설정'!$B$8,AJ141,AD141:AI141)+T141,AJ141+T141)))</x:f>
      </x:c>
      <x:c r="AL141" s="7" t="str">
        <x:f>IF(OR(I141="",AK141=""),"",AK141-I141)</x:f>
      </x:c>
      <x:c r="AM141" s="7" t="str">
        <x:f>IF(OR(D141="제외",E141="제외"),"제외",IF(D141&lt;&gt;"적용","적용성 확인",IF(E141="완료",IF(ISNUMBER(K141),"완료","실제완료 입력"),IF(E141="보류","보류 해제 필요",IF(E141="진행",IF(AND(ISNUMBER(J141),COUNT(P141:R141)=3,P141&gt;=0,P141&lt;=Q141,Q141&lt;=R141),"입력 OK","실제착수·잔여기간 확인"),IF(AND(COUNT(M141:O141)=3,M141&gt;=0,M141&lt;=N141,N141&lt;=O141),"입력 OK","전체기간 확인"))))))</x:f>
        <x:v>입력 OK</x:v>
      </x:c>
      <x:c r="AN141" s="7" t="str">
        <x:v>16</x:v>
      </x:c>
    </x:row>
    <x:row r="142" ht="38" customHeight="1">
      <x:c r="A142" s="7" t="str">
        <x:v>AN07</x:v>
      </x:c>
      <x:c r="B142" s="7" t="str">
        <x:v>16 기자재 구매·제작</x:v>
      </x:c>
      <x:c r="C142" s="7" t="str">
        <x:v>제품분석기·Sampling system 출하승인·운송·현장 입고</x:v>
      </x:c>
      <x:c r="D142" s="7" t="str">
        <x:f>'모듈선택'!B21</x:f>
        <x:v>적용</x:v>
      </x:c>
      <x:c r="E142" s="8" t="str">
        <x:v>계획</x:v>
      </x:c>
      <x:c r="F142" s="8" t="str">
        <x:v>주설비 공급사 / 패키지 벤더 / PM / 오너 검토</x:v>
      </x:c>
      <x:c r="G142" s="8" t="str">
        <x:v>Release note, packing list, 입고검수</x:v>
      </x:c>
      <x:c r="H142" s="9"/>
      <x:c r="I142" s="9"/>
      <x:c r="J142" s="9"/>
      <x:c r="K142" s="9"/>
      <x:c r="L142" s="9"/>
      <x:c r="M142" s="8" t="n">
        <x:v>3</x:v>
      </x:c>
      <x:c r="N142" s="8" t="n">
        <x:v>4</x:v>
      </x:c>
      <x:c r="O142" s="8" t="n">
        <x:v>7</x:v>
      </x:c>
      <x:c r="P142" s="8"/>
      <x:c r="Q142" s="8"/>
      <x:c r="R142" s="8"/>
      <x:c r="S142" s="7" t="n">
        <x:f>IF(OR(AM142="제외",AM142="완료"),0,IF(AM142&lt;&gt;"입력 OK","",IF(E142="진행",P142,M142)))</x:f>
        <x:v>3</x:v>
      </x:c>
      <x:c r="T142" s="7" t="n">
        <x:f>IF(OR(AM142="제외",AM142="완료"),0,IF(AM142&lt;&gt;"입력 OK","",IF(E142="진행",Q142,N142)))</x:f>
        <x:v>4</x:v>
      </x:c>
      <x:c r="U142" s="7" t="n">
        <x:f>IF(OR(AM142="제외",AM142="완료"),0,IF(AM142&lt;&gt;"입력 OK","",IF(E142="진행",R142,O142)))</x:f>
        <x:v>7</x:v>
      </x:c>
      <x:c r="V142" s="11" t="n">
        <x:f>IF(COUNT(S142:U142)&lt;3,"",(S142+4*T142+U142)/6)</x:f>
        <x:v>4.333333333333333</x:v>
      </x:c>
      <x:c r="W142" s="11" t="n">
        <x:f>IF(COUNT(S142:U142)&lt;3,"",((U142-S142)/6)^2)</x:f>
        <x:v>0.4444444444444444</x:v>
      </x:c>
      <x:c r="X142" s="8" t="str">
        <x:v>AN06</x:v>
      </x:c>
      <x:c r="Y142" s="8" t="str"/>
      <x:c r="Z142" s="8" t="str"/>
      <x:c r="AA142" s="8" t="str"/>
      <x:c r="AB142" s="8" t="str"/>
      <x:c r="AC142" s="8" t="str"/>
      <x:c r="AD142" s="10" t="str">
        <x:f>IF(X142="",0,INDEX($AK$6:$AK$141,MATCH(X142,$A$6:$A$141,0)))</x:f>
      </x:c>
      <x:c r="AE142" s="10" t="n">
        <x:f>IF(Y142="",0,INDEX($AK$6:$AK$141,MATCH(Y142,$A$6:$A$141,0)))</x:f>
        <x:v>0</x:v>
      </x:c>
      <x:c r="AF142" s="10" t="n">
        <x:f>IF(Z142="",0,INDEX($AK$6:$AK$141,MATCH(Z142,$A$6:$A$141,0)))</x:f>
        <x:v>0</x:v>
      </x:c>
      <x:c r="AG142" s="10" t="n">
        <x:f>IF(AA142="",0,INDEX($AK$6:$AK$141,MATCH(AA142,$A$6:$A$141,0)))</x:f>
        <x:v>0</x:v>
      </x:c>
      <x:c r="AH142" s="10" t="n">
        <x:f>IF(AB142="",0,INDEX($AK$6:$AK$141,MATCH(AB142,$A$6:$A$141,0)))</x:f>
        <x:v>0</x:v>
      </x:c>
      <x:c r="AI142" s="10" t="n">
        <x:f>IF(AC142="",0,INDEX($AK$6:$AK$141,MATCH(AC142,$A$6:$A$141,0)))</x:f>
        <x:v>0</x:v>
      </x:c>
      <x:c r="AJ142" s="10" t="str">
        <x:f>IF(AM142="완료",IF(J142="",K142,J142),IF(OR(COUNT('프로젝트설정'!$B$7:$B$8)&lt;2,COUNT(AD142:AI142)&lt;6,COUNT(S142:U142)&lt;3),"",IF(AM142="제외",MAX('프로젝트설정'!$B$7,AD142:AI142),IF(E142="진행",J142,MAX('프로젝트설정'!$B$7:$B$8,L142,AD142:AI142)))))</x:f>
      </x:c>
      <x:c r="AK142" s="10" t="str">
        <x:f>IF(AM142="완료",K142,IF(AJ142="","",IF(E142="진행",MAX('프로젝트설정'!$B$8,AJ142,AD142:AI142)+T142,AJ142+T142)))</x:f>
      </x:c>
      <x:c r="AL142" s="7" t="str">
        <x:f>IF(OR(I142="",AK142=""),"",AK142-I142)</x:f>
      </x:c>
      <x:c r="AM142" s="7" t="str">
        <x:f>IF(OR(D142="제외",E142="제외"),"제외",IF(D142&lt;&gt;"적용","적용성 확인",IF(E142="완료",IF(ISNUMBER(K142),"완료","실제완료 입력"),IF(E142="보류","보류 해제 필요",IF(E142="진행",IF(AND(ISNUMBER(J142),COUNT(P142:R142)=3,P142&gt;=0,P142&lt;=Q142,Q142&lt;=R142),"입력 OK","실제착수·잔여기간 확인"),IF(AND(COUNT(M142:O142)=3,M142&gt;=0,M142&lt;=N142,N142&lt;=O142),"입력 OK","전체기간 확인"))))))</x:f>
        <x:v>입력 OK</x:v>
      </x:c>
      <x:c r="AN142" s="7" t="str">
        <x:v>16</x:v>
      </x:c>
    </x:row>
    <x:row r="143" ht="38" customHeight="1">
      <x:c r="A143" s="7" t="str">
        <x:v>UT01</x:v>
      </x:c>
      <x:c r="B143" s="7" t="str">
        <x:v>16 기자재 구매·제작</x:v>
      </x:c>
      <x:c r="C143" s="7" t="str">
        <x:v>IA·냉각타워·데미워터 잔여 발주범위·사양 확정</x:v>
      </x:c>
      <x:c r="D143" s="7" t="str">
        <x:f>'모듈선택'!B21</x:f>
        <x:v>적용</x:v>
      </x:c>
      <x:c r="E143" s="8" t="str">
        <x:v>계획</x:v>
      </x:c>
      <x:c r="F143" s="8" t="str">
        <x:v>주설비 공급사 / 패키지 벤더 / PM / 오너 검토</x:v>
      </x:c>
      <x:c r="G143" s="8" t="str">
        <x:v>Datasheet, RFQ, 기존 PO 확인</x:v>
      </x:c>
      <x:c r="H143" s="9"/>
      <x:c r="I143" s="9"/>
      <x:c r="J143" s="9"/>
      <x:c r="K143" s="9"/>
      <x:c r="L143" s="9"/>
      <x:c r="M143" s="8" t="n">
        <x:v>3</x:v>
      </x:c>
      <x:c r="N143" s="8" t="n">
        <x:v>4</x:v>
      </x:c>
      <x:c r="O143" s="8" t="n">
        <x:v>7</x:v>
      </x:c>
      <x:c r="P143" s="8"/>
      <x:c r="Q143" s="8"/>
      <x:c r="R143" s="8"/>
      <x:c r="S143" s="7" t="n">
        <x:f>IF(OR(AM143="제외",AM143="완료"),0,IF(AM143&lt;&gt;"입력 OK","",IF(E143="진행",P143,M143)))</x:f>
        <x:v>3</x:v>
      </x:c>
      <x:c r="T143" s="7" t="n">
        <x:f>IF(OR(AM143="제외",AM143="완료"),0,IF(AM143&lt;&gt;"입력 OK","",IF(E143="진행",Q143,N143)))</x:f>
        <x:v>4</x:v>
      </x:c>
      <x:c r="U143" s="7" t="n">
        <x:f>IF(OR(AM143="제외",AM143="완료"),0,IF(AM143&lt;&gt;"입력 OK","",IF(E143="진행",R143,O143)))</x:f>
        <x:v>7</x:v>
      </x:c>
      <x:c r="V143" s="11" t="n">
        <x:f>IF(COUNT(S143:U143)&lt;3,"",(S143+4*T143+U143)/6)</x:f>
        <x:v>4.333333333333333</x:v>
      </x:c>
      <x:c r="W143" s="11" t="n">
        <x:f>IF(COUNT(S143:U143)&lt;3,"",((U143-S143)/6)^2)</x:f>
        <x:v>0.4444444444444444</x:v>
      </x:c>
      <x:c r="X143" s="8" t="str">
        <x:v>VP06</x:v>
      </x:c>
      <x:c r="Y143" s="8" t="str"/>
      <x:c r="Z143" s="8" t="str"/>
      <x:c r="AA143" s="8" t="str"/>
      <x:c r="AB143" s="8" t="str"/>
      <x:c r="AC143" s="8" t="str"/>
      <x:c r="AD143" s="10" t="str">
        <x:f>IF(X143="",0,INDEX($AK$6:$AK$142,MATCH(X143,$A$6:$A$142,0)))</x:f>
      </x:c>
      <x:c r="AE143" s="10" t="n">
        <x:f>IF(Y143="",0,INDEX($AK$6:$AK$142,MATCH(Y143,$A$6:$A$142,0)))</x:f>
        <x:v>0</x:v>
      </x:c>
      <x:c r="AF143" s="10" t="n">
        <x:f>IF(Z143="",0,INDEX($AK$6:$AK$142,MATCH(Z143,$A$6:$A$142,0)))</x:f>
        <x:v>0</x:v>
      </x:c>
      <x:c r="AG143" s="10" t="n">
        <x:f>IF(AA143="",0,INDEX($AK$6:$AK$142,MATCH(AA143,$A$6:$A$142,0)))</x:f>
        <x:v>0</x:v>
      </x:c>
      <x:c r="AH143" s="10" t="n">
        <x:f>IF(AB143="",0,INDEX($AK$6:$AK$142,MATCH(AB143,$A$6:$A$142,0)))</x:f>
        <x:v>0</x:v>
      </x:c>
      <x:c r="AI143" s="10" t="n">
        <x:f>IF(AC143="",0,INDEX($AK$6:$AK$142,MATCH(AC143,$A$6:$A$142,0)))</x:f>
        <x:v>0</x:v>
      </x:c>
      <x:c r="AJ143" s="10" t="str">
        <x:f>IF(AM143="완료",IF(J143="",K143,J143),IF(OR(COUNT('프로젝트설정'!$B$7:$B$8)&lt;2,COUNT(AD143:AI143)&lt;6,COUNT(S143:U143)&lt;3),"",IF(AM143="제외",MAX('프로젝트설정'!$B$7,AD143:AI143),IF(E143="진행",J143,MAX('프로젝트설정'!$B$7:$B$8,L143,AD143:AI143)))))</x:f>
      </x:c>
      <x:c r="AK143" s="10" t="str">
        <x:f>IF(AM143="완료",K143,IF(AJ143="","",IF(E143="진행",MAX('프로젝트설정'!$B$8,AJ143,AD143:AI143)+T143,AJ143+T143)))</x:f>
      </x:c>
      <x:c r="AL143" s="7" t="str">
        <x:f>IF(OR(I143="",AK143=""),"",AK143-I143)</x:f>
      </x:c>
      <x:c r="AM143" s="7" t="str">
        <x:f>IF(OR(D143="제외",E143="제외"),"제외",IF(D143&lt;&gt;"적용","적용성 확인",IF(E143="완료",IF(ISNUMBER(K143),"완료","실제완료 입력"),IF(E143="보류","보류 해제 필요",IF(E143="진행",IF(AND(ISNUMBER(J143),COUNT(P143:R143)=3,P143&gt;=0,P143&lt;=Q143,Q143&lt;=R143),"입력 OK","실제착수·잔여기간 확인"),IF(AND(COUNT(M143:O143)=3,M143&gt;=0,M143&lt;=N143,N143&lt;=O143),"입력 OK","전체기간 확인"))))))</x:f>
        <x:v>입력 OK</x:v>
      </x:c>
      <x:c r="AN143" s="7" t="str">
        <x:v>16</x:v>
      </x:c>
    </x:row>
    <x:row r="144" ht="38" customHeight="1">
      <x:c r="A144" s="7" t="str">
        <x:v>UT02</x:v>
      </x:c>
      <x:c r="B144" s="7" t="str">
        <x:v>16 기자재 구매·제작</x:v>
      </x:c>
      <x:c r="C144" s="7" t="str">
        <x:v>IA·냉각타워·데미워터 견적/TBE·계약조건·납기 합의</x:v>
      </x:c>
      <x:c r="D144" s="7" t="str">
        <x:f>'모듈선택'!B21</x:f>
        <x:v>적용</x:v>
      </x:c>
      <x:c r="E144" s="8" t="str">
        <x:v>계획</x:v>
      </x:c>
      <x:c r="F144" s="8" t="str">
        <x:v>주설비 공급사 / 패키지 벤더 / PM / 오너 검토</x:v>
      </x:c>
      <x:c r="G144" s="8" t="str">
        <x:v>TBE, PO, 납기표</x:v>
      </x:c>
      <x:c r="H144" s="9"/>
      <x:c r="I144" s="9"/>
      <x:c r="J144" s="9"/>
      <x:c r="K144" s="9"/>
      <x:c r="L144" s="9"/>
      <x:c r="M144" s="8" t="n">
        <x:v>5</x:v>
      </x:c>
      <x:c r="N144" s="8" t="n">
        <x:v>7</x:v>
      </x:c>
      <x:c r="O144" s="8" t="n">
        <x:v>12</x:v>
      </x:c>
      <x:c r="P144" s="8"/>
      <x:c r="Q144" s="8"/>
      <x:c r="R144" s="8"/>
      <x:c r="S144" s="7" t="n">
        <x:f>IF(OR(AM144="제외",AM144="완료"),0,IF(AM144&lt;&gt;"입력 OK","",IF(E144="진행",P144,M144)))</x:f>
        <x:v>5</x:v>
      </x:c>
      <x:c r="T144" s="7" t="n">
        <x:f>IF(OR(AM144="제외",AM144="완료"),0,IF(AM144&lt;&gt;"입력 OK","",IF(E144="진행",Q144,N144)))</x:f>
        <x:v>7</x:v>
      </x:c>
      <x:c r="U144" s="7" t="n">
        <x:f>IF(OR(AM144="제외",AM144="완료"),0,IF(AM144&lt;&gt;"입력 OK","",IF(E144="진행",R144,O144)))</x:f>
        <x:v>12</x:v>
      </x:c>
      <x:c r="V144" s="11" t="n">
        <x:f>IF(COUNT(S144:U144)&lt;3,"",(S144+4*T144+U144)/6)</x:f>
        <x:v>7.5</x:v>
      </x:c>
      <x:c r="W144" s="11" t="n">
        <x:f>IF(COUNT(S144:U144)&lt;3,"",((U144-S144)/6)^2)</x:f>
        <x:v>1.3611111111111114</x:v>
      </x:c>
      <x:c r="X144" s="8" t="str">
        <x:v>UT01</x:v>
      </x:c>
      <x:c r="Y144" s="8" t="str"/>
      <x:c r="Z144" s="8" t="str"/>
      <x:c r="AA144" s="8" t="str"/>
      <x:c r="AB144" s="8" t="str"/>
      <x:c r="AC144" s="8" t="str"/>
      <x:c r="AD144" s="10" t="str">
        <x:f>IF(X144="",0,INDEX($AK$6:$AK$143,MATCH(X144,$A$6:$A$143,0)))</x:f>
      </x:c>
      <x:c r="AE144" s="10" t="n">
        <x:f>IF(Y144="",0,INDEX($AK$6:$AK$143,MATCH(Y144,$A$6:$A$143,0)))</x:f>
        <x:v>0</x:v>
      </x:c>
      <x:c r="AF144" s="10" t="n">
        <x:f>IF(Z144="",0,INDEX($AK$6:$AK$143,MATCH(Z144,$A$6:$A$143,0)))</x:f>
        <x:v>0</x:v>
      </x:c>
      <x:c r="AG144" s="10" t="n">
        <x:f>IF(AA144="",0,INDEX($AK$6:$AK$143,MATCH(AA144,$A$6:$A$143,0)))</x:f>
        <x:v>0</x:v>
      </x:c>
      <x:c r="AH144" s="10" t="n">
        <x:f>IF(AB144="",0,INDEX($AK$6:$AK$143,MATCH(AB144,$A$6:$A$143,0)))</x:f>
        <x:v>0</x:v>
      </x:c>
      <x:c r="AI144" s="10" t="n">
        <x:f>IF(AC144="",0,INDEX($AK$6:$AK$143,MATCH(AC144,$A$6:$A$143,0)))</x:f>
        <x:v>0</x:v>
      </x:c>
      <x:c r="AJ144" s="10" t="str">
        <x:f>IF(AM144="완료",IF(J144="",K144,J144),IF(OR(COUNT('프로젝트설정'!$B$7:$B$8)&lt;2,COUNT(AD144:AI144)&lt;6,COUNT(S144:U144)&lt;3),"",IF(AM144="제외",MAX('프로젝트설정'!$B$7,AD144:AI144),IF(E144="진행",J144,MAX('프로젝트설정'!$B$7:$B$8,L144,AD144:AI144)))))</x:f>
      </x:c>
      <x:c r="AK144" s="10" t="str">
        <x:f>IF(AM144="완료",K144,IF(AJ144="","",IF(E144="진행",MAX('프로젝트설정'!$B$8,AJ144,AD144:AI144)+T144,AJ144+T144)))</x:f>
      </x:c>
      <x:c r="AL144" s="7" t="str">
        <x:f>IF(OR(I144="",AK144=""),"",AK144-I144)</x:f>
      </x:c>
      <x:c r="AM144" s="7" t="str">
        <x:f>IF(OR(D144="제외",E144="제외"),"제외",IF(D144&lt;&gt;"적용","적용성 확인",IF(E144="완료",IF(ISNUMBER(K144),"완료","실제완료 입력"),IF(E144="보류","보류 해제 필요",IF(E144="진행",IF(AND(ISNUMBER(J144),COUNT(P144:R144)=3,P144&gt;=0,P144&lt;=Q144,Q144&lt;=R144),"입력 OK","실제착수·잔여기간 확인"),IF(AND(COUNT(M144:O144)=3,M144&gt;=0,M144&lt;=N144,N144&lt;=O144),"입력 OK","전체기간 확인"))))))</x:f>
        <x:v>입력 OK</x:v>
      </x:c>
      <x:c r="AN144" s="7" t="str">
        <x:v>16</x:v>
      </x:c>
    </x:row>
    <x:row r="145" ht="38" customHeight="1">
      <x:c r="A145" s="7" t="str">
        <x:v>UT03</x:v>
      </x:c>
      <x:c r="B145" s="7" t="str">
        <x:v>16 기자재 구매·제작</x:v>
      </x:c>
      <x:c r="C145" s="7" t="str">
        <x:v>IA·냉각타워·데미워터 제작도·ITP 승인</x:v>
      </x:c>
      <x:c r="D145" s="7" t="str">
        <x:f>'모듈선택'!B21</x:f>
        <x:v>적용</x:v>
      </x:c>
      <x:c r="E145" s="8" t="str">
        <x:v>계획</x:v>
      </x:c>
      <x:c r="F145" s="8" t="str">
        <x:v>주설비 공급사 / 패키지 벤더 / PM / 오너 검토</x:v>
      </x:c>
      <x:c r="G145" s="8" t="str">
        <x:v>Approved drawing, ITP</x:v>
      </x:c>
      <x:c r="H145" s="9"/>
      <x:c r="I145" s="9"/>
      <x:c r="J145" s="9"/>
      <x:c r="K145" s="9"/>
      <x:c r="L145" s="9"/>
      <x:c r="M145" s="8" t="n">
        <x:v>7</x:v>
      </x:c>
      <x:c r="N145" s="8" t="n">
        <x:v>10</x:v>
      </x:c>
      <x:c r="O145" s="8" t="n">
        <x:v>17</x:v>
      </x:c>
      <x:c r="P145" s="8"/>
      <x:c r="Q145" s="8"/>
      <x:c r="R145" s="8"/>
      <x:c r="S145" s="7" t="n">
        <x:f>IF(OR(AM145="제외",AM145="완료"),0,IF(AM145&lt;&gt;"입력 OK","",IF(E145="진행",P145,M145)))</x:f>
        <x:v>7</x:v>
      </x:c>
      <x:c r="T145" s="7" t="n">
        <x:f>IF(OR(AM145="제외",AM145="완료"),0,IF(AM145&lt;&gt;"입력 OK","",IF(E145="진행",Q145,N145)))</x:f>
        <x:v>10</x:v>
      </x:c>
      <x:c r="U145" s="7" t="n">
        <x:f>IF(OR(AM145="제외",AM145="완료"),0,IF(AM145&lt;&gt;"입력 OK","",IF(E145="진행",R145,O145)))</x:f>
        <x:v>17</x:v>
      </x:c>
      <x:c r="V145" s="11" t="n">
        <x:f>IF(COUNT(S145:U145)&lt;3,"",(S145+4*T145+U145)/6)</x:f>
        <x:v>10.666666666666666</x:v>
      </x:c>
      <x:c r="W145" s="11" t="n">
        <x:f>IF(COUNT(S145:U145)&lt;3,"",((U145-S145)/6)^2)</x:f>
        <x:v>2.777777777777778</x:v>
      </x:c>
      <x:c r="X145" s="8" t="str">
        <x:v>UT02</x:v>
      </x:c>
      <x:c r="Y145" s="8" t="str"/>
      <x:c r="Z145" s="8" t="str"/>
      <x:c r="AA145" s="8" t="str"/>
      <x:c r="AB145" s="8" t="str"/>
      <x:c r="AC145" s="8" t="str"/>
      <x:c r="AD145" s="10" t="str">
        <x:f>IF(X145="",0,INDEX($AK$6:$AK$144,MATCH(X145,$A$6:$A$144,0)))</x:f>
      </x:c>
      <x:c r="AE145" s="10" t="n">
        <x:f>IF(Y145="",0,INDEX($AK$6:$AK$144,MATCH(Y145,$A$6:$A$144,0)))</x:f>
        <x:v>0</x:v>
      </x:c>
      <x:c r="AF145" s="10" t="n">
        <x:f>IF(Z145="",0,INDEX($AK$6:$AK$144,MATCH(Z145,$A$6:$A$144,0)))</x:f>
        <x:v>0</x:v>
      </x:c>
      <x:c r="AG145" s="10" t="n">
        <x:f>IF(AA145="",0,INDEX($AK$6:$AK$144,MATCH(AA145,$A$6:$A$144,0)))</x:f>
        <x:v>0</x:v>
      </x:c>
      <x:c r="AH145" s="10" t="n">
        <x:f>IF(AB145="",0,INDEX($AK$6:$AK$144,MATCH(AB145,$A$6:$A$144,0)))</x:f>
        <x:v>0</x:v>
      </x:c>
      <x:c r="AI145" s="10" t="n">
        <x:f>IF(AC145="",0,INDEX($AK$6:$AK$144,MATCH(AC145,$A$6:$A$144,0)))</x:f>
        <x:v>0</x:v>
      </x:c>
      <x:c r="AJ145" s="10" t="str">
        <x:f>IF(AM145="완료",IF(J145="",K145,J145),IF(OR(COUNT('프로젝트설정'!$B$7:$B$8)&lt;2,COUNT(AD145:AI145)&lt;6,COUNT(S145:U145)&lt;3),"",IF(AM145="제외",MAX('프로젝트설정'!$B$7,AD145:AI145),IF(E145="진행",J145,MAX('프로젝트설정'!$B$7:$B$8,L145,AD145:AI145)))))</x:f>
      </x:c>
      <x:c r="AK145" s="10" t="str">
        <x:f>IF(AM145="완료",K145,IF(AJ145="","",IF(E145="진행",MAX('프로젝트설정'!$B$8,AJ145,AD145:AI145)+T145,AJ145+T145)))</x:f>
      </x:c>
      <x:c r="AL145" s="7" t="str">
        <x:f>IF(OR(I145="",AK145=""),"",AK145-I145)</x:f>
      </x:c>
      <x:c r="AM145" s="7" t="str">
        <x:f>IF(OR(D145="제외",E145="제외"),"제외",IF(D145&lt;&gt;"적용","적용성 확인",IF(E145="완료",IF(ISNUMBER(K145),"완료","실제완료 입력"),IF(E145="보류","보류 해제 필요",IF(E145="진행",IF(AND(ISNUMBER(J145),COUNT(P145:R145)=3,P145&gt;=0,P145&lt;=Q145,Q145&lt;=R145),"입력 OK","실제착수·잔여기간 확인"),IF(AND(COUNT(M145:O145)=3,M145&gt;=0,M145&lt;=N145,N145&lt;=O145),"입력 OK","전체기간 확인"))))))</x:f>
        <x:v>입력 OK</x:v>
      </x:c>
      <x:c r="AN145" s="7" t="str">
        <x:v>16</x:v>
      </x:c>
    </x:row>
    <x:row r="146" ht="38" customHeight="1">
      <x:c r="A146" s="7" t="str">
        <x:v>UT04</x:v>
      </x:c>
      <x:c r="B146" s="7" t="str">
        <x:v>16 기자재 구매·제작</x:v>
      </x:c>
      <x:c r="C146" s="7" t="str">
        <x:v>IA·냉각타워·데미워터 자재조달·제작</x:v>
      </x:c>
      <x:c r="D146" s="7" t="str">
        <x:f>'모듈선택'!B21</x:f>
        <x:v>적용</x:v>
      </x:c>
      <x:c r="E146" s="8" t="str">
        <x:v>계획</x:v>
      </x:c>
      <x:c r="F146" s="8" t="str">
        <x:v>주설비 공급사 / 패키지 벤더 / PM / 오너 검토</x:v>
      </x:c>
      <x:c r="G146" s="8" t="str">
        <x:v>제작공정표, 자재성적서</x:v>
      </x:c>
      <x:c r="H146" s="9"/>
      <x:c r="I146" s="9"/>
      <x:c r="J146" s="9"/>
      <x:c r="K146" s="9"/>
      <x:c r="L146" s="9"/>
      <x:c r="M146" s="8" t="n">
        <x:v>49</x:v>
      </x:c>
      <x:c r="N146" s="8" t="n">
        <x:v>70</x:v>
      </x:c>
      <x:c r="O146" s="8" t="n">
        <x:v>105</x:v>
      </x:c>
      <x:c r="P146" s="8"/>
      <x:c r="Q146" s="8"/>
      <x:c r="R146" s="8"/>
      <x:c r="S146" s="7" t="n">
        <x:f>IF(OR(AM146="제외",AM146="완료"),0,IF(AM146&lt;&gt;"입력 OK","",IF(E146="진행",P146,M146)))</x:f>
        <x:v>49</x:v>
      </x:c>
      <x:c r="T146" s="7" t="n">
        <x:f>IF(OR(AM146="제외",AM146="완료"),0,IF(AM146&lt;&gt;"입력 OK","",IF(E146="진행",Q146,N146)))</x:f>
        <x:v>70</x:v>
      </x:c>
      <x:c r="U146" s="7" t="n">
        <x:f>IF(OR(AM146="제외",AM146="완료"),0,IF(AM146&lt;&gt;"입력 OK","",IF(E146="진행",R146,O146)))</x:f>
        <x:v>105</x:v>
      </x:c>
      <x:c r="V146" s="11" t="n">
        <x:f>IF(COUNT(S146:U146)&lt;3,"",(S146+4*T146+U146)/6)</x:f>
        <x:v>72.33333333333333</x:v>
      </x:c>
      <x:c r="W146" s="11" t="n">
        <x:f>IF(COUNT(S146:U146)&lt;3,"",((U146-S146)/6)^2)</x:f>
        <x:v>87.11111111111113</x:v>
      </x:c>
      <x:c r="X146" s="8" t="str">
        <x:v>UT03</x:v>
      </x:c>
      <x:c r="Y146" s="8" t="str"/>
      <x:c r="Z146" s="8" t="str"/>
      <x:c r="AA146" s="8" t="str"/>
      <x:c r="AB146" s="8" t="str"/>
      <x:c r="AC146" s="8" t="str"/>
      <x:c r="AD146" s="10" t="str">
        <x:f>IF(X146="",0,INDEX($AK$6:$AK$145,MATCH(X146,$A$6:$A$145,0)))</x:f>
      </x:c>
      <x:c r="AE146" s="10" t="n">
        <x:f>IF(Y146="",0,INDEX($AK$6:$AK$145,MATCH(Y146,$A$6:$A$145,0)))</x:f>
        <x:v>0</x:v>
      </x:c>
      <x:c r="AF146" s="10" t="n">
        <x:f>IF(Z146="",0,INDEX($AK$6:$AK$145,MATCH(Z146,$A$6:$A$145,0)))</x:f>
        <x:v>0</x:v>
      </x:c>
      <x:c r="AG146" s="10" t="n">
        <x:f>IF(AA146="",0,INDEX($AK$6:$AK$145,MATCH(AA146,$A$6:$A$145,0)))</x:f>
        <x:v>0</x:v>
      </x:c>
      <x:c r="AH146" s="10" t="n">
        <x:f>IF(AB146="",0,INDEX($AK$6:$AK$145,MATCH(AB146,$A$6:$A$145,0)))</x:f>
        <x:v>0</x:v>
      </x:c>
      <x:c r="AI146" s="10" t="n">
        <x:f>IF(AC146="",0,INDEX($AK$6:$AK$145,MATCH(AC146,$A$6:$A$145,0)))</x:f>
        <x:v>0</x:v>
      </x:c>
      <x:c r="AJ146" s="10" t="str">
        <x:f>IF(AM146="완료",IF(J146="",K146,J146),IF(OR(COUNT('프로젝트설정'!$B$7:$B$8)&lt;2,COUNT(AD146:AI146)&lt;6,COUNT(S146:U146)&lt;3),"",IF(AM146="제외",MAX('프로젝트설정'!$B$7,AD146:AI146),IF(E146="진행",J146,MAX('프로젝트설정'!$B$7:$B$8,L146,AD146:AI146)))))</x:f>
      </x:c>
      <x:c r="AK146" s="10" t="str">
        <x:f>IF(AM146="완료",K146,IF(AJ146="","",IF(E146="진행",MAX('프로젝트설정'!$B$8,AJ146,AD146:AI146)+T146,AJ146+T146)))</x:f>
      </x:c>
      <x:c r="AL146" s="7" t="str">
        <x:f>IF(OR(I146="",AK146=""),"",AK146-I146)</x:f>
      </x:c>
      <x:c r="AM146" s="7" t="str">
        <x:f>IF(OR(D146="제외",E146="제외"),"제외",IF(D146&lt;&gt;"적용","적용성 확인",IF(E146="완료",IF(ISNUMBER(K146),"완료","실제완료 입력"),IF(E146="보류","보류 해제 필요",IF(E146="진행",IF(AND(ISNUMBER(J146),COUNT(P146:R146)=3,P146&gt;=0,P146&lt;=Q146,Q146&lt;=R146),"입력 OK","실제착수·잔여기간 확인"),IF(AND(COUNT(M146:O146)=3,M146&gt;=0,M146&lt;=N146,N146&lt;=O146),"입력 OK","전체기간 확인"))))))</x:f>
        <x:v>입력 OK</x:v>
      </x:c>
      <x:c r="AN146" s="7" t="str">
        <x:v>16</x:v>
      </x:c>
    </x:row>
    <x:row r="147" ht="38" customHeight="1">
      <x:c r="A147" s="7" t="str">
        <x:v>UT05</x:v>
      </x:c>
      <x:c r="B147" s="7" t="str">
        <x:v>16 기자재 구매·제작</x:v>
      </x:c>
      <x:c r="C147" s="7" t="str">
        <x:v>IA·냉각타워·데미워터 조립·공장 기능시험</x:v>
      </x:c>
      <x:c r="D147" s="7" t="str">
        <x:f>'모듈선택'!B21</x:f>
        <x:v>적용</x:v>
      </x:c>
      <x:c r="E147" s="8" t="str">
        <x:v>계획</x:v>
      </x:c>
      <x:c r="F147" s="8" t="str">
        <x:v>주설비 공급사 / 패키지 벤더 / PM / 오너 검토</x:v>
      </x:c>
      <x:c r="G147" s="8" t="str">
        <x:v>조립기록, 시험절차</x:v>
      </x:c>
      <x:c r="H147" s="9"/>
      <x:c r="I147" s="9"/>
      <x:c r="J147" s="9"/>
      <x:c r="K147" s="9"/>
      <x:c r="L147" s="9"/>
      <x:c r="M147" s="8" t="n">
        <x:v>5</x:v>
      </x:c>
      <x:c r="N147" s="8" t="n">
        <x:v>7</x:v>
      </x:c>
      <x:c r="O147" s="8" t="n">
        <x:v>12</x:v>
      </x:c>
      <x:c r="P147" s="8"/>
      <x:c r="Q147" s="8"/>
      <x:c r="R147" s="8"/>
      <x:c r="S147" s="7" t="n">
        <x:f>IF(OR(AM147="제외",AM147="완료"),0,IF(AM147&lt;&gt;"입력 OK","",IF(E147="진행",P147,M147)))</x:f>
        <x:v>5</x:v>
      </x:c>
      <x:c r="T147" s="7" t="n">
        <x:f>IF(OR(AM147="제외",AM147="완료"),0,IF(AM147&lt;&gt;"입력 OK","",IF(E147="진행",Q147,N147)))</x:f>
        <x:v>7</x:v>
      </x:c>
      <x:c r="U147" s="7" t="n">
        <x:f>IF(OR(AM147="제외",AM147="완료"),0,IF(AM147&lt;&gt;"입력 OK","",IF(E147="진행",R147,O147)))</x:f>
        <x:v>12</x:v>
      </x:c>
      <x:c r="V147" s="11" t="n">
        <x:f>IF(COUNT(S147:U147)&lt;3,"",(S147+4*T147+U147)/6)</x:f>
        <x:v>7.5</x:v>
      </x:c>
      <x:c r="W147" s="11" t="n">
        <x:f>IF(COUNT(S147:U147)&lt;3,"",((U147-S147)/6)^2)</x:f>
        <x:v>1.3611111111111114</x:v>
      </x:c>
      <x:c r="X147" s="8" t="str">
        <x:v>UT04</x:v>
      </x:c>
      <x:c r="Y147" s="8" t="str"/>
      <x:c r="Z147" s="8" t="str"/>
      <x:c r="AA147" s="8" t="str"/>
      <x:c r="AB147" s="8" t="str"/>
      <x:c r="AC147" s="8" t="str"/>
      <x:c r="AD147" s="10" t="str">
        <x:f>IF(X147="",0,INDEX($AK$6:$AK$146,MATCH(X147,$A$6:$A$146,0)))</x:f>
      </x:c>
      <x:c r="AE147" s="10" t="n">
        <x:f>IF(Y147="",0,INDEX($AK$6:$AK$146,MATCH(Y147,$A$6:$A$146,0)))</x:f>
        <x:v>0</x:v>
      </x:c>
      <x:c r="AF147" s="10" t="n">
        <x:f>IF(Z147="",0,INDEX($AK$6:$AK$146,MATCH(Z147,$A$6:$A$146,0)))</x:f>
        <x:v>0</x:v>
      </x:c>
      <x:c r="AG147" s="10" t="n">
        <x:f>IF(AA147="",0,INDEX($AK$6:$AK$146,MATCH(AA147,$A$6:$A$146,0)))</x:f>
        <x:v>0</x:v>
      </x:c>
      <x:c r="AH147" s="10" t="n">
        <x:f>IF(AB147="",0,INDEX($AK$6:$AK$146,MATCH(AB147,$A$6:$A$146,0)))</x:f>
        <x:v>0</x:v>
      </x:c>
      <x:c r="AI147" s="10" t="n">
        <x:f>IF(AC147="",0,INDEX($AK$6:$AK$146,MATCH(AC147,$A$6:$A$146,0)))</x:f>
        <x:v>0</x:v>
      </x:c>
      <x:c r="AJ147" s="10" t="str">
        <x:f>IF(AM147="완료",IF(J147="",K147,J147),IF(OR(COUNT('프로젝트설정'!$B$7:$B$8)&lt;2,COUNT(AD147:AI147)&lt;6,COUNT(S147:U147)&lt;3),"",IF(AM147="제외",MAX('프로젝트설정'!$B$7,AD147:AI147),IF(E147="진행",J147,MAX('프로젝트설정'!$B$7:$B$8,L147,AD147:AI147)))))</x:f>
      </x:c>
      <x:c r="AK147" s="10" t="str">
        <x:f>IF(AM147="완료",K147,IF(AJ147="","",IF(E147="진행",MAX('프로젝트설정'!$B$8,AJ147,AD147:AI147)+T147,AJ147+T147)))</x:f>
      </x:c>
      <x:c r="AL147" s="7" t="str">
        <x:f>IF(OR(I147="",AK147=""),"",AK147-I147)</x:f>
      </x:c>
      <x:c r="AM147" s="7" t="str">
        <x:f>IF(OR(D147="제외",E147="제외"),"제외",IF(D147&lt;&gt;"적용","적용성 확인",IF(E147="완료",IF(ISNUMBER(K147),"완료","실제완료 입력"),IF(E147="보류","보류 해제 필요",IF(E147="진행",IF(AND(ISNUMBER(J147),COUNT(P147:R147)=3,P147&gt;=0,P147&lt;=Q147,Q147&lt;=R147),"입력 OK","실제착수·잔여기간 확인"),IF(AND(COUNT(M147:O147)=3,M147&gt;=0,M147&lt;=N147,N147&lt;=O147),"입력 OK","전체기간 확인"))))))</x:f>
        <x:v>입력 OK</x:v>
      </x:c>
      <x:c r="AN147" s="7" t="str">
        <x:v>16</x:v>
      </x:c>
    </x:row>
    <x:row r="148" ht="38" customHeight="1">
      <x:c r="A148" s="7" t="str">
        <x:v>UT06</x:v>
      </x:c>
      <x:c r="B148" s="7" t="str">
        <x:v>16 기자재 구매·제작</x:v>
      </x:c>
      <x:c r="C148" s="7" t="str">
        <x:v>IA·냉각타워·데미워터 FAT 입회·지적사항 조치</x:v>
      </x:c>
      <x:c r="D148" s="7" t="str">
        <x:f>'모듈선택'!B21</x:f>
        <x:v>적용</x:v>
      </x:c>
      <x:c r="E148" s="8" t="str">
        <x:v>계획</x:v>
      </x:c>
      <x:c r="F148" s="8" t="str">
        <x:v>주설비 공급사 / 패키지 벤더 / PM / 오너 검토</x:v>
      </x:c>
      <x:c r="G148" s="8" t="str">
        <x:v>FAT report, punch close</x:v>
      </x:c>
      <x:c r="H148" s="9"/>
      <x:c r="I148" s="9"/>
      <x:c r="J148" s="9"/>
      <x:c r="K148" s="9"/>
      <x:c r="L148" s="9"/>
      <x:c r="M148" s="8" t="n">
        <x:v>3</x:v>
      </x:c>
      <x:c r="N148" s="8" t="n">
        <x:v>5</x:v>
      </x:c>
      <x:c r="O148" s="8" t="n">
        <x:v>9</x:v>
      </x:c>
      <x:c r="P148" s="8"/>
      <x:c r="Q148" s="8"/>
      <x:c r="R148" s="8"/>
      <x:c r="S148" s="7" t="n">
        <x:f>IF(OR(AM148="제외",AM148="완료"),0,IF(AM148&lt;&gt;"입력 OK","",IF(E148="진행",P148,M148)))</x:f>
        <x:v>3</x:v>
      </x:c>
      <x:c r="T148" s="7" t="n">
        <x:f>IF(OR(AM148="제외",AM148="완료"),0,IF(AM148&lt;&gt;"입력 OK","",IF(E148="진행",Q148,N148)))</x:f>
        <x:v>5</x:v>
      </x:c>
      <x:c r="U148" s="7" t="n">
        <x:f>IF(OR(AM148="제외",AM148="완료"),0,IF(AM148&lt;&gt;"입력 OK","",IF(E148="진행",R148,O148)))</x:f>
        <x:v>9</x:v>
      </x:c>
      <x:c r="V148" s="11" t="n">
        <x:f>IF(COUNT(S148:U148)&lt;3,"",(S148+4*T148+U148)/6)</x:f>
        <x:v>5.333333333333333</x:v>
      </x:c>
      <x:c r="W148" s="11" t="n">
        <x:f>IF(COUNT(S148:U148)&lt;3,"",((U148-S148)/6)^2)</x:f>
        <x:v>1</x:v>
      </x:c>
      <x:c r="X148" s="8" t="str">
        <x:v>UT05</x:v>
      </x:c>
      <x:c r="Y148" s="8" t="str"/>
      <x:c r="Z148" s="8" t="str"/>
      <x:c r="AA148" s="8" t="str"/>
      <x:c r="AB148" s="8" t="str"/>
      <x:c r="AC148" s="8" t="str"/>
      <x:c r="AD148" s="10" t="str">
        <x:f>IF(X148="",0,INDEX($AK$6:$AK$147,MATCH(X148,$A$6:$A$147,0)))</x:f>
      </x:c>
      <x:c r="AE148" s="10" t="n">
        <x:f>IF(Y148="",0,INDEX($AK$6:$AK$147,MATCH(Y148,$A$6:$A$147,0)))</x:f>
        <x:v>0</x:v>
      </x:c>
      <x:c r="AF148" s="10" t="n">
        <x:f>IF(Z148="",0,INDEX($AK$6:$AK$147,MATCH(Z148,$A$6:$A$147,0)))</x:f>
        <x:v>0</x:v>
      </x:c>
      <x:c r="AG148" s="10" t="n">
        <x:f>IF(AA148="",0,INDEX($AK$6:$AK$147,MATCH(AA148,$A$6:$A$147,0)))</x:f>
        <x:v>0</x:v>
      </x:c>
      <x:c r="AH148" s="10" t="n">
        <x:f>IF(AB148="",0,INDEX($AK$6:$AK$147,MATCH(AB148,$A$6:$A$147,0)))</x:f>
        <x:v>0</x:v>
      </x:c>
      <x:c r="AI148" s="10" t="n">
        <x:f>IF(AC148="",0,INDEX($AK$6:$AK$147,MATCH(AC148,$A$6:$A$147,0)))</x:f>
        <x:v>0</x:v>
      </x:c>
      <x:c r="AJ148" s="10" t="str">
        <x:f>IF(AM148="완료",IF(J148="",K148,J148),IF(OR(COUNT('프로젝트설정'!$B$7:$B$8)&lt;2,COUNT(AD148:AI148)&lt;6,COUNT(S148:U148)&lt;3),"",IF(AM148="제외",MAX('프로젝트설정'!$B$7,AD148:AI148),IF(E148="진행",J148,MAX('프로젝트설정'!$B$7:$B$8,L148,AD148:AI148)))))</x:f>
      </x:c>
      <x:c r="AK148" s="10" t="str">
        <x:f>IF(AM148="완료",K148,IF(AJ148="","",IF(E148="진행",MAX('프로젝트설정'!$B$8,AJ148,AD148:AI148)+T148,AJ148+T148)))</x:f>
      </x:c>
      <x:c r="AL148" s="7" t="str">
        <x:f>IF(OR(I148="",AK148=""),"",AK148-I148)</x:f>
      </x:c>
      <x:c r="AM148" s="7" t="str">
        <x:f>IF(OR(D148="제외",E148="제외"),"제외",IF(D148&lt;&gt;"적용","적용성 확인",IF(E148="완료",IF(ISNUMBER(K148),"완료","실제완료 입력"),IF(E148="보류","보류 해제 필요",IF(E148="진행",IF(AND(ISNUMBER(J148),COUNT(P148:R148)=3,P148&gt;=0,P148&lt;=Q148,Q148&lt;=R148),"입력 OK","실제착수·잔여기간 확인"),IF(AND(COUNT(M148:O148)=3,M148&gt;=0,M148&lt;=N148,N148&lt;=O148),"입력 OK","전체기간 확인"))))))</x:f>
        <x:v>입력 OK</x:v>
      </x:c>
      <x:c r="AN148" s="7" t="str">
        <x:v>16</x:v>
      </x:c>
    </x:row>
    <x:row r="149" ht="38" customHeight="1">
      <x:c r="A149" s="7" t="str">
        <x:v>UT07</x:v>
      </x:c>
      <x:c r="B149" s="7" t="str">
        <x:v>16 기자재 구매·제작</x:v>
      </x:c>
      <x:c r="C149" s="7" t="str">
        <x:v>IA·냉각타워·데미워터 출하승인·운송·현장 입고</x:v>
      </x:c>
      <x:c r="D149" s="7" t="str">
        <x:f>'모듈선택'!B21</x:f>
        <x:v>적용</x:v>
      </x:c>
      <x:c r="E149" s="8" t="str">
        <x:v>계획</x:v>
      </x:c>
      <x:c r="F149" s="8" t="str">
        <x:v>주설비 공급사 / 패키지 벤더 / PM / 오너 검토</x:v>
      </x:c>
      <x:c r="G149" s="8" t="str">
        <x:v>Release note, packing list, 입고검수</x:v>
      </x:c>
      <x:c r="H149" s="9"/>
      <x:c r="I149" s="9"/>
      <x:c r="J149" s="9"/>
      <x:c r="K149" s="9"/>
      <x:c r="L149" s="9"/>
      <x:c r="M149" s="8" t="n">
        <x:v>3</x:v>
      </x:c>
      <x:c r="N149" s="8" t="n">
        <x:v>4</x:v>
      </x:c>
      <x:c r="O149" s="8" t="n">
        <x:v>7</x:v>
      </x:c>
      <x:c r="P149" s="8"/>
      <x:c r="Q149" s="8"/>
      <x:c r="R149" s="8"/>
      <x:c r="S149" s="7" t="n">
        <x:f>IF(OR(AM149="제외",AM149="완료"),0,IF(AM149&lt;&gt;"입력 OK","",IF(E149="진행",P149,M149)))</x:f>
        <x:v>3</x:v>
      </x:c>
      <x:c r="T149" s="7" t="n">
        <x:f>IF(OR(AM149="제외",AM149="완료"),0,IF(AM149&lt;&gt;"입력 OK","",IF(E149="진행",Q149,N149)))</x:f>
        <x:v>4</x:v>
      </x:c>
      <x:c r="U149" s="7" t="n">
        <x:f>IF(OR(AM149="제외",AM149="완료"),0,IF(AM149&lt;&gt;"입력 OK","",IF(E149="진행",R149,O149)))</x:f>
        <x:v>7</x:v>
      </x:c>
      <x:c r="V149" s="11" t="n">
        <x:f>IF(COUNT(S149:U149)&lt;3,"",(S149+4*T149+U149)/6)</x:f>
        <x:v>4.333333333333333</x:v>
      </x:c>
      <x:c r="W149" s="11" t="n">
        <x:f>IF(COUNT(S149:U149)&lt;3,"",((U149-S149)/6)^2)</x:f>
        <x:v>0.4444444444444444</x:v>
      </x:c>
      <x:c r="X149" s="8" t="str">
        <x:v>UT06</x:v>
      </x:c>
      <x:c r="Y149" s="8" t="str"/>
      <x:c r="Z149" s="8" t="str"/>
      <x:c r="AA149" s="8" t="str"/>
      <x:c r="AB149" s="8" t="str"/>
      <x:c r="AC149" s="8" t="str"/>
      <x:c r="AD149" s="10" t="str">
        <x:f>IF(X149="",0,INDEX($AK$6:$AK$148,MATCH(X149,$A$6:$A$148,0)))</x:f>
      </x:c>
      <x:c r="AE149" s="10" t="n">
        <x:f>IF(Y149="",0,INDEX($AK$6:$AK$148,MATCH(Y149,$A$6:$A$148,0)))</x:f>
        <x:v>0</x:v>
      </x:c>
      <x:c r="AF149" s="10" t="n">
        <x:f>IF(Z149="",0,INDEX($AK$6:$AK$148,MATCH(Z149,$A$6:$A$148,0)))</x:f>
        <x:v>0</x:v>
      </x:c>
      <x:c r="AG149" s="10" t="n">
        <x:f>IF(AA149="",0,INDEX($AK$6:$AK$148,MATCH(AA149,$A$6:$A$148,0)))</x:f>
        <x:v>0</x:v>
      </x:c>
      <x:c r="AH149" s="10" t="n">
        <x:f>IF(AB149="",0,INDEX($AK$6:$AK$148,MATCH(AB149,$A$6:$A$148,0)))</x:f>
        <x:v>0</x:v>
      </x:c>
      <x:c r="AI149" s="10" t="n">
        <x:f>IF(AC149="",0,INDEX($AK$6:$AK$148,MATCH(AC149,$A$6:$A$148,0)))</x:f>
        <x:v>0</x:v>
      </x:c>
      <x:c r="AJ149" s="10" t="str">
        <x:f>IF(AM149="완료",IF(J149="",K149,J149),IF(OR(COUNT('프로젝트설정'!$B$7:$B$8)&lt;2,COUNT(AD149:AI149)&lt;6,COUNT(S149:U149)&lt;3),"",IF(AM149="제외",MAX('프로젝트설정'!$B$7,AD149:AI149),IF(E149="진행",J149,MAX('프로젝트설정'!$B$7:$B$8,L149,AD149:AI149)))))</x:f>
      </x:c>
      <x:c r="AK149" s="10" t="str">
        <x:f>IF(AM149="완료",K149,IF(AJ149="","",IF(E149="진행",MAX('프로젝트설정'!$B$8,AJ149,AD149:AI149)+T149,AJ149+T149)))</x:f>
      </x:c>
      <x:c r="AL149" s="7" t="str">
        <x:f>IF(OR(I149="",AK149=""),"",AK149-I149)</x:f>
      </x:c>
      <x:c r="AM149" s="7" t="str">
        <x:f>IF(OR(D149="제외",E149="제외"),"제외",IF(D149&lt;&gt;"적용","적용성 확인",IF(E149="완료",IF(ISNUMBER(K149),"완료","실제완료 입력"),IF(E149="보류","보류 해제 필요",IF(E149="진행",IF(AND(ISNUMBER(J149),COUNT(P149:R149)=3,P149&gt;=0,P149&lt;=Q149,Q149&lt;=R149),"입력 OK","실제착수·잔여기간 확인"),IF(AND(COUNT(M149:O149)=3,M149&gt;=0,M149&lt;=N149,N149&lt;=O149),"입력 OK","전체기간 확인"))))))</x:f>
        <x:v>입력 OK</x:v>
      </x:c>
      <x:c r="AN149" s="7" t="str">
        <x:v>16</x:v>
      </x:c>
    </x:row>
    <x:row r="150" ht="38" customHeight="1">
      <x:c r="A150" s="7" t="str">
        <x:v>PN01</x:v>
      </x:c>
      <x:c r="B150" s="7" t="str">
        <x:v>16 기자재 구매·제작</x:v>
      </x:c>
      <x:c r="C150" s="7" t="str">
        <x:v>수배전반·제어반 잔여 발주범위·사양 확정</x:v>
      </x:c>
      <x:c r="D150" s="7" t="str">
        <x:f>'모듈선택'!B21</x:f>
        <x:v>적용</x:v>
      </x:c>
      <x:c r="E150" s="8" t="str">
        <x:v>계획</x:v>
      </x:c>
      <x:c r="F150" s="8" t="str">
        <x:v>주설비 공급사 / 패키지 벤더 / PM / 오너 검토</x:v>
      </x:c>
      <x:c r="G150" s="8" t="str">
        <x:v>Datasheet, RFQ, 기존 PO 확인</x:v>
      </x:c>
      <x:c r="H150" s="9"/>
      <x:c r="I150" s="9"/>
      <x:c r="J150" s="9"/>
      <x:c r="K150" s="9"/>
      <x:c r="L150" s="9"/>
      <x:c r="M150" s="8" t="n">
        <x:v>3</x:v>
      </x:c>
      <x:c r="N150" s="8" t="n">
        <x:v>4</x:v>
      </x:c>
      <x:c r="O150" s="8" t="n">
        <x:v>7</x:v>
      </x:c>
      <x:c r="P150" s="8"/>
      <x:c r="Q150" s="8"/>
      <x:c r="R150" s="8"/>
      <x:c r="S150" s="7" t="n">
        <x:f>IF(OR(AM150="제외",AM150="완료"),0,IF(AM150&lt;&gt;"입력 OK","",IF(E150="진행",P150,M150)))</x:f>
        <x:v>3</x:v>
      </x:c>
      <x:c r="T150" s="7" t="n">
        <x:f>IF(OR(AM150="제외",AM150="완료"),0,IF(AM150&lt;&gt;"입력 OK","",IF(E150="진행",Q150,N150)))</x:f>
        <x:v>4</x:v>
      </x:c>
      <x:c r="U150" s="7" t="n">
        <x:f>IF(OR(AM150="제외",AM150="완료"),0,IF(AM150&lt;&gt;"입력 OK","",IF(E150="진행",R150,O150)))</x:f>
        <x:v>7</x:v>
      </x:c>
      <x:c r="V150" s="11" t="n">
        <x:f>IF(COUNT(S150:U150)&lt;3,"",(S150+4*T150+U150)/6)</x:f>
        <x:v>4.333333333333333</x:v>
      </x:c>
      <x:c r="W150" s="11" t="n">
        <x:f>IF(COUNT(S150:U150)&lt;3,"",((U150-S150)/6)^2)</x:f>
        <x:v>0.4444444444444444</x:v>
      </x:c>
      <x:c r="X150" s="8" t="str">
        <x:v>VP06</x:v>
      </x:c>
      <x:c r="Y150" s="8" t="str"/>
      <x:c r="Z150" s="8" t="str"/>
      <x:c r="AA150" s="8" t="str"/>
      <x:c r="AB150" s="8" t="str"/>
      <x:c r="AC150" s="8" t="str"/>
      <x:c r="AD150" s="10" t="str">
        <x:f>IF(X150="",0,INDEX($AK$6:$AK$149,MATCH(X150,$A$6:$A$149,0)))</x:f>
      </x:c>
      <x:c r="AE150" s="10" t="n">
        <x:f>IF(Y150="",0,INDEX($AK$6:$AK$149,MATCH(Y150,$A$6:$A$149,0)))</x:f>
        <x:v>0</x:v>
      </x:c>
      <x:c r="AF150" s="10" t="n">
        <x:f>IF(Z150="",0,INDEX($AK$6:$AK$149,MATCH(Z150,$A$6:$A$149,0)))</x:f>
        <x:v>0</x:v>
      </x:c>
      <x:c r="AG150" s="10" t="n">
        <x:f>IF(AA150="",0,INDEX($AK$6:$AK$149,MATCH(AA150,$A$6:$A$149,0)))</x:f>
        <x:v>0</x:v>
      </x:c>
      <x:c r="AH150" s="10" t="n">
        <x:f>IF(AB150="",0,INDEX($AK$6:$AK$149,MATCH(AB150,$A$6:$A$149,0)))</x:f>
        <x:v>0</x:v>
      </x:c>
      <x:c r="AI150" s="10" t="n">
        <x:f>IF(AC150="",0,INDEX($AK$6:$AK$149,MATCH(AC150,$A$6:$A$149,0)))</x:f>
        <x:v>0</x:v>
      </x:c>
      <x:c r="AJ150" s="10" t="str">
        <x:f>IF(AM150="완료",IF(J150="",K150,J150),IF(OR(COUNT('프로젝트설정'!$B$7:$B$8)&lt;2,COUNT(AD150:AI150)&lt;6,COUNT(S150:U150)&lt;3),"",IF(AM150="제외",MAX('프로젝트설정'!$B$7,AD150:AI150),IF(E150="진행",J150,MAX('프로젝트설정'!$B$7:$B$8,L150,AD150:AI150)))))</x:f>
      </x:c>
      <x:c r="AK150" s="10" t="str">
        <x:f>IF(AM150="완료",K150,IF(AJ150="","",IF(E150="진행",MAX('프로젝트설정'!$B$8,AJ150,AD150:AI150)+T150,AJ150+T150)))</x:f>
      </x:c>
      <x:c r="AL150" s="7" t="str">
        <x:f>IF(OR(I150="",AK150=""),"",AK150-I150)</x:f>
      </x:c>
      <x:c r="AM150" s="7" t="str">
        <x:f>IF(OR(D150="제외",E150="제외"),"제외",IF(D150&lt;&gt;"적용","적용성 확인",IF(E150="완료",IF(ISNUMBER(K150),"완료","실제완료 입력"),IF(E150="보류","보류 해제 필요",IF(E150="진행",IF(AND(ISNUMBER(J150),COUNT(P150:R150)=3,P150&gt;=0,P150&lt;=Q150,Q150&lt;=R150),"입력 OK","실제착수·잔여기간 확인"),IF(AND(COUNT(M150:O150)=3,M150&gt;=0,M150&lt;=N150,N150&lt;=O150),"입력 OK","전체기간 확인"))))))</x:f>
        <x:v>입력 OK</x:v>
      </x:c>
      <x:c r="AN150" s="7" t="str">
        <x:v>16</x:v>
      </x:c>
    </x:row>
    <x:row r="151" ht="38" customHeight="1">
      <x:c r="A151" s="7" t="str">
        <x:v>PN02</x:v>
      </x:c>
      <x:c r="B151" s="7" t="str">
        <x:v>16 기자재 구매·제작</x:v>
      </x:c>
      <x:c r="C151" s="7" t="str">
        <x:v>수배전반·제어반 견적/TBE·계약조건·납기 합의</x:v>
      </x:c>
      <x:c r="D151" s="7" t="str">
        <x:f>'모듈선택'!B21</x:f>
        <x:v>적용</x:v>
      </x:c>
      <x:c r="E151" s="8" t="str">
        <x:v>계획</x:v>
      </x:c>
      <x:c r="F151" s="8" t="str">
        <x:v>주설비 공급사 / 패키지 벤더 / PM / 오너 검토</x:v>
      </x:c>
      <x:c r="G151" s="8" t="str">
        <x:v>TBE, PO, 납기표</x:v>
      </x:c>
      <x:c r="H151" s="9"/>
      <x:c r="I151" s="9"/>
      <x:c r="J151" s="9"/>
      <x:c r="K151" s="9"/>
      <x:c r="L151" s="9"/>
      <x:c r="M151" s="8" t="n">
        <x:v>5</x:v>
      </x:c>
      <x:c r="N151" s="8" t="n">
        <x:v>7</x:v>
      </x:c>
      <x:c r="O151" s="8" t="n">
        <x:v>12</x:v>
      </x:c>
      <x:c r="P151" s="8"/>
      <x:c r="Q151" s="8"/>
      <x:c r="R151" s="8"/>
      <x:c r="S151" s="7" t="n">
        <x:f>IF(OR(AM151="제외",AM151="완료"),0,IF(AM151&lt;&gt;"입력 OK","",IF(E151="진행",P151,M151)))</x:f>
        <x:v>5</x:v>
      </x:c>
      <x:c r="T151" s="7" t="n">
        <x:f>IF(OR(AM151="제외",AM151="완료"),0,IF(AM151&lt;&gt;"입력 OK","",IF(E151="진행",Q151,N151)))</x:f>
        <x:v>7</x:v>
      </x:c>
      <x:c r="U151" s="7" t="n">
        <x:f>IF(OR(AM151="제외",AM151="완료"),0,IF(AM151&lt;&gt;"입력 OK","",IF(E151="진행",R151,O151)))</x:f>
        <x:v>12</x:v>
      </x:c>
      <x:c r="V151" s="11" t="n">
        <x:f>IF(COUNT(S151:U151)&lt;3,"",(S151+4*T151+U151)/6)</x:f>
        <x:v>7.5</x:v>
      </x:c>
      <x:c r="W151" s="11" t="n">
        <x:f>IF(COUNT(S151:U151)&lt;3,"",((U151-S151)/6)^2)</x:f>
        <x:v>1.3611111111111114</x:v>
      </x:c>
      <x:c r="X151" s="8" t="str">
        <x:v>PN01</x:v>
      </x:c>
      <x:c r="Y151" s="8" t="str"/>
      <x:c r="Z151" s="8" t="str"/>
      <x:c r="AA151" s="8" t="str"/>
      <x:c r="AB151" s="8" t="str"/>
      <x:c r="AC151" s="8" t="str"/>
      <x:c r="AD151" s="10" t="str">
        <x:f>IF(X151="",0,INDEX($AK$6:$AK$150,MATCH(X151,$A$6:$A$150,0)))</x:f>
      </x:c>
      <x:c r="AE151" s="10" t="n">
        <x:f>IF(Y151="",0,INDEX($AK$6:$AK$150,MATCH(Y151,$A$6:$A$150,0)))</x:f>
        <x:v>0</x:v>
      </x:c>
      <x:c r="AF151" s="10" t="n">
        <x:f>IF(Z151="",0,INDEX($AK$6:$AK$150,MATCH(Z151,$A$6:$A$150,0)))</x:f>
        <x:v>0</x:v>
      </x:c>
      <x:c r="AG151" s="10" t="n">
        <x:f>IF(AA151="",0,INDEX($AK$6:$AK$150,MATCH(AA151,$A$6:$A$150,0)))</x:f>
        <x:v>0</x:v>
      </x:c>
      <x:c r="AH151" s="10" t="n">
        <x:f>IF(AB151="",0,INDEX($AK$6:$AK$150,MATCH(AB151,$A$6:$A$150,0)))</x:f>
        <x:v>0</x:v>
      </x:c>
      <x:c r="AI151" s="10" t="n">
        <x:f>IF(AC151="",0,INDEX($AK$6:$AK$150,MATCH(AC151,$A$6:$A$150,0)))</x:f>
        <x:v>0</x:v>
      </x:c>
      <x:c r="AJ151" s="10" t="str">
        <x:f>IF(AM151="완료",IF(J151="",K151,J151),IF(OR(COUNT('프로젝트설정'!$B$7:$B$8)&lt;2,COUNT(AD151:AI151)&lt;6,COUNT(S151:U151)&lt;3),"",IF(AM151="제외",MAX('프로젝트설정'!$B$7,AD151:AI151),IF(E151="진행",J151,MAX('프로젝트설정'!$B$7:$B$8,L151,AD151:AI151)))))</x:f>
      </x:c>
      <x:c r="AK151" s="10" t="str">
        <x:f>IF(AM151="완료",K151,IF(AJ151="","",IF(E151="진행",MAX('프로젝트설정'!$B$8,AJ151,AD151:AI151)+T151,AJ151+T151)))</x:f>
      </x:c>
      <x:c r="AL151" s="7" t="str">
        <x:f>IF(OR(I151="",AK151=""),"",AK151-I151)</x:f>
      </x:c>
      <x:c r="AM151" s="7" t="str">
        <x:f>IF(OR(D151="제외",E151="제외"),"제외",IF(D151&lt;&gt;"적용","적용성 확인",IF(E151="완료",IF(ISNUMBER(K151),"완료","실제완료 입력"),IF(E151="보류","보류 해제 필요",IF(E151="진행",IF(AND(ISNUMBER(J151),COUNT(P151:R151)=3,P151&gt;=0,P151&lt;=Q151,Q151&lt;=R151),"입력 OK","실제착수·잔여기간 확인"),IF(AND(COUNT(M151:O151)=3,M151&gt;=0,M151&lt;=N151,N151&lt;=O151),"입력 OK","전체기간 확인"))))))</x:f>
        <x:v>입력 OK</x:v>
      </x:c>
      <x:c r="AN151" s="7" t="str">
        <x:v>16</x:v>
      </x:c>
    </x:row>
    <x:row r="152" ht="38" customHeight="1">
      <x:c r="A152" s="7" t="str">
        <x:v>PN03</x:v>
      </x:c>
      <x:c r="B152" s="7" t="str">
        <x:v>16 기자재 구매·제작</x:v>
      </x:c>
      <x:c r="C152" s="7" t="str">
        <x:v>수배전반·제어반 제작도·ITP 승인</x:v>
      </x:c>
      <x:c r="D152" s="7" t="str">
        <x:f>'모듈선택'!B21</x:f>
        <x:v>적용</x:v>
      </x:c>
      <x:c r="E152" s="8" t="str">
        <x:v>계획</x:v>
      </x:c>
      <x:c r="F152" s="8" t="str">
        <x:v>주설비 공급사 / 패키지 벤더 / PM / 오너 검토</x:v>
      </x:c>
      <x:c r="G152" s="8" t="str">
        <x:v>Approved drawing, ITP</x:v>
      </x:c>
      <x:c r="H152" s="9"/>
      <x:c r="I152" s="9"/>
      <x:c r="J152" s="9"/>
      <x:c r="K152" s="9"/>
      <x:c r="L152" s="9"/>
      <x:c r="M152" s="8" t="n">
        <x:v>7</x:v>
      </x:c>
      <x:c r="N152" s="8" t="n">
        <x:v>10</x:v>
      </x:c>
      <x:c r="O152" s="8" t="n">
        <x:v>17</x:v>
      </x:c>
      <x:c r="P152" s="8"/>
      <x:c r="Q152" s="8"/>
      <x:c r="R152" s="8"/>
      <x:c r="S152" s="7" t="n">
        <x:f>IF(OR(AM152="제외",AM152="완료"),0,IF(AM152&lt;&gt;"입력 OK","",IF(E152="진행",P152,M152)))</x:f>
        <x:v>7</x:v>
      </x:c>
      <x:c r="T152" s="7" t="n">
        <x:f>IF(OR(AM152="제외",AM152="완료"),0,IF(AM152&lt;&gt;"입력 OK","",IF(E152="진행",Q152,N152)))</x:f>
        <x:v>10</x:v>
      </x:c>
      <x:c r="U152" s="7" t="n">
        <x:f>IF(OR(AM152="제외",AM152="완료"),0,IF(AM152&lt;&gt;"입력 OK","",IF(E152="진행",R152,O152)))</x:f>
        <x:v>17</x:v>
      </x:c>
      <x:c r="V152" s="11" t="n">
        <x:f>IF(COUNT(S152:U152)&lt;3,"",(S152+4*T152+U152)/6)</x:f>
        <x:v>10.666666666666666</x:v>
      </x:c>
      <x:c r="W152" s="11" t="n">
        <x:f>IF(COUNT(S152:U152)&lt;3,"",((U152-S152)/6)^2)</x:f>
        <x:v>2.777777777777778</x:v>
      </x:c>
      <x:c r="X152" s="8" t="str">
        <x:v>PN02</x:v>
      </x:c>
      <x:c r="Y152" s="8" t="str"/>
      <x:c r="Z152" s="8" t="str"/>
      <x:c r="AA152" s="8" t="str"/>
      <x:c r="AB152" s="8" t="str"/>
      <x:c r="AC152" s="8" t="str"/>
      <x:c r="AD152" s="10" t="str">
        <x:f>IF(X152="",0,INDEX($AK$6:$AK$151,MATCH(X152,$A$6:$A$151,0)))</x:f>
      </x:c>
      <x:c r="AE152" s="10" t="n">
        <x:f>IF(Y152="",0,INDEX($AK$6:$AK$151,MATCH(Y152,$A$6:$A$151,0)))</x:f>
        <x:v>0</x:v>
      </x:c>
      <x:c r="AF152" s="10" t="n">
        <x:f>IF(Z152="",0,INDEX($AK$6:$AK$151,MATCH(Z152,$A$6:$A$151,0)))</x:f>
        <x:v>0</x:v>
      </x:c>
      <x:c r="AG152" s="10" t="n">
        <x:f>IF(AA152="",0,INDEX($AK$6:$AK$151,MATCH(AA152,$A$6:$A$151,0)))</x:f>
        <x:v>0</x:v>
      </x:c>
      <x:c r="AH152" s="10" t="n">
        <x:f>IF(AB152="",0,INDEX($AK$6:$AK$151,MATCH(AB152,$A$6:$A$151,0)))</x:f>
        <x:v>0</x:v>
      </x:c>
      <x:c r="AI152" s="10" t="n">
        <x:f>IF(AC152="",0,INDEX($AK$6:$AK$151,MATCH(AC152,$A$6:$A$151,0)))</x:f>
        <x:v>0</x:v>
      </x:c>
      <x:c r="AJ152" s="10" t="str">
        <x:f>IF(AM152="완료",IF(J152="",K152,J152),IF(OR(COUNT('프로젝트설정'!$B$7:$B$8)&lt;2,COUNT(AD152:AI152)&lt;6,COUNT(S152:U152)&lt;3),"",IF(AM152="제외",MAX('프로젝트설정'!$B$7,AD152:AI152),IF(E152="진행",J152,MAX('프로젝트설정'!$B$7:$B$8,L152,AD152:AI152)))))</x:f>
      </x:c>
      <x:c r="AK152" s="10" t="str">
        <x:f>IF(AM152="완료",K152,IF(AJ152="","",IF(E152="진행",MAX('프로젝트설정'!$B$8,AJ152,AD152:AI152)+T152,AJ152+T152)))</x:f>
      </x:c>
      <x:c r="AL152" s="7" t="str">
        <x:f>IF(OR(I152="",AK152=""),"",AK152-I152)</x:f>
      </x:c>
      <x:c r="AM152" s="7" t="str">
        <x:f>IF(OR(D152="제외",E152="제외"),"제외",IF(D152&lt;&gt;"적용","적용성 확인",IF(E152="완료",IF(ISNUMBER(K152),"완료","실제완료 입력"),IF(E152="보류","보류 해제 필요",IF(E152="진행",IF(AND(ISNUMBER(J152),COUNT(P152:R152)=3,P152&gt;=0,P152&lt;=Q152,Q152&lt;=R152),"입력 OK","실제착수·잔여기간 확인"),IF(AND(COUNT(M152:O152)=3,M152&gt;=0,M152&lt;=N152,N152&lt;=O152),"입력 OK","전체기간 확인"))))))</x:f>
        <x:v>입력 OK</x:v>
      </x:c>
      <x:c r="AN152" s="7" t="str">
        <x:v>16</x:v>
      </x:c>
    </x:row>
    <x:row r="153" ht="38" customHeight="1">
      <x:c r="A153" s="7" t="str">
        <x:v>PN04</x:v>
      </x:c>
      <x:c r="B153" s="7" t="str">
        <x:v>16 기자재 구매·제작</x:v>
      </x:c>
      <x:c r="C153" s="7" t="str">
        <x:v>수배전반·제어반 자재조달·제작</x:v>
      </x:c>
      <x:c r="D153" s="7" t="str">
        <x:f>'모듈선택'!B21</x:f>
        <x:v>적용</x:v>
      </x:c>
      <x:c r="E153" s="8" t="str">
        <x:v>계획</x:v>
      </x:c>
      <x:c r="F153" s="8" t="str">
        <x:v>주설비 공급사 / 패키지 벤더 / PM / 오너 검토</x:v>
      </x:c>
      <x:c r="G153" s="8" t="str">
        <x:v>제작공정표, 자재성적서</x:v>
      </x:c>
      <x:c r="H153" s="9"/>
      <x:c r="I153" s="9"/>
      <x:c r="J153" s="9"/>
      <x:c r="K153" s="9"/>
      <x:c r="L153" s="9"/>
      <x:c r="M153" s="8" t="n">
        <x:v>49</x:v>
      </x:c>
      <x:c r="N153" s="8" t="n">
        <x:v>70</x:v>
      </x:c>
      <x:c r="O153" s="8" t="n">
        <x:v>105</x:v>
      </x:c>
      <x:c r="P153" s="8"/>
      <x:c r="Q153" s="8"/>
      <x:c r="R153" s="8"/>
      <x:c r="S153" s="7" t="n">
        <x:f>IF(OR(AM153="제외",AM153="완료"),0,IF(AM153&lt;&gt;"입력 OK","",IF(E153="진행",P153,M153)))</x:f>
        <x:v>49</x:v>
      </x:c>
      <x:c r="T153" s="7" t="n">
        <x:f>IF(OR(AM153="제외",AM153="완료"),0,IF(AM153&lt;&gt;"입력 OK","",IF(E153="진행",Q153,N153)))</x:f>
        <x:v>70</x:v>
      </x:c>
      <x:c r="U153" s="7" t="n">
        <x:f>IF(OR(AM153="제외",AM153="완료"),0,IF(AM153&lt;&gt;"입력 OK","",IF(E153="진행",R153,O153)))</x:f>
        <x:v>105</x:v>
      </x:c>
      <x:c r="V153" s="11" t="n">
        <x:f>IF(COUNT(S153:U153)&lt;3,"",(S153+4*T153+U153)/6)</x:f>
        <x:v>72.33333333333333</x:v>
      </x:c>
      <x:c r="W153" s="11" t="n">
        <x:f>IF(COUNT(S153:U153)&lt;3,"",((U153-S153)/6)^2)</x:f>
        <x:v>87.11111111111113</x:v>
      </x:c>
      <x:c r="X153" s="8" t="str">
        <x:v>PN03</x:v>
      </x:c>
      <x:c r="Y153" s="8" t="str"/>
      <x:c r="Z153" s="8" t="str"/>
      <x:c r="AA153" s="8" t="str"/>
      <x:c r="AB153" s="8" t="str"/>
      <x:c r="AC153" s="8" t="str"/>
      <x:c r="AD153" s="10" t="str">
        <x:f>IF(X153="",0,INDEX($AK$6:$AK$152,MATCH(X153,$A$6:$A$152,0)))</x:f>
      </x:c>
      <x:c r="AE153" s="10" t="n">
        <x:f>IF(Y153="",0,INDEX($AK$6:$AK$152,MATCH(Y153,$A$6:$A$152,0)))</x:f>
        <x:v>0</x:v>
      </x:c>
      <x:c r="AF153" s="10" t="n">
        <x:f>IF(Z153="",0,INDEX($AK$6:$AK$152,MATCH(Z153,$A$6:$A$152,0)))</x:f>
        <x:v>0</x:v>
      </x:c>
      <x:c r="AG153" s="10" t="n">
        <x:f>IF(AA153="",0,INDEX($AK$6:$AK$152,MATCH(AA153,$A$6:$A$152,0)))</x:f>
        <x:v>0</x:v>
      </x:c>
      <x:c r="AH153" s="10" t="n">
        <x:f>IF(AB153="",0,INDEX($AK$6:$AK$152,MATCH(AB153,$A$6:$A$152,0)))</x:f>
        <x:v>0</x:v>
      </x:c>
      <x:c r="AI153" s="10" t="n">
        <x:f>IF(AC153="",0,INDEX($AK$6:$AK$152,MATCH(AC153,$A$6:$A$152,0)))</x:f>
        <x:v>0</x:v>
      </x:c>
      <x:c r="AJ153" s="10" t="str">
        <x:f>IF(AM153="완료",IF(J153="",K153,J153),IF(OR(COUNT('프로젝트설정'!$B$7:$B$8)&lt;2,COUNT(AD153:AI153)&lt;6,COUNT(S153:U153)&lt;3),"",IF(AM153="제외",MAX('프로젝트설정'!$B$7,AD153:AI153),IF(E153="진행",J153,MAX('프로젝트설정'!$B$7:$B$8,L153,AD153:AI153)))))</x:f>
      </x:c>
      <x:c r="AK153" s="10" t="str">
        <x:f>IF(AM153="완료",K153,IF(AJ153="","",IF(E153="진행",MAX('프로젝트설정'!$B$8,AJ153,AD153:AI153)+T153,AJ153+T153)))</x:f>
      </x:c>
      <x:c r="AL153" s="7" t="str">
        <x:f>IF(OR(I153="",AK153=""),"",AK153-I153)</x:f>
      </x:c>
      <x:c r="AM153" s="7" t="str">
        <x:f>IF(OR(D153="제외",E153="제외"),"제외",IF(D153&lt;&gt;"적용","적용성 확인",IF(E153="완료",IF(ISNUMBER(K153),"완료","실제완료 입력"),IF(E153="보류","보류 해제 필요",IF(E153="진행",IF(AND(ISNUMBER(J153),COUNT(P153:R153)=3,P153&gt;=0,P153&lt;=Q153,Q153&lt;=R153),"입력 OK","실제착수·잔여기간 확인"),IF(AND(COUNT(M153:O153)=3,M153&gt;=0,M153&lt;=N153,N153&lt;=O153),"입력 OK","전체기간 확인"))))))</x:f>
        <x:v>입력 OK</x:v>
      </x:c>
      <x:c r="AN153" s="7" t="str">
        <x:v>16</x:v>
      </x:c>
    </x:row>
    <x:row r="154" ht="38" customHeight="1">
      <x:c r="A154" s="7" t="str">
        <x:v>PN05</x:v>
      </x:c>
      <x:c r="B154" s="7" t="str">
        <x:v>16 기자재 구매·제작</x:v>
      </x:c>
      <x:c r="C154" s="7" t="str">
        <x:v>수배전반·제어반 조립·공장 기능시험</x:v>
      </x:c>
      <x:c r="D154" s="7" t="str">
        <x:f>'모듈선택'!B21</x:f>
        <x:v>적용</x:v>
      </x:c>
      <x:c r="E154" s="8" t="str">
        <x:v>계획</x:v>
      </x:c>
      <x:c r="F154" s="8" t="str">
        <x:v>주설비 공급사 / 패키지 벤더 / PM / 오너 검토</x:v>
      </x:c>
      <x:c r="G154" s="8" t="str">
        <x:v>조립기록, 시험절차</x:v>
      </x:c>
      <x:c r="H154" s="9"/>
      <x:c r="I154" s="9"/>
      <x:c r="J154" s="9"/>
      <x:c r="K154" s="9"/>
      <x:c r="L154" s="9"/>
      <x:c r="M154" s="8" t="n">
        <x:v>5</x:v>
      </x:c>
      <x:c r="N154" s="8" t="n">
        <x:v>7</x:v>
      </x:c>
      <x:c r="O154" s="8" t="n">
        <x:v>12</x:v>
      </x:c>
      <x:c r="P154" s="8"/>
      <x:c r="Q154" s="8"/>
      <x:c r="R154" s="8"/>
      <x:c r="S154" s="7" t="n">
        <x:f>IF(OR(AM154="제외",AM154="완료"),0,IF(AM154&lt;&gt;"입력 OK","",IF(E154="진행",P154,M154)))</x:f>
        <x:v>5</x:v>
      </x:c>
      <x:c r="T154" s="7" t="n">
        <x:f>IF(OR(AM154="제외",AM154="완료"),0,IF(AM154&lt;&gt;"입력 OK","",IF(E154="진행",Q154,N154)))</x:f>
        <x:v>7</x:v>
      </x:c>
      <x:c r="U154" s="7" t="n">
        <x:f>IF(OR(AM154="제외",AM154="완료"),0,IF(AM154&lt;&gt;"입력 OK","",IF(E154="진행",R154,O154)))</x:f>
        <x:v>12</x:v>
      </x:c>
      <x:c r="V154" s="11" t="n">
        <x:f>IF(COUNT(S154:U154)&lt;3,"",(S154+4*T154+U154)/6)</x:f>
        <x:v>7.5</x:v>
      </x:c>
      <x:c r="W154" s="11" t="n">
        <x:f>IF(COUNT(S154:U154)&lt;3,"",((U154-S154)/6)^2)</x:f>
        <x:v>1.3611111111111114</x:v>
      </x:c>
      <x:c r="X154" s="8" t="str">
        <x:v>PN04</x:v>
      </x:c>
      <x:c r="Y154" s="8" t="str"/>
      <x:c r="Z154" s="8" t="str"/>
      <x:c r="AA154" s="8" t="str"/>
      <x:c r="AB154" s="8" t="str"/>
      <x:c r="AC154" s="8" t="str"/>
      <x:c r="AD154" s="10" t="str">
        <x:f>IF(X154="",0,INDEX($AK$6:$AK$153,MATCH(X154,$A$6:$A$153,0)))</x:f>
      </x:c>
      <x:c r="AE154" s="10" t="n">
        <x:f>IF(Y154="",0,INDEX($AK$6:$AK$153,MATCH(Y154,$A$6:$A$153,0)))</x:f>
        <x:v>0</x:v>
      </x:c>
      <x:c r="AF154" s="10" t="n">
        <x:f>IF(Z154="",0,INDEX($AK$6:$AK$153,MATCH(Z154,$A$6:$A$153,0)))</x:f>
        <x:v>0</x:v>
      </x:c>
      <x:c r="AG154" s="10" t="n">
        <x:f>IF(AA154="",0,INDEX($AK$6:$AK$153,MATCH(AA154,$A$6:$A$153,0)))</x:f>
        <x:v>0</x:v>
      </x:c>
      <x:c r="AH154" s="10" t="n">
        <x:f>IF(AB154="",0,INDEX($AK$6:$AK$153,MATCH(AB154,$A$6:$A$153,0)))</x:f>
        <x:v>0</x:v>
      </x:c>
      <x:c r="AI154" s="10" t="n">
        <x:f>IF(AC154="",0,INDEX($AK$6:$AK$153,MATCH(AC154,$A$6:$A$153,0)))</x:f>
        <x:v>0</x:v>
      </x:c>
      <x:c r="AJ154" s="10" t="str">
        <x:f>IF(AM154="완료",IF(J154="",K154,J154),IF(OR(COUNT('프로젝트설정'!$B$7:$B$8)&lt;2,COUNT(AD154:AI154)&lt;6,COUNT(S154:U154)&lt;3),"",IF(AM154="제외",MAX('프로젝트설정'!$B$7,AD154:AI154),IF(E154="진행",J154,MAX('프로젝트설정'!$B$7:$B$8,L154,AD154:AI154)))))</x:f>
      </x:c>
      <x:c r="AK154" s="10" t="str">
        <x:f>IF(AM154="완료",K154,IF(AJ154="","",IF(E154="진행",MAX('프로젝트설정'!$B$8,AJ154,AD154:AI154)+T154,AJ154+T154)))</x:f>
      </x:c>
      <x:c r="AL154" s="7" t="str">
        <x:f>IF(OR(I154="",AK154=""),"",AK154-I154)</x:f>
      </x:c>
      <x:c r="AM154" s="7" t="str">
        <x:f>IF(OR(D154="제외",E154="제외"),"제외",IF(D154&lt;&gt;"적용","적용성 확인",IF(E154="완료",IF(ISNUMBER(K154),"완료","실제완료 입력"),IF(E154="보류","보류 해제 필요",IF(E154="진행",IF(AND(ISNUMBER(J154),COUNT(P154:R154)=3,P154&gt;=0,P154&lt;=Q154,Q154&lt;=R154),"입력 OK","실제착수·잔여기간 확인"),IF(AND(COUNT(M154:O154)=3,M154&gt;=0,M154&lt;=N154,N154&lt;=O154),"입력 OK","전체기간 확인"))))))</x:f>
        <x:v>입력 OK</x:v>
      </x:c>
      <x:c r="AN154" s="7" t="str">
        <x:v>16</x:v>
      </x:c>
    </x:row>
    <x:row r="155" ht="38" customHeight="1">
      <x:c r="A155" s="7" t="str">
        <x:v>PN06</x:v>
      </x:c>
      <x:c r="B155" s="7" t="str">
        <x:v>16 기자재 구매·제작</x:v>
      </x:c>
      <x:c r="C155" s="7" t="str">
        <x:v>수배전반·제어반 FAT 입회·지적사항 조치</x:v>
      </x:c>
      <x:c r="D155" s="7" t="str">
        <x:f>'모듈선택'!B21</x:f>
        <x:v>적용</x:v>
      </x:c>
      <x:c r="E155" s="8" t="str">
        <x:v>계획</x:v>
      </x:c>
      <x:c r="F155" s="8" t="str">
        <x:v>주설비 공급사 / 패키지 벤더 / PM / 오너 검토</x:v>
      </x:c>
      <x:c r="G155" s="8" t="str">
        <x:v>FAT report, punch close</x:v>
      </x:c>
      <x:c r="H155" s="9"/>
      <x:c r="I155" s="9"/>
      <x:c r="J155" s="9"/>
      <x:c r="K155" s="9"/>
      <x:c r="L155" s="9"/>
      <x:c r="M155" s="8" t="n">
        <x:v>3</x:v>
      </x:c>
      <x:c r="N155" s="8" t="n">
        <x:v>5</x:v>
      </x:c>
      <x:c r="O155" s="8" t="n">
        <x:v>9</x:v>
      </x:c>
      <x:c r="P155" s="8"/>
      <x:c r="Q155" s="8"/>
      <x:c r="R155" s="8"/>
      <x:c r="S155" s="7" t="n">
        <x:f>IF(OR(AM155="제외",AM155="완료"),0,IF(AM155&lt;&gt;"입력 OK","",IF(E155="진행",P155,M155)))</x:f>
        <x:v>3</x:v>
      </x:c>
      <x:c r="T155" s="7" t="n">
        <x:f>IF(OR(AM155="제외",AM155="완료"),0,IF(AM155&lt;&gt;"입력 OK","",IF(E155="진행",Q155,N155)))</x:f>
        <x:v>5</x:v>
      </x:c>
      <x:c r="U155" s="7" t="n">
        <x:f>IF(OR(AM155="제외",AM155="완료"),0,IF(AM155&lt;&gt;"입력 OK","",IF(E155="진행",R155,O155)))</x:f>
        <x:v>9</x:v>
      </x:c>
      <x:c r="V155" s="11" t="n">
        <x:f>IF(COUNT(S155:U155)&lt;3,"",(S155+4*T155+U155)/6)</x:f>
        <x:v>5.333333333333333</x:v>
      </x:c>
      <x:c r="W155" s="11" t="n">
        <x:f>IF(COUNT(S155:U155)&lt;3,"",((U155-S155)/6)^2)</x:f>
        <x:v>1</x:v>
      </x:c>
      <x:c r="X155" s="8" t="str">
        <x:v>PN05</x:v>
      </x:c>
      <x:c r="Y155" s="8" t="str"/>
      <x:c r="Z155" s="8" t="str"/>
      <x:c r="AA155" s="8" t="str"/>
      <x:c r="AB155" s="8" t="str"/>
      <x:c r="AC155" s="8" t="str"/>
      <x:c r="AD155" s="10" t="str">
        <x:f>IF(X155="",0,INDEX($AK$6:$AK$154,MATCH(X155,$A$6:$A$154,0)))</x:f>
      </x:c>
      <x:c r="AE155" s="10" t="n">
        <x:f>IF(Y155="",0,INDEX($AK$6:$AK$154,MATCH(Y155,$A$6:$A$154,0)))</x:f>
        <x:v>0</x:v>
      </x:c>
      <x:c r="AF155" s="10" t="n">
        <x:f>IF(Z155="",0,INDEX($AK$6:$AK$154,MATCH(Z155,$A$6:$A$154,0)))</x:f>
        <x:v>0</x:v>
      </x:c>
      <x:c r="AG155" s="10" t="n">
        <x:f>IF(AA155="",0,INDEX($AK$6:$AK$154,MATCH(AA155,$A$6:$A$154,0)))</x:f>
        <x:v>0</x:v>
      </x:c>
      <x:c r="AH155" s="10" t="n">
        <x:f>IF(AB155="",0,INDEX($AK$6:$AK$154,MATCH(AB155,$A$6:$A$154,0)))</x:f>
        <x:v>0</x:v>
      </x:c>
      <x:c r="AI155" s="10" t="n">
        <x:f>IF(AC155="",0,INDEX($AK$6:$AK$154,MATCH(AC155,$A$6:$A$154,0)))</x:f>
        <x:v>0</x:v>
      </x:c>
      <x:c r="AJ155" s="10" t="str">
        <x:f>IF(AM155="완료",IF(J155="",K155,J155),IF(OR(COUNT('프로젝트설정'!$B$7:$B$8)&lt;2,COUNT(AD155:AI155)&lt;6,COUNT(S155:U155)&lt;3),"",IF(AM155="제외",MAX('프로젝트설정'!$B$7,AD155:AI155),IF(E155="진행",J155,MAX('프로젝트설정'!$B$7:$B$8,L155,AD155:AI155)))))</x:f>
      </x:c>
      <x:c r="AK155" s="10" t="str">
        <x:f>IF(AM155="완료",K155,IF(AJ155="","",IF(E155="진행",MAX('프로젝트설정'!$B$8,AJ155,AD155:AI155)+T155,AJ155+T155)))</x:f>
      </x:c>
      <x:c r="AL155" s="7" t="str">
        <x:f>IF(OR(I155="",AK155=""),"",AK155-I155)</x:f>
      </x:c>
      <x:c r="AM155" s="7" t="str">
        <x:f>IF(OR(D155="제외",E155="제외"),"제외",IF(D155&lt;&gt;"적용","적용성 확인",IF(E155="완료",IF(ISNUMBER(K155),"완료","실제완료 입력"),IF(E155="보류","보류 해제 필요",IF(E155="진행",IF(AND(ISNUMBER(J155),COUNT(P155:R155)=3,P155&gt;=0,P155&lt;=Q155,Q155&lt;=R155),"입력 OK","실제착수·잔여기간 확인"),IF(AND(COUNT(M155:O155)=3,M155&gt;=0,M155&lt;=N155,N155&lt;=O155),"입력 OK","전체기간 확인"))))))</x:f>
        <x:v>입력 OK</x:v>
      </x:c>
      <x:c r="AN155" s="7" t="str">
        <x:v>16</x:v>
      </x:c>
    </x:row>
    <x:row r="156" ht="38" customHeight="1">
      <x:c r="A156" s="7" t="str">
        <x:v>PN07</x:v>
      </x:c>
      <x:c r="B156" s="7" t="str">
        <x:v>16 기자재 구매·제작</x:v>
      </x:c>
      <x:c r="C156" s="7" t="str">
        <x:v>수배전반·제어반 출하승인·운송·현장 입고</x:v>
      </x:c>
      <x:c r="D156" s="7" t="str">
        <x:f>'모듈선택'!B21</x:f>
        <x:v>적용</x:v>
      </x:c>
      <x:c r="E156" s="8" t="str">
        <x:v>계획</x:v>
      </x:c>
      <x:c r="F156" s="8" t="str">
        <x:v>주설비 공급사 / 패키지 벤더 / PM / 오너 검토</x:v>
      </x:c>
      <x:c r="G156" s="8" t="str">
        <x:v>Release note, packing list, 입고검수</x:v>
      </x:c>
      <x:c r="H156" s="9"/>
      <x:c r="I156" s="9"/>
      <x:c r="J156" s="9"/>
      <x:c r="K156" s="9"/>
      <x:c r="L156" s="9"/>
      <x:c r="M156" s="8" t="n">
        <x:v>3</x:v>
      </x:c>
      <x:c r="N156" s="8" t="n">
        <x:v>4</x:v>
      </x:c>
      <x:c r="O156" s="8" t="n">
        <x:v>7</x:v>
      </x:c>
      <x:c r="P156" s="8"/>
      <x:c r="Q156" s="8"/>
      <x:c r="R156" s="8"/>
      <x:c r="S156" s="7" t="n">
        <x:f>IF(OR(AM156="제외",AM156="완료"),0,IF(AM156&lt;&gt;"입력 OK","",IF(E156="진행",P156,M156)))</x:f>
        <x:v>3</x:v>
      </x:c>
      <x:c r="T156" s="7" t="n">
        <x:f>IF(OR(AM156="제외",AM156="완료"),0,IF(AM156&lt;&gt;"입력 OK","",IF(E156="진행",Q156,N156)))</x:f>
        <x:v>4</x:v>
      </x:c>
      <x:c r="U156" s="7" t="n">
        <x:f>IF(OR(AM156="제외",AM156="완료"),0,IF(AM156&lt;&gt;"입력 OK","",IF(E156="진행",R156,O156)))</x:f>
        <x:v>7</x:v>
      </x:c>
      <x:c r="V156" s="11" t="n">
        <x:f>IF(COUNT(S156:U156)&lt;3,"",(S156+4*T156+U156)/6)</x:f>
        <x:v>4.333333333333333</x:v>
      </x:c>
      <x:c r="W156" s="11" t="n">
        <x:f>IF(COUNT(S156:U156)&lt;3,"",((U156-S156)/6)^2)</x:f>
        <x:v>0.4444444444444444</x:v>
      </x:c>
      <x:c r="X156" s="8" t="str">
        <x:v>PN06</x:v>
      </x:c>
      <x:c r="Y156" s="8" t="str"/>
      <x:c r="Z156" s="8" t="str"/>
      <x:c r="AA156" s="8" t="str"/>
      <x:c r="AB156" s="8" t="str"/>
      <x:c r="AC156" s="8" t="str"/>
      <x:c r="AD156" s="10" t="str">
        <x:f>IF(X156="",0,INDEX($AK$6:$AK$155,MATCH(X156,$A$6:$A$155,0)))</x:f>
      </x:c>
      <x:c r="AE156" s="10" t="n">
        <x:f>IF(Y156="",0,INDEX($AK$6:$AK$155,MATCH(Y156,$A$6:$A$155,0)))</x:f>
        <x:v>0</x:v>
      </x:c>
      <x:c r="AF156" s="10" t="n">
        <x:f>IF(Z156="",0,INDEX($AK$6:$AK$155,MATCH(Z156,$A$6:$A$155,0)))</x:f>
        <x:v>0</x:v>
      </x:c>
      <x:c r="AG156" s="10" t="n">
        <x:f>IF(AA156="",0,INDEX($AK$6:$AK$155,MATCH(AA156,$A$6:$A$155,0)))</x:f>
        <x:v>0</x:v>
      </x:c>
      <x:c r="AH156" s="10" t="n">
        <x:f>IF(AB156="",0,INDEX($AK$6:$AK$155,MATCH(AB156,$A$6:$A$155,0)))</x:f>
        <x:v>0</x:v>
      </x:c>
      <x:c r="AI156" s="10" t="n">
        <x:f>IF(AC156="",0,INDEX($AK$6:$AK$155,MATCH(AC156,$A$6:$A$155,0)))</x:f>
        <x:v>0</x:v>
      </x:c>
      <x:c r="AJ156" s="10" t="str">
        <x:f>IF(AM156="완료",IF(J156="",K156,J156),IF(OR(COUNT('프로젝트설정'!$B$7:$B$8)&lt;2,COUNT(AD156:AI156)&lt;6,COUNT(S156:U156)&lt;3),"",IF(AM156="제외",MAX('프로젝트설정'!$B$7,AD156:AI156),IF(E156="진행",J156,MAX('프로젝트설정'!$B$7:$B$8,L156,AD156:AI156)))))</x:f>
      </x:c>
      <x:c r="AK156" s="10" t="str">
        <x:f>IF(AM156="완료",K156,IF(AJ156="","",IF(E156="진행",MAX('프로젝트설정'!$B$8,AJ156,AD156:AI156)+T156,AJ156+T156)))</x:f>
      </x:c>
      <x:c r="AL156" s="7" t="str">
        <x:f>IF(OR(I156="",AK156=""),"",AK156-I156)</x:f>
      </x:c>
      <x:c r="AM156" s="7" t="str">
        <x:f>IF(OR(D156="제외",E156="제외"),"제외",IF(D156&lt;&gt;"적용","적용성 확인",IF(E156="완료",IF(ISNUMBER(K156),"완료","실제완료 입력"),IF(E156="보류","보류 해제 필요",IF(E156="진행",IF(AND(ISNUMBER(J156),COUNT(P156:R156)=3,P156&gt;=0,P156&lt;=Q156,Q156&lt;=R156),"입력 OK","실제착수·잔여기간 확인"),IF(AND(COUNT(M156:O156)=3,M156&gt;=0,M156&lt;=N156,N156&lt;=O156),"입력 OK","전체기간 확인"))))))</x:f>
        <x:v>입력 OK</x:v>
      </x:c>
      <x:c r="AN156" s="7" t="str">
        <x:v>16</x:v>
      </x:c>
    </x:row>
    <x:row r="157" ht="34" customHeight="1">
      <x:c r="A157" s="7" t="str">
        <x:v>CN01</x:v>
      </x:c>
      <x:c r="B157" s="7" t="str">
        <x:v>17 토공·기초</x:v>
      </x:c>
      <x:c r="C157" s="7" t="str">
        <x:v>가설울타리·사무실·임시전력·세륜시설 설치</x:v>
      </x:c>
      <x:c r="D157" s="7" t="str">
        <x:f>'모듈선택'!B22</x:f>
        <x:v>적용</x:v>
      </x:c>
      <x:c r="E157" s="8" t="str">
        <x:v>계획</x:v>
      </x:c>
      <x:c r="F157" s="8" t="str">
        <x:v>토건 시공사 / 감리 / KGS</x:v>
      </x:c>
      <x:c r="G157" s="8" t="str">
        <x:v>가설배치도, 설치확인</x:v>
      </x:c>
      <x:c r="H157" s="9"/>
      <x:c r="I157" s="9"/>
      <x:c r="J157" s="9"/>
      <x:c r="K157" s="9"/>
      <x:c r="L157" s="9"/>
      <x:c r="M157" s="8" t="n">
        <x:v>5</x:v>
      </x:c>
      <x:c r="N157" s="8" t="n">
        <x:v>7</x:v>
      </x:c>
      <x:c r="O157" s="8" t="n">
        <x:v>12</x:v>
      </x:c>
      <x:c r="P157" s="8"/>
      <x:c r="Q157" s="8"/>
      <x:c r="R157" s="8"/>
      <x:c r="S157" s="7" t="n">
        <x:f>IF(OR(AM157="제외",AM157="완료"),0,IF(AM157&lt;&gt;"입력 OK","",IF(E157="진행",P157,M157)))</x:f>
        <x:v>5</x:v>
      </x:c>
      <x:c r="T157" s="7" t="n">
        <x:f>IF(OR(AM157="제외",AM157="완료"),0,IF(AM157&lt;&gt;"입력 OK","",IF(E157="진행",Q157,N157)))</x:f>
        <x:v>7</x:v>
      </x:c>
      <x:c r="U157" s="7" t="n">
        <x:f>IF(OR(AM157="제외",AM157="완료"),0,IF(AM157&lt;&gt;"입력 OK","",IF(E157="진행",R157,O157)))</x:f>
        <x:v>12</x:v>
      </x:c>
      <x:c r="V157" s="11" t="n">
        <x:f>IF(COUNT(S157:U157)&lt;3,"",(S157+4*T157+U157)/6)</x:f>
        <x:v>7.5</x:v>
      </x:c>
      <x:c r="W157" s="11" t="n">
        <x:f>IF(COUNT(S157:U157)&lt;3,"",((U157-S157)/6)^2)</x:f>
        <x:v>1.3611111111111114</x:v>
      </x:c>
      <x:c r="X157" s="8" t="str">
        <x:v>MS02</x:v>
      </x:c>
      <x:c r="Y157" s="8" t="str">
        <x:v>CV07</x:v>
      </x:c>
      <x:c r="Z157" s="8" t="str"/>
      <x:c r="AA157" s="8" t="str"/>
      <x:c r="AB157" s="8" t="str"/>
      <x:c r="AC157" s="8" t="str"/>
      <x:c r="AD157" s="10" t="str">
        <x:f>IF(X157="",0,INDEX($AK$6:$AK$156,MATCH(X157,$A$6:$A$156,0)))</x:f>
      </x:c>
      <x:c r="AE157" s="10" t="str">
        <x:f>IF(Y157="",0,INDEX($AK$6:$AK$156,MATCH(Y157,$A$6:$A$156,0)))</x:f>
      </x:c>
      <x:c r="AF157" s="10" t="n">
        <x:f>IF(Z157="",0,INDEX($AK$6:$AK$156,MATCH(Z157,$A$6:$A$156,0)))</x:f>
        <x:v>0</x:v>
      </x:c>
      <x:c r="AG157" s="10" t="n">
        <x:f>IF(AA157="",0,INDEX($AK$6:$AK$156,MATCH(AA157,$A$6:$A$156,0)))</x:f>
        <x:v>0</x:v>
      </x:c>
      <x:c r="AH157" s="10" t="n">
        <x:f>IF(AB157="",0,INDEX($AK$6:$AK$156,MATCH(AB157,$A$6:$A$156,0)))</x:f>
        <x:v>0</x:v>
      </x:c>
      <x:c r="AI157" s="10" t="n">
        <x:f>IF(AC157="",0,INDEX($AK$6:$AK$156,MATCH(AC157,$A$6:$A$156,0)))</x:f>
        <x:v>0</x:v>
      </x:c>
      <x:c r="AJ157" s="10" t="str">
        <x:f>IF(AM157="완료",IF(J157="",K157,J157),IF(OR(COUNT('프로젝트설정'!$B$7:$B$8)&lt;2,COUNT(AD157:AI157)&lt;6,COUNT(S157:U157)&lt;3),"",IF(AM157="제외",MAX('프로젝트설정'!$B$7,AD157:AI157),IF(E157="진행",J157,MAX('프로젝트설정'!$B$7:$B$8,L157,AD157:AI157)))))</x:f>
      </x:c>
      <x:c r="AK157" s="10" t="str">
        <x:f>IF(AM157="완료",K157,IF(AJ157="","",IF(E157="진행",MAX('프로젝트설정'!$B$8,AJ157,AD157:AI157)+T157,AJ157+T157)))</x:f>
      </x:c>
      <x:c r="AL157" s="7" t="str">
        <x:f>IF(OR(I157="",AK157=""),"",AK157-I157)</x:f>
      </x:c>
      <x:c r="AM157" s="7" t="str">
        <x:f>IF(OR(D157="제외",E157="제외"),"제외",IF(D157&lt;&gt;"적용","적용성 확인",IF(E157="완료",IF(ISNUMBER(K157),"완료","실제완료 입력"),IF(E157="보류","보류 해제 필요",IF(E157="진행",IF(AND(ISNUMBER(J157),COUNT(P157:R157)=3,P157&gt;=0,P157&lt;=Q157,Q157&lt;=R157),"입력 OK","실제착수·잔여기간 확인"),IF(AND(COUNT(M157:O157)=3,M157&gt;=0,M157&lt;=N157,N157&lt;=O157),"입력 OK","전체기간 확인"))))))</x:f>
        <x:v>입력 OK</x:v>
      </x:c>
      <x:c r="AN157" s="7" t="str">
        <x:v>17</x:v>
      </x:c>
    </x:row>
    <x:row r="158" ht="34" customHeight="1">
      <x:c r="A158" s="7" t="str">
        <x:v>CN02</x:v>
      </x:c>
      <x:c r="B158" s="7" t="str">
        <x:v>17 토공·기초</x:v>
      </x:c>
      <x:c r="C158" s="7" t="str">
        <x:v>측량 기준점·부지정리·성토조건 확인</x:v>
      </x:c>
      <x:c r="D158" s="7" t="str">
        <x:f>'모듈선택'!B22</x:f>
        <x:v>적용</x:v>
      </x:c>
      <x:c r="E158" s="8" t="str">
        <x:v>계획</x:v>
      </x:c>
      <x:c r="F158" s="8" t="str">
        <x:v>토건 시공사 / 감리 / KGS</x:v>
      </x:c>
      <x:c r="G158" s="8" t="str">
        <x:v>측량기록, 허가범위 확인</x:v>
      </x:c>
      <x:c r="H158" s="9"/>
      <x:c r="I158" s="9"/>
      <x:c r="J158" s="9"/>
      <x:c r="K158" s="9"/>
      <x:c r="L158" s="9"/>
      <x:c r="M158" s="8" t="n">
        <x:v>3</x:v>
      </x:c>
      <x:c r="N158" s="8" t="n">
        <x:v>5</x:v>
      </x:c>
      <x:c r="O158" s="8" t="n">
        <x:v>9</x:v>
      </x:c>
      <x:c r="P158" s="8"/>
      <x:c r="Q158" s="8"/>
      <x:c r="R158" s="8"/>
      <x:c r="S158" s="7" t="n">
        <x:f>IF(OR(AM158="제외",AM158="완료"),0,IF(AM158&lt;&gt;"입력 OK","",IF(E158="진행",P158,M158)))</x:f>
        <x:v>3</x:v>
      </x:c>
      <x:c r="T158" s="7" t="n">
        <x:f>IF(OR(AM158="제외",AM158="완료"),0,IF(AM158&lt;&gt;"입력 OK","",IF(E158="진행",Q158,N158)))</x:f>
        <x:v>5</x:v>
      </x:c>
      <x:c r="U158" s="7" t="n">
        <x:f>IF(OR(AM158="제외",AM158="완료"),0,IF(AM158&lt;&gt;"입력 OK","",IF(E158="진행",R158,O158)))</x:f>
        <x:v>9</x:v>
      </x:c>
      <x:c r="V158" s="11" t="n">
        <x:f>IF(COUNT(S158:U158)&lt;3,"",(S158+4*T158+U158)/6)</x:f>
        <x:v>5.333333333333333</x:v>
      </x:c>
      <x:c r="W158" s="11" t="n">
        <x:f>IF(COUNT(S158:U158)&lt;3,"",((U158-S158)/6)^2)</x:f>
        <x:v>1</x:v>
      </x:c>
      <x:c r="X158" s="8" t="str">
        <x:v>CN01</x:v>
      </x:c>
      <x:c r="Y158" s="8" t="str"/>
      <x:c r="Z158" s="8" t="str"/>
      <x:c r="AA158" s="8" t="str"/>
      <x:c r="AB158" s="8" t="str"/>
      <x:c r="AC158" s="8" t="str"/>
      <x:c r="AD158" s="10" t="str">
        <x:f>IF(X158="",0,INDEX($AK$6:$AK$157,MATCH(X158,$A$6:$A$157,0)))</x:f>
      </x:c>
      <x:c r="AE158" s="10" t="n">
        <x:f>IF(Y158="",0,INDEX($AK$6:$AK$157,MATCH(Y158,$A$6:$A$157,0)))</x:f>
        <x:v>0</x:v>
      </x:c>
      <x:c r="AF158" s="10" t="n">
        <x:f>IF(Z158="",0,INDEX($AK$6:$AK$157,MATCH(Z158,$A$6:$A$157,0)))</x:f>
        <x:v>0</x:v>
      </x:c>
      <x:c r="AG158" s="10" t="n">
        <x:f>IF(AA158="",0,INDEX($AK$6:$AK$157,MATCH(AA158,$A$6:$A$157,0)))</x:f>
        <x:v>0</x:v>
      </x:c>
      <x:c r="AH158" s="10" t="n">
        <x:f>IF(AB158="",0,INDEX($AK$6:$AK$157,MATCH(AB158,$A$6:$A$157,0)))</x:f>
        <x:v>0</x:v>
      </x:c>
      <x:c r="AI158" s="10" t="n">
        <x:f>IF(AC158="",0,INDEX($AK$6:$AK$157,MATCH(AC158,$A$6:$A$157,0)))</x:f>
        <x:v>0</x:v>
      </x:c>
      <x:c r="AJ158" s="10" t="str">
        <x:f>IF(AM158="완료",IF(J158="",K158,J158),IF(OR(COUNT('프로젝트설정'!$B$7:$B$8)&lt;2,COUNT(AD158:AI158)&lt;6,COUNT(S158:U158)&lt;3),"",IF(AM158="제외",MAX('프로젝트설정'!$B$7,AD158:AI158),IF(E158="진행",J158,MAX('프로젝트설정'!$B$7:$B$8,L158,AD158:AI158)))))</x:f>
      </x:c>
      <x:c r="AK158" s="10" t="str">
        <x:f>IF(AM158="완료",K158,IF(AJ158="","",IF(E158="진행",MAX('프로젝트설정'!$B$8,AJ158,AD158:AI158)+T158,AJ158+T158)))</x:f>
      </x:c>
      <x:c r="AL158" s="7" t="str">
        <x:f>IF(OR(I158="",AK158=""),"",AK158-I158)</x:f>
      </x:c>
      <x:c r="AM158" s="7" t="str">
        <x:f>IF(OR(D158="제외",E158="제외"),"제외",IF(D158&lt;&gt;"적용","적용성 확인",IF(E158="완료",IF(ISNUMBER(K158),"완료","실제완료 입력"),IF(E158="보류","보류 해제 필요",IF(E158="진행",IF(AND(ISNUMBER(J158),COUNT(P158:R158)=3,P158&gt;=0,P158&lt;=Q158,Q158&lt;=R158),"입력 OK","실제착수·잔여기간 확인"),IF(AND(COUNT(M158:O158)=3,M158&gt;=0,M158&lt;=N158,N158&lt;=O158),"입력 OK","전체기간 확인"))))))</x:f>
        <x:v>입력 OK</x:v>
      </x:c>
      <x:c r="AN158" s="7" t="str">
        <x:v>17</x:v>
      </x:c>
    </x:row>
    <x:row r="159" ht="34" customHeight="1">
      <x:c r="A159" s="7" t="str">
        <x:v>CN03</x:v>
      </x:c>
      <x:c r="B159" s="7" t="str">
        <x:v>17 토공·기초</x:v>
      </x:c>
      <x:c r="C159" s="7" t="str">
        <x:v>터파기·지장물 확인·토사 반출</x:v>
      </x:c>
      <x:c r="D159" s="7" t="str">
        <x:f>'모듈선택'!B22</x:f>
        <x:v>적용</x:v>
      </x:c>
      <x:c r="E159" s="8" t="str">
        <x:v>계획</x:v>
      </x:c>
      <x:c r="F159" s="8" t="str">
        <x:v>토건 시공사 / 감리 / KGS</x:v>
      </x:c>
      <x:c r="G159" s="8" t="str">
        <x:v>검측기록, 지반노출 상태</x:v>
      </x:c>
      <x:c r="H159" s="9"/>
      <x:c r="I159" s="9"/>
      <x:c r="J159" s="9"/>
      <x:c r="K159" s="9"/>
      <x:c r="L159" s="9"/>
      <x:c r="M159" s="8" t="n">
        <x:v>7</x:v>
      </x:c>
      <x:c r="N159" s="8" t="n">
        <x:v>10</x:v>
      </x:c>
      <x:c r="O159" s="8" t="n">
        <x:v>17</x:v>
      </x:c>
      <x:c r="P159" s="8"/>
      <x:c r="Q159" s="8"/>
      <x:c r="R159" s="8"/>
      <x:c r="S159" s="7" t="n">
        <x:f>IF(OR(AM159="제외",AM159="완료"),0,IF(AM159&lt;&gt;"입력 OK","",IF(E159="진행",P159,M159)))</x:f>
        <x:v>7</x:v>
      </x:c>
      <x:c r="T159" s="7" t="n">
        <x:f>IF(OR(AM159="제외",AM159="완료"),0,IF(AM159&lt;&gt;"입력 OK","",IF(E159="진행",Q159,N159)))</x:f>
        <x:v>10</x:v>
      </x:c>
      <x:c r="U159" s="7" t="n">
        <x:f>IF(OR(AM159="제외",AM159="완료"),0,IF(AM159&lt;&gt;"입력 OK","",IF(E159="진행",R159,O159)))</x:f>
        <x:v>17</x:v>
      </x:c>
      <x:c r="V159" s="11" t="n">
        <x:f>IF(COUNT(S159:U159)&lt;3,"",(S159+4*T159+U159)/6)</x:f>
        <x:v>10.666666666666666</x:v>
      </x:c>
      <x:c r="W159" s="11" t="n">
        <x:f>IF(COUNT(S159:U159)&lt;3,"",((U159-S159)/6)^2)</x:f>
        <x:v>2.777777777777778</x:v>
      </x:c>
      <x:c r="X159" s="8" t="str">
        <x:v>CN02</x:v>
      </x:c>
      <x:c r="Y159" s="8" t="str"/>
      <x:c r="Z159" s="8" t="str"/>
      <x:c r="AA159" s="8" t="str"/>
      <x:c r="AB159" s="8" t="str"/>
      <x:c r="AC159" s="8" t="str"/>
      <x:c r="AD159" s="10" t="str">
        <x:f>IF(X159="",0,INDEX($AK$6:$AK$158,MATCH(X159,$A$6:$A$158,0)))</x:f>
      </x:c>
      <x:c r="AE159" s="10" t="n">
        <x:f>IF(Y159="",0,INDEX($AK$6:$AK$158,MATCH(Y159,$A$6:$A$158,0)))</x:f>
        <x:v>0</x:v>
      </x:c>
      <x:c r="AF159" s="10" t="n">
        <x:f>IF(Z159="",0,INDEX($AK$6:$AK$158,MATCH(Z159,$A$6:$A$158,0)))</x:f>
        <x:v>0</x:v>
      </x:c>
      <x:c r="AG159" s="10" t="n">
        <x:f>IF(AA159="",0,INDEX($AK$6:$AK$158,MATCH(AA159,$A$6:$A$158,0)))</x:f>
        <x:v>0</x:v>
      </x:c>
      <x:c r="AH159" s="10" t="n">
        <x:f>IF(AB159="",0,INDEX($AK$6:$AK$158,MATCH(AB159,$A$6:$A$158,0)))</x:f>
        <x:v>0</x:v>
      </x:c>
      <x:c r="AI159" s="10" t="n">
        <x:f>IF(AC159="",0,INDEX($AK$6:$AK$158,MATCH(AC159,$A$6:$A$158,0)))</x:f>
        <x:v>0</x:v>
      </x:c>
      <x:c r="AJ159" s="10" t="str">
        <x:f>IF(AM159="완료",IF(J159="",K159,J159),IF(OR(COUNT('프로젝트설정'!$B$7:$B$8)&lt;2,COUNT(AD159:AI159)&lt;6,COUNT(S159:U159)&lt;3),"",IF(AM159="제외",MAX('프로젝트설정'!$B$7,AD159:AI159),IF(E159="진행",J159,MAX('프로젝트설정'!$B$7:$B$8,L159,AD159:AI159)))))</x:f>
      </x:c>
      <x:c r="AK159" s="10" t="str">
        <x:f>IF(AM159="완료",K159,IF(AJ159="","",IF(E159="진행",MAX('프로젝트설정'!$B$8,AJ159,AD159:AI159)+T159,AJ159+T159)))</x:f>
      </x:c>
      <x:c r="AL159" s="7" t="str">
        <x:f>IF(OR(I159="",AK159=""),"",AK159-I159)</x:f>
      </x:c>
      <x:c r="AM159" s="7" t="str">
        <x:f>IF(OR(D159="제외",E159="제외"),"제외",IF(D159&lt;&gt;"적용","적용성 확인",IF(E159="완료",IF(ISNUMBER(K159),"완료","실제완료 입력"),IF(E159="보류","보류 해제 필요",IF(E159="진행",IF(AND(ISNUMBER(J159),COUNT(P159:R159)=3,P159&gt;=0,P159&lt;=Q159,Q159&lt;=R159),"입력 OK","실제착수·잔여기간 확인"),IF(AND(COUNT(M159:O159)=3,M159&gt;=0,M159&lt;=N159,N159&lt;=O159),"입력 OK","전체기간 확인"))))))</x:f>
        <x:v>입력 OK</x:v>
      </x:c>
      <x:c r="AN159" s="7" t="str">
        <x:v>17</x:v>
      </x:c>
    </x:row>
    <x:row r="160" ht="34" customHeight="1">
      <x:c r="A160" s="7" t="str">
        <x:v>CN04</x:v>
      </x:c>
      <x:c r="B160" s="7" t="str">
        <x:v>17 토공·기초</x:v>
      </x:c>
      <x:c r="C160" s="7" t="str">
        <x:v>파일 시공·재하시험 및 기초지반 확인</x:v>
      </x:c>
      <x:c r="D160" s="7" t="str">
        <x:f>'모듈선택'!B22</x:f>
        <x:v>적용</x:v>
      </x:c>
      <x:c r="E160" s="8" t="str">
        <x:v>계획</x:v>
      </x:c>
      <x:c r="F160" s="8" t="str">
        <x:v>토건 시공사 / 감리 / KGS</x:v>
      </x:c>
      <x:c r="G160" s="8" t="str">
        <x:v>파일기록, 시험성적서; 적용성 확인</x:v>
      </x:c>
      <x:c r="H160" s="9"/>
      <x:c r="I160" s="9"/>
      <x:c r="J160" s="9"/>
      <x:c r="K160" s="9"/>
      <x:c r="L160" s="9"/>
      <x:c r="M160" s="8" t="n">
        <x:v>9</x:v>
      </x:c>
      <x:c r="N160" s="8" t="n">
        <x:v>14</x:v>
      </x:c>
      <x:c r="O160" s="8" t="n">
        <x:v>24</x:v>
      </x:c>
      <x:c r="P160" s="8"/>
      <x:c r="Q160" s="8"/>
      <x:c r="R160" s="8"/>
      <x:c r="S160" s="7" t="n">
        <x:f>IF(OR(AM160="제외",AM160="완료"),0,IF(AM160&lt;&gt;"입력 OK","",IF(E160="진행",P160,M160)))</x:f>
        <x:v>9</x:v>
      </x:c>
      <x:c r="T160" s="7" t="n">
        <x:f>IF(OR(AM160="제외",AM160="완료"),0,IF(AM160&lt;&gt;"입력 OK","",IF(E160="진행",Q160,N160)))</x:f>
        <x:v>14</x:v>
      </x:c>
      <x:c r="U160" s="7" t="n">
        <x:f>IF(OR(AM160="제외",AM160="완료"),0,IF(AM160&lt;&gt;"입력 OK","",IF(E160="진행",R160,O160)))</x:f>
        <x:v>24</x:v>
      </x:c>
      <x:c r="V160" s="11" t="n">
        <x:f>IF(COUNT(S160:U160)&lt;3,"",(S160+4*T160+U160)/6)</x:f>
        <x:v>14.833333333333334</x:v>
      </x:c>
      <x:c r="W160" s="11" t="n">
        <x:f>IF(COUNT(S160:U160)&lt;3,"",((U160-S160)/6)^2)</x:f>
        <x:v>6.25</x:v>
      </x:c>
      <x:c r="X160" s="8" t="str">
        <x:v>CN03</x:v>
      </x:c>
      <x:c r="Y160" s="8" t="str"/>
      <x:c r="Z160" s="8" t="str"/>
      <x:c r="AA160" s="8" t="str"/>
      <x:c r="AB160" s="8" t="str"/>
      <x:c r="AC160" s="8" t="str"/>
      <x:c r="AD160" s="10" t="str">
        <x:f>IF(X160="",0,INDEX($AK$6:$AK$159,MATCH(X160,$A$6:$A$159,0)))</x:f>
      </x:c>
      <x:c r="AE160" s="10" t="n">
        <x:f>IF(Y160="",0,INDEX($AK$6:$AK$159,MATCH(Y160,$A$6:$A$159,0)))</x:f>
        <x:v>0</x:v>
      </x:c>
      <x:c r="AF160" s="10" t="n">
        <x:f>IF(Z160="",0,INDEX($AK$6:$AK$159,MATCH(Z160,$A$6:$A$159,0)))</x:f>
        <x:v>0</x:v>
      </x:c>
      <x:c r="AG160" s="10" t="n">
        <x:f>IF(AA160="",0,INDEX($AK$6:$AK$159,MATCH(AA160,$A$6:$A$159,0)))</x:f>
        <x:v>0</x:v>
      </x:c>
      <x:c r="AH160" s="10" t="n">
        <x:f>IF(AB160="",0,INDEX($AK$6:$AK$159,MATCH(AB160,$A$6:$A$159,0)))</x:f>
        <x:v>0</x:v>
      </x:c>
      <x:c r="AI160" s="10" t="n">
        <x:f>IF(AC160="",0,INDEX($AK$6:$AK$159,MATCH(AC160,$A$6:$A$159,0)))</x:f>
        <x:v>0</x:v>
      </x:c>
      <x:c r="AJ160" s="10" t="str">
        <x:f>IF(AM160="완료",IF(J160="",K160,J160),IF(OR(COUNT('프로젝트설정'!$B$7:$B$8)&lt;2,COUNT(AD160:AI160)&lt;6,COUNT(S160:U160)&lt;3),"",IF(AM160="제외",MAX('프로젝트설정'!$B$7,AD160:AI160),IF(E160="진행",J160,MAX('프로젝트설정'!$B$7:$B$8,L160,AD160:AI160)))))</x:f>
      </x:c>
      <x:c r="AK160" s="10" t="str">
        <x:f>IF(AM160="완료",K160,IF(AJ160="","",IF(E160="진행",MAX('프로젝트설정'!$B$8,AJ160,AD160:AI160)+T160,AJ160+T160)))</x:f>
      </x:c>
      <x:c r="AL160" s="7" t="str">
        <x:f>IF(OR(I160="",AK160=""),"",AK160-I160)</x:f>
      </x:c>
      <x:c r="AM160" s="7" t="str">
        <x:f>IF(OR(D160="제외",E160="제외"),"제외",IF(D160&lt;&gt;"적용","적용성 확인",IF(E160="완료",IF(ISNUMBER(K160),"완료","실제완료 입력"),IF(E160="보류","보류 해제 필요",IF(E160="진행",IF(AND(ISNUMBER(J160),COUNT(P160:R160)=3,P160&gt;=0,P160&lt;=Q160,Q160&lt;=R160),"입력 OK","실제착수·잔여기간 확인"),IF(AND(COUNT(M160:O160)=3,M160&gt;=0,M160&lt;=N160,N160&lt;=O160),"입력 OK","전체기간 확인"))))))</x:f>
        <x:v>입력 OK</x:v>
      </x:c>
      <x:c r="AN160" s="7" t="str">
        <x:v>17</x:v>
      </x:c>
    </x:row>
    <x:row r="161" ht="34" customHeight="1">
      <x:c r="A161" s="7" t="str">
        <x:v>CN05</x:v>
      </x:c>
      <x:c r="B161" s="7" t="str">
        <x:v>17 토공·기초</x:v>
      </x:c>
      <x:c r="C161" s="7" t="str">
        <x:v>기초 철근·거푸집·앵커 검측</x:v>
      </x:c>
      <x:c r="D161" s="7" t="str">
        <x:f>'모듈선택'!B22</x:f>
        <x:v>적용</x:v>
      </x:c>
      <x:c r="E161" s="8" t="str">
        <x:v>계획</x:v>
      </x:c>
      <x:c r="F161" s="8" t="str">
        <x:v>토건 시공사 / 감리 / KGS</x:v>
      </x:c>
      <x:c r="G161" s="8" t="str">
        <x:v>철근/앵커/콘크리트 검사계획</x:v>
      </x:c>
      <x:c r="H161" s="9"/>
      <x:c r="I161" s="9"/>
      <x:c r="J161" s="9"/>
      <x:c r="K161" s="9"/>
      <x:c r="L161" s="9"/>
      <x:c r="M161" s="8" t="n">
        <x:v>7</x:v>
      </x:c>
      <x:c r="N161" s="8" t="n">
        <x:v>10</x:v>
      </x:c>
      <x:c r="O161" s="8" t="n">
        <x:v>17</x:v>
      </x:c>
      <x:c r="P161" s="8"/>
      <x:c r="Q161" s="8"/>
      <x:c r="R161" s="8"/>
      <x:c r="S161" s="7" t="n">
        <x:f>IF(OR(AM161="제외",AM161="완료"),0,IF(AM161&lt;&gt;"입력 OK","",IF(E161="진행",P161,M161)))</x:f>
        <x:v>7</x:v>
      </x:c>
      <x:c r="T161" s="7" t="n">
        <x:f>IF(OR(AM161="제외",AM161="완료"),0,IF(AM161&lt;&gt;"입력 OK","",IF(E161="진행",Q161,N161)))</x:f>
        <x:v>10</x:v>
      </x:c>
      <x:c r="U161" s="7" t="n">
        <x:f>IF(OR(AM161="제외",AM161="완료"),0,IF(AM161&lt;&gt;"입력 OK","",IF(E161="진행",R161,O161)))</x:f>
        <x:v>17</x:v>
      </x:c>
      <x:c r="V161" s="11" t="n">
        <x:f>IF(COUNT(S161:U161)&lt;3,"",(S161+4*T161+U161)/6)</x:f>
        <x:v>10.666666666666666</x:v>
      </x:c>
      <x:c r="W161" s="11" t="n">
        <x:f>IF(COUNT(S161:U161)&lt;3,"",((U161-S161)/6)^2)</x:f>
        <x:v>2.777777777777778</x:v>
      </x:c>
      <x:c r="X161" s="8" t="str">
        <x:v>CN04</x:v>
      </x:c>
      <x:c r="Y161" s="8" t="str"/>
      <x:c r="Z161" s="8" t="str"/>
      <x:c r="AA161" s="8" t="str"/>
      <x:c r="AB161" s="8" t="str"/>
      <x:c r="AC161" s="8" t="str"/>
      <x:c r="AD161" s="10" t="str">
        <x:f>IF(X161="",0,INDEX($AK$6:$AK$160,MATCH(X161,$A$6:$A$160,0)))</x:f>
      </x:c>
      <x:c r="AE161" s="10" t="n">
        <x:f>IF(Y161="",0,INDEX($AK$6:$AK$160,MATCH(Y161,$A$6:$A$160,0)))</x:f>
        <x:v>0</x:v>
      </x:c>
      <x:c r="AF161" s="10" t="n">
        <x:f>IF(Z161="",0,INDEX($AK$6:$AK$160,MATCH(Z161,$A$6:$A$160,0)))</x:f>
        <x:v>0</x:v>
      </x:c>
      <x:c r="AG161" s="10" t="n">
        <x:f>IF(AA161="",0,INDEX($AK$6:$AK$160,MATCH(AA161,$A$6:$A$160,0)))</x:f>
        <x:v>0</x:v>
      </x:c>
      <x:c r="AH161" s="10" t="n">
        <x:f>IF(AB161="",0,INDEX($AK$6:$AK$160,MATCH(AB161,$A$6:$A$160,0)))</x:f>
        <x:v>0</x:v>
      </x:c>
      <x:c r="AI161" s="10" t="n">
        <x:f>IF(AC161="",0,INDEX($AK$6:$AK$160,MATCH(AC161,$A$6:$A$160,0)))</x:f>
        <x:v>0</x:v>
      </x:c>
      <x:c r="AJ161" s="10" t="str">
        <x:f>IF(AM161="완료",IF(J161="",K161,J161),IF(OR(COUNT('프로젝트설정'!$B$7:$B$8)&lt;2,COUNT(AD161:AI161)&lt;6,COUNT(S161:U161)&lt;3),"",IF(AM161="제외",MAX('프로젝트설정'!$B$7,AD161:AI161),IF(E161="진행",J161,MAX('프로젝트설정'!$B$7:$B$8,L161,AD161:AI161)))))</x:f>
      </x:c>
      <x:c r="AK161" s="10" t="str">
        <x:f>IF(AM161="완료",K161,IF(AJ161="","",IF(E161="진행",MAX('프로젝트설정'!$B$8,AJ161,AD161:AI161)+T161,AJ161+T161)))</x:f>
      </x:c>
      <x:c r="AL161" s="7" t="str">
        <x:f>IF(OR(I161="",AK161=""),"",AK161-I161)</x:f>
      </x:c>
      <x:c r="AM161" s="7" t="str">
        <x:f>IF(OR(D161="제외",E161="제외"),"제외",IF(D161&lt;&gt;"적용","적용성 확인",IF(E161="완료",IF(ISNUMBER(K161),"완료","실제완료 입력"),IF(E161="보류","보류 해제 필요",IF(E161="진행",IF(AND(ISNUMBER(J161),COUNT(P161:R161)=3,P161&gt;=0,P161&lt;=Q161,Q161&lt;=R161),"입력 OK","실제착수·잔여기간 확인"),IF(AND(COUNT(M161:O161)=3,M161&gt;=0,M161&lt;=N161,N161&lt;=O161),"입력 OK","전체기간 확인"))))))</x:f>
        <x:v>입력 OK</x:v>
      </x:c>
      <x:c r="AN161" s="7" t="str">
        <x:v>17</x:v>
      </x:c>
    </x:row>
    <x:row r="162" ht="34" customHeight="1">
      <x:c r="A162" s="7" t="str">
        <x:v>CN06</x:v>
      </x:c>
      <x:c r="B162" s="7" t="str">
        <x:v>17 토공·기초</x:v>
      </x:c>
      <x:c r="C162" s="7" t="str">
        <x:v>KGS 기초 중간검사 및 지적조치</x:v>
      </x:c>
      <x:c r="D162" s="7" t="str">
        <x:f>'모듈선택'!B22</x:f>
        <x:v>적용</x:v>
      </x:c>
      <x:c r="E162" s="8" t="str">
        <x:v>계획</x:v>
      </x:c>
      <x:c r="F162" s="8" t="str">
        <x:v>토건 시공사 / 감리 / KGS</x:v>
      </x:c>
      <x:c r="G162" s="8" t="str">
        <x:v>검사결과; 타설 전 hold point</x:v>
      </x:c>
      <x:c r="H162" s="9"/>
      <x:c r="I162" s="9"/>
      <x:c r="J162" s="9"/>
      <x:c r="K162" s="9"/>
      <x:c r="L162" s="9"/>
      <x:c r="M162" s="8" t="n">
        <x:v>2</x:v>
      </x:c>
      <x:c r="N162" s="8" t="n">
        <x:v>3</x:v>
      </x:c>
      <x:c r="O162" s="8" t="n">
        <x:v>6</x:v>
      </x:c>
      <x:c r="P162" s="8"/>
      <x:c r="Q162" s="8"/>
      <x:c r="R162" s="8"/>
      <x:c r="S162" s="7" t="n">
        <x:f>IF(OR(AM162="제외",AM162="완료"),0,IF(AM162&lt;&gt;"입력 OK","",IF(E162="진행",P162,M162)))</x:f>
        <x:v>2</x:v>
      </x:c>
      <x:c r="T162" s="7" t="n">
        <x:f>IF(OR(AM162="제외",AM162="완료"),0,IF(AM162&lt;&gt;"입력 OK","",IF(E162="진행",Q162,N162)))</x:f>
        <x:v>3</x:v>
      </x:c>
      <x:c r="U162" s="7" t="n">
        <x:f>IF(OR(AM162="제외",AM162="완료"),0,IF(AM162&lt;&gt;"입력 OK","",IF(E162="진행",R162,O162)))</x:f>
        <x:v>6</x:v>
      </x:c>
      <x:c r="V162" s="11" t="n">
        <x:f>IF(COUNT(S162:U162)&lt;3,"",(S162+4*T162+U162)/6)</x:f>
        <x:v>3.3333333333333335</x:v>
      </x:c>
      <x:c r="W162" s="11" t="n">
        <x:f>IF(COUNT(S162:U162)&lt;3,"",((U162-S162)/6)^2)</x:f>
        <x:v>0.4444444444444444</x:v>
      </x:c>
      <x:c r="X162" s="8" t="str">
        <x:v>CN05</x:v>
      </x:c>
      <x:c r="Y162" s="8" t="str"/>
      <x:c r="Z162" s="8" t="str"/>
      <x:c r="AA162" s="8" t="str"/>
      <x:c r="AB162" s="8" t="str"/>
      <x:c r="AC162" s="8" t="str"/>
      <x:c r="AD162" s="10" t="str">
        <x:f>IF(X162="",0,INDEX($AK$6:$AK$161,MATCH(X162,$A$6:$A$161,0)))</x:f>
      </x:c>
      <x:c r="AE162" s="10" t="n">
        <x:f>IF(Y162="",0,INDEX($AK$6:$AK$161,MATCH(Y162,$A$6:$A$161,0)))</x:f>
        <x:v>0</x:v>
      </x:c>
      <x:c r="AF162" s="10" t="n">
        <x:f>IF(Z162="",0,INDEX($AK$6:$AK$161,MATCH(Z162,$A$6:$A$161,0)))</x:f>
        <x:v>0</x:v>
      </x:c>
      <x:c r="AG162" s="10" t="n">
        <x:f>IF(AA162="",0,INDEX($AK$6:$AK$161,MATCH(AA162,$A$6:$A$161,0)))</x:f>
        <x:v>0</x:v>
      </x:c>
      <x:c r="AH162" s="10" t="n">
        <x:f>IF(AB162="",0,INDEX($AK$6:$AK$161,MATCH(AB162,$A$6:$A$161,0)))</x:f>
        <x:v>0</x:v>
      </x:c>
      <x:c r="AI162" s="10" t="n">
        <x:f>IF(AC162="",0,INDEX($AK$6:$AK$161,MATCH(AC162,$A$6:$A$161,0)))</x:f>
        <x:v>0</x:v>
      </x:c>
      <x:c r="AJ162" s="10" t="str">
        <x:f>IF(AM162="완료",IF(J162="",K162,J162),IF(OR(COUNT('프로젝트설정'!$B$7:$B$8)&lt;2,COUNT(AD162:AI162)&lt;6,COUNT(S162:U162)&lt;3),"",IF(AM162="제외",MAX('프로젝트설정'!$B$7,AD162:AI162),IF(E162="진행",J162,MAX('프로젝트설정'!$B$7:$B$8,L162,AD162:AI162)))))</x:f>
      </x:c>
      <x:c r="AK162" s="10" t="str">
        <x:f>IF(AM162="완료",K162,IF(AJ162="","",IF(E162="진행",MAX('프로젝트설정'!$B$8,AJ162,AD162:AI162)+T162,AJ162+T162)))</x:f>
      </x:c>
      <x:c r="AL162" s="7" t="str">
        <x:f>IF(OR(I162="",AK162=""),"",AK162-I162)</x:f>
      </x:c>
      <x:c r="AM162" s="7" t="str">
        <x:f>IF(OR(D162="제외",E162="제외"),"제외",IF(D162&lt;&gt;"적용","적용성 확인",IF(E162="완료",IF(ISNUMBER(K162),"완료","실제완료 입력"),IF(E162="보류","보류 해제 필요",IF(E162="진행",IF(AND(ISNUMBER(J162),COUNT(P162:R162)=3,P162&gt;=0,P162&lt;=Q162,Q162&lt;=R162),"입력 OK","실제착수·잔여기간 확인"),IF(AND(COUNT(M162:O162)=3,M162&gt;=0,M162&lt;=N162,N162&lt;=O162),"입력 OK","전체기간 확인"))))))</x:f>
        <x:v>입력 OK</x:v>
      </x:c>
      <x:c r="AN162" s="7" t="str">
        <x:v>17</x:v>
      </x:c>
    </x:row>
    <x:row r="163" ht="34" customHeight="1">
      <x:c r="A163" s="7" t="str">
        <x:v>CN07</x:v>
      </x:c>
      <x:c r="B163" s="7" t="str">
        <x:v>17 토공·기초</x:v>
      </x:c>
      <x:c r="C163" s="7" t="str">
        <x:v>기초 타설·양생·거푸집 해체</x:v>
      </x:c>
      <x:c r="D163" s="7" t="str">
        <x:f>'모듈선택'!B22</x:f>
        <x:v>적용</x:v>
      </x:c>
      <x:c r="E163" s="8" t="str">
        <x:v>계획</x:v>
      </x:c>
      <x:c r="F163" s="8" t="str">
        <x:v>토건 시공사 / 감리 / KGS</x:v>
      </x:c>
      <x:c r="G163" s="8" t="str">
        <x:v>콘크리트 시험, 양생 기록</x:v>
      </x:c>
      <x:c r="H163" s="9"/>
      <x:c r="I163" s="9"/>
      <x:c r="J163" s="9"/>
      <x:c r="K163" s="9"/>
      <x:c r="L163" s="9"/>
      <x:c r="M163" s="8" t="n">
        <x:v>9</x:v>
      </x:c>
      <x:c r="N163" s="8" t="n">
        <x:v>14</x:v>
      </x:c>
      <x:c r="O163" s="8" t="n">
        <x:v>24</x:v>
      </x:c>
      <x:c r="P163" s="8"/>
      <x:c r="Q163" s="8"/>
      <x:c r="R163" s="8"/>
      <x:c r="S163" s="7" t="n">
        <x:f>IF(OR(AM163="제외",AM163="완료"),0,IF(AM163&lt;&gt;"입력 OK","",IF(E163="진행",P163,M163)))</x:f>
        <x:v>9</x:v>
      </x:c>
      <x:c r="T163" s="7" t="n">
        <x:f>IF(OR(AM163="제외",AM163="완료"),0,IF(AM163&lt;&gt;"입력 OK","",IF(E163="진행",Q163,N163)))</x:f>
        <x:v>14</x:v>
      </x:c>
      <x:c r="U163" s="7" t="n">
        <x:f>IF(OR(AM163="제외",AM163="완료"),0,IF(AM163&lt;&gt;"입력 OK","",IF(E163="진행",R163,O163)))</x:f>
        <x:v>24</x:v>
      </x:c>
      <x:c r="V163" s="11" t="n">
        <x:f>IF(COUNT(S163:U163)&lt;3,"",(S163+4*T163+U163)/6)</x:f>
        <x:v>14.833333333333334</x:v>
      </x:c>
      <x:c r="W163" s="11" t="n">
        <x:f>IF(COUNT(S163:U163)&lt;3,"",((U163-S163)/6)^2)</x:f>
        <x:v>6.25</x:v>
      </x:c>
      <x:c r="X163" s="8" t="str">
        <x:v>CN06</x:v>
      </x:c>
      <x:c r="Y163" s="8" t="str"/>
      <x:c r="Z163" s="8" t="str"/>
      <x:c r="AA163" s="8" t="str"/>
      <x:c r="AB163" s="8" t="str"/>
      <x:c r="AC163" s="8" t="str"/>
      <x:c r="AD163" s="10" t="str">
        <x:f>IF(X163="",0,INDEX($AK$6:$AK$162,MATCH(X163,$A$6:$A$162,0)))</x:f>
      </x:c>
      <x:c r="AE163" s="10" t="n">
        <x:f>IF(Y163="",0,INDEX($AK$6:$AK$162,MATCH(Y163,$A$6:$A$162,0)))</x:f>
        <x:v>0</x:v>
      </x:c>
      <x:c r="AF163" s="10" t="n">
        <x:f>IF(Z163="",0,INDEX($AK$6:$AK$162,MATCH(Z163,$A$6:$A$162,0)))</x:f>
        <x:v>0</x:v>
      </x:c>
      <x:c r="AG163" s="10" t="n">
        <x:f>IF(AA163="",0,INDEX($AK$6:$AK$162,MATCH(AA163,$A$6:$A$162,0)))</x:f>
        <x:v>0</x:v>
      </x:c>
      <x:c r="AH163" s="10" t="n">
        <x:f>IF(AB163="",0,INDEX($AK$6:$AK$162,MATCH(AB163,$A$6:$A$162,0)))</x:f>
        <x:v>0</x:v>
      </x:c>
      <x:c r="AI163" s="10" t="n">
        <x:f>IF(AC163="",0,INDEX($AK$6:$AK$162,MATCH(AC163,$A$6:$A$162,0)))</x:f>
        <x:v>0</x:v>
      </x:c>
      <x:c r="AJ163" s="10" t="str">
        <x:f>IF(AM163="완료",IF(J163="",K163,J163),IF(OR(COUNT('프로젝트설정'!$B$7:$B$8)&lt;2,COUNT(AD163:AI163)&lt;6,COUNT(S163:U163)&lt;3),"",IF(AM163="제외",MAX('프로젝트설정'!$B$7,AD163:AI163),IF(E163="진행",J163,MAX('프로젝트설정'!$B$7:$B$8,L163,AD163:AI163)))))</x:f>
      </x:c>
      <x:c r="AK163" s="10" t="str">
        <x:f>IF(AM163="완료",K163,IF(AJ163="","",IF(E163="진행",MAX('프로젝트설정'!$B$8,AJ163,AD163:AI163)+T163,AJ163+T163)))</x:f>
      </x:c>
      <x:c r="AL163" s="7" t="str">
        <x:f>IF(OR(I163="",AK163=""),"",AK163-I163)</x:f>
      </x:c>
      <x:c r="AM163" s="7" t="str">
        <x:f>IF(OR(D163="제외",E163="제외"),"제외",IF(D163&lt;&gt;"적용","적용성 확인",IF(E163="완료",IF(ISNUMBER(K163),"완료","실제완료 입력"),IF(E163="보류","보류 해제 필요",IF(E163="진행",IF(AND(ISNUMBER(J163),COUNT(P163:R163)=3,P163&gt;=0,P163&lt;=Q163,Q163&lt;=R163),"입력 OK","실제착수·잔여기간 확인"),IF(AND(COUNT(M163:O163)=3,M163&gt;=0,M163&lt;=N163,N163&lt;=O163),"입력 OK","전체기간 확인"))))))</x:f>
        <x:v>입력 OK</x:v>
      </x:c>
      <x:c r="AN163" s="7" t="str">
        <x:v>17</x:v>
      </x:c>
    </x:row>
    <x:row r="164" ht="34" customHeight="1">
      <x:c r="A164" s="7" t="str">
        <x:v>BW01</x:v>
      </x:c>
      <x:c r="B164" s="7" t="str">
        <x:v>18 건축·방호벽</x:v>
      </x:c>
      <x:c r="C164" s="7" t="str">
        <x:v>방호벽 철근·거푸집 및 매입물 시공</x:v>
      </x:c>
      <x:c r="D164" s="7" t="str">
        <x:f>'모듈선택'!B23</x:f>
        <x:v>적용</x:v>
      </x:c>
      <x:c r="E164" s="8" t="str">
        <x:v>계획</x:v>
      </x:c>
      <x:c r="F164" s="8" t="str">
        <x:v>토건 시공사 / 감리</x:v>
      </x:c>
      <x:c r="G164" s="8" t="str">
        <x:v>방호벽 도면, 철근검측</x:v>
      </x:c>
      <x:c r="H164" s="9"/>
      <x:c r="I164" s="9"/>
      <x:c r="J164" s="9"/>
      <x:c r="K164" s="9"/>
      <x:c r="L164" s="9"/>
      <x:c r="M164" s="8" t="n">
        <x:v>7</x:v>
      </x:c>
      <x:c r="N164" s="8" t="n">
        <x:v>10</x:v>
      </x:c>
      <x:c r="O164" s="8" t="n">
        <x:v>17</x:v>
      </x:c>
      <x:c r="P164" s="8"/>
      <x:c r="Q164" s="8"/>
      <x:c r="R164" s="8"/>
      <x:c r="S164" s="7" t="n">
        <x:f>IF(OR(AM164="제외",AM164="완료"),0,IF(AM164&lt;&gt;"입력 OK","",IF(E164="진행",P164,M164)))</x:f>
        <x:v>7</x:v>
      </x:c>
      <x:c r="T164" s="7" t="n">
        <x:f>IF(OR(AM164="제외",AM164="완료"),0,IF(AM164&lt;&gt;"입력 OK","",IF(E164="진행",Q164,N164)))</x:f>
        <x:v>10</x:v>
      </x:c>
      <x:c r="U164" s="7" t="n">
        <x:f>IF(OR(AM164="제외",AM164="완료"),0,IF(AM164&lt;&gt;"입력 OK","",IF(E164="진행",R164,O164)))</x:f>
        <x:v>17</x:v>
      </x:c>
      <x:c r="V164" s="11" t="n">
        <x:f>IF(COUNT(S164:U164)&lt;3,"",(S164+4*T164+U164)/6)</x:f>
        <x:v>10.666666666666666</x:v>
      </x:c>
      <x:c r="W164" s="11" t="n">
        <x:f>IF(COUNT(S164:U164)&lt;3,"",((U164-S164)/6)^2)</x:f>
        <x:v>2.777777777777778</x:v>
      </x:c>
      <x:c r="X164" s="8" t="str">
        <x:v>CN07</x:v>
      </x:c>
      <x:c r="Y164" s="8" t="str"/>
      <x:c r="Z164" s="8" t="str"/>
      <x:c r="AA164" s="8" t="str"/>
      <x:c r="AB164" s="8" t="str"/>
      <x:c r="AC164" s="8" t="str"/>
      <x:c r="AD164" s="10" t="str">
        <x:f>IF(X164="",0,INDEX($AK$6:$AK$163,MATCH(X164,$A$6:$A$163,0)))</x:f>
      </x:c>
      <x:c r="AE164" s="10" t="n">
        <x:f>IF(Y164="",0,INDEX($AK$6:$AK$163,MATCH(Y164,$A$6:$A$163,0)))</x:f>
        <x:v>0</x:v>
      </x:c>
      <x:c r="AF164" s="10" t="n">
        <x:f>IF(Z164="",0,INDEX($AK$6:$AK$163,MATCH(Z164,$A$6:$A$163,0)))</x:f>
        <x:v>0</x:v>
      </x:c>
      <x:c r="AG164" s="10" t="n">
        <x:f>IF(AA164="",0,INDEX($AK$6:$AK$163,MATCH(AA164,$A$6:$A$163,0)))</x:f>
        <x:v>0</x:v>
      </x:c>
      <x:c r="AH164" s="10" t="n">
        <x:f>IF(AB164="",0,INDEX($AK$6:$AK$163,MATCH(AB164,$A$6:$A$163,0)))</x:f>
        <x:v>0</x:v>
      </x:c>
      <x:c r="AI164" s="10" t="n">
        <x:f>IF(AC164="",0,INDEX($AK$6:$AK$163,MATCH(AC164,$A$6:$A$163,0)))</x:f>
        <x:v>0</x:v>
      </x:c>
      <x:c r="AJ164" s="10" t="str">
        <x:f>IF(AM164="완료",IF(J164="",K164,J164),IF(OR(COUNT('프로젝트설정'!$B$7:$B$8)&lt;2,COUNT(AD164:AI164)&lt;6,COUNT(S164:U164)&lt;3),"",IF(AM164="제외",MAX('프로젝트설정'!$B$7,AD164:AI164),IF(E164="진행",J164,MAX('프로젝트설정'!$B$7:$B$8,L164,AD164:AI164)))))</x:f>
      </x:c>
      <x:c r="AK164" s="10" t="str">
        <x:f>IF(AM164="완료",K164,IF(AJ164="","",IF(E164="진행",MAX('프로젝트설정'!$B$8,AJ164,AD164:AI164)+T164,AJ164+T164)))</x:f>
      </x:c>
      <x:c r="AL164" s="7" t="str">
        <x:f>IF(OR(I164="",AK164=""),"",AK164-I164)</x:f>
      </x:c>
      <x:c r="AM164" s="7" t="str">
        <x:f>IF(OR(D164="제외",E164="제외"),"제외",IF(D164&lt;&gt;"적용","적용성 확인",IF(E164="완료",IF(ISNUMBER(K164),"완료","실제완료 입력"),IF(E164="보류","보류 해제 필요",IF(E164="진행",IF(AND(ISNUMBER(J164),COUNT(P164:R164)=3,P164&gt;=0,P164&lt;=Q164,Q164&lt;=R164),"입력 OK","실제착수·잔여기간 확인"),IF(AND(COUNT(M164:O164)=3,M164&gt;=0,M164&lt;=N164,N164&lt;=O164),"입력 OK","전체기간 확인"))))))</x:f>
        <x:v>입력 OK</x:v>
      </x:c>
      <x:c r="AN164" s="7" t="str">
        <x:v>18</x:v>
      </x:c>
    </x:row>
    <x:row r="165" ht="34" customHeight="1">
      <x:c r="A165" s="7" t="str">
        <x:v>BW02</x:v>
      </x:c>
      <x:c r="B165" s="7" t="str">
        <x:v>18 건축·방호벽</x:v>
      </x:c>
      <x:c r="C165" s="7" t="str">
        <x:v>KGS 방호벽 중간검사·타설 승인</x:v>
      </x:c>
      <x:c r="D165" s="7" t="str">
        <x:f>'모듈선택'!B23</x:f>
        <x:v>적용</x:v>
      </x:c>
      <x:c r="E165" s="8" t="str">
        <x:v>계획</x:v>
      </x:c>
      <x:c r="F165" s="8" t="str">
        <x:v>토건 시공사 / 감리</x:v>
      </x:c>
      <x:c r="G165" s="8" t="str">
        <x:v>중간검사 결과</x:v>
      </x:c>
      <x:c r="H165" s="9"/>
      <x:c r="I165" s="9"/>
      <x:c r="J165" s="9"/>
      <x:c r="K165" s="9"/>
      <x:c r="L165" s="9"/>
      <x:c r="M165" s="8" t="n">
        <x:v>2</x:v>
      </x:c>
      <x:c r="N165" s="8" t="n">
        <x:v>3</x:v>
      </x:c>
      <x:c r="O165" s="8" t="n">
        <x:v>6</x:v>
      </x:c>
      <x:c r="P165" s="8"/>
      <x:c r="Q165" s="8"/>
      <x:c r="R165" s="8"/>
      <x:c r="S165" s="7" t="n">
        <x:f>IF(OR(AM165="제외",AM165="완료"),0,IF(AM165&lt;&gt;"입력 OK","",IF(E165="진행",P165,M165)))</x:f>
        <x:v>2</x:v>
      </x:c>
      <x:c r="T165" s="7" t="n">
        <x:f>IF(OR(AM165="제외",AM165="완료"),0,IF(AM165&lt;&gt;"입력 OK","",IF(E165="진행",Q165,N165)))</x:f>
        <x:v>3</x:v>
      </x:c>
      <x:c r="U165" s="7" t="n">
        <x:f>IF(OR(AM165="제외",AM165="완료"),0,IF(AM165&lt;&gt;"입력 OK","",IF(E165="진행",R165,O165)))</x:f>
        <x:v>6</x:v>
      </x:c>
      <x:c r="V165" s="11" t="n">
        <x:f>IF(COUNT(S165:U165)&lt;3,"",(S165+4*T165+U165)/6)</x:f>
        <x:v>3.3333333333333335</x:v>
      </x:c>
      <x:c r="W165" s="11" t="n">
        <x:f>IF(COUNT(S165:U165)&lt;3,"",((U165-S165)/6)^2)</x:f>
        <x:v>0.4444444444444444</x:v>
      </x:c>
      <x:c r="X165" s="8" t="str">
        <x:v>BW01</x:v>
      </x:c>
      <x:c r="Y165" s="8" t="str"/>
      <x:c r="Z165" s="8" t="str"/>
      <x:c r="AA165" s="8" t="str"/>
      <x:c r="AB165" s="8" t="str"/>
      <x:c r="AC165" s="8" t="str"/>
      <x:c r="AD165" s="10" t="str">
        <x:f>IF(X165="",0,INDEX($AK$6:$AK$164,MATCH(X165,$A$6:$A$164,0)))</x:f>
      </x:c>
      <x:c r="AE165" s="10" t="n">
        <x:f>IF(Y165="",0,INDEX($AK$6:$AK$164,MATCH(Y165,$A$6:$A$164,0)))</x:f>
        <x:v>0</x:v>
      </x:c>
      <x:c r="AF165" s="10" t="n">
        <x:f>IF(Z165="",0,INDEX($AK$6:$AK$164,MATCH(Z165,$A$6:$A$164,0)))</x:f>
        <x:v>0</x:v>
      </x:c>
      <x:c r="AG165" s="10" t="n">
        <x:f>IF(AA165="",0,INDEX($AK$6:$AK$164,MATCH(AA165,$A$6:$A$164,0)))</x:f>
        <x:v>0</x:v>
      </x:c>
      <x:c r="AH165" s="10" t="n">
        <x:f>IF(AB165="",0,INDEX($AK$6:$AK$164,MATCH(AB165,$A$6:$A$164,0)))</x:f>
        <x:v>0</x:v>
      </x:c>
      <x:c r="AI165" s="10" t="n">
        <x:f>IF(AC165="",0,INDEX($AK$6:$AK$164,MATCH(AC165,$A$6:$A$164,0)))</x:f>
        <x:v>0</x:v>
      </x:c>
      <x:c r="AJ165" s="10" t="str">
        <x:f>IF(AM165="완료",IF(J165="",K165,J165),IF(OR(COUNT('프로젝트설정'!$B$7:$B$8)&lt;2,COUNT(AD165:AI165)&lt;6,COUNT(S165:U165)&lt;3),"",IF(AM165="제외",MAX('프로젝트설정'!$B$7,AD165:AI165),IF(E165="진행",J165,MAX('프로젝트설정'!$B$7:$B$8,L165,AD165:AI165)))))</x:f>
      </x:c>
      <x:c r="AK165" s="10" t="str">
        <x:f>IF(AM165="완료",K165,IF(AJ165="","",IF(E165="진행",MAX('프로젝트설정'!$B$8,AJ165,AD165:AI165)+T165,AJ165+T165)))</x:f>
      </x:c>
      <x:c r="AL165" s="7" t="str">
        <x:f>IF(OR(I165="",AK165=""),"",AK165-I165)</x:f>
      </x:c>
      <x:c r="AM165" s="7" t="str">
        <x:f>IF(OR(D165="제외",E165="제외"),"제외",IF(D165&lt;&gt;"적용","적용성 확인",IF(E165="완료",IF(ISNUMBER(K165),"완료","실제완료 입력"),IF(E165="보류","보류 해제 필요",IF(E165="진행",IF(AND(ISNUMBER(J165),COUNT(P165:R165)=3,P165&gt;=0,P165&lt;=Q165,Q165&lt;=R165),"입력 OK","실제착수·잔여기간 확인"),IF(AND(COUNT(M165:O165)=3,M165&gt;=0,M165&lt;=N165,N165&lt;=O165),"입력 OK","전체기간 확인"))))))</x:f>
        <x:v>입력 OK</x:v>
      </x:c>
      <x:c r="AN165" s="7" t="str">
        <x:v>18</x:v>
      </x:c>
    </x:row>
    <x:row r="166" ht="34" customHeight="1">
      <x:c r="A166" s="7" t="str">
        <x:v>BW03</x:v>
      </x:c>
      <x:c r="B166" s="7" t="str">
        <x:v>18 건축·방호벽</x:v>
      </x:c>
      <x:c r="C166" s="7" t="str">
        <x:v>방호벽 타설·양생·해체</x:v>
      </x:c>
      <x:c r="D166" s="7" t="str">
        <x:f>'모듈선택'!B23</x:f>
        <x:v>적용</x:v>
      </x:c>
      <x:c r="E166" s="8" t="str">
        <x:v>계획</x:v>
      </x:c>
      <x:c r="F166" s="8" t="str">
        <x:v>토건 시공사 / 감리</x:v>
      </x:c>
      <x:c r="G166" s="8" t="str">
        <x:v>시험성적서, 검사기록</x:v>
      </x:c>
      <x:c r="H166" s="9"/>
      <x:c r="I166" s="9"/>
      <x:c r="J166" s="9"/>
      <x:c r="K166" s="9"/>
      <x:c r="L166" s="9"/>
      <x:c r="M166" s="8" t="n">
        <x:v>9</x:v>
      </x:c>
      <x:c r="N166" s="8" t="n">
        <x:v>14</x:v>
      </x:c>
      <x:c r="O166" s="8" t="n">
        <x:v>24</x:v>
      </x:c>
      <x:c r="P166" s="8"/>
      <x:c r="Q166" s="8"/>
      <x:c r="R166" s="8"/>
      <x:c r="S166" s="7" t="n">
        <x:f>IF(OR(AM166="제외",AM166="완료"),0,IF(AM166&lt;&gt;"입력 OK","",IF(E166="진행",P166,M166)))</x:f>
        <x:v>9</x:v>
      </x:c>
      <x:c r="T166" s="7" t="n">
        <x:f>IF(OR(AM166="제외",AM166="완료"),0,IF(AM166&lt;&gt;"입력 OK","",IF(E166="진행",Q166,N166)))</x:f>
        <x:v>14</x:v>
      </x:c>
      <x:c r="U166" s="7" t="n">
        <x:f>IF(OR(AM166="제외",AM166="완료"),0,IF(AM166&lt;&gt;"입력 OK","",IF(E166="진행",R166,O166)))</x:f>
        <x:v>24</x:v>
      </x:c>
      <x:c r="V166" s="11" t="n">
        <x:f>IF(COUNT(S166:U166)&lt;3,"",(S166+4*T166+U166)/6)</x:f>
        <x:v>14.833333333333334</x:v>
      </x:c>
      <x:c r="W166" s="11" t="n">
        <x:f>IF(COUNT(S166:U166)&lt;3,"",((U166-S166)/6)^2)</x:f>
        <x:v>6.25</x:v>
      </x:c>
      <x:c r="X166" s="8" t="str">
        <x:v>BW02</x:v>
      </x:c>
      <x:c r="Y166" s="8" t="str"/>
      <x:c r="Z166" s="8" t="str"/>
      <x:c r="AA166" s="8" t="str"/>
      <x:c r="AB166" s="8" t="str"/>
      <x:c r="AC166" s="8" t="str"/>
      <x:c r="AD166" s="10" t="str">
        <x:f>IF(X166="",0,INDEX($AK$6:$AK$165,MATCH(X166,$A$6:$A$165,0)))</x:f>
      </x:c>
      <x:c r="AE166" s="10" t="n">
        <x:f>IF(Y166="",0,INDEX($AK$6:$AK$165,MATCH(Y166,$A$6:$A$165,0)))</x:f>
        <x:v>0</x:v>
      </x:c>
      <x:c r="AF166" s="10" t="n">
        <x:f>IF(Z166="",0,INDEX($AK$6:$AK$165,MATCH(Z166,$A$6:$A$165,0)))</x:f>
        <x:v>0</x:v>
      </x:c>
      <x:c r="AG166" s="10" t="n">
        <x:f>IF(AA166="",0,INDEX($AK$6:$AK$165,MATCH(AA166,$A$6:$A$165,0)))</x:f>
        <x:v>0</x:v>
      </x:c>
      <x:c r="AH166" s="10" t="n">
        <x:f>IF(AB166="",0,INDEX($AK$6:$AK$165,MATCH(AB166,$A$6:$A$165,0)))</x:f>
        <x:v>0</x:v>
      </x:c>
      <x:c r="AI166" s="10" t="n">
        <x:f>IF(AC166="",0,INDEX($AK$6:$AK$165,MATCH(AC166,$A$6:$A$165,0)))</x:f>
        <x:v>0</x:v>
      </x:c>
      <x:c r="AJ166" s="10" t="str">
        <x:f>IF(AM166="완료",IF(J166="",K166,J166),IF(OR(COUNT('프로젝트설정'!$B$7:$B$8)&lt;2,COUNT(AD166:AI166)&lt;6,COUNT(S166:U166)&lt;3),"",IF(AM166="제외",MAX('프로젝트설정'!$B$7,AD166:AI166),IF(E166="진행",J166,MAX('프로젝트설정'!$B$7:$B$8,L166,AD166:AI166)))))</x:f>
      </x:c>
      <x:c r="AK166" s="10" t="str">
        <x:f>IF(AM166="완료",K166,IF(AJ166="","",IF(E166="진행",MAX('프로젝트설정'!$B$8,AJ166,AD166:AI166)+T166,AJ166+T166)))</x:f>
      </x:c>
      <x:c r="AL166" s="7" t="str">
        <x:f>IF(OR(I166="",AK166=""),"",AK166-I166)</x:f>
      </x:c>
      <x:c r="AM166" s="7" t="str">
        <x:f>IF(OR(D166="제외",E166="제외"),"제외",IF(D166&lt;&gt;"적용","적용성 확인",IF(E166="완료",IF(ISNUMBER(K166),"완료","실제완료 입력"),IF(E166="보류","보류 해제 필요",IF(E166="진행",IF(AND(ISNUMBER(J166),COUNT(P166:R166)=3,P166&gt;=0,P166&lt;=Q166,Q166&lt;=R166),"입력 OK","실제착수·잔여기간 확인"),IF(AND(COUNT(M166:O166)=3,M166&gt;=0,M166&lt;=N166,N166&lt;=O166),"입력 OK","전체기간 확인"))))))</x:f>
        <x:v>입력 OK</x:v>
      </x:c>
      <x:c r="AN166" s="7" t="str">
        <x:v>18</x:v>
      </x:c>
    </x:row>
    <x:row r="167" ht="34" customHeight="1">
      <x:c r="A167" s="7" t="str">
        <x:v>BW04</x:v>
      </x:c>
      <x:c r="B167" s="7" t="str">
        <x:v>18 건축·방호벽</x:v>
      </x:c>
      <x:c r="C167" s="7" t="str">
        <x:v>압축·저장동 구조체·철골·지붕 설치</x:v>
      </x:c>
      <x:c r="D167" s="7" t="str">
        <x:f>'모듈선택'!B23</x:f>
        <x:v>적용</x:v>
      </x:c>
      <x:c r="E167" s="8" t="str">
        <x:v>계획</x:v>
      </x:c>
      <x:c r="F167" s="8" t="str">
        <x:v>토건 시공사 / 감리</x:v>
      </x:c>
      <x:c r="G167" s="8" t="str">
        <x:v>철골검사, 구조체 검측</x:v>
      </x:c>
      <x:c r="H167" s="9"/>
      <x:c r="I167" s="9"/>
      <x:c r="J167" s="9"/>
      <x:c r="K167" s="9"/>
      <x:c r="L167" s="9"/>
      <x:c r="M167" s="8" t="n">
        <x:v>14</x:v>
      </x:c>
      <x:c r="N167" s="8" t="n">
        <x:v>21</x:v>
      </x:c>
      <x:c r="O167" s="8" t="n">
        <x:v>36</x:v>
      </x:c>
      <x:c r="P167" s="8"/>
      <x:c r="Q167" s="8"/>
      <x:c r="R167" s="8"/>
      <x:c r="S167" s="7" t="n">
        <x:f>IF(OR(AM167="제외",AM167="완료"),0,IF(AM167&lt;&gt;"입력 OK","",IF(E167="진행",P167,M167)))</x:f>
        <x:v>14</x:v>
      </x:c>
      <x:c r="T167" s="7" t="n">
        <x:f>IF(OR(AM167="제외",AM167="완료"),0,IF(AM167&lt;&gt;"입력 OK","",IF(E167="진행",Q167,N167)))</x:f>
        <x:v>21</x:v>
      </x:c>
      <x:c r="U167" s="7" t="n">
        <x:f>IF(OR(AM167="제외",AM167="완료"),0,IF(AM167&lt;&gt;"입력 OK","",IF(E167="진행",R167,O167)))</x:f>
        <x:v>36</x:v>
      </x:c>
      <x:c r="V167" s="11" t="n">
        <x:f>IF(COUNT(S167:U167)&lt;3,"",(S167+4*T167+U167)/6)</x:f>
        <x:v>22.333333333333332</x:v>
      </x:c>
      <x:c r="W167" s="11" t="n">
        <x:f>IF(COUNT(S167:U167)&lt;3,"",((U167-S167)/6)^2)</x:f>
        <x:v>13.444444444444443</x:v>
      </x:c>
      <x:c r="X167" s="8" t="str">
        <x:v>BW03</x:v>
      </x:c>
      <x:c r="Y167" s="8" t="str"/>
      <x:c r="Z167" s="8" t="str"/>
      <x:c r="AA167" s="8" t="str"/>
      <x:c r="AB167" s="8" t="str"/>
      <x:c r="AC167" s="8" t="str"/>
      <x:c r="AD167" s="10" t="str">
        <x:f>IF(X167="",0,INDEX($AK$6:$AK$166,MATCH(X167,$A$6:$A$166,0)))</x:f>
      </x:c>
      <x:c r="AE167" s="10" t="n">
        <x:f>IF(Y167="",0,INDEX($AK$6:$AK$166,MATCH(Y167,$A$6:$A$166,0)))</x:f>
        <x:v>0</x:v>
      </x:c>
      <x:c r="AF167" s="10" t="n">
        <x:f>IF(Z167="",0,INDEX($AK$6:$AK$166,MATCH(Z167,$A$6:$A$166,0)))</x:f>
        <x:v>0</x:v>
      </x:c>
      <x:c r="AG167" s="10" t="n">
        <x:f>IF(AA167="",0,INDEX($AK$6:$AK$166,MATCH(AA167,$A$6:$A$166,0)))</x:f>
        <x:v>0</x:v>
      </x:c>
      <x:c r="AH167" s="10" t="n">
        <x:f>IF(AB167="",0,INDEX($AK$6:$AK$166,MATCH(AB167,$A$6:$A$166,0)))</x:f>
        <x:v>0</x:v>
      </x:c>
      <x:c r="AI167" s="10" t="n">
        <x:f>IF(AC167="",0,INDEX($AK$6:$AK$166,MATCH(AC167,$A$6:$A$166,0)))</x:f>
        <x:v>0</x:v>
      </x:c>
      <x:c r="AJ167" s="10" t="str">
        <x:f>IF(AM167="완료",IF(J167="",K167,J167),IF(OR(COUNT('프로젝트설정'!$B$7:$B$8)&lt;2,COUNT(AD167:AI167)&lt;6,COUNT(S167:U167)&lt;3),"",IF(AM167="제외",MAX('프로젝트설정'!$B$7,AD167:AI167),IF(E167="진행",J167,MAX('프로젝트설정'!$B$7:$B$8,L167,AD167:AI167)))))</x:f>
      </x:c>
      <x:c r="AK167" s="10" t="str">
        <x:f>IF(AM167="완료",K167,IF(AJ167="","",IF(E167="진행",MAX('프로젝트설정'!$B$8,AJ167,AD167:AI167)+T167,AJ167+T167)))</x:f>
      </x:c>
      <x:c r="AL167" s="7" t="str">
        <x:f>IF(OR(I167="",AK167=""),"",AK167-I167)</x:f>
      </x:c>
      <x:c r="AM167" s="7" t="str">
        <x:f>IF(OR(D167="제외",E167="제외"),"제외",IF(D167&lt;&gt;"적용","적용성 확인",IF(E167="완료",IF(ISNUMBER(K167),"완료","실제완료 입력"),IF(E167="보류","보류 해제 필요",IF(E167="진행",IF(AND(ISNUMBER(J167),COUNT(P167:R167)=3,P167&gt;=0,P167&lt;=Q167,Q167&lt;=R167),"입력 OK","실제착수·잔여기간 확인"),IF(AND(COUNT(M167:O167)=3,M167&gt;=0,M167&lt;=N167,N167&lt;=O167),"입력 OK","전체기간 확인"))))))</x:f>
        <x:v>입력 OK</x:v>
      </x:c>
      <x:c r="AN167" s="7" t="str">
        <x:v>18</x:v>
      </x:c>
    </x:row>
    <x:row r="168" ht="34" customHeight="1">
      <x:c r="A168" s="7" t="str">
        <x:v>BW05</x:v>
      </x:c>
      <x:c r="B168" s="7" t="str">
        <x:v>18 건축·방호벽</x:v>
      </x:c>
      <x:c r="C168" s="7" t="str">
        <x:v>외벽판넬·창호·방화구획·방수 시공</x:v>
      </x:c>
      <x:c r="D168" s="7" t="str">
        <x:f>'모듈선택'!B23</x:f>
        <x:v>적용</x:v>
      </x:c>
      <x:c r="E168" s="8" t="str">
        <x:v>계획</x:v>
      </x:c>
      <x:c r="F168" s="8" t="str">
        <x:v>토건 시공사 / 감리</x:v>
      </x:c>
      <x:c r="G168" s="8" t="str">
        <x:v>건축검측, 방화 관련 자료</x:v>
      </x:c>
      <x:c r="H168" s="9"/>
      <x:c r="I168" s="9"/>
      <x:c r="J168" s="9"/>
      <x:c r="K168" s="9"/>
      <x:c r="L168" s="9"/>
      <x:c r="M168" s="8" t="n">
        <x:v>9</x:v>
      </x:c>
      <x:c r="N168" s="8" t="n">
        <x:v>14</x:v>
      </x:c>
      <x:c r="O168" s="8" t="n">
        <x:v>24</x:v>
      </x:c>
      <x:c r="P168" s="8"/>
      <x:c r="Q168" s="8"/>
      <x:c r="R168" s="8"/>
      <x:c r="S168" s="7" t="n">
        <x:f>IF(OR(AM168="제외",AM168="완료"),0,IF(AM168&lt;&gt;"입력 OK","",IF(E168="진행",P168,M168)))</x:f>
        <x:v>9</x:v>
      </x:c>
      <x:c r="T168" s="7" t="n">
        <x:f>IF(OR(AM168="제외",AM168="완료"),0,IF(AM168&lt;&gt;"입력 OK","",IF(E168="진행",Q168,N168)))</x:f>
        <x:v>14</x:v>
      </x:c>
      <x:c r="U168" s="7" t="n">
        <x:f>IF(OR(AM168="제외",AM168="완료"),0,IF(AM168&lt;&gt;"입력 OK","",IF(E168="진행",R168,O168)))</x:f>
        <x:v>24</x:v>
      </x:c>
      <x:c r="V168" s="11" t="n">
        <x:f>IF(COUNT(S168:U168)&lt;3,"",(S168+4*T168+U168)/6)</x:f>
        <x:v>14.833333333333334</x:v>
      </x:c>
      <x:c r="W168" s="11" t="n">
        <x:f>IF(COUNT(S168:U168)&lt;3,"",((U168-S168)/6)^2)</x:f>
        <x:v>6.25</x:v>
      </x:c>
      <x:c r="X168" s="8" t="str">
        <x:v>BW04</x:v>
      </x:c>
      <x:c r="Y168" s="8" t="str"/>
      <x:c r="Z168" s="8" t="str"/>
      <x:c r="AA168" s="8" t="str"/>
      <x:c r="AB168" s="8" t="str"/>
      <x:c r="AC168" s="8" t="str"/>
      <x:c r="AD168" s="10" t="str">
        <x:f>IF(X168="",0,INDEX($AK$6:$AK$167,MATCH(X168,$A$6:$A$167,0)))</x:f>
      </x:c>
      <x:c r="AE168" s="10" t="n">
        <x:f>IF(Y168="",0,INDEX($AK$6:$AK$167,MATCH(Y168,$A$6:$A$167,0)))</x:f>
        <x:v>0</x:v>
      </x:c>
      <x:c r="AF168" s="10" t="n">
        <x:f>IF(Z168="",0,INDEX($AK$6:$AK$167,MATCH(Z168,$A$6:$A$167,0)))</x:f>
        <x:v>0</x:v>
      </x:c>
      <x:c r="AG168" s="10" t="n">
        <x:f>IF(AA168="",0,INDEX($AK$6:$AK$167,MATCH(AA168,$A$6:$A$167,0)))</x:f>
        <x:v>0</x:v>
      </x:c>
      <x:c r="AH168" s="10" t="n">
        <x:f>IF(AB168="",0,INDEX($AK$6:$AK$167,MATCH(AB168,$A$6:$A$167,0)))</x:f>
        <x:v>0</x:v>
      </x:c>
      <x:c r="AI168" s="10" t="n">
        <x:f>IF(AC168="",0,INDEX($AK$6:$AK$167,MATCH(AC168,$A$6:$A$167,0)))</x:f>
        <x:v>0</x:v>
      </x:c>
      <x:c r="AJ168" s="10" t="str">
        <x:f>IF(AM168="완료",IF(J168="",K168,J168),IF(OR(COUNT('프로젝트설정'!$B$7:$B$8)&lt;2,COUNT(AD168:AI168)&lt;6,COUNT(S168:U168)&lt;3),"",IF(AM168="제외",MAX('프로젝트설정'!$B$7,AD168:AI168),IF(E168="진행",J168,MAX('프로젝트설정'!$B$7:$B$8,L168,AD168:AI168)))))</x:f>
      </x:c>
      <x:c r="AK168" s="10" t="str">
        <x:f>IF(AM168="완료",K168,IF(AJ168="","",IF(E168="진행",MAX('프로젝트설정'!$B$8,AJ168,AD168:AI168)+T168,AJ168+T168)))</x:f>
      </x:c>
      <x:c r="AL168" s="7" t="str">
        <x:f>IF(OR(I168="",AK168=""),"",AK168-I168)</x:f>
      </x:c>
      <x:c r="AM168" s="7" t="str">
        <x:f>IF(OR(D168="제외",E168="제외"),"제외",IF(D168&lt;&gt;"적용","적용성 확인",IF(E168="완료",IF(ISNUMBER(K168),"완료","실제완료 입력"),IF(E168="보류","보류 해제 필요",IF(E168="진행",IF(AND(ISNUMBER(J168),COUNT(P168:R168)=3,P168&gt;=0,P168&lt;=Q168,Q168&lt;=R168),"입력 OK","실제착수·잔여기간 확인"),IF(AND(COUNT(M168:O168)=3,M168&gt;=0,M168&lt;=N168,N168&lt;=O168),"입력 OK","전체기간 확인"))))))</x:f>
        <x:v>입력 OK</x:v>
      </x:c>
      <x:c r="AN168" s="7" t="str">
        <x:v>18</x:v>
      </x:c>
    </x:row>
    <x:row r="169" ht="34" customHeight="1">
      <x:c r="A169" s="7" t="str">
        <x:v>BW06</x:v>
      </x:c>
      <x:c r="B169" s="7" t="str">
        <x:v>18 건축·방호벽</x:v>
      </x:c>
      <x:c r="C169" s="7" t="str">
        <x:v>바닥·도장·환기·마감 및 결함 조치</x:v>
      </x:c>
      <x:c r="D169" s="7" t="str">
        <x:f>'모듈선택'!B23</x:f>
        <x:v>적용</x:v>
      </x:c>
      <x:c r="E169" s="8" t="str">
        <x:v>계획</x:v>
      </x:c>
      <x:c r="F169" s="8" t="str">
        <x:v>토건 시공사 / 감리</x:v>
      </x:c>
      <x:c r="G169" s="8" t="str">
        <x:v>마감검측, punch list</x:v>
      </x:c>
      <x:c r="H169" s="9"/>
      <x:c r="I169" s="9"/>
      <x:c r="J169" s="9"/>
      <x:c r="K169" s="9"/>
      <x:c r="L169" s="9"/>
      <x:c r="M169" s="8" t="n">
        <x:v>9</x:v>
      </x:c>
      <x:c r="N169" s="8" t="n">
        <x:v>14</x:v>
      </x:c>
      <x:c r="O169" s="8" t="n">
        <x:v>24</x:v>
      </x:c>
      <x:c r="P169" s="8"/>
      <x:c r="Q169" s="8"/>
      <x:c r="R169" s="8"/>
      <x:c r="S169" s="7" t="n">
        <x:f>IF(OR(AM169="제외",AM169="완료"),0,IF(AM169&lt;&gt;"입력 OK","",IF(E169="진행",P169,M169)))</x:f>
        <x:v>9</x:v>
      </x:c>
      <x:c r="T169" s="7" t="n">
        <x:f>IF(OR(AM169="제외",AM169="완료"),0,IF(AM169&lt;&gt;"입력 OK","",IF(E169="진행",Q169,N169)))</x:f>
        <x:v>14</x:v>
      </x:c>
      <x:c r="U169" s="7" t="n">
        <x:f>IF(OR(AM169="제외",AM169="완료"),0,IF(AM169&lt;&gt;"입력 OK","",IF(E169="진행",R169,O169)))</x:f>
        <x:v>24</x:v>
      </x:c>
      <x:c r="V169" s="11" t="n">
        <x:f>IF(COUNT(S169:U169)&lt;3,"",(S169+4*T169+U169)/6)</x:f>
        <x:v>14.833333333333334</x:v>
      </x:c>
      <x:c r="W169" s="11" t="n">
        <x:f>IF(COUNT(S169:U169)&lt;3,"",((U169-S169)/6)^2)</x:f>
        <x:v>6.25</x:v>
      </x:c>
      <x:c r="X169" s="8" t="str">
        <x:v>BW05</x:v>
      </x:c>
      <x:c r="Y169" s="8" t="str"/>
      <x:c r="Z169" s="8" t="str"/>
      <x:c r="AA169" s="8" t="str"/>
      <x:c r="AB169" s="8" t="str"/>
      <x:c r="AC169" s="8" t="str"/>
      <x:c r="AD169" s="10" t="str">
        <x:f>IF(X169="",0,INDEX($AK$6:$AK$168,MATCH(X169,$A$6:$A$168,0)))</x:f>
      </x:c>
      <x:c r="AE169" s="10" t="n">
        <x:f>IF(Y169="",0,INDEX($AK$6:$AK$168,MATCH(Y169,$A$6:$A$168,0)))</x:f>
        <x:v>0</x:v>
      </x:c>
      <x:c r="AF169" s="10" t="n">
        <x:f>IF(Z169="",0,INDEX($AK$6:$AK$168,MATCH(Z169,$A$6:$A$168,0)))</x:f>
        <x:v>0</x:v>
      </x:c>
      <x:c r="AG169" s="10" t="n">
        <x:f>IF(AA169="",0,INDEX($AK$6:$AK$168,MATCH(AA169,$A$6:$A$168,0)))</x:f>
        <x:v>0</x:v>
      </x:c>
      <x:c r="AH169" s="10" t="n">
        <x:f>IF(AB169="",0,INDEX($AK$6:$AK$168,MATCH(AB169,$A$6:$A$168,0)))</x:f>
        <x:v>0</x:v>
      </x:c>
      <x:c r="AI169" s="10" t="n">
        <x:f>IF(AC169="",0,INDEX($AK$6:$AK$168,MATCH(AC169,$A$6:$A$168,0)))</x:f>
        <x:v>0</x:v>
      </x:c>
      <x:c r="AJ169" s="10" t="str">
        <x:f>IF(AM169="완료",IF(J169="",K169,J169),IF(OR(COUNT('프로젝트설정'!$B$7:$B$8)&lt;2,COUNT(AD169:AI169)&lt;6,COUNT(S169:U169)&lt;3),"",IF(AM169="제외",MAX('프로젝트설정'!$B$7,AD169:AI169),IF(E169="진행",J169,MAX('프로젝트설정'!$B$7:$B$8,L169,AD169:AI169)))))</x:f>
      </x:c>
      <x:c r="AK169" s="10" t="str">
        <x:f>IF(AM169="완료",K169,IF(AJ169="","",IF(E169="진행",MAX('프로젝트설정'!$B$8,AJ169,AD169:AI169)+T169,AJ169+T169)))</x:f>
      </x:c>
      <x:c r="AL169" s="7" t="str">
        <x:f>IF(OR(I169="",AK169=""),"",AK169-I169)</x:f>
      </x:c>
      <x:c r="AM169" s="7" t="str">
        <x:f>IF(OR(D169="제외",E169="제외"),"제외",IF(D169&lt;&gt;"적용","적용성 확인",IF(E169="완료",IF(ISNUMBER(K169),"완료","실제완료 입력"),IF(E169="보류","보류 해제 필요",IF(E169="진행",IF(AND(ISNUMBER(J169),COUNT(P169:R169)=3,P169&gt;=0,P169&lt;=Q169,Q169&lt;=R169),"입력 OK","실제착수·잔여기간 확인"),IF(AND(COUNT(M169:O169)=3,M169&gt;=0,M169&lt;=N169,N169&lt;=O169),"입력 OK","전체기간 확인"))))))</x:f>
        <x:v>입력 OK</x:v>
      </x:c>
      <x:c r="AN169" s="7" t="str">
        <x:v>18</x:v>
      </x:c>
    </x:row>
    <x:row r="170" ht="34" customHeight="1">
      <x:c r="A170" s="7" t="str">
        <x:v>UF01</x:v>
      </x:c>
      <x:c r="B170" s="7" t="str">
        <x:v>19 설비기초·전기실</x:v>
      </x:c>
      <x:c r="C170" s="7" t="str">
        <x:v>유틸리티·추출설비 기초/트렌치 철근 시공</x:v>
      </x:c>
      <x:c r="D170" s="7" t="str">
        <x:f>'모듈선택'!B24</x:f>
        <x:v>적용</x:v>
      </x:c>
      <x:c r="E170" s="8" t="str">
        <x:v>계획</x:v>
      </x:c>
      <x:c r="F170" s="8" t="str">
        <x:v>토건 시공사 / 감리</x:v>
      </x:c>
      <x:c r="G170" s="8" t="str">
        <x:v>기초검측, 매입물 확인</x:v>
      </x:c>
      <x:c r="H170" s="9"/>
      <x:c r="I170" s="9"/>
      <x:c r="J170" s="9"/>
      <x:c r="K170" s="9"/>
      <x:c r="L170" s="9"/>
      <x:c r="M170" s="8" t="n">
        <x:v>7</x:v>
      </x:c>
      <x:c r="N170" s="8" t="n">
        <x:v>10</x:v>
      </x:c>
      <x:c r="O170" s="8" t="n">
        <x:v>17</x:v>
      </x:c>
      <x:c r="P170" s="8"/>
      <x:c r="Q170" s="8"/>
      <x:c r="R170" s="8"/>
      <x:c r="S170" s="7" t="n">
        <x:f>IF(OR(AM170="제외",AM170="완료"),0,IF(AM170&lt;&gt;"입력 OK","",IF(E170="진행",P170,M170)))</x:f>
        <x:v>7</x:v>
      </x:c>
      <x:c r="T170" s="7" t="n">
        <x:f>IF(OR(AM170="제외",AM170="완료"),0,IF(AM170&lt;&gt;"입력 OK","",IF(E170="진행",Q170,N170)))</x:f>
        <x:v>10</x:v>
      </x:c>
      <x:c r="U170" s="7" t="n">
        <x:f>IF(OR(AM170="제외",AM170="완료"),0,IF(AM170&lt;&gt;"입력 OK","",IF(E170="진행",R170,O170)))</x:f>
        <x:v>17</x:v>
      </x:c>
      <x:c r="V170" s="11" t="n">
        <x:f>IF(COUNT(S170:U170)&lt;3,"",(S170+4*T170+U170)/6)</x:f>
        <x:v>10.666666666666666</x:v>
      </x:c>
      <x:c r="W170" s="11" t="n">
        <x:f>IF(COUNT(S170:U170)&lt;3,"",((U170-S170)/6)^2)</x:f>
        <x:v>2.777777777777778</x:v>
      </x:c>
      <x:c r="X170" s="8" t="str">
        <x:v>CN07</x:v>
      </x:c>
      <x:c r="Y170" s="8" t="str"/>
      <x:c r="Z170" s="8" t="str"/>
      <x:c r="AA170" s="8" t="str"/>
      <x:c r="AB170" s="8" t="str"/>
      <x:c r="AC170" s="8" t="str"/>
      <x:c r="AD170" s="10" t="str">
        <x:f>IF(X170="",0,INDEX($AK$6:$AK$169,MATCH(X170,$A$6:$A$169,0)))</x:f>
      </x:c>
      <x:c r="AE170" s="10" t="n">
        <x:f>IF(Y170="",0,INDEX($AK$6:$AK$169,MATCH(Y170,$A$6:$A$169,0)))</x:f>
        <x:v>0</x:v>
      </x:c>
      <x:c r="AF170" s="10" t="n">
        <x:f>IF(Z170="",0,INDEX($AK$6:$AK$169,MATCH(Z170,$A$6:$A$169,0)))</x:f>
        <x:v>0</x:v>
      </x:c>
      <x:c r="AG170" s="10" t="n">
        <x:f>IF(AA170="",0,INDEX($AK$6:$AK$169,MATCH(AA170,$A$6:$A$169,0)))</x:f>
        <x:v>0</x:v>
      </x:c>
      <x:c r="AH170" s="10" t="n">
        <x:f>IF(AB170="",0,INDEX($AK$6:$AK$169,MATCH(AB170,$A$6:$A$169,0)))</x:f>
        <x:v>0</x:v>
      </x:c>
      <x:c r="AI170" s="10" t="n">
        <x:f>IF(AC170="",0,INDEX($AK$6:$AK$169,MATCH(AC170,$A$6:$A$169,0)))</x:f>
        <x:v>0</x:v>
      </x:c>
      <x:c r="AJ170" s="10" t="str">
        <x:f>IF(AM170="완료",IF(J170="",K170,J170),IF(OR(COUNT('프로젝트설정'!$B$7:$B$8)&lt;2,COUNT(AD170:AI170)&lt;6,COUNT(S170:U170)&lt;3),"",IF(AM170="제외",MAX('프로젝트설정'!$B$7,AD170:AI170),IF(E170="진행",J170,MAX('프로젝트설정'!$B$7:$B$8,L170,AD170:AI170)))))</x:f>
      </x:c>
      <x:c r="AK170" s="10" t="str">
        <x:f>IF(AM170="완료",K170,IF(AJ170="","",IF(E170="진행",MAX('프로젝트설정'!$B$8,AJ170,AD170:AI170)+T170,AJ170+T170)))</x:f>
      </x:c>
      <x:c r="AL170" s="7" t="str">
        <x:f>IF(OR(I170="",AK170=""),"",AK170-I170)</x:f>
      </x:c>
      <x:c r="AM170" s="7" t="str">
        <x:f>IF(OR(D170="제외",E170="제외"),"제외",IF(D170&lt;&gt;"적용","적용성 확인",IF(E170="완료",IF(ISNUMBER(K170),"완료","실제완료 입력"),IF(E170="보류","보류 해제 필요",IF(E170="진행",IF(AND(ISNUMBER(J170),COUNT(P170:R170)=3,P170&gt;=0,P170&lt;=Q170,Q170&lt;=R170),"입력 OK","실제착수·잔여기간 확인"),IF(AND(COUNT(M170:O170)=3,M170&gt;=0,M170&lt;=N170,N170&lt;=O170),"입력 OK","전체기간 확인"))))))</x:f>
        <x:v>입력 OK</x:v>
      </x:c>
      <x:c r="AN170" s="7" t="str">
        <x:v>19</x:v>
      </x:c>
    </x:row>
    <x:row r="171" ht="34" customHeight="1">
      <x:c r="A171" s="7" t="str">
        <x:v>UF02</x:v>
      </x:c>
      <x:c r="B171" s="7" t="str">
        <x:v>19 설비기초·전기실</x:v>
      </x:c>
      <x:c r="C171" s="7" t="str">
        <x:v>기초 검사·타설·양생 및 패드 치수 확인</x:v>
      </x:c>
      <x:c r="D171" s="7" t="str">
        <x:f>'모듈선택'!B24</x:f>
        <x:v>적용</x:v>
      </x:c>
      <x:c r="E171" s="8" t="str">
        <x:v>계획</x:v>
      </x:c>
      <x:c r="F171" s="8" t="str">
        <x:v>토건 시공사 / 감리</x:v>
      </x:c>
      <x:c r="G171" s="8" t="str">
        <x:v>검사기록, anchor survey</x:v>
      </x:c>
      <x:c r="H171" s="9"/>
      <x:c r="I171" s="9"/>
      <x:c r="J171" s="9"/>
      <x:c r="K171" s="9"/>
      <x:c r="L171" s="9"/>
      <x:c r="M171" s="8" t="n">
        <x:v>9</x:v>
      </x:c>
      <x:c r="N171" s="8" t="n">
        <x:v>14</x:v>
      </x:c>
      <x:c r="O171" s="8" t="n">
        <x:v>24</x:v>
      </x:c>
      <x:c r="P171" s="8"/>
      <x:c r="Q171" s="8"/>
      <x:c r="R171" s="8"/>
      <x:c r="S171" s="7" t="n">
        <x:f>IF(OR(AM171="제외",AM171="완료"),0,IF(AM171&lt;&gt;"입력 OK","",IF(E171="진행",P171,M171)))</x:f>
        <x:v>9</x:v>
      </x:c>
      <x:c r="T171" s="7" t="n">
        <x:f>IF(OR(AM171="제외",AM171="완료"),0,IF(AM171&lt;&gt;"입력 OK","",IF(E171="진행",Q171,N171)))</x:f>
        <x:v>14</x:v>
      </x:c>
      <x:c r="U171" s="7" t="n">
        <x:f>IF(OR(AM171="제외",AM171="완료"),0,IF(AM171&lt;&gt;"입력 OK","",IF(E171="진행",R171,O171)))</x:f>
        <x:v>24</x:v>
      </x:c>
      <x:c r="V171" s="11" t="n">
        <x:f>IF(COUNT(S171:U171)&lt;3,"",(S171+4*T171+U171)/6)</x:f>
        <x:v>14.833333333333334</x:v>
      </x:c>
      <x:c r="W171" s="11" t="n">
        <x:f>IF(COUNT(S171:U171)&lt;3,"",((U171-S171)/6)^2)</x:f>
        <x:v>6.25</x:v>
      </x:c>
      <x:c r="X171" s="8" t="str">
        <x:v>UF01</x:v>
      </x:c>
      <x:c r="Y171" s="8" t="str"/>
      <x:c r="Z171" s="8" t="str"/>
      <x:c r="AA171" s="8" t="str"/>
      <x:c r="AB171" s="8" t="str"/>
      <x:c r="AC171" s="8" t="str"/>
      <x:c r="AD171" s="10" t="str">
        <x:f>IF(X171="",0,INDEX($AK$6:$AK$170,MATCH(X171,$A$6:$A$170,0)))</x:f>
      </x:c>
      <x:c r="AE171" s="10" t="n">
        <x:f>IF(Y171="",0,INDEX($AK$6:$AK$170,MATCH(Y171,$A$6:$A$170,0)))</x:f>
        <x:v>0</x:v>
      </x:c>
      <x:c r="AF171" s="10" t="n">
        <x:f>IF(Z171="",0,INDEX($AK$6:$AK$170,MATCH(Z171,$A$6:$A$170,0)))</x:f>
        <x:v>0</x:v>
      </x:c>
      <x:c r="AG171" s="10" t="n">
        <x:f>IF(AA171="",0,INDEX($AK$6:$AK$170,MATCH(AA171,$A$6:$A$170,0)))</x:f>
        <x:v>0</x:v>
      </x:c>
      <x:c r="AH171" s="10" t="n">
        <x:f>IF(AB171="",0,INDEX($AK$6:$AK$170,MATCH(AB171,$A$6:$A$170,0)))</x:f>
        <x:v>0</x:v>
      </x:c>
      <x:c r="AI171" s="10" t="n">
        <x:f>IF(AC171="",0,INDEX($AK$6:$AK$170,MATCH(AC171,$A$6:$A$170,0)))</x:f>
        <x:v>0</x:v>
      </x:c>
      <x:c r="AJ171" s="10" t="str">
        <x:f>IF(AM171="완료",IF(J171="",K171,J171),IF(OR(COUNT('프로젝트설정'!$B$7:$B$8)&lt;2,COUNT(AD171:AI171)&lt;6,COUNT(S171:U171)&lt;3),"",IF(AM171="제외",MAX('프로젝트설정'!$B$7,AD171:AI171),IF(E171="진행",J171,MAX('프로젝트설정'!$B$7:$B$8,L171,AD171:AI171)))))</x:f>
      </x:c>
      <x:c r="AK171" s="10" t="str">
        <x:f>IF(AM171="완료",K171,IF(AJ171="","",IF(E171="진행",MAX('프로젝트설정'!$B$8,AJ171,AD171:AI171)+T171,AJ171+T171)))</x:f>
      </x:c>
      <x:c r="AL171" s="7" t="str">
        <x:f>IF(OR(I171="",AK171=""),"",AK171-I171)</x:f>
      </x:c>
      <x:c r="AM171" s="7" t="str">
        <x:f>IF(OR(D171="제외",E171="제외"),"제외",IF(D171&lt;&gt;"적용","적용성 확인",IF(E171="완료",IF(ISNUMBER(K171),"완료","실제완료 입력"),IF(E171="보류","보류 해제 필요",IF(E171="진행",IF(AND(ISNUMBER(J171),COUNT(P171:R171)=3,P171&gt;=0,P171&lt;=Q171,Q171&lt;=R171),"입력 OK","실제착수·잔여기간 확인"),IF(AND(COUNT(M171:O171)=3,M171&gt;=0,M171&lt;=N171,N171&lt;=O171),"입력 OK","전체기간 확인"))))))</x:f>
        <x:v>입력 OK</x:v>
      </x:c>
      <x:c r="AN171" s="7" t="str">
        <x:v>19</x:v>
      </x:c>
    </x:row>
    <x:row r="172" ht="34" customHeight="1">
      <x:c r="A172" s="7" t="str">
        <x:v>UF03</x:v>
      </x:c>
      <x:c r="B172" s="7" t="str">
        <x:v>19 설비기초·전기실</x:v>
      </x:c>
      <x:c r="C172" s="7" t="str">
        <x:v>사무동·전기실 구조체·철골 설치</x:v>
      </x:c>
      <x:c r="D172" s="7" t="str">
        <x:f>'모듈선택'!B24</x:f>
        <x:v>적용</x:v>
      </x:c>
      <x:c r="E172" s="8" t="str">
        <x:v>계획</x:v>
      </x:c>
      <x:c r="F172" s="8" t="str">
        <x:v>토건 시공사 / 감리</x:v>
      </x:c>
      <x:c r="G172" s="8" t="str">
        <x:v>구조체 검측</x:v>
      </x:c>
      <x:c r="H172" s="9"/>
      <x:c r="I172" s="9"/>
      <x:c r="J172" s="9"/>
      <x:c r="K172" s="9"/>
      <x:c r="L172" s="9"/>
      <x:c r="M172" s="8" t="n">
        <x:v>12</x:v>
      </x:c>
      <x:c r="N172" s="8" t="n">
        <x:v>18</x:v>
      </x:c>
      <x:c r="O172" s="8" t="n">
        <x:v>31</x:v>
      </x:c>
      <x:c r="P172" s="8"/>
      <x:c r="Q172" s="8"/>
      <x:c r="R172" s="8"/>
      <x:c r="S172" s="7" t="n">
        <x:f>IF(OR(AM172="제외",AM172="완료"),0,IF(AM172&lt;&gt;"입력 OK","",IF(E172="진행",P172,M172)))</x:f>
        <x:v>12</x:v>
      </x:c>
      <x:c r="T172" s="7" t="n">
        <x:f>IF(OR(AM172="제외",AM172="완료"),0,IF(AM172&lt;&gt;"입력 OK","",IF(E172="진행",Q172,N172)))</x:f>
        <x:v>18</x:v>
      </x:c>
      <x:c r="U172" s="7" t="n">
        <x:f>IF(OR(AM172="제외",AM172="완료"),0,IF(AM172&lt;&gt;"입력 OK","",IF(E172="진행",R172,O172)))</x:f>
        <x:v>31</x:v>
      </x:c>
      <x:c r="V172" s="11" t="n">
        <x:f>IF(COUNT(S172:U172)&lt;3,"",(S172+4*T172+U172)/6)</x:f>
        <x:v>19.166666666666668</x:v>
      </x:c>
      <x:c r="W172" s="11" t="n">
        <x:f>IF(COUNT(S172:U172)&lt;3,"",((U172-S172)/6)^2)</x:f>
        <x:v>10.027777777777777</x:v>
      </x:c>
      <x:c r="X172" s="8" t="str">
        <x:v>UF02</x:v>
      </x:c>
      <x:c r="Y172" s="8" t="str"/>
      <x:c r="Z172" s="8" t="str"/>
      <x:c r="AA172" s="8" t="str"/>
      <x:c r="AB172" s="8" t="str"/>
      <x:c r="AC172" s="8" t="str"/>
      <x:c r="AD172" s="10" t="str">
        <x:f>IF(X172="",0,INDEX($AK$6:$AK$171,MATCH(X172,$A$6:$A$171,0)))</x:f>
      </x:c>
      <x:c r="AE172" s="10" t="n">
        <x:f>IF(Y172="",0,INDEX($AK$6:$AK$171,MATCH(Y172,$A$6:$A$171,0)))</x:f>
        <x:v>0</x:v>
      </x:c>
      <x:c r="AF172" s="10" t="n">
        <x:f>IF(Z172="",0,INDEX($AK$6:$AK$171,MATCH(Z172,$A$6:$A$171,0)))</x:f>
        <x:v>0</x:v>
      </x:c>
      <x:c r="AG172" s="10" t="n">
        <x:f>IF(AA172="",0,INDEX($AK$6:$AK$171,MATCH(AA172,$A$6:$A$171,0)))</x:f>
        <x:v>0</x:v>
      </x:c>
      <x:c r="AH172" s="10" t="n">
        <x:f>IF(AB172="",0,INDEX($AK$6:$AK$171,MATCH(AB172,$A$6:$A$171,0)))</x:f>
        <x:v>0</x:v>
      </x:c>
      <x:c r="AI172" s="10" t="n">
        <x:f>IF(AC172="",0,INDEX($AK$6:$AK$171,MATCH(AC172,$A$6:$A$171,0)))</x:f>
        <x:v>0</x:v>
      </x:c>
      <x:c r="AJ172" s="10" t="str">
        <x:f>IF(AM172="완료",IF(J172="",K172,J172),IF(OR(COUNT('프로젝트설정'!$B$7:$B$8)&lt;2,COUNT(AD172:AI172)&lt;6,COUNT(S172:U172)&lt;3),"",IF(AM172="제외",MAX('프로젝트설정'!$B$7,AD172:AI172),IF(E172="진행",J172,MAX('프로젝트설정'!$B$7:$B$8,L172,AD172:AI172)))))</x:f>
      </x:c>
      <x:c r="AK172" s="10" t="str">
        <x:f>IF(AM172="완료",K172,IF(AJ172="","",IF(E172="진행",MAX('프로젝트설정'!$B$8,AJ172,AD172:AI172)+T172,AJ172+T172)))</x:f>
      </x:c>
      <x:c r="AL172" s="7" t="str">
        <x:f>IF(OR(I172="",AK172=""),"",AK172-I172)</x:f>
      </x:c>
      <x:c r="AM172" s="7" t="str">
        <x:f>IF(OR(D172="제외",E172="제외"),"제외",IF(D172&lt;&gt;"적용","적용성 확인",IF(E172="완료",IF(ISNUMBER(K172),"완료","실제완료 입력"),IF(E172="보류","보류 해제 필요",IF(E172="진행",IF(AND(ISNUMBER(J172),COUNT(P172:R172)=3,P172&gt;=0,P172&lt;=Q172,Q172&lt;=R172),"입력 OK","실제착수·잔여기간 확인"),IF(AND(COUNT(M172:O172)=3,M172&gt;=0,M172&lt;=N172,N172&lt;=O172),"입력 OK","전체기간 확인"))))))</x:f>
        <x:v>입력 OK</x:v>
      </x:c>
      <x:c r="AN172" s="7" t="str">
        <x:v>19</x:v>
      </x:c>
    </x:row>
    <x:row r="173" ht="34" customHeight="1">
      <x:c r="A173" s="7" t="str">
        <x:v>UF04</x:v>
      </x:c>
      <x:c r="B173" s="7" t="str">
        <x:v>19 설비기초·전기실</x:v>
      </x:c>
      <x:c r="C173" s="7" t="str">
        <x:v>전기실 지붕·방수·마감·반입구 확보</x:v>
      </x:c>
      <x:c r="D173" s="7" t="str">
        <x:f>'모듈선택'!B24</x:f>
        <x:v>적용</x:v>
      </x:c>
      <x:c r="E173" s="8" t="str">
        <x:v>계획</x:v>
      </x:c>
      <x:c r="F173" s="8" t="str">
        <x:v>토건 시공사 / 감리</x:v>
      </x:c>
      <x:c r="G173" s="8" t="str">
        <x:v>방수/반입조건 확인</x:v>
      </x:c>
      <x:c r="H173" s="9"/>
      <x:c r="I173" s="9"/>
      <x:c r="J173" s="9"/>
      <x:c r="K173" s="9"/>
      <x:c r="L173" s="9"/>
      <x:c r="M173" s="8" t="n">
        <x:v>9</x:v>
      </x:c>
      <x:c r="N173" s="8" t="n">
        <x:v>14</x:v>
      </x:c>
      <x:c r="O173" s="8" t="n">
        <x:v>24</x:v>
      </x:c>
      <x:c r="P173" s="8"/>
      <x:c r="Q173" s="8"/>
      <x:c r="R173" s="8"/>
      <x:c r="S173" s="7" t="n">
        <x:f>IF(OR(AM173="제외",AM173="완료"),0,IF(AM173&lt;&gt;"입력 OK","",IF(E173="진행",P173,M173)))</x:f>
        <x:v>9</x:v>
      </x:c>
      <x:c r="T173" s="7" t="n">
        <x:f>IF(OR(AM173="제외",AM173="완료"),0,IF(AM173&lt;&gt;"입력 OK","",IF(E173="진행",Q173,N173)))</x:f>
        <x:v>14</x:v>
      </x:c>
      <x:c r="U173" s="7" t="n">
        <x:f>IF(OR(AM173="제외",AM173="완료"),0,IF(AM173&lt;&gt;"입력 OK","",IF(E173="진행",R173,O173)))</x:f>
        <x:v>24</x:v>
      </x:c>
      <x:c r="V173" s="11" t="n">
        <x:f>IF(COUNT(S173:U173)&lt;3,"",(S173+4*T173+U173)/6)</x:f>
        <x:v>14.833333333333334</x:v>
      </x:c>
      <x:c r="W173" s="11" t="n">
        <x:f>IF(COUNT(S173:U173)&lt;3,"",((U173-S173)/6)^2)</x:f>
        <x:v>6.25</x:v>
      </x:c>
      <x:c r="X173" s="8" t="str">
        <x:v>UF03</x:v>
      </x:c>
      <x:c r="Y173" s="8" t="str"/>
      <x:c r="Z173" s="8" t="str"/>
      <x:c r="AA173" s="8" t="str"/>
      <x:c r="AB173" s="8" t="str"/>
      <x:c r="AC173" s="8" t="str"/>
      <x:c r="AD173" s="10" t="str">
        <x:f>IF(X173="",0,INDEX($AK$6:$AK$172,MATCH(X173,$A$6:$A$172,0)))</x:f>
      </x:c>
      <x:c r="AE173" s="10" t="n">
        <x:f>IF(Y173="",0,INDEX($AK$6:$AK$172,MATCH(Y173,$A$6:$A$172,0)))</x:f>
        <x:v>0</x:v>
      </x:c>
      <x:c r="AF173" s="10" t="n">
        <x:f>IF(Z173="",0,INDEX($AK$6:$AK$172,MATCH(Z173,$A$6:$A$172,0)))</x:f>
        <x:v>0</x:v>
      </x:c>
      <x:c r="AG173" s="10" t="n">
        <x:f>IF(AA173="",0,INDEX($AK$6:$AK$172,MATCH(AA173,$A$6:$A$172,0)))</x:f>
        <x:v>0</x:v>
      </x:c>
      <x:c r="AH173" s="10" t="n">
        <x:f>IF(AB173="",0,INDEX($AK$6:$AK$172,MATCH(AB173,$A$6:$A$172,0)))</x:f>
        <x:v>0</x:v>
      </x:c>
      <x:c r="AI173" s="10" t="n">
        <x:f>IF(AC173="",0,INDEX($AK$6:$AK$172,MATCH(AC173,$A$6:$A$172,0)))</x:f>
        <x:v>0</x:v>
      </x:c>
      <x:c r="AJ173" s="10" t="str">
        <x:f>IF(AM173="완료",IF(J173="",K173,J173),IF(OR(COUNT('프로젝트설정'!$B$7:$B$8)&lt;2,COUNT(AD173:AI173)&lt;6,COUNT(S173:U173)&lt;3),"",IF(AM173="제외",MAX('프로젝트설정'!$B$7,AD173:AI173),IF(E173="진행",J173,MAX('프로젝트설정'!$B$7:$B$8,L173,AD173:AI173)))))</x:f>
      </x:c>
      <x:c r="AK173" s="10" t="str">
        <x:f>IF(AM173="완료",K173,IF(AJ173="","",IF(E173="진행",MAX('프로젝트설정'!$B$8,AJ173,AD173:AI173)+T173,AJ173+T173)))</x:f>
      </x:c>
      <x:c r="AL173" s="7" t="str">
        <x:f>IF(OR(I173="",AK173=""),"",AK173-I173)</x:f>
      </x:c>
      <x:c r="AM173" s="7" t="str">
        <x:f>IF(OR(D173="제외",E173="제외"),"제외",IF(D173&lt;&gt;"적용","적용성 확인",IF(E173="완료",IF(ISNUMBER(K173),"완료","실제완료 입력"),IF(E173="보류","보류 해제 필요",IF(E173="진행",IF(AND(ISNUMBER(J173),COUNT(P173:R173)=3,P173&gt;=0,P173&lt;=Q173,Q173&lt;=R173),"입력 OK","실제착수·잔여기간 확인"),IF(AND(COUNT(M173:O173)=3,M173&gt;=0,M173&lt;=N173,N173&lt;=O173),"입력 OK","전체기간 확인"))))))</x:f>
        <x:v>입력 OK</x:v>
      </x:c>
      <x:c r="AN173" s="7" t="str">
        <x:v>19</x:v>
      </x:c>
    </x:row>
    <x:row r="174" ht="34" customHeight="1">
      <x:c r="A174" s="7" t="str">
        <x:v>UF05</x:v>
      </x:c>
      <x:c r="B174" s="7" t="str">
        <x:v>19 설비기초·전기실</x:v>
      </x:c>
      <x:c r="C174" s="7" t="str">
        <x:v>장비 반입로·기초강도·앵커 최종 확인</x:v>
      </x:c>
      <x:c r="D174" s="7" t="str">
        <x:f>'모듈선택'!B24</x:f>
        <x:v>적용</x:v>
      </x:c>
      <x:c r="E174" s="8" t="str">
        <x:v>계획</x:v>
      </x:c>
      <x:c r="F174" s="8" t="str">
        <x:v>토건 시공사 / 감리</x:v>
      </x:c>
      <x:c r="G174" s="8" t="str">
        <x:v>Civil release, 양중계획</x:v>
      </x:c>
      <x:c r="H174" s="9"/>
      <x:c r="I174" s="9"/>
      <x:c r="J174" s="9"/>
      <x:c r="K174" s="9"/>
      <x:c r="L174" s="9"/>
      <x:c r="M174" s="8" t="n">
        <x:v>2</x:v>
      </x:c>
      <x:c r="N174" s="8" t="n">
        <x:v>3</x:v>
      </x:c>
      <x:c r="O174" s="8" t="n">
        <x:v>6</x:v>
      </x:c>
      <x:c r="P174" s="8"/>
      <x:c r="Q174" s="8"/>
      <x:c r="R174" s="8"/>
      <x:c r="S174" s="7" t="n">
        <x:f>IF(OR(AM174="제외",AM174="완료"),0,IF(AM174&lt;&gt;"입력 OK","",IF(E174="진행",P174,M174)))</x:f>
        <x:v>2</x:v>
      </x:c>
      <x:c r="T174" s="7" t="n">
        <x:f>IF(OR(AM174="제외",AM174="완료"),0,IF(AM174&lt;&gt;"입력 OK","",IF(E174="진행",Q174,N174)))</x:f>
        <x:v>3</x:v>
      </x:c>
      <x:c r="U174" s="7" t="n">
        <x:f>IF(OR(AM174="제외",AM174="완료"),0,IF(AM174&lt;&gt;"입력 OK","",IF(E174="진행",R174,O174)))</x:f>
        <x:v>6</x:v>
      </x:c>
      <x:c r="V174" s="11" t="n">
        <x:f>IF(COUNT(S174:U174)&lt;3,"",(S174+4*T174+U174)/6)</x:f>
        <x:v>3.3333333333333335</x:v>
      </x:c>
      <x:c r="W174" s="11" t="n">
        <x:f>IF(COUNT(S174:U174)&lt;3,"",((U174-S174)/6)^2)</x:f>
        <x:v>0.4444444444444444</x:v>
      </x:c>
      <x:c r="X174" s="8" t="str">
        <x:v>UF04</x:v>
      </x:c>
      <x:c r="Y174" s="8" t="str"/>
      <x:c r="Z174" s="8" t="str"/>
      <x:c r="AA174" s="8" t="str"/>
      <x:c r="AB174" s="8" t="str"/>
      <x:c r="AC174" s="8" t="str"/>
      <x:c r="AD174" s="10" t="str">
        <x:f>IF(X174="",0,INDEX($AK$6:$AK$173,MATCH(X174,$A$6:$A$173,0)))</x:f>
      </x:c>
      <x:c r="AE174" s="10" t="n">
        <x:f>IF(Y174="",0,INDEX($AK$6:$AK$173,MATCH(Y174,$A$6:$A$173,0)))</x:f>
        <x:v>0</x:v>
      </x:c>
      <x:c r="AF174" s="10" t="n">
        <x:f>IF(Z174="",0,INDEX($AK$6:$AK$173,MATCH(Z174,$A$6:$A$173,0)))</x:f>
        <x:v>0</x:v>
      </x:c>
      <x:c r="AG174" s="10" t="n">
        <x:f>IF(AA174="",0,INDEX($AK$6:$AK$173,MATCH(AA174,$A$6:$A$173,0)))</x:f>
        <x:v>0</x:v>
      </x:c>
      <x:c r="AH174" s="10" t="n">
        <x:f>IF(AB174="",0,INDEX($AK$6:$AK$173,MATCH(AB174,$A$6:$A$173,0)))</x:f>
        <x:v>0</x:v>
      </x:c>
      <x:c r="AI174" s="10" t="n">
        <x:f>IF(AC174="",0,INDEX($AK$6:$AK$173,MATCH(AC174,$A$6:$A$173,0)))</x:f>
        <x:v>0</x:v>
      </x:c>
      <x:c r="AJ174" s="10" t="str">
        <x:f>IF(AM174="완료",IF(J174="",K174,J174),IF(OR(COUNT('프로젝트설정'!$B$7:$B$8)&lt;2,COUNT(AD174:AI174)&lt;6,COUNT(S174:U174)&lt;3),"",IF(AM174="제외",MAX('프로젝트설정'!$B$7,AD174:AI174),IF(E174="진행",J174,MAX('프로젝트설정'!$B$7:$B$8,L174,AD174:AI174)))))</x:f>
      </x:c>
      <x:c r="AK174" s="10" t="str">
        <x:f>IF(AM174="완료",K174,IF(AJ174="","",IF(E174="진행",MAX('프로젝트설정'!$B$8,AJ174,AD174:AI174)+T174,AJ174+T174)))</x:f>
      </x:c>
      <x:c r="AL174" s="7" t="str">
        <x:f>IF(OR(I174="",AK174=""),"",AK174-I174)</x:f>
      </x:c>
      <x:c r="AM174" s="7" t="str">
        <x:f>IF(OR(D174="제외",E174="제외"),"제외",IF(D174&lt;&gt;"적용","적용성 확인",IF(E174="완료",IF(ISNUMBER(K174),"완료","실제완료 입력"),IF(E174="보류","보류 해제 필요",IF(E174="진행",IF(AND(ISNUMBER(J174),COUNT(P174:R174)=3,P174&gt;=0,P174&lt;=Q174,Q174&lt;=R174),"입력 OK","실제착수·잔여기간 확인"),IF(AND(COUNT(M174:O174)=3,M174&gt;=0,M174&lt;=N174,N174&lt;=O174),"입력 OK","전체기간 확인"))))))</x:f>
        <x:v>입력 OK</x:v>
      </x:c>
      <x:c r="AN174" s="7" t="str">
        <x:v>19</x:v>
      </x:c>
    </x:row>
    <x:row r="175" ht="34" customHeight="1">
      <x:c r="A175" s="7" t="str">
        <x:v>MS03</x:v>
      </x:c>
      <x:c r="B175" s="7" t="str">
        <x:v>19 설비기초·전기실</x:v>
      </x:c>
      <x:c r="C175" s="7" t="str">
        <x:v>기자재 설치 가능 게이트</x:v>
      </x:c>
      <x:c r="D175" s="7" t="str">
        <x:f>'모듈선택'!B24</x:f>
        <x:v>적용</x:v>
      </x:c>
      <x:c r="E175" s="8" t="str">
        <x:v>계획</x:v>
      </x:c>
      <x:c r="F175" s="8" t="str">
        <x:v>사업주 / PM / 오너 검토 / 담당기관</x:v>
      </x:c>
      <x:c r="G175" s="8" t="str">
        <x:v>승인/접수/검사 증빙 및 미결사항 확인</x:v>
      </x:c>
      <x:c r="H175" s="9"/>
      <x:c r="I175" s="9"/>
      <x:c r="J175" s="9"/>
      <x:c r="K175" s="9"/>
      <x:c r="L175" s="9"/>
      <x:c r="M175" s="8" t="n">
        <x:v>0</x:v>
      </x:c>
      <x:c r="N175" s="8" t="n">
        <x:v>0</x:v>
      </x:c>
      <x:c r="O175" s="8" t="n">
        <x:v>0</x:v>
      </x:c>
      <x:c r="P175" s="8"/>
      <x:c r="Q175" s="8"/>
      <x:c r="R175" s="8"/>
      <x:c r="S175" s="7" t="n">
        <x:f>IF(OR(AM175="제외",AM175="완료"),0,IF(AM175&lt;&gt;"입력 OK","",IF(E175="진행",P175,M175)))</x:f>
        <x:v>0</x:v>
      </x:c>
      <x:c r="T175" s="7" t="n">
        <x:f>IF(OR(AM175="제외",AM175="완료"),0,IF(AM175&lt;&gt;"입력 OK","",IF(E175="진행",Q175,N175)))</x:f>
        <x:v>0</x:v>
      </x:c>
      <x:c r="U175" s="7" t="n">
        <x:f>IF(OR(AM175="제외",AM175="완료"),0,IF(AM175&lt;&gt;"입력 OK","",IF(E175="진행",R175,O175)))</x:f>
        <x:v>0</x:v>
      </x:c>
      <x:c r="V175" s="11" t="n">
        <x:f>IF(COUNT(S175:U175)&lt;3,"",(S175+4*T175+U175)/6)</x:f>
        <x:v>0</x:v>
      </x:c>
      <x:c r="W175" s="11" t="n">
        <x:f>IF(COUNT(S175:U175)&lt;3,"",((U175-S175)/6)^2)</x:f>
        <x:v>0</x:v>
      </x:c>
      <x:c r="X175" s="8" t="str">
        <x:v>BW04</x:v>
      </x:c>
      <x:c r="Y175" s="8" t="str">
        <x:v>UF05</x:v>
      </x:c>
      <x:c r="Z175" s="8" t="str"/>
      <x:c r="AA175" s="8" t="str"/>
      <x:c r="AB175" s="8" t="str"/>
      <x:c r="AC175" s="8" t="str"/>
      <x:c r="AD175" s="10" t="str">
        <x:f>IF(X175="",0,INDEX($AK$6:$AK$174,MATCH(X175,$A$6:$A$174,0)))</x:f>
      </x:c>
      <x:c r="AE175" s="10" t="str">
        <x:f>IF(Y175="",0,INDEX($AK$6:$AK$174,MATCH(Y175,$A$6:$A$174,0)))</x:f>
      </x:c>
      <x:c r="AF175" s="10" t="n">
        <x:f>IF(Z175="",0,INDEX($AK$6:$AK$174,MATCH(Z175,$A$6:$A$174,0)))</x:f>
        <x:v>0</x:v>
      </x:c>
      <x:c r="AG175" s="10" t="n">
        <x:f>IF(AA175="",0,INDEX($AK$6:$AK$174,MATCH(AA175,$A$6:$A$174,0)))</x:f>
        <x:v>0</x:v>
      </x:c>
      <x:c r="AH175" s="10" t="n">
        <x:f>IF(AB175="",0,INDEX($AK$6:$AK$174,MATCH(AB175,$A$6:$A$174,0)))</x:f>
        <x:v>0</x:v>
      </x:c>
      <x:c r="AI175" s="10" t="n">
        <x:f>IF(AC175="",0,INDEX($AK$6:$AK$174,MATCH(AC175,$A$6:$A$174,0)))</x:f>
        <x:v>0</x:v>
      </x:c>
      <x:c r="AJ175" s="10" t="str">
        <x:f>IF(AM175="완료",IF(J175="",K175,J175),IF(OR(COUNT('프로젝트설정'!$B$7:$B$8)&lt;2,COUNT(AD175:AI175)&lt;6,COUNT(S175:U175)&lt;3),"",IF(AM175="제외",MAX('프로젝트설정'!$B$7,AD175:AI175),IF(E175="진행",J175,MAX('프로젝트설정'!$B$7:$B$8,L175,AD175:AI175)))))</x:f>
      </x:c>
      <x:c r="AK175" s="10" t="str">
        <x:f>IF(AM175="완료",K175,IF(AJ175="","",IF(E175="진행",MAX('프로젝트설정'!$B$8,AJ175,AD175:AI175)+T175,AJ175+T175)))</x:f>
      </x:c>
      <x:c r="AL175" s="7" t="str">
        <x:f>IF(OR(I175="",AK175=""),"",AK175-I175)</x:f>
      </x:c>
      <x:c r="AM175" s="7" t="str">
        <x:f>IF(OR(D175="제외",E175="제외"),"제외",IF(D175&lt;&gt;"적용","적용성 확인",IF(E175="완료",IF(ISNUMBER(K175),"완료","실제완료 입력"),IF(E175="보류","보류 해제 필요",IF(E175="진행",IF(AND(ISNUMBER(J175),COUNT(P175:R175)=3,P175&gt;=0,P175&lt;=Q175,Q175&lt;=R175),"입력 OK","실제착수·잔여기간 확인"),IF(AND(COUNT(M175:O175)=3,M175&gt;=0,M175&lt;=N175,N175&lt;=O175),"입력 OK","전체기간 확인"))))))</x:f>
        <x:v>입력 OK</x:v>
      </x:c>
      <x:c r="AN175" s="7" t="str">
        <x:v>19</x:v>
      </x:c>
    </x:row>
    <x:row r="176" ht="34" customHeight="1">
      <x:c r="A176" s="7" t="str">
        <x:v>DR01</x:v>
      </x:c>
      <x:c r="B176" s="7" t="str">
        <x:v>20 부대토목</x:v>
      </x:c>
      <x:c r="C176" s="7" t="str">
        <x:v>우오수 배관·집수정·빗물받이 시공</x:v>
      </x:c>
      <x:c r="D176" s="7" t="str">
        <x:f>'모듈선택'!B25</x:f>
        <x:v>적용</x:v>
      </x:c>
      <x:c r="E176" s="8" t="str">
        <x:v>계획</x:v>
      </x:c>
      <x:c r="F176" s="8" t="str">
        <x:v>토건 시공사 / 감리</x:v>
      </x:c>
      <x:c r="G176" s="8" t="str">
        <x:v>배수검측, 누수/통수확인</x:v>
      </x:c>
      <x:c r="H176" s="9"/>
      <x:c r="I176" s="9"/>
      <x:c r="J176" s="9"/>
      <x:c r="K176" s="9"/>
      <x:c r="L176" s="9"/>
      <x:c r="M176" s="8" t="n">
        <x:v>9</x:v>
      </x:c>
      <x:c r="N176" s="8" t="n">
        <x:v>14</x:v>
      </x:c>
      <x:c r="O176" s="8" t="n">
        <x:v>24</x:v>
      </x:c>
      <x:c r="P176" s="8"/>
      <x:c r="Q176" s="8"/>
      <x:c r="R176" s="8"/>
      <x:c r="S176" s="7" t="n">
        <x:f>IF(OR(AM176="제외",AM176="완료"),0,IF(AM176&lt;&gt;"입력 OK","",IF(E176="진행",P176,M176)))</x:f>
        <x:v>9</x:v>
      </x:c>
      <x:c r="T176" s="7" t="n">
        <x:f>IF(OR(AM176="제외",AM176="완료"),0,IF(AM176&lt;&gt;"입력 OK","",IF(E176="진행",Q176,N176)))</x:f>
        <x:v>14</x:v>
      </x:c>
      <x:c r="U176" s="7" t="n">
        <x:f>IF(OR(AM176="제외",AM176="완료"),0,IF(AM176&lt;&gt;"입력 OK","",IF(E176="진행",R176,O176)))</x:f>
        <x:v>24</x:v>
      </x:c>
      <x:c r="V176" s="11" t="n">
        <x:f>IF(COUNT(S176:U176)&lt;3,"",(S176+4*T176+U176)/6)</x:f>
        <x:v>14.833333333333334</x:v>
      </x:c>
      <x:c r="W176" s="11" t="n">
        <x:f>IF(COUNT(S176:U176)&lt;3,"",((U176-S176)/6)^2)</x:f>
        <x:v>6.25</x:v>
      </x:c>
      <x:c r="X176" s="8" t="str">
        <x:v>CN07</x:v>
      </x:c>
      <x:c r="Y176" s="8" t="str"/>
      <x:c r="Z176" s="8" t="str"/>
      <x:c r="AA176" s="8" t="str"/>
      <x:c r="AB176" s="8" t="str"/>
      <x:c r="AC176" s="8" t="str"/>
      <x:c r="AD176" s="10" t="str">
        <x:f>IF(X176="",0,INDEX($AK$6:$AK$175,MATCH(X176,$A$6:$A$175,0)))</x:f>
      </x:c>
      <x:c r="AE176" s="10" t="n">
        <x:f>IF(Y176="",0,INDEX($AK$6:$AK$175,MATCH(Y176,$A$6:$A$175,0)))</x:f>
        <x:v>0</x:v>
      </x:c>
      <x:c r="AF176" s="10" t="n">
        <x:f>IF(Z176="",0,INDEX($AK$6:$AK$175,MATCH(Z176,$A$6:$A$175,0)))</x:f>
        <x:v>0</x:v>
      </x:c>
      <x:c r="AG176" s="10" t="n">
        <x:f>IF(AA176="",0,INDEX($AK$6:$AK$175,MATCH(AA176,$A$6:$A$175,0)))</x:f>
        <x:v>0</x:v>
      </x:c>
      <x:c r="AH176" s="10" t="n">
        <x:f>IF(AB176="",0,INDEX($AK$6:$AK$175,MATCH(AB176,$A$6:$A$175,0)))</x:f>
        <x:v>0</x:v>
      </x:c>
      <x:c r="AI176" s="10" t="n">
        <x:f>IF(AC176="",0,INDEX($AK$6:$AK$175,MATCH(AC176,$A$6:$A$175,0)))</x:f>
        <x:v>0</x:v>
      </x:c>
      <x:c r="AJ176" s="10" t="str">
        <x:f>IF(AM176="완료",IF(J176="",K176,J176),IF(OR(COUNT('프로젝트설정'!$B$7:$B$8)&lt;2,COUNT(AD176:AI176)&lt;6,COUNT(S176:U176)&lt;3),"",IF(AM176="제외",MAX('프로젝트설정'!$B$7,AD176:AI176),IF(E176="진행",J176,MAX('프로젝트설정'!$B$7:$B$8,L176,AD176:AI176)))))</x:f>
      </x:c>
      <x:c r="AK176" s="10" t="str">
        <x:f>IF(AM176="완료",K176,IF(AJ176="","",IF(E176="진행",MAX('프로젝트설정'!$B$8,AJ176,AD176:AI176)+T176,AJ176+T176)))</x:f>
      </x:c>
      <x:c r="AL176" s="7" t="str">
        <x:f>IF(OR(I176="",AK176=""),"",AK176-I176)</x:f>
      </x:c>
      <x:c r="AM176" s="7" t="str">
        <x:f>IF(OR(D176="제외",E176="제외"),"제외",IF(D176&lt;&gt;"적용","적용성 확인",IF(E176="완료",IF(ISNUMBER(K176),"완료","실제완료 입력"),IF(E176="보류","보류 해제 필요",IF(E176="진행",IF(AND(ISNUMBER(J176),COUNT(P176:R176)=3,P176&gt;=0,P176&lt;=Q176,Q176&lt;=R176),"입력 OK","실제착수·잔여기간 확인"),IF(AND(COUNT(M176:O176)=3,M176&gt;=0,M176&lt;=N176,N176&lt;=O176),"입력 OK","전체기간 확인"))))))</x:f>
        <x:v>입력 OK</x:v>
      </x:c>
      <x:c r="AN176" s="7" t="str">
        <x:v>20</x:v>
      </x:c>
    </x:row>
    <x:row r="177" ht="34" customHeight="1">
      <x:c r="A177" s="7" t="str">
        <x:v>DR02</x:v>
      </x:c>
      <x:c r="B177" s="7" t="str">
        <x:v>20 부대토목</x:v>
      </x:c>
      <x:c r="C177" s="7" t="str">
        <x:v>지하매설물 검사·기록 후 되메우기</x:v>
      </x:c>
      <x:c r="D177" s="7" t="str">
        <x:f>'모듈선택'!B25</x:f>
        <x:v>적용</x:v>
      </x:c>
      <x:c r="E177" s="8" t="str">
        <x:v>계획</x:v>
      </x:c>
      <x:c r="F177" s="8" t="str">
        <x:v>토건 시공사 / 감리</x:v>
      </x:c>
      <x:c r="G177" s="8" t="str">
        <x:v>매설검측, as-built 측량</x:v>
      </x:c>
      <x:c r="H177" s="9"/>
      <x:c r="I177" s="9"/>
      <x:c r="J177" s="9"/>
      <x:c r="K177" s="9"/>
      <x:c r="L177" s="9"/>
      <x:c r="M177" s="8" t="n">
        <x:v>5</x:v>
      </x:c>
      <x:c r="N177" s="8" t="n">
        <x:v>7</x:v>
      </x:c>
      <x:c r="O177" s="8" t="n">
        <x:v>12</x:v>
      </x:c>
      <x:c r="P177" s="8"/>
      <x:c r="Q177" s="8"/>
      <x:c r="R177" s="8"/>
      <x:c r="S177" s="7" t="n">
        <x:f>IF(OR(AM177="제외",AM177="완료"),0,IF(AM177&lt;&gt;"입력 OK","",IF(E177="진행",P177,M177)))</x:f>
        <x:v>5</x:v>
      </x:c>
      <x:c r="T177" s="7" t="n">
        <x:f>IF(OR(AM177="제외",AM177="완료"),0,IF(AM177&lt;&gt;"입력 OK","",IF(E177="진행",Q177,N177)))</x:f>
        <x:v>7</x:v>
      </x:c>
      <x:c r="U177" s="7" t="n">
        <x:f>IF(OR(AM177="제외",AM177="완료"),0,IF(AM177&lt;&gt;"입력 OK","",IF(E177="진행",R177,O177)))</x:f>
        <x:v>12</x:v>
      </x:c>
      <x:c r="V177" s="11" t="n">
        <x:f>IF(COUNT(S177:U177)&lt;3,"",(S177+4*T177+U177)/6)</x:f>
        <x:v>7.5</x:v>
      </x:c>
      <x:c r="W177" s="11" t="n">
        <x:f>IF(COUNT(S177:U177)&lt;3,"",((U177-S177)/6)^2)</x:f>
        <x:v>1.3611111111111114</x:v>
      </x:c>
      <x:c r="X177" s="8" t="str">
        <x:v>DR01</x:v>
      </x:c>
      <x:c r="Y177" s="8" t="str"/>
      <x:c r="Z177" s="8" t="str"/>
      <x:c r="AA177" s="8" t="str"/>
      <x:c r="AB177" s="8" t="str"/>
      <x:c r="AC177" s="8" t="str"/>
      <x:c r="AD177" s="10" t="str">
        <x:f>IF(X177="",0,INDEX($AK$6:$AK$176,MATCH(X177,$A$6:$A$176,0)))</x:f>
      </x:c>
      <x:c r="AE177" s="10" t="n">
        <x:f>IF(Y177="",0,INDEX($AK$6:$AK$176,MATCH(Y177,$A$6:$A$176,0)))</x:f>
        <x:v>0</x:v>
      </x:c>
      <x:c r="AF177" s="10" t="n">
        <x:f>IF(Z177="",0,INDEX($AK$6:$AK$176,MATCH(Z177,$A$6:$A$176,0)))</x:f>
        <x:v>0</x:v>
      </x:c>
      <x:c r="AG177" s="10" t="n">
        <x:f>IF(AA177="",0,INDEX($AK$6:$AK$176,MATCH(AA177,$A$6:$A$176,0)))</x:f>
        <x:v>0</x:v>
      </x:c>
      <x:c r="AH177" s="10" t="n">
        <x:f>IF(AB177="",0,INDEX($AK$6:$AK$176,MATCH(AB177,$A$6:$A$176,0)))</x:f>
        <x:v>0</x:v>
      </x:c>
      <x:c r="AI177" s="10" t="n">
        <x:f>IF(AC177="",0,INDEX($AK$6:$AK$176,MATCH(AC177,$A$6:$A$176,0)))</x:f>
        <x:v>0</x:v>
      </x:c>
      <x:c r="AJ177" s="10" t="str">
        <x:f>IF(AM177="완료",IF(J177="",K177,J177),IF(OR(COUNT('프로젝트설정'!$B$7:$B$8)&lt;2,COUNT(AD177:AI177)&lt;6,COUNT(S177:U177)&lt;3),"",IF(AM177="제외",MAX('프로젝트설정'!$B$7,AD177:AI177),IF(E177="진행",J177,MAX('프로젝트설정'!$B$7:$B$8,L177,AD177:AI177)))))</x:f>
      </x:c>
      <x:c r="AK177" s="10" t="str">
        <x:f>IF(AM177="완료",K177,IF(AJ177="","",IF(E177="진행",MAX('프로젝트설정'!$B$8,AJ177,AD177:AI177)+T177,AJ177+T177)))</x:f>
      </x:c>
      <x:c r="AL177" s="7" t="str">
        <x:f>IF(OR(I177="",AK177=""),"",AK177-I177)</x:f>
      </x:c>
      <x:c r="AM177" s="7" t="str">
        <x:f>IF(OR(D177="제외",E177="제외"),"제외",IF(D177&lt;&gt;"적용","적용성 확인",IF(E177="완료",IF(ISNUMBER(K177),"완료","실제완료 입력"),IF(E177="보류","보류 해제 필요",IF(E177="진행",IF(AND(ISNUMBER(J177),COUNT(P177:R177)=3,P177&gt;=0,P177&lt;=Q177,Q177&lt;=R177),"입력 OK","실제착수·잔여기간 확인"),IF(AND(COUNT(M177:O177)=3,M177&gt;=0,M177&lt;=N177,N177&lt;=O177),"입력 OK","전체기간 확인"))))))</x:f>
        <x:v>입력 OK</x:v>
      </x:c>
      <x:c r="AN177" s="7" t="str">
        <x:v>20</x:v>
      </x:c>
    </x:row>
    <x:row r="178" ht="34" customHeight="1">
      <x:c r="A178" s="7" t="str">
        <x:v>DR03</x:v>
      </x:c>
      <x:c r="B178" s="7" t="str">
        <x:v>20 부대토목</x:v>
      </x:c>
      <x:c r="C178" s="7" t="str">
        <x:v>경계석·보조기층·포장·차선도색</x:v>
      </x:c>
      <x:c r="D178" s="7" t="str">
        <x:f>'모듈선택'!B25</x:f>
        <x:v>적용</x:v>
      </x:c>
      <x:c r="E178" s="8" t="str">
        <x:v>계획</x:v>
      </x:c>
      <x:c r="F178" s="8" t="str">
        <x:v>토건 시공사 / 감리</x:v>
      </x:c>
      <x:c r="G178" s="8" t="str">
        <x:v>다짐/포장검측</x:v>
      </x:c>
      <x:c r="H178" s="9"/>
      <x:c r="I178" s="9"/>
      <x:c r="J178" s="9"/>
      <x:c r="K178" s="9"/>
      <x:c r="L178" s="9"/>
      <x:c r="M178" s="8" t="n">
        <x:v>7</x:v>
      </x:c>
      <x:c r="N178" s="8" t="n">
        <x:v>10</x:v>
      </x:c>
      <x:c r="O178" s="8" t="n">
        <x:v>17</x:v>
      </x:c>
      <x:c r="P178" s="8"/>
      <x:c r="Q178" s="8"/>
      <x:c r="R178" s="8"/>
      <x:c r="S178" s="7" t="n">
        <x:f>IF(OR(AM178="제외",AM178="완료"),0,IF(AM178&lt;&gt;"입력 OK","",IF(E178="진행",P178,M178)))</x:f>
        <x:v>7</x:v>
      </x:c>
      <x:c r="T178" s="7" t="n">
        <x:f>IF(OR(AM178="제외",AM178="완료"),0,IF(AM178&lt;&gt;"입력 OK","",IF(E178="진행",Q178,N178)))</x:f>
        <x:v>10</x:v>
      </x:c>
      <x:c r="U178" s="7" t="n">
        <x:f>IF(OR(AM178="제외",AM178="완료"),0,IF(AM178&lt;&gt;"입력 OK","",IF(E178="진행",R178,O178)))</x:f>
        <x:v>17</x:v>
      </x:c>
      <x:c r="V178" s="11" t="n">
        <x:f>IF(COUNT(S178:U178)&lt;3,"",(S178+4*T178+U178)/6)</x:f>
        <x:v>10.666666666666666</x:v>
      </x:c>
      <x:c r="W178" s="11" t="n">
        <x:f>IF(COUNT(S178:U178)&lt;3,"",((U178-S178)/6)^2)</x:f>
        <x:v>2.777777777777778</x:v>
      </x:c>
      <x:c r="X178" s="8" t="str">
        <x:v>DR02</x:v>
      </x:c>
      <x:c r="Y178" s="8" t="str"/>
      <x:c r="Z178" s="8" t="str"/>
      <x:c r="AA178" s="8" t="str"/>
      <x:c r="AB178" s="8" t="str"/>
      <x:c r="AC178" s="8" t="str"/>
      <x:c r="AD178" s="10" t="str">
        <x:f>IF(X178="",0,INDEX($AK$6:$AK$177,MATCH(X178,$A$6:$A$177,0)))</x:f>
      </x:c>
      <x:c r="AE178" s="10" t="n">
        <x:f>IF(Y178="",0,INDEX($AK$6:$AK$177,MATCH(Y178,$A$6:$A$177,0)))</x:f>
        <x:v>0</x:v>
      </x:c>
      <x:c r="AF178" s="10" t="n">
        <x:f>IF(Z178="",0,INDEX($AK$6:$AK$177,MATCH(Z178,$A$6:$A$177,0)))</x:f>
        <x:v>0</x:v>
      </x:c>
      <x:c r="AG178" s="10" t="n">
        <x:f>IF(AA178="",0,INDEX($AK$6:$AK$177,MATCH(AA178,$A$6:$A$177,0)))</x:f>
        <x:v>0</x:v>
      </x:c>
      <x:c r="AH178" s="10" t="n">
        <x:f>IF(AB178="",0,INDEX($AK$6:$AK$177,MATCH(AB178,$A$6:$A$177,0)))</x:f>
        <x:v>0</x:v>
      </x:c>
      <x:c r="AI178" s="10" t="n">
        <x:f>IF(AC178="",0,INDEX($AK$6:$AK$177,MATCH(AC178,$A$6:$A$177,0)))</x:f>
        <x:v>0</x:v>
      </x:c>
      <x:c r="AJ178" s="10" t="str">
        <x:f>IF(AM178="완료",IF(J178="",K178,J178),IF(OR(COUNT('프로젝트설정'!$B$7:$B$8)&lt;2,COUNT(AD178:AI178)&lt;6,COUNT(S178:U178)&lt;3),"",IF(AM178="제외",MAX('프로젝트설정'!$B$7,AD178:AI178),IF(E178="진행",J178,MAX('프로젝트설정'!$B$7:$B$8,L178,AD178:AI178)))))</x:f>
      </x:c>
      <x:c r="AK178" s="10" t="str">
        <x:f>IF(AM178="완료",K178,IF(AJ178="","",IF(E178="진행",MAX('프로젝트설정'!$B$8,AJ178,AD178:AI178)+T178,AJ178+T178)))</x:f>
      </x:c>
      <x:c r="AL178" s="7" t="str">
        <x:f>IF(OR(I178="",AK178=""),"",AK178-I178)</x:f>
      </x:c>
      <x:c r="AM178" s="7" t="str">
        <x:f>IF(OR(D178="제외",E178="제외"),"제외",IF(D178&lt;&gt;"적용","적용성 확인",IF(E178="완료",IF(ISNUMBER(K178),"완료","실제완료 입력"),IF(E178="보류","보류 해제 필요",IF(E178="진행",IF(AND(ISNUMBER(J178),COUNT(P178:R178)=3,P178&gt;=0,P178&lt;=Q178,Q178&lt;=R178),"입력 OK","실제착수·잔여기간 확인"),IF(AND(COUNT(M178:O178)=3,M178&gt;=0,M178&lt;=N178,N178&lt;=O178),"입력 OK","전체기간 확인"))))))</x:f>
        <x:v>입력 OK</x:v>
      </x:c>
      <x:c r="AN178" s="7" t="str">
        <x:v>20</x:v>
      </x:c>
    </x:row>
    <x:row r="179" ht="34" customHeight="1">
      <x:c r="A179" s="7" t="str">
        <x:v>DR04</x:v>
      </x:c>
      <x:c r="B179" s="7" t="str">
        <x:v>20 부대토목</x:v>
      </x:c>
      <x:c r="C179" s="7" t="str">
        <x:v>휀스·출입통제·표지·현장정리</x:v>
      </x:c>
      <x:c r="D179" s="7" t="str">
        <x:f>'모듈선택'!B25</x:f>
        <x:v>적용</x:v>
      </x:c>
      <x:c r="E179" s="8" t="str">
        <x:v>계획</x:v>
      </x:c>
      <x:c r="F179" s="8" t="str">
        <x:v>토건 시공사 / 감리</x:v>
      </x:c>
      <x:c r="G179" s="8" t="str">
        <x:v>준공검측</x:v>
      </x:c>
      <x:c r="H179" s="9"/>
      <x:c r="I179" s="9"/>
      <x:c r="J179" s="9"/>
      <x:c r="K179" s="9"/>
      <x:c r="L179" s="9"/>
      <x:c r="M179" s="8" t="n">
        <x:v>5</x:v>
      </x:c>
      <x:c r="N179" s="8" t="n">
        <x:v>7</x:v>
      </x:c>
      <x:c r="O179" s="8" t="n">
        <x:v>12</x:v>
      </x:c>
      <x:c r="P179" s="8"/>
      <x:c r="Q179" s="8"/>
      <x:c r="R179" s="8"/>
      <x:c r="S179" s="7" t="n">
        <x:f>IF(OR(AM179="제외",AM179="완료"),0,IF(AM179&lt;&gt;"입력 OK","",IF(E179="진행",P179,M179)))</x:f>
        <x:v>5</x:v>
      </x:c>
      <x:c r="T179" s="7" t="n">
        <x:f>IF(OR(AM179="제외",AM179="완료"),0,IF(AM179&lt;&gt;"입력 OK","",IF(E179="진행",Q179,N179)))</x:f>
        <x:v>7</x:v>
      </x:c>
      <x:c r="U179" s="7" t="n">
        <x:f>IF(OR(AM179="제외",AM179="완료"),0,IF(AM179&lt;&gt;"입력 OK","",IF(E179="진행",R179,O179)))</x:f>
        <x:v>12</x:v>
      </x:c>
      <x:c r="V179" s="11" t="n">
        <x:f>IF(COUNT(S179:U179)&lt;3,"",(S179+4*T179+U179)/6)</x:f>
        <x:v>7.5</x:v>
      </x:c>
      <x:c r="W179" s="11" t="n">
        <x:f>IF(COUNT(S179:U179)&lt;3,"",((U179-S179)/6)^2)</x:f>
        <x:v>1.3611111111111114</x:v>
      </x:c>
      <x:c r="X179" s="8" t="str">
        <x:v>DR03</x:v>
      </x:c>
      <x:c r="Y179" s="8" t="str"/>
      <x:c r="Z179" s="8" t="str"/>
      <x:c r="AA179" s="8" t="str"/>
      <x:c r="AB179" s="8" t="str"/>
      <x:c r="AC179" s="8" t="str"/>
      <x:c r="AD179" s="10" t="str">
        <x:f>IF(X179="",0,INDEX($AK$6:$AK$178,MATCH(X179,$A$6:$A$178,0)))</x:f>
      </x:c>
      <x:c r="AE179" s="10" t="n">
        <x:f>IF(Y179="",0,INDEX($AK$6:$AK$178,MATCH(Y179,$A$6:$A$178,0)))</x:f>
        <x:v>0</x:v>
      </x:c>
      <x:c r="AF179" s="10" t="n">
        <x:f>IF(Z179="",0,INDEX($AK$6:$AK$178,MATCH(Z179,$A$6:$A$178,0)))</x:f>
        <x:v>0</x:v>
      </x:c>
      <x:c r="AG179" s="10" t="n">
        <x:f>IF(AA179="",0,INDEX($AK$6:$AK$178,MATCH(AA179,$A$6:$A$178,0)))</x:f>
        <x:v>0</x:v>
      </x:c>
      <x:c r="AH179" s="10" t="n">
        <x:f>IF(AB179="",0,INDEX($AK$6:$AK$178,MATCH(AB179,$A$6:$A$178,0)))</x:f>
        <x:v>0</x:v>
      </x:c>
      <x:c r="AI179" s="10" t="n">
        <x:f>IF(AC179="",0,INDEX($AK$6:$AK$178,MATCH(AC179,$A$6:$A$178,0)))</x:f>
        <x:v>0</x:v>
      </x:c>
      <x:c r="AJ179" s="10" t="str">
        <x:f>IF(AM179="완료",IF(J179="",K179,J179),IF(OR(COUNT('프로젝트설정'!$B$7:$B$8)&lt;2,COUNT(AD179:AI179)&lt;6,COUNT(S179:U179)&lt;3),"",IF(AM179="제외",MAX('프로젝트설정'!$B$7,AD179:AI179),IF(E179="진행",J179,MAX('프로젝트설정'!$B$7:$B$8,L179,AD179:AI179)))))</x:f>
      </x:c>
      <x:c r="AK179" s="10" t="str">
        <x:f>IF(AM179="완료",K179,IF(AJ179="","",IF(E179="진행",MAX('프로젝트설정'!$B$8,AJ179,AD179:AI179)+T179,AJ179+T179)))</x:f>
      </x:c>
      <x:c r="AL179" s="7" t="str">
        <x:f>IF(OR(I179="",AK179=""),"",AK179-I179)</x:f>
      </x:c>
      <x:c r="AM179" s="7" t="str">
        <x:f>IF(OR(D179="제외",E179="제외"),"제외",IF(D179&lt;&gt;"적용","적용성 확인",IF(E179="완료",IF(ISNUMBER(K179),"완료","실제완료 입력"),IF(E179="보류","보류 해제 필요",IF(E179="진행",IF(AND(ISNUMBER(J179),COUNT(P179:R179)=3,P179&gt;=0,P179&lt;=Q179,Q179&lt;=R179),"입력 OK","실제착수·잔여기간 확인"),IF(AND(COUNT(M179:O179)=3,M179&gt;=0,M179&lt;=N179,N179&lt;=O179),"입력 OK","전체기간 확인"))))))</x:f>
        <x:v>입력 OK</x:v>
      </x:c>
      <x:c r="AN179" s="7" t="str">
        <x:v>20</x:v>
      </x:c>
    </x:row>
    <x:row r="180" ht="34" customHeight="1">
      <x:c r="A180" s="7" t="str">
        <x:v>INPR01</x:v>
      </x:c>
      <x:c r="B180" s="7" t="str">
        <x:v>21 설비 설치</x:v>
      </x:c>
      <x:c r="C180" s="7" t="str">
        <x:v>주공정 패키지 A 반입·양중·고정·정렬</x:v>
      </x:c>
      <x:c r="D180" s="7" t="str">
        <x:f>'모듈선택'!B26</x:f>
        <x:v>적용</x:v>
      </x:c>
      <x:c r="E180" s="8" t="str">
        <x:v>계획</x:v>
      </x:c>
      <x:c r="F180" s="8" t="str">
        <x:v>주설비 공급사 / 벤더 / 시공사</x:v>
      </x:c>
      <x:c r="G180" s="8" t="str">
        <x:v>반입검수, alignment/anchor 기록</x:v>
      </x:c>
      <x:c r="H180" s="9"/>
      <x:c r="I180" s="9"/>
      <x:c r="J180" s="9"/>
      <x:c r="K180" s="9"/>
      <x:c r="L180" s="9"/>
      <x:c r="M180" s="8" t="n">
        <x:v>5</x:v>
      </x:c>
      <x:c r="N180" s="8" t="n">
        <x:v>7</x:v>
      </x:c>
      <x:c r="O180" s="8" t="n">
        <x:v>12</x:v>
      </x:c>
      <x:c r="P180" s="8"/>
      <x:c r="Q180" s="8"/>
      <x:c r="R180" s="8"/>
      <x:c r="S180" s="7" t="n">
        <x:f>IF(OR(AM180="제외",AM180="완료"),0,IF(AM180&lt;&gt;"입력 OK","",IF(E180="진행",P180,M180)))</x:f>
        <x:v>5</x:v>
      </x:c>
      <x:c r="T180" s="7" t="n">
        <x:f>IF(OR(AM180="제외",AM180="완료"),0,IF(AM180&lt;&gt;"입력 OK","",IF(E180="진행",Q180,N180)))</x:f>
        <x:v>7</x:v>
      </x:c>
      <x:c r="U180" s="7" t="n">
        <x:f>IF(OR(AM180="제외",AM180="완료"),0,IF(AM180&lt;&gt;"입력 OK","",IF(E180="진행",R180,O180)))</x:f>
        <x:v>12</x:v>
      </x:c>
      <x:c r="V180" s="11" t="n">
        <x:f>IF(COUNT(S180:U180)&lt;3,"",(S180+4*T180+U180)/6)</x:f>
        <x:v>7.5</x:v>
      </x:c>
      <x:c r="W180" s="11" t="n">
        <x:f>IF(COUNT(S180:U180)&lt;3,"",((U180-S180)/6)^2)</x:f>
        <x:v>1.3611111111111114</x:v>
      </x:c>
      <x:c r="X180" s="8" t="str">
        <x:v>MS03</x:v>
      </x:c>
      <x:c r="Y180" s="8" t="str">
        <x:v>PR07</x:v>
      </x:c>
      <x:c r="Z180" s="8" t="str"/>
      <x:c r="AA180" s="8" t="str"/>
      <x:c r="AB180" s="8" t="str"/>
      <x:c r="AC180" s="8" t="str"/>
      <x:c r="AD180" s="10" t="str">
        <x:f>IF(X180="",0,INDEX($AK$6:$AK$179,MATCH(X180,$A$6:$A$179,0)))</x:f>
      </x:c>
      <x:c r="AE180" s="10" t="str">
        <x:f>IF(Y180="",0,INDEX($AK$6:$AK$179,MATCH(Y180,$A$6:$A$179,0)))</x:f>
      </x:c>
      <x:c r="AF180" s="10" t="n">
        <x:f>IF(Z180="",0,INDEX($AK$6:$AK$179,MATCH(Z180,$A$6:$A$179,0)))</x:f>
        <x:v>0</x:v>
      </x:c>
      <x:c r="AG180" s="10" t="n">
        <x:f>IF(AA180="",0,INDEX($AK$6:$AK$179,MATCH(AA180,$A$6:$A$179,0)))</x:f>
        <x:v>0</x:v>
      </x:c>
      <x:c r="AH180" s="10" t="n">
        <x:f>IF(AB180="",0,INDEX($AK$6:$AK$179,MATCH(AB180,$A$6:$A$179,0)))</x:f>
        <x:v>0</x:v>
      </x:c>
      <x:c r="AI180" s="10" t="n">
        <x:f>IF(AC180="",0,INDEX($AK$6:$AK$179,MATCH(AC180,$A$6:$A$179,0)))</x:f>
        <x:v>0</x:v>
      </x:c>
      <x:c r="AJ180" s="10" t="str">
        <x:f>IF(AM180="완료",IF(J180="",K180,J180),IF(OR(COUNT('프로젝트설정'!$B$7:$B$8)&lt;2,COUNT(AD180:AI180)&lt;6,COUNT(S180:U180)&lt;3),"",IF(AM180="제외",MAX('프로젝트설정'!$B$7,AD180:AI180),IF(E180="진행",J180,MAX('프로젝트설정'!$B$7:$B$8,L180,AD180:AI180)))))</x:f>
      </x:c>
      <x:c r="AK180" s="10" t="str">
        <x:f>IF(AM180="완료",K180,IF(AJ180="","",IF(E180="진행",MAX('프로젝트설정'!$B$8,AJ180,AD180:AI180)+T180,AJ180+T180)))</x:f>
      </x:c>
      <x:c r="AL180" s="7" t="str">
        <x:f>IF(OR(I180="",AK180=""),"",AK180-I180)</x:f>
      </x:c>
      <x:c r="AM180" s="7" t="str">
        <x:f>IF(OR(D180="제외",E180="제외"),"제외",IF(D180&lt;&gt;"적용","적용성 확인",IF(E180="완료",IF(ISNUMBER(K180),"완료","실제완료 입력"),IF(E180="보류","보류 해제 필요",IF(E180="진행",IF(AND(ISNUMBER(J180),COUNT(P180:R180)=3,P180&gt;=0,P180&lt;=Q180,Q180&lt;=R180),"입력 OK","실제착수·잔여기간 확인"),IF(AND(COUNT(M180:O180)=3,M180&gt;=0,M180&lt;=N180,N180&lt;=O180),"입력 OK","전체기간 확인"))))))</x:f>
        <x:v>입력 OK</x:v>
      </x:c>
      <x:c r="AN180" s="7" t="str">
        <x:v>21</x:v>
      </x:c>
    </x:row>
    <x:row r="181" ht="34" customHeight="1">
      <x:c r="A181" s="7" t="str">
        <x:v>INPR02</x:v>
      </x:c>
      <x:c r="B181" s="7" t="str">
        <x:v>21 설비 설치</x:v>
      </x:c>
      <x:c r="C181" s="7" t="str">
        <x:v>주공정 패키지 A 설치검수·현장 SAT 준비</x:v>
      </x:c>
      <x:c r="D181" s="7" t="str">
        <x:f>'모듈선택'!B26</x:f>
        <x:v>적용</x:v>
      </x:c>
      <x:c r="E181" s="8" t="str">
        <x:v>계획</x:v>
      </x:c>
      <x:c r="F181" s="8" t="str">
        <x:v>주설비 공급사 / 벤더 / 시공사</x:v>
      </x:c>
      <x:c r="G181" s="8" t="str">
        <x:v>설치 체크리스트, SAT 계획</x:v>
      </x:c>
      <x:c r="H181" s="9"/>
      <x:c r="I181" s="9"/>
      <x:c r="J181" s="9"/>
      <x:c r="K181" s="9"/>
      <x:c r="L181" s="9"/>
      <x:c r="M181" s="8" t="n">
        <x:v>3</x:v>
      </x:c>
      <x:c r="N181" s="8" t="n">
        <x:v>4</x:v>
      </x:c>
      <x:c r="O181" s="8" t="n">
        <x:v>7</x:v>
      </x:c>
      <x:c r="P181" s="8"/>
      <x:c r="Q181" s="8"/>
      <x:c r="R181" s="8"/>
      <x:c r="S181" s="7" t="n">
        <x:f>IF(OR(AM181="제외",AM181="완료"),0,IF(AM181&lt;&gt;"입력 OK","",IF(E181="진행",P181,M181)))</x:f>
        <x:v>3</x:v>
      </x:c>
      <x:c r="T181" s="7" t="n">
        <x:f>IF(OR(AM181="제외",AM181="완료"),0,IF(AM181&lt;&gt;"입력 OK","",IF(E181="진행",Q181,N181)))</x:f>
        <x:v>4</x:v>
      </x:c>
      <x:c r="U181" s="7" t="n">
        <x:f>IF(OR(AM181="제외",AM181="완료"),0,IF(AM181&lt;&gt;"입력 OK","",IF(E181="진행",R181,O181)))</x:f>
        <x:v>7</x:v>
      </x:c>
      <x:c r="V181" s="11" t="n">
        <x:f>IF(COUNT(S181:U181)&lt;3,"",(S181+4*T181+U181)/6)</x:f>
        <x:v>4.333333333333333</x:v>
      </x:c>
      <x:c r="W181" s="11" t="n">
        <x:f>IF(COUNT(S181:U181)&lt;3,"",((U181-S181)/6)^2)</x:f>
        <x:v>0.4444444444444444</x:v>
      </x:c>
      <x:c r="X181" s="8" t="str">
        <x:v>INPR01</x:v>
      </x:c>
      <x:c r="Y181" s="8" t="str"/>
      <x:c r="Z181" s="8" t="str"/>
      <x:c r="AA181" s="8" t="str"/>
      <x:c r="AB181" s="8" t="str"/>
      <x:c r="AC181" s="8" t="str"/>
      <x:c r="AD181" s="10" t="str">
        <x:f>IF(X181="",0,INDEX($AK$6:$AK$180,MATCH(X181,$A$6:$A$180,0)))</x:f>
      </x:c>
      <x:c r="AE181" s="10" t="n">
        <x:f>IF(Y181="",0,INDEX($AK$6:$AK$180,MATCH(Y181,$A$6:$A$180,0)))</x:f>
        <x:v>0</x:v>
      </x:c>
      <x:c r="AF181" s="10" t="n">
        <x:f>IF(Z181="",0,INDEX($AK$6:$AK$180,MATCH(Z181,$A$6:$A$180,0)))</x:f>
        <x:v>0</x:v>
      </x:c>
      <x:c r="AG181" s="10" t="n">
        <x:f>IF(AA181="",0,INDEX($AK$6:$AK$180,MATCH(AA181,$A$6:$A$180,0)))</x:f>
        <x:v>0</x:v>
      </x:c>
      <x:c r="AH181" s="10" t="n">
        <x:f>IF(AB181="",0,INDEX($AK$6:$AK$180,MATCH(AB181,$A$6:$A$180,0)))</x:f>
        <x:v>0</x:v>
      </x:c>
      <x:c r="AI181" s="10" t="n">
        <x:f>IF(AC181="",0,INDEX($AK$6:$AK$180,MATCH(AC181,$A$6:$A$180,0)))</x:f>
        <x:v>0</x:v>
      </x:c>
      <x:c r="AJ181" s="10" t="str">
        <x:f>IF(AM181="완료",IF(J181="",K181,J181),IF(OR(COUNT('프로젝트설정'!$B$7:$B$8)&lt;2,COUNT(AD181:AI181)&lt;6,COUNT(S181:U181)&lt;3),"",IF(AM181="제외",MAX('프로젝트설정'!$B$7,AD181:AI181),IF(E181="진행",J181,MAX('프로젝트설정'!$B$7:$B$8,L181,AD181:AI181)))))</x:f>
      </x:c>
      <x:c r="AK181" s="10" t="str">
        <x:f>IF(AM181="완료",K181,IF(AJ181="","",IF(E181="진행",MAX('프로젝트설정'!$B$8,AJ181,AD181:AI181)+T181,AJ181+T181)))</x:f>
      </x:c>
      <x:c r="AL181" s="7" t="str">
        <x:f>IF(OR(I181="",AK181=""),"",AK181-I181)</x:f>
      </x:c>
      <x:c r="AM181" s="7" t="str">
        <x:f>IF(OR(D181="제외",E181="제외"),"제외",IF(D181&lt;&gt;"적용","적용성 확인",IF(E181="완료",IF(ISNUMBER(K181),"완료","실제완료 입력"),IF(E181="보류","보류 해제 필요",IF(E181="진행",IF(AND(ISNUMBER(J181),COUNT(P181:R181)=3,P181&gt;=0,P181&lt;=Q181,Q181&lt;=R181),"입력 OK","실제착수·잔여기간 확인"),IF(AND(COUNT(M181:O181)=3,M181&gt;=0,M181&lt;=N181,N181&lt;=O181),"입력 OK","전체기간 확인"))))))</x:f>
        <x:v>입력 OK</x:v>
      </x:c>
      <x:c r="AN181" s="7" t="str">
        <x:v>21</x:v>
      </x:c>
    </x:row>
    <x:row r="182" ht="34" customHeight="1">
      <x:c r="A182" s="7" t="str">
        <x:v>INBG01</x:v>
      </x:c>
      <x:c r="B182" s="7" t="str">
        <x:v>21 설비 설치</x:v>
      </x:c>
      <x:c r="C182" s="7" t="str">
        <x:v>전처리 패키지 B 반입·양중·고정·정렬</x:v>
      </x:c>
      <x:c r="D182" s="7" t="str">
        <x:f>'모듈선택'!B26</x:f>
        <x:v>적용</x:v>
      </x:c>
      <x:c r="E182" s="8" t="str">
        <x:v>계획</x:v>
      </x:c>
      <x:c r="F182" s="8" t="str">
        <x:v>주설비 공급사 / 벤더 / 시공사</x:v>
      </x:c>
      <x:c r="G182" s="8" t="str">
        <x:v>반입검수, alignment/anchor 기록</x:v>
      </x:c>
      <x:c r="H182" s="9"/>
      <x:c r="I182" s="9"/>
      <x:c r="J182" s="9"/>
      <x:c r="K182" s="9"/>
      <x:c r="L182" s="9"/>
      <x:c r="M182" s="8" t="n">
        <x:v>5</x:v>
      </x:c>
      <x:c r="N182" s="8" t="n">
        <x:v>7</x:v>
      </x:c>
      <x:c r="O182" s="8" t="n">
        <x:v>12</x:v>
      </x:c>
      <x:c r="P182" s="8"/>
      <x:c r="Q182" s="8"/>
      <x:c r="R182" s="8"/>
      <x:c r="S182" s="7" t="n">
        <x:f>IF(OR(AM182="제외",AM182="완료"),0,IF(AM182&lt;&gt;"입력 OK","",IF(E182="진행",P182,M182)))</x:f>
        <x:v>5</x:v>
      </x:c>
      <x:c r="T182" s="7" t="n">
        <x:f>IF(OR(AM182="제외",AM182="완료"),0,IF(AM182&lt;&gt;"입력 OK","",IF(E182="진행",Q182,N182)))</x:f>
        <x:v>7</x:v>
      </x:c>
      <x:c r="U182" s="7" t="n">
        <x:f>IF(OR(AM182="제외",AM182="완료"),0,IF(AM182&lt;&gt;"입력 OK","",IF(E182="진행",R182,O182)))</x:f>
        <x:v>12</x:v>
      </x:c>
      <x:c r="V182" s="11" t="n">
        <x:f>IF(COUNT(S182:U182)&lt;3,"",(S182+4*T182+U182)/6)</x:f>
        <x:v>7.5</x:v>
      </x:c>
      <x:c r="W182" s="11" t="n">
        <x:f>IF(COUNT(S182:U182)&lt;3,"",((U182-S182)/6)^2)</x:f>
        <x:v>1.3611111111111114</x:v>
      </x:c>
      <x:c r="X182" s="8" t="str">
        <x:v>MS03</x:v>
      </x:c>
      <x:c r="Y182" s="8" t="str">
        <x:v>BG07</x:v>
      </x:c>
      <x:c r="Z182" s="8" t="str"/>
      <x:c r="AA182" s="8" t="str"/>
      <x:c r="AB182" s="8" t="str"/>
      <x:c r="AC182" s="8" t="str"/>
      <x:c r="AD182" s="10" t="str">
        <x:f>IF(X182="",0,INDEX($AK$6:$AK$181,MATCH(X182,$A$6:$A$181,0)))</x:f>
      </x:c>
      <x:c r="AE182" s="10" t="str">
        <x:f>IF(Y182="",0,INDEX($AK$6:$AK$181,MATCH(Y182,$A$6:$A$181,0)))</x:f>
      </x:c>
      <x:c r="AF182" s="10" t="n">
        <x:f>IF(Z182="",0,INDEX($AK$6:$AK$181,MATCH(Z182,$A$6:$A$181,0)))</x:f>
        <x:v>0</x:v>
      </x:c>
      <x:c r="AG182" s="10" t="n">
        <x:f>IF(AA182="",0,INDEX($AK$6:$AK$181,MATCH(AA182,$A$6:$A$181,0)))</x:f>
        <x:v>0</x:v>
      </x:c>
      <x:c r="AH182" s="10" t="n">
        <x:f>IF(AB182="",0,INDEX($AK$6:$AK$181,MATCH(AB182,$A$6:$A$181,0)))</x:f>
        <x:v>0</x:v>
      </x:c>
      <x:c r="AI182" s="10" t="n">
        <x:f>IF(AC182="",0,INDEX($AK$6:$AK$181,MATCH(AC182,$A$6:$A$181,0)))</x:f>
        <x:v>0</x:v>
      </x:c>
      <x:c r="AJ182" s="10" t="str">
        <x:f>IF(AM182="완료",IF(J182="",K182,J182),IF(OR(COUNT('프로젝트설정'!$B$7:$B$8)&lt;2,COUNT(AD182:AI182)&lt;6,COUNT(S182:U182)&lt;3),"",IF(AM182="제외",MAX('프로젝트설정'!$B$7,AD182:AI182),IF(E182="진행",J182,MAX('프로젝트설정'!$B$7:$B$8,L182,AD182:AI182)))))</x:f>
      </x:c>
      <x:c r="AK182" s="10" t="str">
        <x:f>IF(AM182="완료",K182,IF(AJ182="","",IF(E182="진행",MAX('프로젝트설정'!$B$8,AJ182,AD182:AI182)+T182,AJ182+T182)))</x:f>
      </x:c>
      <x:c r="AL182" s="7" t="str">
        <x:f>IF(OR(I182="",AK182=""),"",AK182-I182)</x:f>
      </x:c>
      <x:c r="AM182" s="7" t="str">
        <x:f>IF(OR(D182="제외",E182="제외"),"제외",IF(D182&lt;&gt;"적용","적용성 확인",IF(E182="완료",IF(ISNUMBER(K182),"완료","실제완료 입력"),IF(E182="보류","보류 해제 필요",IF(E182="진행",IF(AND(ISNUMBER(J182),COUNT(P182:R182)=3,P182&gt;=0,P182&lt;=Q182,Q182&lt;=R182),"입력 OK","실제착수·잔여기간 확인"),IF(AND(COUNT(M182:O182)=3,M182&gt;=0,M182&lt;=N182,N182&lt;=O182),"입력 OK","전체기간 확인"))))))</x:f>
        <x:v>입력 OK</x:v>
      </x:c>
      <x:c r="AN182" s="7" t="str">
        <x:v>21</x:v>
      </x:c>
    </x:row>
    <x:row r="183" ht="34" customHeight="1">
      <x:c r="A183" s="7" t="str">
        <x:v>INBG02</x:v>
      </x:c>
      <x:c r="B183" s="7" t="str">
        <x:v>21 설비 설치</x:v>
      </x:c>
      <x:c r="C183" s="7" t="str">
        <x:v>전처리 패키지 B 설치검수·현장 SAT 준비</x:v>
      </x:c>
      <x:c r="D183" s="7" t="str">
        <x:f>'모듈선택'!B26</x:f>
        <x:v>적용</x:v>
      </x:c>
      <x:c r="E183" s="8" t="str">
        <x:v>계획</x:v>
      </x:c>
      <x:c r="F183" s="8" t="str">
        <x:v>주설비 공급사 / 벤더 / 시공사</x:v>
      </x:c>
      <x:c r="G183" s="8" t="str">
        <x:v>설치 체크리스트, SAT 계획</x:v>
      </x:c>
      <x:c r="H183" s="9"/>
      <x:c r="I183" s="9"/>
      <x:c r="J183" s="9"/>
      <x:c r="K183" s="9"/>
      <x:c r="L183" s="9"/>
      <x:c r="M183" s="8" t="n">
        <x:v>3</x:v>
      </x:c>
      <x:c r="N183" s="8" t="n">
        <x:v>4</x:v>
      </x:c>
      <x:c r="O183" s="8" t="n">
        <x:v>7</x:v>
      </x:c>
      <x:c r="P183" s="8"/>
      <x:c r="Q183" s="8"/>
      <x:c r="R183" s="8"/>
      <x:c r="S183" s="7" t="n">
        <x:f>IF(OR(AM183="제외",AM183="완료"),0,IF(AM183&lt;&gt;"입력 OK","",IF(E183="진행",P183,M183)))</x:f>
        <x:v>3</x:v>
      </x:c>
      <x:c r="T183" s="7" t="n">
        <x:f>IF(OR(AM183="제외",AM183="완료"),0,IF(AM183&lt;&gt;"입력 OK","",IF(E183="진행",Q183,N183)))</x:f>
        <x:v>4</x:v>
      </x:c>
      <x:c r="U183" s="7" t="n">
        <x:f>IF(OR(AM183="제외",AM183="완료"),0,IF(AM183&lt;&gt;"입력 OK","",IF(E183="진행",R183,O183)))</x:f>
        <x:v>7</x:v>
      </x:c>
      <x:c r="V183" s="11" t="n">
        <x:f>IF(COUNT(S183:U183)&lt;3,"",(S183+4*T183+U183)/6)</x:f>
        <x:v>4.333333333333333</x:v>
      </x:c>
      <x:c r="W183" s="11" t="n">
        <x:f>IF(COUNT(S183:U183)&lt;3,"",((U183-S183)/6)^2)</x:f>
        <x:v>0.4444444444444444</x:v>
      </x:c>
      <x:c r="X183" s="8" t="str">
        <x:v>INBG01</x:v>
      </x:c>
      <x:c r="Y183" s="8" t="str"/>
      <x:c r="Z183" s="8" t="str"/>
      <x:c r="AA183" s="8" t="str"/>
      <x:c r="AB183" s="8" t="str"/>
      <x:c r="AC183" s="8" t="str"/>
      <x:c r="AD183" s="10" t="str">
        <x:f>IF(X183="",0,INDEX($AK$6:$AK$182,MATCH(X183,$A$6:$A$182,0)))</x:f>
      </x:c>
      <x:c r="AE183" s="10" t="n">
        <x:f>IF(Y183="",0,INDEX($AK$6:$AK$182,MATCH(Y183,$A$6:$A$182,0)))</x:f>
        <x:v>0</x:v>
      </x:c>
      <x:c r="AF183" s="10" t="n">
        <x:f>IF(Z183="",0,INDEX($AK$6:$AK$182,MATCH(Z183,$A$6:$A$182,0)))</x:f>
        <x:v>0</x:v>
      </x:c>
      <x:c r="AG183" s="10" t="n">
        <x:f>IF(AA183="",0,INDEX($AK$6:$AK$182,MATCH(AA183,$A$6:$A$182,0)))</x:f>
        <x:v>0</x:v>
      </x:c>
      <x:c r="AH183" s="10" t="n">
        <x:f>IF(AB183="",0,INDEX($AK$6:$AK$182,MATCH(AB183,$A$6:$A$182,0)))</x:f>
        <x:v>0</x:v>
      </x:c>
      <x:c r="AI183" s="10" t="n">
        <x:f>IF(AC183="",0,INDEX($AK$6:$AK$182,MATCH(AC183,$A$6:$A$182,0)))</x:f>
        <x:v>0</x:v>
      </x:c>
      <x:c r="AJ183" s="10" t="str">
        <x:f>IF(AM183="완료",IF(J183="",K183,J183),IF(OR(COUNT('프로젝트설정'!$B$7:$B$8)&lt;2,COUNT(AD183:AI183)&lt;6,COUNT(S183:U183)&lt;3),"",IF(AM183="제외",MAX('프로젝트설정'!$B$7,AD183:AI183),IF(E183="진행",J183,MAX('프로젝트설정'!$B$7:$B$8,L183,AD183:AI183)))))</x:f>
      </x:c>
      <x:c r="AK183" s="10" t="str">
        <x:f>IF(AM183="완료",K183,IF(AJ183="","",IF(E183="진행",MAX('프로젝트설정'!$B$8,AJ183,AD183:AI183)+T183,AJ183+T183)))</x:f>
      </x:c>
      <x:c r="AL183" s="7" t="str">
        <x:f>IF(OR(I183="",AK183=""),"",AK183-I183)</x:f>
      </x:c>
      <x:c r="AM183" s="7" t="str">
        <x:f>IF(OR(D183="제외",E183="제외"),"제외",IF(D183&lt;&gt;"적용","적용성 확인",IF(E183="완료",IF(ISNUMBER(K183),"완료","실제완료 입력"),IF(E183="보류","보류 해제 필요",IF(E183="진행",IF(AND(ISNUMBER(J183),COUNT(P183:R183)=3,P183&gt;=0,P183&lt;=Q183,Q183&lt;=R183),"입력 OK","실제착수·잔여기간 확인"),IF(AND(COUNT(M183:O183)=3,M183&gt;=0,M183&lt;=N183,N183&lt;=O183),"입력 OK","전체기간 확인"))))))</x:f>
        <x:v>입력 OK</x:v>
      </x:c>
      <x:c r="AN183" s="7" t="str">
        <x:v>21</x:v>
      </x:c>
    </x:row>
    <x:row r="184" ht="34" customHeight="1">
      <x:c r="A184" s="7" t="str">
        <x:v>INCP01</x:v>
      </x:c>
      <x:c r="B184" s="7" t="str">
        <x:v>21 설비 설치</x:v>
      </x:c>
      <x:c r="C184" s="7" t="str">
        <x:v>압축기 반입·양중·고정·정렬</x:v>
      </x:c>
      <x:c r="D184" s="7" t="str">
        <x:f>'모듈선택'!B26</x:f>
        <x:v>적용</x:v>
      </x:c>
      <x:c r="E184" s="8" t="str">
        <x:v>계획</x:v>
      </x:c>
      <x:c r="F184" s="8" t="str">
        <x:v>주설비 공급사 / 벤더 / 시공사</x:v>
      </x:c>
      <x:c r="G184" s="8" t="str">
        <x:v>반입검수, alignment/anchor 기록</x:v>
      </x:c>
      <x:c r="H184" s="9"/>
      <x:c r="I184" s="9"/>
      <x:c r="J184" s="9"/>
      <x:c r="K184" s="9"/>
      <x:c r="L184" s="9"/>
      <x:c r="M184" s="8" t="n">
        <x:v>5</x:v>
      </x:c>
      <x:c r="N184" s="8" t="n">
        <x:v>7</x:v>
      </x:c>
      <x:c r="O184" s="8" t="n">
        <x:v>12</x:v>
      </x:c>
      <x:c r="P184" s="8"/>
      <x:c r="Q184" s="8"/>
      <x:c r="R184" s="8"/>
      <x:c r="S184" s="7" t="n">
        <x:f>IF(OR(AM184="제외",AM184="완료"),0,IF(AM184&lt;&gt;"입력 OK","",IF(E184="진행",P184,M184)))</x:f>
        <x:v>5</x:v>
      </x:c>
      <x:c r="T184" s="7" t="n">
        <x:f>IF(OR(AM184="제외",AM184="완료"),0,IF(AM184&lt;&gt;"입력 OK","",IF(E184="진행",Q184,N184)))</x:f>
        <x:v>7</x:v>
      </x:c>
      <x:c r="U184" s="7" t="n">
        <x:f>IF(OR(AM184="제외",AM184="완료"),0,IF(AM184&lt;&gt;"입력 OK","",IF(E184="진행",R184,O184)))</x:f>
        <x:v>12</x:v>
      </x:c>
      <x:c r="V184" s="11" t="n">
        <x:f>IF(COUNT(S184:U184)&lt;3,"",(S184+4*T184+U184)/6)</x:f>
        <x:v>7.5</x:v>
      </x:c>
      <x:c r="W184" s="11" t="n">
        <x:f>IF(COUNT(S184:U184)&lt;3,"",((U184-S184)/6)^2)</x:f>
        <x:v>1.3611111111111114</x:v>
      </x:c>
      <x:c r="X184" s="8" t="str">
        <x:v>MS03</x:v>
      </x:c>
      <x:c r="Y184" s="8" t="str">
        <x:v>CP07</x:v>
      </x:c>
      <x:c r="Z184" s="8" t="str"/>
      <x:c r="AA184" s="8" t="str"/>
      <x:c r="AB184" s="8" t="str"/>
      <x:c r="AC184" s="8" t="str"/>
      <x:c r="AD184" s="10" t="str">
        <x:f>IF(X184="",0,INDEX($AK$6:$AK$183,MATCH(X184,$A$6:$A$183,0)))</x:f>
      </x:c>
      <x:c r="AE184" s="10" t="str">
        <x:f>IF(Y184="",0,INDEX($AK$6:$AK$183,MATCH(Y184,$A$6:$A$183,0)))</x:f>
      </x:c>
      <x:c r="AF184" s="10" t="n">
        <x:f>IF(Z184="",0,INDEX($AK$6:$AK$183,MATCH(Z184,$A$6:$A$183,0)))</x:f>
        <x:v>0</x:v>
      </x:c>
      <x:c r="AG184" s="10" t="n">
        <x:f>IF(AA184="",0,INDEX($AK$6:$AK$183,MATCH(AA184,$A$6:$A$183,0)))</x:f>
        <x:v>0</x:v>
      </x:c>
      <x:c r="AH184" s="10" t="n">
        <x:f>IF(AB184="",0,INDEX($AK$6:$AK$183,MATCH(AB184,$A$6:$A$183,0)))</x:f>
        <x:v>0</x:v>
      </x:c>
      <x:c r="AI184" s="10" t="n">
        <x:f>IF(AC184="",0,INDEX($AK$6:$AK$183,MATCH(AC184,$A$6:$A$183,0)))</x:f>
        <x:v>0</x:v>
      </x:c>
      <x:c r="AJ184" s="10" t="str">
        <x:f>IF(AM184="완료",IF(J184="",K184,J184),IF(OR(COUNT('프로젝트설정'!$B$7:$B$8)&lt;2,COUNT(AD184:AI184)&lt;6,COUNT(S184:U184)&lt;3),"",IF(AM184="제외",MAX('프로젝트설정'!$B$7,AD184:AI184),IF(E184="진행",J184,MAX('프로젝트설정'!$B$7:$B$8,L184,AD184:AI184)))))</x:f>
      </x:c>
      <x:c r="AK184" s="10" t="str">
        <x:f>IF(AM184="완료",K184,IF(AJ184="","",IF(E184="진행",MAX('프로젝트설정'!$B$8,AJ184,AD184:AI184)+T184,AJ184+T184)))</x:f>
      </x:c>
      <x:c r="AL184" s="7" t="str">
        <x:f>IF(OR(I184="",AK184=""),"",AK184-I184)</x:f>
      </x:c>
      <x:c r="AM184" s="7" t="str">
        <x:f>IF(OR(D184="제외",E184="제외"),"제외",IF(D184&lt;&gt;"적용","적용성 확인",IF(E184="완료",IF(ISNUMBER(K184),"완료","실제완료 입력"),IF(E184="보류","보류 해제 필요",IF(E184="진행",IF(AND(ISNUMBER(J184),COUNT(P184:R184)=3,P184&gt;=0,P184&lt;=Q184,Q184&lt;=R184),"입력 OK","실제착수·잔여기간 확인"),IF(AND(COUNT(M184:O184)=3,M184&gt;=0,M184&lt;=N184,N184&lt;=O184),"입력 OK","전체기간 확인"))))))</x:f>
        <x:v>입력 OK</x:v>
      </x:c>
      <x:c r="AN184" s="7" t="str">
        <x:v>21</x:v>
      </x:c>
    </x:row>
    <x:row r="185" ht="34" customHeight="1">
      <x:c r="A185" s="7" t="str">
        <x:v>INCP02</x:v>
      </x:c>
      <x:c r="B185" s="7" t="str">
        <x:v>21 설비 설치</x:v>
      </x:c>
      <x:c r="C185" s="7" t="str">
        <x:v>압축기 설치검수·현장 SAT 준비</x:v>
      </x:c>
      <x:c r="D185" s="7" t="str">
        <x:f>'모듈선택'!B26</x:f>
        <x:v>적용</x:v>
      </x:c>
      <x:c r="E185" s="8" t="str">
        <x:v>계획</x:v>
      </x:c>
      <x:c r="F185" s="8" t="str">
        <x:v>주설비 공급사 / 벤더 / 시공사</x:v>
      </x:c>
      <x:c r="G185" s="8" t="str">
        <x:v>설치 체크리스트, SAT 계획</x:v>
      </x:c>
      <x:c r="H185" s="9"/>
      <x:c r="I185" s="9"/>
      <x:c r="J185" s="9"/>
      <x:c r="K185" s="9"/>
      <x:c r="L185" s="9"/>
      <x:c r="M185" s="8" t="n">
        <x:v>3</x:v>
      </x:c>
      <x:c r="N185" s="8" t="n">
        <x:v>4</x:v>
      </x:c>
      <x:c r="O185" s="8" t="n">
        <x:v>7</x:v>
      </x:c>
      <x:c r="P185" s="8"/>
      <x:c r="Q185" s="8"/>
      <x:c r="R185" s="8"/>
      <x:c r="S185" s="7" t="n">
        <x:f>IF(OR(AM185="제외",AM185="완료"),0,IF(AM185&lt;&gt;"입력 OK","",IF(E185="진행",P185,M185)))</x:f>
        <x:v>3</x:v>
      </x:c>
      <x:c r="T185" s="7" t="n">
        <x:f>IF(OR(AM185="제외",AM185="완료"),0,IF(AM185&lt;&gt;"입력 OK","",IF(E185="진행",Q185,N185)))</x:f>
        <x:v>4</x:v>
      </x:c>
      <x:c r="U185" s="7" t="n">
        <x:f>IF(OR(AM185="제외",AM185="완료"),0,IF(AM185&lt;&gt;"입력 OK","",IF(E185="진행",R185,O185)))</x:f>
        <x:v>7</x:v>
      </x:c>
      <x:c r="V185" s="11" t="n">
        <x:f>IF(COUNT(S185:U185)&lt;3,"",(S185+4*T185+U185)/6)</x:f>
        <x:v>4.333333333333333</x:v>
      </x:c>
      <x:c r="W185" s="11" t="n">
        <x:f>IF(COUNT(S185:U185)&lt;3,"",((U185-S185)/6)^2)</x:f>
        <x:v>0.4444444444444444</x:v>
      </x:c>
      <x:c r="X185" s="8" t="str">
        <x:v>INCP01</x:v>
      </x:c>
      <x:c r="Y185" s="8" t="str"/>
      <x:c r="Z185" s="8" t="str"/>
      <x:c r="AA185" s="8" t="str"/>
      <x:c r="AB185" s="8" t="str"/>
      <x:c r="AC185" s="8" t="str"/>
      <x:c r="AD185" s="10" t="str">
        <x:f>IF(X185="",0,INDEX($AK$6:$AK$184,MATCH(X185,$A$6:$A$184,0)))</x:f>
      </x:c>
      <x:c r="AE185" s="10" t="n">
        <x:f>IF(Y185="",0,INDEX($AK$6:$AK$184,MATCH(Y185,$A$6:$A$184,0)))</x:f>
        <x:v>0</x:v>
      </x:c>
      <x:c r="AF185" s="10" t="n">
        <x:f>IF(Z185="",0,INDEX($AK$6:$AK$184,MATCH(Z185,$A$6:$A$184,0)))</x:f>
        <x:v>0</x:v>
      </x:c>
      <x:c r="AG185" s="10" t="n">
        <x:f>IF(AA185="",0,INDEX($AK$6:$AK$184,MATCH(AA185,$A$6:$A$184,0)))</x:f>
        <x:v>0</x:v>
      </x:c>
      <x:c r="AH185" s="10" t="n">
        <x:f>IF(AB185="",0,INDEX($AK$6:$AK$184,MATCH(AB185,$A$6:$A$184,0)))</x:f>
        <x:v>0</x:v>
      </x:c>
      <x:c r="AI185" s="10" t="n">
        <x:f>IF(AC185="",0,INDEX($AK$6:$AK$184,MATCH(AC185,$A$6:$A$184,0)))</x:f>
        <x:v>0</x:v>
      </x:c>
      <x:c r="AJ185" s="10" t="str">
        <x:f>IF(AM185="완료",IF(J185="",K185,J185),IF(OR(COUNT('프로젝트설정'!$B$7:$B$8)&lt;2,COUNT(AD185:AI185)&lt;6,COUNT(S185:U185)&lt;3),"",IF(AM185="제외",MAX('프로젝트설정'!$B$7,AD185:AI185),IF(E185="진행",J185,MAX('프로젝트설정'!$B$7:$B$8,L185,AD185:AI185)))))</x:f>
      </x:c>
      <x:c r="AK185" s="10" t="str">
        <x:f>IF(AM185="완료",K185,IF(AJ185="","",IF(E185="진행",MAX('프로젝트설정'!$B$8,AJ185,AD185:AI185)+T185,AJ185+T185)))</x:f>
      </x:c>
      <x:c r="AL185" s="7" t="str">
        <x:f>IF(OR(I185="",AK185=""),"",AK185-I185)</x:f>
      </x:c>
      <x:c r="AM185" s="7" t="str">
        <x:f>IF(OR(D185="제외",E185="제외"),"제외",IF(D185&lt;&gt;"적용","적용성 확인",IF(E185="완료",IF(ISNUMBER(K185),"완료","실제완료 입력"),IF(E185="보류","보류 해제 필요",IF(E185="진행",IF(AND(ISNUMBER(J185),COUNT(P185:R185)=3,P185&gt;=0,P185&lt;=Q185,Q185&lt;=R185),"입력 OK","실제착수·잔여기간 확인"),IF(AND(COUNT(M185:O185)=3,M185&gt;=0,M185&lt;=N185,N185&lt;=O185),"입력 OK","전체기간 확인"))))))</x:f>
        <x:v>입력 OK</x:v>
      </x:c>
      <x:c r="AN185" s="7" t="str">
        <x:v>21</x:v>
      </x:c>
    </x:row>
    <x:row r="186" ht="34" customHeight="1">
      <x:c r="A186" s="7" t="str">
        <x:v>INTK01</x:v>
      </x:c>
      <x:c r="B186" s="7" t="str">
        <x:v>21 설비 설치</x:v>
      </x:c>
      <x:c r="C186" s="7" t="str">
        <x:v>저장용기·버퍼탱크 반입·양중·고정·정렬</x:v>
      </x:c>
      <x:c r="D186" s="7" t="str">
        <x:f>'모듈선택'!B26</x:f>
        <x:v>적용</x:v>
      </x:c>
      <x:c r="E186" s="8" t="str">
        <x:v>계획</x:v>
      </x:c>
      <x:c r="F186" s="8" t="str">
        <x:v>주설비 공급사 / 벤더 / 시공사</x:v>
      </x:c>
      <x:c r="G186" s="8" t="str">
        <x:v>반입검수, alignment/anchor 기록</x:v>
      </x:c>
      <x:c r="H186" s="9"/>
      <x:c r="I186" s="9"/>
      <x:c r="J186" s="9"/>
      <x:c r="K186" s="9"/>
      <x:c r="L186" s="9"/>
      <x:c r="M186" s="8" t="n">
        <x:v>5</x:v>
      </x:c>
      <x:c r="N186" s="8" t="n">
        <x:v>7</x:v>
      </x:c>
      <x:c r="O186" s="8" t="n">
        <x:v>12</x:v>
      </x:c>
      <x:c r="P186" s="8"/>
      <x:c r="Q186" s="8"/>
      <x:c r="R186" s="8"/>
      <x:c r="S186" s="7" t="n">
        <x:f>IF(OR(AM186="제외",AM186="완료"),0,IF(AM186&lt;&gt;"입력 OK","",IF(E186="진행",P186,M186)))</x:f>
        <x:v>5</x:v>
      </x:c>
      <x:c r="T186" s="7" t="n">
        <x:f>IF(OR(AM186="제외",AM186="완료"),0,IF(AM186&lt;&gt;"입력 OK","",IF(E186="진행",Q186,N186)))</x:f>
        <x:v>7</x:v>
      </x:c>
      <x:c r="U186" s="7" t="n">
        <x:f>IF(OR(AM186="제외",AM186="완료"),0,IF(AM186&lt;&gt;"입력 OK","",IF(E186="진행",R186,O186)))</x:f>
        <x:v>12</x:v>
      </x:c>
      <x:c r="V186" s="11" t="n">
        <x:f>IF(COUNT(S186:U186)&lt;3,"",(S186+4*T186+U186)/6)</x:f>
        <x:v>7.5</x:v>
      </x:c>
      <x:c r="W186" s="11" t="n">
        <x:f>IF(COUNT(S186:U186)&lt;3,"",((U186-S186)/6)^2)</x:f>
        <x:v>1.3611111111111114</x:v>
      </x:c>
      <x:c r="X186" s="8" t="str">
        <x:v>MS03</x:v>
      </x:c>
      <x:c r="Y186" s="8" t="str">
        <x:v>TK07</x:v>
      </x:c>
      <x:c r="Z186" s="8" t="str"/>
      <x:c r="AA186" s="8" t="str"/>
      <x:c r="AB186" s="8" t="str"/>
      <x:c r="AC186" s="8" t="str"/>
      <x:c r="AD186" s="10" t="str">
        <x:f>IF(X186="",0,INDEX($AK$6:$AK$185,MATCH(X186,$A$6:$A$185,0)))</x:f>
      </x:c>
      <x:c r="AE186" s="10" t="str">
        <x:f>IF(Y186="",0,INDEX($AK$6:$AK$185,MATCH(Y186,$A$6:$A$185,0)))</x:f>
      </x:c>
      <x:c r="AF186" s="10" t="n">
        <x:f>IF(Z186="",0,INDEX($AK$6:$AK$185,MATCH(Z186,$A$6:$A$185,0)))</x:f>
        <x:v>0</x:v>
      </x:c>
      <x:c r="AG186" s="10" t="n">
        <x:f>IF(AA186="",0,INDEX($AK$6:$AK$185,MATCH(AA186,$A$6:$A$185,0)))</x:f>
        <x:v>0</x:v>
      </x:c>
      <x:c r="AH186" s="10" t="n">
        <x:f>IF(AB186="",0,INDEX($AK$6:$AK$185,MATCH(AB186,$A$6:$A$185,0)))</x:f>
        <x:v>0</x:v>
      </x:c>
      <x:c r="AI186" s="10" t="n">
        <x:f>IF(AC186="",0,INDEX($AK$6:$AK$185,MATCH(AC186,$A$6:$A$185,0)))</x:f>
        <x:v>0</x:v>
      </x:c>
      <x:c r="AJ186" s="10" t="str">
        <x:f>IF(AM186="완료",IF(J186="",K186,J186),IF(OR(COUNT('프로젝트설정'!$B$7:$B$8)&lt;2,COUNT(AD186:AI186)&lt;6,COUNT(S186:U186)&lt;3),"",IF(AM186="제외",MAX('프로젝트설정'!$B$7,AD186:AI186),IF(E186="진행",J186,MAX('프로젝트설정'!$B$7:$B$8,L186,AD186:AI186)))))</x:f>
      </x:c>
      <x:c r="AK186" s="10" t="str">
        <x:f>IF(AM186="완료",K186,IF(AJ186="","",IF(E186="진행",MAX('프로젝트설정'!$B$8,AJ186,AD186:AI186)+T186,AJ186+T186)))</x:f>
      </x:c>
      <x:c r="AL186" s="7" t="str">
        <x:f>IF(OR(I186="",AK186=""),"",AK186-I186)</x:f>
      </x:c>
      <x:c r="AM186" s="7" t="str">
        <x:f>IF(OR(D186="제외",E186="제외"),"제외",IF(D186&lt;&gt;"적용","적용성 확인",IF(E186="완료",IF(ISNUMBER(K186),"완료","실제완료 입력"),IF(E186="보류","보류 해제 필요",IF(E186="진행",IF(AND(ISNUMBER(J186),COUNT(P186:R186)=3,P186&gt;=0,P186&lt;=Q186,Q186&lt;=R186),"입력 OK","실제착수·잔여기간 확인"),IF(AND(COUNT(M186:O186)=3,M186&gt;=0,M186&lt;=N186,N186&lt;=O186),"입력 OK","전체기간 확인"))))))</x:f>
        <x:v>입력 OK</x:v>
      </x:c>
      <x:c r="AN186" s="7" t="str">
        <x:v>21</x:v>
      </x:c>
    </x:row>
    <x:row r="187" ht="34" customHeight="1">
      <x:c r="A187" s="7" t="str">
        <x:v>INTK02</x:v>
      </x:c>
      <x:c r="B187" s="7" t="str">
        <x:v>21 설비 설치</x:v>
      </x:c>
      <x:c r="C187" s="7" t="str">
        <x:v>저장용기·버퍼탱크 설치검수·현장 SAT 준비</x:v>
      </x:c>
      <x:c r="D187" s="7" t="str">
        <x:f>'모듈선택'!B26</x:f>
        <x:v>적용</x:v>
      </x:c>
      <x:c r="E187" s="8" t="str">
        <x:v>계획</x:v>
      </x:c>
      <x:c r="F187" s="8" t="str">
        <x:v>주설비 공급사 / 벤더 / 시공사</x:v>
      </x:c>
      <x:c r="G187" s="8" t="str">
        <x:v>설치 체크리스트, SAT 계획</x:v>
      </x:c>
      <x:c r="H187" s="9"/>
      <x:c r="I187" s="9"/>
      <x:c r="J187" s="9"/>
      <x:c r="K187" s="9"/>
      <x:c r="L187" s="9"/>
      <x:c r="M187" s="8" t="n">
        <x:v>3</x:v>
      </x:c>
      <x:c r="N187" s="8" t="n">
        <x:v>4</x:v>
      </x:c>
      <x:c r="O187" s="8" t="n">
        <x:v>7</x:v>
      </x:c>
      <x:c r="P187" s="8"/>
      <x:c r="Q187" s="8"/>
      <x:c r="R187" s="8"/>
      <x:c r="S187" s="7" t="n">
        <x:f>IF(OR(AM187="제외",AM187="완료"),0,IF(AM187&lt;&gt;"입력 OK","",IF(E187="진행",P187,M187)))</x:f>
        <x:v>3</x:v>
      </x:c>
      <x:c r="T187" s="7" t="n">
        <x:f>IF(OR(AM187="제외",AM187="완료"),0,IF(AM187&lt;&gt;"입력 OK","",IF(E187="진행",Q187,N187)))</x:f>
        <x:v>4</x:v>
      </x:c>
      <x:c r="U187" s="7" t="n">
        <x:f>IF(OR(AM187="제외",AM187="완료"),0,IF(AM187&lt;&gt;"입력 OK","",IF(E187="진행",R187,O187)))</x:f>
        <x:v>7</x:v>
      </x:c>
      <x:c r="V187" s="11" t="n">
        <x:f>IF(COUNT(S187:U187)&lt;3,"",(S187+4*T187+U187)/6)</x:f>
        <x:v>4.333333333333333</x:v>
      </x:c>
      <x:c r="W187" s="11" t="n">
        <x:f>IF(COUNT(S187:U187)&lt;3,"",((U187-S187)/6)^2)</x:f>
        <x:v>0.4444444444444444</x:v>
      </x:c>
      <x:c r="X187" s="8" t="str">
        <x:v>INTK01</x:v>
      </x:c>
      <x:c r="Y187" s="8" t="str"/>
      <x:c r="Z187" s="8" t="str"/>
      <x:c r="AA187" s="8" t="str"/>
      <x:c r="AB187" s="8" t="str"/>
      <x:c r="AC187" s="8" t="str"/>
      <x:c r="AD187" s="10" t="str">
        <x:f>IF(X187="",0,INDEX($AK$6:$AK$186,MATCH(X187,$A$6:$A$186,0)))</x:f>
      </x:c>
      <x:c r="AE187" s="10" t="n">
        <x:f>IF(Y187="",0,INDEX($AK$6:$AK$186,MATCH(Y187,$A$6:$A$186,0)))</x:f>
        <x:v>0</x:v>
      </x:c>
      <x:c r="AF187" s="10" t="n">
        <x:f>IF(Z187="",0,INDEX($AK$6:$AK$186,MATCH(Z187,$A$6:$A$186,0)))</x:f>
        <x:v>0</x:v>
      </x:c>
      <x:c r="AG187" s="10" t="n">
        <x:f>IF(AA187="",0,INDEX($AK$6:$AK$186,MATCH(AA187,$A$6:$A$186,0)))</x:f>
        <x:v>0</x:v>
      </x:c>
      <x:c r="AH187" s="10" t="n">
        <x:f>IF(AB187="",0,INDEX($AK$6:$AK$186,MATCH(AB187,$A$6:$A$186,0)))</x:f>
        <x:v>0</x:v>
      </x:c>
      <x:c r="AI187" s="10" t="n">
        <x:f>IF(AC187="",0,INDEX($AK$6:$AK$186,MATCH(AC187,$A$6:$A$186,0)))</x:f>
        <x:v>0</x:v>
      </x:c>
      <x:c r="AJ187" s="10" t="str">
        <x:f>IF(AM187="완료",IF(J187="",K187,J187),IF(OR(COUNT('프로젝트설정'!$B$7:$B$8)&lt;2,COUNT(AD187:AI187)&lt;6,COUNT(S187:U187)&lt;3),"",IF(AM187="제외",MAX('프로젝트설정'!$B$7,AD187:AI187),IF(E187="진행",J187,MAX('프로젝트설정'!$B$7:$B$8,L187,AD187:AI187)))))</x:f>
      </x:c>
      <x:c r="AK187" s="10" t="str">
        <x:f>IF(AM187="완료",K187,IF(AJ187="","",IF(E187="진행",MAX('프로젝트설정'!$B$8,AJ187,AD187:AI187)+T187,AJ187+T187)))</x:f>
      </x:c>
      <x:c r="AL187" s="7" t="str">
        <x:f>IF(OR(I187="",AK187=""),"",AK187-I187)</x:f>
      </x:c>
      <x:c r="AM187" s="7" t="str">
        <x:f>IF(OR(D187="제외",E187="제외"),"제외",IF(D187&lt;&gt;"적용","적용성 확인",IF(E187="완료",IF(ISNUMBER(K187),"완료","실제완료 입력"),IF(E187="보류","보류 해제 필요",IF(E187="진행",IF(AND(ISNUMBER(J187),COUNT(P187:R187)=3,P187&gt;=0,P187&lt;=Q187,Q187&lt;=R187),"입력 OK","실제착수·잔여기간 확인"),IF(AND(COUNT(M187:O187)=3,M187&gt;=0,M187&lt;=N187,N187&lt;=O187),"입력 OK","전체기간 확인"))))))</x:f>
        <x:v>입력 OK</x:v>
      </x:c>
      <x:c r="AN187" s="7" t="str">
        <x:v>21</x:v>
      </x:c>
    </x:row>
    <x:row r="188" ht="34" customHeight="1">
      <x:c r="A188" s="7" t="str">
        <x:v>INAN01</x:v>
      </x:c>
      <x:c r="B188" s="7" t="str">
        <x:v>21 설비 설치</x:v>
      </x:c>
      <x:c r="C188" s="7" t="str">
        <x:v>제품분석기·Sampling system 반입·양중·고정·정렬</x:v>
      </x:c>
      <x:c r="D188" s="7" t="str">
        <x:f>'모듈선택'!B26</x:f>
        <x:v>적용</x:v>
      </x:c>
      <x:c r="E188" s="8" t="str">
        <x:v>계획</x:v>
      </x:c>
      <x:c r="F188" s="8" t="str">
        <x:v>주설비 공급사 / 벤더 / 시공사</x:v>
      </x:c>
      <x:c r="G188" s="8" t="str">
        <x:v>반입검수, alignment/anchor 기록</x:v>
      </x:c>
      <x:c r="H188" s="9"/>
      <x:c r="I188" s="9"/>
      <x:c r="J188" s="9"/>
      <x:c r="K188" s="9"/>
      <x:c r="L188" s="9"/>
      <x:c r="M188" s="8" t="n">
        <x:v>5</x:v>
      </x:c>
      <x:c r="N188" s="8" t="n">
        <x:v>7</x:v>
      </x:c>
      <x:c r="O188" s="8" t="n">
        <x:v>12</x:v>
      </x:c>
      <x:c r="P188" s="8"/>
      <x:c r="Q188" s="8"/>
      <x:c r="R188" s="8"/>
      <x:c r="S188" s="7" t="n">
        <x:f>IF(OR(AM188="제외",AM188="완료"),0,IF(AM188&lt;&gt;"입력 OK","",IF(E188="진행",P188,M188)))</x:f>
        <x:v>5</x:v>
      </x:c>
      <x:c r="T188" s="7" t="n">
        <x:f>IF(OR(AM188="제외",AM188="완료"),0,IF(AM188&lt;&gt;"입력 OK","",IF(E188="진행",Q188,N188)))</x:f>
        <x:v>7</x:v>
      </x:c>
      <x:c r="U188" s="7" t="n">
        <x:f>IF(OR(AM188="제외",AM188="완료"),0,IF(AM188&lt;&gt;"입력 OK","",IF(E188="진행",R188,O188)))</x:f>
        <x:v>12</x:v>
      </x:c>
      <x:c r="V188" s="11" t="n">
        <x:f>IF(COUNT(S188:U188)&lt;3,"",(S188+4*T188+U188)/6)</x:f>
        <x:v>7.5</x:v>
      </x:c>
      <x:c r="W188" s="11" t="n">
        <x:f>IF(COUNT(S188:U188)&lt;3,"",((U188-S188)/6)^2)</x:f>
        <x:v>1.3611111111111114</x:v>
      </x:c>
      <x:c r="X188" s="8" t="str">
        <x:v>MS03</x:v>
      </x:c>
      <x:c r="Y188" s="8" t="str">
        <x:v>AN07</x:v>
      </x:c>
      <x:c r="Z188" s="8" t="str"/>
      <x:c r="AA188" s="8" t="str"/>
      <x:c r="AB188" s="8" t="str"/>
      <x:c r="AC188" s="8" t="str"/>
      <x:c r="AD188" s="10" t="str">
        <x:f>IF(X188="",0,INDEX($AK$6:$AK$187,MATCH(X188,$A$6:$A$187,0)))</x:f>
      </x:c>
      <x:c r="AE188" s="10" t="str">
        <x:f>IF(Y188="",0,INDEX($AK$6:$AK$187,MATCH(Y188,$A$6:$A$187,0)))</x:f>
      </x:c>
      <x:c r="AF188" s="10" t="n">
        <x:f>IF(Z188="",0,INDEX($AK$6:$AK$187,MATCH(Z188,$A$6:$A$187,0)))</x:f>
        <x:v>0</x:v>
      </x:c>
      <x:c r="AG188" s="10" t="n">
        <x:f>IF(AA188="",0,INDEX($AK$6:$AK$187,MATCH(AA188,$A$6:$A$187,0)))</x:f>
        <x:v>0</x:v>
      </x:c>
      <x:c r="AH188" s="10" t="n">
        <x:f>IF(AB188="",0,INDEX($AK$6:$AK$187,MATCH(AB188,$A$6:$A$187,0)))</x:f>
        <x:v>0</x:v>
      </x:c>
      <x:c r="AI188" s="10" t="n">
        <x:f>IF(AC188="",0,INDEX($AK$6:$AK$187,MATCH(AC188,$A$6:$A$187,0)))</x:f>
        <x:v>0</x:v>
      </x:c>
      <x:c r="AJ188" s="10" t="str">
        <x:f>IF(AM188="완료",IF(J188="",K188,J188),IF(OR(COUNT('프로젝트설정'!$B$7:$B$8)&lt;2,COUNT(AD188:AI188)&lt;6,COUNT(S188:U188)&lt;3),"",IF(AM188="제외",MAX('프로젝트설정'!$B$7,AD188:AI188),IF(E188="진행",J188,MAX('프로젝트설정'!$B$7:$B$8,L188,AD188:AI188)))))</x:f>
      </x:c>
      <x:c r="AK188" s="10" t="str">
        <x:f>IF(AM188="완료",K188,IF(AJ188="","",IF(E188="진행",MAX('프로젝트설정'!$B$8,AJ188,AD188:AI188)+T188,AJ188+T188)))</x:f>
      </x:c>
      <x:c r="AL188" s="7" t="str">
        <x:f>IF(OR(I188="",AK188=""),"",AK188-I188)</x:f>
      </x:c>
      <x:c r="AM188" s="7" t="str">
        <x:f>IF(OR(D188="제외",E188="제외"),"제외",IF(D188&lt;&gt;"적용","적용성 확인",IF(E188="완료",IF(ISNUMBER(K188),"완료","실제완료 입력"),IF(E188="보류","보류 해제 필요",IF(E188="진행",IF(AND(ISNUMBER(J188),COUNT(P188:R188)=3,P188&gt;=0,P188&lt;=Q188,Q188&lt;=R188),"입력 OK","실제착수·잔여기간 확인"),IF(AND(COUNT(M188:O188)=3,M188&gt;=0,M188&lt;=N188,N188&lt;=O188),"입력 OK","전체기간 확인"))))))</x:f>
        <x:v>입력 OK</x:v>
      </x:c>
      <x:c r="AN188" s="7" t="str">
        <x:v>21</x:v>
      </x:c>
    </x:row>
    <x:row r="189" ht="34" customHeight="1">
      <x:c r="A189" s="7" t="str">
        <x:v>INAN02</x:v>
      </x:c>
      <x:c r="B189" s="7" t="str">
        <x:v>21 설비 설치</x:v>
      </x:c>
      <x:c r="C189" s="7" t="str">
        <x:v>제품분석기·Sampling system 설치검수·현장 SAT 준비</x:v>
      </x:c>
      <x:c r="D189" s="7" t="str">
        <x:f>'모듈선택'!B26</x:f>
        <x:v>적용</x:v>
      </x:c>
      <x:c r="E189" s="8" t="str">
        <x:v>계획</x:v>
      </x:c>
      <x:c r="F189" s="8" t="str">
        <x:v>주설비 공급사 / 벤더 / 시공사</x:v>
      </x:c>
      <x:c r="G189" s="8" t="str">
        <x:v>설치 체크리스트, SAT 계획</x:v>
      </x:c>
      <x:c r="H189" s="9"/>
      <x:c r="I189" s="9"/>
      <x:c r="J189" s="9"/>
      <x:c r="K189" s="9"/>
      <x:c r="L189" s="9"/>
      <x:c r="M189" s="8" t="n">
        <x:v>3</x:v>
      </x:c>
      <x:c r="N189" s="8" t="n">
        <x:v>4</x:v>
      </x:c>
      <x:c r="O189" s="8" t="n">
        <x:v>7</x:v>
      </x:c>
      <x:c r="P189" s="8"/>
      <x:c r="Q189" s="8"/>
      <x:c r="R189" s="8"/>
      <x:c r="S189" s="7" t="n">
        <x:f>IF(OR(AM189="제외",AM189="완료"),0,IF(AM189&lt;&gt;"입력 OK","",IF(E189="진행",P189,M189)))</x:f>
        <x:v>3</x:v>
      </x:c>
      <x:c r="T189" s="7" t="n">
        <x:f>IF(OR(AM189="제외",AM189="완료"),0,IF(AM189&lt;&gt;"입력 OK","",IF(E189="진행",Q189,N189)))</x:f>
        <x:v>4</x:v>
      </x:c>
      <x:c r="U189" s="7" t="n">
        <x:f>IF(OR(AM189="제외",AM189="완료"),0,IF(AM189&lt;&gt;"입력 OK","",IF(E189="진행",R189,O189)))</x:f>
        <x:v>7</x:v>
      </x:c>
      <x:c r="V189" s="11" t="n">
        <x:f>IF(COUNT(S189:U189)&lt;3,"",(S189+4*T189+U189)/6)</x:f>
        <x:v>4.333333333333333</x:v>
      </x:c>
      <x:c r="W189" s="11" t="n">
        <x:f>IF(COUNT(S189:U189)&lt;3,"",((U189-S189)/6)^2)</x:f>
        <x:v>0.4444444444444444</x:v>
      </x:c>
      <x:c r="X189" s="8" t="str">
        <x:v>INAN01</x:v>
      </x:c>
      <x:c r="Y189" s="8" t="str"/>
      <x:c r="Z189" s="8" t="str"/>
      <x:c r="AA189" s="8" t="str"/>
      <x:c r="AB189" s="8" t="str"/>
      <x:c r="AC189" s="8" t="str"/>
      <x:c r="AD189" s="10" t="str">
        <x:f>IF(X189="",0,INDEX($AK$6:$AK$188,MATCH(X189,$A$6:$A$188,0)))</x:f>
      </x:c>
      <x:c r="AE189" s="10" t="n">
        <x:f>IF(Y189="",0,INDEX($AK$6:$AK$188,MATCH(Y189,$A$6:$A$188,0)))</x:f>
        <x:v>0</x:v>
      </x:c>
      <x:c r="AF189" s="10" t="n">
        <x:f>IF(Z189="",0,INDEX($AK$6:$AK$188,MATCH(Z189,$A$6:$A$188,0)))</x:f>
        <x:v>0</x:v>
      </x:c>
      <x:c r="AG189" s="10" t="n">
        <x:f>IF(AA189="",0,INDEX($AK$6:$AK$188,MATCH(AA189,$A$6:$A$188,0)))</x:f>
        <x:v>0</x:v>
      </x:c>
      <x:c r="AH189" s="10" t="n">
        <x:f>IF(AB189="",0,INDEX($AK$6:$AK$188,MATCH(AB189,$A$6:$A$188,0)))</x:f>
        <x:v>0</x:v>
      </x:c>
      <x:c r="AI189" s="10" t="n">
        <x:f>IF(AC189="",0,INDEX($AK$6:$AK$188,MATCH(AC189,$A$6:$A$188,0)))</x:f>
        <x:v>0</x:v>
      </x:c>
      <x:c r="AJ189" s="10" t="str">
        <x:f>IF(AM189="완료",IF(J189="",K189,J189),IF(OR(COUNT('프로젝트설정'!$B$7:$B$8)&lt;2,COUNT(AD189:AI189)&lt;6,COUNT(S189:U189)&lt;3),"",IF(AM189="제외",MAX('프로젝트설정'!$B$7,AD189:AI189),IF(E189="진행",J189,MAX('프로젝트설정'!$B$7:$B$8,L189,AD189:AI189)))))</x:f>
      </x:c>
      <x:c r="AK189" s="10" t="str">
        <x:f>IF(AM189="완료",K189,IF(AJ189="","",IF(E189="진행",MAX('프로젝트설정'!$B$8,AJ189,AD189:AI189)+T189,AJ189+T189)))</x:f>
      </x:c>
      <x:c r="AL189" s="7" t="str">
        <x:f>IF(OR(I189="",AK189=""),"",AK189-I189)</x:f>
      </x:c>
      <x:c r="AM189" s="7" t="str">
        <x:f>IF(OR(D189="제외",E189="제외"),"제외",IF(D189&lt;&gt;"적용","적용성 확인",IF(E189="완료",IF(ISNUMBER(K189),"완료","실제완료 입력"),IF(E189="보류","보류 해제 필요",IF(E189="진행",IF(AND(ISNUMBER(J189),COUNT(P189:R189)=3,P189&gt;=0,P189&lt;=Q189,Q189&lt;=R189),"입력 OK","실제착수·잔여기간 확인"),IF(AND(COUNT(M189:O189)=3,M189&gt;=0,M189&lt;=N189,N189&lt;=O189),"입력 OK","전체기간 확인"))))))</x:f>
        <x:v>입력 OK</x:v>
      </x:c>
      <x:c r="AN189" s="7" t="str">
        <x:v>21</x:v>
      </x:c>
    </x:row>
    <x:row r="190" ht="34" customHeight="1">
      <x:c r="A190" s="7" t="str">
        <x:v>INUT01</x:v>
      </x:c>
      <x:c r="B190" s="7" t="str">
        <x:v>21 설비 설치</x:v>
      </x:c>
      <x:c r="C190" s="7" t="str">
        <x:v>IA·냉각타워·데미워터 반입·양중·고정·정렬</x:v>
      </x:c>
      <x:c r="D190" s="7" t="str">
        <x:f>'모듈선택'!B26</x:f>
        <x:v>적용</x:v>
      </x:c>
      <x:c r="E190" s="8" t="str">
        <x:v>계획</x:v>
      </x:c>
      <x:c r="F190" s="8" t="str">
        <x:v>주설비 공급사 / 벤더 / 시공사</x:v>
      </x:c>
      <x:c r="G190" s="8" t="str">
        <x:v>반입검수, alignment/anchor 기록</x:v>
      </x:c>
      <x:c r="H190" s="9"/>
      <x:c r="I190" s="9"/>
      <x:c r="J190" s="9"/>
      <x:c r="K190" s="9"/>
      <x:c r="L190" s="9"/>
      <x:c r="M190" s="8" t="n">
        <x:v>5</x:v>
      </x:c>
      <x:c r="N190" s="8" t="n">
        <x:v>7</x:v>
      </x:c>
      <x:c r="O190" s="8" t="n">
        <x:v>12</x:v>
      </x:c>
      <x:c r="P190" s="8"/>
      <x:c r="Q190" s="8"/>
      <x:c r="R190" s="8"/>
      <x:c r="S190" s="7" t="n">
        <x:f>IF(OR(AM190="제외",AM190="완료"),0,IF(AM190&lt;&gt;"입력 OK","",IF(E190="진행",P190,M190)))</x:f>
        <x:v>5</x:v>
      </x:c>
      <x:c r="T190" s="7" t="n">
        <x:f>IF(OR(AM190="제외",AM190="완료"),0,IF(AM190&lt;&gt;"입력 OK","",IF(E190="진행",Q190,N190)))</x:f>
        <x:v>7</x:v>
      </x:c>
      <x:c r="U190" s="7" t="n">
        <x:f>IF(OR(AM190="제외",AM190="완료"),0,IF(AM190&lt;&gt;"입력 OK","",IF(E190="진행",R190,O190)))</x:f>
        <x:v>12</x:v>
      </x:c>
      <x:c r="V190" s="11" t="n">
        <x:f>IF(COUNT(S190:U190)&lt;3,"",(S190+4*T190+U190)/6)</x:f>
        <x:v>7.5</x:v>
      </x:c>
      <x:c r="W190" s="11" t="n">
        <x:f>IF(COUNT(S190:U190)&lt;3,"",((U190-S190)/6)^2)</x:f>
        <x:v>1.3611111111111114</x:v>
      </x:c>
      <x:c r="X190" s="8" t="str">
        <x:v>MS03</x:v>
      </x:c>
      <x:c r="Y190" s="8" t="str">
        <x:v>UT07</x:v>
      </x:c>
      <x:c r="Z190" s="8" t="str"/>
      <x:c r="AA190" s="8" t="str"/>
      <x:c r="AB190" s="8" t="str"/>
      <x:c r="AC190" s="8" t="str"/>
      <x:c r="AD190" s="10" t="str">
        <x:f>IF(X190="",0,INDEX($AK$6:$AK$189,MATCH(X190,$A$6:$A$189,0)))</x:f>
      </x:c>
      <x:c r="AE190" s="10" t="str">
        <x:f>IF(Y190="",0,INDEX($AK$6:$AK$189,MATCH(Y190,$A$6:$A$189,0)))</x:f>
      </x:c>
      <x:c r="AF190" s="10" t="n">
        <x:f>IF(Z190="",0,INDEX($AK$6:$AK$189,MATCH(Z190,$A$6:$A$189,0)))</x:f>
        <x:v>0</x:v>
      </x:c>
      <x:c r="AG190" s="10" t="n">
        <x:f>IF(AA190="",0,INDEX($AK$6:$AK$189,MATCH(AA190,$A$6:$A$189,0)))</x:f>
        <x:v>0</x:v>
      </x:c>
      <x:c r="AH190" s="10" t="n">
        <x:f>IF(AB190="",0,INDEX($AK$6:$AK$189,MATCH(AB190,$A$6:$A$189,0)))</x:f>
        <x:v>0</x:v>
      </x:c>
      <x:c r="AI190" s="10" t="n">
        <x:f>IF(AC190="",0,INDEX($AK$6:$AK$189,MATCH(AC190,$A$6:$A$189,0)))</x:f>
        <x:v>0</x:v>
      </x:c>
      <x:c r="AJ190" s="10" t="str">
        <x:f>IF(AM190="완료",IF(J190="",K190,J190),IF(OR(COUNT('프로젝트설정'!$B$7:$B$8)&lt;2,COUNT(AD190:AI190)&lt;6,COUNT(S190:U190)&lt;3),"",IF(AM190="제외",MAX('프로젝트설정'!$B$7,AD190:AI190),IF(E190="진행",J190,MAX('프로젝트설정'!$B$7:$B$8,L190,AD190:AI190)))))</x:f>
      </x:c>
      <x:c r="AK190" s="10" t="str">
        <x:f>IF(AM190="완료",K190,IF(AJ190="","",IF(E190="진행",MAX('프로젝트설정'!$B$8,AJ190,AD190:AI190)+T190,AJ190+T190)))</x:f>
      </x:c>
      <x:c r="AL190" s="7" t="str">
        <x:f>IF(OR(I190="",AK190=""),"",AK190-I190)</x:f>
      </x:c>
      <x:c r="AM190" s="7" t="str">
        <x:f>IF(OR(D190="제외",E190="제외"),"제외",IF(D190&lt;&gt;"적용","적용성 확인",IF(E190="완료",IF(ISNUMBER(K190),"완료","실제완료 입력"),IF(E190="보류","보류 해제 필요",IF(E190="진행",IF(AND(ISNUMBER(J190),COUNT(P190:R190)=3,P190&gt;=0,P190&lt;=Q190,Q190&lt;=R190),"입력 OK","실제착수·잔여기간 확인"),IF(AND(COUNT(M190:O190)=3,M190&gt;=0,M190&lt;=N190,N190&lt;=O190),"입력 OK","전체기간 확인"))))))</x:f>
        <x:v>입력 OK</x:v>
      </x:c>
      <x:c r="AN190" s="7" t="str">
        <x:v>21</x:v>
      </x:c>
    </x:row>
    <x:row r="191" ht="34" customHeight="1">
      <x:c r="A191" s="7" t="str">
        <x:v>INUT02</x:v>
      </x:c>
      <x:c r="B191" s="7" t="str">
        <x:v>21 설비 설치</x:v>
      </x:c>
      <x:c r="C191" s="7" t="str">
        <x:v>IA·냉각타워·데미워터 설치검수·현장 SAT 준비</x:v>
      </x:c>
      <x:c r="D191" s="7" t="str">
        <x:f>'모듈선택'!B26</x:f>
        <x:v>적용</x:v>
      </x:c>
      <x:c r="E191" s="8" t="str">
        <x:v>계획</x:v>
      </x:c>
      <x:c r="F191" s="8" t="str">
        <x:v>주설비 공급사 / 벤더 / 시공사</x:v>
      </x:c>
      <x:c r="G191" s="8" t="str">
        <x:v>설치 체크리스트, SAT 계획</x:v>
      </x:c>
      <x:c r="H191" s="9"/>
      <x:c r="I191" s="9"/>
      <x:c r="J191" s="9"/>
      <x:c r="K191" s="9"/>
      <x:c r="L191" s="9"/>
      <x:c r="M191" s="8" t="n">
        <x:v>3</x:v>
      </x:c>
      <x:c r="N191" s="8" t="n">
        <x:v>4</x:v>
      </x:c>
      <x:c r="O191" s="8" t="n">
        <x:v>7</x:v>
      </x:c>
      <x:c r="P191" s="8"/>
      <x:c r="Q191" s="8"/>
      <x:c r="R191" s="8"/>
      <x:c r="S191" s="7" t="n">
        <x:f>IF(OR(AM191="제외",AM191="완료"),0,IF(AM191&lt;&gt;"입력 OK","",IF(E191="진행",P191,M191)))</x:f>
        <x:v>3</x:v>
      </x:c>
      <x:c r="T191" s="7" t="n">
        <x:f>IF(OR(AM191="제외",AM191="완료"),0,IF(AM191&lt;&gt;"입력 OK","",IF(E191="진행",Q191,N191)))</x:f>
        <x:v>4</x:v>
      </x:c>
      <x:c r="U191" s="7" t="n">
        <x:f>IF(OR(AM191="제외",AM191="완료"),0,IF(AM191&lt;&gt;"입력 OK","",IF(E191="진행",R191,O191)))</x:f>
        <x:v>7</x:v>
      </x:c>
      <x:c r="V191" s="11" t="n">
        <x:f>IF(COUNT(S191:U191)&lt;3,"",(S191+4*T191+U191)/6)</x:f>
        <x:v>4.333333333333333</x:v>
      </x:c>
      <x:c r="W191" s="11" t="n">
        <x:f>IF(COUNT(S191:U191)&lt;3,"",((U191-S191)/6)^2)</x:f>
        <x:v>0.4444444444444444</x:v>
      </x:c>
      <x:c r="X191" s="8" t="str">
        <x:v>INUT01</x:v>
      </x:c>
      <x:c r="Y191" s="8" t="str"/>
      <x:c r="Z191" s="8" t="str"/>
      <x:c r="AA191" s="8" t="str"/>
      <x:c r="AB191" s="8" t="str"/>
      <x:c r="AC191" s="8" t="str"/>
      <x:c r="AD191" s="10" t="str">
        <x:f>IF(X191="",0,INDEX($AK$6:$AK$190,MATCH(X191,$A$6:$A$190,0)))</x:f>
      </x:c>
      <x:c r="AE191" s="10" t="n">
        <x:f>IF(Y191="",0,INDEX($AK$6:$AK$190,MATCH(Y191,$A$6:$A$190,0)))</x:f>
        <x:v>0</x:v>
      </x:c>
      <x:c r="AF191" s="10" t="n">
        <x:f>IF(Z191="",0,INDEX($AK$6:$AK$190,MATCH(Z191,$A$6:$A$190,0)))</x:f>
        <x:v>0</x:v>
      </x:c>
      <x:c r="AG191" s="10" t="n">
        <x:f>IF(AA191="",0,INDEX($AK$6:$AK$190,MATCH(AA191,$A$6:$A$190,0)))</x:f>
        <x:v>0</x:v>
      </x:c>
      <x:c r="AH191" s="10" t="n">
        <x:f>IF(AB191="",0,INDEX($AK$6:$AK$190,MATCH(AB191,$A$6:$A$190,0)))</x:f>
        <x:v>0</x:v>
      </x:c>
      <x:c r="AI191" s="10" t="n">
        <x:f>IF(AC191="",0,INDEX($AK$6:$AK$190,MATCH(AC191,$A$6:$A$190,0)))</x:f>
        <x:v>0</x:v>
      </x:c>
      <x:c r="AJ191" s="10" t="str">
        <x:f>IF(AM191="완료",IF(J191="",K191,J191),IF(OR(COUNT('프로젝트설정'!$B$7:$B$8)&lt;2,COUNT(AD191:AI191)&lt;6,COUNT(S191:U191)&lt;3),"",IF(AM191="제외",MAX('프로젝트설정'!$B$7,AD191:AI191),IF(E191="진행",J191,MAX('프로젝트설정'!$B$7:$B$8,L191,AD191:AI191)))))</x:f>
      </x:c>
      <x:c r="AK191" s="10" t="str">
        <x:f>IF(AM191="완료",K191,IF(AJ191="","",IF(E191="진행",MAX('프로젝트설정'!$B$8,AJ191,AD191:AI191)+T191,AJ191+T191)))</x:f>
      </x:c>
      <x:c r="AL191" s="7" t="str">
        <x:f>IF(OR(I191="",AK191=""),"",AK191-I191)</x:f>
      </x:c>
      <x:c r="AM191" s="7" t="str">
        <x:f>IF(OR(D191="제외",E191="제외"),"제외",IF(D191&lt;&gt;"적용","적용성 확인",IF(E191="완료",IF(ISNUMBER(K191),"완료","실제완료 입력"),IF(E191="보류","보류 해제 필요",IF(E191="진행",IF(AND(ISNUMBER(J191),COUNT(P191:R191)=3,P191&gt;=0,P191&lt;=Q191,Q191&lt;=R191),"입력 OK","실제착수·잔여기간 확인"),IF(AND(COUNT(M191:O191)=3,M191&gt;=0,M191&lt;=N191,N191&lt;=O191),"입력 OK","전체기간 확인"))))))</x:f>
        <x:v>입력 OK</x:v>
      </x:c>
      <x:c r="AN191" s="7" t="str">
        <x:v>21</x:v>
      </x:c>
    </x:row>
    <x:row r="192" ht="34" customHeight="1">
      <x:c r="A192" s="7" t="str">
        <x:v>INPN01</x:v>
      </x:c>
      <x:c r="B192" s="7" t="str">
        <x:v>21 설비 설치</x:v>
      </x:c>
      <x:c r="C192" s="7" t="str">
        <x:v>수배전반·제어반 반입·양중·고정·정렬</x:v>
      </x:c>
      <x:c r="D192" s="7" t="str">
        <x:f>'모듈선택'!B26</x:f>
        <x:v>적용</x:v>
      </x:c>
      <x:c r="E192" s="8" t="str">
        <x:v>계획</x:v>
      </x:c>
      <x:c r="F192" s="8" t="str">
        <x:v>주설비 공급사 / 벤더 / 시공사</x:v>
      </x:c>
      <x:c r="G192" s="8" t="str">
        <x:v>반입검수, alignment/anchor 기록</x:v>
      </x:c>
      <x:c r="H192" s="9"/>
      <x:c r="I192" s="9"/>
      <x:c r="J192" s="9"/>
      <x:c r="K192" s="9"/>
      <x:c r="L192" s="9"/>
      <x:c r="M192" s="8" t="n">
        <x:v>5</x:v>
      </x:c>
      <x:c r="N192" s="8" t="n">
        <x:v>7</x:v>
      </x:c>
      <x:c r="O192" s="8" t="n">
        <x:v>12</x:v>
      </x:c>
      <x:c r="P192" s="8"/>
      <x:c r="Q192" s="8"/>
      <x:c r="R192" s="8"/>
      <x:c r="S192" s="7" t="n">
        <x:f>IF(OR(AM192="제외",AM192="완료"),0,IF(AM192&lt;&gt;"입력 OK","",IF(E192="진행",P192,M192)))</x:f>
        <x:v>5</x:v>
      </x:c>
      <x:c r="T192" s="7" t="n">
        <x:f>IF(OR(AM192="제외",AM192="완료"),0,IF(AM192&lt;&gt;"입력 OK","",IF(E192="진행",Q192,N192)))</x:f>
        <x:v>7</x:v>
      </x:c>
      <x:c r="U192" s="7" t="n">
        <x:f>IF(OR(AM192="제외",AM192="완료"),0,IF(AM192&lt;&gt;"입력 OK","",IF(E192="진행",R192,O192)))</x:f>
        <x:v>12</x:v>
      </x:c>
      <x:c r="V192" s="11" t="n">
        <x:f>IF(COUNT(S192:U192)&lt;3,"",(S192+4*T192+U192)/6)</x:f>
        <x:v>7.5</x:v>
      </x:c>
      <x:c r="W192" s="11" t="n">
        <x:f>IF(COUNT(S192:U192)&lt;3,"",((U192-S192)/6)^2)</x:f>
        <x:v>1.3611111111111114</x:v>
      </x:c>
      <x:c r="X192" s="8" t="str">
        <x:v>MS03</x:v>
      </x:c>
      <x:c r="Y192" s="8" t="str">
        <x:v>PN07</x:v>
      </x:c>
      <x:c r="Z192" s="8" t="str"/>
      <x:c r="AA192" s="8" t="str"/>
      <x:c r="AB192" s="8" t="str"/>
      <x:c r="AC192" s="8" t="str"/>
      <x:c r="AD192" s="10" t="str">
        <x:f>IF(X192="",0,INDEX($AK$6:$AK$191,MATCH(X192,$A$6:$A$191,0)))</x:f>
      </x:c>
      <x:c r="AE192" s="10" t="str">
        <x:f>IF(Y192="",0,INDEX($AK$6:$AK$191,MATCH(Y192,$A$6:$A$191,0)))</x:f>
      </x:c>
      <x:c r="AF192" s="10" t="n">
        <x:f>IF(Z192="",0,INDEX($AK$6:$AK$191,MATCH(Z192,$A$6:$A$191,0)))</x:f>
        <x:v>0</x:v>
      </x:c>
      <x:c r="AG192" s="10" t="n">
        <x:f>IF(AA192="",0,INDEX($AK$6:$AK$191,MATCH(AA192,$A$6:$A$191,0)))</x:f>
        <x:v>0</x:v>
      </x:c>
      <x:c r="AH192" s="10" t="n">
        <x:f>IF(AB192="",0,INDEX($AK$6:$AK$191,MATCH(AB192,$A$6:$A$191,0)))</x:f>
        <x:v>0</x:v>
      </x:c>
      <x:c r="AI192" s="10" t="n">
        <x:f>IF(AC192="",0,INDEX($AK$6:$AK$191,MATCH(AC192,$A$6:$A$191,0)))</x:f>
        <x:v>0</x:v>
      </x:c>
      <x:c r="AJ192" s="10" t="str">
        <x:f>IF(AM192="완료",IF(J192="",K192,J192),IF(OR(COUNT('프로젝트설정'!$B$7:$B$8)&lt;2,COUNT(AD192:AI192)&lt;6,COUNT(S192:U192)&lt;3),"",IF(AM192="제외",MAX('프로젝트설정'!$B$7,AD192:AI192),IF(E192="진행",J192,MAX('프로젝트설정'!$B$7:$B$8,L192,AD192:AI192)))))</x:f>
      </x:c>
      <x:c r="AK192" s="10" t="str">
        <x:f>IF(AM192="완료",K192,IF(AJ192="","",IF(E192="진행",MAX('프로젝트설정'!$B$8,AJ192,AD192:AI192)+T192,AJ192+T192)))</x:f>
      </x:c>
      <x:c r="AL192" s="7" t="str">
        <x:f>IF(OR(I192="",AK192=""),"",AK192-I192)</x:f>
      </x:c>
      <x:c r="AM192" s="7" t="str">
        <x:f>IF(OR(D192="제외",E192="제외"),"제외",IF(D192&lt;&gt;"적용","적용성 확인",IF(E192="완료",IF(ISNUMBER(K192),"완료","실제완료 입력"),IF(E192="보류","보류 해제 필요",IF(E192="진행",IF(AND(ISNUMBER(J192),COUNT(P192:R192)=3,P192&gt;=0,P192&lt;=Q192,Q192&lt;=R192),"입력 OK","실제착수·잔여기간 확인"),IF(AND(COUNT(M192:O192)=3,M192&gt;=0,M192&lt;=N192,N192&lt;=O192),"입력 OK","전체기간 확인"))))))</x:f>
        <x:v>입력 OK</x:v>
      </x:c>
      <x:c r="AN192" s="7" t="str">
        <x:v>21</x:v>
      </x:c>
    </x:row>
    <x:row r="193" ht="34" customHeight="1">
      <x:c r="A193" s="7" t="str">
        <x:v>INPN02</x:v>
      </x:c>
      <x:c r="B193" s="7" t="str">
        <x:v>21 설비 설치</x:v>
      </x:c>
      <x:c r="C193" s="7" t="str">
        <x:v>수배전반·제어반 설치검수·현장 SAT 준비</x:v>
      </x:c>
      <x:c r="D193" s="7" t="str">
        <x:f>'모듈선택'!B26</x:f>
        <x:v>적용</x:v>
      </x:c>
      <x:c r="E193" s="8" t="str">
        <x:v>계획</x:v>
      </x:c>
      <x:c r="F193" s="8" t="str">
        <x:v>주설비 공급사 / 벤더 / 시공사</x:v>
      </x:c>
      <x:c r="G193" s="8" t="str">
        <x:v>설치 체크리스트, SAT 계획</x:v>
      </x:c>
      <x:c r="H193" s="9"/>
      <x:c r="I193" s="9"/>
      <x:c r="J193" s="9"/>
      <x:c r="K193" s="9"/>
      <x:c r="L193" s="9"/>
      <x:c r="M193" s="8" t="n">
        <x:v>3</x:v>
      </x:c>
      <x:c r="N193" s="8" t="n">
        <x:v>4</x:v>
      </x:c>
      <x:c r="O193" s="8" t="n">
        <x:v>7</x:v>
      </x:c>
      <x:c r="P193" s="8"/>
      <x:c r="Q193" s="8"/>
      <x:c r="R193" s="8"/>
      <x:c r="S193" s="7" t="n">
        <x:f>IF(OR(AM193="제외",AM193="완료"),0,IF(AM193&lt;&gt;"입력 OK","",IF(E193="진행",P193,M193)))</x:f>
        <x:v>3</x:v>
      </x:c>
      <x:c r="T193" s="7" t="n">
        <x:f>IF(OR(AM193="제외",AM193="완료"),0,IF(AM193&lt;&gt;"입력 OK","",IF(E193="진행",Q193,N193)))</x:f>
        <x:v>4</x:v>
      </x:c>
      <x:c r="U193" s="7" t="n">
        <x:f>IF(OR(AM193="제외",AM193="완료"),0,IF(AM193&lt;&gt;"입력 OK","",IF(E193="진행",R193,O193)))</x:f>
        <x:v>7</x:v>
      </x:c>
      <x:c r="V193" s="11" t="n">
        <x:f>IF(COUNT(S193:U193)&lt;3,"",(S193+4*T193+U193)/6)</x:f>
        <x:v>4.333333333333333</x:v>
      </x:c>
      <x:c r="W193" s="11" t="n">
        <x:f>IF(COUNT(S193:U193)&lt;3,"",((U193-S193)/6)^2)</x:f>
        <x:v>0.4444444444444444</x:v>
      </x:c>
      <x:c r="X193" s="8" t="str">
        <x:v>INPN01</x:v>
      </x:c>
      <x:c r="Y193" s="8" t="str"/>
      <x:c r="Z193" s="8" t="str"/>
      <x:c r="AA193" s="8" t="str"/>
      <x:c r="AB193" s="8" t="str"/>
      <x:c r="AC193" s="8" t="str"/>
      <x:c r="AD193" s="10" t="str">
        <x:f>IF(X193="",0,INDEX($AK$6:$AK$192,MATCH(X193,$A$6:$A$192,0)))</x:f>
      </x:c>
      <x:c r="AE193" s="10" t="n">
        <x:f>IF(Y193="",0,INDEX($AK$6:$AK$192,MATCH(Y193,$A$6:$A$192,0)))</x:f>
        <x:v>0</x:v>
      </x:c>
      <x:c r="AF193" s="10" t="n">
        <x:f>IF(Z193="",0,INDEX($AK$6:$AK$192,MATCH(Z193,$A$6:$A$192,0)))</x:f>
        <x:v>0</x:v>
      </x:c>
      <x:c r="AG193" s="10" t="n">
        <x:f>IF(AA193="",0,INDEX($AK$6:$AK$192,MATCH(AA193,$A$6:$A$192,0)))</x:f>
        <x:v>0</x:v>
      </x:c>
      <x:c r="AH193" s="10" t="n">
        <x:f>IF(AB193="",0,INDEX($AK$6:$AK$192,MATCH(AB193,$A$6:$A$192,0)))</x:f>
        <x:v>0</x:v>
      </x:c>
      <x:c r="AI193" s="10" t="n">
        <x:f>IF(AC193="",0,INDEX($AK$6:$AK$192,MATCH(AC193,$A$6:$A$192,0)))</x:f>
        <x:v>0</x:v>
      </x:c>
      <x:c r="AJ193" s="10" t="str">
        <x:f>IF(AM193="완료",IF(J193="",K193,J193),IF(OR(COUNT('프로젝트설정'!$B$7:$B$8)&lt;2,COUNT(AD193:AI193)&lt;6,COUNT(S193:U193)&lt;3),"",IF(AM193="제외",MAX('프로젝트설정'!$B$7,AD193:AI193),IF(E193="진행",J193,MAX('프로젝트설정'!$B$7:$B$8,L193,AD193:AI193)))))</x:f>
      </x:c>
      <x:c r="AK193" s="10" t="str">
        <x:f>IF(AM193="완료",K193,IF(AJ193="","",IF(E193="진행",MAX('프로젝트설정'!$B$8,AJ193,AD193:AI193)+T193,AJ193+T193)))</x:f>
      </x:c>
      <x:c r="AL193" s="7" t="str">
        <x:f>IF(OR(I193="",AK193=""),"",AK193-I193)</x:f>
      </x:c>
      <x:c r="AM193" s="7" t="str">
        <x:f>IF(OR(D193="제외",E193="제외"),"제외",IF(D193&lt;&gt;"적용","적용성 확인",IF(E193="완료",IF(ISNUMBER(K193),"완료","실제완료 입력"),IF(E193="보류","보류 해제 필요",IF(E193="진행",IF(AND(ISNUMBER(J193),COUNT(P193:R193)=3,P193&gt;=0,P193&lt;=Q193,Q193&lt;=R193),"입력 OK","실제착수·잔여기간 확인"),IF(AND(COUNT(M193:O193)=3,M193&gt;=0,M193&lt;=N193,N193&lt;=O193),"입력 OK","전체기간 확인"))))))</x:f>
        <x:v>입력 OK</x:v>
      </x:c>
      <x:c r="AN193" s="7" t="str">
        <x:v>21</x:v>
      </x:c>
    </x:row>
    <x:row r="194" ht="34" customHeight="1">
      <x:c r="A194" s="7" t="str">
        <x:v>MP01</x:v>
      </x:c>
      <x:c r="B194" s="7" t="str">
        <x:v>22 배관 시공</x:v>
      </x:c>
      <x:c r="C194" s="7" t="str">
        <x:v>시공용 ISO·자재·용접절차·검사계획 확인</x:v>
      </x:c>
      <x:c r="D194" s="7" t="str">
        <x:f>'모듈선택'!B27</x:f>
        <x:v>적용</x:v>
      </x:c>
      <x:c r="E194" s="8" t="str">
        <x:v>계획</x:v>
      </x:c>
      <x:c r="F194" s="8" t="str">
        <x:v>배관 시공사 / 감리 / KGS</x:v>
      </x:c>
      <x:c r="G194" s="8" t="str">
        <x:v>IFC, MTC, WPS/PQR, ITP</x:v>
      </x:c>
      <x:c r="H194" s="9"/>
      <x:c r="I194" s="9"/>
      <x:c r="J194" s="9"/>
      <x:c r="K194" s="9"/>
      <x:c r="L194" s="9"/>
      <x:c r="M194" s="8" t="n">
        <x:v>3</x:v>
      </x:c>
      <x:c r="N194" s="8" t="n">
        <x:v>5</x:v>
      </x:c>
      <x:c r="O194" s="8" t="n">
        <x:v>9</x:v>
      </x:c>
      <x:c r="P194" s="8"/>
      <x:c r="Q194" s="8"/>
      <x:c r="R194" s="8"/>
      <x:c r="S194" s="7" t="n">
        <x:f>IF(OR(AM194="제외",AM194="완료"),0,IF(AM194&lt;&gt;"입력 OK","",IF(E194="진행",P194,M194)))</x:f>
        <x:v>3</x:v>
      </x:c>
      <x:c r="T194" s="7" t="n">
        <x:f>IF(OR(AM194="제외",AM194="완료"),0,IF(AM194&lt;&gt;"입력 OK","",IF(E194="진행",Q194,N194)))</x:f>
        <x:v>5</x:v>
      </x:c>
      <x:c r="U194" s="7" t="n">
        <x:f>IF(OR(AM194="제외",AM194="완료"),0,IF(AM194&lt;&gt;"입력 OK","",IF(E194="진행",R194,O194)))</x:f>
        <x:v>9</x:v>
      </x:c>
      <x:c r="V194" s="11" t="n">
        <x:f>IF(COUNT(S194:U194)&lt;3,"",(S194+4*T194+U194)/6)</x:f>
        <x:v>5.333333333333333</x:v>
      </x:c>
      <x:c r="W194" s="11" t="n">
        <x:f>IF(COUNT(S194:U194)&lt;3,"",((U194-S194)/6)^2)</x:f>
        <x:v>1</x:v>
      </x:c>
      <x:c r="X194" s="8" t="str">
        <x:v>PD08</x:v>
      </x:c>
      <x:c r="Y194" s="8" t="str">
        <x:v>INPR01</x:v>
      </x:c>
      <x:c r="Z194" s="8" t="str">
        <x:v>INBG01</x:v>
      </x:c>
      <x:c r="AA194" s="8" t="str">
        <x:v>INCP01</x:v>
      </x:c>
      <x:c r="AB194" s="8" t="str">
        <x:v>INTK01</x:v>
      </x:c>
      <x:c r="AC194" s="8" t="str">
        <x:v>INUT01</x:v>
      </x:c>
      <x:c r="AD194" s="10" t="str">
        <x:f>IF(X194="",0,INDEX($AK$6:$AK$193,MATCH(X194,$A$6:$A$193,0)))</x:f>
      </x:c>
      <x:c r="AE194" s="10" t="str">
        <x:f>IF(Y194="",0,INDEX($AK$6:$AK$193,MATCH(Y194,$A$6:$A$193,0)))</x:f>
      </x:c>
      <x:c r="AF194" s="10" t="str">
        <x:f>IF(Z194="",0,INDEX($AK$6:$AK$193,MATCH(Z194,$A$6:$A$193,0)))</x:f>
      </x:c>
      <x:c r="AG194" s="10" t="str">
        <x:f>IF(AA194="",0,INDEX($AK$6:$AK$193,MATCH(AA194,$A$6:$A$193,0)))</x:f>
      </x:c>
      <x:c r="AH194" s="10" t="str">
        <x:f>IF(AB194="",0,INDEX($AK$6:$AK$193,MATCH(AB194,$A$6:$A$193,0)))</x:f>
      </x:c>
      <x:c r="AI194" s="10" t="str">
        <x:f>IF(AC194="",0,INDEX($AK$6:$AK$193,MATCH(AC194,$A$6:$A$193,0)))</x:f>
      </x:c>
      <x:c r="AJ194" s="10" t="str">
        <x:f>IF(AM194="완료",IF(J194="",K194,J194),IF(OR(COUNT('프로젝트설정'!$B$7:$B$8)&lt;2,COUNT(AD194:AI194)&lt;6,COUNT(S194:U194)&lt;3),"",IF(AM194="제외",MAX('프로젝트설정'!$B$7,AD194:AI194),IF(E194="진행",J194,MAX('프로젝트설정'!$B$7:$B$8,L194,AD194:AI194)))))</x:f>
      </x:c>
      <x:c r="AK194" s="10" t="str">
        <x:f>IF(AM194="완료",K194,IF(AJ194="","",IF(E194="진행",MAX('프로젝트설정'!$B$8,AJ194,AD194:AI194)+T194,AJ194+T194)))</x:f>
      </x:c>
      <x:c r="AL194" s="7" t="str">
        <x:f>IF(OR(I194="",AK194=""),"",AK194-I194)</x:f>
      </x:c>
      <x:c r="AM194" s="7" t="str">
        <x:f>IF(OR(D194="제외",E194="제외"),"제외",IF(D194&lt;&gt;"적용","적용성 확인",IF(E194="완료",IF(ISNUMBER(K194),"완료","실제완료 입력"),IF(E194="보류","보류 해제 필요",IF(E194="진행",IF(AND(ISNUMBER(J194),COUNT(P194:R194)=3,P194&gt;=0,P194&lt;=Q194,Q194&lt;=R194),"입력 OK","실제착수·잔여기간 확인"),IF(AND(COUNT(M194:O194)=3,M194&gt;=0,M194&lt;=N194,N194&lt;=O194),"입력 OK","전체기간 확인"))))))</x:f>
        <x:v>입력 OK</x:v>
      </x:c>
      <x:c r="AN194" s="7" t="str">
        <x:v>22</x:v>
      </x:c>
    </x:row>
    <x:row r="195" ht="34" customHeight="1">
      <x:c r="A195" s="7" t="str">
        <x:v>MP02</x:v>
      </x:c>
      <x:c r="B195" s="7" t="str">
        <x:v>22 배관 시공</x:v>
      </x:c>
      <x:c r="C195" s="7" t="str">
        <x:v>스풀·서포트 제작 및 입고검수</x:v>
      </x:c>
      <x:c r="D195" s="7" t="str">
        <x:f>'모듈선택'!B27</x:f>
        <x:v>적용</x:v>
      </x:c>
      <x:c r="E195" s="8" t="str">
        <x:v>계획</x:v>
      </x:c>
      <x:c r="F195" s="8" t="str">
        <x:v>배관 시공사 / 감리 / KGS</x:v>
      </x:c>
      <x:c r="G195" s="8" t="str">
        <x:v>Spool list, material traceability</x:v>
      </x:c>
      <x:c r="H195" s="9"/>
      <x:c r="I195" s="9"/>
      <x:c r="J195" s="9"/>
      <x:c r="K195" s="9"/>
      <x:c r="L195" s="9"/>
      <x:c r="M195" s="8" t="n">
        <x:v>9</x:v>
      </x:c>
      <x:c r="N195" s="8" t="n">
        <x:v>14</x:v>
      </x:c>
      <x:c r="O195" s="8" t="n">
        <x:v>24</x:v>
      </x:c>
      <x:c r="P195" s="8"/>
      <x:c r="Q195" s="8"/>
      <x:c r="R195" s="8"/>
      <x:c r="S195" s="7" t="n">
        <x:f>IF(OR(AM195="제외",AM195="완료"),0,IF(AM195&lt;&gt;"입력 OK","",IF(E195="진행",P195,M195)))</x:f>
        <x:v>9</x:v>
      </x:c>
      <x:c r="T195" s="7" t="n">
        <x:f>IF(OR(AM195="제외",AM195="완료"),0,IF(AM195&lt;&gt;"입력 OK","",IF(E195="진행",Q195,N195)))</x:f>
        <x:v>14</x:v>
      </x:c>
      <x:c r="U195" s="7" t="n">
        <x:f>IF(OR(AM195="제외",AM195="완료"),0,IF(AM195&lt;&gt;"입력 OK","",IF(E195="진행",R195,O195)))</x:f>
        <x:v>24</x:v>
      </x:c>
      <x:c r="V195" s="11" t="n">
        <x:f>IF(COUNT(S195:U195)&lt;3,"",(S195+4*T195+U195)/6)</x:f>
        <x:v>14.833333333333334</x:v>
      </x:c>
      <x:c r="W195" s="11" t="n">
        <x:f>IF(COUNT(S195:U195)&lt;3,"",((U195-S195)/6)^2)</x:f>
        <x:v>6.25</x:v>
      </x:c>
      <x:c r="X195" s="8" t="str">
        <x:v>MP01</x:v>
      </x:c>
      <x:c r="Y195" s="8" t="str"/>
      <x:c r="Z195" s="8" t="str"/>
      <x:c r="AA195" s="8" t="str"/>
      <x:c r="AB195" s="8" t="str"/>
      <x:c r="AC195" s="8" t="str"/>
      <x:c r="AD195" s="10" t="str">
        <x:f>IF(X195="",0,INDEX($AK$6:$AK$194,MATCH(X195,$A$6:$A$194,0)))</x:f>
      </x:c>
      <x:c r="AE195" s="10" t="n">
        <x:f>IF(Y195="",0,INDEX($AK$6:$AK$194,MATCH(Y195,$A$6:$A$194,0)))</x:f>
        <x:v>0</x:v>
      </x:c>
      <x:c r="AF195" s="10" t="n">
        <x:f>IF(Z195="",0,INDEX($AK$6:$AK$194,MATCH(Z195,$A$6:$A$194,0)))</x:f>
        <x:v>0</x:v>
      </x:c>
      <x:c r="AG195" s="10" t="n">
        <x:f>IF(AA195="",0,INDEX($AK$6:$AK$194,MATCH(AA195,$A$6:$A$194,0)))</x:f>
        <x:v>0</x:v>
      </x:c>
      <x:c r="AH195" s="10" t="n">
        <x:f>IF(AB195="",0,INDEX($AK$6:$AK$194,MATCH(AB195,$A$6:$A$194,0)))</x:f>
        <x:v>0</x:v>
      </x:c>
      <x:c r="AI195" s="10" t="n">
        <x:f>IF(AC195="",0,INDEX($AK$6:$AK$194,MATCH(AC195,$A$6:$A$194,0)))</x:f>
        <x:v>0</x:v>
      </x:c>
      <x:c r="AJ195" s="10" t="str">
        <x:f>IF(AM195="완료",IF(J195="",K195,J195),IF(OR(COUNT('프로젝트설정'!$B$7:$B$8)&lt;2,COUNT(AD195:AI195)&lt;6,COUNT(S195:U195)&lt;3),"",IF(AM195="제외",MAX('프로젝트설정'!$B$7,AD195:AI195),IF(E195="진행",J195,MAX('프로젝트설정'!$B$7:$B$8,L195,AD195:AI195)))))</x:f>
      </x:c>
      <x:c r="AK195" s="10" t="str">
        <x:f>IF(AM195="완료",K195,IF(AJ195="","",IF(E195="진행",MAX('프로젝트설정'!$B$8,AJ195,AD195:AI195)+T195,AJ195+T195)))</x:f>
      </x:c>
      <x:c r="AL195" s="7" t="str">
        <x:f>IF(OR(I195="",AK195=""),"",AK195-I195)</x:f>
      </x:c>
      <x:c r="AM195" s="7" t="str">
        <x:f>IF(OR(D195="제외",E195="제외"),"제외",IF(D195&lt;&gt;"적용","적용성 확인",IF(E195="완료",IF(ISNUMBER(K195),"완료","실제완료 입력"),IF(E195="보류","보류 해제 필요",IF(E195="진행",IF(AND(ISNUMBER(J195),COUNT(P195:R195)=3,P195&gt;=0,P195&lt;=Q195,Q195&lt;=R195),"입력 OK","실제착수·잔여기간 확인"),IF(AND(COUNT(M195:O195)=3,M195&gt;=0,M195&lt;=N195,N195&lt;=O195),"입력 OK","전체기간 확인"))))))</x:f>
        <x:v>입력 OK</x:v>
      </x:c>
      <x:c r="AN195" s="7" t="str">
        <x:v>22</x:v>
      </x:c>
    </x:row>
    <x:row r="196" ht="34" customHeight="1">
      <x:c r="A196" s="7" t="str">
        <x:v>MP03</x:v>
      </x:c>
      <x:c r="B196" s="7" t="str">
        <x:v>22 배관 시공</x:v>
      </x:c>
      <x:c r="C196" s="7" t="str">
        <x:v>주설비 연결배관·밸브·지지대 설치</x:v>
      </x:c>
      <x:c r="D196" s="7" t="str">
        <x:f>'모듈선택'!B27</x:f>
        <x:v>적용</x:v>
      </x:c>
      <x:c r="E196" s="8" t="str">
        <x:v>계획</x:v>
      </x:c>
      <x:c r="F196" s="8" t="str">
        <x:v>배관 시공사 / 감리 / KGS</x:v>
      </x:c>
      <x:c r="G196" s="8" t="str">
        <x:v>Fit-up/weld map, 설치검측</x:v>
      </x:c>
      <x:c r="H196" s="9"/>
      <x:c r="I196" s="9"/>
      <x:c r="J196" s="9"/>
      <x:c r="K196" s="9"/>
      <x:c r="L196" s="9"/>
      <x:c r="M196" s="8" t="n">
        <x:v>14</x:v>
      </x:c>
      <x:c r="N196" s="8" t="n">
        <x:v>21</x:v>
      </x:c>
      <x:c r="O196" s="8" t="n">
        <x:v>36</x:v>
      </x:c>
      <x:c r="P196" s="8"/>
      <x:c r="Q196" s="8"/>
      <x:c r="R196" s="8"/>
      <x:c r="S196" s="7" t="n">
        <x:f>IF(OR(AM196="제외",AM196="완료"),0,IF(AM196&lt;&gt;"입력 OK","",IF(E196="진행",P196,M196)))</x:f>
        <x:v>14</x:v>
      </x:c>
      <x:c r="T196" s="7" t="n">
        <x:f>IF(OR(AM196="제외",AM196="완료"),0,IF(AM196&lt;&gt;"입력 OK","",IF(E196="진행",Q196,N196)))</x:f>
        <x:v>21</x:v>
      </x:c>
      <x:c r="U196" s="7" t="n">
        <x:f>IF(OR(AM196="제외",AM196="완료"),0,IF(AM196&lt;&gt;"입력 OK","",IF(E196="진행",R196,O196)))</x:f>
        <x:v>36</x:v>
      </x:c>
      <x:c r="V196" s="11" t="n">
        <x:f>IF(COUNT(S196:U196)&lt;3,"",(S196+4*T196+U196)/6)</x:f>
        <x:v>22.333333333333332</x:v>
      </x:c>
      <x:c r="W196" s="11" t="n">
        <x:f>IF(COUNT(S196:U196)&lt;3,"",((U196-S196)/6)^2)</x:f>
        <x:v>13.444444444444443</x:v>
      </x:c>
      <x:c r="X196" s="8" t="str">
        <x:v>MP02</x:v>
      </x:c>
      <x:c r="Y196" s="8" t="str"/>
      <x:c r="Z196" s="8" t="str"/>
      <x:c r="AA196" s="8" t="str"/>
      <x:c r="AB196" s="8" t="str"/>
      <x:c r="AC196" s="8" t="str"/>
      <x:c r="AD196" s="10" t="str">
        <x:f>IF(X196="",0,INDEX($AK$6:$AK$195,MATCH(X196,$A$6:$A$195,0)))</x:f>
      </x:c>
      <x:c r="AE196" s="10" t="n">
        <x:f>IF(Y196="",0,INDEX($AK$6:$AK$195,MATCH(Y196,$A$6:$A$195,0)))</x:f>
        <x:v>0</x:v>
      </x:c>
      <x:c r="AF196" s="10" t="n">
        <x:f>IF(Z196="",0,INDEX($AK$6:$AK$195,MATCH(Z196,$A$6:$A$195,0)))</x:f>
        <x:v>0</x:v>
      </x:c>
      <x:c r="AG196" s="10" t="n">
        <x:f>IF(AA196="",0,INDEX($AK$6:$AK$195,MATCH(AA196,$A$6:$A$195,0)))</x:f>
        <x:v>0</x:v>
      </x:c>
      <x:c r="AH196" s="10" t="n">
        <x:f>IF(AB196="",0,INDEX($AK$6:$AK$195,MATCH(AB196,$A$6:$A$195,0)))</x:f>
        <x:v>0</x:v>
      </x:c>
      <x:c r="AI196" s="10" t="n">
        <x:f>IF(AC196="",0,INDEX($AK$6:$AK$195,MATCH(AC196,$A$6:$A$195,0)))</x:f>
        <x:v>0</x:v>
      </x:c>
      <x:c r="AJ196" s="10" t="str">
        <x:f>IF(AM196="완료",IF(J196="",K196,J196),IF(OR(COUNT('프로젝트설정'!$B$7:$B$8)&lt;2,COUNT(AD196:AI196)&lt;6,COUNT(S196:U196)&lt;3),"",IF(AM196="제외",MAX('프로젝트설정'!$B$7,AD196:AI196),IF(E196="진행",J196,MAX('프로젝트설정'!$B$7:$B$8,L196,AD196:AI196)))))</x:f>
      </x:c>
      <x:c r="AK196" s="10" t="str">
        <x:f>IF(AM196="완료",K196,IF(AJ196="","",IF(E196="진행",MAX('프로젝트설정'!$B$8,AJ196,AD196:AI196)+T196,AJ196+T196)))</x:f>
      </x:c>
      <x:c r="AL196" s="7" t="str">
        <x:f>IF(OR(I196="",AK196=""),"",AK196-I196)</x:f>
      </x:c>
      <x:c r="AM196" s="7" t="str">
        <x:f>IF(OR(D196="제외",E196="제외"),"제외",IF(D196&lt;&gt;"적용","적용성 확인",IF(E196="완료",IF(ISNUMBER(K196),"완료","실제완료 입력"),IF(E196="보류","보류 해제 필요",IF(E196="진행",IF(AND(ISNUMBER(J196),COUNT(P196:R196)=3,P196&gt;=0,P196&lt;=Q196,Q196&lt;=R196),"입력 OK","실제착수·잔여기간 확인"),IF(AND(COUNT(M196:O196)=3,M196&gt;=0,M196&lt;=N196,N196&lt;=O196),"입력 OK","전체기간 확인"))))))</x:f>
        <x:v>입력 OK</x:v>
      </x:c>
      <x:c r="AN196" s="7" t="str">
        <x:v>22</x:v>
      </x:c>
    </x:row>
    <x:row r="197" ht="34" customHeight="1">
      <x:c r="A197" s="7" t="str">
        <x:v>MP04</x:v>
      </x:c>
      <x:c r="B197" s="7" t="str">
        <x:v>22 배관 시공</x:v>
      </x:c>
      <x:c r="C197" s="7" t="str">
        <x:v>유틸리티·드레인·벤트·분석배관 설치</x:v>
      </x:c>
      <x:c r="D197" s="7" t="str">
        <x:f>'모듈선택'!B27</x:f>
        <x:v>적용</x:v>
      </x:c>
      <x:c r="E197" s="8" t="str">
        <x:v>계획</x:v>
      </x:c>
      <x:c r="F197" s="8" t="str">
        <x:v>배관 시공사 / 감리 / KGS</x:v>
      </x:c>
      <x:c r="G197" s="8" t="str">
        <x:v>Line walk, tie-in check</x:v>
      </x:c>
      <x:c r="H197" s="9"/>
      <x:c r="I197" s="9"/>
      <x:c r="J197" s="9"/>
      <x:c r="K197" s="9"/>
      <x:c r="L197" s="9"/>
      <x:c r="M197" s="8" t="n">
        <x:v>9</x:v>
      </x:c>
      <x:c r="N197" s="8" t="n">
        <x:v>14</x:v>
      </x:c>
      <x:c r="O197" s="8" t="n">
        <x:v>24</x:v>
      </x:c>
      <x:c r="P197" s="8"/>
      <x:c r="Q197" s="8"/>
      <x:c r="R197" s="8"/>
      <x:c r="S197" s="7" t="n">
        <x:f>IF(OR(AM197="제외",AM197="완료"),0,IF(AM197&lt;&gt;"입력 OK","",IF(E197="진행",P197,M197)))</x:f>
        <x:v>9</x:v>
      </x:c>
      <x:c r="T197" s="7" t="n">
        <x:f>IF(OR(AM197="제외",AM197="완료"),0,IF(AM197&lt;&gt;"입력 OK","",IF(E197="진행",Q197,N197)))</x:f>
        <x:v>14</x:v>
      </x:c>
      <x:c r="U197" s="7" t="n">
        <x:f>IF(OR(AM197="제외",AM197="완료"),0,IF(AM197&lt;&gt;"입력 OK","",IF(E197="진행",R197,O197)))</x:f>
        <x:v>24</x:v>
      </x:c>
      <x:c r="V197" s="11" t="n">
        <x:f>IF(COUNT(S197:U197)&lt;3,"",(S197+4*T197+U197)/6)</x:f>
        <x:v>14.833333333333334</x:v>
      </x:c>
      <x:c r="W197" s="11" t="n">
        <x:f>IF(COUNT(S197:U197)&lt;3,"",((U197-S197)/6)^2)</x:f>
        <x:v>6.25</x:v>
      </x:c>
      <x:c r="X197" s="8" t="str">
        <x:v>MP03</x:v>
      </x:c>
      <x:c r="Y197" s="8" t="str"/>
      <x:c r="Z197" s="8" t="str"/>
      <x:c r="AA197" s="8" t="str"/>
      <x:c r="AB197" s="8" t="str"/>
      <x:c r="AC197" s="8" t="str"/>
      <x:c r="AD197" s="10" t="str">
        <x:f>IF(X197="",0,INDEX($AK$6:$AK$196,MATCH(X197,$A$6:$A$196,0)))</x:f>
      </x:c>
      <x:c r="AE197" s="10" t="n">
        <x:f>IF(Y197="",0,INDEX($AK$6:$AK$196,MATCH(Y197,$A$6:$A$196,0)))</x:f>
        <x:v>0</x:v>
      </x:c>
      <x:c r="AF197" s="10" t="n">
        <x:f>IF(Z197="",0,INDEX($AK$6:$AK$196,MATCH(Z197,$A$6:$A$196,0)))</x:f>
        <x:v>0</x:v>
      </x:c>
      <x:c r="AG197" s="10" t="n">
        <x:f>IF(AA197="",0,INDEX($AK$6:$AK$196,MATCH(AA197,$A$6:$A$196,0)))</x:f>
        <x:v>0</x:v>
      </x:c>
      <x:c r="AH197" s="10" t="n">
        <x:f>IF(AB197="",0,INDEX($AK$6:$AK$196,MATCH(AB197,$A$6:$A$196,0)))</x:f>
        <x:v>0</x:v>
      </x:c>
      <x:c r="AI197" s="10" t="n">
        <x:f>IF(AC197="",0,INDEX($AK$6:$AK$196,MATCH(AC197,$A$6:$A$196,0)))</x:f>
        <x:v>0</x:v>
      </x:c>
      <x:c r="AJ197" s="10" t="str">
        <x:f>IF(AM197="완료",IF(J197="",K197,J197),IF(OR(COUNT('프로젝트설정'!$B$7:$B$8)&lt;2,COUNT(AD197:AI197)&lt;6,COUNT(S197:U197)&lt;3),"",IF(AM197="제외",MAX('프로젝트설정'!$B$7,AD197:AI197),IF(E197="진행",J197,MAX('프로젝트설정'!$B$7:$B$8,L197,AD197:AI197)))))</x:f>
      </x:c>
      <x:c r="AK197" s="10" t="str">
        <x:f>IF(AM197="완료",K197,IF(AJ197="","",IF(E197="진행",MAX('프로젝트설정'!$B$8,AJ197,AD197:AI197)+T197,AJ197+T197)))</x:f>
      </x:c>
      <x:c r="AL197" s="7" t="str">
        <x:f>IF(OR(I197="",AK197=""),"",AK197-I197)</x:f>
      </x:c>
      <x:c r="AM197" s="7" t="str">
        <x:f>IF(OR(D197="제외",E197="제외"),"제외",IF(D197&lt;&gt;"적용","적용성 확인",IF(E197="완료",IF(ISNUMBER(K197),"완료","실제완료 입력"),IF(E197="보류","보류 해제 필요",IF(E197="진행",IF(AND(ISNUMBER(J197),COUNT(P197:R197)=3,P197&gt;=0,P197&lt;=Q197,Q197&lt;=R197),"입력 OK","실제착수·잔여기간 확인"),IF(AND(COUNT(M197:O197)=3,M197&gt;=0,M197&lt;=N197,N197&lt;=O197),"입력 OK","전체기간 확인"))))))</x:f>
        <x:v>입력 OK</x:v>
      </x:c>
      <x:c r="AN197" s="7" t="str">
        <x:v>22</x:v>
      </x:c>
    </x:row>
    <x:row r="198" ht="34" customHeight="1">
      <x:c r="A198" s="7" t="str">
        <x:v>MP05</x:v>
      </x:c>
      <x:c r="B198" s="7" t="str">
        <x:v>22 배관 시공</x:v>
      </x:c>
      <x:c r="C198" s="7" t="str">
        <x:v>NDE 및 결함 보수·재검사</x:v>
      </x:c>
      <x:c r="D198" s="7" t="str">
        <x:f>'모듈선택'!B27</x:f>
        <x:v>적용</x:v>
      </x:c>
      <x:c r="E198" s="8" t="str">
        <x:v>계획</x:v>
      </x:c>
      <x:c r="F198" s="8" t="str">
        <x:v>배관 시공사 / 감리 / KGS</x:v>
      </x:c>
      <x:c r="G198" s="8" t="str">
        <x:v>NDE report, repair log</x:v>
      </x:c>
      <x:c r="H198" s="9"/>
      <x:c r="I198" s="9"/>
      <x:c r="J198" s="9"/>
      <x:c r="K198" s="9"/>
      <x:c r="L198" s="9"/>
      <x:c r="M198" s="8" t="n">
        <x:v>5</x:v>
      </x:c>
      <x:c r="N198" s="8" t="n">
        <x:v>7</x:v>
      </x:c>
      <x:c r="O198" s="8" t="n">
        <x:v>12</x:v>
      </x:c>
      <x:c r="P198" s="8"/>
      <x:c r="Q198" s="8"/>
      <x:c r="R198" s="8"/>
      <x:c r="S198" s="7" t="n">
        <x:f>IF(OR(AM198="제외",AM198="완료"),0,IF(AM198&lt;&gt;"입력 OK","",IF(E198="진행",P198,M198)))</x:f>
        <x:v>5</x:v>
      </x:c>
      <x:c r="T198" s="7" t="n">
        <x:f>IF(OR(AM198="제외",AM198="완료"),0,IF(AM198&lt;&gt;"입력 OK","",IF(E198="진행",Q198,N198)))</x:f>
        <x:v>7</x:v>
      </x:c>
      <x:c r="U198" s="7" t="n">
        <x:f>IF(OR(AM198="제외",AM198="완료"),0,IF(AM198&lt;&gt;"입력 OK","",IF(E198="진행",R198,O198)))</x:f>
        <x:v>12</x:v>
      </x:c>
      <x:c r="V198" s="11" t="n">
        <x:f>IF(COUNT(S198:U198)&lt;3,"",(S198+4*T198+U198)/6)</x:f>
        <x:v>7.5</x:v>
      </x:c>
      <x:c r="W198" s="11" t="n">
        <x:f>IF(COUNT(S198:U198)&lt;3,"",((U198-S198)/6)^2)</x:f>
        <x:v>1.3611111111111114</x:v>
      </x:c>
      <x:c r="X198" s="8" t="str">
        <x:v>MP04</x:v>
      </x:c>
      <x:c r="Y198" s="8" t="str"/>
      <x:c r="Z198" s="8" t="str"/>
      <x:c r="AA198" s="8" t="str"/>
      <x:c r="AB198" s="8" t="str"/>
      <x:c r="AC198" s="8" t="str"/>
      <x:c r="AD198" s="10" t="str">
        <x:f>IF(X198="",0,INDEX($AK$6:$AK$197,MATCH(X198,$A$6:$A$197,0)))</x:f>
      </x:c>
      <x:c r="AE198" s="10" t="n">
        <x:f>IF(Y198="",0,INDEX($AK$6:$AK$197,MATCH(Y198,$A$6:$A$197,0)))</x:f>
        <x:v>0</x:v>
      </x:c>
      <x:c r="AF198" s="10" t="n">
        <x:f>IF(Z198="",0,INDEX($AK$6:$AK$197,MATCH(Z198,$A$6:$A$197,0)))</x:f>
        <x:v>0</x:v>
      </x:c>
      <x:c r="AG198" s="10" t="n">
        <x:f>IF(AA198="",0,INDEX($AK$6:$AK$197,MATCH(AA198,$A$6:$A$197,0)))</x:f>
        <x:v>0</x:v>
      </x:c>
      <x:c r="AH198" s="10" t="n">
        <x:f>IF(AB198="",0,INDEX($AK$6:$AK$197,MATCH(AB198,$A$6:$A$197,0)))</x:f>
        <x:v>0</x:v>
      </x:c>
      <x:c r="AI198" s="10" t="n">
        <x:f>IF(AC198="",0,INDEX($AK$6:$AK$197,MATCH(AC198,$A$6:$A$197,0)))</x:f>
        <x:v>0</x:v>
      </x:c>
      <x:c r="AJ198" s="10" t="str">
        <x:f>IF(AM198="완료",IF(J198="",K198,J198),IF(OR(COUNT('프로젝트설정'!$B$7:$B$8)&lt;2,COUNT(AD198:AI198)&lt;6,COUNT(S198:U198)&lt;3),"",IF(AM198="제외",MAX('프로젝트설정'!$B$7,AD198:AI198),IF(E198="진행",J198,MAX('프로젝트설정'!$B$7:$B$8,L198,AD198:AI198)))))</x:f>
      </x:c>
      <x:c r="AK198" s="10" t="str">
        <x:f>IF(AM198="완료",K198,IF(AJ198="","",IF(E198="진행",MAX('프로젝트설정'!$B$8,AJ198,AD198:AI198)+T198,AJ198+T198)))</x:f>
      </x:c>
      <x:c r="AL198" s="7" t="str">
        <x:f>IF(OR(I198="",AK198=""),"",AK198-I198)</x:f>
      </x:c>
      <x:c r="AM198" s="7" t="str">
        <x:f>IF(OR(D198="제외",E198="제외"),"제외",IF(D198&lt;&gt;"적용","적용성 확인",IF(E198="완료",IF(ISNUMBER(K198),"완료","실제완료 입력"),IF(E198="보류","보류 해제 필요",IF(E198="진행",IF(AND(ISNUMBER(J198),COUNT(P198:R198)=3,P198&gt;=0,P198&lt;=Q198,Q198&lt;=R198),"입력 OK","실제착수·잔여기간 확인"),IF(AND(COUNT(M198:O198)=3,M198&gt;=0,M198&lt;=N198,N198&lt;=O198),"입력 OK","전체기간 확인"))))))</x:f>
        <x:v>입력 OK</x:v>
      </x:c>
      <x:c r="AN198" s="7" t="str">
        <x:v>22</x:v>
      </x:c>
    </x:row>
    <x:row r="199" ht="34" customHeight="1">
      <x:c r="A199" s="7" t="str">
        <x:v>MP06</x:v>
      </x:c>
      <x:c r="B199" s="7" t="str">
        <x:v>22 배관 시공</x:v>
      </x:c>
      <x:c r="C199" s="7" t="str">
        <x:v>자체 내압·기밀시험 준비/수행</x:v>
      </x:c>
      <x:c r="D199" s="7" t="str">
        <x:f>'모듈선택'!B27</x:f>
        <x:v>적용</x:v>
      </x:c>
      <x:c r="E199" s="8" t="str">
        <x:v>계획</x:v>
      </x:c>
      <x:c r="F199" s="8" t="str">
        <x:v>배관 시공사 / 감리 / KGS</x:v>
      </x:c>
      <x:c r="G199" s="8" t="str">
        <x:v>Test package, calibrated gauge</x:v>
      </x:c>
      <x:c r="H199" s="9"/>
      <x:c r="I199" s="9"/>
      <x:c r="J199" s="9"/>
      <x:c r="K199" s="9"/>
      <x:c r="L199" s="9"/>
      <x:c r="M199" s="8" t="n">
        <x:v>3</x:v>
      </x:c>
      <x:c r="N199" s="8" t="n">
        <x:v>5</x:v>
      </x:c>
      <x:c r="O199" s="8" t="n">
        <x:v>9</x:v>
      </x:c>
      <x:c r="P199" s="8"/>
      <x:c r="Q199" s="8"/>
      <x:c r="R199" s="8"/>
      <x:c r="S199" s="7" t="n">
        <x:f>IF(OR(AM199="제외",AM199="완료"),0,IF(AM199&lt;&gt;"입력 OK","",IF(E199="진행",P199,M199)))</x:f>
        <x:v>3</x:v>
      </x:c>
      <x:c r="T199" s="7" t="n">
        <x:f>IF(OR(AM199="제외",AM199="완료"),0,IF(AM199&lt;&gt;"입력 OK","",IF(E199="진행",Q199,N199)))</x:f>
        <x:v>5</x:v>
      </x:c>
      <x:c r="U199" s="7" t="n">
        <x:f>IF(OR(AM199="제외",AM199="완료"),0,IF(AM199&lt;&gt;"입력 OK","",IF(E199="진행",R199,O199)))</x:f>
        <x:v>9</x:v>
      </x:c>
      <x:c r="V199" s="11" t="n">
        <x:f>IF(COUNT(S199:U199)&lt;3,"",(S199+4*T199+U199)/6)</x:f>
        <x:v>5.333333333333333</x:v>
      </x:c>
      <x:c r="W199" s="11" t="n">
        <x:f>IF(COUNT(S199:U199)&lt;3,"",((U199-S199)/6)^2)</x:f>
        <x:v>1</x:v>
      </x:c>
      <x:c r="X199" s="8" t="str">
        <x:v>MP05</x:v>
      </x:c>
      <x:c r="Y199" s="8" t="str"/>
      <x:c r="Z199" s="8" t="str"/>
      <x:c r="AA199" s="8" t="str"/>
      <x:c r="AB199" s="8" t="str"/>
      <x:c r="AC199" s="8" t="str"/>
      <x:c r="AD199" s="10" t="str">
        <x:f>IF(X199="",0,INDEX($AK$6:$AK$198,MATCH(X199,$A$6:$A$198,0)))</x:f>
      </x:c>
      <x:c r="AE199" s="10" t="n">
        <x:f>IF(Y199="",0,INDEX($AK$6:$AK$198,MATCH(Y199,$A$6:$A$198,0)))</x:f>
        <x:v>0</x:v>
      </x:c>
      <x:c r="AF199" s="10" t="n">
        <x:f>IF(Z199="",0,INDEX($AK$6:$AK$198,MATCH(Z199,$A$6:$A$198,0)))</x:f>
        <x:v>0</x:v>
      </x:c>
      <x:c r="AG199" s="10" t="n">
        <x:f>IF(AA199="",0,INDEX($AK$6:$AK$198,MATCH(AA199,$A$6:$A$198,0)))</x:f>
        <x:v>0</x:v>
      </x:c>
      <x:c r="AH199" s="10" t="n">
        <x:f>IF(AB199="",0,INDEX($AK$6:$AK$198,MATCH(AB199,$A$6:$A$198,0)))</x:f>
        <x:v>0</x:v>
      </x:c>
      <x:c r="AI199" s="10" t="n">
        <x:f>IF(AC199="",0,INDEX($AK$6:$AK$198,MATCH(AC199,$A$6:$A$198,0)))</x:f>
        <x:v>0</x:v>
      </x:c>
      <x:c r="AJ199" s="10" t="str">
        <x:f>IF(AM199="완료",IF(J199="",K199,J199),IF(OR(COUNT('프로젝트설정'!$B$7:$B$8)&lt;2,COUNT(AD199:AI199)&lt;6,COUNT(S199:U199)&lt;3),"",IF(AM199="제외",MAX('프로젝트설정'!$B$7,AD199:AI199),IF(E199="진행",J199,MAX('프로젝트설정'!$B$7:$B$8,L199,AD199:AI199)))))</x:f>
      </x:c>
      <x:c r="AK199" s="10" t="str">
        <x:f>IF(AM199="완료",K199,IF(AJ199="","",IF(E199="진행",MAX('프로젝트설정'!$B$8,AJ199,AD199:AI199)+T199,AJ199+T199)))</x:f>
      </x:c>
      <x:c r="AL199" s="7" t="str">
        <x:f>IF(OR(I199="",AK199=""),"",AK199-I199)</x:f>
      </x:c>
      <x:c r="AM199" s="7" t="str">
        <x:f>IF(OR(D199="제외",E199="제외"),"제외",IF(D199&lt;&gt;"적용","적용성 확인",IF(E199="완료",IF(ISNUMBER(K199),"완료","실제완료 입력"),IF(E199="보류","보류 해제 필요",IF(E199="진행",IF(AND(ISNUMBER(J199),COUNT(P199:R199)=3,P199&gt;=0,P199&lt;=Q199,Q199&lt;=R199),"입력 OK","실제착수·잔여기간 확인"),IF(AND(COUNT(M199:O199)=3,M199&gt;=0,M199&lt;=N199,N199&lt;=O199),"입력 OK","전체기간 확인"))))))</x:f>
        <x:v>입력 OK</x:v>
      </x:c>
      <x:c r="AN199" s="7" t="str">
        <x:v>22</x:v>
      </x:c>
    </x:row>
    <x:row r="200" ht="34" customHeight="1">
      <x:c r="A200" s="7" t="str">
        <x:v>MP07</x:v>
      </x:c>
      <x:c r="B200" s="7" t="str">
        <x:v>22 배관 시공</x:v>
      </x:c>
      <x:c r="C200" s="7" t="str">
        <x:v>KGS 배관 중간검사 입회 및 지적조치</x:v>
      </x:c>
      <x:c r="D200" s="7" t="str">
        <x:f>'모듈선택'!B27</x:f>
        <x:v>적용</x:v>
      </x:c>
      <x:c r="E200" s="8" t="str">
        <x:v>계획</x:v>
      </x:c>
      <x:c r="F200" s="8" t="str">
        <x:v>배관 시공사 / 감리 / KGS</x:v>
      </x:c>
      <x:c r="G200" s="8" t="str">
        <x:v>검사결과; 매립/단열 전 조건 확인</x:v>
      </x:c>
      <x:c r="H200" s="9"/>
      <x:c r="I200" s="9"/>
      <x:c r="J200" s="9"/>
      <x:c r="K200" s="9"/>
      <x:c r="L200" s="9"/>
      <x:c r="M200" s="8" t="n">
        <x:v>2</x:v>
      </x:c>
      <x:c r="N200" s="8" t="n">
        <x:v>3</x:v>
      </x:c>
      <x:c r="O200" s="8" t="n">
        <x:v>6</x:v>
      </x:c>
      <x:c r="P200" s="8"/>
      <x:c r="Q200" s="8"/>
      <x:c r="R200" s="8"/>
      <x:c r="S200" s="7" t="n">
        <x:f>IF(OR(AM200="제외",AM200="완료"),0,IF(AM200&lt;&gt;"입력 OK","",IF(E200="진행",P200,M200)))</x:f>
        <x:v>2</x:v>
      </x:c>
      <x:c r="T200" s="7" t="n">
        <x:f>IF(OR(AM200="제외",AM200="완료"),0,IF(AM200&lt;&gt;"입력 OK","",IF(E200="진행",Q200,N200)))</x:f>
        <x:v>3</x:v>
      </x:c>
      <x:c r="U200" s="7" t="n">
        <x:f>IF(OR(AM200="제외",AM200="완료"),0,IF(AM200&lt;&gt;"입력 OK","",IF(E200="진행",R200,O200)))</x:f>
        <x:v>6</x:v>
      </x:c>
      <x:c r="V200" s="11" t="n">
        <x:f>IF(COUNT(S200:U200)&lt;3,"",(S200+4*T200+U200)/6)</x:f>
        <x:v>3.3333333333333335</x:v>
      </x:c>
      <x:c r="W200" s="11" t="n">
        <x:f>IF(COUNT(S200:U200)&lt;3,"",((U200-S200)/6)^2)</x:f>
        <x:v>0.4444444444444444</x:v>
      </x:c>
      <x:c r="X200" s="8" t="str">
        <x:v>MP06</x:v>
      </x:c>
      <x:c r="Y200" s="8" t="str"/>
      <x:c r="Z200" s="8" t="str"/>
      <x:c r="AA200" s="8" t="str"/>
      <x:c r="AB200" s="8" t="str"/>
      <x:c r="AC200" s="8" t="str"/>
      <x:c r="AD200" s="10" t="str">
        <x:f>IF(X200="",0,INDEX($AK$6:$AK$199,MATCH(X200,$A$6:$A$199,0)))</x:f>
      </x:c>
      <x:c r="AE200" s="10" t="n">
        <x:f>IF(Y200="",0,INDEX($AK$6:$AK$199,MATCH(Y200,$A$6:$A$199,0)))</x:f>
        <x:v>0</x:v>
      </x:c>
      <x:c r="AF200" s="10" t="n">
        <x:f>IF(Z200="",0,INDEX($AK$6:$AK$199,MATCH(Z200,$A$6:$A$199,0)))</x:f>
        <x:v>0</x:v>
      </x:c>
      <x:c r="AG200" s="10" t="n">
        <x:f>IF(AA200="",0,INDEX($AK$6:$AK$199,MATCH(AA200,$A$6:$A$199,0)))</x:f>
        <x:v>0</x:v>
      </x:c>
      <x:c r="AH200" s="10" t="n">
        <x:f>IF(AB200="",0,INDEX($AK$6:$AK$199,MATCH(AB200,$A$6:$A$199,0)))</x:f>
        <x:v>0</x:v>
      </x:c>
      <x:c r="AI200" s="10" t="n">
        <x:f>IF(AC200="",0,INDEX($AK$6:$AK$199,MATCH(AC200,$A$6:$A$199,0)))</x:f>
        <x:v>0</x:v>
      </x:c>
      <x:c r="AJ200" s="10" t="str">
        <x:f>IF(AM200="완료",IF(J200="",K200,J200),IF(OR(COUNT('프로젝트설정'!$B$7:$B$8)&lt;2,COUNT(AD200:AI200)&lt;6,COUNT(S200:U200)&lt;3),"",IF(AM200="제외",MAX('프로젝트설정'!$B$7,AD200:AI200),IF(E200="진행",J200,MAX('프로젝트설정'!$B$7:$B$8,L200,AD200:AI200)))))</x:f>
      </x:c>
      <x:c r="AK200" s="10" t="str">
        <x:f>IF(AM200="완료",K200,IF(AJ200="","",IF(E200="진행",MAX('프로젝트설정'!$B$8,AJ200,AD200:AI200)+T200,AJ200+T200)))</x:f>
      </x:c>
      <x:c r="AL200" s="7" t="str">
        <x:f>IF(OR(I200="",AK200=""),"",AK200-I200)</x:f>
      </x:c>
      <x:c r="AM200" s="7" t="str">
        <x:f>IF(OR(D200="제외",E200="제외"),"제외",IF(D200&lt;&gt;"적용","적용성 확인",IF(E200="완료",IF(ISNUMBER(K200),"완료","실제완료 입력"),IF(E200="보류","보류 해제 필요",IF(E200="진행",IF(AND(ISNUMBER(J200),COUNT(P200:R200)=3,P200&gt;=0,P200&lt;=Q200,Q200&lt;=R200),"입력 OK","실제착수·잔여기간 확인"),IF(AND(COUNT(M200:O200)=3,M200&gt;=0,M200&lt;=N200,N200&lt;=O200),"입력 OK","전체기간 확인"))))))</x:f>
        <x:v>입력 OK</x:v>
      </x:c>
      <x:c r="AN200" s="7" t="str">
        <x:v>22</x:v>
      </x:c>
    </x:row>
    <x:row r="201" ht="34" customHeight="1">
      <x:c r="A201" s="7" t="str">
        <x:v>MP08</x:v>
      </x:c>
      <x:c r="B201" s="7" t="str">
        <x:v>22 배관 시공</x:v>
      </x:c>
      <x:c r="C201" s="7" t="str">
        <x:v>세정·플러싱·건조·복구·라인체크</x:v>
      </x:c>
      <x:c r="D201" s="7" t="str">
        <x:f>'모듈선택'!B27</x:f>
        <x:v>적용</x:v>
      </x:c>
      <x:c r="E201" s="8" t="str">
        <x:v>계획</x:v>
      </x:c>
      <x:c r="F201" s="8" t="str">
        <x:v>배관 시공사 / 감리 / KGS</x:v>
      </x:c>
      <x:c r="G201" s="8" t="str">
        <x:v>Cleaning/drying, reinstatement</x:v>
      </x:c>
      <x:c r="H201" s="9"/>
      <x:c r="I201" s="9"/>
      <x:c r="J201" s="9"/>
      <x:c r="K201" s="9"/>
      <x:c r="L201" s="9"/>
      <x:c r="M201" s="8" t="n">
        <x:v>5</x:v>
      </x:c>
      <x:c r="N201" s="8" t="n">
        <x:v>7</x:v>
      </x:c>
      <x:c r="O201" s="8" t="n">
        <x:v>12</x:v>
      </x:c>
      <x:c r="P201" s="8"/>
      <x:c r="Q201" s="8"/>
      <x:c r="R201" s="8"/>
      <x:c r="S201" s="7" t="n">
        <x:f>IF(OR(AM201="제외",AM201="완료"),0,IF(AM201&lt;&gt;"입력 OK","",IF(E201="진행",P201,M201)))</x:f>
        <x:v>5</x:v>
      </x:c>
      <x:c r="T201" s="7" t="n">
        <x:f>IF(OR(AM201="제외",AM201="완료"),0,IF(AM201&lt;&gt;"입력 OK","",IF(E201="진행",Q201,N201)))</x:f>
        <x:v>7</x:v>
      </x:c>
      <x:c r="U201" s="7" t="n">
        <x:f>IF(OR(AM201="제외",AM201="완료"),0,IF(AM201&lt;&gt;"입력 OK","",IF(E201="진행",R201,O201)))</x:f>
        <x:v>12</x:v>
      </x:c>
      <x:c r="V201" s="11" t="n">
        <x:f>IF(COUNT(S201:U201)&lt;3,"",(S201+4*T201+U201)/6)</x:f>
        <x:v>7.5</x:v>
      </x:c>
      <x:c r="W201" s="11" t="n">
        <x:f>IF(COUNT(S201:U201)&lt;3,"",((U201-S201)/6)^2)</x:f>
        <x:v>1.3611111111111114</x:v>
      </x:c>
      <x:c r="X201" s="8" t="str">
        <x:v>MP07</x:v>
      </x:c>
      <x:c r="Y201" s="8" t="str"/>
      <x:c r="Z201" s="8" t="str"/>
      <x:c r="AA201" s="8" t="str"/>
      <x:c r="AB201" s="8" t="str"/>
      <x:c r="AC201" s="8" t="str"/>
      <x:c r="AD201" s="10" t="str">
        <x:f>IF(X201="",0,INDEX($AK$6:$AK$200,MATCH(X201,$A$6:$A$200,0)))</x:f>
      </x:c>
      <x:c r="AE201" s="10" t="n">
        <x:f>IF(Y201="",0,INDEX($AK$6:$AK$200,MATCH(Y201,$A$6:$A$200,0)))</x:f>
        <x:v>0</x:v>
      </x:c>
      <x:c r="AF201" s="10" t="n">
        <x:f>IF(Z201="",0,INDEX($AK$6:$AK$200,MATCH(Z201,$A$6:$A$200,0)))</x:f>
        <x:v>0</x:v>
      </x:c>
      <x:c r="AG201" s="10" t="n">
        <x:f>IF(AA201="",0,INDEX($AK$6:$AK$200,MATCH(AA201,$A$6:$A$200,0)))</x:f>
        <x:v>0</x:v>
      </x:c>
      <x:c r="AH201" s="10" t="n">
        <x:f>IF(AB201="",0,INDEX($AK$6:$AK$200,MATCH(AB201,$A$6:$A$200,0)))</x:f>
        <x:v>0</x:v>
      </x:c>
      <x:c r="AI201" s="10" t="n">
        <x:f>IF(AC201="",0,INDEX($AK$6:$AK$200,MATCH(AC201,$A$6:$A$200,0)))</x:f>
        <x:v>0</x:v>
      </x:c>
      <x:c r="AJ201" s="10" t="str">
        <x:f>IF(AM201="완료",IF(J201="",K201,J201),IF(OR(COUNT('프로젝트설정'!$B$7:$B$8)&lt;2,COUNT(AD201:AI201)&lt;6,COUNT(S201:U201)&lt;3),"",IF(AM201="제외",MAX('프로젝트설정'!$B$7,AD201:AI201),IF(E201="진행",J201,MAX('프로젝트설정'!$B$7:$B$8,L201,AD201:AI201)))))</x:f>
      </x:c>
      <x:c r="AK201" s="10" t="str">
        <x:f>IF(AM201="완료",K201,IF(AJ201="","",IF(E201="진행",MAX('프로젝트설정'!$B$8,AJ201,AD201:AI201)+T201,AJ201+T201)))</x:f>
      </x:c>
      <x:c r="AL201" s="7" t="str">
        <x:f>IF(OR(I201="",AK201=""),"",AK201-I201)</x:f>
      </x:c>
      <x:c r="AM201" s="7" t="str">
        <x:f>IF(OR(D201="제외",E201="제외"),"제외",IF(D201&lt;&gt;"적용","적용성 확인",IF(E201="완료",IF(ISNUMBER(K201),"완료","실제완료 입력"),IF(E201="보류","보류 해제 필요",IF(E201="진행",IF(AND(ISNUMBER(J201),COUNT(P201:R201)=3,P201&gt;=0,P201&lt;=Q201,Q201&lt;=R201),"입력 OK","실제착수·잔여기간 확인"),IF(AND(COUNT(M201:O201)=3,M201&gt;=0,M201&lt;=N201,N201&lt;=O201),"입력 OK","전체기간 확인"))))))</x:f>
        <x:v>입력 OK</x:v>
      </x:c>
      <x:c r="AN201" s="7" t="str">
        <x:v>22</x:v>
      </x:c>
    </x:row>
    <x:row r="202" ht="34" customHeight="1">
      <x:c r="A202" s="7" t="str">
        <x:v>MP09</x:v>
      </x:c>
      <x:c r="B202" s="7" t="str">
        <x:v>22 배관 시공</x:v>
      </x:c>
      <x:c r="C202" s="7" t="str">
        <x:v>배관 Mechanical completion 확인</x:v>
      </x:c>
      <x:c r="D202" s="7" t="str">
        <x:f>'모듈선택'!B27</x:f>
        <x:v>적용</x:v>
      </x:c>
      <x:c r="E202" s="8" t="str">
        <x:v>계획</x:v>
      </x:c>
      <x:c r="F202" s="8" t="str">
        <x:v>배관 시공사 / 감리 / KGS</x:v>
      </x:c>
      <x:c r="G202" s="8" t="str">
        <x:v>MC dossier, punch A 종료</x:v>
      </x:c>
      <x:c r="H202" s="9"/>
      <x:c r="I202" s="9"/>
      <x:c r="J202" s="9"/>
      <x:c r="K202" s="9"/>
      <x:c r="L202" s="9"/>
      <x:c r="M202" s="8" t="n">
        <x:v>2</x:v>
      </x:c>
      <x:c r="N202" s="8" t="n">
        <x:v>3</x:v>
      </x:c>
      <x:c r="O202" s="8" t="n">
        <x:v>6</x:v>
      </x:c>
      <x:c r="P202" s="8"/>
      <x:c r="Q202" s="8"/>
      <x:c r="R202" s="8"/>
      <x:c r="S202" s="7" t="n">
        <x:f>IF(OR(AM202="제외",AM202="완료"),0,IF(AM202&lt;&gt;"입력 OK","",IF(E202="진행",P202,M202)))</x:f>
        <x:v>2</x:v>
      </x:c>
      <x:c r="T202" s="7" t="n">
        <x:f>IF(OR(AM202="제외",AM202="완료"),0,IF(AM202&lt;&gt;"입력 OK","",IF(E202="진행",Q202,N202)))</x:f>
        <x:v>3</x:v>
      </x:c>
      <x:c r="U202" s="7" t="n">
        <x:f>IF(OR(AM202="제외",AM202="완료"),0,IF(AM202&lt;&gt;"입력 OK","",IF(E202="진행",R202,O202)))</x:f>
        <x:v>6</x:v>
      </x:c>
      <x:c r="V202" s="11" t="n">
        <x:f>IF(COUNT(S202:U202)&lt;3,"",(S202+4*T202+U202)/6)</x:f>
        <x:v>3.3333333333333335</x:v>
      </x:c>
      <x:c r="W202" s="11" t="n">
        <x:f>IF(COUNT(S202:U202)&lt;3,"",((U202-S202)/6)^2)</x:f>
        <x:v>0.4444444444444444</x:v>
      </x:c>
      <x:c r="X202" s="8" t="str">
        <x:v>MP08</x:v>
      </x:c>
      <x:c r="Y202" s="8" t="str"/>
      <x:c r="Z202" s="8" t="str"/>
      <x:c r="AA202" s="8" t="str"/>
      <x:c r="AB202" s="8" t="str"/>
      <x:c r="AC202" s="8" t="str"/>
      <x:c r="AD202" s="10" t="str">
        <x:f>IF(X202="",0,INDEX($AK$6:$AK$201,MATCH(X202,$A$6:$A$201,0)))</x:f>
      </x:c>
      <x:c r="AE202" s="10" t="n">
        <x:f>IF(Y202="",0,INDEX($AK$6:$AK$201,MATCH(Y202,$A$6:$A$201,0)))</x:f>
        <x:v>0</x:v>
      </x:c>
      <x:c r="AF202" s="10" t="n">
        <x:f>IF(Z202="",0,INDEX($AK$6:$AK$201,MATCH(Z202,$A$6:$A$201,0)))</x:f>
        <x:v>0</x:v>
      </x:c>
      <x:c r="AG202" s="10" t="n">
        <x:f>IF(AA202="",0,INDEX($AK$6:$AK$201,MATCH(AA202,$A$6:$A$201,0)))</x:f>
        <x:v>0</x:v>
      </x:c>
      <x:c r="AH202" s="10" t="n">
        <x:f>IF(AB202="",0,INDEX($AK$6:$AK$201,MATCH(AB202,$A$6:$A$201,0)))</x:f>
        <x:v>0</x:v>
      </x:c>
      <x:c r="AI202" s="10" t="n">
        <x:f>IF(AC202="",0,INDEX($AK$6:$AK$201,MATCH(AC202,$A$6:$A$201,0)))</x:f>
        <x:v>0</x:v>
      </x:c>
      <x:c r="AJ202" s="10" t="str">
        <x:f>IF(AM202="완료",IF(J202="",K202,J202),IF(OR(COUNT('프로젝트설정'!$B$7:$B$8)&lt;2,COUNT(AD202:AI202)&lt;6,COUNT(S202:U202)&lt;3),"",IF(AM202="제외",MAX('프로젝트설정'!$B$7,AD202:AI202),IF(E202="진행",J202,MAX('프로젝트설정'!$B$7:$B$8,L202,AD202:AI202)))))</x:f>
      </x:c>
      <x:c r="AK202" s="10" t="str">
        <x:f>IF(AM202="완료",K202,IF(AJ202="","",IF(E202="진행",MAX('프로젝트설정'!$B$8,AJ202,AD202:AI202)+T202,AJ202+T202)))</x:f>
      </x:c>
      <x:c r="AL202" s="7" t="str">
        <x:f>IF(OR(I202="",AK202=""),"",AK202-I202)</x:f>
      </x:c>
      <x:c r="AM202" s="7" t="str">
        <x:f>IF(OR(D202="제외",E202="제외"),"제외",IF(D202&lt;&gt;"적용","적용성 확인",IF(E202="완료",IF(ISNUMBER(K202),"완료","실제완료 입력"),IF(E202="보류","보류 해제 필요",IF(E202="진행",IF(AND(ISNUMBER(J202),COUNT(P202:R202)=3,P202&gt;=0,P202&lt;=Q202,Q202&lt;=R202),"입력 OK","실제착수·잔여기간 확인"),IF(AND(COUNT(M202:O202)=3,M202&gt;=0,M202&lt;=N202,N202&lt;=O202),"입력 OK","전체기간 확인"))))))</x:f>
        <x:v>입력 OK</x:v>
      </x:c>
      <x:c r="AN202" s="7" t="str">
        <x:v>22</x:v>
      </x:c>
    </x:row>
    <x:row r="203" ht="34" customHeight="1">
      <x:c r="A203" s="7" t="str">
        <x:v>EC01</x:v>
      </x:c>
      <x:c r="B203" s="7" t="str">
        <x:v>23 전기·계장 시공</x:v>
      </x:c>
      <x:c r="C203" s="7" t="str">
        <x:v>수전반·PLC반 반입·설치검측</x:v>
      </x:c>
      <x:c r="D203" s="7" t="str">
        <x:f>'모듈선택'!B28</x:f>
        <x:v>적용</x:v>
      </x:c>
      <x:c r="E203" s="8" t="str">
        <x:v>계획</x:v>
      </x:c>
      <x:c r="F203" s="8" t="str">
        <x:v>전기·계장 시공사 / PLC 벤더</x:v>
      </x:c>
      <x:c r="G203" s="8" t="str">
        <x:v>설치검측, panel certificate</x:v>
      </x:c>
      <x:c r="H203" s="9"/>
      <x:c r="I203" s="9"/>
      <x:c r="J203" s="9"/>
      <x:c r="K203" s="9"/>
      <x:c r="L203" s="9"/>
      <x:c r="M203" s="8" t="n">
        <x:v>3</x:v>
      </x:c>
      <x:c r="N203" s="8" t="n">
        <x:v>5</x:v>
      </x:c>
      <x:c r="O203" s="8" t="n">
        <x:v>9</x:v>
      </x:c>
      <x:c r="P203" s="8"/>
      <x:c r="Q203" s="8"/>
      <x:c r="R203" s="8"/>
      <x:c r="S203" s="7" t="n">
        <x:f>IF(OR(AM203="제외",AM203="완료"),0,IF(AM203&lt;&gt;"입력 OK","",IF(E203="진행",P203,M203)))</x:f>
        <x:v>3</x:v>
      </x:c>
      <x:c r="T203" s="7" t="n">
        <x:f>IF(OR(AM203="제외",AM203="완료"),0,IF(AM203&lt;&gt;"입력 OK","",IF(E203="진행",Q203,N203)))</x:f>
        <x:v>5</x:v>
      </x:c>
      <x:c r="U203" s="7" t="n">
        <x:f>IF(OR(AM203="제외",AM203="완료"),0,IF(AM203&lt;&gt;"입력 OK","",IF(E203="진행",R203,O203)))</x:f>
        <x:v>9</x:v>
      </x:c>
      <x:c r="V203" s="11" t="n">
        <x:f>IF(COUNT(S203:U203)&lt;3,"",(S203+4*T203+U203)/6)</x:f>
        <x:v>5.333333333333333</x:v>
      </x:c>
      <x:c r="W203" s="11" t="n">
        <x:f>IF(COUNT(S203:U203)&lt;3,"",((U203-S203)/6)^2)</x:f>
        <x:v>1</x:v>
      </x:c>
      <x:c r="X203" s="8" t="str">
        <x:v>INPN01</x:v>
      </x:c>
      <x:c r="Y203" s="8" t="str">
        <x:v>EL07</x:v>
      </x:c>
      <x:c r="Z203" s="8" t="str">
        <x:v>IC07</x:v>
      </x:c>
      <x:c r="AA203" s="8" t="str"/>
      <x:c r="AB203" s="8" t="str"/>
      <x:c r="AC203" s="8" t="str"/>
      <x:c r="AD203" s="10" t="str">
        <x:f>IF(X203="",0,INDEX($AK$6:$AK$202,MATCH(X203,$A$6:$A$202,0)))</x:f>
      </x:c>
      <x:c r="AE203" s="10" t="str">
        <x:f>IF(Y203="",0,INDEX($AK$6:$AK$202,MATCH(Y203,$A$6:$A$202,0)))</x:f>
      </x:c>
      <x:c r="AF203" s="10" t="str">
        <x:f>IF(Z203="",0,INDEX($AK$6:$AK$202,MATCH(Z203,$A$6:$A$202,0)))</x:f>
      </x:c>
      <x:c r="AG203" s="10" t="n">
        <x:f>IF(AA203="",0,INDEX($AK$6:$AK$202,MATCH(AA203,$A$6:$A$202,0)))</x:f>
        <x:v>0</x:v>
      </x:c>
      <x:c r="AH203" s="10" t="n">
        <x:f>IF(AB203="",0,INDEX($AK$6:$AK$202,MATCH(AB203,$A$6:$A$202,0)))</x:f>
        <x:v>0</x:v>
      </x:c>
      <x:c r="AI203" s="10" t="n">
        <x:f>IF(AC203="",0,INDEX($AK$6:$AK$202,MATCH(AC203,$A$6:$A$202,0)))</x:f>
        <x:v>0</x:v>
      </x:c>
      <x:c r="AJ203" s="10" t="str">
        <x:f>IF(AM203="완료",IF(J203="",K203,J203),IF(OR(COUNT('프로젝트설정'!$B$7:$B$8)&lt;2,COUNT(AD203:AI203)&lt;6,COUNT(S203:U203)&lt;3),"",IF(AM203="제외",MAX('프로젝트설정'!$B$7,AD203:AI203),IF(E203="진행",J203,MAX('프로젝트설정'!$B$7:$B$8,L203,AD203:AI203)))))</x:f>
      </x:c>
      <x:c r="AK203" s="10" t="str">
        <x:f>IF(AM203="완료",K203,IF(AJ203="","",IF(E203="진행",MAX('프로젝트설정'!$B$8,AJ203,AD203:AI203)+T203,AJ203+T203)))</x:f>
      </x:c>
      <x:c r="AL203" s="7" t="str">
        <x:f>IF(OR(I203="",AK203=""),"",AK203-I203)</x:f>
      </x:c>
      <x:c r="AM203" s="7" t="str">
        <x:f>IF(OR(D203="제외",E203="제외"),"제외",IF(D203&lt;&gt;"적용","적용성 확인",IF(E203="완료",IF(ISNUMBER(K203),"완료","실제완료 입력"),IF(E203="보류","보류 해제 필요",IF(E203="진행",IF(AND(ISNUMBER(J203),COUNT(P203:R203)=3,P203&gt;=0,P203&lt;=Q203,Q203&lt;=R203),"입력 OK","실제착수·잔여기간 확인"),IF(AND(COUNT(M203:O203)=3,M203&gt;=0,M203&lt;=N203,N203&lt;=O203),"입력 OK","전체기간 확인"))))))</x:f>
        <x:v>입력 OK</x:v>
      </x:c>
      <x:c r="AN203" s="7" t="str">
        <x:v>23</x:v>
      </x:c>
    </x:row>
    <x:row r="204" ht="34" customHeight="1">
      <x:c r="A204" s="7" t="str">
        <x:v>EC02</x:v>
      </x:c>
      <x:c r="B204" s="7" t="str">
        <x:v>23 전기·계장 시공</x:v>
      </x:c>
      <x:c r="C204" s="7" t="str">
        <x:v>트레이·전선관·접지·피뢰 시공</x:v>
      </x:c>
      <x:c r="D204" s="7" t="str">
        <x:f>'모듈선택'!B28</x:f>
        <x:v>적용</x:v>
      </x:c>
      <x:c r="E204" s="8" t="str">
        <x:v>계획</x:v>
      </x:c>
      <x:c r="F204" s="8" t="str">
        <x:v>전기·계장 시공사 / PLC 벤더</x:v>
      </x:c>
      <x:c r="G204" s="8" t="str">
        <x:v>설치검측, 접지측정</x:v>
      </x:c>
      <x:c r="H204" s="9"/>
      <x:c r="I204" s="9"/>
      <x:c r="J204" s="9"/>
      <x:c r="K204" s="9"/>
      <x:c r="L204" s="9"/>
      <x:c r="M204" s="8" t="n">
        <x:v>9</x:v>
      </x:c>
      <x:c r="N204" s="8" t="n">
        <x:v>14</x:v>
      </x:c>
      <x:c r="O204" s="8" t="n">
        <x:v>24</x:v>
      </x:c>
      <x:c r="P204" s="8"/>
      <x:c r="Q204" s="8"/>
      <x:c r="R204" s="8"/>
      <x:c r="S204" s="7" t="n">
        <x:f>IF(OR(AM204="제외",AM204="완료"),0,IF(AM204&lt;&gt;"입력 OK","",IF(E204="진행",P204,M204)))</x:f>
        <x:v>9</x:v>
      </x:c>
      <x:c r="T204" s="7" t="n">
        <x:f>IF(OR(AM204="제외",AM204="완료"),0,IF(AM204&lt;&gt;"입력 OK","",IF(E204="진행",Q204,N204)))</x:f>
        <x:v>14</x:v>
      </x:c>
      <x:c r="U204" s="7" t="n">
        <x:f>IF(OR(AM204="제외",AM204="완료"),0,IF(AM204&lt;&gt;"입력 OK","",IF(E204="진행",R204,O204)))</x:f>
        <x:v>24</x:v>
      </x:c>
      <x:c r="V204" s="11" t="n">
        <x:f>IF(COUNT(S204:U204)&lt;3,"",(S204+4*T204+U204)/6)</x:f>
        <x:v>14.833333333333334</x:v>
      </x:c>
      <x:c r="W204" s="11" t="n">
        <x:f>IF(COUNT(S204:U204)&lt;3,"",((U204-S204)/6)^2)</x:f>
        <x:v>6.25</x:v>
      </x:c>
      <x:c r="X204" s="8" t="str">
        <x:v>EC01</x:v>
      </x:c>
      <x:c r="Y204" s="8" t="str"/>
      <x:c r="Z204" s="8" t="str"/>
      <x:c r="AA204" s="8" t="str"/>
      <x:c r="AB204" s="8" t="str"/>
      <x:c r="AC204" s="8" t="str"/>
      <x:c r="AD204" s="10" t="str">
        <x:f>IF(X204="",0,INDEX($AK$6:$AK$203,MATCH(X204,$A$6:$A$203,0)))</x:f>
      </x:c>
      <x:c r="AE204" s="10" t="n">
        <x:f>IF(Y204="",0,INDEX($AK$6:$AK$203,MATCH(Y204,$A$6:$A$203,0)))</x:f>
        <x:v>0</x:v>
      </x:c>
      <x:c r="AF204" s="10" t="n">
        <x:f>IF(Z204="",0,INDEX($AK$6:$AK$203,MATCH(Z204,$A$6:$A$203,0)))</x:f>
        <x:v>0</x:v>
      </x:c>
      <x:c r="AG204" s="10" t="n">
        <x:f>IF(AA204="",0,INDEX($AK$6:$AK$203,MATCH(AA204,$A$6:$A$203,0)))</x:f>
        <x:v>0</x:v>
      </x:c>
      <x:c r="AH204" s="10" t="n">
        <x:f>IF(AB204="",0,INDEX($AK$6:$AK$203,MATCH(AB204,$A$6:$A$203,0)))</x:f>
        <x:v>0</x:v>
      </x:c>
      <x:c r="AI204" s="10" t="n">
        <x:f>IF(AC204="",0,INDEX($AK$6:$AK$203,MATCH(AC204,$A$6:$A$203,0)))</x:f>
        <x:v>0</x:v>
      </x:c>
      <x:c r="AJ204" s="10" t="str">
        <x:f>IF(AM204="완료",IF(J204="",K204,J204),IF(OR(COUNT('프로젝트설정'!$B$7:$B$8)&lt;2,COUNT(AD204:AI204)&lt;6,COUNT(S204:U204)&lt;3),"",IF(AM204="제외",MAX('프로젝트설정'!$B$7,AD204:AI204),IF(E204="진행",J204,MAX('프로젝트설정'!$B$7:$B$8,L204,AD204:AI204)))))</x:f>
      </x:c>
      <x:c r="AK204" s="10" t="str">
        <x:f>IF(AM204="완료",K204,IF(AJ204="","",IF(E204="진행",MAX('프로젝트설정'!$B$8,AJ204,AD204:AI204)+T204,AJ204+T204)))</x:f>
      </x:c>
      <x:c r="AL204" s="7" t="str">
        <x:f>IF(OR(I204="",AK204=""),"",AK204-I204)</x:f>
      </x:c>
      <x:c r="AM204" s="7" t="str">
        <x:f>IF(OR(D204="제외",E204="제외"),"제외",IF(D204&lt;&gt;"적용","적용성 확인",IF(E204="완료",IF(ISNUMBER(K204),"완료","실제완료 입력"),IF(E204="보류","보류 해제 필요",IF(E204="진행",IF(AND(ISNUMBER(J204),COUNT(P204:R204)=3,P204&gt;=0,P204&lt;=Q204,Q204&lt;=R204),"입력 OK","실제착수·잔여기간 확인"),IF(AND(COUNT(M204:O204)=3,M204&gt;=0,M204&lt;=N204,N204&lt;=O204),"입력 OK","전체기간 확인"))))))</x:f>
        <x:v>입력 OK</x:v>
      </x:c>
      <x:c r="AN204" s="7" t="str">
        <x:v>23</x:v>
      </x:c>
    </x:row>
    <x:row r="205" ht="34" customHeight="1">
      <x:c r="A205" s="7" t="str">
        <x:v>EC03</x:v>
      </x:c>
      <x:c r="B205" s="7" t="str">
        <x:v>23 전기·계장 시공</x:v>
      </x:c>
      <x:c r="C205" s="7" t="str">
        <x:v>전력·제어·통신 케이블 포설 및 결선</x:v>
      </x:c>
      <x:c r="D205" s="7" t="str">
        <x:f>'모듈선택'!B28</x:f>
        <x:v>적용</x:v>
      </x:c>
      <x:c r="E205" s="8" t="str">
        <x:v>계획</x:v>
      </x:c>
      <x:c r="F205" s="8" t="str">
        <x:v>전기·계장 시공사 / PLC 벤더</x:v>
      </x:c>
      <x:c r="G205" s="8" t="str">
        <x:v>Cable schedule, termination check</x:v>
      </x:c>
      <x:c r="H205" s="9"/>
      <x:c r="I205" s="9"/>
      <x:c r="J205" s="9"/>
      <x:c r="K205" s="9"/>
      <x:c r="L205" s="9"/>
      <x:c r="M205" s="8" t="n">
        <x:v>9</x:v>
      </x:c>
      <x:c r="N205" s="8" t="n">
        <x:v>14</x:v>
      </x:c>
      <x:c r="O205" s="8" t="n">
        <x:v>24</x:v>
      </x:c>
      <x:c r="P205" s="8"/>
      <x:c r="Q205" s="8"/>
      <x:c r="R205" s="8"/>
      <x:c r="S205" s="7" t="n">
        <x:f>IF(OR(AM205="제외",AM205="완료"),0,IF(AM205&lt;&gt;"입력 OK","",IF(E205="진행",P205,M205)))</x:f>
        <x:v>9</x:v>
      </x:c>
      <x:c r="T205" s="7" t="n">
        <x:f>IF(OR(AM205="제외",AM205="완료"),0,IF(AM205&lt;&gt;"입력 OK","",IF(E205="진행",Q205,N205)))</x:f>
        <x:v>14</x:v>
      </x:c>
      <x:c r="U205" s="7" t="n">
        <x:f>IF(OR(AM205="제외",AM205="완료"),0,IF(AM205&lt;&gt;"입력 OK","",IF(E205="진행",R205,O205)))</x:f>
        <x:v>24</x:v>
      </x:c>
      <x:c r="V205" s="11" t="n">
        <x:f>IF(COUNT(S205:U205)&lt;3,"",(S205+4*T205+U205)/6)</x:f>
        <x:v>14.833333333333334</x:v>
      </x:c>
      <x:c r="W205" s="11" t="n">
        <x:f>IF(COUNT(S205:U205)&lt;3,"",((U205-S205)/6)^2)</x:f>
        <x:v>6.25</x:v>
      </x:c>
      <x:c r="X205" s="8" t="str">
        <x:v>EC02</x:v>
      </x:c>
      <x:c r="Y205" s="8" t="str"/>
      <x:c r="Z205" s="8" t="str"/>
      <x:c r="AA205" s="8" t="str"/>
      <x:c r="AB205" s="8" t="str"/>
      <x:c r="AC205" s="8" t="str"/>
      <x:c r="AD205" s="10" t="str">
        <x:f>IF(X205="",0,INDEX($AK$6:$AK$204,MATCH(X205,$A$6:$A$204,0)))</x:f>
      </x:c>
      <x:c r="AE205" s="10" t="n">
        <x:f>IF(Y205="",0,INDEX($AK$6:$AK$204,MATCH(Y205,$A$6:$A$204,0)))</x:f>
        <x:v>0</x:v>
      </x:c>
      <x:c r="AF205" s="10" t="n">
        <x:f>IF(Z205="",0,INDEX($AK$6:$AK$204,MATCH(Z205,$A$6:$A$204,0)))</x:f>
        <x:v>0</x:v>
      </x:c>
      <x:c r="AG205" s="10" t="n">
        <x:f>IF(AA205="",0,INDEX($AK$6:$AK$204,MATCH(AA205,$A$6:$A$204,0)))</x:f>
        <x:v>0</x:v>
      </x:c>
      <x:c r="AH205" s="10" t="n">
        <x:f>IF(AB205="",0,INDEX($AK$6:$AK$204,MATCH(AB205,$A$6:$A$204,0)))</x:f>
        <x:v>0</x:v>
      </x:c>
      <x:c r="AI205" s="10" t="n">
        <x:f>IF(AC205="",0,INDEX($AK$6:$AK$204,MATCH(AC205,$A$6:$A$204,0)))</x:f>
        <x:v>0</x:v>
      </x:c>
      <x:c r="AJ205" s="10" t="str">
        <x:f>IF(AM205="완료",IF(J205="",K205,J205),IF(OR(COUNT('프로젝트설정'!$B$7:$B$8)&lt;2,COUNT(AD205:AI205)&lt;6,COUNT(S205:U205)&lt;3),"",IF(AM205="제외",MAX('프로젝트설정'!$B$7,AD205:AI205),IF(E205="진행",J205,MAX('프로젝트설정'!$B$7:$B$8,L205,AD205:AI205)))))</x:f>
      </x:c>
      <x:c r="AK205" s="10" t="str">
        <x:f>IF(AM205="완료",K205,IF(AJ205="","",IF(E205="진행",MAX('프로젝트설정'!$B$8,AJ205,AD205:AI205)+T205,AJ205+T205)))</x:f>
      </x:c>
      <x:c r="AL205" s="7" t="str">
        <x:f>IF(OR(I205="",AK205=""),"",AK205-I205)</x:f>
      </x:c>
      <x:c r="AM205" s="7" t="str">
        <x:f>IF(OR(D205="제외",E205="제외"),"제외",IF(D205&lt;&gt;"적용","적용성 확인",IF(E205="완료",IF(ISNUMBER(K205),"완료","실제완료 입력"),IF(E205="보류","보류 해제 필요",IF(E205="진행",IF(AND(ISNUMBER(J205),COUNT(P205:R205)=3,P205&gt;=0,P205&lt;=Q205,Q205&lt;=R205),"입력 OK","실제착수·잔여기간 확인"),IF(AND(COUNT(M205:O205)=3,M205&gt;=0,M205&lt;=N205,N205&lt;=O205),"입력 OK","전체기간 확인"))))))</x:f>
        <x:v>입력 OK</x:v>
      </x:c>
      <x:c r="AN205" s="7" t="str">
        <x:v>23</x:v>
      </x:c>
    </x:row>
    <x:row r="206" ht="34" customHeight="1">
      <x:c r="A206" s="7" t="str">
        <x:v>EC04</x:v>
      </x:c>
      <x:c r="B206" s="7" t="str">
        <x:v>23 전기·계장 시공</x:v>
      </x:c>
      <x:c r="C206" s="7" t="str">
        <x:v>가스감지·계기·현장판넬 설치</x:v>
      </x:c>
      <x:c r="D206" s="7" t="str">
        <x:f>'모듈선택'!B28</x:f>
        <x:v>적용</x:v>
      </x:c>
      <x:c r="E206" s="8" t="str">
        <x:v>계획</x:v>
      </x:c>
      <x:c r="F206" s="8" t="str">
        <x:v>전기·계장 시공사 / PLC 벤더</x:v>
      </x:c>
      <x:c r="G206" s="8" t="str">
        <x:v>계기 교정성적서, installation check</x:v>
      </x:c>
      <x:c r="H206" s="9"/>
      <x:c r="I206" s="9"/>
      <x:c r="J206" s="9"/>
      <x:c r="K206" s="9"/>
      <x:c r="L206" s="9"/>
      <x:c r="M206" s="8" t="n">
        <x:v>7</x:v>
      </x:c>
      <x:c r="N206" s="8" t="n">
        <x:v>10</x:v>
      </x:c>
      <x:c r="O206" s="8" t="n">
        <x:v>17</x:v>
      </x:c>
      <x:c r="P206" s="8"/>
      <x:c r="Q206" s="8"/>
      <x:c r="R206" s="8"/>
      <x:c r="S206" s="7" t="n">
        <x:f>IF(OR(AM206="제외",AM206="완료"),0,IF(AM206&lt;&gt;"입력 OK","",IF(E206="진행",P206,M206)))</x:f>
        <x:v>7</x:v>
      </x:c>
      <x:c r="T206" s="7" t="n">
        <x:f>IF(OR(AM206="제외",AM206="완료"),0,IF(AM206&lt;&gt;"입력 OK","",IF(E206="진행",Q206,N206)))</x:f>
        <x:v>10</x:v>
      </x:c>
      <x:c r="U206" s="7" t="n">
        <x:f>IF(OR(AM206="제외",AM206="완료"),0,IF(AM206&lt;&gt;"입력 OK","",IF(E206="진행",R206,O206)))</x:f>
        <x:v>17</x:v>
      </x:c>
      <x:c r="V206" s="11" t="n">
        <x:f>IF(COUNT(S206:U206)&lt;3,"",(S206+4*T206+U206)/6)</x:f>
        <x:v>10.666666666666666</x:v>
      </x:c>
      <x:c r="W206" s="11" t="n">
        <x:f>IF(COUNT(S206:U206)&lt;3,"",((U206-S206)/6)^2)</x:f>
        <x:v>2.777777777777778</x:v>
      </x:c>
      <x:c r="X206" s="8" t="str">
        <x:v>EC03</x:v>
      </x:c>
      <x:c r="Y206" s="8" t="str"/>
      <x:c r="Z206" s="8" t="str"/>
      <x:c r="AA206" s="8" t="str"/>
      <x:c r="AB206" s="8" t="str"/>
      <x:c r="AC206" s="8" t="str"/>
      <x:c r="AD206" s="10" t="str">
        <x:f>IF(X206="",0,INDEX($AK$6:$AK$205,MATCH(X206,$A$6:$A$205,0)))</x:f>
      </x:c>
      <x:c r="AE206" s="10" t="n">
        <x:f>IF(Y206="",0,INDEX($AK$6:$AK$205,MATCH(Y206,$A$6:$A$205,0)))</x:f>
        <x:v>0</x:v>
      </x:c>
      <x:c r="AF206" s="10" t="n">
        <x:f>IF(Z206="",0,INDEX($AK$6:$AK$205,MATCH(Z206,$A$6:$A$205,0)))</x:f>
        <x:v>0</x:v>
      </x:c>
      <x:c r="AG206" s="10" t="n">
        <x:f>IF(AA206="",0,INDEX($AK$6:$AK$205,MATCH(AA206,$A$6:$A$205,0)))</x:f>
        <x:v>0</x:v>
      </x:c>
      <x:c r="AH206" s="10" t="n">
        <x:f>IF(AB206="",0,INDEX($AK$6:$AK$205,MATCH(AB206,$A$6:$A$205,0)))</x:f>
        <x:v>0</x:v>
      </x:c>
      <x:c r="AI206" s="10" t="n">
        <x:f>IF(AC206="",0,INDEX($AK$6:$AK$205,MATCH(AC206,$A$6:$A$205,0)))</x:f>
        <x:v>0</x:v>
      </x:c>
      <x:c r="AJ206" s="10" t="str">
        <x:f>IF(AM206="완료",IF(J206="",K206,J206),IF(OR(COUNT('프로젝트설정'!$B$7:$B$8)&lt;2,COUNT(AD206:AI206)&lt;6,COUNT(S206:U206)&lt;3),"",IF(AM206="제외",MAX('프로젝트설정'!$B$7,AD206:AI206),IF(E206="진행",J206,MAX('프로젝트설정'!$B$7:$B$8,L206,AD206:AI206)))))</x:f>
      </x:c>
      <x:c r="AK206" s="10" t="str">
        <x:f>IF(AM206="완료",K206,IF(AJ206="","",IF(E206="진행",MAX('프로젝트설정'!$B$8,AJ206,AD206:AI206)+T206,AJ206+T206)))</x:f>
      </x:c>
      <x:c r="AL206" s="7" t="str">
        <x:f>IF(OR(I206="",AK206=""),"",AK206-I206)</x:f>
      </x:c>
      <x:c r="AM206" s="7" t="str">
        <x:f>IF(OR(D206="제외",E206="제외"),"제외",IF(D206&lt;&gt;"적용","적용성 확인",IF(E206="완료",IF(ISNUMBER(K206),"완료","실제완료 입력"),IF(E206="보류","보류 해제 필요",IF(E206="진행",IF(AND(ISNUMBER(J206),COUNT(P206:R206)=3,P206&gt;=0,P206&lt;=Q206,Q206&lt;=R206),"입력 OK","실제착수·잔여기간 확인"),IF(AND(COUNT(M206:O206)=3,M206&gt;=0,M206&lt;=N206,N206&lt;=O206),"입력 OK","전체기간 확인"))))))</x:f>
        <x:v>입력 OK</x:v>
      </x:c>
      <x:c r="AN206" s="7" t="str">
        <x:v>23</x:v>
      </x:c>
    </x:row>
    <x:row r="207" ht="34" customHeight="1">
      <x:c r="A207" s="7" t="str">
        <x:v>EC05</x:v>
      </x:c>
      <x:c r="B207" s="7" t="str">
        <x:v>23 전기·계장 시공</x:v>
      </x:c>
      <x:c r="C207" s="7" t="str">
        <x:v>절연·접지·보호계전 시험</x:v>
      </x:c>
      <x:c r="D207" s="7" t="str">
        <x:f>'모듈선택'!B28</x:f>
        <x:v>적용</x:v>
      </x:c>
      <x:c r="E207" s="8" t="str">
        <x:v>계획</x:v>
      </x:c>
      <x:c r="F207" s="8" t="str">
        <x:v>전기·계장 시공사 / PLC 벤더</x:v>
      </x:c>
      <x:c r="G207" s="8" t="str">
        <x:v>전기시험 성적서</x:v>
      </x:c>
      <x:c r="H207" s="9"/>
      <x:c r="I207" s="9"/>
      <x:c r="J207" s="9"/>
      <x:c r="K207" s="9"/>
      <x:c r="L207" s="9"/>
      <x:c r="M207" s="8" t="n">
        <x:v>3</x:v>
      </x:c>
      <x:c r="N207" s="8" t="n">
        <x:v>5</x:v>
      </x:c>
      <x:c r="O207" s="8" t="n">
        <x:v>9</x:v>
      </x:c>
      <x:c r="P207" s="8"/>
      <x:c r="Q207" s="8"/>
      <x:c r="R207" s="8"/>
      <x:c r="S207" s="7" t="n">
        <x:f>IF(OR(AM207="제외",AM207="완료"),0,IF(AM207&lt;&gt;"입력 OK","",IF(E207="진행",P207,M207)))</x:f>
        <x:v>3</x:v>
      </x:c>
      <x:c r="T207" s="7" t="n">
        <x:f>IF(OR(AM207="제외",AM207="완료"),0,IF(AM207&lt;&gt;"입력 OK","",IF(E207="진행",Q207,N207)))</x:f>
        <x:v>5</x:v>
      </x:c>
      <x:c r="U207" s="7" t="n">
        <x:f>IF(OR(AM207="제외",AM207="완료"),0,IF(AM207&lt;&gt;"입력 OK","",IF(E207="진행",R207,O207)))</x:f>
        <x:v>9</x:v>
      </x:c>
      <x:c r="V207" s="11" t="n">
        <x:f>IF(COUNT(S207:U207)&lt;3,"",(S207+4*T207+U207)/6)</x:f>
        <x:v>5.333333333333333</x:v>
      </x:c>
      <x:c r="W207" s="11" t="n">
        <x:f>IF(COUNT(S207:U207)&lt;3,"",((U207-S207)/6)^2)</x:f>
        <x:v>1</x:v>
      </x:c>
      <x:c r="X207" s="8" t="str">
        <x:v>EC04</x:v>
      </x:c>
      <x:c r="Y207" s="8" t="str"/>
      <x:c r="Z207" s="8" t="str"/>
      <x:c r="AA207" s="8" t="str"/>
      <x:c r="AB207" s="8" t="str"/>
      <x:c r="AC207" s="8" t="str"/>
      <x:c r="AD207" s="10" t="str">
        <x:f>IF(X207="",0,INDEX($AK$6:$AK$206,MATCH(X207,$A$6:$A$206,0)))</x:f>
      </x:c>
      <x:c r="AE207" s="10" t="n">
        <x:f>IF(Y207="",0,INDEX($AK$6:$AK$206,MATCH(Y207,$A$6:$A$206,0)))</x:f>
        <x:v>0</x:v>
      </x:c>
      <x:c r="AF207" s="10" t="n">
        <x:f>IF(Z207="",0,INDEX($AK$6:$AK$206,MATCH(Z207,$A$6:$A$206,0)))</x:f>
        <x:v>0</x:v>
      </x:c>
      <x:c r="AG207" s="10" t="n">
        <x:f>IF(AA207="",0,INDEX($AK$6:$AK$206,MATCH(AA207,$A$6:$A$206,0)))</x:f>
        <x:v>0</x:v>
      </x:c>
      <x:c r="AH207" s="10" t="n">
        <x:f>IF(AB207="",0,INDEX($AK$6:$AK$206,MATCH(AB207,$A$6:$A$206,0)))</x:f>
        <x:v>0</x:v>
      </x:c>
      <x:c r="AI207" s="10" t="n">
        <x:f>IF(AC207="",0,INDEX($AK$6:$AK$206,MATCH(AC207,$A$6:$A$206,0)))</x:f>
        <x:v>0</x:v>
      </x:c>
      <x:c r="AJ207" s="10" t="str">
        <x:f>IF(AM207="완료",IF(J207="",K207,J207),IF(OR(COUNT('프로젝트설정'!$B$7:$B$8)&lt;2,COUNT(AD207:AI207)&lt;6,COUNT(S207:U207)&lt;3),"",IF(AM207="제외",MAX('프로젝트설정'!$B$7,AD207:AI207),IF(E207="진행",J207,MAX('프로젝트설정'!$B$7:$B$8,L207,AD207:AI207)))))</x:f>
      </x:c>
      <x:c r="AK207" s="10" t="str">
        <x:f>IF(AM207="완료",K207,IF(AJ207="","",IF(E207="진행",MAX('프로젝트설정'!$B$8,AJ207,AD207:AI207)+T207,AJ207+T207)))</x:f>
      </x:c>
      <x:c r="AL207" s="7" t="str">
        <x:f>IF(OR(I207="",AK207=""),"",AK207-I207)</x:f>
      </x:c>
      <x:c r="AM207" s="7" t="str">
        <x:f>IF(OR(D207="제외",E207="제외"),"제외",IF(D207&lt;&gt;"적용","적용성 확인",IF(E207="완료",IF(ISNUMBER(K207),"완료","실제완료 입력"),IF(E207="보류","보류 해제 필요",IF(E207="진행",IF(AND(ISNUMBER(J207),COUNT(P207:R207)=3,P207&gt;=0,P207&lt;=Q207,Q207&lt;=R207),"입력 OK","실제착수·잔여기간 확인"),IF(AND(COUNT(M207:O207)=3,M207&gt;=0,M207&lt;=N207,N207&lt;=O207),"입력 OK","전체기간 확인"))))))</x:f>
        <x:v>입력 OK</x:v>
      </x:c>
      <x:c r="AN207" s="7" t="str">
        <x:v>23</x:v>
      </x:c>
    </x:row>
    <x:row r="208" ht="34" customHeight="1">
      <x:c r="A208" s="7" t="str">
        <x:v>EC06</x:v>
      </x:c>
      <x:c r="B208" s="7" t="str">
        <x:v>23 전기·계장 시공</x:v>
      </x:c>
      <x:c r="C208" s="7" t="str">
        <x:v>Loop check·통신·PLC I/O 시험</x:v>
      </x:c>
      <x:c r="D208" s="7" t="str">
        <x:f>'모듈선택'!B28</x:f>
        <x:v>적용</x:v>
      </x:c>
      <x:c r="E208" s="8" t="str">
        <x:v>계획</x:v>
      </x:c>
      <x:c r="F208" s="8" t="str">
        <x:v>전기·계장 시공사 / PLC 벤더</x:v>
      </x:c>
      <x:c r="G208" s="8" t="str">
        <x:v>Loop folder, I/O check</x:v>
      </x:c>
      <x:c r="H208" s="9"/>
      <x:c r="I208" s="9"/>
      <x:c r="J208" s="9"/>
      <x:c r="K208" s="9"/>
      <x:c r="L208" s="9"/>
      <x:c r="M208" s="8" t="n">
        <x:v>5</x:v>
      </x:c>
      <x:c r="N208" s="8" t="n">
        <x:v>7</x:v>
      </x:c>
      <x:c r="O208" s="8" t="n">
        <x:v>12</x:v>
      </x:c>
      <x:c r="P208" s="8"/>
      <x:c r="Q208" s="8"/>
      <x:c r="R208" s="8"/>
      <x:c r="S208" s="7" t="n">
        <x:f>IF(OR(AM208="제외",AM208="완료"),0,IF(AM208&lt;&gt;"입력 OK","",IF(E208="진행",P208,M208)))</x:f>
        <x:v>5</x:v>
      </x:c>
      <x:c r="T208" s="7" t="n">
        <x:f>IF(OR(AM208="제외",AM208="완료"),0,IF(AM208&lt;&gt;"입력 OK","",IF(E208="진행",Q208,N208)))</x:f>
        <x:v>7</x:v>
      </x:c>
      <x:c r="U208" s="7" t="n">
        <x:f>IF(OR(AM208="제외",AM208="완료"),0,IF(AM208&lt;&gt;"입력 OK","",IF(E208="진행",R208,O208)))</x:f>
        <x:v>12</x:v>
      </x:c>
      <x:c r="V208" s="11" t="n">
        <x:f>IF(COUNT(S208:U208)&lt;3,"",(S208+4*T208+U208)/6)</x:f>
        <x:v>7.5</x:v>
      </x:c>
      <x:c r="W208" s="11" t="n">
        <x:f>IF(COUNT(S208:U208)&lt;3,"",((U208-S208)/6)^2)</x:f>
        <x:v>1.3611111111111114</x:v>
      </x:c>
      <x:c r="X208" s="8" t="str">
        <x:v>EC05</x:v>
      </x:c>
      <x:c r="Y208" s="8" t="str"/>
      <x:c r="Z208" s="8" t="str"/>
      <x:c r="AA208" s="8" t="str"/>
      <x:c r="AB208" s="8" t="str"/>
      <x:c r="AC208" s="8" t="str"/>
      <x:c r="AD208" s="10" t="str">
        <x:f>IF(X208="",0,INDEX($AK$6:$AK$207,MATCH(X208,$A$6:$A$207,0)))</x:f>
      </x:c>
      <x:c r="AE208" s="10" t="n">
        <x:f>IF(Y208="",0,INDEX($AK$6:$AK$207,MATCH(Y208,$A$6:$A$207,0)))</x:f>
        <x:v>0</x:v>
      </x:c>
      <x:c r="AF208" s="10" t="n">
        <x:f>IF(Z208="",0,INDEX($AK$6:$AK$207,MATCH(Z208,$A$6:$A$207,0)))</x:f>
        <x:v>0</x:v>
      </x:c>
      <x:c r="AG208" s="10" t="n">
        <x:f>IF(AA208="",0,INDEX($AK$6:$AK$207,MATCH(AA208,$A$6:$A$207,0)))</x:f>
        <x:v>0</x:v>
      </x:c>
      <x:c r="AH208" s="10" t="n">
        <x:f>IF(AB208="",0,INDEX($AK$6:$AK$207,MATCH(AB208,$A$6:$A$207,0)))</x:f>
        <x:v>0</x:v>
      </x:c>
      <x:c r="AI208" s="10" t="n">
        <x:f>IF(AC208="",0,INDEX($AK$6:$AK$207,MATCH(AC208,$A$6:$A$207,0)))</x:f>
        <x:v>0</x:v>
      </x:c>
      <x:c r="AJ208" s="10" t="str">
        <x:f>IF(AM208="완료",IF(J208="",K208,J208),IF(OR(COUNT('프로젝트설정'!$B$7:$B$8)&lt;2,COUNT(AD208:AI208)&lt;6,COUNT(S208:U208)&lt;3),"",IF(AM208="제외",MAX('프로젝트설정'!$B$7,AD208:AI208),IF(E208="진행",J208,MAX('프로젝트설정'!$B$7:$B$8,L208,AD208:AI208)))))</x:f>
      </x:c>
      <x:c r="AK208" s="10" t="str">
        <x:f>IF(AM208="완료",K208,IF(AJ208="","",IF(E208="진행",MAX('프로젝트설정'!$B$8,AJ208,AD208:AI208)+T208,AJ208+T208)))</x:f>
      </x:c>
      <x:c r="AL208" s="7" t="str">
        <x:f>IF(OR(I208="",AK208=""),"",AK208-I208)</x:f>
      </x:c>
      <x:c r="AM208" s="7" t="str">
        <x:f>IF(OR(D208="제외",E208="제외"),"제외",IF(D208&lt;&gt;"적용","적용성 확인",IF(E208="완료",IF(ISNUMBER(K208),"완료","실제완료 입력"),IF(E208="보류","보류 해제 필요",IF(E208="진행",IF(AND(ISNUMBER(J208),COUNT(P208:R208)=3,P208&gt;=0,P208&lt;=Q208,Q208&lt;=R208),"입력 OK","실제착수·잔여기간 확인"),IF(AND(COUNT(M208:O208)=3,M208&gt;=0,M208&lt;=N208,N208&lt;=O208),"입력 OK","전체기간 확인"))))))</x:f>
        <x:v>입력 OK</x:v>
      </x:c>
      <x:c r="AN208" s="7" t="str">
        <x:v>23</x:v>
      </x:c>
    </x:row>
    <x:row r="209" ht="34" customHeight="1">
      <x:c r="A209" s="7" t="str">
        <x:v>EC07</x:v>
      </x:c>
      <x:c r="B209" s="7" t="str">
        <x:v>23 전기·계장 시공</x:v>
      </x:c>
      <x:c r="C209" s="7" t="str">
        <x:v>비상정지·인터록·경보 모의시험</x:v>
      </x:c>
      <x:c r="D209" s="7" t="str">
        <x:f>'모듈선택'!B28</x:f>
        <x:v>적용</x:v>
      </x:c>
      <x:c r="E209" s="8" t="str">
        <x:v>계획</x:v>
      </x:c>
      <x:c r="F209" s="8" t="str">
        <x:v>전기·계장 시공사 / PLC 벤더</x:v>
      </x:c>
      <x:c r="G209" s="8" t="str">
        <x:v>C&amp;E test, cause simulation</x:v>
      </x:c>
      <x:c r="H209" s="9"/>
      <x:c r="I209" s="9"/>
      <x:c r="J209" s="9"/>
      <x:c r="K209" s="9"/>
      <x:c r="L209" s="9"/>
      <x:c r="M209" s="8" t="n">
        <x:v>3</x:v>
      </x:c>
      <x:c r="N209" s="8" t="n">
        <x:v>5</x:v>
      </x:c>
      <x:c r="O209" s="8" t="n">
        <x:v>9</x:v>
      </x:c>
      <x:c r="P209" s="8"/>
      <x:c r="Q209" s="8"/>
      <x:c r="R209" s="8"/>
      <x:c r="S209" s="7" t="n">
        <x:f>IF(OR(AM209="제외",AM209="완료"),0,IF(AM209&lt;&gt;"입력 OK","",IF(E209="진행",P209,M209)))</x:f>
        <x:v>3</x:v>
      </x:c>
      <x:c r="T209" s="7" t="n">
        <x:f>IF(OR(AM209="제외",AM209="완료"),0,IF(AM209&lt;&gt;"입력 OK","",IF(E209="진행",Q209,N209)))</x:f>
        <x:v>5</x:v>
      </x:c>
      <x:c r="U209" s="7" t="n">
        <x:f>IF(OR(AM209="제외",AM209="완료"),0,IF(AM209&lt;&gt;"입력 OK","",IF(E209="진행",R209,O209)))</x:f>
        <x:v>9</x:v>
      </x:c>
      <x:c r="V209" s="11" t="n">
        <x:f>IF(COUNT(S209:U209)&lt;3,"",(S209+4*T209+U209)/6)</x:f>
        <x:v>5.333333333333333</x:v>
      </x:c>
      <x:c r="W209" s="11" t="n">
        <x:f>IF(COUNT(S209:U209)&lt;3,"",((U209-S209)/6)^2)</x:f>
        <x:v>1</x:v>
      </x:c>
      <x:c r="X209" s="8" t="str">
        <x:v>EC06</x:v>
      </x:c>
      <x:c r="Y209" s="8" t="str"/>
      <x:c r="Z209" s="8" t="str"/>
      <x:c r="AA209" s="8" t="str"/>
      <x:c r="AB209" s="8" t="str"/>
      <x:c r="AC209" s="8" t="str"/>
      <x:c r="AD209" s="10" t="str">
        <x:f>IF(X209="",0,INDEX($AK$6:$AK$208,MATCH(X209,$A$6:$A$208,0)))</x:f>
      </x:c>
      <x:c r="AE209" s="10" t="n">
        <x:f>IF(Y209="",0,INDEX($AK$6:$AK$208,MATCH(Y209,$A$6:$A$208,0)))</x:f>
        <x:v>0</x:v>
      </x:c>
      <x:c r="AF209" s="10" t="n">
        <x:f>IF(Z209="",0,INDEX($AK$6:$AK$208,MATCH(Z209,$A$6:$A$208,0)))</x:f>
        <x:v>0</x:v>
      </x:c>
      <x:c r="AG209" s="10" t="n">
        <x:f>IF(AA209="",0,INDEX($AK$6:$AK$208,MATCH(AA209,$A$6:$A$208,0)))</x:f>
        <x:v>0</x:v>
      </x:c>
      <x:c r="AH209" s="10" t="n">
        <x:f>IF(AB209="",0,INDEX($AK$6:$AK$208,MATCH(AB209,$A$6:$A$208,0)))</x:f>
        <x:v>0</x:v>
      </x:c>
      <x:c r="AI209" s="10" t="n">
        <x:f>IF(AC209="",0,INDEX($AK$6:$AK$208,MATCH(AC209,$A$6:$A$208,0)))</x:f>
        <x:v>0</x:v>
      </x:c>
      <x:c r="AJ209" s="10" t="str">
        <x:f>IF(AM209="완료",IF(J209="",K209,J209),IF(OR(COUNT('프로젝트설정'!$B$7:$B$8)&lt;2,COUNT(AD209:AI209)&lt;6,COUNT(S209:U209)&lt;3),"",IF(AM209="제외",MAX('프로젝트설정'!$B$7,AD209:AI209),IF(E209="진행",J209,MAX('프로젝트설정'!$B$7:$B$8,L209,AD209:AI209)))))</x:f>
      </x:c>
      <x:c r="AK209" s="10" t="str">
        <x:f>IF(AM209="완료",K209,IF(AJ209="","",IF(E209="진행",MAX('프로젝트설정'!$B$8,AJ209,AD209:AI209)+T209,AJ209+T209)))</x:f>
      </x:c>
      <x:c r="AL209" s="7" t="str">
        <x:f>IF(OR(I209="",AK209=""),"",AK209-I209)</x:f>
      </x:c>
      <x:c r="AM209" s="7" t="str">
        <x:f>IF(OR(D209="제외",E209="제외"),"제외",IF(D209&lt;&gt;"적용","적용성 확인",IF(E209="완료",IF(ISNUMBER(K209),"완료","실제완료 입력"),IF(E209="보류","보류 해제 필요",IF(E209="진행",IF(AND(ISNUMBER(J209),COUNT(P209:R209)=3,P209&gt;=0,P209&lt;=Q209,Q209&lt;=R209),"입력 OK","실제착수·잔여기간 확인"),IF(AND(COUNT(M209:O209)=3,M209&gt;=0,M209&lt;=N209,N209&lt;=O209),"입력 OK","전체기간 확인"))))))</x:f>
        <x:v>입력 OK</x:v>
      </x:c>
      <x:c r="AN209" s="7" t="str">
        <x:v>23</x:v>
      </x:c>
    </x:row>
    <x:row r="210" ht="34" customHeight="1">
      <x:c r="A210" s="7" t="str">
        <x:v>PW01</x:v>
      </x:c>
      <x:c r="B210" s="7" t="str">
        <x:v>24 수전·유틸리티 인입</x:v>
      </x:c>
      <x:c r="C210" s="7" t="str">
        <x:v>전기사용 신청·계약전력 및 공급일정 확정</x:v>
      </x:c>
      <x:c r="D210" s="7" t="str">
        <x:f>'모듈선택'!B29</x:f>
        <x:v>적용</x:v>
      </x:c>
      <x:c r="E210" s="8" t="str">
        <x:v>계획</x:v>
      </x:c>
      <x:c r="F210" s="8" t="str">
        <x:v>사업주 / 한전 / 전기 시공사</x:v>
      </x:c>
      <x:c r="G210" s="8" t="str">
        <x:v>전기사용신청, 한전 회신</x:v>
      </x:c>
      <x:c r="H210" s="9"/>
      <x:c r="I210" s="9"/>
      <x:c r="J210" s="9"/>
      <x:c r="K210" s="9"/>
      <x:c r="L210" s="9"/>
      <x:c r="M210" s="8" t="n">
        <x:v>5</x:v>
      </x:c>
      <x:c r="N210" s="8" t="n">
        <x:v>7</x:v>
      </x:c>
      <x:c r="O210" s="8" t="n">
        <x:v>12</x:v>
      </x:c>
      <x:c r="P210" s="8"/>
      <x:c r="Q210" s="8"/>
      <x:c r="R210" s="8"/>
      <x:c r="S210" s="7" t="n">
        <x:f>IF(OR(AM210="제외",AM210="완료"),0,IF(AM210&lt;&gt;"입력 OK","",IF(E210="진행",P210,M210)))</x:f>
        <x:v>5</x:v>
      </x:c>
      <x:c r="T210" s="7" t="n">
        <x:f>IF(OR(AM210="제외",AM210="완료"),0,IF(AM210&lt;&gt;"입력 OK","",IF(E210="진행",Q210,N210)))</x:f>
        <x:v>7</x:v>
      </x:c>
      <x:c r="U210" s="7" t="n">
        <x:f>IF(OR(AM210="제외",AM210="완료"),0,IF(AM210&lt;&gt;"입력 OK","",IF(E210="진행",R210,O210)))</x:f>
        <x:v>12</x:v>
      </x:c>
      <x:c r="V210" s="11" t="n">
        <x:f>IF(COUNT(S210:U210)&lt;3,"",(S210+4*T210+U210)/6)</x:f>
        <x:v>7.5</x:v>
      </x:c>
      <x:c r="W210" s="11" t="n">
        <x:f>IF(COUNT(S210:U210)&lt;3,"",((U210-S210)/6)^2)</x:f>
        <x:v>1.3611111111111114</x:v>
      </x:c>
      <x:c r="X210" s="8" t="str">
        <x:v>EL02</x:v>
      </x:c>
      <x:c r="Y210" s="8" t="str"/>
      <x:c r="Z210" s="8" t="str"/>
      <x:c r="AA210" s="8" t="str"/>
      <x:c r="AB210" s="8" t="str"/>
      <x:c r="AC210" s="8" t="str"/>
      <x:c r="AD210" s="10" t="str">
        <x:f>IF(X210="",0,INDEX($AK$6:$AK$209,MATCH(X210,$A$6:$A$209,0)))</x:f>
      </x:c>
      <x:c r="AE210" s="10" t="n">
        <x:f>IF(Y210="",0,INDEX($AK$6:$AK$209,MATCH(Y210,$A$6:$A$209,0)))</x:f>
        <x:v>0</x:v>
      </x:c>
      <x:c r="AF210" s="10" t="n">
        <x:f>IF(Z210="",0,INDEX($AK$6:$AK$209,MATCH(Z210,$A$6:$A$209,0)))</x:f>
        <x:v>0</x:v>
      </x:c>
      <x:c r="AG210" s="10" t="n">
        <x:f>IF(AA210="",0,INDEX($AK$6:$AK$209,MATCH(AA210,$A$6:$A$209,0)))</x:f>
        <x:v>0</x:v>
      </x:c>
      <x:c r="AH210" s="10" t="n">
        <x:f>IF(AB210="",0,INDEX($AK$6:$AK$209,MATCH(AB210,$A$6:$A$209,0)))</x:f>
        <x:v>0</x:v>
      </x:c>
      <x:c r="AI210" s="10" t="n">
        <x:f>IF(AC210="",0,INDEX($AK$6:$AK$209,MATCH(AC210,$A$6:$A$209,0)))</x:f>
        <x:v>0</x:v>
      </x:c>
      <x:c r="AJ210" s="10" t="str">
        <x:f>IF(AM210="완료",IF(J210="",K210,J210),IF(OR(COUNT('프로젝트설정'!$B$7:$B$8)&lt;2,COUNT(AD210:AI210)&lt;6,COUNT(S210:U210)&lt;3),"",IF(AM210="제외",MAX('프로젝트설정'!$B$7,AD210:AI210),IF(E210="진행",J210,MAX('프로젝트설정'!$B$7:$B$8,L210,AD210:AI210)))))</x:f>
      </x:c>
      <x:c r="AK210" s="10" t="str">
        <x:f>IF(AM210="완료",K210,IF(AJ210="","",IF(E210="진행",MAX('프로젝트설정'!$B$8,AJ210,AD210:AI210)+T210,AJ210+T210)))</x:f>
      </x:c>
      <x:c r="AL210" s="7" t="str">
        <x:f>IF(OR(I210="",AK210=""),"",AK210-I210)</x:f>
      </x:c>
      <x:c r="AM210" s="7" t="str">
        <x:f>IF(OR(D210="제외",E210="제외"),"제외",IF(D210&lt;&gt;"적용","적용성 확인",IF(E210="완료",IF(ISNUMBER(K210),"완료","실제완료 입력"),IF(E210="보류","보류 해제 필요",IF(E210="진행",IF(AND(ISNUMBER(J210),COUNT(P210:R210)=3,P210&gt;=0,P210&lt;=Q210,Q210&lt;=R210),"입력 OK","실제착수·잔여기간 확인"),IF(AND(COUNT(M210:O210)=3,M210&gt;=0,M210&lt;=N210,N210&lt;=O210),"입력 OK","전체기간 확인"))))))</x:f>
        <x:v>입력 OK</x:v>
      </x:c>
      <x:c r="AN210" s="7" t="str">
        <x:v>24</x:v>
      </x:c>
    </x:row>
    <x:row r="211" ht="34" customHeight="1">
      <x:c r="A211" s="7" t="str">
        <x:v>PW02</x:v>
      </x:c>
      <x:c r="B211" s="7" t="str">
        <x:v>24 수전·유틸리티 인입</x:v>
      </x:c>
      <x:c r="C211" s="7" t="str">
        <x:v>공급시설 공사비·부담금 납부 및 인입공사</x:v>
      </x:c>
      <x:c r="D211" s="7" t="str">
        <x:f>'모듈선택'!B29</x:f>
        <x:v>적용</x:v>
      </x:c>
      <x:c r="E211" s="8" t="str">
        <x:v>계획</x:v>
      </x:c>
      <x:c r="F211" s="8" t="str">
        <x:v>사업주 / 한전 / 전기 시공사</x:v>
      </x:c>
      <x:c r="G211" s="8" t="str">
        <x:v>납부증빙, 공급공사 일정</x:v>
      </x:c>
      <x:c r="H211" s="9"/>
      <x:c r="I211" s="9"/>
      <x:c r="J211" s="9"/>
      <x:c r="K211" s="9"/>
      <x:c r="L211" s="9"/>
      <x:c r="M211" s="8" t="n">
        <x:v>29</x:v>
      </x:c>
      <x:c r="N211" s="8" t="n">
        <x:v>45</x:v>
      </x:c>
      <x:c r="O211" s="8" t="n">
        <x:v>77</x:v>
      </x:c>
      <x:c r="P211" s="8"/>
      <x:c r="Q211" s="8"/>
      <x:c r="R211" s="8"/>
      <x:c r="S211" s="7" t="n">
        <x:f>IF(OR(AM211="제외",AM211="완료"),0,IF(AM211&lt;&gt;"입력 OK","",IF(E211="진행",P211,M211)))</x:f>
        <x:v>29</x:v>
      </x:c>
      <x:c r="T211" s="7" t="n">
        <x:f>IF(OR(AM211="제외",AM211="완료"),0,IF(AM211&lt;&gt;"입력 OK","",IF(E211="진행",Q211,N211)))</x:f>
        <x:v>45</x:v>
      </x:c>
      <x:c r="U211" s="7" t="n">
        <x:f>IF(OR(AM211="제외",AM211="완료"),0,IF(AM211&lt;&gt;"입력 OK","",IF(E211="진행",R211,O211)))</x:f>
        <x:v>77</x:v>
      </x:c>
      <x:c r="V211" s="11" t="n">
        <x:f>IF(COUNT(S211:U211)&lt;3,"",(S211+4*T211+U211)/6)</x:f>
        <x:v>47.666666666666664</x:v>
      </x:c>
      <x:c r="W211" s="11" t="n">
        <x:f>IF(COUNT(S211:U211)&lt;3,"",((U211-S211)/6)^2)</x:f>
        <x:v>64</x:v>
      </x:c>
      <x:c r="X211" s="8" t="str">
        <x:v>PW01</x:v>
      </x:c>
      <x:c r="Y211" s="8" t="str"/>
      <x:c r="Z211" s="8" t="str"/>
      <x:c r="AA211" s="8" t="str"/>
      <x:c r="AB211" s="8" t="str"/>
      <x:c r="AC211" s="8" t="str"/>
      <x:c r="AD211" s="10" t="str">
        <x:f>IF(X211="",0,INDEX($AK$6:$AK$210,MATCH(X211,$A$6:$A$210,0)))</x:f>
      </x:c>
      <x:c r="AE211" s="10" t="n">
        <x:f>IF(Y211="",0,INDEX($AK$6:$AK$210,MATCH(Y211,$A$6:$A$210,0)))</x:f>
        <x:v>0</x:v>
      </x:c>
      <x:c r="AF211" s="10" t="n">
        <x:f>IF(Z211="",0,INDEX($AK$6:$AK$210,MATCH(Z211,$A$6:$A$210,0)))</x:f>
        <x:v>0</x:v>
      </x:c>
      <x:c r="AG211" s="10" t="n">
        <x:f>IF(AA211="",0,INDEX($AK$6:$AK$210,MATCH(AA211,$A$6:$A$210,0)))</x:f>
        <x:v>0</x:v>
      </x:c>
      <x:c r="AH211" s="10" t="n">
        <x:f>IF(AB211="",0,INDEX($AK$6:$AK$210,MATCH(AB211,$A$6:$A$210,0)))</x:f>
        <x:v>0</x:v>
      </x:c>
      <x:c r="AI211" s="10" t="n">
        <x:f>IF(AC211="",0,INDEX($AK$6:$AK$210,MATCH(AC211,$A$6:$A$210,0)))</x:f>
        <x:v>0</x:v>
      </x:c>
      <x:c r="AJ211" s="10" t="str">
        <x:f>IF(AM211="완료",IF(J211="",K211,J211),IF(OR(COUNT('프로젝트설정'!$B$7:$B$8)&lt;2,COUNT(AD211:AI211)&lt;6,COUNT(S211:U211)&lt;3),"",IF(AM211="제외",MAX('프로젝트설정'!$B$7,AD211:AI211),IF(E211="진행",J211,MAX('프로젝트설정'!$B$7:$B$8,L211,AD211:AI211)))))</x:f>
      </x:c>
      <x:c r="AK211" s="10" t="str">
        <x:f>IF(AM211="완료",K211,IF(AJ211="","",IF(E211="진행",MAX('프로젝트설정'!$B$8,AJ211,AD211:AI211)+T211,AJ211+T211)))</x:f>
      </x:c>
      <x:c r="AL211" s="7" t="str">
        <x:f>IF(OR(I211="",AK211=""),"",AK211-I211)</x:f>
      </x:c>
      <x:c r="AM211" s="7" t="str">
        <x:f>IF(OR(D211="제외",E211="제외"),"제외",IF(D211&lt;&gt;"적용","적용성 확인",IF(E211="완료",IF(ISNUMBER(K211),"완료","실제완료 입력"),IF(E211="보류","보류 해제 필요",IF(E211="진행",IF(AND(ISNUMBER(J211),COUNT(P211:R211)=3,P211&gt;=0,P211&lt;=Q211,Q211&lt;=R211),"입력 OK","실제착수·잔여기간 확인"),IF(AND(COUNT(M211:O211)=3,M211&gt;=0,M211&lt;=N211,N211&lt;=O211),"입력 OK","전체기간 확인"))))))</x:f>
        <x:v>입력 OK</x:v>
      </x:c>
      <x:c r="AN211" s="7" t="str">
        <x:v>24</x:v>
      </x:c>
    </x:row>
    <x:row r="212" ht="34" customHeight="1">
      <x:c r="A212" s="7" t="str">
        <x:v>PW03</x:v>
      </x:c>
      <x:c r="B212" s="7" t="str">
        <x:v>24 수전·유틸리티 인입</x:v>
      </x:c>
      <x:c r="C212" s="7" t="str">
        <x:v>전기 안전관리자·감리 신고 및 검사자료 준비</x:v>
      </x:c>
      <x:c r="D212" s="7" t="str">
        <x:f>'모듈선택'!B29</x:f>
        <x:v>적용</x:v>
      </x:c>
      <x:c r="E212" s="8" t="str">
        <x:v>계획</x:v>
      </x:c>
      <x:c r="F212" s="8" t="str">
        <x:v>사업주 / 한전 / 전기 시공사</x:v>
      </x:c>
      <x:c r="G212" s="8" t="str">
        <x:v>선임/배치 증빙, 검사신청서</x:v>
      </x:c>
      <x:c r="H212" s="9"/>
      <x:c r="I212" s="9"/>
      <x:c r="J212" s="9"/>
      <x:c r="K212" s="9"/>
      <x:c r="L212" s="9"/>
      <x:c r="M212" s="8" t="n">
        <x:v>5</x:v>
      </x:c>
      <x:c r="N212" s="8" t="n">
        <x:v>7</x:v>
      </x:c>
      <x:c r="O212" s="8" t="n">
        <x:v>12</x:v>
      </x:c>
      <x:c r="P212" s="8"/>
      <x:c r="Q212" s="8"/>
      <x:c r="R212" s="8"/>
      <x:c r="S212" s="7" t="n">
        <x:f>IF(OR(AM212="제외",AM212="완료"),0,IF(AM212&lt;&gt;"입력 OK","",IF(E212="진행",P212,M212)))</x:f>
        <x:v>5</x:v>
      </x:c>
      <x:c r="T212" s="7" t="n">
        <x:f>IF(OR(AM212="제외",AM212="완료"),0,IF(AM212&lt;&gt;"입력 OK","",IF(E212="진행",Q212,N212)))</x:f>
        <x:v>7</x:v>
      </x:c>
      <x:c r="U212" s="7" t="n">
        <x:f>IF(OR(AM212="제외",AM212="완료"),0,IF(AM212&lt;&gt;"입력 OK","",IF(E212="진행",R212,O212)))</x:f>
        <x:v>12</x:v>
      </x:c>
      <x:c r="V212" s="11" t="n">
        <x:f>IF(COUNT(S212:U212)&lt;3,"",(S212+4*T212+U212)/6)</x:f>
        <x:v>7.5</x:v>
      </x:c>
      <x:c r="W212" s="11" t="n">
        <x:f>IF(COUNT(S212:U212)&lt;3,"",((U212-S212)/6)^2)</x:f>
        <x:v>1.3611111111111114</x:v>
      </x:c>
      <x:c r="X212" s="8" t="str">
        <x:v>PW02</x:v>
      </x:c>
      <x:c r="Y212" s="8" t="str"/>
      <x:c r="Z212" s="8" t="str"/>
      <x:c r="AA212" s="8" t="str"/>
      <x:c r="AB212" s="8" t="str"/>
      <x:c r="AC212" s="8" t="str"/>
      <x:c r="AD212" s="10" t="str">
        <x:f>IF(X212="",0,INDEX($AK$6:$AK$211,MATCH(X212,$A$6:$A$211,0)))</x:f>
      </x:c>
      <x:c r="AE212" s="10" t="n">
        <x:f>IF(Y212="",0,INDEX($AK$6:$AK$211,MATCH(Y212,$A$6:$A$211,0)))</x:f>
        <x:v>0</x:v>
      </x:c>
      <x:c r="AF212" s="10" t="n">
        <x:f>IF(Z212="",0,INDEX($AK$6:$AK$211,MATCH(Z212,$A$6:$A$211,0)))</x:f>
        <x:v>0</x:v>
      </x:c>
      <x:c r="AG212" s="10" t="n">
        <x:f>IF(AA212="",0,INDEX($AK$6:$AK$211,MATCH(AA212,$A$6:$A$211,0)))</x:f>
        <x:v>0</x:v>
      </x:c>
      <x:c r="AH212" s="10" t="n">
        <x:f>IF(AB212="",0,INDEX($AK$6:$AK$211,MATCH(AB212,$A$6:$A$211,0)))</x:f>
        <x:v>0</x:v>
      </x:c>
      <x:c r="AI212" s="10" t="n">
        <x:f>IF(AC212="",0,INDEX($AK$6:$AK$211,MATCH(AC212,$A$6:$A$211,0)))</x:f>
        <x:v>0</x:v>
      </x:c>
      <x:c r="AJ212" s="10" t="str">
        <x:f>IF(AM212="완료",IF(J212="",K212,J212),IF(OR(COUNT('프로젝트설정'!$B$7:$B$8)&lt;2,COUNT(AD212:AI212)&lt;6,COUNT(S212:U212)&lt;3),"",IF(AM212="제외",MAX('프로젝트설정'!$B$7,AD212:AI212),IF(E212="진행",J212,MAX('프로젝트설정'!$B$7:$B$8,L212,AD212:AI212)))))</x:f>
      </x:c>
      <x:c r="AK212" s="10" t="str">
        <x:f>IF(AM212="완료",K212,IF(AJ212="","",IF(E212="진행",MAX('프로젝트설정'!$B$8,AJ212,AD212:AI212)+T212,AJ212+T212)))</x:f>
      </x:c>
      <x:c r="AL212" s="7" t="str">
        <x:f>IF(OR(I212="",AK212=""),"",AK212-I212)</x:f>
      </x:c>
      <x:c r="AM212" s="7" t="str">
        <x:f>IF(OR(D212="제외",E212="제외"),"제외",IF(D212&lt;&gt;"적용","적용성 확인",IF(E212="완료",IF(ISNUMBER(K212),"완료","실제완료 입력"),IF(E212="보류","보류 해제 필요",IF(E212="진행",IF(AND(ISNUMBER(J212),COUNT(P212:R212)=3,P212&gt;=0,P212&lt;=Q212,Q212&lt;=R212),"입력 OK","실제착수·잔여기간 확인"),IF(AND(COUNT(M212:O212)=3,M212&gt;=0,M212&lt;=N212,N212&lt;=O212),"입력 OK","전체기간 확인"))))))</x:f>
        <x:v>입력 OK</x:v>
      </x:c>
      <x:c r="AN212" s="7" t="str">
        <x:v>24</x:v>
      </x:c>
    </x:row>
    <x:row r="213" ht="34" customHeight="1">
      <x:c r="A213" s="7" t="str">
        <x:v>EN01</x:v>
      </x:c>
      <x:c r="B213" s="7" t="str">
        <x:v>24 수전·유틸리티 인입</x:v>
      </x:c>
      <x:c r="C213" s="7" t="str">
        <x:v>사용전검사 신청·수검·보완조치</x:v>
      </x:c>
      <x:c r="D213" s="7" t="str">
        <x:f>'모듈선택'!B29</x:f>
        <x:v>적용</x:v>
      </x:c>
      <x:c r="E213" s="8" t="str">
        <x:v>계획</x:v>
      </x:c>
      <x:c r="F213" s="8" t="str">
        <x:v>전기 시공사 / 검사기관 / 한전</x:v>
      </x:c>
      <x:c r="G213" s="8" t="str">
        <x:v>검사결과, 시정확인</x:v>
      </x:c>
      <x:c r="H213" s="9"/>
      <x:c r="I213" s="9"/>
      <x:c r="J213" s="9"/>
      <x:c r="K213" s="9"/>
      <x:c r="L213" s="9"/>
      <x:c r="M213" s="8" t="n">
        <x:v>5</x:v>
      </x:c>
      <x:c r="N213" s="8" t="n">
        <x:v>7</x:v>
      </x:c>
      <x:c r="O213" s="8" t="n">
        <x:v>12</x:v>
      </x:c>
      <x:c r="P213" s="8"/>
      <x:c r="Q213" s="8"/>
      <x:c r="R213" s="8"/>
      <x:c r="S213" s="7" t="n">
        <x:f>IF(OR(AM213="제외",AM213="완료"),0,IF(AM213&lt;&gt;"입력 OK","",IF(E213="진행",P213,M213)))</x:f>
        <x:v>5</x:v>
      </x:c>
      <x:c r="T213" s="7" t="n">
        <x:f>IF(OR(AM213="제외",AM213="완료"),0,IF(AM213&lt;&gt;"입력 OK","",IF(E213="진행",Q213,N213)))</x:f>
        <x:v>7</x:v>
      </x:c>
      <x:c r="U213" s="7" t="n">
        <x:f>IF(OR(AM213="제외",AM213="완료"),0,IF(AM213&lt;&gt;"입력 OK","",IF(E213="진행",R213,O213)))</x:f>
        <x:v>12</x:v>
      </x:c>
      <x:c r="V213" s="11" t="n">
        <x:f>IF(COUNT(S213:U213)&lt;3,"",(S213+4*T213+U213)/6)</x:f>
        <x:v>7.5</x:v>
      </x:c>
      <x:c r="W213" s="11" t="n">
        <x:f>IF(COUNT(S213:U213)&lt;3,"",((U213-S213)/6)^2)</x:f>
        <x:v>1.3611111111111114</x:v>
      </x:c>
      <x:c r="X213" s="8" t="str">
        <x:v>PW03</x:v>
      </x:c>
      <x:c r="Y213" s="8" t="str">
        <x:v>EC05</x:v>
      </x:c>
      <x:c r="Z213" s="8" t="str"/>
      <x:c r="AA213" s="8" t="str"/>
      <x:c r="AB213" s="8" t="str"/>
      <x:c r="AC213" s="8" t="str"/>
      <x:c r="AD213" s="10" t="str">
        <x:f>IF(X213="",0,INDEX($AK$6:$AK$212,MATCH(X213,$A$6:$A$212,0)))</x:f>
      </x:c>
      <x:c r="AE213" s="10" t="str">
        <x:f>IF(Y213="",0,INDEX($AK$6:$AK$212,MATCH(Y213,$A$6:$A$212,0)))</x:f>
      </x:c>
      <x:c r="AF213" s="10" t="n">
        <x:f>IF(Z213="",0,INDEX($AK$6:$AK$212,MATCH(Z213,$A$6:$A$212,0)))</x:f>
        <x:v>0</x:v>
      </x:c>
      <x:c r="AG213" s="10" t="n">
        <x:f>IF(AA213="",0,INDEX($AK$6:$AK$212,MATCH(AA213,$A$6:$A$212,0)))</x:f>
        <x:v>0</x:v>
      </x:c>
      <x:c r="AH213" s="10" t="n">
        <x:f>IF(AB213="",0,INDEX($AK$6:$AK$212,MATCH(AB213,$A$6:$A$212,0)))</x:f>
        <x:v>0</x:v>
      </x:c>
      <x:c r="AI213" s="10" t="n">
        <x:f>IF(AC213="",0,INDEX($AK$6:$AK$212,MATCH(AC213,$A$6:$A$212,0)))</x:f>
        <x:v>0</x:v>
      </x:c>
      <x:c r="AJ213" s="10" t="str">
        <x:f>IF(AM213="완료",IF(J213="",K213,J213),IF(OR(COUNT('프로젝트설정'!$B$7:$B$8)&lt;2,COUNT(AD213:AI213)&lt;6,COUNT(S213:U213)&lt;3),"",IF(AM213="제외",MAX('프로젝트설정'!$B$7,AD213:AI213),IF(E213="진행",J213,MAX('프로젝트설정'!$B$7:$B$8,L213,AD213:AI213)))))</x:f>
      </x:c>
      <x:c r="AK213" s="10" t="str">
        <x:f>IF(AM213="완료",K213,IF(AJ213="","",IF(E213="진행",MAX('프로젝트설정'!$B$8,AJ213,AD213:AI213)+T213,AJ213+T213)))</x:f>
      </x:c>
      <x:c r="AL213" s="7" t="str">
        <x:f>IF(OR(I213="",AK213=""),"",AK213-I213)</x:f>
      </x:c>
      <x:c r="AM213" s="7" t="str">
        <x:f>IF(OR(D213="제외",E213="제외"),"제외",IF(D213&lt;&gt;"적용","적용성 확인",IF(E213="완료",IF(ISNUMBER(K213),"완료","실제완료 입력"),IF(E213="보류","보류 해제 필요",IF(E213="진행",IF(AND(ISNUMBER(J213),COUNT(P213:R213)=3,P213&gt;=0,P213&lt;=Q213,Q213&lt;=R213),"입력 OK","실제착수·잔여기간 확인"),IF(AND(COUNT(M213:O213)=3,M213&gt;=0,M213&lt;=N213,N213&lt;=O213),"입력 OK","전체기간 확인"))))))</x:f>
        <x:v>입력 OK</x:v>
      </x:c>
      <x:c r="AN213" s="7" t="str">
        <x:v>24</x:v>
      </x:c>
    </x:row>
    <x:row r="214" ht="34" customHeight="1">
      <x:c r="A214" s="7" t="str">
        <x:v>EN02</x:v>
      </x:c>
      <x:c r="B214" s="7" t="str">
        <x:v>24 수전·유틸리티 인입</x:v>
      </x:c>
      <x:c r="C214" s="7" t="str">
        <x:v>계량기 설치·수전 및 전원 투입 승인</x:v>
      </x:c>
      <x:c r="D214" s="7" t="str">
        <x:f>'모듈선택'!B29</x:f>
        <x:v>적용</x:v>
      </x:c>
      <x:c r="E214" s="8" t="str">
        <x:v>계획</x:v>
      </x:c>
      <x:c r="F214" s="8" t="str">
        <x:v>전기 시공사 / 검사기관 / 한전</x:v>
      </x:c>
      <x:c r="G214" s="8" t="str">
        <x:v>수전기록, energization permit</x:v>
      </x:c>
      <x:c r="H214" s="9"/>
      <x:c r="I214" s="9"/>
      <x:c r="J214" s="9"/>
      <x:c r="K214" s="9"/>
      <x:c r="L214" s="9"/>
      <x:c r="M214" s="8" t="n">
        <x:v>2</x:v>
      </x:c>
      <x:c r="N214" s="8" t="n">
        <x:v>3</x:v>
      </x:c>
      <x:c r="O214" s="8" t="n">
        <x:v>6</x:v>
      </x:c>
      <x:c r="P214" s="8"/>
      <x:c r="Q214" s="8"/>
      <x:c r="R214" s="8"/>
      <x:c r="S214" s="7" t="n">
        <x:f>IF(OR(AM214="제외",AM214="완료"),0,IF(AM214&lt;&gt;"입력 OK","",IF(E214="진행",P214,M214)))</x:f>
        <x:v>2</x:v>
      </x:c>
      <x:c r="T214" s="7" t="n">
        <x:f>IF(OR(AM214="제외",AM214="완료"),0,IF(AM214&lt;&gt;"입력 OK","",IF(E214="진행",Q214,N214)))</x:f>
        <x:v>3</x:v>
      </x:c>
      <x:c r="U214" s="7" t="n">
        <x:f>IF(OR(AM214="제외",AM214="완료"),0,IF(AM214&lt;&gt;"입력 OK","",IF(E214="진행",R214,O214)))</x:f>
        <x:v>6</x:v>
      </x:c>
      <x:c r="V214" s="11" t="n">
        <x:f>IF(COUNT(S214:U214)&lt;3,"",(S214+4*T214+U214)/6)</x:f>
        <x:v>3.3333333333333335</x:v>
      </x:c>
      <x:c r="W214" s="11" t="n">
        <x:f>IF(COUNT(S214:U214)&lt;3,"",((U214-S214)/6)^2)</x:f>
        <x:v>0.4444444444444444</x:v>
      </x:c>
      <x:c r="X214" s="8" t="str">
        <x:v>EN01</x:v>
      </x:c>
      <x:c r="Y214" s="8" t="str"/>
      <x:c r="Z214" s="8" t="str"/>
      <x:c r="AA214" s="8" t="str"/>
      <x:c r="AB214" s="8" t="str"/>
      <x:c r="AC214" s="8" t="str"/>
      <x:c r="AD214" s="10" t="str">
        <x:f>IF(X214="",0,INDEX($AK$6:$AK$213,MATCH(X214,$A$6:$A$213,0)))</x:f>
      </x:c>
      <x:c r="AE214" s="10" t="n">
        <x:f>IF(Y214="",0,INDEX($AK$6:$AK$213,MATCH(Y214,$A$6:$A$213,0)))</x:f>
        <x:v>0</x:v>
      </x:c>
      <x:c r="AF214" s="10" t="n">
        <x:f>IF(Z214="",0,INDEX($AK$6:$AK$213,MATCH(Z214,$A$6:$A$213,0)))</x:f>
        <x:v>0</x:v>
      </x:c>
      <x:c r="AG214" s="10" t="n">
        <x:f>IF(AA214="",0,INDEX($AK$6:$AK$213,MATCH(AA214,$A$6:$A$213,0)))</x:f>
        <x:v>0</x:v>
      </x:c>
      <x:c r="AH214" s="10" t="n">
        <x:f>IF(AB214="",0,INDEX($AK$6:$AK$213,MATCH(AB214,$A$6:$A$213,0)))</x:f>
        <x:v>0</x:v>
      </x:c>
      <x:c r="AI214" s="10" t="n">
        <x:f>IF(AC214="",0,INDEX($AK$6:$AK$213,MATCH(AC214,$A$6:$A$213,0)))</x:f>
        <x:v>0</x:v>
      </x:c>
      <x:c r="AJ214" s="10" t="str">
        <x:f>IF(AM214="완료",IF(J214="",K214,J214),IF(OR(COUNT('프로젝트설정'!$B$7:$B$8)&lt;2,COUNT(AD214:AI214)&lt;6,COUNT(S214:U214)&lt;3),"",IF(AM214="제외",MAX('프로젝트설정'!$B$7,AD214:AI214),IF(E214="진행",J214,MAX('프로젝트설정'!$B$7:$B$8,L214,AD214:AI214)))))</x:f>
      </x:c>
      <x:c r="AK214" s="10" t="str">
        <x:f>IF(AM214="완료",K214,IF(AJ214="","",IF(E214="진행",MAX('프로젝트설정'!$B$8,AJ214,AD214:AI214)+T214,AJ214+T214)))</x:f>
      </x:c>
      <x:c r="AL214" s="7" t="str">
        <x:f>IF(OR(I214="",AK214=""),"",AK214-I214)</x:f>
      </x:c>
      <x:c r="AM214" s="7" t="str">
        <x:f>IF(OR(D214="제외",E214="제외"),"제외",IF(D214&lt;&gt;"적용","적용성 확인",IF(E214="완료",IF(ISNUMBER(K214),"완료","실제완료 입력"),IF(E214="보류","보류 해제 필요",IF(E214="진행",IF(AND(ISNUMBER(J214),COUNT(P214:R214)=3,P214&gt;=0,P214&lt;=Q214,Q214&lt;=R214),"입력 OK","실제착수·잔여기간 확인"),IF(AND(COUNT(M214:O214)=3,M214&gt;=0,M214&lt;=N214,N214&lt;=O214),"입력 OK","전체기간 확인"))))))</x:f>
        <x:v>입력 OK</x:v>
      </x:c>
      <x:c r="AN214" s="7" t="str">
        <x:v>24</x:v>
      </x:c>
    </x:row>
    <x:row r="215" ht="34" customHeight="1">
      <x:c r="A215" s="7" t="str">
        <x:v>TI01</x:v>
      </x:c>
      <x:c r="B215" s="7" t="str">
        <x:v>24 수전·유틸리티 인입</x:v>
      </x:c>
      <x:c r="C215" s="7" t="str">
        <x:v>원료가스·용수·하수·통신 인입공사 협의</x:v>
      </x:c>
      <x:c r="D215" s="7" t="str">
        <x:f>'모듈선택'!B29</x:f>
        <x:v>적용</x:v>
      </x:c>
      <x:c r="E215" s="8" t="str">
        <x:v>계획</x:v>
      </x:c>
      <x:c r="F215" s="8" t="str">
        <x:v>공급기관 / 사업주 / 시공사</x:v>
      </x:c>
      <x:c r="G215" s="8" t="str">
        <x:v>공급협약, 경계/정지일정</x:v>
      </x:c>
      <x:c r="H215" s="9"/>
      <x:c r="I215" s="9"/>
      <x:c r="J215" s="9"/>
      <x:c r="K215" s="9"/>
      <x:c r="L215" s="9"/>
      <x:c r="M215" s="8" t="n">
        <x:v>5</x:v>
      </x:c>
      <x:c r="N215" s="8" t="n">
        <x:v>7</x:v>
      </x:c>
      <x:c r="O215" s="8" t="n">
        <x:v>12</x:v>
      </x:c>
      <x:c r="P215" s="8"/>
      <x:c r="Q215" s="8"/>
      <x:c r="R215" s="8"/>
      <x:c r="S215" s="7" t="n">
        <x:f>IF(OR(AM215="제외",AM215="완료"),0,IF(AM215&lt;&gt;"입력 OK","",IF(E215="진행",P215,M215)))</x:f>
        <x:v>5</x:v>
      </x:c>
      <x:c r="T215" s="7" t="n">
        <x:f>IF(OR(AM215="제외",AM215="완료"),0,IF(AM215&lt;&gt;"입력 OK","",IF(E215="진행",Q215,N215)))</x:f>
        <x:v>7</x:v>
      </x:c>
      <x:c r="U215" s="7" t="n">
        <x:f>IF(OR(AM215="제외",AM215="완료"),0,IF(AM215&lt;&gt;"입력 OK","",IF(E215="진행",R215,O215)))</x:f>
        <x:v>12</x:v>
      </x:c>
      <x:c r="V215" s="11" t="n">
        <x:f>IF(COUNT(S215:U215)&lt;3,"",(S215+4*T215+U215)/6)</x:f>
        <x:v>7.5</x:v>
      </x:c>
      <x:c r="W215" s="11" t="n">
        <x:f>IF(COUNT(S215:U215)&lt;3,"",((U215-S215)/6)^2)</x:f>
        <x:v>1.3611111111111114</x:v>
      </x:c>
      <x:c r="X215" s="8" t="str">
        <x:v>DB02</x:v>
      </x:c>
      <x:c r="Y215" s="8" t="str">
        <x:v>MS02</x:v>
      </x:c>
      <x:c r="Z215" s="8" t="str"/>
      <x:c r="AA215" s="8" t="str"/>
      <x:c r="AB215" s="8" t="str"/>
      <x:c r="AC215" s="8" t="str"/>
      <x:c r="AD215" s="10" t="str">
        <x:f>IF(X215="",0,INDEX($AK$6:$AK$214,MATCH(X215,$A$6:$A$214,0)))</x:f>
      </x:c>
      <x:c r="AE215" s="10" t="str">
        <x:f>IF(Y215="",0,INDEX($AK$6:$AK$214,MATCH(Y215,$A$6:$A$214,0)))</x:f>
      </x:c>
      <x:c r="AF215" s="10" t="n">
        <x:f>IF(Z215="",0,INDEX($AK$6:$AK$214,MATCH(Z215,$A$6:$A$214,0)))</x:f>
        <x:v>0</x:v>
      </x:c>
      <x:c r="AG215" s="10" t="n">
        <x:f>IF(AA215="",0,INDEX($AK$6:$AK$214,MATCH(AA215,$A$6:$A$214,0)))</x:f>
        <x:v>0</x:v>
      </x:c>
      <x:c r="AH215" s="10" t="n">
        <x:f>IF(AB215="",0,INDEX($AK$6:$AK$214,MATCH(AB215,$A$6:$A$214,0)))</x:f>
        <x:v>0</x:v>
      </x:c>
      <x:c r="AI215" s="10" t="n">
        <x:f>IF(AC215="",0,INDEX($AK$6:$AK$214,MATCH(AC215,$A$6:$A$214,0)))</x:f>
        <x:v>0</x:v>
      </x:c>
      <x:c r="AJ215" s="10" t="str">
        <x:f>IF(AM215="완료",IF(J215="",K215,J215),IF(OR(COUNT('프로젝트설정'!$B$7:$B$8)&lt;2,COUNT(AD215:AI215)&lt;6,COUNT(S215:U215)&lt;3),"",IF(AM215="제외",MAX('프로젝트설정'!$B$7,AD215:AI215),IF(E215="진행",J215,MAX('프로젝트설정'!$B$7:$B$8,L215,AD215:AI215)))))</x:f>
      </x:c>
      <x:c r="AK215" s="10" t="str">
        <x:f>IF(AM215="완료",K215,IF(AJ215="","",IF(E215="진행",MAX('프로젝트설정'!$B$8,AJ215,AD215:AI215)+T215,AJ215+T215)))</x:f>
      </x:c>
      <x:c r="AL215" s="7" t="str">
        <x:f>IF(OR(I215="",AK215=""),"",AK215-I215)</x:f>
      </x:c>
      <x:c r="AM215" s="7" t="str">
        <x:f>IF(OR(D215="제외",E215="제외"),"제외",IF(D215&lt;&gt;"적용","적용성 확인",IF(E215="완료",IF(ISNUMBER(K215),"완료","실제완료 입력"),IF(E215="보류","보류 해제 필요",IF(E215="진행",IF(AND(ISNUMBER(J215),COUNT(P215:R215)=3,P215&gt;=0,P215&lt;=Q215,Q215&lt;=R215),"입력 OK","실제착수·잔여기간 확인"),IF(AND(COUNT(M215:O215)=3,M215&gt;=0,M215&lt;=N215,N215&lt;=O215),"입력 OK","전체기간 확인"))))))</x:f>
        <x:v>입력 OK</x:v>
      </x:c>
      <x:c r="AN215" s="7" t="str">
        <x:v>24</x:v>
      </x:c>
    </x:row>
    <x:row r="216" ht="34" customHeight="1">
      <x:c r="A216" s="7" t="str">
        <x:v>TI02</x:v>
      </x:c>
      <x:c r="B216" s="7" t="str">
        <x:v>24 수전·유틸리티 인입</x:v>
      </x:c>
      <x:c r="C216" s="7" t="str">
        <x:v>인입 배관·계량·차단·유틸리티 시공</x:v>
      </x:c>
      <x:c r="D216" s="7" t="str">
        <x:f>'모듈선택'!B29</x:f>
        <x:v>적용</x:v>
      </x:c>
      <x:c r="E216" s="8" t="str">
        <x:v>계획</x:v>
      </x:c>
      <x:c r="F216" s="8" t="str">
        <x:v>공급기관 / 사업주 / 시공사</x:v>
      </x:c>
      <x:c r="G216" s="8" t="str">
        <x:v>인입도면, 시험자료</x:v>
      </x:c>
      <x:c r="H216" s="9"/>
      <x:c r="I216" s="9"/>
      <x:c r="J216" s="9"/>
      <x:c r="K216" s="9"/>
      <x:c r="L216" s="9"/>
      <x:c r="M216" s="8" t="n">
        <x:v>14</x:v>
      </x:c>
      <x:c r="N216" s="8" t="n">
        <x:v>21</x:v>
      </x:c>
      <x:c r="O216" s="8" t="n">
        <x:v>36</x:v>
      </x:c>
      <x:c r="P216" s="8"/>
      <x:c r="Q216" s="8"/>
      <x:c r="R216" s="8"/>
      <x:c r="S216" s="7" t="n">
        <x:f>IF(OR(AM216="제외",AM216="완료"),0,IF(AM216&lt;&gt;"입력 OK","",IF(E216="진행",P216,M216)))</x:f>
        <x:v>14</x:v>
      </x:c>
      <x:c r="T216" s="7" t="n">
        <x:f>IF(OR(AM216="제외",AM216="완료"),0,IF(AM216&lt;&gt;"입력 OK","",IF(E216="진행",Q216,N216)))</x:f>
        <x:v>21</x:v>
      </x:c>
      <x:c r="U216" s="7" t="n">
        <x:f>IF(OR(AM216="제외",AM216="완료"),0,IF(AM216&lt;&gt;"입력 OK","",IF(E216="진행",R216,O216)))</x:f>
        <x:v>36</x:v>
      </x:c>
      <x:c r="V216" s="11" t="n">
        <x:f>IF(COUNT(S216:U216)&lt;3,"",(S216+4*T216+U216)/6)</x:f>
        <x:v>22.333333333333332</x:v>
      </x:c>
      <x:c r="W216" s="11" t="n">
        <x:f>IF(COUNT(S216:U216)&lt;3,"",((U216-S216)/6)^2)</x:f>
        <x:v>13.444444444444443</x:v>
      </x:c>
      <x:c r="X216" s="8" t="str">
        <x:v>TI01</x:v>
      </x:c>
      <x:c r="Y216" s="8" t="str"/>
      <x:c r="Z216" s="8" t="str"/>
      <x:c r="AA216" s="8" t="str"/>
      <x:c r="AB216" s="8" t="str"/>
      <x:c r="AC216" s="8" t="str"/>
      <x:c r="AD216" s="10" t="str">
        <x:f>IF(X216="",0,INDEX($AK$6:$AK$215,MATCH(X216,$A$6:$A$215,0)))</x:f>
      </x:c>
      <x:c r="AE216" s="10" t="n">
        <x:f>IF(Y216="",0,INDEX($AK$6:$AK$215,MATCH(Y216,$A$6:$A$215,0)))</x:f>
        <x:v>0</x:v>
      </x:c>
      <x:c r="AF216" s="10" t="n">
        <x:f>IF(Z216="",0,INDEX($AK$6:$AK$215,MATCH(Z216,$A$6:$A$215,0)))</x:f>
        <x:v>0</x:v>
      </x:c>
      <x:c r="AG216" s="10" t="n">
        <x:f>IF(AA216="",0,INDEX($AK$6:$AK$215,MATCH(AA216,$A$6:$A$215,0)))</x:f>
        <x:v>0</x:v>
      </x:c>
      <x:c r="AH216" s="10" t="n">
        <x:f>IF(AB216="",0,INDEX($AK$6:$AK$215,MATCH(AB216,$A$6:$A$215,0)))</x:f>
        <x:v>0</x:v>
      </x:c>
      <x:c r="AI216" s="10" t="n">
        <x:f>IF(AC216="",0,INDEX($AK$6:$AK$215,MATCH(AC216,$A$6:$A$215,0)))</x:f>
        <x:v>0</x:v>
      </x:c>
      <x:c r="AJ216" s="10" t="str">
        <x:f>IF(AM216="완료",IF(J216="",K216,J216),IF(OR(COUNT('프로젝트설정'!$B$7:$B$8)&lt;2,COUNT(AD216:AI216)&lt;6,COUNT(S216:U216)&lt;3),"",IF(AM216="제외",MAX('프로젝트설정'!$B$7,AD216:AI216),IF(E216="진행",J216,MAX('프로젝트설정'!$B$7:$B$8,L216,AD216:AI216)))))</x:f>
      </x:c>
      <x:c r="AK216" s="10" t="str">
        <x:f>IF(AM216="완료",K216,IF(AJ216="","",IF(E216="진행",MAX('프로젝트설정'!$B$8,AJ216,AD216:AI216)+T216,AJ216+T216)))</x:f>
      </x:c>
      <x:c r="AL216" s="7" t="str">
        <x:f>IF(OR(I216="",AK216=""),"",AK216-I216)</x:f>
      </x:c>
      <x:c r="AM216" s="7" t="str">
        <x:f>IF(OR(D216="제외",E216="제외"),"제외",IF(D216&lt;&gt;"적용","적용성 확인",IF(E216="완료",IF(ISNUMBER(K216),"완료","실제완료 입력"),IF(E216="보류","보류 해제 필요",IF(E216="진행",IF(AND(ISNUMBER(J216),COUNT(P216:R216)=3,P216&gt;=0,P216&lt;=Q216,Q216&lt;=R216),"입력 OK","실제착수·잔여기간 확인"),IF(AND(COUNT(M216:O216)=3,M216&gt;=0,M216&lt;=N216,N216&lt;=O216),"입력 OK","전체기간 확인"))))))</x:f>
        <x:v>입력 OK</x:v>
      </x:c>
      <x:c r="AN216" s="7" t="str">
        <x:v>24</x:v>
      </x:c>
    </x:row>
    <x:row r="217" ht="34" customHeight="1">
      <x:c r="A217" s="7" t="str">
        <x:v>TI03</x:v>
      </x:c>
      <x:c r="B217" s="7" t="str">
        <x:v>24 수전·유틸리티 인입</x:v>
      </x:c>
      <x:c r="C217" s="7" t="str">
        <x:v>인입 검사·공급 가능조건 확인</x:v>
      </x:c>
      <x:c r="D217" s="7" t="str">
        <x:f>'모듈선택'!B29</x:f>
        <x:v>적용</x:v>
      </x:c>
      <x:c r="E217" s="8" t="str">
        <x:v>계획</x:v>
      </x:c>
      <x:c r="F217" s="8" t="str">
        <x:v>공급기관 / 사업주 / 시공사</x:v>
      </x:c>
      <x:c r="G217" s="8" t="str">
        <x:v>공급승인, 수질/가스 조건</x:v>
      </x:c>
      <x:c r="H217" s="9"/>
      <x:c r="I217" s="9"/>
      <x:c r="J217" s="9"/>
      <x:c r="K217" s="9"/>
      <x:c r="L217" s="9"/>
      <x:c r="M217" s="8" t="n">
        <x:v>5</x:v>
      </x:c>
      <x:c r="N217" s="8" t="n">
        <x:v>7</x:v>
      </x:c>
      <x:c r="O217" s="8" t="n">
        <x:v>12</x:v>
      </x:c>
      <x:c r="P217" s="8"/>
      <x:c r="Q217" s="8"/>
      <x:c r="R217" s="8"/>
      <x:c r="S217" s="7" t="n">
        <x:f>IF(OR(AM217="제외",AM217="완료"),0,IF(AM217&lt;&gt;"입력 OK","",IF(E217="진행",P217,M217)))</x:f>
        <x:v>5</x:v>
      </x:c>
      <x:c r="T217" s="7" t="n">
        <x:f>IF(OR(AM217="제외",AM217="완료"),0,IF(AM217&lt;&gt;"입력 OK","",IF(E217="진행",Q217,N217)))</x:f>
        <x:v>7</x:v>
      </x:c>
      <x:c r="U217" s="7" t="n">
        <x:f>IF(OR(AM217="제외",AM217="완료"),0,IF(AM217&lt;&gt;"입력 OK","",IF(E217="진행",R217,O217)))</x:f>
        <x:v>12</x:v>
      </x:c>
      <x:c r="V217" s="11" t="n">
        <x:f>IF(COUNT(S217:U217)&lt;3,"",(S217+4*T217+U217)/6)</x:f>
        <x:v>7.5</x:v>
      </x:c>
      <x:c r="W217" s="11" t="n">
        <x:f>IF(COUNT(S217:U217)&lt;3,"",((U217-S217)/6)^2)</x:f>
        <x:v>1.3611111111111114</x:v>
      </x:c>
      <x:c r="X217" s="8" t="str">
        <x:v>TI02</x:v>
      </x:c>
      <x:c r="Y217" s="8" t="str"/>
      <x:c r="Z217" s="8" t="str"/>
      <x:c r="AA217" s="8" t="str"/>
      <x:c r="AB217" s="8" t="str"/>
      <x:c r="AC217" s="8" t="str"/>
      <x:c r="AD217" s="10" t="str">
        <x:f>IF(X217="",0,INDEX($AK$6:$AK$216,MATCH(X217,$A$6:$A$216,0)))</x:f>
      </x:c>
      <x:c r="AE217" s="10" t="n">
        <x:f>IF(Y217="",0,INDEX($AK$6:$AK$216,MATCH(Y217,$A$6:$A$216,0)))</x:f>
        <x:v>0</x:v>
      </x:c>
      <x:c r="AF217" s="10" t="n">
        <x:f>IF(Z217="",0,INDEX($AK$6:$AK$216,MATCH(Z217,$A$6:$A$216,0)))</x:f>
        <x:v>0</x:v>
      </x:c>
      <x:c r="AG217" s="10" t="n">
        <x:f>IF(AA217="",0,INDEX($AK$6:$AK$216,MATCH(AA217,$A$6:$A$216,0)))</x:f>
        <x:v>0</x:v>
      </x:c>
      <x:c r="AH217" s="10" t="n">
        <x:f>IF(AB217="",0,INDEX($AK$6:$AK$216,MATCH(AB217,$A$6:$A$216,0)))</x:f>
        <x:v>0</x:v>
      </x:c>
      <x:c r="AI217" s="10" t="n">
        <x:f>IF(AC217="",0,INDEX($AK$6:$AK$216,MATCH(AC217,$A$6:$A$216,0)))</x:f>
        <x:v>0</x:v>
      </x:c>
      <x:c r="AJ217" s="10" t="str">
        <x:f>IF(AM217="완료",IF(J217="",K217,J217),IF(OR(COUNT('프로젝트설정'!$B$7:$B$8)&lt;2,COUNT(AD217:AI217)&lt;6,COUNT(S217:U217)&lt;3),"",IF(AM217="제외",MAX('프로젝트설정'!$B$7,AD217:AI217),IF(E217="진행",J217,MAX('프로젝트설정'!$B$7:$B$8,L217,AD217:AI217)))))</x:f>
      </x:c>
      <x:c r="AK217" s="10" t="str">
        <x:f>IF(AM217="완료",K217,IF(AJ217="","",IF(E217="진행",MAX('프로젝트설정'!$B$8,AJ217,AD217:AI217)+T217,AJ217+T217)))</x:f>
      </x:c>
      <x:c r="AL217" s="7" t="str">
        <x:f>IF(OR(I217="",AK217=""),"",AK217-I217)</x:f>
      </x:c>
      <x:c r="AM217" s="7" t="str">
        <x:f>IF(OR(D217="제외",E217="제외"),"제외",IF(D217&lt;&gt;"적용","적용성 확인",IF(E217="완료",IF(ISNUMBER(K217),"완료","실제완료 입력"),IF(E217="보류","보류 해제 필요",IF(E217="진행",IF(AND(ISNUMBER(J217),COUNT(P217:R217)=3,P217&gt;=0,P217&lt;=Q217,Q217&lt;=R217),"입력 OK","실제착수·잔여기간 확인"),IF(AND(COUNT(M217:O217)=3,M217&gt;=0,M217&lt;=N217,N217&lt;=O217),"입력 OK","전체기간 확인"))))))</x:f>
        <x:v>입력 OK</x:v>
      </x:c>
      <x:c r="AN217" s="7" t="str">
        <x:v>24</x:v>
      </x:c>
    </x:row>
    <x:row r="218" ht="34" customHeight="1">
      <x:c r="A218" s="7" t="str">
        <x:v>QC01</x:v>
      </x:c>
      <x:c r="B218" s="7" t="str">
        <x:v>25 검사·운전 준비</x:v>
      </x:c>
      <x:c r="C218" s="7" t="str">
        <x:v>해당 제품 법정검사 대상·설계/생산단계 일정 협의</x:v>
      </x:c>
      <x:c r="D218" s="7" t="str">
        <x:f>'모듈선택'!B30</x:f>
        <x:v>적용</x:v>
      </x:c>
      <x:c r="E218" s="8" t="str">
        <x:v>계획</x:v>
      </x:c>
      <x:c r="F218" s="8" t="str">
        <x:v>주설비 공급사 / 벤더 / 해당 검사기관</x:v>
      </x:c>
      <x:c r="G218" s="8" t="str">
        <x:v>대상품목/검사기관 회신</x:v>
      </x:c>
      <x:c r="H218" s="9"/>
      <x:c r="I218" s="9"/>
      <x:c r="J218" s="9"/>
      <x:c r="K218" s="9"/>
      <x:c r="L218" s="9"/>
      <x:c r="M218" s="8" t="n">
        <x:v>3</x:v>
      </x:c>
      <x:c r="N218" s="8" t="n">
        <x:v>4</x:v>
      </x:c>
      <x:c r="O218" s="8" t="n">
        <x:v>7</x:v>
      </x:c>
      <x:c r="P218" s="8"/>
      <x:c r="Q218" s="8"/>
      <x:c r="R218" s="8"/>
      <x:c r="S218" s="7" t="n">
        <x:f>IF(OR(AM218="제외",AM218="완료"),0,IF(AM218&lt;&gt;"입력 OK","",IF(E218="진행",P218,M218)))</x:f>
        <x:v>3</x:v>
      </x:c>
      <x:c r="T218" s="7" t="n">
        <x:f>IF(OR(AM218="제외",AM218="완료"),0,IF(AM218&lt;&gt;"입력 OK","",IF(E218="진행",Q218,N218)))</x:f>
        <x:v>4</x:v>
      </x:c>
      <x:c r="U218" s="7" t="n">
        <x:f>IF(OR(AM218="제외",AM218="완료"),0,IF(AM218&lt;&gt;"입력 OK","",IF(E218="진행",R218,O218)))</x:f>
        <x:v>7</x:v>
      </x:c>
      <x:c r="V218" s="11" t="n">
        <x:f>IF(COUNT(S218:U218)&lt;3,"",(S218+4*T218+U218)/6)</x:f>
        <x:v>4.333333333333333</x:v>
      </x:c>
      <x:c r="W218" s="11" t="n">
        <x:f>IF(COUNT(S218:U218)&lt;3,"",((U218-S218)/6)^2)</x:f>
        <x:v>0.4444444444444444</x:v>
      </x:c>
      <x:c r="X218" s="8" t="str">
        <x:v>VP06</x:v>
      </x:c>
      <x:c r="Y218" s="8" t="str"/>
      <x:c r="Z218" s="8" t="str"/>
      <x:c r="AA218" s="8" t="str"/>
      <x:c r="AB218" s="8" t="str"/>
      <x:c r="AC218" s="8" t="str"/>
      <x:c r="AD218" s="10" t="str">
        <x:f>IF(X218="",0,INDEX($AK$6:$AK$217,MATCH(X218,$A$6:$A$217,0)))</x:f>
      </x:c>
      <x:c r="AE218" s="10" t="n">
        <x:f>IF(Y218="",0,INDEX($AK$6:$AK$217,MATCH(Y218,$A$6:$A$217,0)))</x:f>
        <x:v>0</x:v>
      </x:c>
      <x:c r="AF218" s="10" t="n">
        <x:f>IF(Z218="",0,INDEX($AK$6:$AK$217,MATCH(Z218,$A$6:$A$217,0)))</x:f>
        <x:v>0</x:v>
      </x:c>
      <x:c r="AG218" s="10" t="n">
        <x:f>IF(AA218="",0,INDEX($AK$6:$AK$217,MATCH(AA218,$A$6:$A$217,0)))</x:f>
        <x:v>0</x:v>
      </x:c>
      <x:c r="AH218" s="10" t="n">
        <x:f>IF(AB218="",0,INDEX($AK$6:$AK$217,MATCH(AB218,$A$6:$A$217,0)))</x:f>
        <x:v>0</x:v>
      </x:c>
      <x:c r="AI218" s="10" t="n">
        <x:f>IF(AC218="",0,INDEX($AK$6:$AK$217,MATCH(AC218,$A$6:$A$217,0)))</x:f>
        <x:v>0</x:v>
      </x:c>
      <x:c r="AJ218" s="10" t="str">
        <x:f>IF(AM218="완료",IF(J218="",K218,J218),IF(OR(COUNT('프로젝트설정'!$B$7:$B$8)&lt;2,COUNT(AD218:AI218)&lt;6,COUNT(S218:U218)&lt;3),"",IF(AM218="제외",MAX('프로젝트설정'!$B$7,AD218:AI218),IF(E218="진행",J218,MAX('프로젝트설정'!$B$7:$B$8,L218,AD218:AI218)))))</x:f>
      </x:c>
      <x:c r="AK218" s="10" t="str">
        <x:f>IF(AM218="완료",K218,IF(AJ218="","",IF(E218="진행",MAX('프로젝트설정'!$B$8,AJ218,AD218:AI218)+T218,AJ218+T218)))</x:f>
      </x:c>
      <x:c r="AL218" s="7" t="str">
        <x:f>IF(OR(I218="",AK218=""),"",AK218-I218)</x:f>
      </x:c>
      <x:c r="AM218" s="7" t="str">
        <x:f>IF(OR(D218="제외",E218="제외"),"제외",IF(D218&lt;&gt;"적용","적용성 확인",IF(E218="완료",IF(ISNUMBER(K218),"완료","실제완료 입력"),IF(E218="보류","보류 해제 필요",IF(E218="진행",IF(AND(ISNUMBER(J218),COUNT(P218:R218)=3,P218&gt;=0,P218&lt;=Q218,Q218&lt;=R218),"입력 OK","실제착수·잔여기간 확인"),IF(AND(COUNT(M218:O218)=3,M218&gt;=0,M218&lt;=N218,N218&lt;=O218),"입력 OK","전체기간 확인"))))))</x:f>
        <x:v>입력 OK</x:v>
      </x:c>
      <x:c r="AN218" s="7" t="str">
        <x:v>25</x:v>
      </x:c>
    </x:row>
    <x:row r="219" ht="34" customHeight="1">
      <x:c r="A219" s="7" t="str">
        <x:v>QC02</x:v>
      </x:c>
      <x:c r="B219" s="7" t="str">
        <x:v>25 검사·운전 준비</x:v>
      </x:c>
      <x:c r="C219" s="7" t="str">
        <x:v>벤더 제조·설계단계 검사 증빙 확보</x:v>
      </x:c>
      <x:c r="D219" s="7" t="str">
        <x:f>'모듈선택'!B30</x:f>
        <x:v>적용</x:v>
      </x:c>
      <x:c r="E219" s="8" t="str">
        <x:v>계획</x:v>
      </x:c>
      <x:c r="F219" s="8" t="str">
        <x:v>주설비 공급사 / 벤더 / 해당 검사기관</x:v>
      </x:c>
      <x:c r="G219" s="8" t="str">
        <x:v>인증서, 검사성적서</x:v>
      </x:c>
      <x:c r="H219" s="9"/>
      <x:c r="I219" s="9"/>
      <x:c r="J219" s="9"/>
      <x:c r="K219" s="9"/>
      <x:c r="L219" s="9"/>
      <x:c r="M219" s="8" t="n">
        <x:v>5</x:v>
      </x:c>
      <x:c r="N219" s="8" t="n">
        <x:v>7</x:v>
      </x:c>
      <x:c r="O219" s="8" t="n">
        <x:v>12</x:v>
      </x:c>
      <x:c r="P219" s="8"/>
      <x:c r="Q219" s="8"/>
      <x:c r="R219" s="8"/>
      <x:c r="S219" s="7" t="n">
        <x:f>IF(OR(AM219="제외",AM219="완료"),0,IF(AM219&lt;&gt;"입력 OK","",IF(E219="진행",P219,M219)))</x:f>
        <x:v>5</x:v>
      </x:c>
      <x:c r="T219" s="7" t="n">
        <x:f>IF(OR(AM219="제외",AM219="완료"),0,IF(AM219&lt;&gt;"입력 OK","",IF(E219="진행",Q219,N219)))</x:f>
        <x:v>7</x:v>
      </x:c>
      <x:c r="U219" s="7" t="n">
        <x:f>IF(OR(AM219="제외",AM219="완료"),0,IF(AM219&lt;&gt;"입력 OK","",IF(E219="진행",R219,O219)))</x:f>
        <x:v>12</x:v>
      </x:c>
      <x:c r="V219" s="11" t="n">
        <x:f>IF(COUNT(S219:U219)&lt;3,"",(S219+4*T219+U219)/6)</x:f>
        <x:v>7.5</x:v>
      </x:c>
      <x:c r="W219" s="11" t="n">
        <x:f>IF(COUNT(S219:U219)&lt;3,"",((U219-S219)/6)^2)</x:f>
        <x:v>1.3611111111111114</x:v>
      </x:c>
      <x:c r="X219" s="8" t="str">
        <x:v>QC01</x:v>
      </x:c>
      <x:c r="Y219" s="8" t="str"/>
      <x:c r="Z219" s="8" t="str"/>
      <x:c r="AA219" s="8" t="str"/>
      <x:c r="AB219" s="8" t="str"/>
      <x:c r="AC219" s="8" t="str"/>
      <x:c r="AD219" s="10" t="str">
        <x:f>IF(X219="",0,INDEX($AK$6:$AK$218,MATCH(X219,$A$6:$A$218,0)))</x:f>
      </x:c>
      <x:c r="AE219" s="10" t="n">
        <x:f>IF(Y219="",0,INDEX($AK$6:$AK$218,MATCH(Y219,$A$6:$A$218,0)))</x:f>
        <x:v>0</x:v>
      </x:c>
      <x:c r="AF219" s="10" t="n">
        <x:f>IF(Z219="",0,INDEX($AK$6:$AK$218,MATCH(Z219,$A$6:$A$218,0)))</x:f>
        <x:v>0</x:v>
      </x:c>
      <x:c r="AG219" s="10" t="n">
        <x:f>IF(AA219="",0,INDEX($AK$6:$AK$218,MATCH(AA219,$A$6:$A$218,0)))</x:f>
        <x:v>0</x:v>
      </x:c>
      <x:c r="AH219" s="10" t="n">
        <x:f>IF(AB219="",0,INDEX($AK$6:$AK$218,MATCH(AB219,$A$6:$A$218,0)))</x:f>
        <x:v>0</x:v>
      </x:c>
      <x:c r="AI219" s="10" t="n">
        <x:f>IF(AC219="",0,INDEX($AK$6:$AK$218,MATCH(AC219,$A$6:$A$218,0)))</x:f>
        <x:v>0</x:v>
      </x:c>
      <x:c r="AJ219" s="10" t="str">
        <x:f>IF(AM219="완료",IF(J219="",K219,J219),IF(OR(COUNT('프로젝트설정'!$B$7:$B$8)&lt;2,COUNT(AD219:AI219)&lt;6,COUNT(S219:U219)&lt;3),"",IF(AM219="제외",MAX('프로젝트설정'!$B$7,AD219:AI219),IF(E219="진행",J219,MAX('프로젝트설정'!$B$7:$B$8,L219,AD219:AI219)))))</x:f>
      </x:c>
      <x:c r="AK219" s="10" t="str">
        <x:f>IF(AM219="완료",K219,IF(AJ219="","",IF(E219="진행",MAX('프로젝트설정'!$B$8,AJ219,AD219:AI219)+T219,AJ219+T219)))</x:f>
      </x:c>
      <x:c r="AL219" s="7" t="str">
        <x:f>IF(OR(I219="",AK219=""),"",AK219-I219)</x:f>
      </x:c>
      <x:c r="AM219" s="7" t="str">
        <x:f>IF(OR(D219="제외",E219="제외"),"제외",IF(D219&lt;&gt;"적용","적용성 확인",IF(E219="완료",IF(ISNUMBER(K219),"완료","실제완료 입력"),IF(E219="보류","보류 해제 필요",IF(E219="진행",IF(AND(ISNUMBER(J219),COUNT(P219:R219)=3,P219&gt;=0,P219&lt;=Q219,Q219&lt;=R219),"입력 OK","실제착수·잔여기간 확인"),IF(AND(COUNT(M219:O219)=3,M219&gt;=0,M219&lt;=N219,N219&lt;=O219),"입력 OK","전체기간 확인"))))))</x:f>
        <x:v>입력 OK</x:v>
      </x:c>
      <x:c r="AN219" s="7" t="str">
        <x:v>25</x:v>
      </x:c>
    </x:row>
    <x:row r="220" ht="34" customHeight="1">
      <x:c r="A220" s="7" t="str">
        <x:v>QC03</x:v>
      </x:c>
      <x:c r="B220" s="7" t="str">
        <x:v>25 검사·운전 준비</x:v>
      </x:c>
      <x:c r="C220" s="7" t="str">
        <x:v>현장 검사대상 설비·도서 일치 확인</x:v>
      </x:c>
      <x:c r="D220" s="7" t="str">
        <x:f>'모듈선택'!B30</x:f>
        <x:v>적용</x:v>
      </x:c>
      <x:c r="E220" s="8" t="str">
        <x:v>계획</x:v>
      </x:c>
      <x:c r="F220" s="8" t="str">
        <x:v>주설비 공급사 / 벤더 / 해당 검사기관</x:v>
      </x:c>
      <x:c r="G220" s="8" t="str">
        <x:v>Nameplate, 검사대장</x:v>
      </x:c>
      <x:c r="H220" s="9"/>
      <x:c r="I220" s="9"/>
      <x:c r="J220" s="9"/>
      <x:c r="K220" s="9"/>
      <x:c r="L220" s="9"/>
      <x:c r="M220" s="8" t="n">
        <x:v>3</x:v>
      </x:c>
      <x:c r="N220" s="8" t="n">
        <x:v>4</x:v>
      </x:c>
      <x:c r="O220" s="8" t="n">
        <x:v>7</x:v>
      </x:c>
      <x:c r="P220" s="8"/>
      <x:c r="Q220" s="8"/>
      <x:c r="R220" s="8"/>
      <x:c r="S220" s="7" t="n">
        <x:f>IF(OR(AM220="제외",AM220="완료"),0,IF(AM220&lt;&gt;"입력 OK","",IF(E220="진행",P220,M220)))</x:f>
        <x:v>3</x:v>
      </x:c>
      <x:c r="T220" s="7" t="n">
        <x:f>IF(OR(AM220="제외",AM220="완료"),0,IF(AM220&lt;&gt;"입력 OK","",IF(E220="진행",Q220,N220)))</x:f>
        <x:v>4</x:v>
      </x:c>
      <x:c r="U220" s="7" t="n">
        <x:f>IF(OR(AM220="제외",AM220="완료"),0,IF(AM220&lt;&gt;"입력 OK","",IF(E220="진행",R220,O220)))</x:f>
        <x:v>7</x:v>
      </x:c>
      <x:c r="V220" s="11" t="n">
        <x:f>IF(COUNT(S220:U220)&lt;3,"",(S220+4*T220+U220)/6)</x:f>
        <x:v>4.333333333333333</x:v>
      </x:c>
      <x:c r="W220" s="11" t="n">
        <x:f>IF(COUNT(S220:U220)&lt;3,"",((U220-S220)/6)^2)</x:f>
        <x:v>0.4444444444444444</x:v>
      </x:c>
      <x:c r="X220" s="8" t="str">
        <x:v>QC02</x:v>
      </x:c>
      <x:c r="Y220" s="8" t="str"/>
      <x:c r="Z220" s="8" t="str"/>
      <x:c r="AA220" s="8" t="str"/>
      <x:c r="AB220" s="8" t="str"/>
      <x:c r="AC220" s="8" t="str"/>
      <x:c r="AD220" s="10" t="str">
        <x:f>IF(X220="",0,INDEX($AK$6:$AK$219,MATCH(X220,$A$6:$A$219,0)))</x:f>
      </x:c>
      <x:c r="AE220" s="10" t="n">
        <x:f>IF(Y220="",0,INDEX($AK$6:$AK$219,MATCH(Y220,$A$6:$A$219,0)))</x:f>
        <x:v>0</x:v>
      </x:c>
      <x:c r="AF220" s="10" t="n">
        <x:f>IF(Z220="",0,INDEX($AK$6:$AK$219,MATCH(Z220,$A$6:$A$219,0)))</x:f>
        <x:v>0</x:v>
      </x:c>
      <x:c r="AG220" s="10" t="n">
        <x:f>IF(AA220="",0,INDEX($AK$6:$AK$219,MATCH(AA220,$A$6:$A$219,0)))</x:f>
        <x:v>0</x:v>
      </x:c>
      <x:c r="AH220" s="10" t="n">
        <x:f>IF(AB220="",0,INDEX($AK$6:$AK$219,MATCH(AB220,$A$6:$A$219,0)))</x:f>
        <x:v>0</x:v>
      </x:c>
      <x:c r="AI220" s="10" t="n">
        <x:f>IF(AC220="",0,INDEX($AK$6:$AK$219,MATCH(AC220,$A$6:$A$219,0)))</x:f>
        <x:v>0</x:v>
      </x:c>
      <x:c r="AJ220" s="10" t="str">
        <x:f>IF(AM220="완료",IF(J220="",K220,J220),IF(OR(COUNT('프로젝트설정'!$B$7:$B$8)&lt;2,COUNT(AD220:AI220)&lt;6,COUNT(S220:U220)&lt;3),"",IF(AM220="제외",MAX('프로젝트설정'!$B$7,AD220:AI220),IF(E220="진행",J220,MAX('프로젝트설정'!$B$7:$B$8,L220,AD220:AI220)))))</x:f>
      </x:c>
      <x:c r="AK220" s="10" t="str">
        <x:f>IF(AM220="완료",K220,IF(AJ220="","",IF(E220="진행",MAX('프로젝트설정'!$B$8,AJ220,AD220:AI220)+T220,AJ220+T220)))</x:f>
      </x:c>
      <x:c r="AL220" s="7" t="str">
        <x:f>IF(OR(I220="",AK220=""),"",AK220-I220)</x:f>
      </x:c>
      <x:c r="AM220" s="7" t="str">
        <x:f>IF(OR(D220="제외",E220="제외"),"제외",IF(D220&lt;&gt;"적용","적용성 확인",IF(E220="완료",IF(ISNUMBER(K220),"완료","실제완료 입력"),IF(E220="보류","보류 해제 필요",IF(E220="진행",IF(AND(ISNUMBER(J220),COUNT(P220:R220)=3,P220&gt;=0,P220&lt;=Q220,Q220&lt;=R220),"입력 OK","실제착수·잔여기간 확인"),IF(AND(COUNT(M220:O220)=3,M220&gt;=0,M220&lt;=N220,N220&lt;=O220),"입력 OK","전체기간 확인"))))))</x:f>
        <x:v>입력 OK</x:v>
      </x:c>
      <x:c r="AN220" s="7" t="str">
        <x:v>25</x:v>
      </x:c>
    </x:row>
    <x:row r="221" ht="34" customHeight="1">
      <x:c r="A221" s="7" t="str">
        <x:v>OP01</x:v>
      </x:c>
      <x:c r="B221" s="7" t="str">
        <x:v>25 검사·운전 준비</x:v>
      </x:c>
      <x:c r="C221" s="7" t="str">
        <x:v>운전조직·안전관리자 자격·교육 계획 확정</x:v>
      </x:c>
      <x:c r="D221" s="7" t="str">
        <x:f>'모듈선택'!B30</x:f>
        <x:v>적용</x:v>
      </x:c>
      <x:c r="E221" s="8" t="str">
        <x:v>계획</x:v>
      </x:c>
      <x:c r="F221" s="8" t="str">
        <x:v>사업주 / 운영사 / KGS·허가관청</x:v>
      </x:c>
      <x:c r="G221" s="8" t="str">
        <x:v>운영조직, 자격증, 교육계획</x:v>
      </x:c>
      <x:c r="H221" s="9"/>
      <x:c r="I221" s="9"/>
      <x:c r="J221" s="9"/>
      <x:c r="K221" s="9"/>
      <x:c r="L221" s="9"/>
      <x:c r="M221" s="8" t="n">
        <x:v>5</x:v>
      </x:c>
      <x:c r="N221" s="8" t="n">
        <x:v>7</x:v>
      </x:c>
      <x:c r="O221" s="8" t="n">
        <x:v>12</x:v>
      </x:c>
      <x:c r="P221" s="8"/>
      <x:c r="Q221" s="8"/>
      <x:c r="R221" s="8"/>
      <x:c r="S221" s="7" t="n">
        <x:f>IF(OR(AM221="제외",AM221="완료"),0,IF(AM221&lt;&gt;"입력 OK","",IF(E221="진행",P221,M221)))</x:f>
        <x:v>5</x:v>
      </x:c>
      <x:c r="T221" s="7" t="n">
        <x:f>IF(OR(AM221="제외",AM221="완료"),0,IF(AM221&lt;&gt;"입력 OK","",IF(E221="진행",Q221,N221)))</x:f>
        <x:v>7</x:v>
      </x:c>
      <x:c r="U221" s="7" t="n">
        <x:f>IF(OR(AM221="제외",AM221="완료"),0,IF(AM221&lt;&gt;"입력 OK","",IF(E221="진행",R221,O221)))</x:f>
        <x:v>12</x:v>
      </x:c>
      <x:c r="V221" s="11" t="n">
        <x:f>IF(COUNT(S221:U221)&lt;3,"",(S221+4*T221+U221)/6)</x:f>
        <x:v>7.5</x:v>
      </x:c>
      <x:c r="W221" s="11" t="n">
        <x:f>IF(COUNT(S221:U221)&lt;3,"",((U221-S221)/6)^2)</x:f>
        <x:v>1.3611111111111114</x:v>
      </x:c>
      <x:c r="X221" s="8" t="str">
        <x:v>KG10</x:v>
      </x:c>
      <x:c r="Y221" s="8" t="str"/>
      <x:c r="Z221" s="8" t="str"/>
      <x:c r="AA221" s="8" t="str"/>
      <x:c r="AB221" s="8" t="str"/>
      <x:c r="AC221" s="8" t="str"/>
      <x:c r="AD221" s="10" t="str">
        <x:f>IF(X221="",0,INDEX($AK$6:$AK$220,MATCH(X221,$A$6:$A$220,0)))</x:f>
      </x:c>
      <x:c r="AE221" s="10" t="n">
        <x:f>IF(Y221="",0,INDEX($AK$6:$AK$220,MATCH(Y221,$A$6:$A$220,0)))</x:f>
        <x:v>0</x:v>
      </x:c>
      <x:c r="AF221" s="10" t="n">
        <x:f>IF(Z221="",0,INDEX($AK$6:$AK$220,MATCH(Z221,$A$6:$A$220,0)))</x:f>
        <x:v>0</x:v>
      </x:c>
      <x:c r="AG221" s="10" t="n">
        <x:f>IF(AA221="",0,INDEX($AK$6:$AK$220,MATCH(AA221,$A$6:$A$220,0)))</x:f>
        <x:v>0</x:v>
      </x:c>
      <x:c r="AH221" s="10" t="n">
        <x:f>IF(AB221="",0,INDEX($AK$6:$AK$220,MATCH(AB221,$A$6:$A$220,0)))</x:f>
        <x:v>0</x:v>
      </x:c>
      <x:c r="AI221" s="10" t="n">
        <x:f>IF(AC221="",0,INDEX($AK$6:$AK$220,MATCH(AC221,$A$6:$A$220,0)))</x:f>
        <x:v>0</x:v>
      </x:c>
      <x:c r="AJ221" s="10" t="str">
        <x:f>IF(AM221="완료",IF(J221="",K221,J221),IF(OR(COUNT('프로젝트설정'!$B$7:$B$8)&lt;2,COUNT(AD221:AI221)&lt;6,COUNT(S221:U221)&lt;3),"",IF(AM221="제외",MAX('프로젝트설정'!$B$7,AD221:AI221),IF(E221="진행",J221,MAX('프로젝트설정'!$B$7:$B$8,L221,AD221:AI221)))))</x:f>
      </x:c>
      <x:c r="AK221" s="10" t="str">
        <x:f>IF(AM221="완료",K221,IF(AJ221="","",IF(E221="진행",MAX('프로젝트설정'!$B$8,AJ221,AD221:AI221)+T221,AJ221+T221)))</x:f>
      </x:c>
      <x:c r="AL221" s="7" t="str">
        <x:f>IF(OR(I221="",AK221=""),"",AK221-I221)</x:f>
      </x:c>
      <x:c r="AM221" s="7" t="str">
        <x:f>IF(OR(D221="제외",E221="제외"),"제외",IF(D221&lt;&gt;"적용","적용성 확인",IF(E221="완료",IF(ISNUMBER(K221),"완료","실제완료 입력"),IF(E221="보류","보류 해제 필요",IF(E221="진행",IF(AND(ISNUMBER(J221),COUNT(P221:R221)=3,P221&gt;=0,P221&lt;=Q221,Q221&lt;=R221),"입력 OK","실제착수·잔여기간 확인"),IF(AND(COUNT(M221:O221)=3,M221&gt;=0,M221&lt;=N221,N221&lt;=O221),"입력 OK","전체기간 확인"))))))</x:f>
        <x:v>입력 OK</x:v>
      </x:c>
      <x:c r="AN221" s="7" t="str">
        <x:v>25</x:v>
      </x:c>
    </x:row>
    <x:row r="222" ht="34" customHeight="1">
      <x:c r="A222" s="7" t="str">
        <x:v>OP02</x:v>
      </x:c>
      <x:c r="B222" s="7" t="str">
        <x:v>25 검사·운전 준비</x:v>
      </x:c>
      <x:c r="C222" s="7" t="str">
        <x:v>운전·정비·비상대응 절차 및 안전관리규정 작성</x:v>
      </x:c>
      <x:c r="D222" s="7" t="str">
        <x:f>'모듈선택'!B30</x:f>
        <x:v>적용</x:v>
      </x:c>
      <x:c r="E222" s="8" t="str">
        <x:v>계획</x:v>
      </x:c>
      <x:c r="F222" s="8" t="str">
        <x:v>사업주 / 운영사 / KGS·허가관청</x:v>
      </x:c>
      <x:c r="G222" s="8" t="str">
        <x:v>SOP, maintenance, emergency plan</x:v>
      </x:c>
      <x:c r="H222" s="9"/>
      <x:c r="I222" s="9"/>
      <x:c r="J222" s="9"/>
      <x:c r="K222" s="9"/>
      <x:c r="L222" s="9"/>
      <x:c r="M222" s="8" t="n">
        <x:v>7</x:v>
      </x:c>
      <x:c r="N222" s="8" t="n">
        <x:v>10</x:v>
      </x:c>
      <x:c r="O222" s="8" t="n">
        <x:v>17</x:v>
      </x:c>
      <x:c r="P222" s="8"/>
      <x:c r="Q222" s="8"/>
      <x:c r="R222" s="8"/>
      <x:c r="S222" s="7" t="n">
        <x:f>IF(OR(AM222="제외",AM222="완료"),0,IF(AM222&lt;&gt;"입력 OK","",IF(E222="진행",P222,M222)))</x:f>
        <x:v>7</x:v>
      </x:c>
      <x:c r="T222" s="7" t="n">
        <x:f>IF(OR(AM222="제외",AM222="완료"),0,IF(AM222&lt;&gt;"입력 OK","",IF(E222="진행",Q222,N222)))</x:f>
        <x:v>10</x:v>
      </x:c>
      <x:c r="U222" s="7" t="n">
        <x:f>IF(OR(AM222="제외",AM222="완료"),0,IF(AM222&lt;&gt;"입력 OK","",IF(E222="진행",R222,O222)))</x:f>
        <x:v>17</x:v>
      </x:c>
      <x:c r="V222" s="11" t="n">
        <x:f>IF(COUNT(S222:U222)&lt;3,"",(S222+4*T222+U222)/6)</x:f>
        <x:v>10.666666666666666</x:v>
      </x:c>
      <x:c r="W222" s="11" t="n">
        <x:f>IF(COUNT(S222:U222)&lt;3,"",((U222-S222)/6)^2)</x:f>
        <x:v>2.777777777777778</x:v>
      </x:c>
      <x:c r="X222" s="8" t="str">
        <x:v>OP01</x:v>
      </x:c>
      <x:c r="Y222" s="8" t="str"/>
      <x:c r="Z222" s="8" t="str"/>
      <x:c r="AA222" s="8" t="str"/>
      <x:c r="AB222" s="8" t="str"/>
      <x:c r="AC222" s="8" t="str"/>
      <x:c r="AD222" s="10" t="str">
        <x:f>IF(X222="",0,INDEX($AK$6:$AK$221,MATCH(X222,$A$6:$A$221,0)))</x:f>
      </x:c>
      <x:c r="AE222" s="10" t="n">
        <x:f>IF(Y222="",0,INDEX($AK$6:$AK$221,MATCH(Y222,$A$6:$A$221,0)))</x:f>
        <x:v>0</x:v>
      </x:c>
      <x:c r="AF222" s="10" t="n">
        <x:f>IF(Z222="",0,INDEX($AK$6:$AK$221,MATCH(Z222,$A$6:$A$221,0)))</x:f>
        <x:v>0</x:v>
      </x:c>
      <x:c r="AG222" s="10" t="n">
        <x:f>IF(AA222="",0,INDEX($AK$6:$AK$221,MATCH(AA222,$A$6:$A$221,0)))</x:f>
        <x:v>0</x:v>
      </x:c>
      <x:c r="AH222" s="10" t="n">
        <x:f>IF(AB222="",0,INDEX($AK$6:$AK$221,MATCH(AB222,$A$6:$A$221,0)))</x:f>
        <x:v>0</x:v>
      </x:c>
      <x:c r="AI222" s="10" t="n">
        <x:f>IF(AC222="",0,INDEX($AK$6:$AK$221,MATCH(AC222,$A$6:$A$221,0)))</x:f>
        <x:v>0</x:v>
      </x:c>
      <x:c r="AJ222" s="10" t="str">
        <x:f>IF(AM222="완료",IF(J222="",K222,J222),IF(OR(COUNT('프로젝트설정'!$B$7:$B$8)&lt;2,COUNT(AD222:AI222)&lt;6,COUNT(S222:U222)&lt;3),"",IF(AM222="제외",MAX('프로젝트설정'!$B$7,AD222:AI222),IF(E222="진행",J222,MAX('프로젝트설정'!$B$7:$B$8,L222,AD222:AI222)))))</x:f>
      </x:c>
      <x:c r="AK222" s="10" t="str">
        <x:f>IF(AM222="완료",K222,IF(AJ222="","",IF(E222="진행",MAX('프로젝트설정'!$B$8,AJ222,AD222:AI222)+T222,AJ222+T222)))</x:f>
      </x:c>
      <x:c r="AL222" s="7" t="str">
        <x:f>IF(OR(I222="",AK222=""),"",AK222-I222)</x:f>
      </x:c>
      <x:c r="AM222" s="7" t="str">
        <x:f>IF(OR(D222="제외",E222="제외"),"제외",IF(D222&lt;&gt;"적용","적용성 확인",IF(E222="완료",IF(ISNUMBER(K222),"완료","실제완료 입력"),IF(E222="보류","보류 해제 필요",IF(E222="진행",IF(AND(ISNUMBER(J222),COUNT(P222:R222)=3,P222&gt;=0,P222&lt;=Q222,Q222&lt;=R222),"입력 OK","실제착수·잔여기간 확인"),IF(AND(COUNT(M222:O222)=3,M222&gt;=0,M222&lt;=N222,N222&lt;=O222),"입력 OK","전체기간 확인"))))))</x:f>
        <x:v>입력 OK</x:v>
      </x:c>
      <x:c r="AN222" s="7" t="str">
        <x:v>25</x:v>
      </x:c>
    </x:row>
    <x:row r="223" ht="34" customHeight="1">
      <x:c r="A223" s="7" t="str">
        <x:v>OP03</x:v>
      </x:c>
      <x:c r="B223" s="7" t="str">
        <x:v>25 검사·운전 준비</x:v>
      </x:c>
      <x:c r="C223" s="7" t="str">
        <x:v>안전관리규정 검토·보완·제출</x:v>
      </x:c>
      <x:c r="D223" s="7" t="str">
        <x:f>'모듈선택'!B30</x:f>
        <x:v>적용</x:v>
      </x:c>
      <x:c r="E223" s="8" t="str">
        <x:v>계획</x:v>
      </x:c>
      <x:c r="F223" s="8" t="str">
        <x:v>사업주 / 운영사 / KGS·허가관청</x:v>
      </x:c>
      <x:c r="G223" s="8" t="str">
        <x:v>검토의견, 규정 제출증빙</x:v>
      </x:c>
      <x:c r="H223" s="9"/>
      <x:c r="I223" s="9"/>
      <x:c r="J223" s="9"/>
      <x:c r="K223" s="9"/>
      <x:c r="L223" s="9"/>
      <x:c r="M223" s="8" t="n">
        <x:v>9</x:v>
      </x:c>
      <x:c r="N223" s="8" t="n">
        <x:v>14</x:v>
      </x:c>
      <x:c r="O223" s="8" t="n">
        <x:v>24</x:v>
      </x:c>
      <x:c r="P223" s="8"/>
      <x:c r="Q223" s="8"/>
      <x:c r="R223" s="8"/>
      <x:c r="S223" s="7" t="n">
        <x:f>IF(OR(AM223="제외",AM223="완료"),0,IF(AM223&lt;&gt;"입력 OK","",IF(E223="진행",P223,M223)))</x:f>
        <x:v>9</x:v>
      </x:c>
      <x:c r="T223" s="7" t="n">
        <x:f>IF(OR(AM223="제외",AM223="완료"),0,IF(AM223&lt;&gt;"입력 OK","",IF(E223="진행",Q223,N223)))</x:f>
        <x:v>14</x:v>
      </x:c>
      <x:c r="U223" s="7" t="n">
        <x:f>IF(OR(AM223="제외",AM223="완료"),0,IF(AM223&lt;&gt;"입력 OK","",IF(E223="진행",R223,O223)))</x:f>
        <x:v>24</x:v>
      </x:c>
      <x:c r="V223" s="11" t="n">
        <x:f>IF(COUNT(S223:U223)&lt;3,"",(S223+4*T223+U223)/6)</x:f>
        <x:v>14.833333333333334</x:v>
      </x:c>
      <x:c r="W223" s="11" t="n">
        <x:f>IF(COUNT(S223:U223)&lt;3,"",((U223-S223)/6)^2)</x:f>
        <x:v>6.25</x:v>
      </x:c>
      <x:c r="X223" s="8" t="str">
        <x:v>OP02</x:v>
      </x:c>
      <x:c r="Y223" s="8" t="str"/>
      <x:c r="Z223" s="8" t="str"/>
      <x:c r="AA223" s="8" t="str"/>
      <x:c r="AB223" s="8" t="str"/>
      <x:c r="AC223" s="8" t="str"/>
      <x:c r="AD223" s="10" t="str">
        <x:f>IF(X223="",0,INDEX($AK$6:$AK$222,MATCH(X223,$A$6:$A$222,0)))</x:f>
      </x:c>
      <x:c r="AE223" s="10" t="n">
        <x:f>IF(Y223="",0,INDEX($AK$6:$AK$222,MATCH(Y223,$A$6:$A$222,0)))</x:f>
        <x:v>0</x:v>
      </x:c>
      <x:c r="AF223" s="10" t="n">
        <x:f>IF(Z223="",0,INDEX($AK$6:$AK$222,MATCH(Z223,$A$6:$A$222,0)))</x:f>
        <x:v>0</x:v>
      </x:c>
      <x:c r="AG223" s="10" t="n">
        <x:f>IF(AA223="",0,INDEX($AK$6:$AK$222,MATCH(AA223,$A$6:$A$222,0)))</x:f>
        <x:v>0</x:v>
      </x:c>
      <x:c r="AH223" s="10" t="n">
        <x:f>IF(AB223="",0,INDEX($AK$6:$AK$222,MATCH(AB223,$A$6:$A$222,0)))</x:f>
        <x:v>0</x:v>
      </x:c>
      <x:c r="AI223" s="10" t="n">
        <x:f>IF(AC223="",0,INDEX($AK$6:$AK$222,MATCH(AC223,$A$6:$A$222,0)))</x:f>
        <x:v>0</x:v>
      </x:c>
      <x:c r="AJ223" s="10" t="str">
        <x:f>IF(AM223="완료",IF(J223="",K223,J223),IF(OR(COUNT('프로젝트설정'!$B$7:$B$8)&lt;2,COUNT(AD223:AI223)&lt;6,COUNT(S223:U223)&lt;3),"",IF(AM223="제외",MAX('프로젝트설정'!$B$7,AD223:AI223),IF(E223="진행",J223,MAX('프로젝트설정'!$B$7:$B$8,L223,AD223:AI223)))))</x:f>
      </x:c>
      <x:c r="AK223" s="10" t="str">
        <x:f>IF(AM223="완료",K223,IF(AJ223="","",IF(E223="진행",MAX('프로젝트설정'!$B$8,AJ223,AD223:AI223)+T223,AJ223+T223)))</x:f>
      </x:c>
      <x:c r="AL223" s="7" t="str">
        <x:f>IF(OR(I223="",AK223=""),"",AK223-I223)</x:f>
      </x:c>
      <x:c r="AM223" s="7" t="str">
        <x:f>IF(OR(D223="제외",E223="제외"),"제외",IF(D223&lt;&gt;"적용","적용성 확인",IF(E223="완료",IF(ISNUMBER(K223),"완료","실제완료 입력"),IF(E223="보류","보류 해제 필요",IF(E223="진행",IF(AND(ISNUMBER(J223),COUNT(P223:R223)=3,P223&gt;=0,P223&lt;=Q223,Q223&lt;=R223),"입력 OK","실제착수·잔여기간 확인"),IF(AND(COUNT(M223:O223)=3,M223&gt;=0,M223&lt;=N223,N223&lt;=O223),"입력 OK","전체기간 확인"))))))</x:f>
        <x:v>입력 OK</x:v>
      </x:c>
      <x:c r="AN223" s="7" t="str">
        <x:v>25</x:v>
      </x:c>
    </x:row>
    <x:row r="224" ht="34" customHeight="1">
      <x:c r="A224" s="7" t="str">
        <x:v>OP04</x:v>
      </x:c>
      <x:c r="B224" s="7" t="str">
        <x:v>25 검사·운전 준비</x:v>
      </x:c>
      <x:c r="C224" s="7" t="str">
        <x:v>보험가입·안전관리자 선임·운영계약 확보</x:v>
      </x:c>
      <x:c r="D224" s="7" t="str">
        <x:f>'모듈선택'!B30</x:f>
        <x:v>적용</x:v>
      </x:c>
      <x:c r="E224" s="8" t="str">
        <x:v>계획</x:v>
      </x:c>
      <x:c r="F224" s="8" t="str">
        <x:v>사업주 / 운영사 / KGS·허가관청</x:v>
      </x:c>
      <x:c r="G224" s="8" t="str">
        <x:v>보험증권, 선임신고, 계약</x:v>
      </x:c>
      <x:c r="H224" s="9"/>
      <x:c r="I224" s="9"/>
      <x:c r="J224" s="9"/>
      <x:c r="K224" s="9"/>
      <x:c r="L224" s="9"/>
      <x:c r="M224" s="8" t="n">
        <x:v>5</x:v>
      </x:c>
      <x:c r="N224" s="8" t="n">
        <x:v>7</x:v>
      </x:c>
      <x:c r="O224" s="8" t="n">
        <x:v>12</x:v>
      </x:c>
      <x:c r="P224" s="8"/>
      <x:c r="Q224" s="8"/>
      <x:c r="R224" s="8"/>
      <x:c r="S224" s="7" t="n">
        <x:f>IF(OR(AM224="제외",AM224="완료"),0,IF(AM224&lt;&gt;"입력 OK","",IF(E224="진행",P224,M224)))</x:f>
        <x:v>5</x:v>
      </x:c>
      <x:c r="T224" s="7" t="n">
        <x:f>IF(OR(AM224="제외",AM224="완료"),0,IF(AM224&lt;&gt;"입력 OK","",IF(E224="진행",Q224,N224)))</x:f>
        <x:v>7</x:v>
      </x:c>
      <x:c r="U224" s="7" t="n">
        <x:f>IF(OR(AM224="제외",AM224="완료"),0,IF(AM224&lt;&gt;"입력 OK","",IF(E224="진행",R224,O224)))</x:f>
        <x:v>12</x:v>
      </x:c>
      <x:c r="V224" s="11" t="n">
        <x:f>IF(COUNT(S224:U224)&lt;3,"",(S224+4*T224+U224)/6)</x:f>
        <x:v>7.5</x:v>
      </x:c>
      <x:c r="W224" s="11" t="n">
        <x:f>IF(COUNT(S224:U224)&lt;3,"",((U224-S224)/6)^2)</x:f>
        <x:v>1.3611111111111114</x:v>
      </x:c>
      <x:c r="X224" s="8" t="str">
        <x:v>OP03</x:v>
      </x:c>
      <x:c r="Y224" s="8" t="str"/>
      <x:c r="Z224" s="8" t="str"/>
      <x:c r="AA224" s="8" t="str"/>
      <x:c r="AB224" s="8" t="str"/>
      <x:c r="AC224" s="8" t="str"/>
      <x:c r="AD224" s="10" t="str">
        <x:f>IF(X224="",0,INDEX($AK$6:$AK$223,MATCH(X224,$A$6:$A$223,0)))</x:f>
      </x:c>
      <x:c r="AE224" s="10" t="n">
        <x:f>IF(Y224="",0,INDEX($AK$6:$AK$223,MATCH(Y224,$A$6:$A$223,0)))</x:f>
        <x:v>0</x:v>
      </x:c>
      <x:c r="AF224" s="10" t="n">
        <x:f>IF(Z224="",0,INDEX($AK$6:$AK$223,MATCH(Z224,$A$6:$A$223,0)))</x:f>
        <x:v>0</x:v>
      </x:c>
      <x:c r="AG224" s="10" t="n">
        <x:f>IF(AA224="",0,INDEX($AK$6:$AK$223,MATCH(AA224,$A$6:$A$223,0)))</x:f>
        <x:v>0</x:v>
      </x:c>
      <x:c r="AH224" s="10" t="n">
        <x:f>IF(AB224="",0,INDEX($AK$6:$AK$223,MATCH(AB224,$A$6:$A$223,0)))</x:f>
        <x:v>0</x:v>
      </x:c>
      <x:c r="AI224" s="10" t="n">
        <x:f>IF(AC224="",0,INDEX($AK$6:$AK$223,MATCH(AC224,$A$6:$A$223,0)))</x:f>
        <x:v>0</x:v>
      </x:c>
      <x:c r="AJ224" s="10" t="str">
        <x:f>IF(AM224="완료",IF(J224="",K224,J224),IF(OR(COUNT('프로젝트설정'!$B$7:$B$8)&lt;2,COUNT(AD224:AI224)&lt;6,COUNT(S224:U224)&lt;3),"",IF(AM224="제외",MAX('프로젝트설정'!$B$7,AD224:AI224),IF(E224="진행",J224,MAX('프로젝트설정'!$B$7:$B$8,L224,AD224:AI224)))))</x:f>
      </x:c>
      <x:c r="AK224" s="10" t="str">
        <x:f>IF(AM224="완료",K224,IF(AJ224="","",IF(E224="진행",MAX('프로젝트설정'!$B$8,AJ224,AD224:AI224)+T224,AJ224+T224)))</x:f>
      </x:c>
      <x:c r="AL224" s="7" t="str">
        <x:f>IF(OR(I224="",AK224=""),"",AK224-I224)</x:f>
      </x:c>
      <x:c r="AM224" s="7" t="str">
        <x:f>IF(OR(D224="제외",E224="제외"),"제외",IF(D224&lt;&gt;"적용","적용성 확인",IF(E224="완료",IF(ISNUMBER(K224),"완료","실제완료 입력"),IF(E224="보류","보류 해제 필요",IF(E224="진행",IF(AND(ISNUMBER(J224),COUNT(P224:R224)=3,P224&gt;=0,P224&lt;=Q224,Q224&lt;=R224),"입력 OK","실제착수·잔여기간 확인"),IF(AND(COUNT(M224:O224)=3,M224&gt;=0,M224&lt;=N224,N224&lt;=O224),"입력 OK","전체기간 확인"))))))</x:f>
        <x:v>입력 OK</x:v>
      </x:c>
      <x:c r="AN224" s="7" t="str">
        <x:v>25</x:v>
      </x:c>
    </x:row>
    <x:row r="225" ht="34" customHeight="1">
      <x:c r="A225" s="7" t="str">
        <x:v>MS04</x:v>
      </x:c>
      <x:c r="B225" s="7" t="str">
        <x:v>26 단동·완성검사</x:v>
      </x:c>
      <x:c r="C225" s="7" t="str">
        <x:v>비가스 단동시험 착수조건 확인</x:v>
      </x:c>
      <x:c r="D225" s="7" t="str">
        <x:f>'모듈선택'!B31</x:f>
        <x:v>적용</x:v>
      </x:c>
      <x:c r="E225" s="8" t="str">
        <x:v>계획</x:v>
      </x:c>
      <x:c r="F225" s="8" t="str">
        <x:v>사업주 / PM / 오너 검토 / 담당기관</x:v>
      </x:c>
      <x:c r="G225" s="8" t="str">
        <x:v>승인/접수/검사 증빙 및 미결사항 확인</x:v>
      </x:c>
      <x:c r="H225" s="9"/>
      <x:c r="I225" s="9"/>
      <x:c r="J225" s="9"/>
      <x:c r="K225" s="9"/>
      <x:c r="L225" s="9"/>
      <x:c r="M225" s="8" t="n">
        <x:v>0</x:v>
      </x:c>
      <x:c r="N225" s="8" t="n">
        <x:v>0</x:v>
      </x:c>
      <x:c r="O225" s="8" t="n">
        <x:v>0</x:v>
      </x:c>
      <x:c r="P225" s="8"/>
      <x:c r="Q225" s="8"/>
      <x:c r="R225" s="8"/>
      <x:c r="S225" s="7" t="n">
        <x:f>IF(OR(AM225="제외",AM225="완료"),0,IF(AM225&lt;&gt;"입력 OK","",IF(E225="진행",P225,M225)))</x:f>
        <x:v>0</x:v>
      </x:c>
      <x:c r="T225" s="7" t="n">
        <x:f>IF(OR(AM225="제외",AM225="완료"),0,IF(AM225&lt;&gt;"입력 OK","",IF(E225="진행",Q225,N225)))</x:f>
        <x:v>0</x:v>
      </x:c>
      <x:c r="U225" s="7" t="n">
        <x:f>IF(OR(AM225="제외",AM225="완료"),0,IF(AM225&lt;&gt;"입력 OK","",IF(E225="진행",R225,O225)))</x:f>
        <x:v>0</x:v>
      </x:c>
      <x:c r="V225" s="11" t="n">
        <x:f>IF(COUNT(S225:U225)&lt;3,"",(S225+4*T225+U225)/6)</x:f>
        <x:v>0</x:v>
      </x:c>
      <x:c r="W225" s="11" t="n">
        <x:f>IF(COUNT(S225:U225)&lt;3,"",((U225-S225)/6)^2)</x:f>
        <x:v>0</x:v>
      </x:c>
      <x:c r="X225" s="8" t="str">
        <x:v>MP09</x:v>
      </x:c>
      <x:c r="Y225" s="8" t="str">
        <x:v>EC07</x:v>
      </x:c>
      <x:c r="Z225" s="8" t="str">
        <x:v>EN02</x:v>
      </x:c>
      <x:c r="AA225" s="8" t="str">
        <x:v>QC03</x:v>
      </x:c>
      <x:c r="AB225" s="8" t="str">
        <x:v>INAN02</x:v>
      </x:c>
      <x:c r="AC225" s="8" t="str">
        <x:v>INUT02</x:v>
      </x:c>
      <x:c r="AD225" s="10" t="str">
        <x:f>IF(X225="",0,INDEX($AK$6:$AK$224,MATCH(X225,$A$6:$A$224,0)))</x:f>
      </x:c>
      <x:c r="AE225" s="10" t="str">
        <x:f>IF(Y225="",0,INDEX($AK$6:$AK$224,MATCH(Y225,$A$6:$A$224,0)))</x:f>
      </x:c>
      <x:c r="AF225" s="10" t="str">
        <x:f>IF(Z225="",0,INDEX($AK$6:$AK$224,MATCH(Z225,$A$6:$A$224,0)))</x:f>
      </x:c>
      <x:c r="AG225" s="10" t="str">
        <x:f>IF(AA225="",0,INDEX($AK$6:$AK$224,MATCH(AA225,$A$6:$A$224,0)))</x:f>
      </x:c>
      <x:c r="AH225" s="10" t="str">
        <x:f>IF(AB225="",0,INDEX($AK$6:$AK$224,MATCH(AB225,$A$6:$A$224,0)))</x:f>
      </x:c>
      <x:c r="AI225" s="10" t="str">
        <x:f>IF(AC225="",0,INDEX($AK$6:$AK$224,MATCH(AC225,$A$6:$A$224,0)))</x:f>
      </x:c>
      <x:c r="AJ225" s="10" t="str">
        <x:f>IF(AM225="완료",IF(J225="",K225,J225),IF(OR(COUNT('프로젝트설정'!$B$7:$B$8)&lt;2,COUNT(AD225:AI225)&lt;6,COUNT(S225:U225)&lt;3),"",IF(AM225="제외",MAX('프로젝트설정'!$B$7,AD225:AI225),IF(E225="진행",J225,MAX('프로젝트설정'!$B$7:$B$8,L225,AD225:AI225)))))</x:f>
      </x:c>
      <x:c r="AK225" s="10" t="str">
        <x:f>IF(AM225="완료",K225,IF(AJ225="","",IF(E225="진행",MAX('프로젝트설정'!$B$8,AJ225,AD225:AI225)+T225,AJ225+T225)))</x:f>
      </x:c>
      <x:c r="AL225" s="7" t="str">
        <x:f>IF(OR(I225="",AK225=""),"",AK225-I225)</x:f>
      </x:c>
      <x:c r="AM225" s="7" t="str">
        <x:f>IF(OR(D225="제외",E225="제외"),"제외",IF(D225&lt;&gt;"적용","적용성 확인",IF(E225="완료",IF(ISNUMBER(K225),"완료","실제완료 입력"),IF(E225="보류","보류 해제 필요",IF(E225="진행",IF(AND(ISNUMBER(J225),COUNT(P225:R225)=3,P225&gt;=0,P225&lt;=Q225,Q225&lt;=R225),"입력 OK","실제착수·잔여기간 확인"),IF(AND(COUNT(M225:O225)=3,M225&gt;=0,M225&lt;=N225,N225&lt;=O225),"입력 OK","전체기간 확인"))))))</x:f>
        <x:v>입력 OK</x:v>
      </x:c>
      <x:c r="AN225" s="7" t="str">
        <x:v>26</x:v>
      </x:c>
    </x:row>
    <x:row r="226" ht="34" customHeight="1">
      <x:c r="A226" s="7" t="str">
        <x:v>CM01</x:v>
      </x:c>
      <x:c r="B226" s="7" t="str">
        <x:v>26 단동·완성검사</x:v>
      </x:c>
      <x:c r="C226" s="7" t="str">
        <x:v>단동시험 절차 승인·윤활/회전/보조계통 점검</x:v>
      </x:c>
      <x:c r="D226" s="7" t="str">
        <x:f>'모듈선택'!B31</x:f>
        <x:v>적용</x:v>
      </x:c>
      <x:c r="E226" s="8" t="str">
        <x:v>계획</x:v>
      </x:c>
      <x:c r="F226" s="8" t="str">
        <x:v>주설비 공급사 / 시공사 / KGS</x:v>
      </x:c>
      <x:c r="G226" s="8" t="str">
        <x:v>단동시험 절차, checklist</x:v>
      </x:c>
      <x:c r="H226" s="9"/>
      <x:c r="I226" s="9"/>
      <x:c r="J226" s="9"/>
      <x:c r="K226" s="9"/>
      <x:c r="L226" s="9"/>
      <x:c r="M226" s="8" t="n">
        <x:v>3</x:v>
      </x:c>
      <x:c r="N226" s="8" t="n">
        <x:v>4</x:v>
      </x:c>
      <x:c r="O226" s="8" t="n">
        <x:v>7</x:v>
      </x:c>
      <x:c r="P226" s="8"/>
      <x:c r="Q226" s="8"/>
      <x:c r="R226" s="8"/>
      <x:c r="S226" s="7" t="n">
        <x:f>IF(OR(AM226="제외",AM226="완료"),0,IF(AM226&lt;&gt;"입력 OK","",IF(E226="진행",P226,M226)))</x:f>
        <x:v>3</x:v>
      </x:c>
      <x:c r="T226" s="7" t="n">
        <x:f>IF(OR(AM226="제외",AM226="완료"),0,IF(AM226&lt;&gt;"입력 OK","",IF(E226="진행",Q226,N226)))</x:f>
        <x:v>4</x:v>
      </x:c>
      <x:c r="U226" s="7" t="n">
        <x:f>IF(OR(AM226="제외",AM226="완료"),0,IF(AM226&lt;&gt;"입력 OK","",IF(E226="진행",R226,O226)))</x:f>
        <x:v>7</x:v>
      </x:c>
      <x:c r="V226" s="11" t="n">
        <x:f>IF(COUNT(S226:U226)&lt;3,"",(S226+4*T226+U226)/6)</x:f>
        <x:v>4.333333333333333</x:v>
      </x:c>
      <x:c r="W226" s="11" t="n">
        <x:f>IF(COUNT(S226:U226)&lt;3,"",((U226-S226)/6)^2)</x:f>
        <x:v>0.4444444444444444</x:v>
      </x:c>
      <x:c r="X226" s="8" t="str">
        <x:v>MS04</x:v>
      </x:c>
      <x:c r="Y226" s="8" t="str">
        <x:v>KG10</x:v>
      </x:c>
      <x:c r="Z226" s="8" t="str"/>
      <x:c r="AA226" s="8" t="str"/>
      <x:c r="AB226" s="8" t="str"/>
      <x:c r="AC226" s="8" t="str"/>
      <x:c r="AD226" s="10" t="str">
        <x:f>IF(X226="",0,INDEX($AK$6:$AK$225,MATCH(X226,$A$6:$A$225,0)))</x:f>
      </x:c>
      <x:c r="AE226" s="10" t="str">
        <x:f>IF(Y226="",0,INDEX($AK$6:$AK$225,MATCH(Y226,$A$6:$A$225,0)))</x:f>
      </x:c>
      <x:c r="AF226" s="10" t="n">
        <x:f>IF(Z226="",0,INDEX($AK$6:$AK$225,MATCH(Z226,$A$6:$A$225,0)))</x:f>
        <x:v>0</x:v>
      </x:c>
      <x:c r="AG226" s="10" t="n">
        <x:f>IF(AA226="",0,INDEX($AK$6:$AK$225,MATCH(AA226,$A$6:$A$225,0)))</x:f>
        <x:v>0</x:v>
      </x:c>
      <x:c r="AH226" s="10" t="n">
        <x:f>IF(AB226="",0,INDEX($AK$6:$AK$225,MATCH(AB226,$A$6:$A$225,0)))</x:f>
        <x:v>0</x:v>
      </x:c>
      <x:c r="AI226" s="10" t="n">
        <x:f>IF(AC226="",0,INDEX($AK$6:$AK$225,MATCH(AC226,$A$6:$A$225,0)))</x:f>
        <x:v>0</x:v>
      </x:c>
      <x:c r="AJ226" s="10" t="str">
        <x:f>IF(AM226="완료",IF(J226="",K226,J226),IF(OR(COUNT('프로젝트설정'!$B$7:$B$8)&lt;2,COUNT(AD226:AI226)&lt;6,COUNT(S226:U226)&lt;3),"",IF(AM226="제외",MAX('프로젝트설정'!$B$7,AD226:AI226),IF(E226="진행",J226,MAX('프로젝트설정'!$B$7:$B$8,L226,AD226:AI226)))))</x:f>
      </x:c>
      <x:c r="AK226" s="10" t="str">
        <x:f>IF(AM226="완료",K226,IF(AJ226="","",IF(E226="진행",MAX('프로젝트설정'!$B$8,AJ226,AD226:AI226)+T226,AJ226+T226)))</x:f>
      </x:c>
      <x:c r="AL226" s="7" t="str">
        <x:f>IF(OR(I226="",AK226=""),"",AK226-I226)</x:f>
      </x:c>
      <x:c r="AM226" s="7" t="str">
        <x:f>IF(OR(D226="제외",E226="제외"),"제외",IF(D226&lt;&gt;"적용","적용성 확인",IF(E226="완료",IF(ISNUMBER(K226),"완료","실제완료 입력"),IF(E226="보류","보류 해제 필요",IF(E226="진행",IF(AND(ISNUMBER(J226),COUNT(P226:R226)=3,P226&gt;=0,P226&lt;=Q226,Q226&lt;=R226),"입력 OK","실제착수·잔여기간 확인"),IF(AND(COUNT(M226:O226)=3,M226&gt;=0,M226&lt;=N226,N226&lt;=O226),"입력 OK","전체기간 확인"))))))</x:f>
        <x:v>입력 OK</x:v>
      </x:c>
      <x:c r="AN226" s="7" t="str">
        <x:v>26</x:v>
      </x:c>
    </x:row>
    <x:row r="227" ht="34" customHeight="1">
      <x:c r="A227" s="7" t="str">
        <x:v>CM02</x:v>
      </x:c>
      <x:c r="B227" s="7" t="str">
        <x:v>26 단동·완성검사</x:v>
      </x:c>
      <x:c r="C227" s="7" t="str">
        <x:v>비가스 단동 운전 및 설비별 SAT 수행</x:v>
      </x:c>
      <x:c r="D227" s="7" t="str">
        <x:f>'모듈선택'!B31</x:f>
        <x:v>적용</x:v>
      </x:c>
      <x:c r="E227" s="8" t="str">
        <x:v>계획</x:v>
      </x:c>
      <x:c r="F227" s="8" t="str">
        <x:v>주설비 공급사 / 시공사 / KGS</x:v>
      </x:c>
      <x:c r="G227" s="8" t="str">
        <x:v>Motor bump, rotation, SAT</x:v>
      </x:c>
      <x:c r="H227" s="9"/>
      <x:c r="I227" s="9"/>
      <x:c r="J227" s="9"/>
      <x:c r="K227" s="9"/>
      <x:c r="L227" s="9"/>
      <x:c r="M227" s="8" t="n">
        <x:v>5</x:v>
      </x:c>
      <x:c r="N227" s="8" t="n">
        <x:v>7</x:v>
      </x:c>
      <x:c r="O227" s="8" t="n">
        <x:v>12</x:v>
      </x:c>
      <x:c r="P227" s="8"/>
      <x:c r="Q227" s="8"/>
      <x:c r="R227" s="8"/>
      <x:c r="S227" s="7" t="n">
        <x:f>IF(OR(AM227="제외",AM227="완료"),0,IF(AM227&lt;&gt;"입력 OK","",IF(E227="진행",P227,M227)))</x:f>
        <x:v>5</x:v>
      </x:c>
      <x:c r="T227" s="7" t="n">
        <x:f>IF(OR(AM227="제외",AM227="완료"),0,IF(AM227&lt;&gt;"입력 OK","",IF(E227="진행",Q227,N227)))</x:f>
        <x:v>7</x:v>
      </x:c>
      <x:c r="U227" s="7" t="n">
        <x:f>IF(OR(AM227="제외",AM227="완료"),0,IF(AM227&lt;&gt;"입력 OK","",IF(E227="진행",R227,O227)))</x:f>
        <x:v>12</x:v>
      </x:c>
      <x:c r="V227" s="11" t="n">
        <x:f>IF(COUNT(S227:U227)&lt;3,"",(S227+4*T227+U227)/6)</x:f>
        <x:v>7.5</x:v>
      </x:c>
      <x:c r="W227" s="11" t="n">
        <x:f>IF(COUNT(S227:U227)&lt;3,"",((U227-S227)/6)^2)</x:f>
        <x:v>1.3611111111111114</x:v>
      </x:c>
      <x:c r="X227" s="8" t="str">
        <x:v>CM01</x:v>
      </x:c>
      <x:c r="Y227" s="8" t="str"/>
      <x:c r="Z227" s="8" t="str"/>
      <x:c r="AA227" s="8" t="str"/>
      <x:c r="AB227" s="8" t="str"/>
      <x:c r="AC227" s="8" t="str"/>
      <x:c r="AD227" s="10" t="str">
        <x:f>IF(X227="",0,INDEX($AK$6:$AK$226,MATCH(X227,$A$6:$A$226,0)))</x:f>
      </x:c>
      <x:c r="AE227" s="10" t="n">
        <x:f>IF(Y227="",0,INDEX($AK$6:$AK$226,MATCH(Y227,$A$6:$A$226,0)))</x:f>
        <x:v>0</x:v>
      </x:c>
      <x:c r="AF227" s="10" t="n">
        <x:f>IF(Z227="",0,INDEX($AK$6:$AK$226,MATCH(Z227,$A$6:$A$226,0)))</x:f>
        <x:v>0</x:v>
      </x:c>
      <x:c r="AG227" s="10" t="n">
        <x:f>IF(AA227="",0,INDEX($AK$6:$AK$226,MATCH(AA227,$A$6:$A$226,0)))</x:f>
        <x:v>0</x:v>
      </x:c>
      <x:c r="AH227" s="10" t="n">
        <x:f>IF(AB227="",0,INDEX($AK$6:$AK$226,MATCH(AB227,$A$6:$A$226,0)))</x:f>
        <x:v>0</x:v>
      </x:c>
      <x:c r="AI227" s="10" t="n">
        <x:f>IF(AC227="",0,INDEX($AK$6:$AK$226,MATCH(AC227,$A$6:$A$226,0)))</x:f>
        <x:v>0</x:v>
      </x:c>
      <x:c r="AJ227" s="10" t="str">
        <x:f>IF(AM227="완료",IF(J227="",K227,J227),IF(OR(COUNT('프로젝트설정'!$B$7:$B$8)&lt;2,COUNT(AD227:AI227)&lt;6,COUNT(S227:U227)&lt;3),"",IF(AM227="제외",MAX('프로젝트설정'!$B$7,AD227:AI227),IF(E227="진행",J227,MAX('프로젝트설정'!$B$7:$B$8,L227,AD227:AI227)))))</x:f>
      </x:c>
      <x:c r="AK227" s="10" t="str">
        <x:f>IF(AM227="완료",K227,IF(AJ227="","",IF(E227="진행",MAX('프로젝트설정'!$B$8,AJ227,AD227:AI227)+T227,AJ227+T227)))</x:f>
      </x:c>
      <x:c r="AL227" s="7" t="str">
        <x:f>IF(OR(I227="",AK227=""),"",AK227-I227)</x:f>
      </x:c>
      <x:c r="AM227" s="7" t="str">
        <x:f>IF(OR(D227="제외",E227="제외"),"제외",IF(D227&lt;&gt;"적용","적용성 확인",IF(E227="완료",IF(ISNUMBER(K227),"완료","실제완료 입력"),IF(E227="보류","보류 해제 필요",IF(E227="진행",IF(AND(ISNUMBER(J227),COUNT(P227:R227)=3,P227&gt;=0,P227&lt;=Q227,Q227&lt;=R227),"입력 OK","실제착수·잔여기간 확인"),IF(AND(COUNT(M227:O227)=3,M227&gt;=0,M227&lt;=N227,N227&lt;=O227),"입력 OK","전체기간 확인"))))))</x:f>
        <x:v>입력 OK</x:v>
      </x:c>
      <x:c r="AN227" s="7" t="str">
        <x:v>26</x:v>
      </x:c>
    </x:row>
    <x:row r="228" ht="34" customHeight="1">
      <x:c r="A228" s="7" t="str">
        <x:v>CM03</x:v>
      </x:c>
      <x:c r="B228" s="7" t="str">
        <x:v>26 단동·완성검사</x:v>
      </x:c>
      <x:c r="C228" s="7" t="str">
        <x:v>시험결함 보수·재시험·시험기록 정리</x:v>
      </x:c>
      <x:c r="D228" s="7" t="str">
        <x:f>'모듈선택'!B31</x:f>
        <x:v>적용</x:v>
      </x:c>
      <x:c r="E228" s="8" t="str">
        <x:v>계획</x:v>
      </x:c>
      <x:c r="F228" s="8" t="str">
        <x:v>주설비 공급사 / 시공사 / KGS</x:v>
      </x:c>
      <x:c r="G228" s="8" t="str">
        <x:v>Punch closure, retest</x:v>
      </x:c>
      <x:c r="H228" s="9"/>
      <x:c r="I228" s="9"/>
      <x:c r="J228" s="9"/>
      <x:c r="K228" s="9"/>
      <x:c r="L228" s="9"/>
      <x:c r="M228" s="8" t="n">
        <x:v>5</x:v>
      </x:c>
      <x:c r="N228" s="8" t="n">
        <x:v>7</x:v>
      </x:c>
      <x:c r="O228" s="8" t="n">
        <x:v>12</x:v>
      </x:c>
      <x:c r="P228" s="8"/>
      <x:c r="Q228" s="8"/>
      <x:c r="R228" s="8"/>
      <x:c r="S228" s="7" t="n">
        <x:f>IF(OR(AM228="제외",AM228="완료"),0,IF(AM228&lt;&gt;"입력 OK","",IF(E228="진행",P228,M228)))</x:f>
        <x:v>5</x:v>
      </x:c>
      <x:c r="T228" s="7" t="n">
        <x:f>IF(OR(AM228="제외",AM228="완료"),0,IF(AM228&lt;&gt;"입력 OK","",IF(E228="진행",Q228,N228)))</x:f>
        <x:v>7</x:v>
      </x:c>
      <x:c r="U228" s="7" t="n">
        <x:f>IF(OR(AM228="제외",AM228="완료"),0,IF(AM228&lt;&gt;"입력 OK","",IF(E228="진행",R228,O228)))</x:f>
        <x:v>12</x:v>
      </x:c>
      <x:c r="V228" s="11" t="n">
        <x:f>IF(COUNT(S228:U228)&lt;3,"",(S228+4*T228+U228)/6)</x:f>
        <x:v>7.5</x:v>
      </x:c>
      <x:c r="W228" s="11" t="n">
        <x:f>IF(COUNT(S228:U228)&lt;3,"",((U228-S228)/6)^2)</x:f>
        <x:v>1.3611111111111114</x:v>
      </x:c>
      <x:c r="X228" s="8" t="str">
        <x:v>CM02</x:v>
      </x:c>
      <x:c r="Y228" s="8" t="str"/>
      <x:c r="Z228" s="8" t="str"/>
      <x:c r="AA228" s="8" t="str"/>
      <x:c r="AB228" s="8" t="str"/>
      <x:c r="AC228" s="8" t="str"/>
      <x:c r="AD228" s="10" t="str">
        <x:f>IF(X228="",0,INDEX($AK$6:$AK$227,MATCH(X228,$A$6:$A$227,0)))</x:f>
      </x:c>
      <x:c r="AE228" s="10" t="n">
        <x:f>IF(Y228="",0,INDEX($AK$6:$AK$227,MATCH(Y228,$A$6:$A$227,0)))</x:f>
        <x:v>0</x:v>
      </x:c>
      <x:c r="AF228" s="10" t="n">
        <x:f>IF(Z228="",0,INDEX($AK$6:$AK$227,MATCH(Z228,$A$6:$A$227,0)))</x:f>
        <x:v>0</x:v>
      </x:c>
      <x:c r="AG228" s="10" t="n">
        <x:f>IF(AA228="",0,INDEX($AK$6:$AK$227,MATCH(AA228,$A$6:$A$227,0)))</x:f>
        <x:v>0</x:v>
      </x:c>
      <x:c r="AH228" s="10" t="n">
        <x:f>IF(AB228="",0,INDEX($AK$6:$AK$227,MATCH(AB228,$A$6:$A$227,0)))</x:f>
        <x:v>0</x:v>
      </x:c>
      <x:c r="AI228" s="10" t="n">
        <x:f>IF(AC228="",0,INDEX($AK$6:$AK$227,MATCH(AC228,$A$6:$A$227,0)))</x:f>
        <x:v>0</x:v>
      </x:c>
      <x:c r="AJ228" s="10" t="str">
        <x:f>IF(AM228="완료",IF(J228="",K228,J228),IF(OR(COUNT('프로젝트설정'!$B$7:$B$8)&lt;2,COUNT(AD228:AI228)&lt;6,COUNT(S228:U228)&lt;3),"",IF(AM228="제외",MAX('프로젝트설정'!$B$7,AD228:AI228),IF(E228="진행",J228,MAX('프로젝트설정'!$B$7:$B$8,L228,AD228:AI228)))))</x:f>
      </x:c>
      <x:c r="AK228" s="10" t="str">
        <x:f>IF(AM228="완료",K228,IF(AJ228="","",IF(E228="진행",MAX('프로젝트설정'!$B$8,AJ228,AD228:AI228)+T228,AJ228+T228)))</x:f>
      </x:c>
      <x:c r="AL228" s="7" t="str">
        <x:f>IF(OR(I228="",AK228=""),"",AK228-I228)</x:f>
      </x:c>
      <x:c r="AM228" s="7" t="str">
        <x:f>IF(OR(D228="제외",E228="제외"),"제외",IF(D228&lt;&gt;"적용","적용성 확인",IF(E228="완료",IF(ISNUMBER(K228),"완료","실제완료 입력"),IF(E228="보류","보류 해제 필요",IF(E228="진행",IF(AND(ISNUMBER(J228),COUNT(P228:R228)=3,P228&gt;=0,P228&lt;=Q228,Q228&lt;=R228),"입력 OK","실제착수·잔여기간 확인"),IF(AND(COUNT(M228:O228)=3,M228&gt;=0,M228&lt;=N228,N228&lt;=O228),"입력 OK","전체기간 확인"))))))</x:f>
        <x:v>입력 OK</x:v>
      </x:c>
      <x:c r="AN228" s="7" t="str">
        <x:v>26</x:v>
      </x:c>
    </x:row>
    <x:row r="229" ht="34" customHeight="1">
      <x:c r="A229" s="7" t="str">
        <x:v>CM04</x:v>
      </x:c>
      <x:c r="B229" s="7" t="str">
        <x:v>26 단동·완성검사</x:v>
      </x:c>
      <x:c r="C229" s="7" t="str">
        <x:v>KGS 완성검사 신청·검사자료 사전검토</x:v>
      </x:c>
      <x:c r="D229" s="7" t="str">
        <x:f>'모듈선택'!B31</x:f>
        <x:v>적용</x:v>
      </x:c>
      <x:c r="E229" s="8" t="str">
        <x:v>계획</x:v>
      </x:c>
      <x:c r="F229" s="8" t="str">
        <x:v>주설비 공급사 / 시공사 / KGS</x:v>
      </x:c>
      <x:c r="G229" s="8" t="str">
        <x:v>As-built, 중간검사, 시험서류</x:v>
      </x:c>
      <x:c r="H229" s="9"/>
      <x:c r="I229" s="9"/>
      <x:c r="J229" s="9"/>
      <x:c r="K229" s="9"/>
      <x:c r="L229" s="9"/>
      <x:c r="M229" s="8" t="n">
        <x:v>3</x:v>
      </x:c>
      <x:c r="N229" s="8" t="n">
        <x:v>5</x:v>
      </x:c>
      <x:c r="O229" s="8" t="n">
        <x:v>9</x:v>
      </x:c>
      <x:c r="P229" s="8"/>
      <x:c r="Q229" s="8"/>
      <x:c r="R229" s="8"/>
      <x:c r="S229" s="7" t="n">
        <x:f>IF(OR(AM229="제외",AM229="완료"),0,IF(AM229&lt;&gt;"입력 OK","",IF(E229="진행",P229,M229)))</x:f>
        <x:v>3</x:v>
      </x:c>
      <x:c r="T229" s="7" t="n">
        <x:f>IF(OR(AM229="제외",AM229="완료"),0,IF(AM229&lt;&gt;"입력 OK","",IF(E229="진행",Q229,N229)))</x:f>
        <x:v>5</x:v>
      </x:c>
      <x:c r="U229" s="7" t="n">
        <x:f>IF(OR(AM229="제외",AM229="완료"),0,IF(AM229&lt;&gt;"입력 OK","",IF(E229="진행",R229,O229)))</x:f>
        <x:v>9</x:v>
      </x:c>
      <x:c r="V229" s="11" t="n">
        <x:f>IF(COUNT(S229:U229)&lt;3,"",(S229+4*T229+U229)/6)</x:f>
        <x:v>5.333333333333333</x:v>
      </x:c>
      <x:c r="W229" s="11" t="n">
        <x:f>IF(COUNT(S229:U229)&lt;3,"",((U229-S229)/6)^2)</x:f>
        <x:v>1</x:v>
      </x:c>
      <x:c r="X229" s="8" t="str">
        <x:v>CM03</x:v>
      </x:c>
      <x:c r="Y229" s="8" t="str"/>
      <x:c r="Z229" s="8" t="str"/>
      <x:c r="AA229" s="8" t="str"/>
      <x:c r="AB229" s="8" t="str"/>
      <x:c r="AC229" s="8" t="str"/>
      <x:c r="AD229" s="10" t="str">
        <x:f>IF(X229="",0,INDEX($AK$6:$AK$228,MATCH(X229,$A$6:$A$228,0)))</x:f>
      </x:c>
      <x:c r="AE229" s="10" t="n">
        <x:f>IF(Y229="",0,INDEX($AK$6:$AK$228,MATCH(Y229,$A$6:$A$228,0)))</x:f>
        <x:v>0</x:v>
      </x:c>
      <x:c r="AF229" s="10" t="n">
        <x:f>IF(Z229="",0,INDEX($AK$6:$AK$228,MATCH(Z229,$A$6:$A$228,0)))</x:f>
        <x:v>0</x:v>
      </x:c>
      <x:c r="AG229" s="10" t="n">
        <x:f>IF(AA229="",0,INDEX($AK$6:$AK$228,MATCH(AA229,$A$6:$A$228,0)))</x:f>
        <x:v>0</x:v>
      </x:c>
      <x:c r="AH229" s="10" t="n">
        <x:f>IF(AB229="",0,INDEX($AK$6:$AK$228,MATCH(AB229,$A$6:$A$228,0)))</x:f>
        <x:v>0</x:v>
      </x:c>
      <x:c r="AI229" s="10" t="n">
        <x:f>IF(AC229="",0,INDEX($AK$6:$AK$228,MATCH(AC229,$A$6:$A$228,0)))</x:f>
        <x:v>0</x:v>
      </x:c>
      <x:c r="AJ229" s="10" t="str">
        <x:f>IF(AM229="완료",IF(J229="",K229,J229),IF(OR(COUNT('프로젝트설정'!$B$7:$B$8)&lt;2,COUNT(AD229:AI229)&lt;6,COUNT(S229:U229)&lt;3),"",IF(AM229="제외",MAX('프로젝트설정'!$B$7,AD229:AI229),IF(E229="진행",J229,MAX('프로젝트설정'!$B$7:$B$8,L229,AD229:AI229)))))</x:f>
      </x:c>
      <x:c r="AK229" s="10" t="str">
        <x:f>IF(AM229="완료",K229,IF(AJ229="","",IF(E229="진행",MAX('프로젝트설정'!$B$8,AJ229,AD229:AI229)+T229,AJ229+T229)))</x:f>
      </x:c>
      <x:c r="AL229" s="7" t="str">
        <x:f>IF(OR(I229="",AK229=""),"",AK229-I229)</x:f>
      </x:c>
      <x:c r="AM229" s="7" t="str">
        <x:f>IF(OR(D229="제외",E229="제외"),"제외",IF(D229&lt;&gt;"적용","적용성 확인",IF(E229="완료",IF(ISNUMBER(K229),"완료","실제완료 입력"),IF(E229="보류","보류 해제 필요",IF(E229="진행",IF(AND(ISNUMBER(J229),COUNT(P229:R229)=3,P229&gt;=0,P229&lt;=Q229,Q229&lt;=R229),"입력 OK","실제착수·잔여기간 확인"),IF(AND(COUNT(M229:O229)=3,M229&gt;=0,M229&lt;=N229,N229&lt;=O229),"입력 OK","전체기간 확인"))))))</x:f>
        <x:v>입력 OK</x:v>
      </x:c>
      <x:c r="AN229" s="7" t="str">
        <x:v>26</x:v>
      </x:c>
    </x:row>
    <x:row r="230" ht="34" customHeight="1">
      <x:c r="A230" s="7" t="str">
        <x:v>CM05</x:v>
      </x:c>
      <x:c r="B230" s="7" t="str">
        <x:v>26 단동·완성검사</x:v>
      </x:c>
      <x:c r="C230" s="7" t="str">
        <x:v>완성검사 입회·보완 및 합격증 확보</x:v>
      </x:c>
      <x:c r="D230" s="7" t="str">
        <x:f>'모듈선택'!B31</x:f>
        <x:v>적용</x:v>
      </x:c>
      <x:c r="E230" s="8" t="str">
        <x:v>계획</x:v>
      </x:c>
      <x:c r="F230" s="8" t="str">
        <x:v>주설비 공급사 / 시공사 / KGS</x:v>
      </x:c>
      <x:c r="G230" s="8" t="str">
        <x:v>완성검사 합격증</x:v>
      </x:c>
      <x:c r="H230" s="9"/>
      <x:c r="I230" s="9"/>
      <x:c r="J230" s="9"/>
      <x:c r="K230" s="9"/>
      <x:c r="L230" s="9"/>
      <x:c r="M230" s="8" t="n">
        <x:v>5</x:v>
      </x:c>
      <x:c r="N230" s="8" t="n">
        <x:v>7</x:v>
      </x:c>
      <x:c r="O230" s="8" t="n">
        <x:v>12</x:v>
      </x:c>
      <x:c r="P230" s="8"/>
      <x:c r="Q230" s="8"/>
      <x:c r="R230" s="8"/>
      <x:c r="S230" s="7" t="n">
        <x:f>IF(OR(AM230="제외",AM230="완료"),0,IF(AM230&lt;&gt;"입력 OK","",IF(E230="진행",P230,M230)))</x:f>
        <x:v>5</x:v>
      </x:c>
      <x:c r="T230" s="7" t="n">
        <x:f>IF(OR(AM230="제외",AM230="완료"),0,IF(AM230&lt;&gt;"입력 OK","",IF(E230="진행",Q230,N230)))</x:f>
        <x:v>7</x:v>
      </x:c>
      <x:c r="U230" s="7" t="n">
        <x:f>IF(OR(AM230="제외",AM230="완료"),0,IF(AM230&lt;&gt;"입력 OK","",IF(E230="진행",R230,O230)))</x:f>
        <x:v>12</x:v>
      </x:c>
      <x:c r="V230" s="11" t="n">
        <x:f>IF(COUNT(S230:U230)&lt;3,"",(S230+4*T230+U230)/6)</x:f>
        <x:v>7.5</x:v>
      </x:c>
      <x:c r="W230" s="11" t="n">
        <x:f>IF(COUNT(S230:U230)&lt;3,"",((U230-S230)/6)^2)</x:f>
        <x:v>1.3611111111111114</x:v>
      </x:c>
      <x:c r="X230" s="8" t="str">
        <x:v>CM04</x:v>
      </x:c>
      <x:c r="Y230" s="8" t="str"/>
      <x:c r="Z230" s="8" t="str"/>
      <x:c r="AA230" s="8" t="str"/>
      <x:c r="AB230" s="8" t="str"/>
      <x:c r="AC230" s="8" t="str"/>
      <x:c r="AD230" s="10" t="str">
        <x:f>IF(X230="",0,INDEX($AK$6:$AK$229,MATCH(X230,$A$6:$A$229,0)))</x:f>
      </x:c>
      <x:c r="AE230" s="10" t="n">
        <x:f>IF(Y230="",0,INDEX($AK$6:$AK$229,MATCH(Y230,$A$6:$A$229,0)))</x:f>
        <x:v>0</x:v>
      </x:c>
      <x:c r="AF230" s="10" t="n">
        <x:f>IF(Z230="",0,INDEX($AK$6:$AK$229,MATCH(Z230,$A$6:$A$229,0)))</x:f>
        <x:v>0</x:v>
      </x:c>
      <x:c r="AG230" s="10" t="n">
        <x:f>IF(AA230="",0,INDEX($AK$6:$AK$229,MATCH(AA230,$A$6:$A$229,0)))</x:f>
        <x:v>0</x:v>
      </x:c>
      <x:c r="AH230" s="10" t="n">
        <x:f>IF(AB230="",0,INDEX($AK$6:$AK$229,MATCH(AB230,$A$6:$A$229,0)))</x:f>
        <x:v>0</x:v>
      </x:c>
      <x:c r="AI230" s="10" t="n">
        <x:f>IF(AC230="",0,INDEX($AK$6:$AK$229,MATCH(AC230,$A$6:$A$229,0)))</x:f>
        <x:v>0</x:v>
      </x:c>
      <x:c r="AJ230" s="10" t="str">
        <x:f>IF(AM230="완료",IF(J230="",K230,J230),IF(OR(COUNT('프로젝트설정'!$B$7:$B$8)&lt;2,COUNT(AD230:AI230)&lt;6,COUNT(S230:U230)&lt;3),"",IF(AM230="제외",MAX('프로젝트설정'!$B$7,AD230:AI230),IF(E230="진행",J230,MAX('프로젝트설정'!$B$7:$B$8,L230,AD230:AI230)))))</x:f>
      </x:c>
      <x:c r="AK230" s="10" t="str">
        <x:f>IF(AM230="완료",K230,IF(AJ230="","",IF(E230="진행",MAX('프로젝트설정'!$B$8,AJ230,AD230:AI230)+T230,AJ230+T230)))</x:f>
      </x:c>
      <x:c r="AL230" s="7" t="str">
        <x:f>IF(OR(I230="",AK230=""),"",AK230-I230)</x:f>
      </x:c>
      <x:c r="AM230" s="7" t="str">
        <x:f>IF(OR(D230="제외",E230="제외"),"제외",IF(D230&lt;&gt;"적용","적용성 확인",IF(E230="완료",IF(ISNUMBER(K230),"완료","실제완료 입력"),IF(E230="보류","보류 해제 필요",IF(E230="진행",IF(AND(ISNUMBER(J230),COUNT(P230:R230)=3,P230&gt;=0,P230&lt;=Q230,Q230&lt;=R230),"입력 OK","실제착수·잔여기간 확인"),IF(AND(COUNT(M230:O230)=3,M230&gt;=0,M230&lt;=N230,N230&lt;=O230),"입력 OK","전체기간 확인"))))))</x:f>
        <x:v>입력 OK</x:v>
      </x:c>
      <x:c r="AN230" s="7" t="str">
        <x:v>26</x:v>
      </x:c>
    </x:row>
    <x:row r="231" ht="34" customHeight="1">
      <x:c r="A231" s="7" t="str">
        <x:v>BU01</x:v>
      </x:c>
      <x:c r="B231" s="7" t="str">
        <x:v>27 준공·사용승인</x:v>
      </x:c>
      <x:c r="C231" s="7" t="str">
        <x:v>건축·소방·통신 준공도서 취합 및 검사</x:v>
      </x:c>
      <x:c r="D231" s="7" t="str">
        <x:f>'모듈선택'!B32</x:f>
        <x:v>적용</x:v>
      </x:c>
      <x:c r="E231" s="8" t="str">
        <x:v>계획</x:v>
      </x:c>
      <x:c r="F231" s="8" t="str">
        <x:v>건축설계사 / 감리 / 사업주</x:v>
      </x:c>
      <x:c r="G231" s="8" t="str">
        <x:v>준공도면, 감리완료, 분야검사</x:v>
      </x:c>
      <x:c r="H231" s="9"/>
      <x:c r="I231" s="9"/>
      <x:c r="J231" s="9"/>
      <x:c r="K231" s="9"/>
      <x:c r="L231" s="9"/>
      <x:c r="M231" s="8" t="n">
        <x:v>5</x:v>
      </x:c>
      <x:c r="N231" s="8" t="n">
        <x:v>7</x:v>
      </x:c>
      <x:c r="O231" s="8" t="n">
        <x:v>12</x:v>
      </x:c>
      <x:c r="P231" s="8"/>
      <x:c r="Q231" s="8"/>
      <x:c r="R231" s="8"/>
      <x:c r="S231" s="7" t="n">
        <x:f>IF(OR(AM231="제외",AM231="완료"),0,IF(AM231&lt;&gt;"입력 OK","",IF(E231="진행",P231,M231)))</x:f>
        <x:v>5</x:v>
      </x:c>
      <x:c r="T231" s="7" t="n">
        <x:f>IF(OR(AM231="제외",AM231="완료"),0,IF(AM231&lt;&gt;"입력 OK","",IF(E231="진행",Q231,N231)))</x:f>
        <x:v>7</x:v>
      </x:c>
      <x:c r="U231" s="7" t="n">
        <x:f>IF(OR(AM231="제외",AM231="완료"),0,IF(AM231&lt;&gt;"입력 OK","",IF(E231="진행",R231,O231)))</x:f>
        <x:v>12</x:v>
      </x:c>
      <x:c r="V231" s="11" t="n">
        <x:f>IF(COUNT(S231:U231)&lt;3,"",(S231+4*T231+U231)/6)</x:f>
        <x:v>7.5</x:v>
      </x:c>
      <x:c r="W231" s="11" t="n">
        <x:f>IF(COUNT(S231:U231)&lt;3,"",((U231-S231)/6)^2)</x:f>
        <x:v>1.3611111111111114</x:v>
      </x:c>
      <x:c r="X231" s="8" t="str">
        <x:v>BW06</x:v>
      </x:c>
      <x:c r="Y231" s="8" t="str">
        <x:v>DR04</x:v>
      </x:c>
      <x:c r="Z231" s="8" t="str">
        <x:v>EC07</x:v>
      </x:c>
      <x:c r="AA231" s="8" t="str"/>
      <x:c r="AB231" s="8" t="str"/>
      <x:c r="AC231" s="8" t="str"/>
      <x:c r="AD231" s="10" t="str">
        <x:f>IF(X231="",0,INDEX($AK$6:$AK$230,MATCH(X231,$A$6:$A$230,0)))</x:f>
      </x:c>
      <x:c r="AE231" s="10" t="str">
        <x:f>IF(Y231="",0,INDEX($AK$6:$AK$230,MATCH(Y231,$A$6:$A$230,0)))</x:f>
      </x:c>
      <x:c r="AF231" s="10" t="str">
        <x:f>IF(Z231="",0,INDEX($AK$6:$AK$230,MATCH(Z231,$A$6:$A$230,0)))</x:f>
      </x:c>
      <x:c r="AG231" s="10" t="n">
        <x:f>IF(AA231="",0,INDEX($AK$6:$AK$230,MATCH(AA231,$A$6:$A$230,0)))</x:f>
        <x:v>0</x:v>
      </x:c>
      <x:c r="AH231" s="10" t="n">
        <x:f>IF(AB231="",0,INDEX($AK$6:$AK$230,MATCH(AB231,$A$6:$A$230,0)))</x:f>
        <x:v>0</x:v>
      </x:c>
      <x:c r="AI231" s="10" t="n">
        <x:f>IF(AC231="",0,INDEX($AK$6:$AK$230,MATCH(AC231,$A$6:$A$230,0)))</x:f>
        <x:v>0</x:v>
      </x:c>
      <x:c r="AJ231" s="10" t="str">
        <x:f>IF(AM231="완료",IF(J231="",K231,J231),IF(OR(COUNT('프로젝트설정'!$B$7:$B$8)&lt;2,COUNT(AD231:AI231)&lt;6,COUNT(S231:U231)&lt;3),"",IF(AM231="제외",MAX('프로젝트설정'!$B$7,AD231:AI231),IF(E231="진행",J231,MAX('프로젝트설정'!$B$7:$B$8,L231,AD231:AI231)))))</x:f>
      </x:c>
      <x:c r="AK231" s="10" t="str">
        <x:f>IF(AM231="완료",K231,IF(AJ231="","",IF(E231="진행",MAX('프로젝트설정'!$B$8,AJ231,AD231:AI231)+T231,AJ231+T231)))</x:f>
      </x:c>
      <x:c r="AL231" s="7" t="str">
        <x:f>IF(OR(I231="",AK231=""),"",AK231-I231)</x:f>
      </x:c>
      <x:c r="AM231" s="7" t="str">
        <x:f>IF(OR(D231="제외",E231="제외"),"제외",IF(D231&lt;&gt;"적용","적용성 확인",IF(E231="완료",IF(ISNUMBER(K231),"완료","실제완료 입력"),IF(E231="보류","보류 해제 필요",IF(E231="진행",IF(AND(ISNUMBER(J231),COUNT(P231:R231)=3,P231&gt;=0,P231&lt;=Q231,Q231&lt;=R231),"입력 OK","실제착수·잔여기간 확인"),IF(AND(COUNT(M231:O231)=3,M231&gt;=0,M231&lt;=N231,N231&lt;=O231),"입력 OK","전체기간 확인"))))))</x:f>
        <x:v>입력 OK</x:v>
      </x:c>
      <x:c r="AN231" s="7" t="str">
        <x:v>27</x:v>
      </x:c>
    </x:row>
    <x:row r="232" ht="34" customHeight="1">
      <x:c r="A232" s="7" t="str">
        <x:v>BU02</x:v>
      </x:c>
      <x:c r="B232" s="7" t="str">
        <x:v>27 준공·사용승인</x:v>
      </x:c>
      <x:c r="C232" s="7" t="str">
        <x:v>사용승인 신청·현장확인·보완</x:v>
      </x:c>
      <x:c r="D232" s="7" t="str">
        <x:f>'모듈선택'!B32</x:f>
        <x:v>적용</x:v>
      </x:c>
      <x:c r="E232" s="8" t="str">
        <x:v>계획</x:v>
      </x:c>
      <x:c r="F232" s="8" t="str">
        <x:v>건축설계사 / 감리 / 사업주</x:v>
      </x:c>
      <x:c r="G232" s="8" t="str">
        <x:v>사용승인 신청, 지적사항</x:v>
      </x:c>
      <x:c r="H232" s="9"/>
      <x:c r="I232" s="9"/>
      <x:c r="J232" s="9"/>
      <x:c r="K232" s="9"/>
      <x:c r="L232" s="9"/>
      <x:c r="M232" s="8" t="n">
        <x:v>9</x:v>
      </x:c>
      <x:c r="N232" s="8" t="n">
        <x:v>14</x:v>
      </x:c>
      <x:c r="O232" s="8" t="n">
        <x:v>24</x:v>
      </x:c>
      <x:c r="P232" s="8"/>
      <x:c r="Q232" s="8"/>
      <x:c r="R232" s="8"/>
      <x:c r="S232" s="7" t="n">
        <x:f>IF(OR(AM232="제외",AM232="완료"),0,IF(AM232&lt;&gt;"입력 OK","",IF(E232="진행",P232,M232)))</x:f>
        <x:v>9</x:v>
      </x:c>
      <x:c r="T232" s="7" t="n">
        <x:f>IF(OR(AM232="제외",AM232="완료"),0,IF(AM232&lt;&gt;"입력 OK","",IF(E232="진행",Q232,N232)))</x:f>
        <x:v>14</x:v>
      </x:c>
      <x:c r="U232" s="7" t="n">
        <x:f>IF(OR(AM232="제외",AM232="완료"),0,IF(AM232&lt;&gt;"입력 OK","",IF(E232="진행",R232,O232)))</x:f>
        <x:v>24</x:v>
      </x:c>
      <x:c r="V232" s="11" t="n">
        <x:f>IF(COUNT(S232:U232)&lt;3,"",(S232+4*T232+U232)/6)</x:f>
        <x:v>14.833333333333334</x:v>
      </x:c>
      <x:c r="W232" s="11" t="n">
        <x:f>IF(COUNT(S232:U232)&lt;3,"",((U232-S232)/6)^2)</x:f>
        <x:v>6.25</x:v>
      </x:c>
      <x:c r="X232" s="8" t="str">
        <x:v>BU01</x:v>
      </x:c>
      <x:c r="Y232" s="8" t="str"/>
      <x:c r="Z232" s="8" t="str"/>
      <x:c r="AA232" s="8" t="str"/>
      <x:c r="AB232" s="8" t="str"/>
      <x:c r="AC232" s="8" t="str"/>
      <x:c r="AD232" s="10" t="str">
        <x:f>IF(X232="",0,INDEX($AK$6:$AK$231,MATCH(X232,$A$6:$A$231,0)))</x:f>
      </x:c>
      <x:c r="AE232" s="10" t="n">
        <x:f>IF(Y232="",0,INDEX($AK$6:$AK$231,MATCH(Y232,$A$6:$A$231,0)))</x:f>
        <x:v>0</x:v>
      </x:c>
      <x:c r="AF232" s="10" t="n">
        <x:f>IF(Z232="",0,INDEX($AK$6:$AK$231,MATCH(Z232,$A$6:$A$231,0)))</x:f>
        <x:v>0</x:v>
      </x:c>
      <x:c r="AG232" s="10" t="n">
        <x:f>IF(AA232="",0,INDEX($AK$6:$AK$231,MATCH(AA232,$A$6:$A$231,0)))</x:f>
        <x:v>0</x:v>
      </x:c>
      <x:c r="AH232" s="10" t="n">
        <x:f>IF(AB232="",0,INDEX($AK$6:$AK$231,MATCH(AB232,$A$6:$A$231,0)))</x:f>
        <x:v>0</x:v>
      </x:c>
      <x:c r="AI232" s="10" t="n">
        <x:f>IF(AC232="",0,INDEX($AK$6:$AK$231,MATCH(AC232,$A$6:$A$231,0)))</x:f>
        <x:v>0</x:v>
      </x:c>
      <x:c r="AJ232" s="10" t="str">
        <x:f>IF(AM232="완료",IF(J232="",K232,J232),IF(OR(COUNT('프로젝트설정'!$B$7:$B$8)&lt;2,COUNT(AD232:AI232)&lt;6,COUNT(S232:U232)&lt;3),"",IF(AM232="제외",MAX('프로젝트설정'!$B$7,AD232:AI232),IF(E232="진행",J232,MAX('프로젝트설정'!$B$7:$B$8,L232,AD232:AI232)))))</x:f>
      </x:c>
      <x:c r="AK232" s="10" t="str">
        <x:f>IF(AM232="완료",K232,IF(AJ232="","",IF(E232="진행",MAX('프로젝트설정'!$B$8,AJ232,AD232:AI232)+T232,AJ232+T232)))</x:f>
      </x:c>
      <x:c r="AL232" s="7" t="str">
        <x:f>IF(OR(I232="",AK232=""),"",AK232-I232)</x:f>
      </x:c>
      <x:c r="AM232" s="7" t="str">
        <x:f>IF(OR(D232="제외",E232="제외"),"제외",IF(D232&lt;&gt;"적용","적용성 확인",IF(E232="완료",IF(ISNUMBER(K232),"완료","실제완료 입력"),IF(E232="보류","보류 해제 필요",IF(E232="진행",IF(AND(ISNUMBER(J232),COUNT(P232:R232)=3,P232&gt;=0,P232&lt;=Q232,Q232&lt;=R232),"입력 OK","실제착수·잔여기간 확인"),IF(AND(COUNT(M232:O232)=3,M232&gt;=0,M232&lt;=N232,N232&lt;=O232),"입력 OK","전체기간 확인"))))))</x:f>
        <x:v>입력 OK</x:v>
      </x:c>
      <x:c r="AN232" s="7" t="str">
        <x:v>27</x:v>
      </x:c>
    </x:row>
    <x:row r="233" ht="34" customHeight="1">
      <x:c r="A233" s="7" t="str">
        <x:v>BU03</x:v>
      </x:c>
      <x:c r="B233" s="7" t="str">
        <x:v>27 준공·사용승인</x:v>
      </x:c>
      <x:c r="C233" s="7" t="str">
        <x:v>사용승인 및 잔여 허가조건 완료 확인</x:v>
      </x:c>
      <x:c r="D233" s="7" t="str">
        <x:f>'모듈선택'!B32</x:f>
        <x:v>적용</x:v>
      </x:c>
      <x:c r="E233" s="8" t="str">
        <x:v>계획</x:v>
      </x:c>
      <x:c r="F233" s="8" t="str">
        <x:v>건축설계사 / 감리 / 사업주</x:v>
      </x:c>
      <x:c r="G233" s="8" t="str">
        <x:v>사용승인서, 조건종결</x:v>
      </x:c>
      <x:c r="H233" s="9"/>
      <x:c r="I233" s="9"/>
      <x:c r="J233" s="9"/>
      <x:c r="K233" s="9"/>
      <x:c r="L233" s="9"/>
      <x:c r="M233" s="8" t="n">
        <x:v>2</x:v>
      </x:c>
      <x:c r="N233" s="8" t="n">
        <x:v>3</x:v>
      </x:c>
      <x:c r="O233" s="8" t="n">
        <x:v>6</x:v>
      </x:c>
      <x:c r="P233" s="8"/>
      <x:c r="Q233" s="8"/>
      <x:c r="R233" s="8"/>
      <x:c r="S233" s="7" t="n">
        <x:f>IF(OR(AM233="제외",AM233="완료"),0,IF(AM233&lt;&gt;"입력 OK","",IF(E233="진행",P233,M233)))</x:f>
        <x:v>2</x:v>
      </x:c>
      <x:c r="T233" s="7" t="n">
        <x:f>IF(OR(AM233="제외",AM233="완료"),0,IF(AM233&lt;&gt;"입력 OK","",IF(E233="진행",Q233,N233)))</x:f>
        <x:v>3</x:v>
      </x:c>
      <x:c r="U233" s="7" t="n">
        <x:f>IF(OR(AM233="제외",AM233="완료"),0,IF(AM233&lt;&gt;"입력 OK","",IF(E233="진행",R233,O233)))</x:f>
        <x:v>6</x:v>
      </x:c>
      <x:c r="V233" s="11" t="n">
        <x:f>IF(COUNT(S233:U233)&lt;3,"",(S233+4*T233+U233)/6)</x:f>
        <x:v>3.3333333333333335</x:v>
      </x:c>
      <x:c r="W233" s="11" t="n">
        <x:f>IF(COUNT(S233:U233)&lt;3,"",((U233-S233)/6)^2)</x:f>
        <x:v>0.4444444444444444</x:v>
      </x:c>
      <x:c r="X233" s="8" t="str">
        <x:v>BU02</x:v>
      </x:c>
      <x:c r="Y233" s="8" t="str"/>
      <x:c r="Z233" s="8" t="str"/>
      <x:c r="AA233" s="8" t="str"/>
      <x:c r="AB233" s="8" t="str"/>
      <x:c r="AC233" s="8" t="str"/>
      <x:c r="AD233" s="10" t="str">
        <x:f>IF(X233="",0,INDEX($AK$6:$AK$232,MATCH(X233,$A$6:$A$232,0)))</x:f>
      </x:c>
      <x:c r="AE233" s="10" t="n">
        <x:f>IF(Y233="",0,INDEX($AK$6:$AK$232,MATCH(Y233,$A$6:$A$232,0)))</x:f>
        <x:v>0</x:v>
      </x:c>
      <x:c r="AF233" s="10" t="n">
        <x:f>IF(Z233="",0,INDEX($AK$6:$AK$232,MATCH(Z233,$A$6:$A$232,0)))</x:f>
        <x:v>0</x:v>
      </x:c>
      <x:c r="AG233" s="10" t="n">
        <x:f>IF(AA233="",0,INDEX($AK$6:$AK$232,MATCH(AA233,$A$6:$A$232,0)))</x:f>
        <x:v>0</x:v>
      </x:c>
      <x:c r="AH233" s="10" t="n">
        <x:f>IF(AB233="",0,INDEX($AK$6:$AK$232,MATCH(AB233,$A$6:$A$232,0)))</x:f>
        <x:v>0</x:v>
      </x:c>
      <x:c r="AI233" s="10" t="n">
        <x:f>IF(AC233="",0,INDEX($AK$6:$AK$232,MATCH(AC233,$A$6:$A$232,0)))</x:f>
        <x:v>0</x:v>
      </x:c>
      <x:c r="AJ233" s="10" t="str">
        <x:f>IF(AM233="완료",IF(J233="",K233,J233),IF(OR(COUNT('프로젝트설정'!$B$7:$B$8)&lt;2,COUNT(AD233:AI233)&lt;6,COUNT(S233:U233)&lt;3),"",IF(AM233="제외",MAX('프로젝트설정'!$B$7,AD233:AI233),IF(E233="진행",J233,MAX('프로젝트설정'!$B$7:$B$8,L233,AD233:AI233)))))</x:f>
      </x:c>
      <x:c r="AK233" s="10" t="str">
        <x:f>IF(AM233="완료",K233,IF(AJ233="","",IF(E233="진행",MAX('프로젝트설정'!$B$8,AJ233,AD233:AI233)+T233,AJ233+T233)))</x:f>
      </x:c>
      <x:c r="AL233" s="7" t="str">
        <x:f>IF(OR(I233="",AK233=""),"",AK233-I233)</x:f>
      </x:c>
      <x:c r="AM233" s="7" t="str">
        <x:f>IF(OR(D233="제외",E233="제외"),"제외",IF(D233&lt;&gt;"적용","적용성 확인",IF(E233="완료",IF(ISNUMBER(K233),"완료","실제완료 입력"),IF(E233="보류","보류 해제 필요",IF(E233="진행",IF(AND(ISNUMBER(J233),COUNT(P233:R233)=3,P233&gt;=0,P233&lt;=Q233,Q233&lt;=R233),"입력 OK","실제착수·잔여기간 확인"),IF(AND(COUNT(M233:O233)=3,M233&gt;=0,M233&lt;=N233,N233&lt;=O233),"입력 OK","전체기간 확인"))))))</x:f>
        <x:v>입력 OK</x:v>
      </x:c>
      <x:c r="AN233" s="7" t="str">
        <x:v>27</x:v>
      </x:c>
    </x:row>
    <x:row r="234" ht="34" customHeight="1">
      <x:c r="A234" s="7" t="str">
        <x:v>MS05</x:v>
      </x:c>
      <x:c r="B234" s="7" t="str">
        <x:v>28 가스투입·통합시운전</x:v>
      </x:c>
      <x:c r="C234" s="7" t="str">
        <x:v>가스투입 전 합동 안전검토 및 승인</x:v>
      </x:c>
      <x:c r="D234" s="7" t="str">
        <x:f>'모듈선택'!B33</x:f>
        <x:v>적용</x:v>
      </x:c>
      <x:c r="E234" s="8" t="str">
        <x:v>계획</x:v>
      </x:c>
      <x:c r="F234" s="8" t="str">
        <x:v>사업주 / PM / 오너 검토 / 담당기관</x:v>
      </x:c>
      <x:c r="G234" s="8" t="str">
        <x:v>승인/접수/검사 증빙 및 미결사항 확인</x:v>
      </x:c>
      <x:c r="H234" s="9"/>
      <x:c r="I234" s="9"/>
      <x:c r="J234" s="9"/>
      <x:c r="K234" s="9"/>
      <x:c r="L234" s="9"/>
      <x:c r="M234" s="8" t="n">
        <x:v>0</x:v>
      </x:c>
      <x:c r="N234" s="8" t="n">
        <x:v>0</x:v>
      </x:c>
      <x:c r="O234" s="8" t="n">
        <x:v>0</x:v>
      </x:c>
      <x:c r="P234" s="8"/>
      <x:c r="Q234" s="8"/>
      <x:c r="R234" s="8"/>
      <x:c r="S234" s="7" t="n">
        <x:f>IF(OR(AM234="제외",AM234="완료"),0,IF(AM234&lt;&gt;"입력 OK","",IF(E234="진행",P234,M234)))</x:f>
        <x:v>0</x:v>
      </x:c>
      <x:c r="T234" s="7" t="n">
        <x:f>IF(OR(AM234="제외",AM234="완료"),0,IF(AM234&lt;&gt;"입력 OK","",IF(E234="진행",Q234,N234)))</x:f>
        <x:v>0</x:v>
      </x:c>
      <x:c r="U234" s="7" t="n">
        <x:f>IF(OR(AM234="제외",AM234="완료"),0,IF(AM234&lt;&gt;"입력 OK","",IF(E234="진행",R234,O234)))</x:f>
        <x:v>0</x:v>
      </x:c>
      <x:c r="V234" s="11" t="n">
        <x:f>IF(COUNT(S234:U234)&lt;3,"",(S234+4*T234+U234)/6)</x:f>
        <x:v>0</x:v>
      </x:c>
      <x:c r="W234" s="11" t="n">
        <x:f>IF(COUNT(S234:U234)&lt;3,"",((U234-S234)/6)^2)</x:f>
        <x:v>0</x:v>
      </x:c>
      <x:c r="X234" s="8" t="str">
        <x:v>CM05</x:v>
      </x:c>
      <x:c r="Y234" s="8" t="str">
        <x:v>OP04</x:v>
      </x:c>
      <x:c r="Z234" s="8" t="str">
        <x:v>BU03</x:v>
      </x:c>
      <x:c r="AA234" s="8" t="str">
        <x:v>TI03</x:v>
      </x:c>
      <x:c r="AB234" s="8" t="str">
        <x:v>SH07</x:v>
      </x:c>
      <x:c r="AC234" s="8" t="str"/>
      <x:c r="AD234" s="10" t="str">
        <x:f>IF(X234="",0,INDEX($AK$6:$AK$233,MATCH(X234,$A$6:$A$233,0)))</x:f>
      </x:c>
      <x:c r="AE234" s="10" t="str">
        <x:f>IF(Y234="",0,INDEX($AK$6:$AK$233,MATCH(Y234,$A$6:$A$233,0)))</x:f>
      </x:c>
      <x:c r="AF234" s="10" t="str">
        <x:f>IF(Z234="",0,INDEX($AK$6:$AK$233,MATCH(Z234,$A$6:$A$233,0)))</x:f>
      </x:c>
      <x:c r="AG234" s="10" t="str">
        <x:f>IF(AA234="",0,INDEX($AK$6:$AK$233,MATCH(AA234,$A$6:$A$233,0)))</x:f>
      </x:c>
      <x:c r="AH234" s="10" t="str">
        <x:f>IF(AB234="",0,INDEX($AK$6:$AK$233,MATCH(AB234,$A$6:$A$233,0)))</x:f>
      </x:c>
      <x:c r="AI234" s="10" t="n">
        <x:f>IF(AC234="",0,INDEX($AK$6:$AK$233,MATCH(AC234,$A$6:$A$233,0)))</x:f>
        <x:v>0</x:v>
      </x:c>
      <x:c r="AJ234" s="10" t="str">
        <x:f>IF(AM234="완료",IF(J234="",K234,J234),IF(OR(COUNT('프로젝트설정'!$B$7:$B$8)&lt;2,COUNT(AD234:AI234)&lt;6,COUNT(S234:U234)&lt;3),"",IF(AM234="제외",MAX('프로젝트설정'!$B$7,AD234:AI234),IF(E234="진행",J234,MAX('프로젝트설정'!$B$7:$B$8,L234,AD234:AI234)))))</x:f>
      </x:c>
      <x:c r="AK234" s="10" t="str">
        <x:f>IF(AM234="완료",K234,IF(AJ234="","",IF(E234="진행",MAX('프로젝트설정'!$B$8,AJ234,AD234:AI234)+T234,AJ234+T234)))</x:f>
      </x:c>
      <x:c r="AL234" s="7" t="str">
        <x:f>IF(OR(I234="",AK234=""),"",AK234-I234)</x:f>
      </x:c>
      <x:c r="AM234" s="7" t="str">
        <x:f>IF(OR(D234="제외",E234="제외"),"제외",IF(D234&lt;&gt;"적용","적용성 확인",IF(E234="완료",IF(ISNUMBER(K234),"완료","실제완료 입력"),IF(E234="보류","보류 해제 필요",IF(E234="진행",IF(AND(ISNUMBER(J234),COUNT(P234:R234)=3,P234&gt;=0,P234&lt;=Q234,Q234&lt;=R234),"입력 OK","실제착수·잔여기간 확인"),IF(AND(COUNT(M234:O234)=3,M234&gt;=0,M234&lt;=N234,N234&lt;=O234),"입력 OK","전체기간 확인"))))))</x:f>
        <x:v>입력 OK</x:v>
      </x:c>
      <x:c r="AN234" s="7" t="str">
        <x:v>28</x:v>
      </x:c>
    </x:row>
    <x:row r="235" ht="38" customHeight="1">
      <x:c r="A235" s="7" t="str">
        <x:v>CO01</x:v>
      </x:c>
      <x:c r="B235" s="7" t="str">
        <x:v>28 가스투입·통합시운전</x:v>
      </x:c>
      <x:c r="C235" s="7" t="str">
        <x:v>질소 퍼지·산소농도·기밀·검지기 최종 확인</x:v>
      </x:c>
      <x:c r="D235" s="7" t="str">
        <x:f>'모듈선택'!B33</x:f>
        <x:v>적용</x:v>
      </x:c>
      <x:c r="E235" s="8" t="str">
        <x:v>계획</x:v>
      </x:c>
      <x:c r="F235" s="8" t="str">
        <x:v>주설비 공급사 / 운영사 / PM / 오너 검토</x:v>
      </x:c>
      <x:c r="G235" s="8" t="str">
        <x:v>Purge record, gas-free check</x:v>
      </x:c>
      <x:c r="H235" s="9"/>
      <x:c r="I235" s="9"/>
      <x:c r="J235" s="9"/>
      <x:c r="K235" s="9"/>
      <x:c r="L235" s="9"/>
      <x:c r="M235" s="8" t="n">
        <x:v>2</x:v>
      </x:c>
      <x:c r="N235" s="8" t="n">
        <x:v>3</x:v>
      </x:c>
      <x:c r="O235" s="8" t="n">
        <x:v>6</x:v>
      </x:c>
      <x:c r="P235" s="8"/>
      <x:c r="Q235" s="8"/>
      <x:c r="R235" s="8"/>
      <x:c r="S235" s="7" t="n">
        <x:f>IF(OR(AM235="제외",AM235="완료"),0,IF(AM235&lt;&gt;"입력 OK","",IF(E235="진행",P235,M235)))</x:f>
        <x:v>2</x:v>
      </x:c>
      <x:c r="T235" s="7" t="n">
        <x:f>IF(OR(AM235="제외",AM235="완료"),0,IF(AM235&lt;&gt;"입력 OK","",IF(E235="진행",Q235,N235)))</x:f>
        <x:v>3</x:v>
      </x:c>
      <x:c r="U235" s="7" t="n">
        <x:f>IF(OR(AM235="제외",AM235="완료"),0,IF(AM235&lt;&gt;"입력 OK","",IF(E235="진행",R235,O235)))</x:f>
        <x:v>6</x:v>
      </x:c>
      <x:c r="V235" s="11" t="n">
        <x:f>IF(COUNT(S235:U235)&lt;3,"",(S235+4*T235+U235)/6)</x:f>
        <x:v>3.3333333333333335</x:v>
      </x:c>
      <x:c r="W235" s="11" t="n">
        <x:f>IF(COUNT(S235:U235)&lt;3,"",((U235-S235)/6)^2)</x:f>
        <x:v>0.4444444444444444</x:v>
      </x:c>
      <x:c r="X235" s="8" t="str">
        <x:v>MS05</x:v>
      </x:c>
      <x:c r="Y235" s="8" t="str"/>
      <x:c r="Z235" s="8" t="str"/>
      <x:c r="AA235" s="8" t="str"/>
      <x:c r="AB235" s="8" t="str"/>
      <x:c r="AC235" s="8" t="str"/>
      <x:c r="AD235" s="10" t="str">
        <x:f>IF(X235="",0,INDEX($AK$6:$AK$234,MATCH(X235,$A$6:$A$234,0)))</x:f>
      </x:c>
      <x:c r="AE235" s="10" t="n">
        <x:f>IF(Y235="",0,INDEX($AK$6:$AK$234,MATCH(Y235,$A$6:$A$234,0)))</x:f>
        <x:v>0</x:v>
      </x:c>
      <x:c r="AF235" s="10" t="n">
        <x:f>IF(Z235="",0,INDEX($AK$6:$AK$234,MATCH(Z235,$A$6:$A$234,0)))</x:f>
        <x:v>0</x:v>
      </x:c>
      <x:c r="AG235" s="10" t="n">
        <x:f>IF(AA235="",0,INDEX($AK$6:$AK$234,MATCH(AA235,$A$6:$A$234,0)))</x:f>
        <x:v>0</x:v>
      </x:c>
      <x:c r="AH235" s="10" t="n">
        <x:f>IF(AB235="",0,INDEX($AK$6:$AK$234,MATCH(AB235,$A$6:$A$234,0)))</x:f>
        <x:v>0</x:v>
      </x:c>
      <x:c r="AI235" s="10" t="n">
        <x:f>IF(AC235="",0,INDEX($AK$6:$AK$234,MATCH(AC235,$A$6:$A$234,0)))</x:f>
        <x:v>0</x:v>
      </x:c>
      <x:c r="AJ235" s="10" t="str">
        <x:f>IF(AM235="완료",IF(J235="",K235,J235),IF(OR(COUNT('프로젝트설정'!$B$7:$B$8)&lt;2,COUNT(AD235:AI235)&lt;6,COUNT(S235:U235)&lt;3),"",IF(AM235="제외",MAX('프로젝트설정'!$B$7,AD235:AI235),IF(E235="진행",J235,MAX('프로젝트설정'!$B$7:$B$8,L235,AD235:AI235)))))</x:f>
      </x:c>
      <x:c r="AK235" s="10" t="str">
        <x:f>IF(AM235="완료",K235,IF(AJ235="","",IF(E235="진행",MAX('프로젝트설정'!$B$8,AJ235,AD235:AI235)+T235,AJ235+T235)))</x:f>
      </x:c>
      <x:c r="AL235" s="7" t="str">
        <x:f>IF(OR(I235="",AK235=""),"",AK235-I235)</x:f>
      </x:c>
      <x:c r="AM235" s="7" t="str">
        <x:f>IF(OR(D235="제외",E235="제외"),"제외",IF(D235&lt;&gt;"적용","적용성 확인",IF(E235="완료",IF(ISNUMBER(K235),"완료","실제완료 입력"),IF(E235="보류","보류 해제 필요",IF(E235="진행",IF(AND(ISNUMBER(J235),COUNT(P235:R235)=3,P235&gt;=0,P235&lt;=Q235,Q235&lt;=R235),"입력 OK","실제착수·잔여기간 확인"),IF(AND(COUNT(M235:O235)=3,M235&gt;=0,M235&lt;=N235,N235&lt;=O235),"입력 OK","전체기간 확인"))))))</x:f>
        <x:v>입력 OK</x:v>
      </x:c>
      <x:c r="AN235" s="7" t="str">
        <x:v>28</x:v>
      </x:c>
    </x:row>
    <x:row r="236" ht="38" customHeight="1">
      <x:c r="A236" s="7" t="str">
        <x:v>CO02</x:v>
      </x:c>
      <x:c r="B236" s="7" t="str">
        <x:v>28 가스투입·통합시운전</x:v>
      </x:c>
      <x:c r="C236" s="7" t="str">
        <x:v>원료가스 투입·고질화 운전 안정화</x:v>
      </x:c>
      <x:c r="D236" s="7" t="str">
        <x:f>'모듈선택'!B33</x:f>
        <x:v>적용</x:v>
      </x:c>
      <x:c r="E236" s="8" t="str">
        <x:v>계획</x:v>
      </x:c>
      <x:c r="F236" s="8" t="str">
        <x:v>주설비 공급사 / 운영사 / PM / 오너 검토</x:v>
      </x:c>
      <x:c r="G236" s="8" t="str">
        <x:v>Gas-in permit, trend</x:v>
      </x:c>
      <x:c r="H236" s="9"/>
      <x:c r="I236" s="9"/>
      <x:c r="J236" s="9"/>
      <x:c r="K236" s="9"/>
      <x:c r="L236" s="9"/>
      <x:c r="M236" s="8" t="n">
        <x:v>5</x:v>
      </x:c>
      <x:c r="N236" s="8" t="n">
        <x:v>7</x:v>
      </x:c>
      <x:c r="O236" s="8" t="n">
        <x:v>12</x:v>
      </x:c>
      <x:c r="P236" s="8"/>
      <x:c r="Q236" s="8"/>
      <x:c r="R236" s="8"/>
      <x:c r="S236" s="7" t="n">
        <x:f>IF(OR(AM236="제외",AM236="완료"),0,IF(AM236&lt;&gt;"입력 OK","",IF(E236="진행",P236,M236)))</x:f>
        <x:v>5</x:v>
      </x:c>
      <x:c r="T236" s="7" t="n">
        <x:f>IF(OR(AM236="제외",AM236="완료"),0,IF(AM236&lt;&gt;"입력 OK","",IF(E236="진행",Q236,N236)))</x:f>
        <x:v>7</x:v>
      </x:c>
      <x:c r="U236" s="7" t="n">
        <x:f>IF(OR(AM236="제외",AM236="완료"),0,IF(AM236&lt;&gt;"입력 OK","",IF(E236="진행",R236,O236)))</x:f>
        <x:v>12</x:v>
      </x:c>
      <x:c r="V236" s="11" t="n">
        <x:f>IF(COUNT(S236:U236)&lt;3,"",(S236+4*T236+U236)/6)</x:f>
        <x:v>7.5</x:v>
      </x:c>
      <x:c r="W236" s="11" t="n">
        <x:f>IF(COUNT(S236:U236)&lt;3,"",((U236-S236)/6)^2)</x:f>
        <x:v>1.3611111111111114</x:v>
      </x:c>
      <x:c r="X236" s="8" t="str">
        <x:v>CO01</x:v>
      </x:c>
      <x:c r="Y236" s="8" t="str"/>
      <x:c r="Z236" s="8" t="str"/>
      <x:c r="AA236" s="8" t="str"/>
      <x:c r="AB236" s="8" t="str"/>
      <x:c r="AC236" s="8" t="str"/>
      <x:c r="AD236" s="10" t="str">
        <x:f>IF(X236="",0,INDEX($AK$6:$AK$235,MATCH(X236,$A$6:$A$235,0)))</x:f>
      </x:c>
      <x:c r="AE236" s="10" t="n">
        <x:f>IF(Y236="",0,INDEX($AK$6:$AK$235,MATCH(Y236,$A$6:$A$235,0)))</x:f>
        <x:v>0</x:v>
      </x:c>
      <x:c r="AF236" s="10" t="n">
        <x:f>IF(Z236="",0,INDEX($AK$6:$AK$235,MATCH(Z236,$A$6:$A$235,0)))</x:f>
        <x:v>0</x:v>
      </x:c>
      <x:c r="AG236" s="10" t="n">
        <x:f>IF(AA236="",0,INDEX($AK$6:$AK$235,MATCH(AA236,$A$6:$A$235,0)))</x:f>
        <x:v>0</x:v>
      </x:c>
      <x:c r="AH236" s="10" t="n">
        <x:f>IF(AB236="",0,INDEX($AK$6:$AK$235,MATCH(AB236,$A$6:$A$235,0)))</x:f>
        <x:v>0</x:v>
      </x:c>
      <x:c r="AI236" s="10" t="n">
        <x:f>IF(AC236="",0,INDEX($AK$6:$AK$235,MATCH(AC236,$A$6:$A$235,0)))</x:f>
        <x:v>0</x:v>
      </x:c>
      <x:c r="AJ236" s="10" t="str">
        <x:f>IF(AM236="완료",IF(J236="",K236,J236),IF(OR(COUNT('프로젝트설정'!$B$7:$B$8)&lt;2,COUNT(AD236:AI236)&lt;6,COUNT(S236:U236)&lt;3),"",IF(AM236="제외",MAX('프로젝트설정'!$B$7,AD236:AI236),IF(E236="진행",J236,MAX('프로젝트설정'!$B$7:$B$8,L236,AD236:AI236)))))</x:f>
      </x:c>
      <x:c r="AK236" s="10" t="str">
        <x:f>IF(AM236="완료",K236,IF(AJ236="","",IF(E236="진행",MAX('프로젝트설정'!$B$8,AJ236,AD236:AI236)+T236,AJ236+T236)))</x:f>
      </x:c>
      <x:c r="AL236" s="7" t="str">
        <x:f>IF(OR(I236="",AK236=""),"",AK236-I236)</x:f>
      </x:c>
      <x:c r="AM236" s="7" t="str">
        <x:f>IF(OR(D236="제외",E236="제외"),"제외",IF(D236&lt;&gt;"적용","적용성 확인",IF(E236="완료",IF(ISNUMBER(K236),"완료","실제완료 입력"),IF(E236="보류","보류 해제 필요",IF(E236="진행",IF(AND(ISNUMBER(J236),COUNT(P236:R236)=3,P236&gt;=0,P236&lt;=Q236,Q236&lt;=R236),"입력 OK","실제착수·잔여기간 확인"),IF(AND(COUNT(M236:O236)=3,M236&gt;=0,M236&lt;=N236,N236&lt;=O236),"입력 OK","전체기간 확인"))))))</x:f>
        <x:v>입력 OK</x:v>
      </x:c>
      <x:c r="AN236" s="7" t="str">
        <x:v>28</x:v>
      </x:c>
    </x:row>
    <x:row r="237" ht="38" customHeight="1">
      <x:c r="A237" s="7" t="str">
        <x:v>CO03</x:v>
      </x:c>
      <x:c r="B237" s="7" t="str">
        <x:v>28 가스투입·통합시운전</x:v>
      </x:c>
      <x:c r="C237" s="7" t="str">
        <x:v>주공정·정제·압축·저장 연동 운전</x:v>
      </x:c>
      <x:c r="D237" s="7" t="str">
        <x:f>'모듈선택'!B33</x:f>
        <x:v>적용</x:v>
      </x:c>
      <x:c r="E237" s="8" t="str">
        <x:v>계획</x:v>
      </x:c>
      <x:c r="F237" s="8" t="str">
        <x:v>주설비 공급사 / 운영사 / PM / 오너 검토</x:v>
      </x:c>
      <x:c r="G237" s="8" t="str">
        <x:v>Integrated test, trip record</x:v>
      </x:c>
      <x:c r="H237" s="9"/>
      <x:c r="I237" s="9"/>
      <x:c r="J237" s="9"/>
      <x:c r="K237" s="9"/>
      <x:c r="L237" s="9"/>
      <x:c r="M237" s="8" t="n">
        <x:v>7</x:v>
      </x:c>
      <x:c r="N237" s="8" t="n">
        <x:v>10</x:v>
      </x:c>
      <x:c r="O237" s="8" t="n">
        <x:v>17</x:v>
      </x:c>
      <x:c r="P237" s="8"/>
      <x:c r="Q237" s="8"/>
      <x:c r="R237" s="8"/>
      <x:c r="S237" s="7" t="n">
        <x:f>IF(OR(AM237="제외",AM237="완료"),0,IF(AM237&lt;&gt;"입력 OK","",IF(E237="진행",P237,M237)))</x:f>
        <x:v>7</x:v>
      </x:c>
      <x:c r="T237" s="7" t="n">
        <x:f>IF(OR(AM237="제외",AM237="완료"),0,IF(AM237&lt;&gt;"입력 OK","",IF(E237="진행",Q237,N237)))</x:f>
        <x:v>10</x:v>
      </x:c>
      <x:c r="U237" s="7" t="n">
        <x:f>IF(OR(AM237="제외",AM237="완료"),0,IF(AM237&lt;&gt;"입력 OK","",IF(E237="진행",R237,O237)))</x:f>
        <x:v>17</x:v>
      </x:c>
      <x:c r="V237" s="11" t="n">
        <x:f>IF(COUNT(S237:U237)&lt;3,"",(S237+4*T237+U237)/6)</x:f>
        <x:v>10.666666666666666</x:v>
      </x:c>
      <x:c r="W237" s="11" t="n">
        <x:f>IF(COUNT(S237:U237)&lt;3,"",((U237-S237)/6)^2)</x:f>
        <x:v>2.777777777777778</x:v>
      </x:c>
      <x:c r="X237" s="8" t="str">
        <x:v>CO02</x:v>
      </x:c>
      <x:c r="Y237" s="8" t="str"/>
      <x:c r="Z237" s="8" t="str"/>
      <x:c r="AA237" s="8" t="str"/>
      <x:c r="AB237" s="8" t="str"/>
      <x:c r="AC237" s="8" t="str"/>
      <x:c r="AD237" s="10" t="str">
        <x:f>IF(X237="",0,INDEX($AK$6:$AK$236,MATCH(X237,$A$6:$A$236,0)))</x:f>
      </x:c>
      <x:c r="AE237" s="10" t="n">
        <x:f>IF(Y237="",0,INDEX($AK$6:$AK$236,MATCH(Y237,$A$6:$A$236,0)))</x:f>
        <x:v>0</x:v>
      </x:c>
      <x:c r="AF237" s="10" t="n">
        <x:f>IF(Z237="",0,INDEX($AK$6:$AK$236,MATCH(Z237,$A$6:$A$236,0)))</x:f>
        <x:v>0</x:v>
      </x:c>
      <x:c r="AG237" s="10" t="n">
        <x:f>IF(AA237="",0,INDEX($AK$6:$AK$236,MATCH(AA237,$A$6:$A$236,0)))</x:f>
        <x:v>0</x:v>
      </x:c>
      <x:c r="AH237" s="10" t="n">
        <x:f>IF(AB237="",0,INDEX($AK$6:$AK$236,MATCH(AB237,$A$6:$A$236,0)))</x:f>
        <x:v>0</x:v>
      </x:c>
      <x:c r="AI237" s="10" t="n">
        <x:f>IF(AC237="",0,INDEX($AK$6:$AK$236,MATCH(AC237,$A$6:$A$236,0)))</x:f>
        <x:v>0</x:v>
      </x:c>
      <x:c r="AJ237" s="10" t="str">
        <x:f>IF(AM237="완료",IF(J237="",K237,J237),IF(OR(COUNT('프로젝트설정'!$B$7:$B$8)&lt;2,COUNT(AD237:AI237)&lt;6,COUNT(S237:U237)&lt;3),"",IF(AM237="제외",MAX('프로젝트설정'!$B$7,AD237:AI237),IF(E237="진행",J237,MAX('프로젝트설정'!$B$7:$B$8,L237,AD237:AI237)))))</x:f>
      </x:c>
      <x:c r="AK237" s="10" t="str">
        <x:f>IF(AM237="완료",K237,IF(AJ237="","",IF(E237="진행",MAX('프로젝트설정'!$B$8,AJ237,AD237:AI237)+T237,AJ237+T237)))</x:f>
      </x:c>
      <x:c r="AL237" s="7" t="str">
        <x:f>IF(OR(I237="",AK237=""),"",AK237-I237)</x:f>
      </x:c>
      <x:c r="AM237" s="7" t="str">
        <x:f>IF(OR(D237="제외",E237="제외"),"제외",IF(D237&lt;&gt;"적용","적용성 확인",IF(E237="완료",IF(ISNUMBER(K237),"완료","실제완료 입력"),IF(E237="보류","보류 해제 필요",IF(E237="진행",IF(AND(ISNUMBER(J237),COUNT(P237:R237)=3,P237&gt;=0,P237&lt;=Q237,Q237&lt;=R237),"입력 OK","실제착수·잔여기간 확인"),IF(AND(COUNT(M237:O237)=3,M237&gt;=0,M237&lt;=N237,N237&lt;=O237),"입력 OK","전체기간 확인"))))))</x:f>
        <x:v>입력 OK</x:v>
      </x:c>
      <x:c r="AN237" s="7" t="str">
        <x:v>28</x:v>
      </x:c>
    </x:row>
    <x:row r="238" ht="38" customHeight="1">
      <x:c r="A238" s="7" t="str">
        <x:v>CO04</x:v>
      </x:c>
      <x:c r="B238" s="7" t="str">
        <x:v>28 가스투입·통합시운전</x:v>
      </x:c>
      <x:c r="C238" s="7" t="str">
        <x:v>제품품질 분석·운전조건 조정</x:v>
      </x:c>
      <x:c r="D238" s="7" t="str">
        <x:f>'모듈선택'!B33</x:f>
        <x:v>적용</x:v>
      </x:c>
      <x:c r="E238" s="8" t="str">
        <x:v>계획</x:v>
      </x:c>
      <x:c r="F238" s="8" t="str">
        <x:v>주설비 공급사 / 운영사 / PM / 오너 검토</x:v>
      </x:c>
      <x:c r="G238" s="8" t="str">
        <x:v>품질분석성적서, 개선기록</x:v>
      </x:c>
      <x:c r="H238" s="9"/>
      <x:c r="I238" s="9"/>
      <x:c r="J238" s="9"/>
      <x:c r="K238" s="9"/>
      <x:c r="L238" s="9"/>
      <x:c r="M238" s="8" t="n">
        <x:v>5</x:v>
      </x:c>
      <x:c r="N238" s="8" t="n">
        <x:v>7</x:v>
      </x:c>
      <x:c r="O238" s="8" t="n">
        <x:v>12</x:v>
      </x:c>
      <x:c r="P238" s="8"/>
      <x:c r="Q238" s="8"/>
      <x:c r="R238" s="8"/>
      <x:c r="S238" s="7" t="n">
        <x:f>IF(OR(AM238="제외",AM238="완료"),0,IF(AM238&lt;&gt;"입력 OK","",IF(E238="진행",P238,M238)))</x:f>
        <x:v>5</x:v>
      </x:c>
      <x:c r="T238" s="7" t="n">
        <x:f>IF(OR(AM238="제외",AM238="완료"),0,IF(AM238&lt;&gt;"입력 OK","",IF(E238="진행",Q238,N238)))</x:f>
        <x:v>7</x:v>
      </x:c>
      <x:c r="U238" s="7" t="n">
        <x:f>IF(OR(AM238="제외",AM238="완료"),0,IF(AM238&lt;&gt;"입력 OK","",IF(E238="진행",R238,O238)))</x:f>
        <x:v>12</x:v>
      </x:c>
      <x:c r="V238" s="11" t="n">
        <x:f>IF(COUNT(S238:U238)&lt;3,"",(S238+4*T238+U238)/6)</x:f>
        <x:v>7.5</x:v>
      </x:c>
      <x:c r="W238" s="11" t="n">
        <x:f>IF(COUNT(S238:U238)&lt;3,"",((U238-S238)/6)^2)</x:f>
        <x:v>1.3611111111111114</x:v>
      </x:c>
      <x:c r="X238" s="8" t="str">
        <x:v>CO03</x:v>
      </x:c>
      <x:c r="Y238" s="8" t="str"/>
      <x:c r="Z238" s="8" t="str"/>
      <x:c r="AA238" s="8" t="str"/>
      <x:c r="AB238" s="8" t="str"/>
      <x:c r="AC238" s="8" t="str"/>
      <x:c r="AD238" s="10" t="str">
        <x:f>IF(X238="",0,INDEX($AK$6:$AK$237,MATCH(X238,$A$6:$A$237,0)))</x:f>
      </x:c>
      <x:c r="AE238" s="10" t="n">
        <x:f>IF(Y238="",0,INDEX($AK$6:$AK$237,MATCH(Y238,$A$6:$A$237,0)))</x:f>
        <x:v>0</x:v>
      </x:c>
      <x:c r="AF238" s="10" t="n">
        <x:f>IF(Z238="",0,INDEX($AK$6:$AK$237,MATCH(Z238,$A$6:$A$237,0)))</x:f>
        <x:v>0</x:v>
      </x:c>
      <x:c r="AG238" s="10" t="n">
        <x:f>IF(AA238="",0,INDEX($AK$6:$AK$237,MATCH(AA238,$A$6:$A$237,0)))</x:f>
        <x:v>0</x:v>
      </x:c>
      <x:c r="AH238" s="10" t="n">
        <x:f>IF(AB238="",0,INDEX($AK$6:$AK$237,MATCH(AB238,$A$6:$A$237,0)))</x:f>
        <x:v>0</x:v>
      </x:c>
      <x:c r="AI238" s="10" t="n">
        <x:f>IF(AC238="",0,INDEX($AK$6:$AK$237,MATCH(AC238,$A$6:$A$237,0)))</x:f>
        <x:v>0</x:v>
      </x:c>
      <x:c r="AJ238" s="10" t="str">
        <x:f>IF(AM238="완료",IF(J238="",K238,J238),IF(OR(COUNT('프로젝트설정'!$B$7:$B$8)&lt;2,COUNT(AD238:AI238)&lt;6,COUNT(S238:U238)&lt;3),"",IF(AM238="제외",MAX('프로젝트설정'!$B$7,AD238:AI238),IF(E238="진행",J238,MAX('프로젝트설정'!$B$7:$B$8,L238,AD238:AI238)))))</x:f>
      </x:c>
      <x:c r="AK238" s="10" t="str">
        <x:f>IF(AM238="완료",K238,IF(AJ238="","",IF(E238="진행",MAX('프로젝트설정'!$B$8,AJ238,AD238:AI238)+T238,AJ238+T238)))</x:f>
      </x:c>
      <x:c r="AL238" s="7" t="str">
        <x:f>IF(OR(I238="",AK238=""),"",AK238-I238)</x:f>
      </x:c>
      <x:c r="AM238" s="7" t="str">
        <x:f>IF(OR(D238="제외",E238="제외"),"제외",IF(D238&lt;&gt;"적용","적용성 확인",IF(E238="완료",IF(ISNUMBER(K238),"완료","실제완료 입력"),IF(E238="보류","보류 해제 필요",IF(E238="진행",IF(AND(ISNUMBER(J238),COUNT(P238:R238)=3,P238&gt;=0,P238&lt;=Q238,Q238&lt;=R238),"입력 OK","실제착수·잔여기간 확인"),IF(AND(COUNT(M238:O238)=3,M238&gt;=0,M238&lt;=N238,N238&lt;=O238),"입력 OK","전체기간 확인"))))))</x:f>
        <x:v>입력 OK</x:v>
      </x:c>
      <x:c r="AN238" s="7" t="str">
        <x:v>28</x:v>
      </x:c>
    </x:row>
    <x:row r="239" ht="38" customHeight="1">
      <x:c r="A239" s="7" t="str">
        <x:v>CO05</x:v>
      </x:c>
      <x:c r="B239" s="7" t="str">
        <x:v>28 가스투입·통합시운전</x:v>
      </x:c>
      <x:c r="C239" s="7" t="str">
        <x:v>성능·연속운전·보증조건 시험</x:v>
      </x:c>
      <x:c r="D239" s="7" t="str">
        <x:f>'모듈선택'!B33</x:f>
        <x:v>적용</x:v>
      </x:c>
      <x:c r="E239" s="8" t="str">
        <x:v>계획</x:v>
      </x:c>
      <x:c r="F239" s="8" t="str">
        <x:v>주설비 공급사 / 운영사 / PM / 오너 검토</x:v>
      </x:c>
      <x:c r="G239" s="8" t="str">
        <x:v>Performance test, acceptance criteria</x:v>
      </x:c>
      <x:c r="H239" s="9"/>
      <x:c r="I239" s="9"/>
      <x:c r="J239" s="9"/>
      <x:c r="K239" s="9"/>
      <x:c r="L239" s="9"/>
      <x:c r="M239" s="8" t="n">
        <x:v>9</x:v>
      </x:c>
      <x:c r="N239" s="8" t="n">
        <x:v>14</x:v>
      </x:c>
      <x:c r="O239" s="8" t="n">
        <x:v>24</x:v>
      </x:c>
      <x:c r="P239" s="8"/>
      <x:c r="Q239" s="8"/>
      <x:c r="R239" s="8"/>
      <x:c r="S239" s="7" t="n">
        <x:f>IF(OR(AM239="제외",AM239="완료"),0,IF(AM239&lt;&gt;"입력 OK","",IF(E239="진행",P239,M239)))</x:f>
        <x:v>9</x:v>
      </x:c>
      <x:c r="T239" s="7" t="n">
        <x:f>IF(OR(AM239="제외",AM239="완료"),0,IF(AM239&lt;&gt;"입력 OK","",IF(E239="진행",Q239,N239)))</x:f>
        <x:v>14</x:v>
      </x:c>
      <x:c r="U239" s="7" t="n">
        <x:f>IF(OR(AM239="제외",AM239="완료"),0,IF(AM239&lt;&gt;"입력 OK","",IF(E239="진행",R239,O239)))</x:f>
        <x:v>24</x:v>
      </x:c>
      <x:c r="V239" s="11" t="n">
        <x:f>IF(COUNT(S239:U239)&lt;3,"",(S239+4*T239+U239)/6)</x:f>
        <x:v>14.833333333333334</x:v>
      </x:c>
      <x:c r="W239" s="11" t="n">
        <x:f>IF(COUNT(S239:U239)&lt;3,"",((U239-S239)/6)^2)</x:f>
        <x:v>6.25</x:v>
      </x:c>
      <x:c r="X239" s="8" t="str">
        <x:v>CO04</x:v>
      </x:c>
      <x:c r="Y239" s="8" t="str"/>
      <x:c r="Z239" s="8" t="str"/>
      <x:c r="AA239" s="8" t="str"/>
      <x:c r="AB239" s="8" t="str"/>
      <x:c r="AC239" s="8" t="str"/>
      <x:c r="AD239" s="10" t="str">
        <x:f>IF(X239="",0,INDEX($AK$6:$AK$238,MATCH(X239,$A$6:$A$238,0)))</x:f>
      </x:c>
      <x:c r="AE239" s="10" t="n">
        <x:f>IF(Y239="",0,INDEX($AK$6:$AK$238,MATCH(Y239,$A$6:$A$238,0)))</x:f>
        <x:v>0</x:v>
      </x:c>
      <x:c r="AF239" s="10" t="n">
        <x:f>IF(Z239="",0,INDEX($AK$6:$AK$238,MATCH(Z239,$A$6:$A$238,0)))</x:f>
        <x:v>0</x:v>
      </x:c>
      <x:c r="AG239" s="10" t="n">
        <x:f>IF(AA239="",0,INDEX($AK$6:$AK$238,MATCH(AA239,$A$6:$A$238,0)))</x:f>
        <x:v>0</x:v>
      </x:c>
      <x:c r="AH239" s="10" t="n">
        <x:f>IF(AB239="",0,INDEX($AK$6:$AK$238,MATCH(AB239,$A$6:$A$238,0)))</x:f>
        <x:v>0</x:v>
      </x:c>
      <x:c r="AI239" s="10" t="n">
        <x:f>IF(AC239="",0,INDEX($AK$6:$AK$238,MATCH(AC239,$A$6:$A$238,0)))</x:f>
        <x:v>0</x:v>
      </x:c>
      <x:c r="AJ239" s="10" t="str">
        <x:f>IF(AM239="완료",IF(J239="",K239,J239),IF(OR(COUNT('프로젝트설정'!$B$7:$B$8)&lt;2,COUNT(AD239:AI239)&lt;6,COUNT(S239:U239)&lt;3),"",IF(AM239="제외",MAX('프로젝트설정'!$B$7,AD239:AI239),IF(E239="진행",J239,MAX('프로젝트설정'!$B$7:$B$8,L239,AD239:AI239)))))</x:f>
      </x:c>
      <x:c r="AK239" s="10" t="str">
        <x:f>IF(AM239="완료",K239,IF(AJ239="","",IF(E239="진행",MAX('프로젝트설정'!$B$8,AJ239,AD239:AI239)+T239,AJ239+T239)))</x:f>
      </x:c>
      <x:c r="AL239" s="7" t="str">
        <x:f>IF(OR(I239="",AK239=""),"",AK239-I239)</x:f>
      </x:c>
      <x:c r="AM239" s="7" t="str">
        <x:f>IF(OR(D239="제외",E239="제외"),"제외",IF(D239&lt;&gt;"적용","적용성 확인",IF(E239="완료",IF(ISNUMBER(K239),"완료","실제완료 입력"),IF(E239="보류","보류 해제 필요",IF(E239="진행",IF(AND(ISNUMBER(J239),COUNT(P239:R239)=3,P239&gt;=0,P239&lt;=Q239,Q239&lt;=R239),"입력 OK","실제착수·잔여기간 확인"),IF(AND(COUNT(M239:O239)=3,M239&gt;=0,M239&lt;=N239,N239&lt;=O239),"입력 OK","전체기간 확인"))))))</x:f>
        <x:v>입력 OK</x:v>
      </x:c>
      <x:c r="AN239" s="7" t="str">
        <x:v>28</x:v>
      </x:c>
    </x:row>
    <x:row r="240" ht="38" customHeight="1">
      <x:c r="A240" s="7" t="str">
        <x:v>CO06</x:v>
      </x:c>
      <x:c r="B240" s="7" t="str">
        <x:v>28 가스투입·통합시운전</x:v>
      </x:c>
      <x:c r="C240" s="7" t="str">
        <x:v>유해위험방지계획 현장확인 및 보완 종료</x:v>
      </x:c>
      <x:c r="D240" s="7" t="str">
        <x:f>'모듈선택'!B33</x:f>
        <x:v>적용</x:v>
      </x:c>
      <x:c r="E240" s="8" t="str">
        <x:v>계획</x:v>
      </x:c>
      <x:c r="F240" s="8" t="str">
        <x:v>주설비 공급사 / 운영사 / PM / 오너 검토</x:v>
      </x:c>
      <x:c r="G240" s="8" t="str">
        <x:v>현장확인 결과; 신청은 사전 준비</x:v>
      </x:c>
      <x:c r="H240" s="9"/>
      <x:c r="I240" s="9"/>
      <x:c r="J240" s="9"/>
      <x:c r="K240" s="9"/>
      <x:c r="L240" s="9"/>
      <x:c r="M240" s="8" t="n">
        <x:v>5</x:v>
      </x:c>
      <x:c r="N240" s="8" t="n">
        <x:v>7</x:v>
      </x:c>
      <x:c r="O240" s="8" t="n">
        <x:v>12</x:v>
      </x:c>
      <x:c r="P240" s="8"/>
      <x:c r="Q240" s="8"/>
      <x:c r="R240" s="8"/>
      <x:c r="S240" s="7" t="n">
        <x:f>IF(OR(AM240="제외",AM240="완료"),0,IF(AM240&lt;&gt;"입력 OK","",IF(E240="진행",P240,M240)))</x:f>
        <x:v>5</x:v>
      </x:c>
      <x:c r="T240" s="7" t="n">
        <x:f>IF(OR(AM240="제외",AM240="완료"),0,IF(AM240&lt;&gt;"입력 OK","",IF(E240="진행",Q240,N240)))</x:f>
        <x:v>7</x:v>
      </x:c>
      <x:c r="U240" s="7" t="n">
        <x:f>IF(OR(AM240="제외",AM240="완료"),0,IF(AM240&lt;&gt;"입력 OK","",IF(E240="진행",R240,O240)))</x:f>
        <x:v>12</x:v>
      </x:c>
      <x:c r="V240" s="11" t="n">
        <x:f>IF(COUNT(S240:U240)&lt;3,"",(S240+4*T240+U240)/6)</x:f>
        <x:v>7.5</x:v>
      </x:c>
      <x:c r="W240" s="11" t="n">
        <x:f>IF(COUNT(S240:U240)&lt;3,"",((U240-S240)/6)^2)</x:f>
        <x:v>1.3611111111111114</x:v>
      </x:c>
      <x:c r="X240" s="8" t="str">
        <x:v>CO05</x:v>
      </x:c>
      <x:c r="Y240" s="8" t="str"/>
      <x:c r="Z240" s="8" t="str"/>
      <x:c r="AA240" s="8" t="str"/>
      <x:c r="AB240" s="8" t="str"/>
      <x:c r="AC240" s="8" t="str"/>
      <x:c r="AD240" s="10" t="str">
        <x:f>IF(X240="",0,INDEX($AK$6:$AK$239,MATCH(X240,$A$6:$A$239,0)))</x:f>
      </x:c>
      <x:c r="AE240" s="10" t="n">
        <x:f>IF(Y240="",0,INDEX($AK$6:$AK$239,MATCH(Y240,$A$6:$A$239,0)))</x:f>
        <x:v>0</x:v>
      </x:c>
      <x:c r="AF240" s="10" t="n">
        <x:f>IF(Z240="",0,INDEX($AK$6:$AK$239,MATCH(Z240,$A$6:$A$239,0)))</x:f>
        <x:v>0</x:v>
      </x:c>
      <x:c r="AG240" s="10" t="n">
        <x:f>IF(AA240="",0,INDEX($AK$6:$AK$239,MATCH(AA240,$A$6:$A$239,0)))</x:f>
        <x:v>0</x:v>
      </x:c>
      <x:c r="AH240" s="10" t="n">
        <x:f>IF(AB240="",0,INDEX($AK$6:$AK$239,MATCH(AB240,$A$6:$A$239,0)))</x:f>
        <x:v>0</x:v>
      </x:c>
      <x:c r="AI240" s="10" t="n">
        <x:f>IF(AC240="",0,INDEX($AK$6:$AK$239,MATCH(AC240,$A$6:$A$239,0)))</x:f>
        <x:v>0</x:v>
      </x:c>
      <x:c r="AJ240" s="10" t="str">
        <x:f>IF(AM240="완료",IF(J240="",K240,J240),IF(OR(COUNT('프로젝트설정'!$B$7:$B$8)&lt;2,COUNT(AD240:AI240)&lt;6,COUNT(S240:U240)&lt;3),"",IF(AM240="제외",MAX('프로젝트설정'!$B$7,AD240:AI240),IF(E240="진행",J240,MAX('프로젝트설정'!$B$7:$B$8,L240,AD240:AI240)))))</x:f>
      </x:c>
      <x:c r="AK240" s="10" t="str">
        <x:f>IF(AM240="완료",K240,IF(AJ240="","",IF(E240="진행",MAX('프로젝트설정'!$B$8,AJ240,AD240:AI240)+T240,AJ240+T240)))</x:f>
      </x:c>
      <x:c r="AL240" s="7" t="str">
        <x:f>IF(OR(I240="",AK240=""),"",AK240-I240)</x:f>
      </x:c>
      <x:c r="AM240" s="7" t="str">
        <x:f>IF(OR(D240="제외",E240="제외"),"제외",IF(D240&lt;&gt;"적용","적용성 확인",IF(E240="완료",IF(ISNUMBER(K240),"완료","실제완료 입력"),IF(E240="보류","보류 해제 필요",IF(E240="진행",IF(AND(ISNUMBER(J240),COUNT(P240:R240)=3,P240&gt;=0,P240&lt;=Q240,Q240&lt;=R240),"입력 OK","실제착수·잔여기간 확인"),IF(AND(COUNT(M240:O240)=3,M240&gt;=0,M240&lt;=N240,N240&lt;=O240),"입력 OK","전체기간 확인"))))))</x:f>
        <x:v>입력 OK</x:v>
      </x:c>
      <x:c r="AN240" s="7" t="str">
        <x:v>28</x:v>
      </x:c>
    </x:row>
    <x:row r="241" ht="38" customHeight="1">
      <x:c r="A241" s="7" t="str">
        <x:v>CO07</x:v>
      </x:c>
      <x:c r="B241" s="7" t="str">
        <x:v>28 가스투입·통합시운전</x:v>
      </x:c>
      <x:c r="C241" s="7" t="str">
        <x:v>운전원 교육·비상훈련·인수시험 종료</x:v>
      </x:c>
      <x:c r="D241" s="7" t="str">
        <x:f>'모듈선택'!B33</x:f>
        <x:v>적용</x:v>
      </x:c>
      <x:c r="E241" s="8" t="str">
        <x:v>계획</x:v>
      </x:c>
      <x:c r="F241" s="8" t="str">
        <x:v>주설비 공급사 / 운영사 / PM / 오너 검토</x:v>
      </x:c>
      <x:c r="G241" s="8" t="str">
        <x:v>교육이수, 훈련기록, SAT 종료</x:v>
      </x:c>
      <x:c r="H241" s="9"/>
      <x:c r="I241" s="9"/>
      <x:c r="J241" s="9"/>
      <x:c r="K241" s="9"/>
      <x:c r="L241" s="9"/>
      <x:c r="M241" s="8" t="n">
        <x:v>3</x:v>
      </x:c>
      <x:c r="N241" s="8" t="n">
        <x:v>5</x:v>
      </x:c>
      <x:c r="O241" s="8" t="n">
        <x:v>9</x:v>
      </x:c>
      <x:c r="P241" s="8"/>
      <x:c r="Q241" s="8"/>
      <x:c r="R241" s="8"/>
      <x:c r="S241" s="7" t="n">
        <x:f>IF(OR(AM241="제외",AM241="완료"),0,IF(AM241&lt;&gt;"입력 OK","",IF(E241="진행",P241,M241)))</x:f>
        <x:v>3</x:v>
      </x:c>
      <x:c r="T241" s="7" t="n">
        <x:f>IF(OR(AM241="제외",AM241="완료"),0,IF(AM241&lt;&gt;"입력 OK","",IF(E241="진행",Q241,N241)))</x:f>
        <x:v>5</x:v>
      </x:c>
      <x:c r="U241" s="7" t="n">
        <x:f>IF(OR(AM241="제외",AM241="완료"),0,IF(AM241&lt;&gt;"입력 OK","",IF(E241="진행",R241,O241)))</x:f>
        <x:v>9</x:v>
      </x:c>
      <x:c r="V241" s="11" t="n">
        <x:f>IF(COUNT(S241:U241)&lt;3,"",(S241+4*T241+U241)/6)</x:f>
        <x:v>5.333333333333333</x:v>
      </x:c>
      <x:c r="W241" s="11" t="n">
        <x:f>IF(COUNT(S241:U241)&lt;3,"",((U241-S241)/6)^2)</x:f>
        <x:v>1</x:v>
      </x:c>
      <x:c r="X241" s="8" t="str">
        <x:v>CO06</x:v>
      </x:c>
      <x:c r="Y241" s="8" t="str"/>
      <x:c r="Z241" s="8" t="str"/>
      <x:c r="AA241" s="8" t="str"/>
      <x:c r="AB241" s="8" t="str"/>
      <x:c r="AC241" s="8" t="str"/>
      <x:c r="AD241" s="10" t="str">
        <x:f>IF(X241="",0,INDEX($AK$6:$AK$240,MATCH(X241,$A$6:$A$240,0)))</x:f>
      </x:c>
      <x:c r="AE241" s="10" t="n">
        <x:f>IF(Y241="",0,INDEX($AK$6:$AK$240,MATCH(Y241,$A$6:$A$240,0)))</x:f>
        <x:v>0</x:v>
      </x:c>
      <x:c r="AF241" s="10" t="n">
        <x:f>IF(Z241="",0,INDEX($AK$6:$AK$240,MATCH(Z241,$A$6:$A$240,0)))</x:f>
        <x:v>0</x:v>
      </x:c>
      <x:c r="AG241" s="10" t="n">
        <x:f>IF(AA241="",0,INDEX($AK$6:$AK$240,MATCH(AA241,$A$6:$A$240,0)))</x:f>
        <x:v>0</x:v>
      </x:c>
      <x:c r="AH241" s="10" t="n">
        <x:f>IF(AB241="",0,INDEX($AK$6:$AK$240,MATCH(AB241,$A$6:$A$240,0)))</x:f>
        <x:v>0</x:v>
      </x:c>
      <x:c r="AI241" s="10" t="n">
        <x:f>IF(AC241="",0,INDEX($AK$6:$AK$240,MATCH(AC241,$A$6:$A$240,0)))</x:f>
        <x:v>0</x:v>
      </x:c>
      <x:c r="AJ241" s="10" t="str">
        <x:f>IF(AM241="완료",IF(J241="",K241,J241),IF(OR(COUNT('프로젝트설정'!$B$7:$B$8)&lt;2,COUNT(AD241:AI241)&lt;6,COUNT(S241:U241)&lt;3),"",IF(AM241="제외",MAX('프로젝트설정'!$B$7,AD241:AI241),IF(E241="진행",J241,MAX('프로젝트설정'!$B$7:$B$8,L241,AD241:AI241)))))</x:f>
      </x:c>
      <x:c r="AK241" s="10" t="str">
        <x:f>IF(AM241="완료",K241,IF(AJ241="","",IF(E241="진행",MAX('프로젝트설정'!$B$8,AJ241,AD241:AI241)+T241,AJ241+T241)))</x:f>
      </x:c>
      <x:c r="AL241" s="7" t="str">
        <x:f>IF(OR(I241="",AK241=""),"",AK241-I241)</x:f>
      </x:c>
      <x:c r="AM241" s="7" t="str">
        <x:f>IF(OR(D241="제외",E241="제외"),"제외",IF(D241&lt;&gt;"적용","적용성 확인",IF(E241="완료",IF(ISNUMBER(K241),"완료","실제완료 입력"),IF(E241="보류","보류 해제 필요",IF(E241="진행",IF(AND(ISNUMBER(J241),COUNT(P241:R241)=3,P241&gt;=0,P241&lt;=Q241,Q241&lt;=R241),"입력 OK","실제착수·잔여기간 확인"),IF(AND(COUNT(M241:O241)=3,M241&gt;=0,M241&lt;=N241,N241&lt;=O241),"입력 OK","전체기간 확인"))))))</x:f>
        <x:v>입력 OK</x:v>
      </x:c>
      <x:c r="AN241" s="7" t="str">
        <x:v>28</x:v>
      </x:c>
    </x:row>
    <x:row r="242" ht="34" customHeight="1">
      <x:c r="A242" s="7" t="str">
        <x:v>HO01</x:v>
      </x:c>
      <x:c r="B242" s="7" t="str">
        <x:v>29 인수·운영·정산</x:v>
      </x:c>
      <x:c r="C242" s="7" t="str">
        <x:v>사업개시 신고 및 운영 전 서류 완결</x:v>
      </x:c>
      <x:c r="D242" s="7" t="str">
        <x:f>'모듈선택'!B34</x:f>
        <x:v>적용</x:v>
      </x:c>
      <x:c r="E242" s="8" t="str">
        <x:v>계획</x:v>
      </x:c>
      <x:c r="F242" s="8" t="str">
        <x:v>사업주 / 운영사 / PM / 오너 검토</x:v>
      </x:c>
      <x:c r="G242" s="8" t="str">
        <x:v>개시신고, 보험, 선임, 완성검사, 규정</x:v>
      </x:c>
      <x:c r="H242" s="9"/>
      <x:c r="I242" s="9"/>
      <x:c r="J242" s="9"/>
      <x:c r="K242" s="9"/>
      <x:c r="L242" s="9"/>
      <x:c r="M242" s="8" t="n">
        <x:v>2</x:v>
      </x:c>
      <x:c r="N242" s="8" t="n">
        <x:v>3</x:v>
      </x:c>
      <x:c r="O242" s="8" t="n">
        <x:v>6</x:v>
      </x:c>
      <x:c r="P242" s="8"/>
      <x:c r="Q242" s="8"/>
      <x:c r="R242" s="8"/>
      <x:c r="S242" s="7" t="n">
        <x:f>IF(OR(AM242="제외",AM242="완료"),0,IF(AM242&lt;&gt;"입력 OK","",IF(E242="진행",P242,M242)))</x:f>
        <x:v>2</x:v>
      </x:c>
      <x:c r="T242" s="7" t="n">
        <x:f>IF(OR(AM242="제외",AM242="완료"),0,IF(AM242&lt;&gt;"입력 OK","",IF(E242="진행",Q242,N242)))</x:f>
        <x:v>3</x:v>
      </x:c>
      <x:c r="U242" s="7" t="n">
        <x:f>IF(OR(AM242="제외",AM242="완료"),0,IF(AM242&lt;&gt;"입력 OK","",IF(E242="진행",R242,O242)))</x:f>
        <x:v>6</x:v>
      </x:c>
      <x:c r="V242" s="11" t="n">
        <x:f>IF(COUNT(S242:U242)&lt;3,"",(S242+4*T242+U242)/6)</x:f>
        <x:v>3.3333333333333335</x:v>
      </x:c>
      <x:c r="W242" s="11" t="n">
        <x:f>IF(COUNT(S242:U242)&lt;3,"",((U242-S242)/6)^2)</x:f>
        <x:v>0.4444444444444444</x:v>
      </x:c>
      <x:c r="X242" s="8" t="str">
        <x:v>CO07</x:v>
      </x:c>
      <x:c r="Y242" s="8" t="str">
        <x:v>BU03</x:v>
      </x:c>
      <x:c r="Z242" s="8" t="str"/>
      <x:c r="AA242" s="8" t="str"/>
      <x:c r="AB242" s="8" t="str"/>
      <x:c r="AC242" s="8" t="str"/>
      <x:c r="AD242" s="10" t="str">
        <x:f>IF(X242="",0,INDEX($AK$6:$AK$241,MATCH(X242,$A$6:$A$241,0)))</x:f>
      </x:c>
      <x:c r="AE242" s="10" t="str">
        <x:f>IF(Y242="",0,INDEX($AK$6:$AK$241,MATCH(Y242,$A$6:$A$241,0)))</x:f>
      </x:c>
      <x:c r="AF242" s="10" t="n">
        <x:f>IF(Z242="",0,INDEX($AK$6:$AK$241,MATCH(Z242,$A$6:$A$241,0)))</x:f>
        <x:v>0</x:v>
      </x:c>
      <x:c r="AG242" s="10" t="n">
        <x:f>IF(AA242="",0,INDEX($AK$6:$AK$241,MATCH(AA242,$A$6:$A$241,0)))</x:f>
        <x:v>0</x:v>
      </x:c>
      <x:c r="AH242" s="10" t="n">
        <x:f>IF(AB242="",0,INDEX($AK$6:$AK$241,MATCH(AB242,$A$6:$A$241,0)))</x:f>
        <x:v>0</x:v>
      </x:c>
      <x:c r="AI242" s="10" t="n">
        <x:f>IF(AC242="",0,INDEX($AK$6:$AK$241,MATCH(AC242,$A$6:$A$241,0)))</x:f>
        <x:v>0</x:v>
      </x:c>
      <x:c r="AJ242" s="10" t="str">
        <x:f>IF(AM242="완료",IF(J242="",K242,J242),IF(OR(COUNT('프로젝트설정'!$B$7:$B$8)&lt;2,COUNT(AD242:AI242)&lt;6,COUNT(S242:U242)&lt;3),"",IF(AM242="제외",MAX('프로젝트설정'!$B$7,AD242:AI242),IF(E242="진행",J242,MAX('프로젝트설정'!$B$7:$B$8,L242,AD242:AI242)))))</x:f>
      </x:c>
      <x:c r="AK242" s="10" t="str">
        <x:f>IF(AM242="완료",K242,IF(AJ242="","",IF(E242="진행",MAX('프로젝트설정'!$B$8,AJ242,AD242:AI242)+T242,AJ242+T242)))</x:f>
      </x:c>
      <x:c r="AL242" s="7" t="str">
        <x:f>IF(OR(I242="",AK242=""),"",AK242-I242)</x:f>
      </x:c>
      <x:c r="AM242" s="7" t="str">
        <x:f>IF(OR(D242="제외",E242="제외"),"제외",IF(D242&lt;&gt;"적용","적용성 확인",IF(E242="완료",IF(ISNUMBER(K242),"완료","실제완료 입력"),IF(E242="보류","보류 해제 필요",IF(E242="진행",IF(AND(ISNUMBER(J242),COUNT(P242:R242)=3,P242&gt;=0,P242&lt;=Q242,Q242&lt;=R242),"입력 OK","실제착수·잔여기간 확인"),IF(AND(COUNT(M242:O242)=3,M242&gt;=0,M242&lt;=N242,N242&lt;=O242),"입력 OK","전체기간 확인"))))))</x:f>
        <x:v>입력 OK</x:v>
      </x:c>
      <x:c r="AN242" s="7" t="str">
        <x:v>29</x:v>
      </x:c>
    </x:row>
    <x:row r="243" ht="34" customHeight="1">
      <x:c r="A243" s="7" t="str">
        <x:v>HO02</x:v>
      </x:c>
      <x:c r="B243" s="7" t="str">
        <x:v>29 인수·운영·정산</x:v>
      </x:c>
      <x:c r="C243" s="7" t="str">
        <x:v>준공도서·예비품·보증·자산 인계</x:v>
      </x:c>
      <x:c r="D243" s="7" t="str">
        <x:f>'모듈선택'!B34</x:f>
        <x:v>적용</x:v>
      </x:c>
      <x:c r="E243" s="8" t="str">
        <x:v>계획</x:v>
      </x:c>
      <x:c r="F243" s="8" t="str">
        <x:v>사업주 / 운영사 / PM / 오너 검토</x:v>
      </x:c>
      <x:c r="G243" s="8" t="str">
        <x:v>As-built, O&amp;M, spare parts, 자산대장</x:v>
      </x:c>
      <x:c r="H243" s="9"/>
      <x:c r="I243" s="9"/>
      <x:c r="J243" s="9"/>
      <x:c r="K243" s="9"/>
      <x:c r="L243" s="9"/>
      <x:c r="M243" s="8" t="n">
        <x:v>5</x:v>
      </x:c>
      <x:c r="N243" s="8" t="n">
        <x:v>7</x:v>
      </x:c>
      <x:c r="O243" s="8" t="n">
        <x:v>12</x:v>
      </x:c>
      <x:c r="P243" s="8"/>
      <x:c r="Q243" s="8"/>
      <x:c r="R243" s="8"/>
      <x:c r="S243" s="7" t="n">
        <x:f>IF(OR(AM243="제외",AM243="완료"),0,IF(AM243&lt;&gt;"입력 OK","",IF(E243="진행",P243,M243)))</x:f>
        <x:v>5</x:v>
      </x:c>
      <x:c r="T243" s="7" t="n">
        <x:f>IF(OR(AM243="제외",AM243="완료"),0,IF(AM243&lt;&gt;"입력 OK","",IF(E243="진행",Q243,N243)))</x:f>
        <x:v>7</x:v>
      </x:c>
      <x:c r="U243" s="7" t="n">
        <x:f>IF(OR(AM243="제외",AM243="완료"),0,IF(AM243&lt;&gt;"입력 OK","",IF(E243="진행",R243,O243)))</x:f>
        <x:v>12</x:v>
      </x:c>
      <x:c r="V243" s="11" t="n">
        <x:f>IF(COUNT(S243:U243)&lt;3,"",(S243+4*T243+U243)/6)</x:f>
        <x:v>7.5</x:v>
      </x:c>
      <x:c r="W243" s="11" t="n">
        <x:f>IF(COUNT(S243:U243)&lt;3,"",((U243-S243)/6)^2)</x:f>
        <x:v>1.3611111111111114</x:v>
      </x:c>
      <x:c r="X243" s="8" t="str">
        <x:v>HO01</x:v>
      </x:c>
      <x:c r="Y243" s="8" t="str"/>
      <x:c r="Z243" s="8" t="str"/>
      <x:c r="AA243" s="8" t="str"/>
      <x:c r="AB243" s="8" t="str"/>
      <x:c r="AC243" s="8" t="str"/>
      <x:c r="AD243" s="10" t="str">
        <x:f>IF(X243="",0,INDEX($AK$6:$AK$242,MATCH(X243,$A$6:$A$242,0)))</x:f>
      </x:c>
      <x:c r="AE243" s="10" t="n">
        <x:f>IF(Y243="",0,INDEX($AK$6:$AK$242,MATCH(Y243,$A$6:$A$242,0)))</x:f>
        <x:v>0</x:v>
      </x:c>
      <x:c r="AF243" s="10" t="n">
        <x:f>IF(Z243="",0,INDEX($AK$6:$AK$242,MATCH(Z243,$A$6:$A$242,0)))</x:f>
        <x:v>0</x:v>
      </x:c>
      <x:c r="AG243" s="10" t="n">
        <x:f>IF(AA243="",0,INDEX($AK$6:$AK$242,MATCH(AA243,$A$6:$A$242,0)))</x:f>
        <x:v>0</x:v>
      </x:c>
      <x:c r="AH243" s="10" t="n">
        <x:f>IF(AB243="",0,INDEX($AK$6:$AK$242,MATCH(AB243,$A$6:$A$242,0)))</x:f>
        <x:v>0</x:v>
      </x:c>
      <x:c r="AI243" s="10" t="n">
        <x:f>IF(AC243="",0,INDEX($AK$6:$AK$242,MATCH(AC243,$A$6:$A$242,0)))</x:f>
        <x:v>0</x:v>
      </x:c>
      <x:c r="AJ243" s="10" t="str">
        <x:f>IF(AM243="완료",IF(J243="",K243,J243),IF(OR(COUNT('프로젝트설정'!$B$7:$B$8)&lt;2,COUNT(AD243:AI243)&lt;6,COUNT(S243:U243)&lt;3),"",IF(AM243="제외",MAX('프로젝트설정'!$B$7,AD243:AI243),IF(E243="진행",J243,MAX('프로젝트설정'!$B$7:$B$8,L243,AD243:AI243)))))</x:f>
      </x:c>
      <x:c r="AK243" s="10" t="str">
        <x:f>IF(AM243="완료",K243,IF(AJ243="","",IF(E243="진행",MAX('프로젝트설정'!$B$8,AJ243,AD243:AI243)+T243,AJ243+T243)))</x:f>
      </x:c>
      <x:c r="AL243" s="7" t="str">
        <x:f>IF(OR(I243="",AK243=""),"",AK243-I243)</x:f>
      </x:c>
      <x:c r="AM243" s="7" t="str">
        <x:f>IF(OR(D243="제외",E243="제외"),"제외",IF(D243&lt;&gt;"적용","적용성 확인",IF(E243="완료",IF(ISNUMBER(K243),"완료","실제완료 입력"),IF(E243="보류","보류 해제 필요",IF(E243="진행",IF(AND(ISNUMBER(J243),COUNT(P243:R243)=3,P243&gt;=0,P243&lt;=Q243,Q243&lt;=R243),"입력 OK","실제착수·잔여기간 확인"),IF(AND(COUNT(M243:O243)=3,M243&gt;=0,M243&lt;=N243,N243&lt;=O243),"입력 OK","전체기간 확인"))))))</x:f>
        <x:v>입력 OK</x:v>
      </x:c>
      <x:c r="AN243" s="7" t="str">
        <x:v>29</x:v>
      </x:c>
    </x:row>
    <x:row r="244" ht="34" customHeight="1">
      <x:c r="A244" s="7" t="str">
        <x:v>HO03</x:v>
      </x:c>
      <x:c r="B244" s="7" t="str">
        <x:v>29 인수·운영·정산</x:v>
      </x:c>
      <x:c r="C244" s="7" t="str">
        <x:v>잔여 Punch·계약성능·하자보증 확인</x:v>
      </x:c>
      <x:c r="D244" s="7" t="str">
        <x:f>'모듈선택'!B34</x:f>
        <x:v>적용</x:v>
      </x:c>
      <x:c r="E244" s="8" t="str">
        <x:v>계획</x:v>
      </x:c>
      <x:c r="F244" s="8" t="str">
        <x:v>사업주 / 운영사 / PM / 오너 검토</x:v>
      </x:c>
      <x:c r="G244" s="8" t="str">
        <x:v>최종 punch, 인수확인서</x:v>
      </x:c>
      <x:c r="H244" s="9"/>
      <x:c r="I244" s="9"/>
      <x:c r="J244" s="9"/>
      <x:c r="K244" s="9"/>
      <x:c r="L244" s="9"/>
      <x:c r="M244" s="8" t="n">
        <x:v>5</x:v>
      </x:c>
      <x:c r="N244" s="8" t="n">
        <x:v>7</x:v>
      </x:c>
      <x:c r="O244" s="8" t="n">
        <x:v>12</x:v>
      </x:c>
      <x:c r="P244" s="8"/>
      <x:c r="Q244" s="8"/>
      <x:c r="R244" s="8"/>
      <x:c r="S244" s="7" t="n">
        <x:f>IF(OR(AM244="제외",AM244="완료"),0,IF(AM244&lt;&gt;"입력 OK","",IF(E244="진행",P244,M244)))</x:f>
        <x:v>5</x:v>
      </x:c>
      <x:c r="T244" s="7" t="n">
        <x:f>IF(OR(AM244="제외",AM244="완료"),0,IF(AM244&lt;&gt;"입력 OK","",IF(E244="진행",Q244,N244)))</x:f>
        <x:v>7</x:v>
      </x:c>
      <x:c r="U244" s="7" t="n">
        <x:f>IF(OR(AM244="제외",AM244="완료"),0,IF(AM244&lt;&gt;"입력 OK","",IF(E244="진행",R244,O244)))</x:f>
        <x:v>12</x:v>
      </x:c>
      <x:c r="V244" s="11" t="n">
        <x:f>IF(COUNT(S244:U244)&lt;3,"",(S244+4*T244+U244)/6)</x:f>
        <x:v>7.5</x:v>
      </x:c>
      <x:c r="W244" s="11" t="n">
        <x:f>IF(COUNT(S244:U244)&lt;3,"",((U244-S244)/6)^2)</x:f>
        <x:v>1.3611111111111114</x:v>
      </x:c>
      <x:c r="X244" s="8" t="str">
        <x:v>HO02</x:v>
      </x:c>
      <x:c r="Y244" s="8" t="str"/>
      <x:c r="Z244" s="8" t="str"/>
      <x:c r="AA244" s="8" t="str"/>
      <x:c r="AB244" s="8" t="str"/>
      <x:c r="AC244" s="8" t="str"/>
      <x:c r="AD244" s="10" t="str">
        <x:f>IF(X244="",0,INDEX($AK$6:$AK$243,MATCH(X244,$A$6:$A$243,0)))</x:f>
      </x:c>
      <x:c r="AE244" s="10" t="n">
        <x:f>IF(Y244="",0,INDEX($AK$6:$AK$243,MATCH(Y244,$A$6:$A$243,0)))</x:f>
        <x:v>0</x:v>
      </x:c>
      <x:c r="AF244" s="10" t="n">
        <x:f>IF(Z244="",0,INDEX($AK$6:$AK$243,MATCH(Z244,$A$6:$A$243,0)))</x:f>
        <x:v>0</x:v>
      </x:c>
      <x:c r="AG244" s="10" t="n">
        <x:f>IF(AA244="",0,INDEX($AK$6:$AK$243,MATCH(AA244,$A$6:$A$243,0)))</x:f>
        <x:v>0</x:v>
      </x:c>
      <x:c r="AH244" s="10" t="n">
        <x:f>IF(AB244="",0,INDEX($AK$6:$AK$243,MATCH(AB244,$A$6:$A$243,0)))</x:f>
        <x:v>0</x:v>
      </x:c>
      <x:c r="AI244" s="10" t="n">
        <x:f>IF(AC244="",0,INDEX($AK$6:$AK$243,MATCH(AC244,$A$6:$A$243,0)))</x:f>
        <x:v>0</x:v>
      </x:c>
      <x:c r="AJ244" s="10" t="str">
        <x:f>IF(AM244="완료",IF(J244="",K244,J244),IF(OR(COUNT('프로젝트설정'!$B$7:$B$8)&lt;2,COUNT(AD244:AI244)&lt;6,COUNT(S244:U244)&lt;3),"",IF(AM244="제외",MAX('프로젝트설정'!$B$7,AD244:AI244),IF(E244="진행",J244,MAX('프로젝트설정'!$B$7:$B$8,L244,AD244:AI244)))))</x:f>
      </x:c>
      <x:c r="AK244" s="10" t="str">
        <x:f>IF(AM244="완료",K244,IF(AJ244="","",IF(E244="진행",MAX('프로젝트설정'!$B$8,AJ244,AD244:AI244)+T244,AJ244+T244)))</x:f>
      </x:c>
      <x:c r="AL244" s="7" t="str">
        <x:f>IF(OR(I244="",AK244=""),"",AK244-I244)</x:f>
      </x:c>
      <x:c r="AM244" s="7" t="str">
        <x:f>IF(OR(D244="제외",E244="제외"),"제외",IF(D244&lt;&gt;"적용","적용성 확인",IF(E244="완료",IF(ISNUMBER(K244),"완료","실제완료 입력"),IF(E244="보류","보류 해제 필요",IF(E244="진행",IF(AND(ISNUMBER(J244),COUNT(P244:R244)=3,P244&gt;=0,P244&lt;=Q244,Q244&lt;=R244),"입력 OK","실제착수·잔여기간 확인"),IF(AND(COUNT(M244:O244)=3,M244&gt;=0,M244&lt;=N244,N244&lt;=O244),"입력 OK","전체기간 확인"))))))</x:f>
        <x:v>입력 OK</x:v>
      </x:c>
      <x:c r="AN244" s="7" t="str">
        <x:v>29</x:v>
      </x:c>
    </x:row>
    <x:row r="245" ht="34" customHeight="1">
      <x:c r="A245" s="7" t="str">
        <x:v>HO04</x:v>
      </x:c>
      <x:c r="B245" s="7" t="str">
        <x:v>29 인수·운영·정산</x:v>
      </x:c>
      <x:c r="C245" s="7" t="str">
        <x:v>사업결과·보조금 집행증빙 취합</x:v>
      </x:c>
      <x:c r="D245" s="7" t="str">
        <x:f>'모듈선택'!B34</x:f>
        <x:v>적용</x:v>
      </x:c>
      <x:c r="E245" s="8" t="str">
        <x:v>계획</x:v>
      </x:c>
      <x:c r="F245" s="8" t="str">
        <x:v>사업주 / 운영사 / PM / 오너 검토</x:v>
      </x:c>
      <x:c r="G245" s="8" t="str">
        <x:v>결과보고, 지출/검수/계약 증빙</x:v>
      </x:c>
      <x:c r="H245" s="9"/>
      <x:c r="I245" s="9"/>
      <x:c r="J245" s="9"/>
      <x:c r="K245" s="9"/>
      <x:c r="L245" s="9"/>
      <x:c r="M245" s="8" t="n">
        <x:v>7</x:v>
      </x:c>
      <x:c r="N245" s="8" t="n">
        <x:v>10</x:v>
      </x:c>
      <x:c r="O245" s="8" t="n">
        <x:v>17</x:v>
      </x:c>
      <x:c r="P245" s="8"/>
      <x:c r="Q245" s="8"/>
      <x:c r="R245" s="8"/>
      <x:c r="S245" s="7" t="n">
        <x:f>IF(OR(AM245="제외",AM245="완료"),0,IF(AM245&lt;&gt;"입력 OK","",IF(E245="진행",P245,M245)))</x:f>
        <x:v>7</x:v>
      </x:c>
      <x:c r="T245" s="7" t="n">
        <x:f>IF(OR(AM245="제외",AM245="완료"),0,IF(AM245&lt;&gt;"입력 OK","",IF(E245="진행",Q245,N245)))</x:f>
        <x:v>10</x:v>
      </x:c>
      <x:c r="U245" s="7" t="n">
        <x:f>IF(OR(AM245="제외",AM245="완료"),0,IF(AM245&lt;&gt;"입력 OK","",IF(E245="진행",R245,O245)))</x:f>
        <x:v>17</x:v>
      </x:c>
      <x:c r="V245" s="11" t="n">
        <x:f>IF(COUNT(S245:U245)&lt;3,"",(S245+4*T245+U245)/6)</x:f>
        <x:v>10.666666666666666</x:v>
      </x:c>
      <x:c r="W245" s="11" t="n">
        <x:f>IF(COUNT(S245:U245)&lt;3,"",((U245-S245)/6)^2)</x:f>
        <x:v>2.777777777777778</x:v>
      </x:c>
      <x:c r="X245" s="8" t="str">
        <x:v>HO03</x:v>
      </x:c>
      <x:c r="Y245" s="8" t="str"/>
      <x:c r="Z245" s="8" t="str"/>
      <x:c r="AA245" s="8" t="str"/>
      <x:c r="AB245" s="8" t="str"/>
      <x:c r="AC245" s="8" t="str"/>
      <x:c r="AD245" s="10" t="str">
        <x:f>IF(X245="",0,INDEX($AK$6:$AK$244,MATCH(X245,$A$6:$A$244,0)))</x:f>
      </x:c>
      <x:c r="AE245" s="10" t="n">
        <x:f>IF(Y245="",0,INDEX($AK$6:$AK$244,MATCH(Y245,$A$6:$A$244,0)))</x:f>
        <x:v>0</x:v>
      </x:c>
      <x:c r="AF245" s="10" t="n">
        <x:f>IF(Z245="",0,INDEX($AK$6:$AK$244,MATCH(Z245,$A$6:$A$244,0)))</x:f>
        <x:v>0</x:v>
      </x:c>
      <x:c r="AG245" s="10" t="n">
        <x:f>IF(AA245="",0,INDEX($AK$6:$AK$244,MATCH(AA245,$A$6:$A$244,0)))</x:f>
        <x:v>0</x:v>
      </x:c>
      <x:c r="AH245" s="10" t="n">
        <x:f>IF(AB245="",0,INDEX($AK$6:$AK$244,MATCH(AB245,$A$6:$A$244,0)))</x:f>
        <x:v>0</x:v>
      </x:c>
      <x:c r="AI245" s="10" t="n">
        <x:f>IF(AC245="",0,INDEX($AK$6:$AK$244,MATCH(AC245,$A$6:$A$244,0)))</x:f>
        <x:v>0</x:v>
      </x:c>
      <x:c r="AJ245" s="10" t="str">
        <x:f>IF(AM245="완료",IF(J245="",K245,J245),IF(OR(COUNT('프로젝트설정'!$B$7:$B$8)&lt;2,COUNT(AD245:AI245)&lt;6,COUNT(S245:U245)&lt;3),"",IF(AM245="제외",MAX('프로젝트설정'!$B$7,AD245:AI245),IF(E245="진행",J245,MAX('프로젝트설정'!$B$7:$B$8,L245,AD245:AI245)))))</x:f>
      </x:c>
      <x:c r="AK245" s="10" t="str">
        <x:f>IF(AM245="완료",K245,IF(AJ245="","",IF(E245="진행",MAX('프로젝트설정'!$B$8,AJ245,AD245:AI245)+T245,AJ245+T245)))</x:f>
      </x:c>
      <x:c r="AL245" s="7" t="str">
        <x:f>IF(OR(I245="",AK245=""),"",AK245-I245)</x:f>
      </x:c>
      <x:c r="AM245" s="7" t="str">
        <x:f>IF(OR(D245="제외",E245="제외"),"제외",IF(D245&lt;&gt;"적용","적용성 확인",IF(E245="완료",IF(ISNUMBER(K245),"완료","실제완료 입력"),IF(E245="보류","보류 해제 필요",IF(E245="진행",IF(AND(ISNUMBER(J245),COUNT(P245:R245)=3,P245&gt;=0,P245&lt;=Q245,Q245&lt;=R245),"입력 OK","실제착수·잔여기간 확인"),IF(AND(COUNT(M245:O245)=3,M245&gt;=0,M245&lt;=N245,N245&lt;=O245),"입력 OK","전체기간 확인"))))))</x:f>
        <x:v>입력 OK</x:v>
      </x:c>
      <x:c r="AN245" s="7" t="str">
        <x:v>29</x:v>
      </x:c>
    </x:row>
    <x:row r="246" ht="34" customHeight="1">
      <x:c r="A246" s="7" t="str">
        <x:v>HO05</x:v>
      </x:c>
      <x:c r="B246" s="7" t="str">
        <x:v>29 인수·운영·정산</x:v>
      </x:c>
      <x:c r="C246" s="7" t="str">
        <x:v>보조금 정산·최종보고 제출</x:v>
      </x:c>
      <x:c r="D246" s="7" t="str">
        <x:f>'모듈선택'!B34</x:f>
        <x:v>적용</x:v>
      </x:c>
      <x:c r="E246" s="8" t="str">
        <x:v>계획</x:v>
      </x:c>
      <x:c r="F246" s="8" t="str">
        <x:v>사업주 / 운영사 / PM / 오너 검토</x:v>
      </x:c>
      <x:c r="G246" s="8" t="str">
        <x:v>정산보고, 반납/잔액 확인</x:v>
      </x:c>
      <x:c r="H246" s="9"/>
      <x:c r="I246" s="9"/>
      <x:c r="J246" s="9"/>
      <x:c r="K246" s="9"/>
      <x:c r="L246" s="9"/>
      <x:c r="M246" s="8" t="n">
        <x:v>7</x:v>
      </x:c>
      <x:c r="N246" s="8" t="n">
        <x:v>10</x:v>
      </x:c>
      <x:c r="O246" s="8" t="n">
        <x:v>17</x:v>
      </x:c>
      <x:c r="P246" s="8"/>
      <x:c r="Q246" s="8"/>
      <x:c r="R246" s="8"/>
      <x:c r="S246" s="7" t="n">
        <x:f>IF(OR(AM246="제외",AM246="완료"),0,IF(AM246&lt;&gt;"입력 OK","",IF(E246="진행",P246,M246)))</x:f>
        <x:v>7</x:v>
      </x:c>
      <x:c r="T246" s="7" t="n">
        <x:f>IF(OR(AM246="제외",AM246="완료"),0,IF(AM246&lt;&gt;"입력 OK","",IF(E246="진행",Q246,N246)))</x:f>
        <x:v>10</x:v>
      </x:c>
      <x:c r="U246" s="7" t="n">
        <x:f>IF(OR(AM246="제외",AM246="완료"),0,IF(AM246&lt;&gt;"입력 OK","",IF(E246="진행",R246,O246)))</x:f>
        <x:v>17</x:v>
      </x:c>
      <x:c r="V246" s="11" t="n">
        <x:f>IF(COUNT(S246:U246)&lt;3,"",(S246+4*T246+U246)/6)</x:f>
        <x:v>10.666666666666666</x:v>
      </x:c>
      <x:c r="W246" s="11" t="n">
        <x:f>IF(COUNT(S246:U246)&lt;3,"",((U246-S246)/6)^2)</x:f>
        <x:v>2.777777777777778</x:v>
      </x:c>
      <x:c r="X246" s="8" t="str">
        <x:v>HO04</x:v>
      </x:c>
      <x:c r="Y246" s="8" t="str"/>
      <x:c r="Z246" s="8" t="str"/>
      <x:c r="AA246" s="8" t="str"/>
      <x:c r="AB246" s="8" t="str"/>
      <x:c r="AC246" s="8" t="str"/>
      <x:c r="AD246" s="10" t="str">
        <x:f>IF(X246="",0,INDEX($AK$6:$AK$245,MATCH(X246,$A$6:$A$245,0)))</x:f>
      </x:c>
      <x:c r="AE246" s="10" t="n">
        <x:f>IF(Y246="",0,INDEX($AK$6:$AK$245,MATCH(Y246,$A$6:$A$245,0)))</x:f>
        <x:v>0</x:v>
      </x:c>
      <x:c r="AF246" s="10" t="n">
        <x:f>IF(Z246="",0,INDEX($AK$6:$AK$245,MATCH(Z246,$A$6:$A$245,0)))</x:f>
        <x:v>0</x:v>
      </x:c>
      <x:c r="AG246" s="10" t="n">
        <x:f>IF(AA246="",0,INDEX($AK$6:$AK$245,MATCH(AA246,$A$6:$A$245,0)))</x:f>
        <x:v>0</x:v>
      </x:c>
      <x:c r="AH246" s="10" t="n">
        <x:f>IF(AB246="",0,INDEX($AK$6:$AK$245,MATCH(AB246,$A$6:$A$245,0)))</x:f>
        <x:v>0</x:v>
      </x:c>
      <x:c r="AI246" s="10" t="n">
        <x:f>IF(AC246="",0,INDEX($AK$6:$AK$245,MATCH(AC246,$A$6:$A$245,0)))</x:f>
        <x:v>0</x:v>
      </x:c>
      <x:c r="AJ246" s="10" t="str">
        <x:f>IF(AM246="완료",IF(J246="",K246,J246),IF(OR(COUNT('프로젝트설정'!$B$7:$B$8)&lt;2,COUNT(AD246:AI246)&lt;6,COUNT(S246:U246)&lt;3),"",IF(AM246="제외",MAX('프로젝트설정'!$B$7,AD246:AI246),IF(E246="진행",J246,MAX('프로젝트설정'!$B$7:$B$8,L246,AD246:AI246)))))</x:f>
      </x:c>
      <x:c r="AK246" s="10" t="str">
        <x:f>IF(AM246="완료",K246,IF(AJ246="","",IF(E246="진행",MAX('프로젝트설정'!$B$8,AJ246,AD246:AI246)+T246,AJ246+T246)))</x:f>
      </x:c>
      <x:c r="AL246" s="7" t="str">
        <x:f>IF(OR(I246="",AK246=""),"",AK246-I246)</x:f>
      </x:c>
      <x:c r="AM246" s="7" t="str">
        <x:f>IF(OR(D246="제외",E246="제외"),"제외",IF(D246&lt;&gt;"적용","적용성 확인",IF(E246="완료",IF(ISNUMBER(K246),"완료","실제완료 입력"),IF(E246="보류","보류 해제 필요",IF(E246="진행",IF(AND(ISNUMBER(J246),COUNT(P246:R246)=3,P246&gt;=0,P246&lt;=Q246,Q246&lt;=R246),"입력 OK","실제착수·잔여기간 확인"),IF(AND(COUNT(M246:O246)=3,M246&gt;=0,M246&lt;=N246,N246&lt;=O246),"입력 OK","전체기간 확인"))))))</x:f>
        <x:v>입력 OK</x:v>
      </x:c>
      <x:c r="AN246" s="7" t="str">
        <x:v>29</x:v>
      </x:c>
    </x:row>
    <x:row r="247" ht="34" customHeight="1">
      <x:c r="A247" s="7" t="str">
        <x:v>MS06</x:v>
      </x:c>
      <x:c r="B247" s="7" t="str">
        <x:v>29 인수·운영·정산</x:v>
      </x:c>
      <x:c r="C247" s="7" t="str">
        <x:v>시설 인수·운영전환 게이트</x:v>
      </x:c>
      <x:c r="D247" s="7" t="str">
        <x:f>'모듈선택'!B34</x:f>
        <x:v>적용</x:v>
      </x:c>
      <x:c r="E247" s="8" t="str">
        <x:v>계획</x:v>
      </x:c>
      <x:c r="F247" s="8" t="str">
        <x:v>사업주 / PM / 오너 검토 / 담당기관</x:v>
      </x:c>
      <x:c r="G247" s="8" t="str">
        <x:v>승인/접수/검사 증빙 및 미결사항 확인</x:v>
      </x:c>
      <x:c r="H247" s="9"/>
      <x:c r="I247" s="9"/>
      <x:c r="J247" s="9"/>
      <x:c r="K247" s="9"/>
      <x:c r="L247" s="9"/>
      <x:c r="M247" s="8" t="n">
        <x:v>0</x:v>
      </x:c>
      <x:c r="N247" s="8" t="n">
        <x:v>0</x:v>
      </x:c>
      <x:c r="O247" s="8" t="n">
        <x:v>0</x:v>
      </x:c>
      <x:c r="P247" s="8"/>
      <x:c r="Q247" s="8"/>
      <x:c r="R247" s="8"/>
      <x:c r="S247" s="7" t="n">
        <x:f>IF(OR(AM247="제외",AM247="완료"),0,IF(AM247&lt;&gt;"입력 OK","",IF(E247="진행",P247,M247)))</x:f>
        <x:v>0</x:v>
      </x:c>
      <x:c r="T247" s="7" t="n">
        <x:f>IF(OR(AM247="제외",AM247="완료"),0,IF(AM247&lt;&gt;"입력 OK","",IF(E247="진행",Q247,N247)))</x:f>
        <x:v>0</x:v>
      </x:c>
      <x:c r="U247" s="7" t="n">
        <x:f>IF(OR(AM247="제외",AM247="완료"),0,IF(AM247&lt;&gt;"입력 OK","",IF(E247="진행",R247,O247)))</x:f>
        <x:v>0</x:v>
      </x:c>
      <x:c r="V247" s="11" t="n">
        <x:f>IF(COUNT(S247:U247)&lt;3,"",(S247+4*T247+U247)/6)</x:f>
        <x:v>0</x:v>
      </x:c>
      <x:c r="W247" s="11" t="n">
        <x:f>IF(COUNT(S247:U247)&lt;3,"",((U247-S247)/6)^2)</x:f>
        <x:v>0</x:v>
      </x:c>
      <x:c r="X247" s="8" t="str">
        <x:v>HO03</x:v>
      </x:c>
      <x:c r="Y247" s="8" t="str"/>
      <x:c r="Z247" s="8" t="str"/>
      <x:c r="AA247" s="8" t="str"/>
      <x:c r="AB247" s="8" t="str"/>
      <x:c r="AC247" s="8" t="str"/>
      <x:c r="AD247" s="10" t="str">
        <x:f>IF(X247="",0,INDEX($AK$6:$AK$246,MATCH(X247,$A$6:$A$246,0)))</x:f>
      </x:c>
      <x:c r="AE247" s="10" t="n">
        <x:f>IF(Y247="",0,INDEX($AK$6:$AK$246,MATCH(Y247,$A$6:$A$246,0)))</x:f>
        <x:v>0</x:v>
      </x:c>
      <x:c r="AF247" s="10" t="n">
        <x:f>IF(Z247="",0,INDEX($AK$6:$AK$246,MATCH(Z247,$A$6:$A$246,0)))</x:f>
        <x:v>0</x:v>
      </x:c>
      <x:c r="AG247" s="10" t="n">
        <x:f>IF(AA247="",0,INDEX($AK$6:$AK$246,MATCH(AA247,$A$6:$A$246,0)))</x:f>
        <x:v>0</x:v>
      </x:c>
      <x:c r="AH247" s="10" t="n">
        <x:f>IF(AB247="",0,INDEX($AK$6:$AK$246,MATCH(AB247,$A$6:$A$246,0)))</x:f>
        <x:v>0</x:v>
      </x:c>
      <x:c r="AI247" s="10" t="n">
        <x:f>IF(AC247="",0,INDEX($AK$6:$AK$246,MATCH(AC247,$A$6:$A$246,0)))</x:f>
        <x:v>0</x:v>
      </x:c>
      <x:c r="AJ247" s="10" t="str">
        <x:f>IF(AM247="완료",IF(J247="",K247,J247),IF(OR(COUNT('프로젝트설정'!$B$7:$B$8)&lt;2,COUNT(AD247:AI247)&lt;6,COUNT(S247:U247)&lt;3),"",IF(AM247="제외",MAX('프로젝트설정'!$B$7,AD247:AI247),IF(E247="진행",J247,MAX('프로젝트설정'!$B$7:$B$8,L247,AD247:AI247)))))</x:f>
      </x:c>
      <x:c r="AK247" s="10" t="str">
        <x:f>IF(AM247="완료",K247,IF(AJ247="","",IF(E247="진행",MAX('프로젝트설정'!$B$8,AJ247,AD247:AI247)+T247,AJ247+T247)))</x:f>
      </x:c>
      <x:c r="AL247" s="7" t="str">
        <x:f>IF(OR(I247="",AK247=""),"",AK247-I247)</x:f>
      </x:c>
      <x:c r="AM247" s="7" t="str">
        <x:f>IF(OR(D247="제외",E247="제외"),"제외",IF(D247&lt;&gt;"적용","적용성 확인",IF(E247="완료",IF(ISNUMBER(K247),"완료","실제완료 입력"),IF(E247="보류","보류 해제 필요",IF(E247="진행",IF(AND(ISNUMBER(J247),COUNT(P247:R247)=3,P247&gt;=0,P247&lt;=Q247,Q247&lt;=R247),"입력 OK","실제착수·잔여기간 확인"),IF(AND(COUNT(M247:O247)=3,M247&gt;=0,M247&lt;=N247,N247&lt;=O247),"입력 OK","전체기간 확인"))))))</x:f>
        <x:v>입력 OK</x:v>
      </x:c>
      <x:c r="AN247" s="7" t="str">
        <x:v>29</x:v>
      </x:c>
    </x:row>
    <x:row r="248" ht="34" customHeight="1">
      <x:c r="A248" s="7" t="str">
        <x:v>MS07</x:v>
      </x:c>
      <x:c r="B248" s="7" t="str">
        <x:v>29 인수·운영·정산</x:v>
      </x:c>
      <x:c r="C248" s="7" t="str">
        <x:v>사업 행정종결 게이트</x:v>
      </x:c>
      <x:c r="D248" s="7" t="str">
        <x:f>'모듈선택'!B34</x:f>
        <x:v>적용</x:v>
      </x:c>
      <x:c r="E248" s="8" t="str">
        <x:v>계획</x:v>
      </x:c>
      <x:c r="F248" s="8" t="str">
        <x:v>사업주 / PM / 오너 검토 / 담당기관</x:v>
      </x:c>
      <x:c r="G248" s="8" t="str">
        <x:v>승인/접수/검사 증빙 및 미결사항 확인</x:v>
      </x:c>
      <x:c r="H248" s="9"/>
      <x:c r="I248" s="9"/>
      <x:c r="J248" s="9"/>
      <x:c r="K248" s="9"/>
      <x:c r="L248" s="9"/>
      <x:c r="M248" s="8" t="n">
        <x:v>0</x:v>
      </x:c>
      <x:c r="N248" s="8" t="n">
        <x:v>0</x:v>
      </x:c>
      <x:c r="O248" s="8" t="n">
        <x:v>0</x:v>
      </x:c>
      <x:c r="P248" s="8"/>
      <x:c r="Q248" s="8"/>
      <x:c r="R248" s="8"/>
      <x:c r="S248" s="7" t="n">
        <x:f>IF(OR(AM248="제외",AM248="완료"),0,IF(AM248&lt;&gt;"입력 OK","",IF(E248="진행",P248,M248)))</x:f>
        <x:v>0</x:v>
      </x:c>
      <x:c r="T248" s="7" t="n">
        <x:f>IF(OR(AM248="제외",AM248="완료"),0,IF(AM248&lt;&gt;"입력 OK","",IF(E248="진행",Q248,N248)))</x:f>
        <x:v>0</x:v>
      </x:c>
      <x:c r="U248" s="7" t="n">
        <x:f>IF(OR(AM248="제외",AM248="완료"),0,IF(AM248&lt;&gt;"입력 OK","",IF(E248="진행",R248,O248)))</x:f>
        <x:v>0</x:v>
      </x:c>
      <x:c r="V248" s="11" t="n">
        <x:f>IF(COUNT(S248:U248)&lt;3,"",(S248+4*T248+U248)/6)</x:f>
        <x:v>0</x:v>
      </x:c>
      <x:c r="W248" s="11" t="n">
        <x:f>IF(COUNT(S248:U248)&lt;3,"",((U248-S248)/6)^2)</x:f>
        <x:v>0</x:v>
      </x:c>
      <x:c r="X248" s="8" t="str">
        <x:v>HO05</x:v>
      </x:c>
      <x:c r="Y248" s="8" t="str">
        <x:v>MS06</x:v>
      </x:c>
      <x:c r="Z248" s="8" t="str"/>
      <x:c r="AA248" s="8" t="str"/>
      <x:c r="AB248" s="8" t="str"/>
      <x:c r="AC248" s="8" t="str"/>
      <x:c r="AD248" s="10" t="str">
        <x:f>IF(X248="",0,INDEX($AK$6:$AK$247,MATCH(X248,$A$6:$A$247,0)))</x:f>
      </x:c>
      <x:c r="AE248" s="10" t="str">
        <x:f>IF(Y248="",0,INDEX($AK$6:$AK$247,MATCH(Y248,$A$6:$A$247,0)))</x:f>
      </x:c>
      <x:c r="AF248" s="10" t="n">
        <x:f>IF(Z248="",0,INDEX($AK$6:$AK$247,MATCH(Z248,$A$6:$A$247,0)))</x:f>
        <x:v>0</x:v>
      </x:c>
      <x:c r="AG248" s="10" t="n">
        <x:f>IF(AA248="",0,INDEX($AK$6:$AK$247,MATCH(AA248,$A$6:$A$247,0)))</x:f>
        <x:v>0</x:v>
      </x:c>
      <x:c r="AH248" s="10" t="n">
        <x:f>IF(AB248="",0,INDEX($AK$6:$AK$247,MATCH(AB248,$A$6:$A$247,0)))</x:f>
        <x:v>0</x:v>
      </x:c>
      <x:c r="AI248" s="10" t="n">
        <x:f>IF(AC248="",0,INDEX($AK$6:$AK$247,MATCH(AC248,$A$6:$A$247,0)))</x:f>
        <x:v>0</x:v>
      </x:c>
      <x:c r="AJ248" s="10" t="str">
        <x:f>IF(AM248="완료",IF(J248="",K248,J248),IF(OR(COUNT('프로젝트설정'!$B$7:$B$8)&lt;2,COUNT(AD248:AI248)&lt;6,COUNT(S248:U248)&lt;3),"",IF(AM248="제외",MAX('프로젝트설정'!$B$7,AD248:AI248),IF(E248="진행",J248,MAX('프로젝트설정'!$B$7:$B$8,L248,AD248:AI248)))))</x:f>
      </x:c>
      <x:c r="AK248" s="10" t="str">
        <x:f>IF(AM248="완료",K248,IF(AJ248="","",IF(E248="진행",MAX('프로젝트설정'!$B$8,AJ248,AD248:AI248)+T248,AJ248+T248)))</x:f>
      </x:c>
      <x:c r="AL248" s="7" t="str">
        <x:f>IF(OR(I248="",AK248=""),"",AK248-I248)</x:f>
      </x:c>
      <x:c r="AM248" s="7" t="str">
        <x:f>IF(OR(D248="제외",E248="제외"),"제외",IF(D248&lt;&gt;"적용","적용성 확인",IF(E248="완료",IF(ISNUMBER(K248),"완료","실제완료 입력"),IF(E248="보류","보류 해제 필요",IF(E248="진행",IF(AND(ISNUMBER(J248),COUNT(P248:R248)=3,P248&gt;=0,P248&lt;=Q248,Q248&lt;=R248),"입력 OK","실제착수·잔여기간 확인"),IF(AND(COUNT(M248:O248)=3,M248&gt;=0,M248&lt;=N248,N248&lt;=O248),"입력 OK","전체기간 확인"))))))</x:f>
        <x:v>입력 OK</x:v>
      </x:c>
      <x:c r="AN248" s="7" t="str">
        <x:v>29</x:v>
      </x:c>
    </x:row>
  </x:sheetData>
  <x:dataValidations count="1">
    <x:dataValidation type="list" sqref="E6:E248">
      <x:formula1>"계획,진행,완료,보류,제외"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27f856f7aa47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53" hidden="0" customWidth="1"/>
    <x:col min="4" max="4" width="17" hidden="0" customWidth="1"/>
    <x:col min="5" max="5" width="17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  <x:col min="44" max="44" width="6" hidden="0" customWidth="1"/>
    <x:col min="45" max="45" width="6" hidden="0" customWidth="1"/>
    <x:col min="46" max="46" width="6" hidden="0" customWidth="1"/>
    <x:col min="47" max="47" width="6" hidden="0" customWidth="1"/>
    <x:col min="48" max="48" width="6" hidden="0" customWidth="1"/>
    <x:col min="49" max="49" width="6" hidden="0" customWidth="1"/>
    <x:col min="50" max="50" width="6" hidden="0" customWidth="1"/>
    <x:col min="51" max="51" width="6" hidden="0" customWidth="1"/>
    <x:col min="52" max="52" width="6" hidden="0" customWidth="1"/>
    <x:col min="53" max="53" width="6" hidden="0" customWidth="1"/>
    <x:col min="54" max="54" width="6" hidden="0" customWidth="1"/>
    <x:col min="55" max="55" width="6" hidden="0" customWidth="1"/>
    <x:col min="56" max="56" width="6" hidden="0" customWidth="1"/>
    <x:col min="57" max="57" width="6" hidden="0" customWidth="1"/>
    <x:col min="58" max="58" width="6" hidden="0" customWidth="1"/>
    <x:col min="59" max="59" width="6" hidden="0" customWidth="1"/>
    <x:col min="60" max="60" width="6" hidden="0" customWidth="1"/>
    <x:col min="61" max="61" width="6" hidden="0" customWidth="1"/>
    <x:col min="62" max="62" width="6" hidden="0" customWidth="1"/>
    <x:col min="63" max="63" width="6" hidden="0" customWidth="1"/>
    <x:col min="64" max="64" width="6" hidden="0" customWidth="1"/>
    <x:col min="65" max="65" width="6" hidden="0" customWidth="1"/>
    <x:col min="66" max="66" width="6" hidden="0" customWidth="1"/>
    <x:col min="67" max="67" width="6" hidden="0" customWidth="1"/>
    <x:col min="68" max="68" width="6" hidden="0" customWidth="1"/>
    <x:col min="69" max="69" width="6" hidden="0" customWidth="1"/>
    <x:col min="70" max="70" width="6" hidden="0" customWidth="1"/>
    <x:col min="71" max="71" width="6" hidden="0" customWidth="1"/>
    <x:col min="72" max="72" width="6" hidden="0" customWidth="1"/>
    <x:col min="73" max="73" width="6" hidden="0" customWidth="1"/>
    <x:col min="74" max="74" width="6" hidden="0" customWidth="1"/>
    <x:col min="75" max="75" width="6" hidden="0" customWidth="1"/>
    <x:col min="76" max="76" width="6" hidden="0" customWidth="1"/>
    <x:col min="77" max="77" width="6" hidden="0" customWidth="1"/>
    <x:col min="78" max="78" width="6" hidden="0" customWidth="1"/>
    <x:col min="79" max="79" width="6" hidden="0" customWidth="1"/>
    <x:col min="80" max="80" width="6" hidden="0" customWidth="1"/>
    <x:col min="81" max="81" width="6" hidden="0" customWidth="1"/>
    <x:col min="82" max="82" width="6" hidden="0" customWidth="1"/>
    <x:col min="83" max="83" width="6" hidden="0" customWidth="1"/>
    <x:col min="84" max="84" width="6" hidden="0" customWidth="1"/>
    <x:col min="85" max="85" width="6" hidden="0" customWidth="1"/>
    <x:col min="86" max="86" width="6" hidden="0" customWidth="1"/>
    <x:col min="87" max="87" width="6" hidden="0" customWidth="1"/>
    <x:col min="88" max="88" width="6" hidden="0" customWidth="1"/>
    <x:col min="89" max="89" width="6" hidden="0" customWidth="1"/>
    <x:col min="90" max="90" width="6" hidden="0" customWidth="1"/>
    <x:col min="91" max="91" width="6" hidden="0" customWidth="1"/>
    <x:col min="92" max="92" width="6" hidden="0" customWidth="1"/>
    <x:col min="93" max="93" width="6" hidden="0" customWidth="1"/>
    <x:col min="94" max="94" width="6" hidden="0" customWidth="1"/>
    <x:col min="95" max="95" width="6" hidden="0" customWidth="1"/>
    <x:col min="96" max="96" width="6" hidden="0" customWidth="1"/>
    <x:col min="97" max="97" width="6" hidden="0" customWidth="1"/>
    <x:col min="98" max="98" width="6" hidden="0" customWidth="1"/>
    <x:col min="99" max="99" width="6" hidden="0" customWidth="1"/>
    <x:col min="100" max="100" width="6" hidden="0" customWidth="1"/>
    <x:col min="101" max="101" width="6" hidden="0" customWidth="1"/>
    <x:col min="102" max="102" width="6" hidden="0" customWidth="1"/>
    <x:col min="103" max="103" width="6" hidden="0" customWidth="1"/>
    <x:col min="104" max="104" width="6" hidden="0" customWidth="1"/>
    <x:col min="105" max="105" width="6" hidden="0" customWidth="1"/>
    <x:col min="106" max="106" width="6" hidden="0" customWidth="1"/>
    <x:col min="107" max="107" width="6" hidden="0" customWidth="1"/>
    <x:col min="108" max="108" width="6" hidden="0" customWidth="1"/>
    <x:col min="109" max="109" width="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</x:row>
    <x:row r="2">
      <x:c r="A2" s="3" t="str">
        <x:v>프로젝트 주간 간트 | 설정일·실적·잔여기간에 연동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</x:row>
    <x:row r="3">
      <x:c r="A3" s="2" t="str">
        <x:v>■ 작업 / ◆ 게이트 / 제외 작업은 표시하지 않음 / 104주 창. 첫 주는 계획착수일이 속한 월요일.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</x:row>
    <x:row r="5" ht="50" customHeight="1">
      <x:c r="A5" s="6" t="str">
        <x:v>ID</x:v>
      </x:c>
      <x:c r="B5" s="6" t="str">
        <x:v>모듈</x:v>
      </x:c>
      <x:c r="C5" s="6" t="str">
        <x:v>작업</x:v>
      </x:c>
      <x:c r="D5" s="6" t="str">
        <x:v>예측 착수</x:v>
      </x:c>
      <x:c r="E5" s="6" t="str">
        <x:v>예측 완료</x:v>
      </x:c>
      <x:c r="F5" s="12" t="str">
        <x:f>IF('프로젝트설정'!$B$7="","",'프로젝트설정'!$B$7-WEEKDAY('프로젝트설정'!$B$7,2)+1+0)</x:f>
      </x:c>
      <x:c r="G5" s="12" t="str">
        <x:f>IF('프로젝트설정'!$B$7="","",'프로젝트설정'!$B$7-WEEKDAY('프로젝트설정'!$B$7,2)+1+7)</x:f>
      </x:c>
      <x:c r="H5" s="12" t="str">
        <x:f>IF('프로젝트설정'!$B$7="","",'프로젝트설정'!$B$7-WEEKDAY('프로젝트설정'!$B$7,2)+1+14)</x:f>
      </x:c>
      <x:c r="I5" s="12" t="str">
        <x:f>IF('프로젝트설정'!$B$7="","",'프로젝트설정'!$B$7-WEEKDAY('프로젝트설정'!$B$7,2)+1+21)</x:f>
      </x:c>
      <x:c r="J5" s="12" t="str">
        <x:f>IF('프로젝트설정'!$B$7="","",'프로젝트설정'!$B$7-WEEKDAY('프로젝트설정'!$B$7,2)+1+28)</x:f>
      </x:c>
      <x:c r="K5" s="12" t="str">
        <x:f>IF('프로젝트설정'!$B$7="","",'프로젝트설정'!$B$7-WEEKDAY('프로젝트설정'!$B$7,2)+1+35)</x:f>
      </x:c>
      <x:c r="L5" s="12" t="str">
        <x:f>IF('프로젝트설정'!$B$7="","",'프로젝트설정'!$B$7-WEEKDAY('프로젝트설정'!$B$7,2)+1+42)</x:f>
      </x:c>
      <x:c r="M5" s="12" t="str">
        <x:f>IF('프로젝트설정'!$B$7="","",'프로젝트설정'!$B$7-WEEKDAY('프로젝트설정'!$B$7,2)+1+49)</x:f>
      </x:c>
      <x:c r="N5" s="12" t="str">
        <x:f>IF('프로젝트설정'!$B$7="","",'프로젝트설정'!$B$7-WEEKDAY('프로젝트설정'!$B$7,2)+1+56)</x:f>
      </x:c>
      <x:c r="O5" s="12" t="str">
        <x:f>IF('프로젝트설정'!$B$7="","",'프로젝트설정'!$B$7-WEEKDAY('프로젝트설정'!$B$7,2)+1+63)</x:f>
      </x:c>
      <x:c r="P5" s="12" t="str">
        <x:f>IF('프로젝트설정'!$B$7="","",'프로젝트설정'!$B$7-WEEKDAY('프로젝트설정'!$B$7,2)+1+70)</x:f>
      </x:c>
      <x:c r="Q5" s="12" t="str">
        <x:f>IF('프로젝트설정'!$B$7="","",'프로젝트설정'!$B$7-WEEKDAY('프로젝트설정'!$B$7,2)+1+77)</x:f>
      </x:c>
      <x:c r="R5" s="12" t="str">
        <x:f>IF('프로젝트설정'!$B$7="","",'프로젝트설정'!$B$7-WEEKDAY('프로젝트설정'!$B$7,2)+1+84)</x:f>
      </x:c>
      <x:c r="S5" s="12" t="str">
        <x:f>IF('프로젝트설정'!$B$7="","",'프로젝트설정'!$B$7-WEEKDAY('프로젝트설정'!$B$7,2)+1+91)</x:f>
      </x:c>
      <x:c r="T5" s="12" t="str">
        <x:f>IF('프로젝트설정'!$B$7="","",'프로젝트설정'!$B$7-WEEKDAY('프로젝트설정'!$B$7,2)+1+98)</x:f>
      </x:c>
      <x:c r="U5" s="12" t="str">
        <x:f>IF('프로젝트설정'!$B$7="","",'프로젝트설정'!$B$7-WEEKDAY('프로젝트설정'!$B$7,2)+1+105)</x:f>
      </x:c>
      <x:c r="V5" s="12" t="str">
        <x:f>IF('프로젝트설정'!$B$7="","",'프로젝트설정'!$B$7-WEEKDAY('프로젝트설정'!$B$7,2)+1+112)</x:f>
      </x:c>
      <x:c r="W5" s="12" t="str">
        <x:f>IF('프로젝트설정'!$B$7="","",'프로젝트설정'!$B$7-WEEKDAY('프로젝트설정'!$B$7,2)+1+119)</x:f>
      </x:c>
      <x:c r="X5" s="12" t="str">
        <x:f>IF('프로젝트설정'!$B$7="","",'프로젝트설정'!$B$7-WEEKDAY('프로젝트설정'!$B$7,2)+1+126)</x:f>
      </x:c>
      <x:c r="Y5" s="12" t="str">
        <x:f>IF('프로젝트설정'!$B$7="","",'프로젝트설정'!$B$7-WEEKDAY('프로젝트설정'!$B$7,2)+1+133)</x:f>
      </x:c>
      <x:c r="Z5" s="12" t="str">
        <x:f>IF('프로젝트설정'!$B$7="","",'프로젝트설정'!$B$7-WEEKDAY('프로젝트설정'!$B$7,2)+1+140)</x:f>
      </x:c>
      <x:c r="AA5" s="12" t="str">
        <x:f>IF('프로젝트설정'!$B$7="","",'프로젝트설정'!$B$7-WEEKDAY('프로젝트설정'!$B$7,2)+1+147)</x:f>
      </x:c>
      <x:c r="AB5" s="12" t="str">
        <x:f>IF('프로젝트설정'!$B$7="","",'프로젝트설정'!$B$7-WEEKDAY('프로젝트설정'!$B$7,2)+1+154)</x:f>
      </x:c>
      <x:c r="AC5" s="12" t="str">
        <x:f>IF('프로젝트설정'!$B$7="","",'프로젝트설정'!$B$7-WEEKDAY('프로젝트설정'!$B$7,2)+1+161)</x:f>
      </x:c>
      <x:c r="AD5" s="12" t="str">
        <x:f>IF('프로젝트설정'!$B$7="","",'프로젝트설정'!$B$7-WEEKDAY('프로젝트설정'!$B$7,2)+1+168)</x:f>
      </x:c>
      <x:c r="AE5" s="12" t="str">
        <x:f>IF('프로젝트설정'!$B$7="","",'프로젝트설정'!$B$7-WEEKDAY('프로젝트설정'!$B$7,2)+1+175)</x:f>
      </x:c>
      <x:c r="AF5" s="12" t="str">
        <x:f>IF('프로젝트설정'!$B$7="","",'프로젝트설정'!$B$7-WEEKDAY('프로젝트설정'!$B$7,2)+1+182)</x:f>
      </x:c>
      <x:c r="AG5" s="12" t="str">
        <x:f>IF('프로젝트설정'!$B$7="","",'프로젝트설정'!$B$7-WEEKDAY('프로젝트설정'!$B$7,2)+1+189)</x:f>
      </x:c>
      <x:c r="AH5" s="12" t="str">
        <x:f>IF('프로젝트설정'!$B$7="","",'프로젝트설정'!$B$7-WEEKDAY('프로젝트설정'!$B$7,2)+1+196)</x:f>
      </x:c>
      <x:c r="AI5" s="12" t="str">
        <x:f>IF('프로젝트설정'!$B$7="","",'프로젝트설정'!$B$7-WEEKDAY('프로젝트설정'!$B$7,2)+1+203)</x:f>
      </x:c>
      <x:c r="AJ5" s="12" t="str">
        <x:f>IF('프로젝트설정'!$B$7="","",'프로젝트설정'!$B$7-WEEKDAY('프로젝트설정'!$B$7,2)+1+210)</x:f>
      </x:c>
      <x:c r="AK5" s="12" t="str">
        <x:f>IF('프로젝트설정'!$B$7="","",'프로젝트설정'!$B$7-WEEKDAY('프로젝트설정'!$B$7,2)+1+217)</x:f>
      </x:c>
      <x:c r="AL5" s="12" t="str">
        <x:f>IF('프로젝트설정'!$B$7="","",'프로젝트설정'!$B$7-WEEKDAY('프로젝트설정'!$B$7,2)+1+224)</x:f>
      </x:c>
      <x:c r="AM5" s="12" t="str">
        <x:f>IF('프로젝트설정'!$B$7="","",'프로젝트설정'!$B$7-WEEKDAY('프로젝트설정'!$B$7,2)+1+231)</x:f>
      </x:c>
      <x:c r="AN5" s="12" t="str">
        <x:f>IF('프로젝트설정'!$B$7="","",'프로젝트설정'!$B$7-WEEKDAY('프로젝트설정'!$B$7,2)+1+238)</x:f>
      </x:c>
      <x:c r="AO5" s="12" t="str">
        <x:f>IF('프로젝트설정'!$B$7="","",'프로젝트설정'!$B$7-WEEKDAY('프로젝트설정'!$B$7,2)+1+245)</x:f>
      </x:c>
      <x:c r="AP5" s="12" t="str">
        <x:f>IF('프로젝트설정'!$B$7="","",'프로젝트설정'!$B$7-WEEKDAY('프로젝트설정'!$B$7,2)+1+252)</x:f>
      </x:c>
      <x:c r="AQ5" s="12" t="str">
        <x:f>IF('프로젝트설정'!$B$7="","",'프로젝트설정'!$B$7-WEEKDAY('프로젝트설정'!$B$7,2)+1+259)</x:f>
      </x:c>
      <x:c r="AR5" s="12" t="str">
        <x:f>IF('프로젝트설정'!$B$7="","",'프로젝트설정'!$B$7-WEEKDAY('프로젝트설정'!$B$7,2)+1+266)</x:f>
      </x:c>
      <x:c r="AS5" s="12" t="str">
        <x:f>IF('프로젝트설정'!$B$7="","",'프로젝트설정'!$B$7-WEEKDAY('프로젝트설정'!$B$7,2)+1+273)</x:f>
      </x:c>
      <x:c r="AT5" s="12" t="str">
        <x:f>IF('프로젝트설정'!$B$7="","",'프로젝트설정'!$B$7-WEEKDAY('프로젝트설정'!$B$7,2)+1+280)</x:f>
      </x:c>
      <x:c r="AU5" s="12" t="str">
        <x:f>IF('프로젝트설정'!$B$7="","",'프로젝트설정'!$B$7-WEEKDAY('프로젝트설정'!$B$7,2)+1+287)</x:f>
      </x:c>
      <x:c r="AV5" s="12" t="str">
        <x:f>IF('프로젝트설정'!$B$7="","",'프로젝트설정'!$B$7-WEEKDAY('프로젝트설정'!$B$7,2)+1+294)</x:f>
      </x:c>
      <x:c r="AW5" s="12" t="str">
        <x:f>IF('프로젝트설정'!$B$7="","",'프로젝트설정'!$B$7-WEEKDAY('프로젝트설정'!$B$7,2)+1+301)</x:f>
      </x:c>
      <x:c r="AX5" s="12" t="str">
        <x:f>IF('프로젝트설정'!$B$7="","",'프로젝트설정'!$B$7-WEEKDAY('프로젝트설정'!$B$7,2)+1+308)</x:f>
      </x:c>
      <x:c r="AY5" s="12" t="str">
        <x:f>IF('프로젝트설정'!$B$7="","",'프로젝트설정'!$B$7-WEEKDAY('프로젝트설정'!$B$7,2)+1+315)</x:f>
      </x:c>
      <x:c r="AZ5" s="12" t="str">
        <x:f>IF('프로젝트설정'!$B$7="","",'프로젝트설정'!$B$7-WEEKDAY('프로젝트설정'!$B$7,2)+1+322)</x:f>
      </x:c>
      <x:c r="BA5" s="12" t="str">
        <x:f>IF('프로젝트설정'!$B$7="","",'프로젝트설정'!$B$7-WEEKDAY('프로젝트설정'!$B$7,2)+1+329)</x:f>
      </x:c>
      <x:c r="BB5" s="12" t="str">
        <x:f>IF('프로젝트설정'!$B$7="","",'프로젝트설정'!$B$7-WEEKDAY('프로젝트설정'!$B$7,2)+1+336)</x:f>
      </x:c>
      <x:c r="BC5" s="12" t="str">
        <x:f>IF('프로젝트설정'!$B$7="","",'프로젝트설정'!$B$7-WEEKDAY('프로젝트설정'!$B$7,2)+1+343)</x:f>
      </x:c>
      <x:c r="BD5" s="12" t="str">
        <x:f>IF('프로젝트설정'!$B$7="","",'프로젝트설정'!$B$7-WEEKDAY('프로젝트설정'!$B$7,2)+1+350)</x:f>
      </x:c>
      <x:c r="BE5" s="12" t="str">
        <x:f>IF('프로젝트설정'!$B$7="","",'프로젝트설정'!$B$7-WEEKDAY('프로젝트설정'!$B$7,2)+1+357)</x:f>
      </x:c>
      <x:c r="BF5" s="12" t="str">
        <x:f>IF('프로젝트설정'!$B$7="","",'프로젝트설정'!$B$7-WEEKDAY('프로젝트설정'!$B$7,2)+1+364)</x:f>
      </x:c>
      <x:c r="BG5" s="12" t="str">
        <x:f>IF('프로젝트설정'!$B$7="","",'프로젝트설정'!$B$7-WEEKDAY('프로젝트설정'!$B$7,2)+1+371)</x:f>
      </x:c>
      <x:c r="BH5" s="12" t="str">
        <x:f>IF('프로젝트설정'!$B$7="","",'프로젝트설정'!$B$7-WEEKDAY('프로젝트설정'!$B$7,2)+1+378)</x:f>
      </x:c>
      <x:c r="BI5" s="12" t="str">
        <x:f>IF('프로젝트설정'!$B$7="","",'프로젝트설정'!$B$7-WEEKDAY('프로젝트설정'!$B$7,2)+1+385)</x:f>
      </x:c>
      <x:c r="BJ5" s="12" t="str">
        <x:f>IF('프로젝트설정'!$B$7="","",'프로젝트설정'!$B$7-WEEKDAY('프로젝트설정'!$B$7,2)+1+392)</x:f>
      </x:c>
      <x:c r="BK5" s="12" t="str">
        <x:f>IF('프로젝트설정'!$B$7="","",'프로젝트설정'!$B$7-WEEKDAY('프로젝트설정'!$B$7,2)+1+399)</x:f>
      </x:c>
      <x:c r="BL5" s="12" t="str">
        <x:f>IF('프로젝트설정'!$B$7="","",'프로젝트설정'!$B$7-WEEKDAY('프로젝트설정'!$B$7,2)+1+406)</x:f>
      </x:c>
      <x:c r="BM5" s="12" t="str">
        <x:f>IF('프로젝트설정'!$B$7="","",'프로젝트설정'!$B$7-WEEKDAY('프로젝트설정'!$B$7,2)+1+413)</x:f>
      </x:c>
      <x:c r="BN5" s="12" t="str">
        <x:f>IF('프로젝트설정'!$B$7="","",'프로젝트설정'!$B$7-WEEKDAY('프로젝트설정'!$B$7,2)+1+420)</x:f>
      </x:c>
      <x:c r="BO5" s="12" t="str">
        <x:f>IF('프로젝트설정'!$B$7="","",'프로젝트설정'!$B$7-WEEKDAY('프로젝트설정'!$B$7,2)+1+427)</x:f>
      </x:c>
      <x:c r="BP5" s="12" t="str">
        <x:f>IF('프로젝트설정'!$B$7="","",'프로젝트설정'!$B$7-WEEKDAY('프로젝트설정'!$B$7,2)+1+434)</x:f>
      </x:c>
      <x:c r="BQ5" s="12" t="str">
        <x:f>IF('프로젝트설정'!$B$7="","",'프로젝트설정'!$B$7-WEEKDAY('프로젝트설정'!$B$7,2)+1+441)</x:f>
      </x:c>
      <x:c r="BR5" s="12" t="str">
        <x:f>IF('프로젝트설정'!$B$7="","",'프로젝트설정'!$B$7-WEEKDAY('프로젝트설정'!$B$7,2)+1+448)</x:f>
      </x:c>
      <x:c r="BS5" s="12" t="str">
        <x:f>IF('프로젝트설정'!$B$7="","",'프로젝트설정'!$B$7-WEEKDAY('프로젝트설정'!$B$7,2)+1+455)</x:f>
      </x:c>
      <x:c r="BT5" s="12" t="str">
        <x:f>IF('프로젝트설정'!$B$7="","",'프로젝트설정'!$B$7-WEEKDAY('프로젝트설정'!$B$7,2)+1+462)</x:f>
      </x:c>
      <x:c r="BU5" s="12" t="str">
        <x:f>IF('프로젝트설정'!$B$7="","",'프로젝트설정'!$B$7-WEEKDAY('프로젝트설정'!$B$7,2)+1+469)</x:f>
      </x:c>
      <x:c r="BV5" s="12" t="str">
        <x:f>IF('프로젝트설정'!$B$7="","",'프로젝트설정'!$B$7-WEEKDAY('프로젝트설정'!$B$7,2)+1+476)</x:f>
      </x:c>
      <x:c r="BW5" s="12" t="str">
        <x:f>IF('프로젝트설정'!$B$7="","",'프로젝트설정'!$B$7-WEEKDAY('프로젝트설정'!$B$7,2)+1+483)</x:f>
      </x:c>
      <x:c r="BX5" s="12" t="str">
        <x:f>IF('프로젝트설정'!$B$7="","",'프로젝트설정'!$B$7-WEEKDAY('프로젝트설정'!$B$7,2)+1+490)</x:f>
      </x:c>
      <x:c r="BY5" s="12" t="str">
        <x:f>IF('프로젝트설정'!$B$7="","",'프로젝트설정'!$B$7-WEEKDAY('프로젝트설정'!$B$7,2)+1+497)</x:f>
      </x:c>
      <x:c r="BZ5" s="12" t="str">
        <x:f>IF('프로젝트설정'!$B$7="","",'프로젝트설정'!$B$7-WEEKDAY('프로젝트설정'!$B$7,2)+1+504)</x:f>
      </x:c>
      <x:c r="CA5" s="12" t="str">
        <x:f>IF('프로젝트설정'!$B$7="","",'프로젝트설정'!$B$7-WEEKDAY('프로젝트설정'!$B$7,2)+1+511)</x:f>
      </x:c>
      <x:c r="CB5" s="12" t="str">
        <x:f>IF('프로젝트설정'!$B$7="","",'프로젝트설정'!$B$7-WEEKDAY('프로젝트설정'!$B$7,2)+1+518)</x:f>
      </x:c>
      <x:c r="CC5" s="12" t="str">
        <x:f>IF('프로젝트설정'!$B$7="","",'프로젝트설정'!$B$7-WEEKDAY('프로젝트설정'!$B$7,2)+1+525)</x:f>
      </x:c>
      <x:c r="CD5" s="12" t="str">
        <x:f>IF('프로젝트설정'!$B$7="","",'프로젝트설정'!$B$7-WEEKDAY('프로젝트설정'!$B$7,2)+1+532)</x:f>
      </x:c>
      <x:c r="CE5" s="12" t="str">
        <x:f>IF('프로젝트설정'!$B$7="","",'프로젝트설정'!$B$7-WEEKDAY('프로젝트설정'!$B$7,2)+1+539)</x:f>
      </x:c>
      <x:c r="CF5" s="12" t="str">
        <x:f>IF('프로젝트설정'!$B$7="","",'프로젝트설정'!$B$7-WEEKDAY('프로젝트설정'!$B$7,2)+1+546)</x:f>
      </x:c>
      <x:c r="CG5" s="12" t="str">
        <x:f>IF('프로젝트설정'!$B$7="","",'프로젝트설정'!$B$7-WEEKDAY('프로젝트설정'!$B$7,2)+1+553)</x:f>
      </x:c>
      <x:c r="CH5" s="12" t="str">
        <x:f>IF('프로젝트설정'!$B$7="","",'프로젝트설정'!$B$7-WEEKDAY('프로젝트설정'!$B$7,2)+1+560)</x:f>
      </x:c>
      <x:c r="CI5" s="12" t="str">
        <x:f>IF('프로젝트설정'!$B$7="","",'프로젝트설정'!$B$7-WEEKDAY('프로젝트설정'!$B$7,2)+1+567)</x:f>
      </x:c>
      <x:c r="CJ5" s="12" t="str">
        <x:f>IF('프로젝트설정'!$B$7="","",'프로젝트설정'!$B$7-WEEKDAY('프로젝트설정'!$B$7,2)+1+574)</x:f>
      </x:c>
      <x:c r="CK5" s="12" t="str">
        <x:f>IF('프로젝트설정'!$B$7="","",'프로젝트설정'!$B$7-WEEKDAY('프로젝트설정'!$B$7,2)+1+581)</x:f>
      </x:c>
      <x:c r="CL5" s="12" t="str">
        <x:f>IF('프로젝트설정'!$B$7="","",'프로젝트설정'!$B$7-WEEKDAY('프로젝트설정'!$B$7,2)+1+588)</x:f>
      </x:c>
      <x:c r="CM5" s="12" t="str">
        <x:f>IF('프로젝트설정'!$B$7="","",'프로젝트설정'!$B$7-WEEKDAY('프로젝트설정'!$B$7,2)+1+595)</x:f>
      </x:c>
      <x:c r="CN5" s="12" t="str">
        <x:f>IF('프로젝트설정'!$B$7="","",'프로젝트설정'!$B$7-WEEKDAY('프로젝트설정'!$B$7,2)+1+602)</x:f>
      </x:c>
      <x:c r="CO5" s="12" t="str">
        <x:f>IF('프로젝트설정'!$B$7="","",'프로젝트설정'!$B$7-WEEKDAY('프로젝트설정'!$B$7,2)+1+609)</x:f>
      </x:c>
      <x:c r="CP5" s="12" t="str">
        <x:f>IF('프로젝트설정'!$B$7="","",'프로젝트설정'!$B$7-WEEKDAY('프로젝트설정'!$B$7,2)+1+616)</x:f>
      </x:c>
      <x:c r="CQ5" s="12" t="str">
        <x:f>IF('프로젝트설정'!$B$7="","",'프로젝트설정'!$B$7-WEEKDAY('프로젝트설정'!$B$7,2)+1+623)</x:f>
      </x:c>
      <x:c r="CR5" s="12" t="str">
        <x:f>IF('프로젝트설정'!$B$7="","",'프로젝트설정'!$B$7-WEEKDAY('프로젝트설정'!$B$7,2)+1+630)</x:f>
      </x:c>
      <x:c r="CS5" s="12" t="str">
        <x:f>IF('프로젝트설정'!$B$7="","",'프로젝트설정'!$B$7-WEEKDAY('프로젝트설정'!$B$7,2)+1+637)</x:f>
      </x:c>
      <x:c r="CT5" s="12" t="str">
        <x:f>IF('프로젝트설정'!$B$7="","",'프로젝트설정'!$B$7-WEEKDAY('프로젝트설정'!$B$7,2)+1+644)</x:f>
      </x:c>
      <x:c r="CU5" s="12" t="str">
        <x:f>IF('프로젝트설정'!$B$7="","",'프로젝트설정'!$B$7-WEEKDAY('프로젝트설정'!$B$7,2)+1+651)</x:f>
      </x:c>
      <x:c r="CV5" s="12" t="str">
        <x:f>IF('프로젝트설정'!$B$7="","",'프로젝트설정'!$B$7-WEEKDAY('프로젝트설정'!$B$7,2)+1+658)</x:f>
      </x:c>
      <x:c r="CW5" s="12" t="str">
        <x:f>IF('프로젝트설정'!$B$7="","",'프로젝트설정'!$B$7-WEEKDAY('프로젝트설정'!$B$7,2)+1+665)</x:f>
      </x:c>
      <x:c r="CX5" s="12" t="str">
        <x:f>IF('프로젝트설정'!$B$7="","",'프로젝트설정'!$B$7-WEEKDAY('프로젝트설정'!$B$7,2)+1+672)</x:f>
      </x:c>
      <x:c r="CY5" s="12" t="str">
        <x:f>IF('프로젝트설정'!$B$7="","",'프로젝트설정'!$B$7-WEEKDAY('프로젝트설정'!$B$7,2)+1+679)</x:f>
      </x:c>
      <x:c r="CZ5" s="12" t="str">
        <x:f>IF('프로젝트설정'!$B$7="","",'프로젝트설정'!$B$7-WEEKDAY('프로젝트설정'!$B$7,2)+1+686)</x:f>
      </x:c>
      <x:c r="DA5" s="12" t="str">
        <x:f>IF('프로젝트설정'!$B$7="","",'프로젝트설정'!$B$7-WEEKDAY('프로젝트설정'!$B$7,2)+1+693)</x:f>
      </x:c>
      <x:c r="DB5" s="12" t="str">
        <x:f>IF('프로젝트설정'!$B$7="","",'프로젝트설정'!$B$7-WEEKDAY('프로젝트설정'!$B$7,2)+1+700)</x:f>
      </x:c>
      <x:c r="DC5" s="12" t="str">
        <x:f>IF('프로젝트설정'!$B$7="","",'프로젝트설정'!$B$7-WEEKDAY('프로젝트설정'!$B$7,2)+1+707)</x:f>
      </x:c>
      <x:c r="DD5" s="12" t="str">
        <x:f>IF('프로젝트설정'!$B$7="","",'프로젝트설정'!$B$7-WEEKDAY('프로젝트설정'!$B$7,2)+1+714)</x:f>
      </x:c>
      <x:c r="DE5" s="12" t="str">
        <x:f>IF('프로젝트설정'!$B$7="","",'프로젝트설정'!$B$7-WEEKDAY('프로젝트설정'!$B$7,2)+1+721)</x:f>
      </x:c>
    </x:row>
    <x:row r="6" ht="34" customHeight="1">
      <x:c r="A6" s="7" t="str">
        <x:v>PM01</x:v>
      </x:c>
      <x:c r="B6" s="7" t="str">
        <x:v>01 사업기준·현황</x:v>
      </x:c>
      <x:c r="C6" s="7" t="str">
        <x:v>계약·착수계·사업범위 및 사업주체 재확인</x:v>
      </x:c>
      <x:c r="D6" s="10" t="str">
        <x:f>'상세일정'!AJ6</x:f>
      </x:c>
      <x:c r="E6" s="10" t="str">
        <x:f>'상세일정'!AK6</x:f>
      </x:c>
      <x:c r="F6" s="7" t="str">
        <x:f>IF(OR($D6="",F$5="",'상세일정'!AM6="제외"),"",IF($D6=$E6,IF(AND($D6&gt;=F$5,$D6&lt;F$5+7),"◆",""),IF(AND($D6&lt;F$5+7,$E6&gt;F$5),"■","")))</x:f>
      </x:c>
      <x:c r="G6" s="7" t="str">
        <x:f>IF(OR($D6="",G$5="",'상세일정'!AM6="제외"),"",IF($D6=$E6,IF(AND($D6&gt;=G$5,$D6&lt;G$5+7),"◆",""),IF(AND($D6&lt;G$5+7,$E6&gt;G$5),"■","")))</x:f>
      </x:c>
      <x:c r="H6" s="7" t="str">
        <x:f>IF(OR($D6="",H$5="",'상세일정'!AM6="제외"),"",IF($D6=$E6,IF(AND($D6&gt;=H$5,$D6&lt;H$5+7),"◆",""),IF(AND($D6&lt;H$5+7,$E6&gt;H$5),"■","")))</x:f>
      </x:c>
      <x:c r="I6" s="7" t="str">
        <x:f>IF(OR($D6="",I$5="",'상세일정'!AM6="제외"),"",IF($D6=$E6,IF(AND($D6&gt;=I$5,$D6&lt;I$5+7),"◆",""),IF(AND($D6&lt;I$5+7,$E6&gt;I$5),"■","")))</x:f>
      </x:c>
      <x:c r="J6" s="7" t="str">
        <x:f>IF(OR($D6="",J$5="",'상세일정'!AM6="제외"),"",IF($D6=$E6,IF(AND($D6&gt;=J$5,$D6&lt;J$5+7),"◆",""),IF(AND($D6&lt;J$5+7,$E6&gt;J$5),"■","")))</x:f>
      </x:c>
      <x:c r="K6" s="7" t="str">
        <x:f>IF(OR($D6="",K$5="",'상세일정'!AM6="제외"),"",IF($D6=$E6,IF(AND($D6&gt;=K$5,$D6&lt;K$5+7),"◆",""),IF(AND($D6&lt;K$5+7,$E6&gt;K$5),"■","")))</x:f>
      </x:c>
      <x:c r="L6" s="7" t="str">
        <x:f>IF(OR($D6="",L$5="",'상세일정'!AM6="제외"),"",IF($D6=$E6,IF(AND($D6&gt;=L$5,$D6&lt;L$5+7),"◆",""),IF(AND($D6&lt;L$5+7,$E6&gt;L$5),"■","")))</x:f>
      </x:c>
      <x:c r="M6" s="7" t="str">
        <x:f>IF(OR($D6="",M$5="",'상세일정'!AM6="제외"),"",IF($D6=$E6,IF(AND($D6&gt;=M$5,$D6&lt;M$5+7),"◆",""),IF(AND($D6&lt;M$5+7,$E6&gt;M$5),"■","")))</x:f>
      </x:c>
      <x:c r="N6" s="7" t="str">
        <x:f>IF(OR($D6="",N$5="",'상세일정'!AM6="제외"),"",IF($D6=$E6,IF(AND($D6&gt;=N$5,$D6&lt;N$5+7),"◆",""),IF(AND($D6&lt;N$5+7,$E6&gt;N$5),"■","")))</x:f>
      </x:c>
      <x:c r="O6" s="7" t="str">
        <x:f>IF(OR($D6="",O$5="",'상세일정'!AM6="제외"),"",IF($D6=$E6,IF(AND($D6&gt;=O$5,$D6&lt;O$5+7),"◆",""),IF(AND($D6&lt;O$5+7,$E6&gt;O$5),"■","")))</x:f>
      </x:c>
      <x:c r="P6" s="7" t="str">
        <x:f>IF(OR($D6="",P$5="",'상세일정'!AM6="제외"),"",IF($D6=$E6,IF(AND($D6&gt;=P$5,$D6&lt;P$5+7),"◆",""),IF(AND($D6&lt;P$5+7,$E6&gt;P$5),"■","")))</x:f>
      </x:c>
      <x:c r="Q6" s="7" t="str">
        <x:f>IF(OR($D6="",Q$5="",'상세일정'!AM6="제외"),"",IF($D6=$E6,IF(AND($D6&gt;=Q$5,$D6&lt;Q$5+7),"◆",""),IF(AND($D6&lt;Q$5+7,$E6&gt;Q$5),"■","")))</x:f>
      </x:c>
      <x:c r="R6" s="7" t="str">
        <x:f>IF(OR($D6="",R$5="",'상세일정'!AM6="제외"),"",IF($D6=$E6,IF(AND($D6&gt;=R$5,$D6&lt;R$5+7),"◆",""),IF(AND($D6&lt;R$5+7,$E6&gt;R$5),"■","")))</x:f>
      </x:c>
      <x:c r="S6" s="7" t="str">
        <x:f>IF(OR($D6="",S$5="",'상세일정'!AM6="제외"),"",IF($D6=$E6,IF(AND($D6&gt;=S$5,$D6&lt;S$5+7),"◆",""),IF(AND($D6&lt;S$5+7,$E6&gt;S$5),"■","")))</x:f>
      </x:c>
      <x:c r="T6" s="7" t="str">
        <x:f>IF(OR($D6="",T$5="",'상세일정'!AM6="제외"),"",IF($D6=$E6,IF(AND($D6&gt;=T$5,$D6&lt;T$5+7),"◆",""),IF(AND($D6&lt;T$5+7,$E6&gt;T$5),"■","")))</x:f>
      </x:c>
      <x:c r="U6" s="7" t="str">
        <x:f>IF(OR($D6="",U$5="",'상세일정'!AM6="제외"),"",IF($D6=$E6,IF(AND($D6&gt;=U$5,$D6&lt;U$5+7),"◆",""),IF(AND($D6&lt;U$5+7,$E6&gt;U$5),"■","")))</x:f>
      </x:c>
      <x:c r="V6" s="7" t="str">
        <x:f>IF(OR($D6="",V$5="",'상세일정'!AM6="제외"),"",IF($D6=$E6,IF(AND($D6&gt;=V$5,$D6&lt;V$5+7),"◆",""),IF(AND($D6&lt;V$5+7,$E6&gt;V$5),"■","")))</x:f>
      </x:c>
      <x:c r="W6" s="7" t="str">
        <x:f>IF(OR($D6="",W$5="",'상세일정'!AM6="제외"),"",IF($D6=$E6,IF(AND($D6&gt;=W$5,$D6&lt;W$5+7),"◆",""),IF(AND($D6&lt;W$5+7,$E6&gt;W$5),"■","")))</x:f>
      </x:c>
      <x:c r="X6" s="7" t="str">
        <x:f>IF(OR($D6="",X$5="",'상세일정'!AM6="제외"),"",IF($D6=$E6,IF(AND($D6&gt;=X$5,$D6&lt;X$5+7),"◆",""),IF(AND($D6&lt;X$5+7,$E6&gt;X$5),"■","")))</x:f>
      </x:c>
      <x:c r="Y6" s="7" t="str">
        <x:f>IF(OR($D6="",Y$5="",'상세일정'!AM6="제외"),"",IF($D6=$E6,IF(AND($D6&gt;=Y$5,$D6&lt;Y$5+7),"◆",""),IF(AND($D6&lt;Y$5+7,$E6&gt;Y$5),"■","")))</x:f>
      </x:c>
      <x:c r="Z6" s="7" t="str">
        <x:f>IF(OR($D6="",Z$5="",'상세일정'!AM6="제외"),"",IF($D6=$E6,IF(AND($D6&gt;=Z$5,$D6&lt;Z$5+7),"◆",""),IF(AND($D6&lt;Z$5+7,$E6&gt;Z$5),"■","")))</x:f>
      </x:c>
      <x:c r="AA6" s="7" t="str">
        <x:f>IF(OR($D6="",AA$5="",'상세일정'!AM6="제외"),"",IF($D6=$E6,IF(AND($D6&gt;=AA$5,$D6&lt;AA$5+7),"◆",""),IF(AND($D6&lt;AA$5+7,$E6&gt;AA$5),"■","")))</x:f>
      </x:c>
      <x:c r="AB6" s="7" t="str">
        <x:f>IF(OR($D6="",AB$5="",'상세일정'!AM6="제외"),"",IF($D6=$E6,IF(AND($D6&gt;=AB$5,$D6&lt;AB$5+7),"◆",""),IF(AND($D6&lt;AB$5+7,$E6&gt;AB$5),"■","")))</x:f>
      </x:c>
      <x:c r="AC6" s="7" t="str">
        <x:f>IF(OR($D6="",AC$5="",'상세일정'!AM6="제외"),"",IF($D6=$E6,IF(AND($D6&gt;=AC$5,$D6&lt;AC$5+7),"◆",""),IF(AND($D6&lt;AC$5+7,$E6&gt;AC$5),"■","")))</x:f>
      </x:c>
      <x:c r="AD6" s="7" t="str">
        <x:f>IF(OR($D6="",AD$5="",'상세일정'!AM6="제외"),"",IF($D6=$E6,IF(AND($D6&gt;=AD$5,$D6&lt;AD$5+7),"◆",""),IF(AND($D6&lt;AD$5+7,$E6&gt;AD$5),"■","")))</x:f>
      </x:c>
      <x:c r="AE6" s="7" t="str">
        <x:f>IF(OR($D6="",AE$5="",'상세일정'!AM6="제외"),"",IF($D6=$E6,IF(AND($D6&gt;=AE$5,$D6&lt;AE$5+7),"◆",""),IF(AND($D6&lt;AE$5+7,$E6&gt;AE$5),"■","")))</x:f>
      </x:c>
      <x:c r="AF6" s="7" t="str">
        <x:f>IF(OR($D6="",AF$5="",'상세일정'!AM6="제외"),"",IF($D6=$E6,IF(AND($D6&gt;=AF$5,$D6&lt;AF$5+7),"◆",""),IF(AND($D6&lt;AF$5+7,$E6&gt;AF$5),"■","")))</x:f>
      </x:c>
      <x:c r="AG6" s="7" t="str">
        <x:f>IF(OR($D6="",AG$5="",'상세일정'!AM6="제외"),"",IF($D6=$E6,IF(AND($D6&gt;=AG$5,$D6&lt;AG$5+7),"◆",""),IF(AND($D6&lt;AG$5+7,$E6&gt;AG$5),"■","")))</x:f>
      </x:c>
      <x:c r="AH6" s="7" t="str">
        <x:f>IF(OR($D6="",AH$5="",'상세일정'!AM6="제외"),"",IF($D6=$E6,IF(AND($D6&gt;=AH$5,$D6&lt;AH$5+7),"◆",""),IF(AND($D6&lt;AH$5+7,$E6&gt;AH$5),"■","")))</x:f>
      </x:c>
      <x:c r="AI6" s="7" t="str">
        <x:f>IF(OR($D6="",AI$5="",'상세일정'!AM6="제외"),"",IF($D6=$E6,IF(AND($D6&gt;=AI$5,$D6&lt;AI$5+7),"◆",""),IF(AND($D6&lt;AI$5+7,$E6&gt;AI$5),"■","")))</x:f>
      </x:c>
      <x:c r="AJ6" s="7" t="str">
        <x:f>IF(OR($D6="",AJ$5="",'상세일정'!AM6="제외"),"",IF($D6=$E6,IF(AND($D6&gt;=AJ$5,$D6&lt;AJ$5+7),"◆",""),IF(AND($D6&lt;AJ$5+7,$E6&gt;AJ$5),"■","")))</x:f>
      </x:c>
      <x:c r="AK6" s="7" t="str">
        <x:f>IF(OR($D6="",AK$5="",'상세일정'!AM6="제외"),"",IF($D6=$E6,IF(AND($D6&gt;=AK$5,$D6&lt;AK$5+7),"◆",""),IF(AND($D6&lt;AK$5+7,$E6&gt;AK$5),"■","")))</x:f>
      </x:c>
      <x:c r="AL6" s="7" t="str">
        <x:f>IF(OR($D6="",AL$5="",'상세일정'!AM6="제외"),"",IF($D6=$E6,IF(AND($D6&gt;=AL$5,$D6&lt;AL$5+7),"◆",""),IF(AND($D6&lt;AL$5+7,$E6&gt;AL$5),"■","")))</x:f>
      </x:c>
      <x:c r="AM6" s="7" t="str">
        <x:f>IF(OR($D6="",AM$5="",'상세일정'!AM6="제외"),"",IF($D6=$E6,IF(AND($D6&gt;=AM$5,$D6&lt;AM$5+7),"◆",""),IF(AND($D6&lt;AM$5+7,$E6&gt;AM$5),"■","")))</x:f>
      </x:c>
      <x:c r="AN6" s="7" t="str">
        <x:f>IF(OR($D6="",AN$5="",'상세일정'!AM6="제외"),"",IF($D6=$E6,IF(AND($D6&gt;=AN$5,$D6&lt;AN$5+7),"◆",""),IF(AND($D6&lt;AN$5+7,$E6&gt;AN$5),"■","")))</x:f>
      </x:c>
      <x:c r="AO6" s="7" t="str">
        <x:f>IF(OR($D6="",AO$5="",'상세일정'!AM6="제외"),"",IF($D6=$E6,IF(AND($D6&gt;=AO$5,$D6&lt;AO$5+7),"◆",""),IF(AND($D6&lt;AO$5+7,$E6&gt;AO$5),"■","")))</x:f>
      </x:c>
      <x:c r="AP6" s="7" t="str">
        <x:f>IF(OR($D6="",AP$5="",'상세일정'!AM6="제외"),"",IF($D6=$E6,IF(AND($D6&gt;=AP$5,$D6&lt;AP$5+7),"◆",""),IF(AND($D6&lt;AP$5+7,$E6&gt;AP$5),"■","")))</x:f>
      </x:c>
      <x:c r="AQ6" s="7" t="str">
        <x:f>IF(OR($D6="",AQ$5="",'상세일정'!AM6="제외"),"",IF($D6=$E6,IF(AND($D6&gt;=AQ$5,$D6&lt;AQ$5+7),"◆",""),IF(AND($D6&lt;AQ$5+7,$E6&gt;AQ$5),"■","")))</x:f>
      </x:c>
      <x:c r="AR6" s="7" t="str">
        <x:f>IF(OR($D6="",AR$5="",'상세일정'!AM6="제외"),"",IF($D6=$E6,IF(AND($D6&gt;=AR$5,$D6&lt;AR$5+7),"◆",""),IF(AND($D6&lt;AR$5+7,$E6&gt;AR$5),"■","")))</x:f>
      </x:c>
      <x:c r="AS6" s="7" t="str">
        <x:f>IF(OR($D6="",AS$5="",'상세일정'!AM6="제외"),"",IF($D6=$E6,IF(AND($D6&gt;=AS$5,$D6&lt;AS$5+7),"◆",""),IF(AND($D6&lt;AS$5+7,$E6&gt;AS$5),"■","")))</x:f>
      </x:c>
      <x:c r="AT6" s="7" t="str">
        <x:f>IF(OR($D6="",AT$5="",'상세일정'!AM6="제외"),"",IF($D6=$E6,IF(AND($D6&gt;=AT$5,$D6&lt;AT$5+7),"◆",""),IF(AND($D6&lt;AT$5+7,$E6&gt;AT$5),"■","")))</x:f>
      </x:c>
      <x:c r="AU6" s="7" t="str">
        <x:f>IF(OR($D6="",AU$5="",'상세일정'!AM6="제외"),"",IF($D6=$E6,IF(AND($D6&gt;=AU$5,$D6&lt;AU$5+7),"◆",""),IF(AND($D6&lt;AU$5+7,$E6&gt;AU$5),"■","")))</x:f>
      </x:c>
      <x:c r="AV6" s="7" t="str">
        <x:f>IF(OR($D6="",AV$5="",'상세일정'!AM6="제외"),"",IF($D6=$E6,IF(AND($D6&gt;=AV$5,$D6&lt;AV$5+7),"◆",""),IF(AND($D6&lt;AV$5+7,$E6&gt;AV$5),"■","")))</x:f>
      </x:c>
      <x:c r="AW6" s="7" t="str">
        <x:f>IF(OR($D6="",AW$5="",'상세일정'!AM6="제외"),"",IF($D6=$E6,IF(AND($D6&gt;=AW$5,$D6&lt;AW$5+7),"◆",""),IF(AND($D6&lt;AW$5+7,$E6&gt;AW$5),"■","")))</x:f>
      </x:c>
      <x:c r="AX6" s="7" t="str">
        <x:f>IF(OR($D6="",AX$5="",'상세일정'!AM6="제외"),"",IF($D6=$E6,IF(AND($D6&gt;=AX$5,$D6&lt;AX$5+7),"◆",""),IF(AND($D6&lt;AX$5+7,$E6&gt;AX$5),"■","")))</x:f>
      </x:c>
      <x:c r="AY6" s="7" t="str">
        <x:f>IF(OR($D6="",AY$5="",'상세일정'!AM6="제외"),"",IF($D6=$E6,IF(AND($D6&gt;=AY$5,$D6&lt;AY$5+7),"◆",""),IF(AND($D6&lt;AY$5+7,$E6&gt;AY$5),"■","")))</x:f>
      </x:c>
      <x:c r="AZ6" s="7" t="str">
        <x:f>IF(OR($D6="",AZ$5="",'상세일정'!AM6="제외"),"",IF($D6=$E6,IF(AND($D6&gt;=AZ$5,$D6&lt;AZ$5+7),"◆",""),IF(AND($D6&lt;AZ$5+7,$E6&gt;AZ$5),"■","")))</x:f>
      </x:c>
      <x:c r="BA6" s="7" t="str">
        <x:f>IF(OR($D6="",BA$5="",'상세일정'!AM6="제외"),"",IF($D6=$E6,IF(AND($D6&gt;=BA$5,$D6&lt;BA$5+7),"◆",""),IF(AND($D6&lt;BA$5+7,$E6&gt;BA$5),"■","")))</x:f>
      </x:c>
      <x:c r="BB6" s="7" t="str">
        <x:f>IF(OR($D6="",BB$5="",'상세일정'!AM6="제외"),"",IF($D6=$E6,IF(AND($D6&gt;=BB$5,$D6&lt;BB$5+7),"◆",""),IF(AND($D6&lt;BB$5+7,$E6&gt;BB$5),"■","")))</x:f>
      </x:c>
      <x:c r="BC6" s="7" t="str">
        <x:f>IF(OR($D6="",BC$5="",'상세일정'!AM6="제외"),"",IF($D6=$E6,IF(AND($D6&gt;=BC$5,$D6&lt;BC$5+7),"◆",""),IF(AND($D6&lt;BC$5+7,$E6&gt;BC$5),"■","")))</x:f>
      </x:c>
      <x:c r="BD6" s="7" t="str">
        <x:f>IF(OR($D6="",BD$5="",'상세일정'!AM6="제외"),"",IF($D6=$E6,IF(AND($D6&gt;=BD$5,$D6&lt;BD$5+7),"◆",""),IF(AND($D6&lt;BD$5+7,$E6&gt;BD$5),"■","")))</x:f>
      </x:c>
      <x:c r="BE6" s="7" t="str">
        <x:f>IF(OR($D6="",BE$5="",'상세일정'!AM6="제외"),"",IF($D6=$E6,IF(AND($D6&gt;=BE$5,$D6&lt;BE$5+7),"◆",""),IF(AND($D6&lt;BE$5+7,$E6&gt;BE$5),"■","")))</x:f>
      </x:c>
      <x:c r="BF6" s="7" t="str">
        <x:f>IF(OR($D6="",BF$5="",'상세일정'!AM6="제외"),"",IF($D6=$E6,IF(AND($D6&gt;=BF$5,$D6&lt;BF$5+7),"◆",""),IF(AND($D6&lt;BF$5+7,$E6&gt;BF$5),"■","")))</x:f>
      </x:c>
      <x:c r="BG6" s="7" t="str">
        <x:f>IF(OR($D6="",BG$5="",'상세일정'!AM6="제외"),"",IF($D6=$E6,IF(AND($D6&gt;=BG$5,$D6&lt;BG$5+7),"◆",""),IF(AND($D6&lt;BG$5+7,$E6&gt;BG$5),"■","")))</x:f>
      </x:c>
      <x:c r="BH6" s="7" t="str">
        <x:f>IF(OR($D6="",BH$5="",'상세일정'!AM6="제외"),"",IF($D6=$E6,IF(AND($D6&gt;=BH$5,$D6&lt;BH$5+7),"◆",""),IF(AND($D6&lt;BH$5+7,$E6&gt;BH$5),"■","")))</x:f>
      </x:c>
      <x:c r="BI6" s="7" t="str">
        <x:f>IF(OR($D6="",BI$5="",'상세일정'!AM6="제외"),"",IF($D6=$E6,IF(AND($D6&gt;=BI$5,$D6&lt;BI$5+7),"◆",""),IF(AND($D6&lt;BI$5+7,$E6&gt;BI$5),"■","")))</x:f>
      </x:c>
      <x:c r="BJ6" s="7" t="str">
        <x:f>IF(OR($D6="",BJ$5="",'상세일정'!AM6="제외"),"",IF($D6=$E6,IF(AND($D6&gt;=BJ$5,$D6&lt;BJ$5+7),"◆",""),IF(AND($D6&lt;BJ$5+7,$E6&gt;BJ$5),"■","")))</x:f>
      </x:c>
      <x:c r="BK6" s="7" t="str">
        <x:f>IF(OR($D6="",BK$5="",'상세일정'!AM6="제외"),"",IF($D6=$E6,IF(AND($D6&gt;=BK$5,$D6&lt;BK$5+7),"◆",""),IF(AND($D6&lt;BK$5+7,$E6&gt;BK$5),"■","")))</x:f>
      </x:c>
      <x:c r="BL6" s="7" t="str">
        <x:f>IF(OR($D6="",BL$5="",'상세일정'!AM6="제외"),"",IF($D6=$E6,IF(AND($D6&gt;=BL$5,$D6&lt;BL$5+7),"◆",""),IF(AND($D6&lt;BL$5+7,$E6&gt;BL$5),"■","")))</x:f>
      </x:c>
      <x:c r="BM6" s="7" t="str">
        <x:f>IF(OR($D6="",BM$5="",'상세일정'!AM6="제외"),"",IF($D6=$E6,IF(AND($D6&gt;=BM$5,$D6&lt;BM$5+7),"◆",""),IF(AND($D6&lt;BM$5+7,$E6&gt;BM$5),"■","")))</x:f>
      </x:c>
      <x:c r="BN6" s="7" t="str">
        <x:f>IF(OR($D6="",BN$5="",'상세일정'!AM6="제외"),"",IF($D6=$E6,IF(AND($D6&gt;=BN$5,$D6&lt;BN$5+7),"◆",""),IF(AND($D6&lt;BN$5+7,$E6&gt;BN$5),"■","")))</x:f>
      </x:c>
      <x:c r="BO6" s="7" t="str">
        <x:f>IF(OR($D6="",BO$5="",'상세일정'!AM6="제외"),"",IF($D6=$E6,IF(AND($D6&gt;=BO$5,$D6&lt;BO$5+7),"◆",""),IF(AND($D6&lt;BO$5+7,$E6&gt;BO$5),"■","")))</x:f>
      </x:c>
      <x:c r="BP6" s="7" t="str">
        <x:f>IF(OR($D6="",BP$5="",'상세일정'!AM6="제외"),"",IF($D6=$E6,IF(AND($D6&gt;=BP$5,$D6&lt;BP$5+7),"◆",""),IF(AND($D6&lt;BP$5+7,$E6&gt;BP$5),"■","")))</x:f>
      </x:c>
      <x:c r="BQ6" s="7" t="str">
        <x:f>IF(OR($D6="",BQ$5="",'상세일정'!AM6="제외"),"",IF($D6=$E6,IF(AND($D6&gt;=BQ$5,$D6&lt;BQ$5+7),"◆",""),IF(AND($D6&lt;BQ$5+7,$E6&gt;BQ$5),"■","")))</x:f>
      </x:c>
      <x:c r="BR6" s="7" t="str">
        <x:f>IF(OR($D6="",BR$5="",'상세일정'!AM6="제외"),"",IF($D6=$E6,IF(AND($D6&gt;=BR$5,$D6&lt;BR$5+7),"◆",""),IF(AND($D6&lt;BR$5+7,$E6&gt;BR$5),"■","")))</x:f>
      </x:c>
      <x:c r="BS6" s="7" t="str">
        <x:f>IF(OR($D6="",BS$5="",'상세일정'!AM6="제외"),"",IF($D6=$E6,IF(AND($D6&gt;=BS$5,$D6&lt;BS$5+7),"◆",""),IF(AND($D6&lt;BS$5+7,$E6&gt;BS$5),"■","")))</x:f>
      </x:c>
      <x:c r="BT6" s="7" t="str">
        <x:f>IF(OR($D6="",BT$5="",'상세일정'!AM6="제외"),"",IF($D6=$E6,IF(AND($D6&gt;=BT$5,$D6&lt;BT$5+7),"◆",""),IF(AND($D6&lt;BT$5+7,$E6&gt;BT$5),"■","")))</x:f>
      </x:c>
      <x:c r="BU6" s="7" t="str">
        <x:f>IF(OR($D6="",BU$5="",'상세일정'!AM6="제외"),"",IF($D6=$E6,IF(AND($D6&gt;=BU$5,$D6&lt;BU$5+7),"◆",""),IF(AND($D6&lt;BU$5+7,$E6&gt;BU$5),"■","")))</x:f>
      </x:c>
      <x:c r="BV6" s="7" t="str">
        <x:f>IF(OR($D6="",BV$5="",'상세일정'!AM6="제외"),"",IF($D6=$E6,IF(AND($D6&gt;=BV$5,$D6&lt;BV$5+7),"◆",""),IF(AND($D6&lt;BV$5+7,$E6&gt;BV$5),"■","")))</x:f>
      </x:c>
      <x:c r="BW6" s="7" t="str">
        <x:f>IF(OR($D6="",BW$5="",'상세일정'!AM6="제외"),"",IF($D6=$E6,IF(AND($D6&gt;=BW$5,$D6&lt;BW$5+7),"◆",""),IF(AND($D6&lt;BW$5+7,$E6&gt;BW$5),"■","")))</x:f>
      </x:c>
      <x:c r="BX6" s="7" t="str">
        <x:f>IF(OR($D6="",BX$5="",'상세일정'!AM6="제외"),"",IF($D6=$E6,IF(AND($D6&gt;=BX$5,$D6&lt;BX$5+7),"◆",""),IF(AND($D6&lt;BX$5+7,$E6&gt;BX$5),"■","")))</x:f>
      </x:c>
      <x:c r="BY6" s="7" t="str">
        <x:f>IF(OR($D6="",BY$5="",'상세일정'!AM6="제외"),"",IF($D6=$E6,IF(AND($D6&gt;=BY$5,$D6&lt;BY$5+7),"◆",""),IF(AND($D6&lt;BY$5+7,$E6&gt;BY$5),"■","")))</x:f>
      </x:c>
      <x:c r="BZ6" s="7" t="str">
        <x:f>IF(OR($D6="",BZ$5="",'상세일정'!AM6="제외"),"",IF($D6=$E6,IF(AND($D6&gt;=BZ$5,$D6&lt;BZ$5+7),"◆",""),IF(AND($D6&lt;BZ$5+7,$E6&gt;BZ$5),"■","")))</x:f>
      </x:c>
      <x:c r="CA6" s="7" t="str">
        <x:f>IF(OR($D6="",CA$5="",'상세일정'!AM6="제외"),"",IF($D6=$E6,IF(AND($D6&gt;=CA$5,$D6&lt;CA$5+7),"◆",""),IF(AND($D6&lt;CA$5+7,$E6&gt;CA$5),"■","")))</x:f>
      </x:c>
      <x:c r="CB6" s="7" t="str">
        <x:f>IF(OR($D6="",CB$5="",'상세일정'!AM6="제외"),"",IF($D6=$E6,IF(AND($D6&gt;=CB$5,$D6&lt;CB$5+7),"◆",""),IF(AND($D6&lt;CB$5+7,$E6&gt;CB$5),"■","")))</x:f>
      </x:c>
      <x:c r="CC6" s="7" t="str">
        <x:f>IF(OR($D6="",CC$5="",'상세일정'!AM6="제외"),"",IF($D6=$E6,IF(AND($D6&gt;=CC$5,$D6&lt;CC$5+7),"◆",""),IF(AND($D6&lt;CC$5+7,$E6&gt;CC$5),"■","")))</x:f>
      </x:c>
      <x:c r="CD6" s="7" t="str">
        <x:f>IF(OR($D6="",CD$5="",'상세일정'!AM6="제외"),"",IF($D6=$E6,IF(AND($D6&gt;=CD$5,$D6&lt;CD$5+7),"◆",""),IF(AND($D6&lt;CD$5+7,$E6&gt;CD$5),"■","")))</x:f>
      </x:c>
      <x:c r="CE6" s="7" t="str">
        <x:f>IF(OR($D6="",CE$5="",'상세일정'!AM6="제외"),"",IF($D6=$E6,IF(AND($D6&gt;=CE$5,$D6&lt;CE$5+7),"◆",""),IF(AND($D6&lt;CE$5+7,$E6&gt;CE$5),"■","")))</x:f>
      </x:c>
      <x:c r="CF6" s="7" t="str">
        <x:f>IF(OR($D6="",CF$5="",'상세일정'!AM6="제외"),"",IF($D6=$E6,IF(AND($D6&gt;=CF$5,$D6&lt;CF$5+7),"◆",""),IF(AND($D6&lt;CF$5+7,$E6&gt;CF$5),"■","")))</x:f>
      </x:c>
      <x:c r="CG6" s="7" t="str">
        <x:f>IF(OR($D6="",CG$5="",'상세일정'!AM6="제외"),"",IF($D6=$E6,IF(AND($D6&gt;=CG$5,$D6&lt;CG$5+7),"◆",""),IF(AND($D6&lt;CG$5+7,$E6&gt;CG$5),"■","")))</x:f>
      </x:c>
      <x:c r="CH6" s="7" t="str">
        <x:f>IF(OR($D6="",CH$5="",'상세일정'!AM6="제외"),"",IF($D6=$E6,IF(AND($D6&gt;=CH$5,$D6&lt;CH$5+7),"◆",""),IF(AND($D6&lt;CH$5+7,$E6&gt;CH$5),"■","")))</x:f>
      </x:c>
      <x:c r="CI6" s="7" t="str">
        <x:f>IF(OR($D6="",CI$5="",'상세일정'!AM6="제외"),"",IF($D6=$E6,IF(AND($D6&gt;=CI$5,$D6&lt;CI$5+7),"◆",""),IF(AND($D6&lt;CI$5+7,$E6&gt;CI$5),"■","")))</x:f>
      </x:c>
      <x:c r="CJ6" s="7" t="str">
        <x:f>IF(OR($D6="",CJ$5="",'상세일정'!AM6="제외"),"",IF($D6=$E6,IF(AND($D6&gt;=CJ$5,$D6&lt;CJ$5+7),"◆",""),IF(AND($D6&lt;CJ$5+7,$E6&gt;CJ$5),"■","")))</x:f>
      </x:c>
      <x:c r="CK6" s="7" t="str">
        <x:f>IF(OR($D6="",CK$5="",'상세일정'!AM6="제외"),"",IF($D6=$E6,IF(AND($D6&gt;=CK$5,$D6&lt;CK$5+7),"◆",""),IF(AND($D6&lt;CK$5+7,$E6&gt;CK$5),"■","")))</x:f>
      </x:c>
      <x:c r="CL6" s="7" t="str">
        <x:f>IF(OR($D6="",CL$5="",'상세일정'!AM6="제외"),"",IF($D6=$E6,IF(AND($D6&gt;=CL$5,$D6&lt;CL$5+7),"◆",""),IF(AND($D6&lt;CL$5+7,$E6&gt;CL$5),"■","")))</x:f>
      </x:c>
      <x:c r="CM6" s="7" t="str">
        <x:f>IF(OR($D6="",CM$5="",'상세일정'!AM6="제외"),"",IF($D6=$E6,IF(AND($D6&gt;=CM$5,$D6&lt;CM$5+7),"◆",""),IF(AND($D6&lt;CM$5+7,$E6&gt;CM$5),"■","")))</x:f>
      </x:c>
      <x:c r="CN6" s="7" t="str">
        <x:f>IF(OR($D6="",CN$5="",'상세일정'!AM6="제외"),"",IF($D6=$E6,IF(AND($D6&gt;=CN$5,$D6&lt;CN$5+7),"◆",""),IF(AND($D6&lt;CN$5+7,$E6&gt;CN$5),"■","")))</x:f>
      </x:c>
      <x:c r="CO6" s="7" t="str">
        <x:f>IF(OR($D6="",CO$5="",'상세일정'!AM6="제외"),"",IF($D6=$E6,IF(AND($D6&gt;=CO$5,$D6&lt;CO$5+7),"◆",""),IF(AND($D6&lt;CO$5+7,$E6&gt;CO$5),"■","")))</x:f>
      </x:c>
      <x:c r="CP6" s="7" t="str">
        <x:f>IF(OR($D6="",CP$5="",'상세일정'!AM6="제외"),"",IF($D6=$E6,IF(AND($D6&gt;=CP$5,$D6&lt;CP$5+7),"◆",""),IF(AND($D6&lt;CP$5+7,$E6&gt;CP$5),"■","")))</x:f>
      </x:c>
      <x:c r="CQ6" s="7" t="str">
        <x:f>IF(OR($D6="",CQ$5="",'상세일정'!AM6="제외"),"",IF($D6=$E6,IF(AND($D6&gt;=CQ$5,$D6&lt;CQ$5+7),"◆",""),IF(AND($D6&lt;CQ$5+7,$E6&gt;CQ$5),"■","")))</x:f>
      </x:c>
      <x:c r="CR6" s="7" t="str">
        <x:f>IF(OR($D6="",CR$5="",'상세일정'!AM6="제외"),"",IF($D6=$E6,IF(AND($D6&gt;=CR$5,$D6&lt;CR$5+7),"◆",""),IF(AND($D6&lt;CR$5+7,$E6&gt;CR$5),"■","")))</x:f>
      </x:c>
      <x:c r="CS6" s="7" t="str">
        <x:f>IF(OR($D6="",CS$5="",'상세일정'!AM6="제외"),"",IF($D6=$E6,IF(AND($D6&gt;=CS$5,$D6&lt;CS$5+7),"◆",""),IF(AND($D6&lt;CS$5+7,$E6&gt;CS$5),"■","")))</x:f>
      </x:c>
      <x:c r="CT6" s="7" t="str">
        <x:f>IF(OR($D6="",CT$5="",'상세일정'!AM6="제외"),"",IF($D6=$E6,IF(AND($D6&gt;=CT$5,$D6&lt;CT$5+7),"◆",""),IF(AND($D6&lt;CT$5+7,$E6&gt;CT$5),"■","")))</x:f>
      </x:c>
      <x:c r="CU6" s="7" t="str">
        <x:f>IF(OR($D6="",CU$5="",'상세일정'!AM6="제외"),"",IF($D6=$E6,IF(AND($D6&gt;=CU$5,$D6&lt;CU$5+7),"◆",""),IF(AND($D6&lt;CU$5+7,$E6&gt;CU$5),"■","")))</x:f>
      </x:c>
      <x:c r="CV6" s="7" t="str">
        <x:f>IF(OR($D6="",CV$5="",'상세일정'!AM6="제외"),"",IF($D6=$E6,IF(AND($D6&gt;=CV$5,$D6&lt;CV$5+7),"◆",""),IF(AND($D6&lt;CV$5+7,$E6&gt;CV$5),"■","")))</x:f>
      </x:c>
      <x:c r="CW6" s="7" t="str">
        <x:f>IF(OR($D6="",CW$5="",'상세일정'!AM6="제외"),"",IF($D6=$E6,IF(AND($D6&gt;=CW$5,$D6&lt;CW$5+7),"◆",""),IF(AND($D6&lt;CW$5+7,$E6&gt;CW$5),"■","")))</x:f>
      </x:c>
      <x:c r="CX6" s="7" t="str">
        <x:f>IF(OR($D6="",CX$5="",'상세일정'!AM6="제외"),"",IF($D6=$E6,IF(AND($D6&gt;=CX$5,$D6&lt;CX$5+7),"◆",""),IF(AND($D6&lt;CX$5+7,$E6&gt;CX$5),"■","")))</x:f>
      </x:c>
      <x:c r="CY6" s="7" t="str">
        <x:f>IF(OR($D6="",CY$5="",'상세일정'!AM6="제외"),"",IF($D6=$E6,IF(AND($D6&gt;=CY$5,$D6&lt;CY$5+7),"◆",""),IF(AND($D6&lt;CY$5+7,$E6&gt;CY$5),"■","")))</x:f>
      </x:c>
      <x:c r="CZ6" s="7" t="str">
        <x:f>IF(OR($D6="",CZ$5="",'상세일정'!AM6="제외"),"",IF($D6=$E6,IF(AND($D6&gt;=CZ$5,$D6&lt;CZ$5+7),"◆",""),IF(AND($D6&lt;CZ$5+7,$E6&gt;CZ$5),"■","")))</x:f>
      </x:c>
      <x:c r="DA6" s="7" t="str">
        <x:f>IF(OR($D6="",DA$5="",'상세일정'!AM6="제외"),"",IF($D6=$E6,IF(AND($D6&gt;=DA$5,$D6&lt;DA$5+7),"◆",""),IF(AND($D6&lt;DA$5+7,$E6&gt;DA$5),"■","")))</x:f>
      </x:c>
      <x:c r="DB6" s="7" t="str">
        <x:f>IF(OR($D6="",DB$5="",'상세일정'!AM6="제외"),"",IF($D6=$E6,IF(AND($D6&gt;=DB$5,$D6&lt;DB$5+7),"◆",""),IF(AND($D6&lt;DB$5+7,$E6&gt;DB$5),"■","")))</x:f>
      </x:c>
      <x:c r="DC6" s="7" t="str">
        <x:f>IF(OR($D6="",DC$5="",'상세일정'!AM6="제외"),"",IF($D6=$E6,IF(AND($D6&gt;=DC$5,$D6&lt;DC$5+7),"◆",""),IF(AND($D6&lt;DC$5+7,$E6&gt;DC$5),"■","")))</x:f>
      </x:c>
      <x:c r="DD6" s="7" t="str">
        <x:f>IF(OR($D6="",DD$5="",'상세일정'!AM6="제외"),"",IF($D6=$E6,IF(AND($D6&gt;=DD$5,$D6&lt;DD$5+7),"◆",""),IF(AND($D6&lt;DD$5+7,$E6&gt;DD$5),"■","")))</x:f>
      </x:c>
      <x:c r="DE6" s="7" t="str">
        <x:f>IF(OR($D6="",DE$5="",'상세일정'!AM6="제외"),"",IF($D6=$E6,IF(AND($D6&gt;=DE$5,$D6&lt;DE$5+7),"◆",""),IF(AND($D6&lt;DE$5+7,$E6&gt;DE$5),"■","")))</x:f>
      </x:c>
    </x:row>
    <x:row r="7" ht="34" customHeight="1">
      <x:c r="A7" s="7" t="str">
        <x:v>PM02</x:v>
      </x:c>
      <x:c r="B7" s="7" t="str">
        <x:v>01 사업기준·현황</x:v>
      </x:c>
      <x:c r="C7" s="7" t="str">
        <x:v>문서번호·WBS·회신대장·기준일 등록</x:v>
      </x:c>
      <x:c r="D7" s="10" t="str">
        <x:f>'상세일정'!AJ7</x:f>
      </x:c>
      <x:c r="E7" s="10" t="str">
        <x:f>'상세일정'!AK7</x:f>
      </x:c>
      <x:c r="F7" s="7" t="str">
        <x:f>IF(OR($D7="",F$5="",'상세일정'!AM7="제외"),"",IF($D7=$E7,IF(AND($D7&gt;=F$5,$D7&lt;F$5+7),"◆",""),IF(AND($D7&lt;F$5+7,$E7&gt;F$5),"■","")))</x:f>
      </x:c>
      <x:c r="G7" s="7" t="str">
        <x:f>IF(OR($D7="",G$5="",'상세일정'!AM7="제외"),"",IF($D7=$E7,IF(AND($D7&gt;=G$5,$D7&lt;G$5+7),"◆",""),IF(AND($D7&lt;G$5+7,$E7&gt;G$5),"■","")))</x:f>
      </x:c>
      <x:c r="H7" s="7" t="str">
        <x:f>IF(OR($D7="",H$5="",'상세일정'!AM7="제외"),"",IF($D7=$E7,IF(AND($D7&gt;=H$5,$D7&lt;H$5+7),"◆",""),IF(AND($D7&lt;H$5+7,$E7&gt;H$5),"■","")))</x:f>
      </x:c>
      <x:c r="I7" s="7" t="str">
        <x:f>IF(OR($D7="",I$5="",'상세일정'!AM7="제외"),"",IF($D7=$E7,IF(AND($D7&gt;=I$5,$D7&lt;I$5+7),"◆",""),IF(AND($D7&lt;I$5+7,$E7&gt;I$5),"■","")))</x:f>
      </x:c>
      <x:c r="J7" s="7" t="str">
        <x:f>IF(OR($D7="",J$5="",'상세일정'!AM7="제외"),"",IF($D7=$E7,IF(AND($D7&gt;=J$5,$D7&lt;J$5+7),"◆",""),IF(AND($D7&lt;J$5+7,$E7&gt;J$5),"■","")))</x:f>
      </x:c>
      <x:c r="K7" s="7" t="str">
        <x:f>IF(OR($D7="",K$5="",'상세일정'!AM7="제외"),"",IF($D7=$E7,IF(AND($D7&gt;=K$5,$D7&lt;K$5+7),"◆",""),IF(AND($D7&lt;K$5+7,$E7&gt;K$5),"■","")))</x:f>
      </x:c>
      <x:c r="L7" s="7" t="str">
        <x:f>IF(OR($D7="",L$5="",'상세일정'!AM7="제외"),"",IF($D7=$E7,IF(AND($D7&gt;=L$5,$D7&lt;L$5+7),"◆",""),IF(AND($D7&lt;L$5+7,$E7&gt;L$5),"■","")))</x:f>
      </x:c>
      <x:c r="M7" s="7" t="str">
        <x:f>IF(OR($D7="",M$5="",'상세일정'!AM7="제외"),"",IF($D7=$E7,IF(AND($D7&gt;=M$5,$D7&lt;M$5+7),"◆",""),IF(AND($D7&lt;M$5+7,$E7&gt;M$5),"■","")))</x:f>
      </x:c>
      <x:c r="N7" s="7" t="str">
        <x:f>IF(OR($D7="",N$5="",'상세일정'!AM7="제외"),"",IF($D7=$E7,IF(AND($D7&gt;=N$5,$D7&lt;N$5+7),"◆",""),IF(AND($D7&lt;N$5+7,$E7&gt;N$5),"■","")))</x:f>
      </x:c>
      <x:c r="O7" s="7" t="str">
        <x:f>IF(OR($D7="",O$5="",'상세일정'!AM7="제외"),"",IF($D7=$E7,IF(AND($D7&gt;=O$5,$D7&lt;O$5+7),"◆",""),IF(AND($D7&lt;O$5+7,$E7&gt;O$5),"■","")))</x:f>
      </x:c>
      <x:c r="P7" s="7" t="str">
        <x:f>IF(OR($D7="",P$5="",'상세일정'!AM7="제외"),"",IF($D7=$E7,IF(AND($D7&gt;=P$5,$D7&lt;P$5+7),"◆",""),IF(AND($D7&lt;P$5+7,$E7&gt;P$5),"■","")))</x:f>
      </x:c>
      <x:c r="Q7" s="7" t="str">
        <x:f>IF(OR($D7="",Q$5="",'상세일정'!AM7="제외"),"",IF($D7=$E7,IF(AND($D7&gt;=Q$5,$D7&lt;Q$5+7),"◆",""),IF(AND($D7&lt;Q$5+7,$E7&gt;Q$5),"■","")))</x:f>
      </x:c>
      <x:c r="R7" s="7" t="str">
        <x:f>IF(OR($D7="",R$5="",'상세일정'!AM7="제외"),"",IF($D7=$E7,IF(AND($D7&gt;=R$5,$D7&lt;R$5+7),"◆",""),IF(AND($D7&lt;R$5+7,$E7&gt;R$5),"■","")))</x:f>
      </x:c>
      <x:c r="S7" s="7" t="str">
        <x:f>IF(OR($D7="",S$5="",'상세일정'!AM7="제외"),"",IF($D7=$E7,IF(AND($D7&gt;=S$5,$D7&lt;S$5+7),"◆",""),IF(AND($D7&lt;S$5+7,$E7&gt;S$5),"■","")))</x:f>
      </x:c>
      <x:c r="T7" s="7" t="str">
        <x:f>IF(OR($D7="",T$5="",'상세일정'!AM7="제외"),"",IF($D7=$E7,IF(AND($D7&gt;=T$5,$D7&lt;T$5+7),"◆",""),IF(AND($D7&lt;T$5+7,$E7&gt;T$5),"■","")))</x:f>
      </x:c>
      <x:c r="U7" s="7" t="str">
        <x:f>IF(OR($D7="",U$5="",'상세일정'!AM7="제외"),"",IF($D7=$E7,IF(AND($D7&gt;=U$5,$D7&lt;U$5+7),"◆",""),IF(AND($D7&lt;U$5+7,$E7&gt;U$5),"■","")))</x:f>
      </x:c>
      <x:c r="V7" s="7" t="str">
        <x:f>IF(OR($D7="",V$5="",'상세일정'!AM7="제외"),"",IF($D7=$E7,IF(AND($D7&gt;=V$5,$D7&lt;V$5+7),"◆",""),IF(AND($D7&lt;V$5+7,$E7&gt;V$5),"■","")))</x:f>
      </x:c>
      <x:c r="W7" s="7" t="str">
        <x:f>IF(OR($D7="",W$5="",'상세일정'!AM7="제외"),"",IF($D7=$E7,IF(AND($D7&gt;=W$5,$D7&lt;W$5+7),"◆",""),IF(AND($D7&lt;W$5+7,$E7&gt;W$5),"■","")))</x:f>
      </x:c>
      <x:c r="X7" s="7" t="str">
        <x:f>IF(OR($D7="",X$5="",'상세일정'!AM7="제외"),"",IF($D7=$E7,IF(AND($D7&gt;=X$5,$D7&lt;X$5+7),"◆",""),IF(AND($D7&lt;X$5+7,$E7&gt;X$5),"■","")))</x:f>
      </x:c>
      <x:c r="Y7" s="7" t="str">
        <x:f>IF(OR($D7="",Y$5="",'상세일정'!AM7="제외"),"",IF($D7=$E7,IF(AND($D7&gt;=Y$5,$D7&lt;Y$5+7),"◆",""),IF(AND($D7&lt;Y$5+7,$E7&gt;Y$5),"■","")))</x:f>
      </x:c>
      <x:c r="Z7" s="7" t="str">
        <x:f>IF(OR($D7="",Z$5="",'상세일정'!AM7="제외"),"",IF($D7=$E7,IF(AND($D7&gt;=Z$5,$D7&lt;Z$5+7),"◆",""),IF(AND($D7&lt;Z$5+7,$E7&gt;Z$5),"■","")))</x:f>
      </x:c>
      <x:c r="AA7" s="7" t="str">
        <x:f>IF(OR($D7="",AA$5="",'상세일정'!AM7="제외"),"",IF($D7=$E7,IF(AND($D7&gt;=AA$5,$D7&lt;AA$5+7),"◆",""),IF(AND($D7&lt;AA$5+7,$E7&gt;AA$5),"■","")))</x:f>
      </x:c>
      <x:c r="AB7" s="7" t="str">
        <x:f>IF(OR($D7="",AB$5="",'상세일정'!AM7="제외"),"",IF($D7=$E7,IF(AND($D7&gt;=AB$5,$D7&lt;AB$5+7),"◆",""),IF(AND($D7&lt;AB$5+7,$E7&gt;AB$5),"■","")))</x:f>
      </x:c>
      <x:c r="AC7" s="7" t="str">
        <x:f>IF(OR($D7="",AC$5="",'상세일정'!AM7="제외"),"",IF($D7=$E7,IF(AND($D7&gt;=AC$5,$D7&lt;AC$5+7),"◆",""),IF(AND($D7&lt;AC$5+7,$E7&gt;AC$5),"■","")))</x:f>
      </x:c>
      <x:c r="AD7" s="7" t="str">
        <x:f>IF(OR($D7="",AD$5="",'상세일정'!AM7="제외"),"",IF($D7=$E7,IF(AND($D7&gt;=AD$5,$D7&lt;AD$5+7),"◆",""),IF(AND($D7&lt;AD$5+7,$E7&gt;AD$5),"■","")))</x:f>
      </x:c>
      <x:c r="AE7" s="7" t="str">
        <x:f>IF(OR($D7="",AE$5="",'상세일정'!AM7="제외"),"",IF($D7=$E7,IF(AND($D7&gt;=AE$5,$D7&lt;AE$5+7),"◆",""),IF(AND($D7&lt;AE$5+7,$E7&gt;AE$5),"■","")))</x:f>
      </x:c>
      <x:c r="AF7" s="7" t="str">
        <x:f>IF(OR($D7="",AF$5="",'상세일정'!AM7="제외"),"",IF($D7=$E7,IF(AND($D7&gt;=AF$5,$D7&lt;AF$5+7),"◆",""),IF(AND($D7&lt;AF$5+7,$E7&gt;AF$5),"■","")))</x:f>
      </x:c>
      <x:c r="AG7" s="7" t="str">
        <x:f>IF(OR($D7="",AG$5="",'상세일정'!AM7="제외"),"",IF($D7=$E7,IF(AND($D7&gt;=AG$5,$D7&lt;AG$5+7),"◆",""),IF(AND($D7&lt;AG$5+7,$E7&gt;AG$5),"■","")))</x:f>
      </x:c>
      <x:c r="AH7" s="7" t="str">
        <x:f>IF(OR($D7="",AH$5="",'상세일정'!AM7="제외"),"",IF($D7=$E7,IF(AND($D7&gt;=AH$5,$D7&lt;AH$5+7),"◆",""),IF(AND($D7&lt;AH$5+7,$E7&gt;AH$5),"■","")))</x:f>
      </x:c>
      <x:c r="AI7" s="7" t="str">
        <x:f>IF(OR($D7="",AI$5="",'상세일정'!AM7="제외"),"",IF($D7=$E7,IF(AND($D7&gt;=AI$5,$D7&lt;AI$5+7),"◆",""),IF(AND($D7&lt;AI$5+7,$E7&gt;AI$5),"■","")))</x:f>
      </x:c>
      <x:c r="AJ7" s="7" t="str">
        <x:f>IF(OR($D7="",AJ$5="",'상세일정'!AM7="제외"),"",IF($D7=$E7,IF(AND($D7&gt;=AJ$5,$D7&lt;AJ$5+7),"◆",""),IF(AND($D7&lt;AJ$5+7,$E7&gt;AJ$5),"■","")))</x:f>
      </x:c>
      <x:c r="AK7" s="7" t="str">
        <x:f>IF(OR($D7="",AK$5="",'상세일정'!AM7="제외"),"",IF($D7=$E7,IF(AND($D7&gt;=AK$5,$D7&lt;AK$5+7),"◆",""),IF(AND($D7&lt;AK$5+7,$E7&gt;AK$5),"■","")))</x:f>
      </x:c>
      <x:c r="AL7" s="7" t="str">
        <x:f>IF(OR($D7="",AL$5="",'상세일정'!AM7="제외"),"",IF($D7=$E7,IF(AND($D7&gt;=AL$5,$D7&lt;AL$5+7),"◆",""),IF(AND($D7&lt;AL$5+7,$E7&gt;AL$5),"■","")))</x:f>
      </x:c>
      <x:c r="AM7" s="7" t="str">
        <x:f>IF(OR($D7="",AM$5="",'상세일정'!AM7="제외"),"",IF($D7=$E7,IF(AND($D7&gt;=AM$5,$D7&lt;AM$5+7),"◆",""),IF(AND($D7&lt;AM$5+7,$E7&gt;AM$5),"■","")))</x:f>
      </x:c>
      <x:c r="AN7" s="7" t="str">
        <x:f>IF(OR($D7="",AN$5="",'상세일정'!AM7="제외"),"",IF($D7=$E7,IF(AND($D7&gt;=AN$5,$D7&lt;AN$5+7),"◆",""),IF(AND($D7&lt;AN$5+7,$E7&gt;AN$5),"■","")))</x:f>
      </x:c>
      <x:c r="AO7" s="7" t="str">
        <x:f>IF(OR($D7="",AO$5="",'상세일정'!AM7="제외"),"",IF($D7=$E7,IF(AND($D7&gt;=AO$5,$D7&lt;AO$5+7),"◆",""),IF(AND($D7&lt;AO$5+7,$E7&gt;AO$5),"■","")))</x:f>
      </x:c>
      <x:c r="AP7" s="7" t="str">
        <x:f>IF(OR($D7="",AP$5="",'상세일정'!AM7="제외"),"",IF($D7=$E7,IF(AND($D7&gt;=AP$5,$D7&lt;AP$5+7),"◆",""),IF(AND($D7&lt;AP$5+7,$E7&gt;AP$5),"■","")))</x:f>
      </x:c>
      <x:c r="AQ7" s="7" t="str">
        <x:f>IF(OR($D7="",AQ$5="",'상세일정'!AM7="제외"),"",IF($D7=$E7,IF(AND($D7&gt;=AQ$5,$D7&lt;AQ$5+7),"◆",""),IF(AND($D7&lt;AQ$5+7,$E7&gt;AQ$5),"■","")))</x:f>
      </x:c>
      <x:c r="AR7" s="7" t="str">
        <x:f>IF(OR($D7="",AR$5="",'상세일정'!AM7="제외"),"",IF($D7=$E7,IF(AND($D7&gt;=AR$5,$D7&lt;AR$5+7),"◆",""),IF(AND($D7&lt;AR$5+7,$E7&gt;AR$5),"■","")))</x:f>
      </x:c>
      <x:c r="AS7" s="7" t="str">
        <x:f>IF(OR($D7="",AS$5="",'상세일정'!AM7="제외"),"",IF($D7=$E7,IF(AND($D7&gt;=AS$5,$D7&lt;AS$5+7),"◆",""),IF(AND($D7&lt;AS$5+7,$E7&gt;AS$5),"■","")))</x:f>
      </x:c>
      <x:c r="AT7" s="7" t="str">
        <x:f>IF(OR($D7="",AT$5="",'상세일정'!AM7="제외"),"",IF($D7=$E7,IF(AND($D7&gt;=AT$5,$D7&lt;AT$5+7),"◆",""),IF(AND($D7&lt;AT$5+7,$E7&gt;AT$5),"■","")))</x:f>
      </x:c>
      <x:c r="AU7" s="7" t="str">
        <x:f>IF(OR($D7="",AU$5="",'상세일정'!AM7="제외"),"",IF($D7=$E7,IF(AND($D7&gt;=AU$5,$D7&lt;AU$5+7),"◆",""),IF(AND($D7&lt;AU$5+7,$E7&gt;AU$5),"■","")))</x:f>
      </x:c>
      <x:c r="AV7" s="7" t="str">
        <x:f>IF(OR($D7="",AV$5="",'상세일정'!AM7="제외"),"",IF($D7=$E7,IF(AND($D7&gt;=AV$5,$D7&lt;AV$5+7),"◆",""),IF(AND($D7&lt;AV$5+7,$E7&gt;AV$5),"■","")))</x:f>
      </x:c>
      <x:c r="AW7" s="7" t="str">
        <x:f>IF(OR($D7="",AW$5="",'상세일정'!AM7="제외"),"",IF($D7=$E7,IF(AND($D7&gt;=AW$5,$D7&lt;AW$5+7),"◆",""),IF(AND($D7&lt;AW$5+7,$E7&gt;AW$5),"■","")))</x:f>
      </x:c>
      <x:c r="AX7" s="7" t="str">
        <x:f>IF(OR($D7="",AX$5="",'상세일정'!AM7="제외"),"",IF($D7=$E7,IF(AND($D7&gt;=AX$5,$D7&lt;AX$5+7),"◆",""),IF(AND($D7&lt;AX$5+7,$E7&gt;AX$5),"■","")))</x:f>
      </x:c>
      <x:c r="AY7" s="7" t="str">
        <x:f>IF(OR($D7="",AY$5="",'상세일정'!AM7="제외"),"",IF($D7=$E7,IF(AND($D7&gt;=AY$5,$D7&lt;AY$5+7),"◆",""),IF(AND($D7&lt;AY$5+7,$E7&gt;AY$5),"■","")))</x:f>
      </x:c>
      <x:c r="AZ7" s="7" t="str">
        <x:f>IF(OR($D7="",AZ$5="",'상세일정'!AM7="제외"),"",IF($D7=$E7,IF(AND($D7&gt;=AZ$5,$D7&lt;AZ$5+7),"◆",""),IF(AND($D7&lt;AZ$5+7,$E7&gt;AZ$5),"■","")))</x:f>
      </x:c>
      <x:c r="BA7" s="7" t="str">
        <x:f>IF(OR($D7="",BA$5="",'상세일정'!AM7="제외"),"",IF($D7=$E7,IF(AND($D7&gt;=BA$5,$D7&lt;BA$5+7),"◆",""),IF(AND($D7&lt;BA$5+7,$E7&gt;BA$5),"■","")))</x:f>
      </x:c>
      <x:c r="BB7" s="7" t="str">
        <x:f>IF(OR($D7="",BB$5="",'상세일정'!AM7="제외"),"",IF($D7=$E7,IF(AND($D7&gt;=BB$5,$D7&lt;BB$5+7),"◆",""),IF(AND($D7&lt;BB$5+7,$E7&gt;BB$5),"■","")))</x:f>
      </x:c>
      <x:c r="BC7" s="7" t="str">
        <x:f>IF(OR($D7="",BC$5="",'상세일정'!AM7="제외"),"",IF($D7=$E7,IF(AND($D7&gt;=BC$5,$D7&lt;BC$5+7),"◆",""),IF(AND($D7&lt;BC$5+7,$E7&gt;BC$5),"■","")))</x:f>
      </x:c>
      <x:c r="BD7" s="7" t="str">
        <x:f>IF(OR($D7="",BD$5="",'상세일정'!AM7="제외"),"",IF($D7=$E7,IF(AND($D7&gt;=BD$5,$D7&lt;BD$5+7),"◆",""),IF(AND($D7&lt;BD$5+7,$E7&gt;BD$5),"■","")))</x:f>
      </x:c>
      <x:c r="BE7" s="7" t="str">
        <x:f>IF(OR($D7="",BE$5="",'상세일정'!AM7="제외"),"",IF($D7=$E7,IF(AND($D7&gt;=BE$5,$D7&lt;BE$5+7),"◆",""),IF(AND($D7&lt;BE$5+7,$E7&gt;BE$5),"■","")))</x:f>
      </x:c>
      <x:c r="BF7" s="7" t="str">
        <x:f>IF(OR($D7="",BF$5="",'상세일정'!AM7="제외"),"",IF($D7=$E7,IF(AND($D7&gt;=BF$5,$D7&lt;BF$5+7),"◆",""),IF(AND($D7&lt;BF$5+7,$E7&gt;BF$5),"■","")))</x:f>
      </x:c>
      <x:c r="BG7" s="7" t="str">
        <x:f>IF(OR($D7="",BG$5="",'상세일정'!AM7="제외"),"",IF($D7=$E7,IF(AND($D7&gt;=BG$5,$D7&lt;BG$5+7),"◆",""),IF(AND($D7&lt;BG$5+7,$E7&gt;BG$5),"■","")))</x:f>
      </x:c>
      <x:c r="BH7" s="7" t="str">
        <x:f>IF(OR($D7="",BH$5="",'상세일정'!AM7="제외"),"",IF($D7=$E7,IF(AND($D7&gt;=BH$5,$D7&lt;BH$5+7),"◆",""),IF(AND($D7&lt;BH$5+7,$E7&gt;BH$5),"■","")))</x:f>
      </x:c>
      <x:c r="BI7" s="7" t="str">
        <x:f>IF(OR($D7="",BI$5="",'상세일정'!AM7="제외"),"",IF($D7=$E7,IF(AND($D7&gt;=BI$5,$D7&lt;BI$5+7),"◆",""),IF(AND($D7&lt;BI$5+7,$E7&gt;BI$5),"■","")))</x:f>
      </x:c>
      <x:c r="BJ7" s="7" t="str">
        <x:f>IF(OR($D7="",BJ$5="",'상세일정'!AM7="제외"),"",IF($D7=$E7,IF(AND($D7&gt;=BJ$5,$D7&lt;BJ$5+7),"◆",""),IF(AND($D7&lt;BJ$5+7,$E7&gt;BJ$5),"■","")))</x:f>
      </x:c>
      <x:c r="BK7" s="7" t="str">
        <x:f>IF(OR($D7="",BK$5="",'상세일정'!AM7="제외"),"",IF($D7=$E7,IF(AND($D7&gt;=BK$5,$D7&lt;BK$5+7),"◆",""),IF(AND($D7&lt;BK$5+7,$E7&gt;BK$5),"■","")))</x:f>
      </x:c>
      <x:c r="BL7" s="7" t="str">
        <x:f>IF(OR($D7="",BL$5="",'상세일정'!AM7="제외"),"",IF($D7=$E7,IF(AND($D7&gt;=BL$5,$D7&lt;BL$5+7),"◆",""),IF(AND($D7&lt;BL$5+7,$E7&gt;BL$5),"■","")))</x:f>
      </x:c>
      <x:c r="BM7" s="7" t="str">
        <x:f>IF(OR($D7="",BM$5="",'상세일정'!AM7="제외"),"",IF($D7=$E7,IF(AND($D7&gt;=BM$5,$D7&lt;BM$5+7),"◆",""),IF(AND($D7&lt;BM$5+7,$E7&gt;BM$5),"■","")))</x:f>
      </x:c>
      <x:c r="BN7" s="7" t="str">
        <x:f>IF(OR($D7="",BN$5="",'상세일정'!AM7="제외"),"",IF($D7=$E7,IF(AND($D7&gt;=BN$5,$D7&lt;BN$5+7),"◆",""),IF(AND($D7&lt;BN$5+7,$E7&gt;BN$5),"■","")))</x:f>
      </x:c>
      <x:c r="BO7" s="7" t="str">
        <x:f>IF(OR($D7="",BO$5="",'상세일정'!AM7="제외"),"",IF($D7=$E7,IF(AND($D7&gt;=BO$5,$D7&lt;BO$5+7),"◆",""),IF(AND($D7&lt;BO$5+7,$E7&gt;BO$5),"■","")))</x:f>
      </x:c>
      <x:c r="BP7" s="7" t="str">
        <x:f>IF(OR($D7="",BP$5="",'상세일정'!AM7="제외"),"",IF($D7=$E7,IF(AND($D7&gt;=BP$5,$D7&lt;BP$5+7),"◆",""),IF(AND($D7&lt;BP$5+7,$E7&gt;BP$5),"■","")))</x:f>
      </x:c>
      <x:c r="BQ7" s="7" t="str">
        <x:f>IF(OR($D7="",BQ$5="",'상세일정'!AM7="제외"),"",IF($D7=$E7,IF(AND($D7&gt;=BQ$5,$D7&lt;BQ$5+7),"◆",""),IF(AND($D7&lt;BQ$5+7,$E7&gt;BQ$5),"■","")))</x:f>
      </x:c>
      <x:c r="BR7" s="7" t="str">
        <x:f>IF(OR($D7="",BR$5="",'상세일정'!AM7="제외"),"",IF($D7=$E7,IF(AND($D7&gt;=BR$5,$D7&lt;BR$5+7),"◆",""),IF(AND($D7&lt;BR$5+7,$E7&gt;BR$5),"■","")))</x:f>
      </x:c>
      <x:c r="BS7" s="7" t="str">
        <x:f>IF(OR($D7="",BS$5="",'상세일정'!AM7="제외"),"",IF($D7=$E7,IF(AND($D7&gt;=BS$5,$D7&lt;BS$5+7),"◆",""),IF(AND($D7&lt;BS$5+7,$E7&gt;BS$5),"■","")))</x:f>
      </x:c>
      <x:c r="BT7" s="7" t="str">
        <x:f>IF(OR($D7="",BT$5="",'상세일정'!AM7="제외"),"",IF($D7=$E7,IF(AND($D7&gt;=BT$5,$D7&lt;BT$5+7),"◆",""),IF(AND($D7&lt;BT$5+7,$E7&gt;BT$5),"■","")))</x:f>
      </x:c>
      <x:c r="BU7" s="7" t="str">
        <x:f>IF(OR($D7="",BU$5="",'상세일정'!AM7="제외"),"",IF($D7=$E7,IF(AND($D7&gt;=BU$5,$D7&lt;BU$5+7),"◆",""),IF(AND($D7&lt;BU$5+7,$E7&gt;BU$5),"■","")))</x:f>
      </x:c>
      <x:c r="BV7" s="7" t="str">
        <x:f>IF(OR($D7="",BV$5="",'상세일정'!AM7="제외"),"",IF($D7=$E7,IF(AND($D7&gt;=BV$5,$D7&lt;BV$5+7),"◆",""),IF(AND($D7&lt;BV$5+7,$E7&gt;BV$5),"■","")))</x:f>
      </x:c>
      <x:c r="BW7" s="7" t="str">
        <x:f>IF(OR($D7="",BW$5="",'상세일정'!AM7="제외"),"",IF($D7=$E7,IF(AND($D7&gt;=BW$5,$D7&lt;BW$5+7),"◆",""),IF(AND($D7&lt;BW$5+7,$E7&gt;BW$5),"■","")))</x:f>
      </x:c>
      <x:c r="BX7" s="7" t="str">
        <x:f>IF(OR($D7="",BX$5="",'상세일정'!AM7="제외"),"",IF($D7=$E7,IF(AND($D7&gt;=BX$5,$D7&lt;BX$5+7),"◆",""),IF(AND($D7&lt;BX$5+7,$E7&gt;BX$5),"■","")))</x:f>
      </x:c>
      <x:c r="BY7" s="7" t="str">
        <x:f>IF(OR($D7="",BY$5="",'상세일정'!AM7="제외"),"",IF($D7=$E7,IF(AND($D7&gt;=BY$5,$D7&lt;BY$5+7),"◆",""),IF(AND($D7&lt;BY$5+7,$E7&gt;BY$5),"■","")))</x:f>
      </x:c>
      <x:c r="BZ7" s="7" t="str">
        <x:f>IF(OR($D7="",BZ$5="",'상세일정'!AM7="제외"),"",IF($D7=$E7,IF(AND($D7&gt;=BZ$5,$D7&lt;BZ$5+7),"◆",""),IF(AND($D7&lt;BZ$5+7,$E7&gt;BZ$5),"■","")))</x:f>
      </x:c>
      <x:c r="CA7" s="7" t="str">
        <x:f>IF(OR($D7="",CA$5="",'상세일정'!AM7="제외"),"",IF($D7=$E7,IF(AND($D7&gt;=CA$5,$D7&lt;CA$5+7),"◆",""),IF(AND($D7&lt;CA$5+7,$E7&gt;CA$5),"■","")))</x:f>
      </x:c>
      <x:c r="CB7" s="7" t="str">
        <x:f>IF(OR($D7="",CB$5="",'상세일정'!AM7="제외"),"",IF($D7=$E7,IF(AND($D7&gt;=CB$5,$D7&lt;CB$5+7),"◆",""),IF(AND($D7&lt;CB$5+7,$E7&gt;CB$5),"■","")))</x:f>
      </x:c>
      <x:c r="CC7" s="7" t="str">
        <x:f>IF(OR($D7="",CC$5="",'상세일정'!AM7="제외"),"",IF($D7=$E7,IF(AND($D7&gt;=CC$5,$D7&lt;CC$5+7),"◆",""),IF(AND($D7&lt;CC$5+7,$E7&gt;CC$5),"■","")))</x:f>
      </x:c>
      <x:c r="CD7" s="7" t="str">
        <x:f>IF(OR($D7="",CD$5="",'상세일정'!AM7="제외"),"",IF($D7=$E7,IF(AND($D7&gt;=CD$5,$D7&lt;CD$5+7),"◆",""),IF(AND($D7&lt;CD$5+7,$E7&gt;CD$5),"■","")))</x:f>
      </x:c>
      <x:c r="CE7" s="7" t="str">
        <x:f>IF(OR($D7="",CE$5="",'상세일정'!AM7="제외"),"",IF($D7=$E7,IF(AND($D7&gt;=CE$5,$D7&lt;CE$5+7),"◆",""),IF(AND($D7&lt;CE$5+7,$E7&gt;CE$5),"■","")))</x:f>
      </x:c>
      <x:c r="CF7" s="7" t="str">
        <x:f>IF(OR($D7="",CF$5="",'상세일정'!AM7="제외"),"",IF($D7=$E7,IF(AND($D7&gt;=CF$5,$D7&lt;CF$5+7),"◆",""),IF(AND($D7&lt;CF$5+7,$E7&gt;CF$5),"■","")))</x:f>
      </x:c>
      <x:c r="CG7" s="7" t="str">
        <x:f>IF(OR($D7="",CG$5="",'상세일정'!AM7="제외"),"",IF($D7=$E7,IF(AND($D7&gt;=CG$5,$D7&lt;CG$5+7),"◆",""),IF(AND($D7&lt;CG$5+7,$E7&gt;CG$5),"■","")))</x:f>
      </x:c>
      <x:c r="CH7" s="7" t="str">
        <x:f>IF(OR($D7="",CH$5="",'상세일정'!AM7="제외"),"",IF($D7=$E7,IF(AND($D7&gt;=CH$5,$D7&lt;CH$5+7),"◆",""),IF(AND($D7&lt;CH$5+7,$E7&gt;CH$5),"■","")))</x:f>
      </x:c>
      <x:c r="CI7" s="7" t="str">
        <x:f>IF(OR($D7="",CI$5="",'상세일정'!AM7="제외"),"",IF($D7=$E7,IF(AND($D7&gt;=CI$5,$D7&lt;CI$5+7),"◆",""),IF(AND($D7&lt;CI$5+7,$E7&gt;CI$5),"■","")))</x:f>
      </x:c>
      <x:c r="CJ7" s="7" t="str">
        <x:f>IF(OR($D7="",CJ$5="",'상세일정'!AM7="제외"),"",IF($D7=$E7,IF(AND($D7&gt;=CJ$5,$D7&lt;CJ$5+7),"◆",""),IF(AND($D7&lt;CJ$5+7,$E7&gt;CJ$5),"■","")))</x:f>
      </x:c>
      <x:c r="CK7" s="7" t="str">
        <x:f>IF(OR($D7="",CK$5="",'상세일정'!AM7="제외"),"",IF($D7=$E7,IF(AND($D7&gt;=CK$5,$D7&lt;CK$5+7),"◆",""),IF(AND($D7&lt;CK$5+7,$E7&gt;CK$5),"■","")))</x:f>
      </x:c>
      <x:c r="CL7" s="7" t="str">
        <x:f>IF(OR($D7="",CL$5="",'상세일정'!AM7="제외"),"",IF($D7=$E7,IF(AND($D7&gt;=CL$5,$D7&lt;CL$5+7),"◆",""),IF(AND($D7&lt;CL$5+7,$E7&gt;CL$5),"■","")))</x:f>
      </x:c>
      <x:c r="CM7" s="7" t="str">
        <x:f>IF(OR($D7="",CM$5="",'상세일정'!AM7="제외"),"",IF($D7=$E7,IF(AND($D7&gt;=CM$5,$D7&lt;CM$5+7),"◆",""),IF(AND($D7&lt;CM$5+7,$E7&gt;CM$5),"■","")))</x:f>
      </x:c>
      <x:c r="CN7" s="7" t="str">
        <x:f>IF(OR($D7="",CN$5="",'상세일정'!AM7="제외"),"",IF($D7=$E7,IF(AND($D7&gt;=CN$5,$D7&lt;CN$5+7),"◆",""),IF(AND($D7&lt;CN$5+7,$E7&gt;CN$5),"■","")))</x:f>
      </x:c>
      <x:c r="CO7" s="7" t="str">
        <x:f>IF(OR($D7="",CO$5="",'상세일정'!AM7="제외"),"",IF($D7=$E7,IF(AND($D7&gt;=CO$5,$D7&lt;CO$5+7),"◆",""),IF(AND($D7&lt;CO$5+7,$E7&gt;CO$5),"■","")))</x:f>
      </x:c>
      <x:c r="CP7" s="7" t="str">
        <x:f>IF(OR($D7="",CP$5="",'상세일정'!AM7="제외"),"",IF($D7=$E7,IF(AND($D7&gt;=CP$5,$D7&lt;CP$5+7),"◆",""),IF(AND($D7&lt;CP$5+7,$E7&gt;CP$5),"■","")))</x:f>
      </x:c>
      <x:c r="CQ7" s="7" t="str">
        <x:f>IF(OR($D7="",CQ$5="",'상세일정'!AM7="제외"),"",IF($D7=$E7,IF(AND($D7&gt;=CQ$5,$D7&lt;CQ$5+7),"◆",""),IF(AND($D7&lt;CQ$5+7,$E7&gt;CQ$5),"■","")))</x:f>
      </x:c>
      <x:c r="CR7" s="7" t="str">
        <x:f>IF(OR($D7="",CR$5="",'상세일정'!AM7="제외"),"",IF($D7=$E7,IF(AND($D7&gt;=CR$5,$D7&lt;CR$5+7),"◆",""),IF(AND($D7&lt;CR$5+7,$E7&gt;CR$5),"■","")))</x:f>
      </x:c>
      <x:c r="CS7" s="7" t="str">
        <x:f>IF(OR($D7="",CS$5="",'상세일정'!AM7="제외"),"",IF($D7=$E7,IF(AND($D7&gt;=CS$5,$D7&lt;CS$5+7),"◆",""),IF(AND($D7&lt;CS$5+7,$E7&gt;CS$5),"■","")))</x:f>
      </x:c>
      <x:c r="CT7" s="7" t="str">
        <x:f>IF(OR($D7="",CT$5="",'상세일정'!AM7="제외"),"",IF($D7=$E7,IF(AND($D7&gt;=CT$5,$D7&lt;CT$5+7),"◆",""),IF(AND($D7&lt;CT$5+7,$E7&gt;CT$5),"■","")))</x:f>
      </x:c>
      <x:c r="CU7" s="7" t="str">
        <x:f>IF(OR($D7="",CU$5="",'상세일정'!AM7="제외"),"",IF($D7=$E7,IF(AND($D7&gt;=CU$5,$D7&lt;CU$5+7),"◆",""),IF(AND($D7&lt;CU$5+7,$E7&gt;CU$5),"■","")))</x:f>
      </x:c>
      <x:c r="CV7" s="7" t="str">
        <x:f>IF(OR($D7="",CV$5="",'상세일정'!AM7="제외"),"",IF($D7=$E7,IF(AND($D7&gt;=CV$5,$D7&lt;CV$5+7),"◆",""),IF(AND($D7&lt;CV$5+7,$E7&gt;CV$5),"■","")))</x:f>
      </x:c>
      <x:c r="CW7" s="7" t="str">
        <x:f>IF(OR($D7="",CW$5="",'상세일정'!AM7="제외"),"",IF($D7=$E7,IF(AND($D7&gt;=CW$5,$D7&lt;CW$5+7),"◆",""),IF(AND($D7&lt;CW$5+7,$E7&gt;CW$5),"■","")))</x:f>
      </x:c>
      <x:c r="CX7" s="7" t="str">
        <x:f>IF(OR($D7="",CX$5="",'상세일정'!AM7="제외"),"",IF($D7=$E7,IF(AND($D7&gt;=CX$5,$D7&lt;CX$5+7),"◆",""),IF(AND($D7&lt;CX$5+7,$E7&gt;CX$5),"■","")))</x:f>
      </x:c>
      <x:c r="CY7" s="7" t="str">
        <x:f>IF(OR($D7="",CY$5="",'상세일정'!AM7="제외"),"",IF($D7=$E7,IF(AND($D7&gt;=CY$5,$D7&lt;CY$5+7),"◆",""),IF(AND($D7&lt;CY$5+7,$E7&gt;CY$5),"■","")))</x:f>
      </x:c>
      <x:c r="CZ7" s="7" t="str">
        <x:f>IF(OR($D7="",CZ$5="",'상세일정'!AM7="제외"),"",IF($D7=$E7,IF(AND($D7&gt;=CZ$5,$D7&lt;CZ$5+7),"◆",""),IF(AND($D7&lt;CZ$5+7,$E7&gt;CZ$5),"■","")))</x:f>
      </x:c>
      <x:c r="DA7" s="7" t="str">
        <x:f>IF(OR($D7="",DA$5="",'상세일정'!AM7="제외"),"",IF($D7=$E7,IF(AND($D7&gt;=DA$5,$D7&lt;DA$5+7),"◆",""),IF(AND($D7&lt;DA$5+7,$E7&gt;DA$5),"■","")))</x:f>
      </x:c>
      <x:c r="DB7" s="7" t="str">
        <x:f>IF(OR($D7="",DB$5="",'상세일정'!AM7="제외"),"",IF($D7=$E7,IF(AND($D7&gt;=DB$5,$D7&lt;DB$5+7),"◆",""),IF(AND($D7&lt;DB$5+7,$E7&gt;DB$5),"■","")))</x:f>
      </x:c>
      <x:c r="DC7" s="7" t="str">
        <x:f>IF(OR($D7="",DC$5="",'상세일정'!AM7="제외"),"",IF($D7=$E7,IF(AND($D7&gt;=DC$5,$D7&lt;DC$5+7),"◆",""),IF(AND($D7&lt;DC$5+7,$E7&gt;DC$5),"■","")))</x:f>
      </x:c>
      <x:c r="DD7" s="7" t="str">
        <x:f>IF(OR($D7="",DD$5="",'상세일정'!AM7="제외"),"",IF($D7=$E7,IF(AND($D7&gt;=DD$5,$D7&lt;DD$5+7),"◆",""),IF(AND($D7&lt;DD$5+7,$E7&gt;DD$5),"■","")))</x:f>
      </x:c>
      <x:c r="DE7" s="7" t="str">
        <x:f>IF(OR($D7="",DE$5="",'상세일정'!AM7="제외"),"",IF($D7=$E7,IF(AND($D7&gt;=DE$5,$D7&lt;DE$5+7),"◆",""),IF(AND($D7&lt;DE$5+7,$E7&gt;DE$5),"■","")))</x:f>
      </x:c>
    </x:row>
    <x:row r="8" ht="34" customHeight="1">
      <x:c r="A8" s="7" t="str">
        <x:v>PM03</x:v>
      </x:c>
      <x:c r="B8" s="7" t="str">
        <x:v>01 사업기준·현황</x:v>
      </x:c>
      <x:c r="C8" s="7" t="str">
        <x:v>기존 계약·설계·인허가·발주 실적 증빙 등록</x:v>
      </x:c>
      <x:c r="D8" s="10" t="str">
        <x:f>'상세일정'!AJ8</x:f>
      </x:c>
      <x:c r="E8" s="10" t="str">
        <x:f>'상세일정'!AK8</x:f>
      </x:c>
      <x:c r="F8" s="7" t="str">
        <x:f>IF(OR($D8="",F$5="",'상세일정'!AM8="제외"),"",IF($D8=$E8,IF(AND($D8&gt;=F$5,$D8&lt;F$5+7),"◆",""),IF(AND($D8&lt;F$5+7,$E8&gt;F$5),"■","")))</x:f>
      </x:c>
      <x:c r="G8" s="7" t="str">
        <x:f>IF(OR($D8="",G$5="",'상세일정'!AM8="제외"),"",IF($D8=$E8,IF(AND($D8&gt;=G$5,$D8&lt;G$5+7),"◆",""),IF(AND($D8&lt;G$5+7,$E8&gt;G$5),"■","")))</x:f>
      </x:c>
      <x:c r="H8" s="7" t="str">
        <x:f>IF(OR($D8="",H$5="",'상세일정'!AM8="제외"),"",IF($D8=$E8,IF(AND($D8&gt;=H$5,$D8&lt;H$5+7),"◆",""),IF(AND($D8&lt;H$5+7,$E8&gt;H$5),"■","")))</x:f>
      </x:c>
      <x:c r="I8" s="7" t="str">
        <x:f>IF(OR($D8="",I$5="",'상세일정'!AM8="제외"),"",IF($D8=$E8,IF(AND($D8&gt;=I$5,$D8&lt;I$5+7),"◆",""),IF(AND($D8&lt;I$5+7,$E8&gt;I$5),"■","")))</x:f>
      </x:c>
      <x:c r="J8" s="7" t="str">
        <x:f>IF(OR($D8="",J$5="",'상세일정'!AM8="제외"),"",IF($D8=$E8,IF(AND($D8&gt;=J$5,$D8&lt;J$5+7),"◆",""),IF(AND($D8&lt;J$5+7,$E8&gt;J$5),"■","")))</x:f>
      </x:c>
      <x:c r="K8" s="7" t="str">
        <x:f>IF(OR($D8="",K$5="",'상세일정'!AM8="제외"),"",IF($D8=$E8,IF(AND($D8&gt;=K$5,$D8&lt;K$5+7),"◆",""),IF(AND($D8&lt;K$5+7,$E8&gt;K$5),"■","")))</x:f>
      </x:c>
      <x:c r="L8" s="7" t="str">
        <x:f>IF(OR($D8="",L$5="",'상세일정'!AM8="제외"),"",IF($D8=$E8,IF(AND($D8&gt;=L$5,$D8&lt;L$5+7),"◆",""),IF(AND($D8&lt;L$5+7,$E8&gt;L$5),"■","")))</x:f>
      </x:c>
      <x:c r="M8" s="7" t="str">
        <x:f>IF(OR($D8="",M$5="",'상세일정'!AM8="제외"),"",IF($D8=$E8,IF(AND($D8&gt;=M$5,$D8&lt;M$5+7),"◆",""),IF(AND($D8&lt;M$5+7,$E8&gt;M$5),"■","")))</x:f>
      </x:c>
      <x:c r="N8" s="7" t="str">
        <x:f>IF(OR($D8="",N$5="",'상세일정'!AM8="제외"),"",IF($D8=$E8,IF(AND($D8&gt;=N$5,$D8&lt;N$5+7),"◆",""),IF(AND($D8&lt;N$5+7,$E8&gt;N$5),"■","")))</x:f>
      </x:c>
      <x:c r="O8" s="7" t="str">
        <x:f>IF(OR($D8="",O$5="",'상세일정'!AM8="제외"),"",IF($D8=$E8,IF(AND($D8&gt;=O$5,$D8&lt;O$5+7),"◆",""),IF(AND($D8&lt;O$5+7,$E8&gt;O$5),"■","")))</x:f>
      </x:c>
      <x:c r="P8" s="7" t="str">
        <x:f>IF(OR($D8="",P$5="",'상세일정'!AM8="제외"),"",IF($D8=$E8,IF(AND($D8&gt;=P$5,$D8&lt;P$5+7),"◆",""),IF(AND($D8&lt;P$5+7,$E8&gt;P$5),"■","")))</x:f>
      </x:c>
      <x:c r="Q8" s="7" t="str">
        <x:f>IF(OR($D8="",Q$5="",'상세일정'!AM8="제외"),"",IF($D8=$E8,IF(AND($D8&gt;=Q$5,$D8&lt;Q$5+7),"◆",""),IF(AND($D8&lt;Q$5+7,$E8&gt;Q$5),"■","")))</x:f>
      </x:c>
      <x:c r="R8" s="7" t="str">
        <x:f>IF(OR($D8="",R$5="",'상세일정'!AM8="제외"),"",IF($D8=$E8,IF(AND($D8&gt;=R$5,$D8&lt;R$5+7),"◆",""),IF(AND($D8&lt;R$5+7,$E8&gt;R$5),"■","")))</x:f>
      </x:c>
      <x:c r="S8" s="7" t="str">
        <x:f>IF(OR($D8="",S$5="",'상세일정'!AM8="제외"),"",IF($D8=$E8,IF(AND($D8&gt;=S$5,$D8&lt;S$5+7),"◆",""),IF(AND($D8&lt;S$5+7,$E8&gt;S$5),"■","")))</x:f>
      </x:c>
      <x:c r="T8" s="7" t="str">
        <x:f>IF(OR($D8="",T$5="",'상세일정'!AM8="제외"),"",IF($D8=$E8,IF(AND($D8&gt;=T$5,$D8&lt;T$5+7),"◆",""),IF(AND($D8&lt;T$5+7,$E8&gt;T$5),"■","")))</x:f>
      </x:c>
      <x:c r="U8" s="7" t="str">
        <x:f>IF(OR($D8="",U$5="",'상세일정'!AM8="제외"),"",IF($D8=$E8,IF(AND($D8&gt;=U$5,$D8&lt;U$5+7),"◆",""),IF(AND($D8&lt;U$5+7,$E8&gt;U$5),"■","")))</x:f>
      </x:c>
      <x:c r="V8" s="7" t="str">
        <x:f>IF(OR($D8="",V$5="",'상세일정'!AM8="제외"),"",IF($D8=$E8,IF(AND($D8&gt;=V$5,$D8&lt;V$5+7),"◆",""),IF(AND($D8&lt;V$5+7,$E8&gt;V$5),"■","")))</x:f>
      </x:c>
      <x:c r="W8" s="7" t="str">
        <x:f>IF(OR($D8="",W$5="",'상세일정'!AM8="제외"),"",IF($D8=$E8,IF(AND($D8&gt;=W$5,$D8&lt;W$5+7),"◆",""),IF(AND($D8&lt;W$5+7,$E8&gt;W$5),"■","")))</x:f>
      </x:c>
      <x:c r="X8" s="7" t="str">
        <x:f>IF(OR($D8="",X$5="",'상세일정'!AM8="제외"),"",IF($D8=$E8,IF(AND($D8&gt;=X$5,$D8&lt;X$5+7),"◆",""),IF(AND($D8&lt;X$5+7,$E8&gt;X$5),"■","")))</x:f>
      </x:c>
      <x:c r="Y8" s="7" t="str">
        <x:f>IF(OR($D8="",Y$5="",'상세일정'!AM8="제외"),"",IF($D8=$E8,IF(AND($D8&gt;=Y$5,$D8&lt;Y$5+7),"◆",""),IF(AND($D8&lt;Y$5+7,$E8&gt;Y$5),"■","")))</x:f>
      </x:c>
      <x:c r="Z8" s="7" t="str">
        <x:f>IF(OR($D8="",Z$5="",'상세일정'!AM8="제외"),"",IF($D8=$E8,IF(AND($D8&gt;=Z$5,$D8&lt;Z$5+7),"◆",""),IF(AND($D8&lt;Z$5+7,$E8&gt;Z$5),"■","")))</x:f>
      </x:c>
      <x:c r="AA8" s="7" t="str">
        <x:f>IF(OR($D8="",AA$5="",'상세일정'!AM8="제외"),"",IF($D8=$E8,IF(AND($D8&gt;=AA$5,$D8&lt;AA$5+7),"◆",""),IF(AND($D8&lt;AA$5+7,$E8&gt;AA$5),"■","")))</x:f>
      </x:c>
      <x:c r="AB8" s="7" t="str">
        <x:f>IF(OR($D8="",AB$5="",'상세일정'!AM8="제외"),"",IF($D8=$E8,IF(AND($D8&gt;=AB$5,$D8&lt;AB$5+7),"◆",""),IF(AND($D8&lt;AB$5+7,$E8&gt;AB$5),"■","")))</x:f>
      </x:c>
      <x:c r="AC8" s="7" t="str">
        <x:f>IF(OR($D8="",AC$5="",'상세일정'!AM8="제외"),"",IF($D8=$E8,IF(AND($D8&gt;=AC$5,$D8&lt;AC$5+7),"◆",""),IF(AND($D8&lt;AC$5+7,$E8&gt;AC$5),"■","")))</x:f>
      </x:c>
      <x:c r="AD8" s="7" t="str">
        <x:f>IF(OR($D8="",AD$5="",'상세일정'!AM8="제외"),"",IF($D8=$E8,IF(AND($D8&gt;=AD$5,$D8&lt;AD$5+7),"◆",""),IF(AND($D8&lt;AD$5+7,$E8&gt;AD$5),"■","")))</x:f>
      </x:c>
      <x:c r="AE8" s="7" t="str">
        <x:f>IF(OR($D8="",AE$5="",'상세일정'!AM8="제외"),"",IF($D8=$E8,IF(AND($D8&gt;=AE$5,$D8&lt;AE$5+7),"◆",""),IF(AND($D8&lt;AE$5+7,$E8&gt;AE$5),"■","")))</x:f>
      </x:c>
      <x:c r="AF8" s="7" t="str">
        <x:f>IF(OR($D8="",AF$5="",'상세일정'!AM8="제외"),"",IF($D8=$E8,IF(AND($D8&gt;=AF$5,$D8&lt;AF$5+7),"◆",""),IF(AND($D8&lt;AF$5+7,$E8&gt;AF$5),"■","")))</x:f>
      </x:c>
      <x:c r="AG8" s="7" t="str">
        <x:f>IF(OR($D8="",AG$5="",'상세일정'!AM8="제외"),"",IF($D8=$E8,IF(AND($D8&gt;=AG$5,$D8&lt;AG$5+7),"◆",""),IF(AND($D8&lt;AG$5+7,$E8&gt;AG$5),"■","")))</x:f>
      </x:c>
      <x:c r="AH8" s="7" t="str">
        <x:f>IF(OR($D8="",AH$5="",'상세일정'!AM8="제외"),"",IF($D8=$E8,IF(AND($D8&gt;=AH$5,$D8&lt;AH$5+7),"◆",""),IF(AND($D8&lt;AH$5+7,$E8&gt;AH$5),"■","")))</x:f>
      </x:c>
      <x:c r="AI8" s="7" t="str">
        <x:f>IF(OR($D8="",AI$5="",'상세일정'!AM8="제외"),"",IF($D8=$E8,IF(AND($D8&gt;=AI$5,$D8&lt;AI$5+7),"◆",""),IF(AND($D8&lt;AI$5+7,$E8&gt;AI$5),"■","")))</x:f>
      </x:c>
      <x:c r="AJ8" s="7" t="str">
        <x:f>IF(OR($D8="",AJ$5="",'상세일정'!AM8="제외"),"",IF($D8=$E8,IF(AND($D8&gt;=AJ$5,$D8&lt;AJ$5+7),"◆",""),IF(AND($D8&lt;AJ$5+7,$E8&gt;AJ$5),"■","")))</x:f>
      </x:c>
      <x:c r="AK8" s="7" t="str">
        <x:f>IF(OR($D8="",AK$5="",'상세일정'!AM8="제외"),"",IF($D8=$E8,IF(AND($D8&gt;=AK$5,$D8&lt;AK$5+7),"◆",""),IF(AND($D8&lt;AK$5+7,$E8&gt;AK$5),"■","")))</x:f>
      </x:c>
      <x:c r="AL8" s="7" t="str">
        <x:f>IF(OR($D8="",AL$5="",'상세일정'!AM8="제외"),"",IF($D8=$E8,IF(AND($D8&gt;=AL$5,$D8&lt;AL$5+7),"◆",""),IF(AND($D8&lt;AL$5+7,$E8&gt;AL$5),"■","")))</x:f>
      </x:c>
      <x:c r="AM8" s="7" t="str">
        <x:f>IF(OR($D8="",AM$5="",'상세일정'!AM8="제외"),"",IF($D8=$E8,IF(AND($D8&gt;=AM$5,$D8&lt;AM$5+7),"◆",""),IF(AND($D8&lt;AM$5+7,$E8&gt;AM$5),"■","")))</x:f>
      </x:c>
      <x:c r="AN8" s="7" t="str">
        <x:f>IF(OR($D8="",AN$5="",'상세일정'!AM8="제외"),"",IF($D8=$E8,IF(AND($D8&gt;=AN$5,$D8&lt;AN$5+7),"◆",""),IF(AND($D8&lt;AN$5+7,$E8&gt;AN$5),"■","")))</x:f>
      </x:c>
      <x:c r="AO8" s="7" t="str">
        <x:f>IF(OR($D8="",AO$5="",'상세일정'!AM8="제외"),"",IF($D8=$E8,IF(AND($D8&gt;=AO$5,$D8&lt;AO$5+7),"◆",""),IF(AND($D8&lt;AO$5+7,$E8&gt;AO$5),"■","")))</x:f>
      </x:c>
      <x:c r="AP8" s="7" t="str">
        <x:f>IF(OR($D8="",AP$5="",'상세일정'!AM8="제외"),"",IF($D8=$E8,IF(AND($D8&gt;=AP$5,$D8&lt;AP$5+7),"◆",""),IF(AND($D8&lt;AP$5+7,$E8&gt;AP$5),"■","")))</x:f>
      </x:c>
      <x:c r="AQ8" s="7" t="str">
        <x:f>IF(OR($D8="",AQ$5="",'상세일정'!AM8="제외"),"",IF($D8=$E8,IF(AND($D8&gt;=AQ$5,$D8&lt;AQ$5+7),"◆",""),IF(AND($D8&lt;AQ$5+7,$E8&gt;AQ$5),"■","")))</x:f>
      </x:c>
      <x:c r="AR8" s="7" t="str">
        <x:f>IF(OR($D8="",AR$5="",'상세일정'!AM8="제외"),"",IF($D8=$E8,IF(AND($D8&gt;=AR$5,$D8&lt;AR$5+7),"◆",""),IF(AND($D8&lt;AR$5+7,$E8&gt;AR$5),"■","")))</x:f>
      </x:c>
      <x:c r="AS8" s="7" t="str">
        <x:f>IF(OR($D8="",AS$5="",'상세일정'!AM8="제외"),"",IF($D8=$E8,IF(AND($D8&gt;=AS$5,$D8&lt;AS$5+7),"◆",""),IF(AND($D8&lt;AS$5+7,$E8&gt;AS$5),"■","")))</x:f>
      </x:c>
      <x:c r="AT8" s="7" t="str">
        <x:f>IF(OR($D8="",AT$5="",'상세일정'!AM8="제외"),"",IF($D8=$E8,IF(AND($D8&gt;=AT$5,$D8&lt;AT$5+7),"◆",""),IF(AND($D8&lt;AT$5+7,$E8&gt;AT$5),"■","")))</x:f>
      </x:c>
      <x:c r="AU8" s="7" t="str">
        <x:f>IF(OR($D8="",AU$5="",'상세일정'!AM8="제외"),"",IF($D8=$E8,IF(AND($D8&gt;=AU$5,$D8&lt;AU$5+7),"◆",""),IF(AND($D8&lt;AU$5+7,$E8&gt;AU$5),"■","")))</x:f>
      </x:c>
      <x:c r="AV8" s="7" t="str">
        <x:f>IF(OR($D8="",AV$5="",'상세일정'!AM8="제외"),"",IF($D8=$E8,IF(AND($D8&gt;=AV$5,$D8&lt;AV$5+7),"◆",""),IF(AND($D8&lt;AV$5+7,$E8&gt;AV$5),"■","")))</x:f>
      </x:c>
      <x:c r="AW8" s="7" t="str">
        <x:f>IF(OR($D8="",AW$5="",'상세일정'!AM8="제외"),"",IF($D8=$E8,IF(AND($D8&gt;=AW$5,$D8&lt;AW$5+7),"◆",""),IF(AND($D8&lt;AW$5+7,$E8&gt;AW$5),"■","")))</x:f>
      </x:c>
      <x:c r="AX8" s="7" t="str">
        <x:f>IF(OR($D8="",AX$5="",'상세일정'!AM8="제외"),"",IF($D8=$E8,IF(AND($D8&gt;=AX$5,$D8&lt;AX$5+7),"◆",""),IF(AND($D8&lt;AX$5+7,$E8&gt;AX$5),"■","")))</x:f>
      </x:c>
      <x:c r="AY8" s="7" t="str">
        <x:f>IF(OR($D8="",AY$5="",'상세일정'!AM8="제외"),"",IF($D8=$E8,IF(AND($D8&gt;=AY$5,$D8&lt;AY$5+7),"◆",""),IF(AND($D8&lt;AY$5+7,$E8&gt;AY$5),"■","")))</x:f>
      </x:c>
      <x:c r="AZ8" s="7" t="str">
        <x:f>IF(OR($D8="",AZ$5="",'상세일정'!AM8="제외"),"",IF($D8=$E8,IF(AND($D8&gt;=AZ$5,$D8&lt;AZ$5+7),"◆",""),IF(AND($D8&lt;AZ$5+7,$E8&gt;AZ$5),"■","")))</x:f>
      </x:c>
      <x:c r="BA8" s="7" t="str">
        <x:f>IF(OR($D8="",BA$5="",'상세일정'!AM8="제외"),"",IF($D8=$E8,IF(AND($D8&gt;=BA$5,$D8&lt;BA$5+7),"◆",""),IF(AND($D8&lt;BA$5+7,$E8&gt;BA$5),"■","")))</x:f>
      </x:c>
      <x:c r="BB8" s="7" t="str">
        <x:f>IF(OR($D8="",BB$5="",'상세일정'!AM8="제외"),"",IF($D8=$E8,IF(AND($D8&gt;=BB$5,$D8&lt;BB$5+7),"◆",""),IF(AND($D8&lt;BB$5+7,$E8&gt;BB$5),"■","")))</x:f>
      </x:c>
      <x:c r="BC8" s="7" t="str">
        <x:f>IF(OR($D8="",BC$5="",'상세일정'!AM8="제외"),"",IF($D8=$E8,IF(AND($D8&gt;=BC$5,$D8&lt;BC$5+7),"◆",""),IF(AND($D8&lt;BC$5+7,$E8&gt;BC$5),"■","")))</x:f>
      </x:c>
      <x:c r="BD8" s="7" t="str">
        <x:f>IF(OR($D8="",BD$5="",'상세일정'!AM8="제외"),"",IF($D8=$E8,IF(AND($D8&gt;=BD$5,$D8&lt;BD$5+7),"◆",""),IF(AND($D8&lt;BD$5+7,$E8&gt;BD$5),"■","")))</x:f>
      </x:c>
      <x:c r="BE8" s="7" t="str">
        <x:f>IF(OR($D8="",BE$5="",'상세일정'!AM8="제외"),"",IF($D8=$E8,IF(AND($D8&gt;=BE$5,$D8&lt;BE$5+7),"◆",""),IF(AND($D8&lt;BE$5+7,$E8&gt;BE$5),"■","")))</x:f>
      </x:c>
      <x:c r="BF8" s="7" t="str">
        <x:f>IF(OR($D8="",BF$5="",'상세일정'!AM8="제외"),"",IF($D8=$E8,IF(AND($D8&gt;=BF$5,$D8&lt;BF$5+7),"◆",""),IF(AND($D8&lt;BF$5+7,$E8&gt;BF$5),"■","")))</x:f>
      </x:c>
      <x:c r="BG8" s="7" t="str">
        <x:f>IF(OR($D8="",BG$5="",'상세일정'!AM8="제외"),"",IF($D8=$E8,IF(AND($D8&gt;=BG$5,$D8&lt;BG$5+7),"◆",""),IF(AND($D8&lt;BG$5+7,$E8&gt;BG$5),"■","")))</x:f>
      </x:c>
      <x:c r="BH8" s="7" t="str">
        <x:f>IF(OR($D8="",BH$5="",'상세일정'!AM8="제외"),"",IF($D8=$E8,IF(AND($D8&gt;=BH$5,$D8&lt;BH$5+7),"◆",""),IF(AND($D8&lt;BH$5+7,$E8&gt;BH$5),"■","")))</x:f>
      </x:c>
      <x:c r="BI8" s="7" t="str">
        <x:f>IF(OR($D8="",BI$5="",'상세일정'!AM8="제외"),"",IF($D8=$E8,IF(AND($D8&gt;=BI$5,$D8&lt;BI$5+7),"◆",""),IF(AND($D8&lt;BI$5+7,$E8&gt;BI$5),"■","")))</x:f>
      </x:c>
      <x:c r="BJ8" s="7" t="str">
        <x:f>IF(OR($D8="",BJ$5="",'상세일정'!AM8="제외"),"",IF($D8=$E8,IF(AND($D8&gt;=BJ$5,$D8&lt;BJ$5+7),"◆",""),IF(AND($D8&lt;BJ$5+7,$E8&gt;BJ$5),"■","")))</x:f>
      </x:c>
      <x:c r="BK8" s="7" t="str">
        <x:f>IF(OR($D8="",BK$5="",'상세일정'!AM8="제외"),"",IF($D8=$E8,IF(AND($D8&gt;=BK$5,$D8&lt;BK$5+7),"◆",""),IF(AND($D8&lt;BK$5+7,$E8&gt;BK$5),"■","")))</x:f>
      </x:c>
      <x:c r="BL8" s="7" t="str">
        <x:f>IF(OR($D8="",BL$5="",'상세일정'!AM8="제외"),"",IF($D8=$E8,IF(AND($D8&gt;=BL$5,$D8&lt;BL$5+7),"◆",""),IF(AND($D8&lt;BL$5+7,$E8&gt;BL$5),"■","")))</x:f>
      </x:c>
      <x:c r="BM8" s="7" t="str">
        <x:f>IF(OR($D8="",BM$5="",'상세일정'!AM8="제외"),"",IF($D8=$E8,IF(AND($D8&gt;=BM$5,$D8&lt;BM$5+7),"◆",""),IF(AND($D8&lt;BM$5+7,$E8&gt;BM$5),"■","")))</x:f>
      </x:c>
      <x:c r="BN8" s="7" t="str">
        <x:f>IF(OR($D8="",BN$5="",'상세일정'!AM8="제외"),"",IF($D8=$E8,IF(AND($D8&gt;=BN$5,$D8&lt;BN$5+7),"◆",""),IF(AND($D8&lt;BN$5+7,$E8&gt;BN$5),"■","")))</x:f>
      </x:c>
      <x:c r="BO8" s="7" t="str">
        <x:f>IF(OR($D8="",BO$5="",'상세일정'!AM8="제외"),"",IF($D8=$E8,IF(AND($D8&gt;=BO$5,$D8&lt;BO$5+7),"◆",""),IF(AND($D8&lt;BO$5+7,$E8&gt;BO$5),"■","")))</x:f>
      </x:c>
      <x:c r="BP8" s="7" t="str">
        <x:f>IF(OR($D8="",BP$5="",'상세일정'!AM8="제외"),"",IF($D8=$E8,IF(AND($D8&gt;=BP$5,$D8&lt;BP$5+7),"◆",""),IF(AND($D8&lt;BP$5+7,$E8&gt;BP$5),"■","")))</x:f>
      </x:c>
      <x:c r="BQ8" s="7" t="str">
        <x:f>IF(OR($D8="",BQ$5="",'상세일정'!AM8="제외"),"",IF($D8=$E8,IF(AND($D8&gt;=BQ$5,$D8&lt;BQ$5+7),"◆",""),IF(AND($D8&lt;BQ$5+7,$E8&gt;BQ$5),"■","")))</x:f>
      </x:c>
      <x:c r="BR8" s="7" t="str">
        <x:f>IF(OR($D8="",BR$5="",'상세일정'!AM8="제외"),"",IF($D8=$E8,IF(AND($D8&gt;=BR$5,$D8&lt;BR$5+7),"◆",""),IF(AND($D8&lt;BR$5+7,$E8&gt;BR$5),"■","")))</x:f>
      </x:c>
      <x:c r="BS8" s="7" t="str">
        <x:f>IF(OR($D8="",BS$5="",'상세일정'!AM8="제외"),"",IF($D8=$E8,IF(AND($D8&gt;=BS$5,$D8&lt;BS$5+7),"◆",""),IF(AND($D8&lt;BS$5+7,$E8&gt;BS$5),"■","")))</x:f>
      </x:c>
      <x:c r="BT8" s="7" t="str">
        <x:f>IF(OR($D8="",BT$5="",'상세일정'!AM8="제외"),"",IF($D8=$E8,IF(AND($D8&gt;=BT$5,$D8&lt;BT$5+7),"◆",""),IF(AND($D8&lt;BT$5+7,$E8&gt;BT$5),"■","")))</x:f>
      </x:c>
      <x:c r="BU8" s="7" t="str">
        <x:f>IF(OR($D8="",BU$5="",'상세일정'!AM8="제외"),"",IF($D8=$E8,IF(AND($D8&gt;=BU$5,$D8&lt;BU$5+7),"◆",""),IF(AND($D8&lt;BU$5+7,$E8&gt;BU$5),"■","")))</x:f>
      </x:c>
      <x:c r="BV8" s="7" t="str">
        <x:f>IF(OR($D8="",BV$5="",'상세일정'!AM8="제외"),"",IF($D8=$E8,IF(AND($D8&gt;=BV$5,$D8&lt;BV$5+7),"◆",""),IF(AND($D8&lt;BV$5+7,$E8&gt;BV$5),"■","")))</x:f>
      </x:c>
      <x:c r="BW8" s="7" t="str">
        <x:f>IF(OR($D8="",BW$5="",'상세일정'!AM8="제외"),"",IF($D8=$E8,IF(AND($D8&gt;=BW$5,$D8&lt;BW$5+7),"◆",""),IF(AND($D8&lt;BW$5+7,$E8&gt;BW$5),"■","")))</x:f>
      </x:c>
      <x:c r="BX8" s="7" t="str">
        <x:f>IF(OR($D8="",BX$5="",'상세일정'!AM8="제외"),"",IF($D8=$E8,IF(AND($D8&gt;=BX$5,$D8&lt;BX$5+7),"◆",""),IF(AND($D8&lt;BX$5+7,$E8&gt;BX$5),"■","")))</x:f>
      </x:c>
      <x:c r="BY8" s="7" t="str">
        <x:f>IF(OR($D8="",BY$5="",'상세일정'!AM8="제외"),"",IF($D8=$E8,IF(AND($D8&gt;=BY$5,$D8&lt;BY$5+7),"◆",""),IF(AND($D8&lt;BY$5+7,$E8&gt;BY$5),"■","")))</x:f>
      </x:c>
      <x:c r="BZ8" s="7" t="str">
        <x:f>IF(OR($D8="",BZ$5="",'상세일정'!AM8="제외"),"",IF($D8=$E8,IF(AND($D8&gt;=BZ$5,$D8&lt;BZ$5+7),"◆",""),IF(AND($D8&lt;BZ$5+7,$E8&gt;BZ$5),"■","")))</x:f>
      </x:c>
      <x:c r="CA8" s="7" t="str">
        <x:f>IF(OR($D8="",CA$5="",'상세일정'!AM8="제외"),"",IF($D8=$E8,IF(AND($D8&gt;=CA$5,$D8&lt;CA$5+7),"◆",""),IF(AND($D8&lt;CA$5+7,$E8&gt;CA$5),"■","")))</x:f>
      </x:c>
      <x:c r="CB8" s="7" t="str">
        <x:f>IF(OR($D8="",CB$5="",'상세일정'!AM8="제외"),"",IF($D8=$E8,IF(AND($D8&gt;=CB$5,$D8&lt;CB$5+7),"◆",""),IF(AND($D8&lt;CB$5+7,$E8&gt;CB$5),"■","")))</x:f>
      </x:c>
      <x:c r="CC8" s="7" t="str">
        <x:f>IF(OR($D8="",CC$5="",'상세일정'!AM8="제외"),"",IF($D8=$E8,IF(AND($D8&gt;=CC$5,$D8&lt;CC$5+7),"◆",""),IF(AND($D8&lt;CC$5+7,$E8&gt;CC$5),"■","")))</x:f>
      </x:c>
      <x:c r="CD8" s="7" t="str">
        <x:f>IF(OR($D8="",CD$5="",'상세일정'!AM8="제외"),"",IF($D8=$E8,IF(AND($D8&gt;=CD$5,$D8&lt;CD$5+7),"◆",""),IF(AND($D8&lt;CD$5+7,$E8&gt;CD$5),"■","")))</x:f>
      </x:c>
      <x:c r="CE8" s="7" t="str">
        <x:f>IF(OR($D8="",CE$5="",'상세일정'!AM8="제외"),"",IF($D8=$E8,IF(AND($D8&gt;=CE$5,$D8&lt;CE$5+7),"◆",""),IF(AND($D8&lt;CE$5+7,$E8&gt;CE$5),"■","")))</x:f>
      </x:c>
      <x:c r="CF8" s="7" t="str">
        <x:f>IF(OR($D8="",CF$5="",'상세일정'!AM8="제외"),"",IF($D8=$E8,IF(AND($D8&gt;=CF$5,$D8&lt;CF$5+7),"◆",""),IF(AND($D8&lt;CF$5+7,$E8&gt;CF$5),"■","")))</x:f>
      </x:c>
      <x:c r="CG8" s="7" t="str">
        <x:f>IF(OR($D8="",CG$5="",'상세일정'!AM8="제외"),"",IF($D8=$E8,IF(AND($D8&gt;=CG$5,$D8&lt;CG$5+7),"◆",""),IF(AND($D8&lt;CG$5+7,$E8&gt;CG$5),"■","")))</x:f>
      </x:c>
      <x:c r="CH8" s="7" t="str">
        <x:f>IF(OR($D8="",CH$5="",'상세일정'!AM8="제외"),"",IF($D8=$E8,IF(AND($D8&gt;=CH$5,$D8&lt;CH$5+7),"◆",""),IF(AND($D8&lt;CH$5+7,$E8&gt;CH$5),"■","")))</x:f>
      </x:c>
      <x:c r="CI8" s="7" t="str">
        <x:f>IF(OR($D8="",CI$5="",'상세일정'!AM8="제외"),"",IF($D8=$E8,IF(AND($D8&gt;=CI$5,$D8&lt;CI$5+7),"◆",""),IF(AND($D8&lt;CI$5+7,$E8&gt;CI$5),"■","")))</x:f>
      </x:c>
      <x:c r="CJ8" s="7" t="str">
        <x:f>IF(OR($D8="",CJ$5="",'상세일정'!AM8="제외"),"",IF($D8=$E8,IF(AND($D8&gt;=CJ$5,$D8&lt;CJ$5+7),"◆",""),IF(AND($D8&lt;CJ$5+7,$E8&gt;CJ$5),"■","")))</x:f>
      </x:c>
      <x:c r="CK8" s="7" t="str">
        <x:f>IF(OR($D8="",CK$5="",'상세일정'!AM8="제외"),"",IF($D8=$E8,IF(AND($D8&gt;=CK$5,$D8&lt;CK$5+7),"◆",""),IF(AND($D8&lt;CK$5+7,$E8&gt;CK$5),"■","")))</x:f>
      </x:c>
      <x:c r="CL8" s="7" t="str">
        <x:f>IF(OR($D8="",CL$5="",'상세일정'!AM8="제외"),"",IF($D8=$E8,IF(AND($D8&gt;=CL$5,$D8&lt;CL$5+7),"◆",""),IF(AND($D8&lt;CL$5+7,$E8&gt;CL$5),"■","")))</x:f>
      </x:c>
      <x:c r="CM8" s="7" t="str">
        <x:f>IF(OR($D8="",CM$5="",'상세일정'!AM8="제외"),"",IF($D8=$E8,IF(AND($D8&gt;=CM$5,$D8&lt;CM$5+7),"◆",""),IF(AND($D8&lt;CM$5+7,$E8&gt;CM$5),"■","")))</x:f>
      </x:c>
      <x:c r="CN8" s="7" t="str">
        <x:f>IF(OR($D8="",CN$5="",'상세일정'!AM8="제외"),"",IF($D8=$E8,IF(AND($D8&gt;=CN$5,$D8&lt;CN$5+7),"◆",""),IF(AND($D8&lt;CN$5+7,$E8&gt;CN$5),"■","")))</x:f>
      </x:c>
      <x:c r="CO8" s="7" t="str">
        <x:f>IF(OR($D8="",CO$5="",'상세일정'!AM8="제외"),"",IF($D8=$E8,IF(AND($D8&gt;=CO$5,$D8&lt;CO$5+7),"◆",""),IF(AND($D8&lt;CO$5+7,$E8&gt;CO$5),"■","")))</x:f>
      </x:c>
      <x:c r="CP8" s="7" t="str">
        <x:f>IF(OR($D8="",CP$5="",'상세일정'!AM8="제외"),"",IF($D8=$E8,IF(AND($D8&gt;=CP$5,$D8&lt;CP$5+7),"◆",""),IF(AND($D8&lt;CP$5+7,$E8&gt;CP$5),"■","")))</x:f>
      </x:c>
      <x:c r="CQ8" s="7" t="str">
        <x:f>IF(OR($D8="",CQ$5="",'상세일정'!AM8="제외"),"",IF($D8=$E8,IF(AND($D8&gt;=CQ$5,$D8&lt;CQ$5+7),"◆",""),IF(AND($D8&lt;CQ$5+7,$E8&gt;CQ$5),"■","")))</x:f>
      </x:c>
      <x:c r="CR8" s="7" t="str">
        <x:f>IF(OR($D8="",CR$5="",'상세일정'!AM8="제외"),"",IF($D8=$E8,IF(AND($D8&gt;=CR$5,$D8&lt;CR$5+7),"◆",""),IF(AND($D8&lt;CR$5+7,$E8&gt;CR$5),"■","")))</x:f>
      </x:c>
      <x:c r="CS8" s="7" t="str">
        <x:f>IF(OR($D8="",CS$5="",'상세일정'!AM8="제외"),"",IF($D8=$E8,IF(AND($D8&gt;=CS$5,$D8&lt;CS$5+7),"◆",""),IF(AND($D8&lt;CS$5+7,$E8&gt;CS$5),"■","")))</x:f>
      </x:c>
      <x:c r="CT8" s="7" t="str">
        <x:f>IF(OR($D8="",CT$5="",'상세일정'!AM8="제외"),"",IF($D8=$E8,IF(AND($D8&gt;=CT$5,$D8&lt;CT$5+7),"◆",""),IF(AND($D8&lt;CT$5+7,$E8&gt;CT$5),"■","")))</x:f>
      </x:c>
      <x:c r="CU8" s="7" t="str">
        <x:f>IF(OR($D8="",CU$5="",'상세일정'!AM8="제외"),"",IF($D8=$E8,IF(AND($D8&gt;=CU$5,$D8&lt;CU$5+7),"◆",""),IF(AND($D8&lt;CU$5+7,$E8&gt;CU$5),"■","")))</x:f>
      </x:c>
      <x:c r="CV8" s="7" t="str">
        <x:f>IF(OR($D8="",CV$5="",'상세일정'!AM8="제외"),"",IF($D8=$E8,IF(AND($D8&gt;=CV$5,$D8&lt;CV$5+7),"◆",""),IF(AND($D8&lt;CV$5+7,$E8&gt;CV$5),"■","")))</x:f>
      </x:c>
      <x:c r="CW8" s="7" t="str">
        <x:f>IF(OR($D8="",CW$5="",'상세일정'!AM8="제외"),"",IF($D8=$E8,IF(AND($D8&gt;=CW$5,$D8&lt;CW$5+7),"◆",""),IF(AND($D8&lt;CW$5+7,$E8&gt;CW$5),"■","")))</x:f>
      </x:c>
      <x:c r="CX8" s="7" t="str">
        <x:f>IF(OR($D8="",CX$5="",'상세일정'!AM8="제외"),"",IF($D8=$E8,IF(AND($D8&gt;=CX$5,$D8&lt;CX$5+7),"◆",""),IF(AND($D8&lt;CX$5+7,$E8&gt;CX$5),"■","")))</x:f>
      </x:c>
      <x:c r="CY8" s="7" t="str">
        <x:f>IF(OR($D8="",CY$5="",'상세일정'!AM8="제외"),"",IF($D8=$E8,IF(AND($D8&gt;=CY$5,$D8&lt;CY$5+7),"◆",""),IF(AND($D8&lt;CY$5+7,$E8&gt;CY$5),"■","")))</x:f>
      </x:c>
      <x:c r="CZ8" s="7" t="str">
        <x:f>IF(OR($D8="",CZ$5="",'상세일정'!AM8="제외"),"",IF($D8=$E8,IF(AND($D8&gt;=CZ$5,$D8&lt;CZ$5+7),"◆",""),IF(AND($D8&lt;CZ$5+7,$E8&gt;CZ$5),"■","")))</x:f>
      </x:c>
      <x:c r="DA8" s="7" t="str">
        <x:f>IF(OR($D8="",DA$5="",'상세일정'!AM8="제외"),"",IF($D8=$E8,IF(AND($D8&gt;=DA$5,$D8&lt;DA$5+7),"◆",""),IF(AND($D8&lt;DA$5+7,$E8&gt;DA$5),"■","")))</x:f>
      </x:c>
      <x:c r="DB8" s="7" t="str">
        <x:f>IF(OR($D8="",DB$5="",'상세일정'!AM8="제외"),"",IF($D8=$E8,IF(AND($D8&gt;=DB$5,$D8&lt;DB$5+7),"◆",""),IF(AND($D8&lt;DB$5+7,$E8&gt;DB$5),"■","")))</x:f>
      </x:c>
      <x:c r="DC8" s="7" t="str">
        <x:f>IF(OR($D8="",DC$5="",'상세일정'!AM8="제외"),"",IF($D8=$E8,IF(AND($D8&gt;=DC$5,$D8&lt;DC$5+7),"◆",""),IF(AND($D8&lt;DC$5+7,$E8&gt;DC$5),"■","")))</x:f>
      </x:c>
      <x:c r="DD8" s="7" t="str">
        <x:f>IF(OR($D8="",DD$5="",'상세일정'!AM8="제외"),"",IF($D8=$E8,IF(AND($D8&gt;=DD$5,$D8&lt;DD$5+7),"◆",""),IF(AND($D8&lt;DD$5+7,$E8&gt;DD$5),"■","")))</x:f>
      </x:c>
      <x:c r="DE8" s="7" t="str">
        <x:f>IF(OR($D8="",DE$5="",'상세일정'!AM8="제외"),"",IF($D8=$E8,IF(AND($D8&gt;=DE$5,$D8&lt;DE$5+7),"◆",""),IF(AND($D8&lt;DE$5+7,$E8&gt;DE$5),"■","")))</x:f>
      </x:c>
    </x:row>
    <x:row r="9" ht="34" customHeight="1">
      <x:c r="A9" s="7" t="str">
        <x:v>PM04</x:v>
      </x:c>
      <x:c r="B9" s="7" t="str">
        <x:v>01 사업기준·현황</x:v>
      </x:c>
      <x:c r="C9" s="7" t="str">
        <x:v>잔여업무 및 적용시설 범위 확정</x:v>
      </x:c>
      <x:c r="D9" s="10" t="str">
        <x:f>'상세일정'!AJ9</x:f>
      </x:c>
      <x:c r="E9" s="10" t="str">
        <x:f>'상세일정'!AK9</x:f>
      </x:c>
      <x:c r="F9" s="7" t="str">
        <x:f>IF(OR($D9="",F$5="",'상세일정'!AM9="제외"),"",IF($D9=$E9,IF(AND($D9&gt;=F$5,$D9&lt;F$5+7),"◆",""),IF(AND($D9&lt;F$5+7,$E9&gt;F$5),"■","")))</x:f>
      </x:c>
      <x:c r="G9" s="7" t="str">
        <x:f>IF(OR($D9="",G$5="",'상세일정'!AM9="제외"),"",IF($D9=$E9,IF(AND($D9&gt;=G$5,$D9&lt;G$5+7),"◆",""),IF(AND($D9&lt;G$5+7,$E9&gt;G$5),"■","")))</x:f>
      </x:c>
      <x:c r="H9" s="7" t="str">
        <x:f>IF(OR($D9="",H$5="",'상세일정'!AM9="제외"),"",IF($D9=$E9,IF(AND($D9&gt;=H$5,$D9&lt;H$5+7),"◆",""),IF(AND($D9&lt;H$5+7,$E9&gt;H$5),"■","")))</x:f>
      </x:c>
      <x:c r="I9" s="7" t="str">
        <x:f>IF(OR($D9="",I$5="",'상세일정'!AM9="제외"),"",IF($D9=$E9,IF(AND($D9&gt;=I$5,$D9&lt;I$5+7),"◆",""),IF(AND($D9&lt;I$5+7,$E9&gt;I$5),"■","")))</x:f>
      </x:c>
      <x:c r="J9" s="7" t="str">
        <x:f>IF(OR($D9="",J$5="",'상세일정'!AM9="제외"),"",IF($D9=$E9,IF(AND($D9&gt;=J$5,$D9&lt;J$5+7),"◆",""),IF(AND($D9&lt;J$5+7,$E9&gt;J$5),"■","")))</x:f>
      </x:c>
      <x:c r="K9" s="7" t="str">
        <x:f>IF(OR($D9="",K$5="",'상세일정'!AM9="제외"),"",IF($D9=$E9,IF(AND($D9&gt;=K$5,$D9&lt;K$5+7),"◆",""),IF(AND($D9&lt;K$5+7,$E9&gt;K$5),"■","")))</x:f>
      </x:c>
      <x:c r="L9" s="7" t="str">
        <x:f>IF(OR($D9="",L$5="",'상세일정'!AM9="제외"),"",IF($D9=$E9,IF(AND($D9&gt;=L$5,$D9&lt;L$5+7),"◆",""),IF(AND($D9&lt;L$5+7,$E9&gt;L$5),"■","")))</x:f>
      </x:c>
      <x:c r="M9" s="7" t="str">
        <x:f>IF(OR($D9="",M$5="",'상세일정'!AM9="제외"),"",IF($D9=$E9,IF(AND($D9&gt;=M$5,$D9&lt;M$5+7),"◆",""),IF(AND($D9&lt;M$5+7,$E9&gt;M$5),"■","")))</x:f>
      </x:c>
      <x:c r="N9" s="7" t="str">
        <x:f>IF(OR($D9="",N$5="",'상세일정'!AM9="제외"),"",IF($D9=$E9,IF(AND($D9&gt;=N$5,$D9&lt;N$5+7),"◆",""),IF(AND($D9&lt;N$5+7,$E9&gt;N$5),"■","")))</x:f>
      </x:c>
      <x:c r="O9" s="7" t="str">
        <x:f>IF(OR($D9="",O$5="",'상세일정'!AM9="제외"),"",IF($D9=$E9,IF(AND($D9&gt;=O$5,$D9&lt;O$5+7),"◆",""),IF(AND($D9&lt;O$5+7,$E9&gt;O$5),"■","")))</x:f>
      </x:c>
      <x:c r="P9" s="7" t="str">
        <x:f>IF(OR($D9="",P$5="",'상세일정'!AM9="제외"),"",IF($D9=$E9,IF(AND($D9&gt;=P$5,$D9&lt;P$5+7),"◆",""),IF(AND($D9&lt;P$5+7,$E9&gt;P$5),"■","")))</x:f>
      </x:c>
      <x:c r="Q9" s="7" t="str">
        <x:f>IF(OR($D9="",Q$5="",'상세일정'!AM9="제외"),"",IF($D9=$E9,IF(AND($D9&gt;=Q$5,$D9&lt;Q$5+7),"◆",""),IF(AND($D9&lt;Q$5+7,$E9&gt;Q$5),"■","")))</x:f>
      </x:c>
      <x:c r="R9" s="7" t="str">
        <x:f>IF(OR($D9="",R$5="",'상세일정'!AM9="제외"),"",IF($D9=$E9,IF(AND($D9&gt;=R$5,$D9&lt;R$5+7),"◆",""),IF(AND($D9&lt;R$5+7,$E9&gt;R$5),"■","")))</x:f>
      </x:c>
      <x:c r="S9" s="7" t="str">
        <x:f>IF(OR($D9="",S$5="",'상세일정'!AM9="제외"),"",IF($D9=$E9,IF(AND($D9&gt;=S$5,$D9&lt;S$5+7),"◆",""),IF(AND($D9&lt;S$5+7,$E9&gt;S$5),"■","")))</x:f>
      </x:c>
      <x:c r="T9" s="7" t="str">
        <x:f>IF(OR($D9="",T$5="",'상세일정'!AM9="제외"),"",IF($D9=$E9,IF(AND($D9&gt;=T$5,$D9&lt;T$5+7),"◆",""),IF(AND($D9&lt;T$5+7,$E9&gt;T$5),"■","")))</x:f>
      </x:c>
      <x:c r="U9" s="7" t="str">
        <x:f>IF(OR($D9="",U$5="",'상세일정'!AM9="제외"),"",IF($D9=$E9,IF(AND($D9&gt;=U$5,$D9&lt;U$5+7),"◆",""),IF(AND($D9&lt;U$5+7,$E9&gt;U$5),"■","")))</x:f>
      </x:c>
      <x:c r="V9" s="7" t="str">
        <x:f>IF(OR($D9="",V$5="",'상세일정'!AM9="제외"),"",IF($D9=$E9,IF(AND($D9&gt;=V$5,$D9&lt;V$5+7),"◆",""),IF(AND($D9&lt;V$5+7,$E9&gt;V$5),"■","")))</x:f>
      </x:c>
      <x:c r="W9" s="7" t="str">
        <x:f>IF(OR($D9="",W$5="",'상세일정'!AM9="제외"),"",IF($D9=$E9,IF(AND($D9&gt;=W$5,$D9&lt;W$5+7),"◆",""),IF(AND($D9&lt;W$5+7,$E9&gt;W$5),"■","")))</x:f>
      </x:c>
      <x:c r="X9" s="7" t="str">
        <x:f>IF(OR($D9="",X$5="",'상세일정'!AM9="제외"),"",IF($D9=$E9,IF(AND($D9&gt;=X$5,$D9&lt;X$5+7),"◆",""),IF(AND($D9&lt;X$5+7,$E9&gt;X$5),"■","")))</x:f>
      </x:c>
      <x:c r="Y9" s="7" t="str">
        <x:f>IF(OR($D9="",Y$5="",'상세일정'!AM9="제외"),"",IF($D9=$E9,IF(AND($D9&gt;=Y$5,$D9&lt;Y$5+7),"◆",""),IF(AND($D9&lt;Y$5+7,$E9&gt;Y$5),"■","")))</x:f>
      </x:c>
      <x:c r="Z9" s="7" t="str">
        <x:f>IF(OR($D9="",Z$5="",'상세일정'!AM9="제외"),"",IF($D9=$E9,IF(AND($D9&gt;=Z$5,$D9&lt;Z$5+7),"◆",""),IF(AND($D9&lt;Z$5+7,$E9&gt;Z$5),"■","")))</x:f>
      </x:c>
      <x:c r="AA9" s="7" t="str">
        <x:f>IF(OR($D9="",AA$5="",'상세일정'!AM9="제외"),"",IF($D9=$E9,IF(AND($D9&gt;=AA$5,$D9&lt;AA$5+7),"◆",""),IF(AND($D9&lt;AA$5+7,$E9&gt;AA$5),"■","")))</x:f>
      </x:c>
      <x:c r="AB9" s="7" t="str">
        <x:f>IF(OR($D9="",AB$5="",'상세일정'!AM9="제외"),"",IF($D9=$E9,IF(AND($D9&gt;=AB$5,$D9&lt;AB$5+7),"◆",""),IF(AND($D9&lt;AB$5+7,$E9&gt;AB$5),"■","")))</x:f>
      </x:c>
      <x:c r="AC9" s="7" t="str">
        <x:f>IF(OR($D9="",AC$5="",'상세일정'!AM9="제외"),"",IF($D9=$E9,IF(AND($D9&gt;=AC$5,$D9&lt;AC$5+7),"◆",""),IF(AND($D9&lt;AC$5+7,$E9&gt;AC$5),"■","")))</x:f>
      </x:c>
      <x:c r="AD9" s="7" t="str">
        <x:f>IF(OR($D9="",AD$5="",'상세일정'!AM9="제외"),"",IF($D9=$E9,IF(AND($D9&gt;=AD$5,$D9&lt;AD$5+7),"◆",""),IF(AND($D9&lt;AD$5+7,$E9&gt;AD$5),"■","")))</x:f>
      </x:c>
      <x:c r="AE9" s="7" t="str">
        <x:f>IF(OR($D9="",AE$5="",'상세일정'!AM9="제외"),"",IF($D9=$E9,IF(AND($D9&gt;=AE$5,$D9&lt;AE$5+7),"◆",""),IF(AND($D9&lt;AE$5+7,$E9&gt;AE$5),"■","")))</x:f>
      </x:c>
      <x:c r="AF9" s="7" t="str">
        <x:f>IF(OR($D9="",AF$5="",'상세일정'!AM9="제외"),"",IF($D9=$E9,IF(AND($D9&gt;=AF$5,$D9&lt;AF$5+7),"◆",""),IF(AND($D9&lt;AF$5+7,$E9&gt;AF$5),"■","")))</x:f>
      </x:c>
      <x:c r="AG9" s="7" t="str">
        <x:f>IF(OR($D9="",AG$5="",'상세일정'!AM9="제외"),"",IF($D9=$E9,IF(AND($D9&gt;=AG$5,$D9&lt;AG$5+7),"◆",""),IF(AND($D9&lt;AG$5+7,$E9&gt;AG$5),"■","")))</x:f>
      </x:c>
      <x:c r="AH9" s="7" t="str">
        <x:f>IF(OR($D9="",AH$5="",'상세일정'!AM9="제외"),"",IF($D9=$E9,IF(AND($D9&gt;=AH$5,$D9&lt;AH$5+7),"◆",""),IF(AND($D9&lt;AH$5+7,$E9&gt;AH$5),"■","")))</x:f>
      </x:c>
      <x:c r="AI9" s="7" t="str">
        <x:f>IF(OR($D9="",AI$5="",'상세일정'!AM9="제외"),"",IF($D9=$E9,IF(AND($D9&gt;=AI$5,$D9&lt;AI$5+7),"◆",""),IF(AND($D9&lt;AI$5+7,$E9&gt;AI$5),"■","")))</x:f>
      </x:c>
      <x:c r="AJ9" s="7" t="str">
        <x:f>IF(OR($D9="",AJ$5="",'상세일정'!AM9="제외"),"",IF($D9=$E9,IF(AND($D9&gt;=AJ$5,$D9&lt;AJ$5+7),"◆",""),IF(AND($D9&lt;AJ$5+7,$E9&gt;AJ$5),"■","")))</x:f>
      </x:c>
      <x:c r="AK9" s="7" t="str">
        <x:f>IF(OR($D9="",AK$5="",'상세일정'!AM9="제외"),"",IF($D9=$E9,IF(AND($D9&gt;=AK$5,$D9&lt;AK$5+7),"◆",""),IF(AND($D9&lt;AK$5+7,$E9&gt;AK$5),"■","")))</x:f>
      </x:c>
      <x:c r="AL9" s="7" t="str">
        <x:f>IF(OR($D9="",AL$5="",'상세일정'!AM9="제외"),"",IF($D9=$E9,IF(AND($D9&gt;=AL$5,$D9&lt;AL$5+7),"◆",""),IF(AND($D9&lt;AL$5+7,$E9&gt;AL$5),"■","")))</x:f>
      </x:c>
      <x:c r="AM9" s="7" t="str">
        <x:f>IF(OR($D9="",AM$5="",'상세일정'!AM9="제외"),"",IF($D9=$E9,IF(AND($D9&gt;=AM$5,$D9&lt;AM$5+7),"◆",""),IF(AND($D9&lt;AM$5+7,$E9&gt;AM$5),"■","")))</x:f>
      </x:c>
      <x:c r="AN9" s="7" t="str">
        <x:f>IF(OR($D9="",AN$5="",'상세일정'!AM9="제외"),"",IF($D9=$E9,IF(AND($D9&gt;=AN$5,$D9&lt;AN$5+7),"◆",""),IF(AND($D9&lt;AN$5+7,$E9&gt;AN$5),"■","")))</x:f>
      </x:c>
      <x:c r="AO9" s="7" t="str">
        <x:f>IF(OR($D9="",AO$5="",'상세일정'!AM9="제외"),"",IF($D9=$E9,IF(AND($D9&gt;=AO$5,$D9&lt;AO$5+7),"◆",""),IF(AND($D9&lt;AO$5+7,$E9&gt;AO$5),"■","")))</x:f>
      </x:c>
      <x:c r="AP9" s="7" t="str">
        <x:f>IF(OR($D9="",AP$5="",'상세일정'!AM9="제외"),"",IF($D9=$E9,IF(AND($D9&gt;=AP$5,$D9&lt;AP$5+7),"◆",""),IF(AND($D9&lt;AP$5+7,$E9&gt;AP$5),"■","")))</x:f>
      </x:c>
      <x:c r="AQ9" s="7" t="str">
        <x:f>IF(OR($D9="",AQ$5="",'상세일정'!AM9="제외"),"",IF($D9=$E9,IF(AND($D9&gt;=AQ$5,$D9&lt;AQ$5+7),"◆",""),IF(AND($D9&lt;AQ$5+7,$E9&gt;AQ$5),"■","")))</x:f>
      </x:c>
      <x:c r="AR9" s="7" t="str">
        <x:f>IF(OR($D9="",AR$5="",'상세일정'!AM9="제외"),"",IF($D9=$E9,IF(AND($D9&gt;=AR$5,$D9&lt;AR$5+7),"◆",""),IF(AND($D9&lt;AR$5+7,$E9&gt;AR$5),"■","")))</x:f>
      </x:c>
      <x:c r="AS9" s="7" t="str">
        <x:f>IF(OR($D9="",AS$5="",'상세일정'!AM9="제외"),"",IF($D9=$E9,IF(AND($D9&gt;=AS$5,$D9&lt;AS$5+7),"◆",""),IF(AND($D9&lt;AS$5+7,$E9&gt;AS$5),"■","")))</x:f>
      </x:c>
      <x:c r="AT9" s="7" t="str">
        <x:f>IF(OR($D9="",AT$5="",'상세일정'!AM9="제외"),"",IF($D9=$E9,IF(AND($D9&gt;=AT$5,$D9&lt;AT$5+7),"◆",""),IF(AND($D9&lt;AT$5+7,$E9&gt;AT$5),"■","")))</x:f>
      </x:c>
      <x:c r="AU9" s="7" t="str">
        <x:f>IF(OR($D9="",AU$5="",'상세일정'!AM9="제외"),"",IF($D9=$E9,IF(AND($D9&gt;=AU$5,$D9&lt;AU$5+7),"◆",""),IF(AND($D9&lt;AU$5+7,$E9&gt;AU$5),"■","")))</x:f>
      </x:c>
      <x:c r="AV9" s="7" t="str">
        <x:f>IF(OR($D9="",AV$5="",'상세일정'!AM9="제외"),"",IF($D9=$E9,IF(AND($D9&gt;=AV$5,$D9&lt;AV$5+7),"◆",""),IF(AND($D9&lt;AV$5+7,$E9&gt;AV$5),"■","")))</x:f>
      </x:c>
      <x:c r="AW9" s="7" t="str">
        <x:f>IF(OR($D9="",AW$5="",'상세일정'!AM9="제외"),"",IF($D9=$E9,IF(AND($D9&gt;=AW$5,$D9&lt;AW$5+7),"◆",""),IF(AND($D9&lt;AW$5+7,$E9&gt;AW$5),"■","")))</x:f>
      </x:c>
      <x:c r="AX9" s="7" t="str">
        <x:f>IF(OR($D9="",AX$5="",'상세일정'!AM9="제외"),"",IF($D9=$E9,IF(AND($D9&gt;=AX$5,$D9&lt;AX$5+7),"◆",""),IF(AND($D9&lt;AX$5+7,$E9&gt;AX$5),"■","")))</x:f>
      </x:c>
      <x:c r="AY9" s="7" t="str">
        <x:f>IF(OR($D9="",AY$5="",'상세일정'!AM9="제외"),"",IF($D9=$E9,IF(AND($D9&gt;=AY$5,$D9&lt;AY$5+7),"◆",""),IF(AND($D9&lt;AY$5+7,$E9&gt;AY$5),"■","")))</x:f>
      </x:c>
      <x:c r="AZ9" s="7" t="str">
        <x:f>IF(OR($D9="",AZ$5="",'상세일정'!AM9="제외"),"",IF($D9=$E9,IF(AND($D9&gt;=AZ$5,$D9&lt;AZ$5+7),"◆",""),IF(AND($D9&lt;AZ$5+7,$E9&gt;AZ$5),"■","")))</x:f>
      </x:c>
      <x:c r="BA9" s="7" t="str">
        <x:f>IF(OR($D9="",BA$5="",'상세일정'!AM9="제외"),"",IF($D9=$E9,IF(AND($D9&gt;=BA$5,$D9&lt;BA$5+7),"◆",""),IF(AND($D9&lt;BA$5+7,$E9&gt;BA$5),"■","")))</x:f>
      </x:c>
      <x:c r="BB9" s="7" t="str">
        <x:f>IF(OR($D9="",BB$5="",'상세일정'!AM9="제외"),"",IF($D9=$E9,IF(AND($D9&gt;=BB$5,$D9&lt;BB$5+7),"◆",""),IF(AND($D9&lt;BB$5+7,$E9&gt;BB$5),"■","")))</x:f>
      </x:c>
      <x:c r="BC9" s="7" t="str">
        <x:f>IF(OR($D9="",BC$5="",'상세일정'!AM9="제외"),"",IF($D9=$E9,IF(AND($D9&gt;=BC$5,$D9&lt;BC$5+7),"◆",""),IF(AND($D9&lt;BC$5+7,$E9&gt;BC$5),"■","")))</x:f>
      </x:c>
      <x:c r="BD9" s="7" t="str">
        <x:f>IF(OR($D9="",BD$5="",'상세일정'!AM9="제외"),"",IF($D9=$E9,IF(AND($D9&gt;=BD$5,$D9&lt;BD$5+7),"◆",""),IF(AND($D9&lt;BD$5+7,$E9&gt;BD$5),"■","")))</x:f>
      </x:c>
      <x:c r="BE9" s="7" t="str">
        <x:f>IF(OR($D9="",BE$5="",'상세일정'!AM9="제외"),"",IF($D9=$E9,IF(AND($D9&gt;=BE$5,$D9&lt;BE$5+7),"◆",""),IF(AND($D9&lt;BE$5+7,$E9&gt;BE$5),"■","")))</x:f>
      </x:c>
      <x:c r="BF9" s="7" t="str">
        <x:f>IF(OR($D9="",BF$5="",'상세일정'!AM9="제외"),"",IF($D9=$E9,IF(AND($D9&gt;=BF$5,$D9&lt;BF$5+7),"◆",""),IF(AND($D9&lt;BF$5+7,$E9&gt;BF$5),"■","")))</x:f>
      </x:c>
      <x:c r="BG9" s="7" t="str">
        <x:f>IF(OR($D9="",BG$5="",'상세일정'!AM9="제외"),"",IF($D9=$E9,IF(AND($D9&gt;=BG$5,$D9&lt;BG$5+7),"◆",""),IF(AND($D9&lt;BG$5+7,$E9&gt;BG$5),"■","")))</x:f>
      </x:c>
      <x:c r="BH9" s="7" t="str">
        <x:f>IF(OR($D9="",BH$5="",'상세일정'!AM9="제외"),"",IF($D9=$E9,IF(AND($D9&gt;=BH$5,$D9&lt;BH$5+7),"◆",""),IF(AND($D9&lt;BH$5+7,$E9&gt;BH$5),"■","")))</x:f>
      </x:c>
      <x:c r="BI9" s="7" t="str">
        <x:f>IF(OR($D9="",BI$5="",'상세일정'!AM9="제외"),"",IF($D9=$E9,IF(AND($D9&gt;=BI$5,$D9&lt;BI$5+7),"◆",""),IF(AND($D9&lt;BI$5+7,$E9&gt;BI$5),"■","")))</x:f>
      </x:c>
      <x:c r="BJ9" s="7" t="str">
        <x:f>IF(OR($D9="",BJ$5="",'상세일정'!AM9="제외"),"",IF($D9=$E9,IF(AND($D9&gt;=BJ$5,$D9&lt;BJ$5+7),"◆",""),IF(AND($D9&lt;BJ$5+7,$E9&gt;BJ$5),"■","")))</x:f>
      </x:c>
      <x:c r="BK9" s="7" t="str">
        <x:f>IF(OR($D9="",BK$5="",'상세일정'!AM9="제외"),"",IF($D9=$E9,IF(AND($D9&gt;=BK$5,$D9&lt;BK$5+7),"◆",""),IF(AND($D9&lt;BK$5+7,$E9&gt;BK$5),"■","")))</x:f>
      </x:c>
      <x:c r="BL9" s="7" t="str">
        <x:f>IF(OR($D9="",BL$5="",'상세일정'!AM9="제외"),"",IF($D9=$E9,IF(AND($D9&gt;=BL$5,$D9&lt;BL$5+7),"◆",""),IF(AND($D9&lt;BL$5+7,$E9&gt;BL$5),"■","")))</x:f>
      </x:c>
      <x:c r="BM9" s="7" t="str">
        <x:f>IF(OR($D9="",BM$5="",'상세일정'!AM9="제외"),"",IF($D9=$E9,IF(AND($D9&gt;=BM$5,$D9&lt;BM$5+7),"◆",""),IF(AND($D9&lt;BM$5+7,$E9&gt;BM$5),"■","")))</x:f>
      </x:c>
      <x:c r="BN9" s="7" t="str">
        <x:f>IF(OR($D9="",BN$5="",'상세일정'!AM9="제외"),"",IF($D9=$E9,IF(AND($D9&gt;=BN$5,$D9&lt;BN$5+7),"◆",""),IF(AND($D9&lt;BN$5+7,$E9&gt;BN$5),"■","")))</x:f>
      </x:c>
      <x:c r="BO9" s="7" t="str">
        <x:f>IF(OR($D9="",BO$5="",'상세일정'!AM9="제외"),"",IF($D9=$E9,IF(AND($D9&gt;=BO$5,$D9&lt;BO$5+7),"◆",""),IF(AND($D9&lt;BO$5+7,$E9&gt;BO$5),"■","")))</x:f>
      </x:c>
      <x:c r="BP9" s="7" t="str">
        <x:f>IF(OR($D9="",BP$5="",'상세일정'!AM9="제외"),"",IF($D9=$E9,IF(AND($D9&gt;=BP$5,$D9&lt;BP$5+7),"◆",""),IF(AND($D9&lt;BP$5+7,$E9&gt;BP$5),"■","")))</x:f>
      </x:c>
      <x:c r="BQ9" s="7" t="str">
        <x:f>IF(OR($D9="",BQ$5="",'상세일정'!AM9="제외"),"",IF($D9=$E9,IF(AND($D9&gt;=BQ$5,$D9&lt;BQ$5+7),"◆",""),IF(AND($D9&lt;BQ$5+7,$E9&gt;BQ$5),"■","")))</x:f>
      </x:c>
      <x:c r="BR9" s="7" t="str">
        <x:f>IF(OR($D9="",BR$5="",'상세일정'!AM9="제외"),"",IF($D9=$E9,IF(AND($D9&gt;=BR$5,$D9&lt;BR$5+7),"◆",""),IF(AND($D9&lt;BR$5+7,$E9&gt;BR$5),"■","")))</x:f>
      </x:c>
      <x:c r="BS9" s="7" t="str">
        <x:f>IF(OR($D9="",BS$5="",'상세일정'!AM9="제외"),"",IF($D9=$E9,IF(AND($D9&gt;=BS$5,$D9&lt;BS$5+7),"◆",""),IF(AND($D9&lt;BS$5+7,$E9&gt;BS$5),"■","")))</x:f>
      </x:c>
      <x:c r="BT9" s="7" t="str">
        <x:f>IF(OR($D9="",BT$5="",'상세일정'!AM9="제외"),"",IF($D9=$E9,IF(AND($D9&gt;=BT$5,$D9&lt;BT$5+7),"◆",""),IF(AND($D9&lt;BT$5+7,$E9&gt;BT$5),"■","")))</x:f>
      </x:c>
      <x:c r="BU9" s="7" t="str">
        <x:f>IF(OR($D9="",BU$5="",'상세일정'!AM9="제외"),"",IF($D9=$E9,IF(AND($D9&gt;=BU$5,$D9&lt;BU$5+7),"◆",""),IF(AND($D9&lt;BU$5+7,$E9&gt;BU$5),"■","")))</x:f>
      </x:c>
      <x:c r="BV9" s="7" t="str">
        <x:f>IF(OR($D9="",BV$5="",'상세일정'!AM9="제외"),"",IF($D9=$E9,IF(AND($D9&gt;=BV$5,$D9&lt;BV$5+7),"◆",""),IF(AND($D9&lt;BV$5+7,$E9&gt;BV$5),"■","")))</x:f>
      </x:c>
      <x:c r="BW9" s="7" t="str">
        <x:f>IF(OR($D9="",BW$5="",'상세일정'!AM9="제외"),"",IF($D9=$E9,IF(AND($D9&gt;=BW$5,$D9&lt;BW$5+7),"◆",""),IF(AND($D9&lt;BW$5+7,$E9&gt;BW$5),"■","")))</x:f>
      </x:c>
      <x:c r="BX9" s="7" t="str">
        <x:f>IF(OR($D9="",BX$5="",'상세일정'!AM9="제외"),"",IF($D9=$E9,IF(AND($D9&gt;=BX$5,$D9&lt;BX$5+7),"◆",""),IF(AND($D9&lt;BX$5+7,$E9&gt;BX$5),"■","")))</x:f>
      </x:c>
      <x:c r="BY9" s="7" t="str">
        <x:f>IF(OR($D9="",BY$5="",'상세일정'!AM9="제외"),"",IF($D9=$E9,IF(AND($D9&gt;=BY$5,$D9&lt;BY$5+7),"◆",""),IF(AND($D9&lt;BY$5+7,$E9&gt;BY$5),"■","")))</x:f>
      </x:c>
      <x:c r="BZ9" s="7" t="str">
        <x:f>IF(OR($D9="",BZ$5="",'상세일정'!AM9="제외"),"",IF($D9=$E9,IF(AND($D9&gt;=BZ$5,$D9&lt;BZ$5+7),"◆",""),IF(AND($D9&lt;BZ$5+7,$E9&gt;BZ$5),"■","")))</x:f>
      </x:c>
      <x:c r="CA9" s="7" t="str">
        <x:f>IF(OR($D9="",CA$5="",'상세일정'!AM9="제외"),"",IF($D9=$E9,IF(AND($D9&gt;=CA$5,$D9&lt;CA$5+7),"◆",""),IF(AND($D9&lt;CA$5+7,$E9&gt;CA$5),"■","")))</x:f>
      </x:c>
      <x:c r="CB9" s="7" t="str">
        <x:f>IF(OR($D9="",CB$5="",'상세일정'!AM9="제외"),"",IF($D9=$E9,IF(AND($D9&gt;=CB$5,$D9&lt;CB$5+7),"◆",""),IF(AND($D9&lt;CB$5+7,$E9&gt;CB$5),"■","")))</x:f>
      </x:c>
      <x:c r="CC9" s="7" t="str">
        <x:f>IF(OR($D9="",CC$5="",'상세일정'!AM9="제외"),"",IF($D9=$E9,IF(AND($D9&gt;=CC$5,$D9&lt;CC$5+7),"◆",""),IF(AND($D9&lt;CC$5+7,$E9&gt;CC$5),"■","")))</x:f>
      </x:c>
      <x:c r="CD9" s="7" t="str">
        <x:f>IF(OR($D9="",CD$5="",'상세일정'!AM9="제외"),"",IF($D9=$E9,IF(AND($D9&gt;=CD$5,$D9&lt;CD$5+7),"◆",""),IF(AND($D9&lt;CD$5+7,$E9&gt;CD$5),"■","")))</x:f>
      </x:c>
      <x:c r="CE9" s="7" t="str">
        <x:f>IF(OR($D9="",CE$5="",'상세일정'!AM9="제외"),"",IF($D9=$E9,IF(AND($D9&gt;=CE$5,$D9&lt;CE$5+7),"◆",""),IF(AND($D9&lt;CE$5+7,$E9&gt;CE$5),"■","")))</x:f>
      </x:c>
      <x:c r="CF9" s="7" t="str">
        <x:f>IF(OR($D9="",CF$5="",'상세일정'!AM9="제외"),"",IF($D9=$E9,IF(AND($D9&gt;=CF$5,$D9&lt;CF$5+7),"◆",""),IF(AND($D9&lt;CF$5+7,$E9&gt;CF$5),"■","")))</x:f>
      </x:c>
      <x:c r="CG9" s="7" t="str">
        <x:f>IF(OR($D9="",CG$5="",'상세일정'!AM9="제외"),"",IF($D9=$E9,IF(AND($D9&gt;=CG$5,$D9&lt;CG$5+7),"◆",""),IF(AND($D9&lt;CG$5+7,$E9&gt;CG$5),"■","")))</x:f>
      </x:c>
      <x:c r="CH9" s="7" t="str">
        <x:f>IF(OR($D9="",CH$5="",'상세일정'!AM9="제외"),"",IF($D9=$E9,IF(AND($D9&gt;=CH$5,$D9&lt;CH$5+7),"◆",""),IF(AND($D9&lt;CH$5+7,$E9&gt;CH$5),"■","")))</x:f>
      </x:c>
      <x:c r="CI9" s="7" t="str">
        <x:f>IF(OR($D9="",CI$5="",'상세일정'!AM9="제외"),"",IF($D9=$E9,IF(AND($D9&gt;=CI$5,$D9&lt;CI$5+7),"◆",""),IF(AND($D9&lt;CI$5+7,$E9&gt;CI$5),"■","")))</x:f>
      </x:c>
      <x:c r="CJ9" s="7" t="str">
        <x:f>IF(OR($D9="",CJ$5="",'상세일정'!AM9="제외"),"",IF($D9=$E9,IF(AND($D9&gt;=CJ$5,$D9&lt;CJ$5+7),"◆",""),IF(AND($D9&lt;CJ$5+7,$E9&gt;CJ$5),"■","")))</x:f>
      </x:c>
      <x:c r="CK9" s="7" t="str">
        <x:f>IF(OR($D9="",CK$5="",'상세일정'!AM9="제외"),"",IF($D9=$E9,IF(AND($D9&gt;=CK$5,$D9&lt;CK$5+7),"◆",""),IF(AND($D9&lt;CK$5+7,$E9&gt;CK$5),"■","")))</x:f>
      </x:c>
      <x:c r="CL9" s="7" t="str">
        <x:f>IF(OR($D9="",CL$5="",'상세일정'!AM9="제외"),"",IF($D9=$E9,IF(AND($D9&gt;=CL$5,$D9&lt;CL$5+7),"◆",""),IF(AND($D9&lt;CL$5+7,$E9&gt;CL$5),"■","")))</x:f>
      </x:c>
      <x:c r="CM9" s="7" t="str">
        <x:f>IF(OR($D9="",CM$5="",'상세일정'!AM9="제외"),"",IF($D9=$E9,IF(AND($D9&gt;=CM$5,$D9&lt;CM$5+7),"◆",""),IF(AND($D9&lt;CM$5+7,$E9&gt;CM$5),"■","")))</x:f>
      </x:c>
      <x:c r="CN9" s="7" t="str">
        <x:f>IF(OR($D9="",CN$5="",'상세일정'!AM9="제외"),"",IF($D9=$E9,IF(AND($D9&gt;=CN$5,$D9&lt;CN$5+7),"◆",""),IF(AND($D9&lt;CN$5+7,$E9&gt;CN$5),"■","")))</x:f>
      </x:c>
      <x:c r="CO9" s="7" t="str">
        <x:f>IF(OR($D9="",CO$5="",'상세일정'!AM9="제외"),"",IF($D9=$E9,IF(AND($D9&gt;=CO$5,$D9&lt;CO$5+7),"◆",""),IF(AND($D9&lt;CO$5+7,$E9&gt;CO$5),"■","")))</x:f>
      </x:c>
      <x:c r="CP9" s="7" t="str">
        <x:f>IF(OR($D9="",CP$5="",'상세일정'!AM9="제외"),"",IF($D9=$E9,IF(AND($D9&gt;=CP$5,$D9&lt;CP$5+7),"◆",""),IF(AND($D9&lt;CP$5+7,$E9&gt;CP$5),"■","")))</x:f>
      </x:c>
      <x:c r="CQ9" s="7" t="str">
        <x:f>IF(OR($D9="",CQ$5="",'상세일정'!AM9="제외"),"",IF($D9=$E9,IF(AND($D9&gt;=CQ$5,$D9&lt;CQ$5+7),"◆",""),IF(AND($D9&lt;CQ$5+7,$E9&gt;CQ$5),"■","")))</x:f>
      </x:c>
      <x:c r="CR9" s="7" t="str">
        <x:f>IF(OR($D9="",CR$5="",'상세일정'!AM9="제외"),"",IF($D9=$E9,IF(AND($D9&gt;=CR$5,$D9&lt;CR$5+7),"◆",""),IF(AND($D9&lt;CR$5+7,$E9&gt;CR$5),"■","")))</x:f>
      </x:c>
      <x:c r="CS9" s="7" t="str">
        <x:f>IF(OR($D9="",CS$5="",'상세일정'!AM9="제외"),"",IF($D9=$E9,IF(AND($D9&gt;=CS$5,$D9&lt;CS$5+7),"◆",""),IF(AND($D9&lt;CS$5+7,$E9&gt;CS$5),"■","")))</x:f>
      </x:c>
      <x:c r="CT9" s="7" t="str">
        <x:f>IF(OR($D9="",CT$5="",'상세일정'!AM9="제외"),"",IF($D9=$E9,IF(AND($D9&gt;=CT$5,$D9&lt;CT$5+7),"◆",""),IF(AND($D9&lt;CT$5+7,$E9&gt;CT$5),"■","")))</x:f>
      </x:c>
      <x:c r="CU9" s="7" t="str">
        <x:f>IF(OR($D9="",CU$5="",'상세일정'!AM9="제외"),"",IF($D9=$E9,IF(AND($D9&gt;=CU$5,$D9&lt;CU$5+7),"◆",""),IF(AND($D9&lt;CU$5+7,$E9&gt;CU$5),"■","")))</x:f>
      </x:c>
      <x:c r="CV9" s="7" t="str">
        <x:f>IF(OR($D9="",CV$5="",'상세일정'!AM9="제외"),"",IF($D9=$E9,IF(AND($D9&gt;=CV$5,$D9&lt;CV$5+7),"◆",""),IF(AND($D9&lt;CV$5+7,$E9&gt;CV$5),"■","")))</x:f>
      </x:c>
      <x:c r="CW9" s="7" t="str">
        <x:f>IF(OR($D9="",CW$5="",'상세일정'!AM9="제외"),"",IF($D9=$E9,IF(AND($D9&gt;=CW$5,$D9&lt;CW$5+7),"◆",""),IF(AND($D9&lt;CW$5+7,$E9&gt;CW$5),"■","")))</x:f>
      </x:c>
      <x:c r="CX9" s="7" t="str">
        <x:f>IF(OR($D9="",CX$5="",'상세일정'!AM9="제외"),"",IF($D9=$E9,IF(AND($D9&gt;=CX$5,$D9&lt;CX$5+7),"◆",""),IF(AND($D9&lt;CX$5+7,$E9&gt;CX$5),"■","")))</x:f>
      </x:c>
      <x:c r="CY9" s="7" t="str">
        <x:f>IF(OR($D9="",CY$5="",'상세일정'!AM9="제외"),"",IF($D9=$E9,IF(AND($D9&gt;=CY$5,$D9&lt;CY$5+7),"◆",""),IF(AND($D9&lt;CY$5+7,$E9&gt;CY$5),"■","")))</x:f>
      </x:c>
      <x:c r="CZ9" s="7" t="str">
        <x:f>IF(OR($D9="",CZ$5="",'상세일정'!AM9="제외"),"",IF($D9=$E9,IF(AND($D9&gt;=CZ$5,$D9&lt;CZ$5+7),"◆",""),IF(AND($D9&lt;CZ$5+7,$E9&gt;CZ$5),"■","")))</x:f>
      </x:c>
      <x:c r="DA9" s="7" t="str">
        <x:f>IF(OR($D9="",DA$5="",'상세일정'!AM9="제외"),"",IF($D9=$E9,IF(AND($D9&gt;=DA$5,$D9&lt;DA$5+7),"◆",""),IF(AND($D9&lt;DA$5+7,$E9&gt;DA$5),"■","")))</x:f>
      </x:c>
      <x:c r="DB9" s="7" t="str">
        <x:f>IF(OR($D9="",DB$5="",'상세일정'!AM9="제외"),"",IF($D9=$E9,IF(AND($D9&gt;=DB$5,$D9&lt;DB$5+7),"◆",""),IF(AND($D9&lt;DB$5+7,$E9&gt;DB$5),"■","")))</x:f>
      </x:c>
      <x:c r="DC9" s="7" t="str">
        <x:f>IF(OR($D9="",DC$5="",'상세일정'!AM9="제외"),"",IF($D9=$E9,IF(AND($D9&gt;=DC$5,$D9&lt;DC$5+7),"◆",""),IF(AND($D9&lt;DC$5+7,$E9&gt;DC$5),"■","")))</x:f>
      </x:c>
      <x:c r="DD9" s="7" t="str">
        <x:f>IF(OR($D9="",DD$5="",'상세일정'!AM9="제외"),"",IF($D9=$E9,IF(AND($D9&gt;=DD$5,$D9&lt;DD$5+7),"◆",""),IF(AND($D9&lt;DD$5+7,$E9&gt;DD$5),"■","")))</x:f>
      </x:c>
      <x:c r="DE9" s="7" t="str">
        <x:f>IF(OR($D9="",DE$5="",'상세일정'!AM9="제외"),"",IF($D9=$E9,IF(AND($D9&gt;=DE$5,$D9&lt;DE$5+7),"◆",""),IF(AND($D9&lt;DE$5+7,$E9&gt;DE$5),"■","")))</x:f>
      </x:c>
    </x:row>
    <x:row r="10" ht="34" customHeight="1">
      <x:c r="A10" s="7" t="str">
        <x:v>LD01</x:v>
      </x:c>
      <x:c r="B10" s="7" t="str">
        <x:v>02 부지·행정 선행조건</x:v>
      </x:c>
      <x:c r="C10" s="7" t="str">
        <x:v>토지권원·공유재산 사용허가 현황 확인</x:v>
      </x:c>
      <x:c r="D10" s="10" t="str">
        <x:f>'상세일정'!AJ10</x:f>
      </x:c>
      <x:c r="E10" s="10" t="str">
        <x:f>'상세일정'!AK10</x:f>
      </x:c>
      <x:c r="F10" s="7" t="str">
        <x:f>IF(OR($D10="",F$5="",'상세일정'!AM10="제외"),"",IF($D10=$E10,IF(AND($D10&gt;=F$5,$D10&lt;F$5+7),"◆",""),IF(AND($D10&lt;F$5+7,$E10&gt;F$5),"■","")))</x:f>
      </x:c>
      <x:c r="G10" s="7" t="str">
        <x:f>IF(OR($D10="",G$5="",'상세일정'!AM10="제외"),"",IF($D10=$E10,IF(AND($D10&gt;=G$5,$D10&lt;G$5+7),"◆",""),IF(AND($D10&lt;G$5+7,$E10&gt;G$5),"■","")))</x:f>
      </x:c>
      <x:c r="H10" s="7" t="str">
        <x:f>IF(OR($D10="",H$5="",'상세일정'!AM10="제외"),"",IF($D10=$E10,IF(AND($D10&gt;=H$5,$D10&lt;H$5+7),"◆",""),IF(AND($D10&lt;H$5+7,$E10&gt;H$5),"■","")))</x:f>
      </x:c>
      <x:c r="I10" s="7" t="str">
        <x:f>IF(OR($D10="",I$5="",'상세일정'!AM10="제외"),"",IF($D10=$E10,IF(AND($D10&gt;=I$5,$D10&lt;I$5+7),"◆",""),IF(AND($D10&lt;I$5+7,$E10&gt;I$5),"■","")))</x:f>
      </x:c>
      <x:c r="J10" s="7" t="str">
        <x:f>IF(OR($D10="",J$5="",'상세일정'!AM10="제외"),"",IF($D10=$E10,IF(AND($D10&gt;=J$5,$D10&lt;J$5+7),"◆",""),IF(AND($D10&lt;J$5+7,$E10&gt;J$5),"■","")))</x:f>
      </x:c>
      <x:c r="K10" s="7" t="str">
        <x:f>IF(OR($D10="",K$5="",'상세일정'!AM10="제외"),"",IF($D10=$E10,IF(AND($D10&gt;=K$5,$D10&lt;K$5+7),"◆",""),IF(AND($D10&lt;K$5+7,$E10&gt;K$5),"■","")))</x:f>
      </x:c>
      <x:c r="L10" s="7" t="str">
        <x:f>IF(OR($D10="",L$5="",'상세일정'!AM10="제외"),"",IF($D10=$E10,IF(AND($D10&gt;=L$5,$D10&lt;L$5+7),"◆",""),IF(AND($D10&lt;L$5+7,$E10&gt;L$5),"■","")))</x:f>
      </x:c>
      <x:c r="M10" s="7" t="str">
        <x:f>IF(OR($D10="",M$5="",'상세일정'!AM10="제외"),"",IF($D10=$E10,IF(AND($D10&gt;=M$5,$D10&lt;M$5+7),"◆",""),IF(AND($D10&lt;M$5+7,$E10&gt;M$5),"■","")))</x:f>
      </x:c>
      <x:c r="N10" s="7" t="str">
        <x:f>IF(OR($D10="",N$5="",'상세일정'!AM10="제외"),"",IF($D10=$E10,IF(AND($D10&gt;=N$5,$D10&lt;N$5+7),"◆",""),IF(AND($D10&lt;N$5+7,$E10&gt;N$5),"■","")))</x:f>
      </x:c>
      <x:c r="O10" s="7" t="str">
        <x:f>IF(OR($D10="",O$5="",'상세일정'!AM10="제외"),"",IF($D10=$E10,IF(AND($D10&gt;=O$5,$D10&lt;O$5+7),"◆",""),IF(AND($D10&lt;O$5+7,$E10&gt;O$5),"■","")))</x:f>
      </x:c>
      <x:c r="P10" s="7" t="str">
        <x:f>IF(OR($D10="",P$5="",'상세일정'!AM10="제외"),"",IF($D10=$E10,IF(AND($D10&gt;=P$5,$D10&lt;P$5+7),"◆",""),IF(AND($D10&lt;P$5+7,$E10&gt;P$5),"■","")))</x:f>
      </x:c>
      <x:c r="Q10" s="7" t="str">
        <x:f>IF(OR($D10="",Q$5="",'상세일정'!AM10="제외"),"",IF($D10=$E10,IF(AND($D10&gt;=Q$5,$D10&lt;Q$5+7),"◆",""),IF(AND($D10&lt;Q$5+7,$E10&gt;Q$5),"■","")))</x:f>
      </x:c>
      <x:c r="R10" s="7" t="str">
        <x:f>IF(OR($D10="",R$5="",'상세일정'!AM10="제외"),"",IF($D10=$E10,IF(AND($D10&gt;=R$5,$D10&lt;R$5+7),"◆",""),IF(AND($D10&lt;R$5+7,$E10&gt;R$5),"■","")))</x:f>
      </x:c>
      <x:c r="S10" s="7" t="str">
        <x:f>IF(OR($D10="",S$5="",'상세일정'!AM10="제외"),"",IF($D10=$E10,IF(AND($D10&gt;=S$5,$D10&lt;S$5+7),"◆",""),IF(AND($D10&lt;S$5+7,$E10&gt;S$5),"■","")))</x:f>
      </x:c>
      <x:c r="T10" s="7" t="str">
        <x:f>IF(OR($D10="",T$5="",'상세일정'!AM10="제외"),"",IF($D10=$E10,IF(AND($D10&gt;=T$5,$D10&lt;T$5+7),"◆",""),IF(AND($D10&lt;T$5+7,$E10&gt;T$5),"■","")))</x:f>
      </x:c>
      <x:c r="U10" s="7" t="str">
        <x:f>IF(OR($D10="",U$5="",'상세일정'!AM10="제외"),"",IF($D10=$E10,IF(AND($D10&gt;=U$5,$D10&lt;U$5+7),"◆",""),IF(AND($D10&lt;U$5+7,$E10&gt;U$5),"■","")))</x:f>
      </x:c>
      <x:c r="V10" s="7" t="str">
        <x:f>IF(OR($D10="",V$5="",'상세일정'!AM10="제외"),"",IF($D10=$E10,IF(AND($D10&gt;=V$5,$D10&lt;V$5+7),"◆",""),IF(AND($D10&lt;V$5+7,$E10&gt;V$5),"■","")))</x:f>
      </x:c>
      <x:c r="W10" s="7" t="str">
        <x:f>IF(OR($D10="",W$5="",'상세일정'!AM10="제외"),"",IF($D10=$E10,IF(AND($D10&gt;=W$5,$D10&lt;W$5+7),"◆",""),IF(AND($D10&lt;W$5+7,$E10&gt;W$5),"■","")))</x:f>
      </x:c>
      <x:c r="X10" s="7" t="str">
        <x:f>IF(OR($D10="",X$5="",'상세일정'!AM10="제외"),"",IF($D10=$E10,IF(AND($D10&gt;=X$5,$D10&lt;X$5+7),"◆",""),IF(AND($D10&lt;X$5+7,$E10&gt;X$5),"■","")))</x:f>
      </x:c>
      <x:c r="Y10" s="7" t="str">
        <x:f>IF(OR($D10="",Y$5="",'상세일정'!AM10="제외"),"",IF($D10=$E10,IF(AND($D10&gt;=Y$5,$D10&lt;Y$5+7),"◆",""),IF(AND($D10&lt;Y$5+7,$E10&gt;Y$5),"■","")))</x:f>
      </x:c>
      <x:c r="Z10" s="7" t="str">
        <x:f>IF(OR($D10="",Z$5="",'상세일정'!AM10="제외"),"",IF($D10=$E10,IF(AND($D10&gt;=Z$5,$D10&lt;Z$5+7),"◆",""),IF(AND($D10&lt;Z$5+7,$E10&gt;Z$5),"■","")))</x:f>
      </x:c>
      <x:c r="AA10" s="7" t="str">
        <x:f>IF(OR($D10="",AA$5="",'상세일정'!AM10="제외"),"",IF($D10=$E10,IF(AND($D10&gt;=AA$5,$D10&lt;AA$5+7),"◆",""),IF(AND($D10&lt;AA$5+7,$E10&gt;AA$5),"■","")))</x:f>
      </x:c>
      <x:c r="AB10" s="7" t="str">
        <x:f>IF(OR($D10="",AB$5="",'상세일정'!AM10="제외"),"",IF($D10=$E10,IF(AND($D10&gt;=AB$5,$D10&lt;AB$5+7),"◆",""),IF(AND($D10&lt;AB$5+7,$E10&gt;AB$5),"■","")))</x:f>
      </x:c>
      <x:c r="AC10" s="7" t="str">
        <x:f>IF(OR($D10="",AC$5="",'상세일정'!AM10="제외"),"",IF($D10=$E10,IF(AND($D10&gt;=AC$5,$D10&lt;AC$5+7),"◆",""),IF(AND($D10&lt;AC$5+7,$E10&gt;AC$5),"■","")))</x:f>
      </x:c>
      <x:c r="AD10" s="7" t="str">
        <x:f>IF(OR($D10="",AD$5="",'상세일정'!AM10="제외"),"",IF($D10=$E10,IF(AND($D10&gt;=AD$5,$D10&lt;AD$5+7),"◆",""),IF(AND($D10&lt;AD$5+7,$E10&gt;AD$5),"■","")))</x:f>
      </x:c>
      <x:c r="AE10" s="7" t="str">
        <x:f>IF(OR($D10="",AE$5="",'상세일정'!AM10="제외"),"",IF($D10=$E10,IF(AND($D10&gt;=AE$5,$D10&lt;AE$5+7),"◆",""),IF(AND($D10&lt;AE$5+7,$E10&gt;AE$5),"■","")))</x:f>
      </x:c>
      <x:c r="AF10" s="7" t="str">
        <x:f>IF(OR($D10="",AF$5="",'상세일정'!AM10="제외"),"",IF($D10=$E10,IF(AND($D10&gt;=AF$5,$D10&lt;AF$5+7),"◆",""),IF(AND($D10&lt;AF$5+7,$E10&gt;AF$5),"■","")))</x:f>
      </x:c>
      <x:c r="AG10" s="7" t="str">
        <x:f>IF(OR($D10="",AG$5="",'상세일정'!AM10="제외"),"",IF($D10=$E10,IF(AND($D10&gt;=AG$5,$D10&lt;AG$5+7),"◆",""),IF(AND($D10&lt;AG$5+7,$E10&gt;AG$5),"■","")))</x:f>
      </x:c>
      <x:c r="AH10" s="7" t="str">
        <x:f>IF(OR($D10="",AH$5="",'상세일정'!AM10="제외"),"",IF($D10=$E10,IF(AND($D10&gt;=AH$5,$D10&lt;AH$5+7),"◆",""),IF(AND($D10&lt;AH$5+7,$E10&gt;AH$5),"■","")))</x:f>
      </x:c>
      <x:c r="AI10" s="7" t="str">
        <x:f>IF(OR($D10="",AI$5="",'상세일정'!AM10="제외"),"",IF($D10=$E10,IF(AND($D10&gt;=AI$5,$D10&lt;AI$5+7),"◆",""),IF(AND($D10&lt;AI$5+7,$E10&gt;AI$5),"■","")))</x:f>
      </x:c>
      <x:c r="AJ10" s="7" t="str">
        <x:f>IF(OR($D10="",AJ$5="",'상세일정'!AM10="제외"),"",IF($D10=$E10,IF(AND($D10&gt;=AJ$5,$D10&lt;AJ$5+7),"◆",""),IF(AND($D10&lt;AJ$5+7,$E10&gt;AJ$5),"■","")))</x:f>
      </x:c>
      <x:c r="AK10" s="7" t="str">
        <x:f>IF(OR($D10="",AK$5="",'상세일정'!AM10="제외"),"",IF($D10=$E10,IF(AND($D10&gt;=AK$5,$D10&lt;AK$5+7),"◆",""),IF(AND($D10&lt;AK$5+7,$E10&gt;AK$5),"■","")))</x:f>
      </x:c>
      <x:c r="AL10" s="7" t="str">
        <x:f>IF(OR($D10="",AL$5="",'상세일정'!AM10="제외"),"",IF($D10=$E10,IF(AND($D10&gt;=AL$5,$D10&lt;AL$5+7),"◆",""),IF(AND($D10&lt;AL$5+7,$E10&gt;AL$5),"■","")))</x:f>
      </x:c>
      <x:c r="AM10" s="7" t="str">
        <x:f>IF(OR($D10="",AM$5="",'상세일정'!AM10="제외"),"",IF($D10=$E10,IF(AND($D10&gt;=AM$5,$D10&lt;AM$5+7),"◆",""),IF(AND($D10&lt;AM$5+7,$E10&gt;AM$5),"■","")))</x:f>
      </x:c>
      <x:c r="AN10" s="7" t="str">
        <x:f>IF(OR($D10="",AN$5="",'상세일정'!AM10="제외"),"",IF($D10=$E10,IF(AND($D10&gt;=AN$5,$D10&lt;AN$5+7),"◆",""),IF(AND($D10&lt;AN$5+7,$E10&gt;AN$5),"■","")))</x:f>
      </x:c>
      <x:c r="AO10" s="7" t="str">
        <x:f>IF(OR($D10="",AO$5="",'상세일정'!AM10="제외"),"",IF($D10=$E10,IF(AND($D10&gt;=AO$5,$D10&lt;AO$5+7),"◆",""),IF(AND($D10&lt;AO$5+7,$E10&gt;AO$5),"■","")))</x:f>
      </x:c>
      <x:c r="AP10" s="7" t="str">
        <x:f>IF(OR($D10="",AP$5="",'상세일정'!AM10="제외"),"",IF($D10=$E10,IF(AND($D10&gt;=AP$5,$D10&lt;AP$5+7),"◆",""),IF(AND($D10&lt;AP$5+7,$E10&gt;AP$5),"■","")))</x:f>
      </x:c>
      <x:c r="AQ10" s="7" t="str">
        <x:f>IF(OR($D10="",AQ$5="",'상세일정'!AM10="제외"),"",IF($D10=$E10,IF(AND($D10&gt;=AQ$5,$D10&lt;AQ$5+7),"◆",""),IF(AND($D10&lt;AQ$5+7,$E10&gt;AQ$5),"■","")))</x:f>
      </x:c>
      <x:c r="AR10" s="7" t="str">
        <x:f>IF(OR($D10="",AR$5="",'상세일정'!AM10="제외"),"",IF($D10=$E10,IF(AND($D10&gt;=AR$5,$D10&lt;AR$5+7),"◆",""),IF(AND($D10&lt;AR$5+7,$E10&gt;AR$5),"■","")))</x:f>
      </x:c>
      <x:c r="AS10" s="7" t="str">
        <x:f>IF(OR($D10="",AS$5="",'상세일정'!AM10="제외"),"",IF($D10=$E10,IF(AND($D10&gt;=AS$5,$D10&lt;AS$5+7),"◆",""),IF(AND($D10&lt;AS$5+7,$E10&gt;AS$5),"■","")))</x:f>
      </x:c>
      <x:c r="AT10" s="7" t="str">
        <x:f>IF(OR($D10="",AT$5="",'상세일정'!AM10="제외"),"",IF($D10=$E10,IF(AND($D10&gt;=AT$5,$D10&lt;AT$5+7),"◆",""),IF(AND($D10&lt;AT$5+7,$E10&gt;AT$5),"■","")))</x:f>
      </x:c>
      <x:c r="AU10" s="7" t="str">
        <x:f>IF(OR($D10="",AU$5="",'상세일정'!AM10="제외"),"",IF($D10=$E10,IF(AND($D10&gt;=AU$5,$D10&lt;AU$5+7),"◆",""),IF(AND($D10&lt;AU$5+7,$E10&gt;AU$5),"■","")))</x:f>
      </x:c>
      <x:c r="AV10" s="7" t="str">
        <x:f>IF(OR($D10="",AV$5="",'상세일정'!AM10="제외"),"",IF($D10=$E10,IF(AND($D10&gt;=AV$5,$D10&lt;AV$5+7),"◆",""),IF(AND($D10&lt;AV$5+7,$E10&gt;AV$5),"■","")))</x:f>
      </x:c>
      <x:c r="AW10" s="7" t="str">
        <x:f>IF(OR($D10="",AW$5="",'상세일정'!AM10="제외"),"",IF($D10=$E10,IF(AND($D10&gt;=AW$5,$D10&lt;AW$5+7),"◆",""),IF(AND($D10&lt;AW$5+7,$E10&gt;AW$5),"■","")))</x:f>
      </x:c>
      <x:c r="AX10" s="7" t="str">
        <x:f>IF(OR($D10="",AX$5="",'상세일정'!AM10="제외"),"",IF($D10=$E10,IF(AND($D10&gt;=AX$5,$D10&lt;AX$5+7),"◆",""),IF(AND($D10&lt;AX$5+7,$E10&gt;AX$5),"■","")))</x:f>
      </x:c>
      <x:c r="AY10" s="7" t="str">
        <x:f>IF(OR($D10="",AY$5="",'상세일정'!AM10="제외"),"",IF($D10=$E10,IF(AND($D10&gt;=AY$5,$D10&lt;AY$5+7),"◆",""),IF(AND($D10&lt;AY$5+7,$E10&gt;AY$5),"■","")))</x:f>
      </x:c>
      <x:c r="AZ10" s="7" t="str">
        <x:f>IF(OR($D10="",AZ$5="",'상세일정'!AM10="제외"),"",IF($D10=$E10,IF(AND($D10&gt;=AZ$5,$D10&lt;AZ$5+7),"◆",""),IF(AND($D10&lt;AZ$5+7,$E10&gt;AZ$5),"■","")))</x:f>
      </x:c>
      <x:c r="BA10" s="7" t="str">
        <x:f>IF(OR($D10="",BA$5="",'상세일정'!AM10="제외"),"",IF($D10=$E10,IF(AND($D10&gt;=BA$5,$D10&lt;BA$5+7),"◆",""),IF(AND($D10&lt;BA$5+7,$E10&gt;BA$5),"■","")))</x:f>
      </x:c>
      <x:c r="BB10" s="7" t="str">
        <x:f>IF(OR($D10="",BB$5="",'상세일정'!AM10="제외"),"",IF($D10=$E10,IF(AND($D10&gt;=BB$5,$D10&lt;BB$5+7),"◆",""),IF(AND($D10&lt;BB$5+7,$E10&gt;BB$5),"■","")))</x:f>
      </x:c>
      <x:c r="BC10" s="7" t="str">
        <x:f>IF(OR($D10="",BC$5="",'상세일정'!AM10="제외"),"",IF($D10=$E10,IF(AND($D10&gt;=BC$5,$D10&lt;BC$5+7),"◆",""),IF(AND($D10&lt;BC$5+7,$E10&gt;BC$5),"■","")))</x:f>
      </x:c>
      <x:c r="BD10" s="7" t="str">
        <x:f>IF(OR($D10="",BD$5="",'상세일정'!AM10="제외"),"",IF($D10=$E10,IF(AND($D10&gt;=BD$5,$D10&lt;BD$5+7),"◆",""),IF(AND($D10&lt;BD$5+7,$E10&gt;BD$5),"■","")))</x:f>
      </x:c>
      <x:c r="BE10" s="7" t="str">
        <x:f>IF(OR($D10="",BE$5="",'상세일정'!AM10="제외"),"",IF($D10=$E10,IF(AND($D10&gt;=BE$5,$D10&lt;BE$5+7),"◆",""),IF(AND($D10&lt;BE$5+7,$E10&gt;BE$5),"■","")))</x:f>
      </x:c>
      <x:c r="BF10" s="7" t="str">
        <x:f>IF(OR($D10="",BF$5="",'상세일정'!AM10="제외"),"",IF($D10=$E10,IF(AND($D10&gt;=BF$5,$D10&lt;BF$5+7),"◆",""),IF(AND($D10&lt;BF$5+7,$E10&gt;BF$5),"■","")))</x:f>
      </x:c>
      <x:c r="BG10" s="7" t="str">
        <x:f>IF(OR($D10="",BG$5="",'상세일정'!AM10="제외"),"",IF($D10=$E10,IF(AND($D10&gt;=BG$5,$D10&lt;BG$5+7),"◆",""),IF(AND($D10&lt;BG$5+7,$E10&gt;BG$5),"■","")))</x:f>
      </x:c>
      <x:c r="BH10" s="7" t="str">
        <x:f>IF(OR($D10="",BH$5="",'상세일정'!AM10="제외"),"",IF($D10=$E10,IF(AND($D10&gt;=BH$5,$D10&lt;BH$5+7),"◆",""),IF(AND($D10&lt;BH$5+7,$E10&gt;BH$5),"■","")))</x:f>
      </x:c>
      <x:c r="BI10" s="7" t="str">
        <x:f>IF(OR($D10="",BI$5="",'상세일정'!AM10="제외"),"",IF($D10=$E10,IF(AND($D10&gt;=BI$5,$D10&lt;BI$5+7),"◆",""),IF(AND($D10&lt;BI$5+7,$E10&gt;BI$5),"■","")))</x:f>
      </x:c>
      <x:c r="BJ10" s="7" t="str">
        <x:f>IF(OR($D10="",BJ$5="",'상세일정'!AM10="제외"),"",IF($D10=$E10,IF(AND($D10&gt;=BJ$5,$D10&lt;BJ$5+7),"◆",""),IF(AND($D10&lt;BJ$5+7,$E10&gt;BJ$5),"■","")))</x:f>
      </x:c>
      <x:c r="BK10" s="7" t="str">
        <x:f>IF(OR($D10="",BK$5="",'상세일정'!AM10="제외"),"",IF($D10=$E10,IF(AND($D10&gt;=BK$5,$D10&lt;BK$5+7),"◆",""),IF(AND($D10&lt;BK$5+7,$E10&gt;BK$5),"■","")))</x:f>
      </x:c>
      <x:c r="BL10" s="7" t="str">
        <x:f>IF(OR($D10="",BL$5="",'상세일정'!AM10="제외"),"",IF($D10=$E10,IF(AND($D10&gt;=BL$5,$D10&lt;BL$5+7),"◆",""),IF(AND($D10&lt;BL$5+7,$E10&gt;BL$5),"■","")))</x:f>
      </x:c>
      <x:c r="BM10" s="7" t="str">
        <x:f>IF(OR($D10="",BM$5="",'상세일정'!AM10="제외"),"",IF($D10=$E10,IF(AND($D10&gt;=BM$5,$D10&lt;BM$5+7),"◆",""),IF(AND($D10&lt;BM$5+7,$E10&gt;BM$5),"■","")))</x:f>
      </x:c>
      <x:c r="BN10" s="7" t="str">
        <x:f>IF(OR($D10="",BN$5="",'상세일정'!AM10="제외"),"",IF($D10=$E10,IF(AND($D10&gt;=BN$5,$D10&lt;BN$5+7),"◆",""),IF(AND($D10&lt;BN$5+7,$E10&gt;BN$5),"■","")))</x:f>
      </x:c>
      <x:c r="BO10" s="7" t="str">
        <x:f>IF(OR($D10="",BO$5="",'상세일정'!AM10="제외"),"",IF($D10=$E10,IF(AND($D10&gt;=BO$5,$D10&lt;BO$5+7),"◆",""),IF(AND($D10&lt;BO$5+7,$E10&gt;BO$5),"■","")))</x:f>
      </x:c>
      <x:c r="BP10" s="7" t="str">
        <x:f>IF(OR($D10="",BP$5="",'상세일정'!AM10="제외"),"",IF($D10=$E10,IF(AND($D10&gt;=BP$5,$D10&lt;BP$5+7),"◆",""),IF(AND($D10&lt;BP$5+7,$E10&gt;BP$5),"■","")))</x:f>
      </x:c>
      <x:c r="BQ10" s="7" t="str">
        <x:f>IF(OR($D10="",BQ$5="",'상세일정'!AM10="제외"),"",IF($D10=$E10,IF(AND($D10&gt;=BQ$5,$D10&lt;BQ$5+7),"◆",""),IF(AND($D10&lt;BQ$5+7,$E10&gt;BQ$5),"■","")))</x:f>
      </x:c>
      <x:c r="BR10" s="7" t="str">
        <x:f>IF(OR($D10="",BR$5="",'상세일정'!AM10="제외"),"",IF($D10=$E10,IF(AND($D10&gt;=BR$5,$D10&lt;BR$5+7),"◆",""),IF(AND($D10&lt;BR$5+7,$E10&gt;BR$5),"■","")))</x:f>
      </x:c>
      <x:c r="BS10" s="7" t="str">
        <x:f>IF(OR($D10="",BS$5="",'상세일정'!AM10="제외"),"",IF($D10=$E10,IF(AND($D10&gt;=BS$5,$D10&lt;BS$5+7),"◆",""),IF(AND($D10&lt;BS$5+7,$E10&gt;BS$5),"■","")))</x:f>
      </x:c>
      <x:c r="BT10" s="7" t="str">
        <x:f>IF(OR($D10="",BT$5="",'상세일정'!AM10="제외"),"",IF($D10=$E10,IF(AND($D10&gt;=BT$5,$D10&lt;BT$5+7),"◆",""),IF(AND($D10&lt;BT$5+7,$E10&gt;BT$5),"■","")))</x:f>
      </x:c>
      <x:c r="BU10" s="7" t="str">
        <x:f>IF(OR($D10="",BU$5="",'상세일정'!AM10="제외"),"",IF($D10=$E10,IF(AND($D10&gt;=BU$5,$D10&lt;BU$5+7),"◆",""),IF(AND($D10&lt;BU$5+7,$E10&gt;BU$5),"■","")))</x:f>
      </x:c>
      <x:c r="BV10" s="7" t="str">
        <x:f>IF(OR($D10="",BV$5="",'상세일정'!AM10="제외"),"",IF($D10=$E10,IF(AND($D10&gt;=BV$5,$D10&lt;BV$5+7),"◆",""),IF(AND($D10&lt;BV$5+7,$E10&gt;BV$5),"■","")))</x:f>
      </x:c>
      <x:c r="BW10" s="7" t="str">
        <x:f>IF(OR($D10="",BW$5="",'상세일정'!AM10="제외"),"",IF($D10=$E10,IF(AND($D10&gt;=BW$5,$D10&lt;BW$5+7),"◆",""),IF(AND($D10&lt;BW$5+7,$E10&gt;BW$5),"■","")))</x:f>
      </x:c>
      <x:c r="BX10" s="7" t="str">
        <x:f>IF(OR($D10="",BX$5="",'상세일정'!AM10="제외"),"",IF($D10=$E10,IF(AND($D10&gt;=BX$5,$D10&lt;BX$5+7),"◆",""),IF(AND($D10&lt;BX$5+7,$E10&gt;BX$5),"■","")))</x:f>
      </x:c>
      <x:c r="BY10" s="7" t="str">
        <x:f>IF(OR($D10="",BY$5="",'상세일정'!AM10="제외"),"",IF($D10=$E10,IF(AND($D10&gt;=BY$5,$D10&lt;BY$5+7),"◆",""),IF(AND($D10&lt;BY$5+7,$E10&gt;BY$5),"■","")))</x:f>
      </x:c>
      <x:c r="BZ10" s="7" t="str">
        <x:f>IF(OR($D10="",BZ$5="",'상세일정'!AM10="제외"),"",IF($D10=$E10,IF(AND($D10&gt;=BZ$5,$D10&lt;BZ$5+7),"◆",""),IF(AND($D10&lt;BZ$5+7,$E10&gt;BZ$5),"■","")))</x:f>
      </x:c>
      <x:c r="CA10" s="7" t="str">
        <x:f>IF(OR($D10="",CA$5="",'상세일정'!AM10="제외"),"",IF($D10=$E10,IF(AND($D10&gt;=CA$5,$D10&lt;CA$5+7),"◆",""),IF(AND($D10&lt;CA$5+7,$E10&gt;CA$5),"■","")))</x:f>
      </x:c>
      <x:c r="CB10" s="7" t="str">
        <x:f>IF(OR($D10="",CB$5="",'상세일정'!AM10="제외"),"",IF($D10=$E10,IF(AND($D10&gt;=CB$5,$D10&lt;CB$5+7),"◆",""),IF(AND($D10&lt;CB$5+7,$E10&gt;CB$5),"■","")))</x:f>
      </x:c>
      <x:c r="CC10" s="7" t="str">
        <x:f>IF(OR($D10="",CC$5="",'상세일정'!AM10="제외"),"",IF($D10=$E10,IF(AND($D10&gt;=CC$5,$D10&lt;CC$5+7),"◆",""),IF(AND($D10&lt;CC$5+7,$E10&gt;CC$5),"■","")))</x:f>
      </x:c>
      <x:c r="CD10" s="7" t="str">
        <x:f>IF(OR($D10="",CD$5="",'상세일정'!AM10="제외"),"",IF($D10=$E10,IF(AND($D10&gt;=CD$5,$D10&lt;CD$5+7),"◆",""),IF(AND($D10&lt;CD$5+7,$E10&gt;CD$5),"■","")))</x:f>
      </x:c>
      <x:c r="CE10" s="7" t="str">
        <x:f>IF(OR($D10="",CE$5="",'상세일정'!AM10="제외"),"",IF($D10=$E10,IF(AND($D10&gt;=CE$5,$D10&lt;CE$5+7),"◆",""),IF(AND($D10&lt;CE$5+7,$E10&gt;CE$5),"■","")))</x:f>
      </x:c>
      <x:c r="CF10" s="7" t="str">
        <x:f>IF(OR($D10="",CF$5="",'상세일정'!AM10="제외"),"",IF($D10=$E10,IF(AND($D10&gt;=CF$5,$D10&lt;CF$5+7),"◆",""),IF(AND($D10&lt;CF$5+7,$E10&gt;CF$5),"■","")))</x:f>
      </x:c>
      <x:c r="CG10" s="7" t="str">
        <x:f>IF(OR($D10="",CG$5="",'상세일정'!AM10="제외"),"",IF($D10=$E10,IF(AND($D10&gt;=CG$5,$D10&lt;CG$5+7),"◆",""),IF(AND($D10&lt;CG$5+7,$E10&gt;CG$5),"■","")))</x:f>
      </x:c>
      <x:c r="CH10" s="7" t="str">
        <x:f>IF(OR($D10="",CH$5="",'상세일정'!AM10="제외"),"",IF($D10=$E10,IF(AND($D10&gt;=CH$5,$D10&lt;CH$5+7),"◆",""),IF(AND($D10&lt;CH$5+7,$E10&gt;CH$5),"■","")))</x:f>
      </x:c>
      <x:c r="CI10" s="7" t="str">
        <x:f>IF(OR($D10="",CI$5="",'상세일정'!AM10="제외"),"",IF($D10=$E10,IF(AND($D10&gt;=CI$5,$D10&lt;CI$5+7),"◆",""),IF(AND($D10&lt;CI$5+7,$E10&gt;CI$5),"■","")))</x:f>
      </x:c>
      <x:c r="CJ10" s="7" t="str">
        <x:f>IF(OR($D10="",CJ$5="",'상세일정'!AM10="제외"),"",IF($D10=$E10,IF(AND($D10&gt;=CJ$5,$D10&lt;CJ$5+7),"◆",""),IF(AND($D10&lt;CJ$5+7,$E10&gt;CJ$5),"■","")))</x:f>
      </x:c>
      <x:c r="CK10" s="7" t="str">
        <x:f>IF(OR($D10="",CK$5="",'상세일정'!AM10="제외"),"",IF($D10=$E10,IF(AND($D10&gt;=CK$5,$D10&lt;CK$5+7),"◆",""),IF(AND($D10&lt;CK$5+7,$E10&gt;CK$5),"■","")))</x:f>
      </x:c>
      <x:c r="CL10" s="7" t="str">
        <x:f>IF(OR($D10="",CL$5="",'상세일정'!AM10="제외"),"",IF($D10=$E10,IF(AND($D10&gt;=CL$5,$D10&lt;CL$5+7),"◆",""),IF(AND($D10&lt;CL$5+7,$E10&gt;CL$5),"■","")))</x:f>
      </x:c>
      <x:c r="CM10" s="7" t="str">
        <x:f>IF(OR($D10="",CM$5="",'상세일정'!AM10="제외"),"",IF($D10=$E10,IF(AND($D10&gt;=CM$5,$D10&lt;CM$5+7),"◆",""),IF(AND($D10&lt;CM$5+7,$E10&gt;CM$5),"■","")))</x:f>
      </x:c>
      <x:c r="CN10" s="7" t="str">
        <x:f>IF(OR($D10="",CN$5="",'상세일정'!AM10="제외"),"",IF($D10=$E10,IF(AND($D10&gt;=CN$5,$D10&lt;CN$5+7),"◆",""),IF(AND($D10&lt;CN$5+7,$E10&gt;CN$5),"■","")))</x:f>
      </x:c>
      <x:c r="CO10" s="7" t="str">
        <x:f>IF(OR($D10="",CO$5="",'상세일정'!AM10="제외"),"",IF($D10=$E10,IF(AND($D10&gt;=CO$5,$D10&lt;CO$5+7),"◆",""),IF(AND($D10&lt;CO$5+7,$E10&gt;CO$5),"■","")))</x:f>
      </x:c>
      <x:c r="CP10" s="7" t="str">
        <x:f>IF(OR($D10="",CP$5="",'상세일정'!AM10="제외"),"",IF($D10=$E10,IF(AND($D10&gt;=CP$5,$D10&lt;CP$5+7),"◆",""),IF(AND($D10&lt;CP$5+7,$E10&gt;CP$5),"■","")))</x:f>
      </x:c>
      <x:c r="CQ10" s="7" t="str">
        <x:f>IF(OR($D10="",CQ$5="",'상세일정'!AM10="제외"),"",IF($D10=$E10,IF(AND($D10&gt;=CQ$5,$D10&lt;CQ$5+7),"◆",""),IF(AND($D10&lt;CQ$5+7,$E10&gt;CQ$5),"■","")))</x:f>
      </x:c>
      <x:c r="CR10" s="7" t="str">
        <x:f>IF(OR($D10="",CR$5="",'상세일정'!AM10="제외"),"",IF($D10=$E10,IF(AND($D10&gt;=CR$5,$D10&lt;CR$5+7),"◆",""),IF(AND($D10&lt;CR$5+7,$E10&gt;CR$5),"■","")))</x:f>
      </x:c>
      <x:c r="CS10" s="7" t="str">
        <x:f>IF(OR($D10="",CS$5="",'상세일정'!AM10="제외"),"",IF($D10=$E10,IF(AND($D10&gt;=CS$5,$D10&lt;CS$5+7),"◆",""),IF(AND($D10&lt;CS$5+7,$E10&gt;CS$5),"■","")))</x:f>
      </x:c>
      <x:c r="CT10" s="7" t="str">
        <x:f>IF(OR($D10="",CT$5="",'상세일정'!AM10="제외"),"",IF($D10=$E10,IF(AND($D10&gt;=CT$5,$D10&lt;CT$5+7),"◆",""),IF(AND($D10&lt;CT$5+7,$E10&gt;CT$5),"■","")))</x:f>
      </x:c>
      <x:c r="CU10" s="7" t="str">
        <x:f>IF(OR($D10="",CU$5="",'상세일정'!AM10="제외"),"",IF($D10=$E10,IF(AND($D10&gt;=CU$5,$D10&lt;CU$5+7),"◆",""),IF(AND($D10&lt;CU$5+7,$E10&gt;CU$5),"■","")))</x:f>
      </x:c>
      <x:c r="CV10" s="7" t="str">
        <x:f>IF(OR($D10="",CV$5="",'상세일정'!AM10="제외"),"",IF($D10=$E10,IF(AND($D10&gt;=CV$5,$D10&lt;CV$5+7),"◆",""),IF(AND($D10&lt;CV$5+7,$E10&gt;CV$5),"■","")))</x:f>
      </x:c>
      <x:c r="CW10" s="7" t="str">
        <x:f>IF(OR($D10="",CW$5="",'상세일정'!AM10="제외"),"",IF($D10=$E10,IF(AND($D10&gt;=CW$5,$D10&lt;CW$5+7),"◆",""),IF(AND($D10&lt;CW$5+7,$E10&gt;CW$5),"■","")))</x:f>
      </x:c>
      <x:c r="CX10" s="7" t="str">
        <x:f>IF(OR($D10="",CX$5="",'상세일정'!AM10="제외"),"",IF($D10=$E10,IF(AND($D10&gt;=CX$5,$D10&lt;CX$5+7),"◆",""),IF(AND($D10&lt;CX$5+7,$E10&gt;CX$5),"■","")))</x:f>
      </x:c>
      <x:c r="CY10" s="7" t="str">
        <x:f>IF(OR($D10="",CY$5="",'상세일정'!AM10="제외"),"",IF($D10=$E10,IF(AND($D10&gt;=CY$5,$D10&lt;CY$5+7),"◆",""),IF(AND($D10&lt;CY$5+7,$E10&gt;CY$5),"■","")))</x:f>
      </x:c>
      <x:c r="CZ10" s="7" t="str">
        <x:f>IF(OR($D10="",CZ$5="",'상세일정'!AM10="제외"),"",IF($D10=$E10,IF(AND($D10&gt;=CZ$5,$D10&lt;CZ$5+7),"◆",""),IF(AND($D10&lt;CZ$5+7,$E10&gt;CZ$5),"■","")))</x:f>
      </x:c>
      <x:c r="DA10" s="7" t="str">
        <x:f>IF(OR($D10="",DA$5="",'상세일정'!AM10="제외"),"",IF($D10=$E10,IF(AND($D10&gt;=DA$5,$D10&lt;DA$5+7),"◆",""),IF(AND($D10&lt;DA$5+7,$E10&gt;DA$5),"■","")))</x:f>
      </x:c>
      <x:c r="DB10" s="7" t="str">
        <x:f>IF(OR($D10="",DB$5="",'상세일정'!AM10="제외"),"",IF($D10=$E10,IF(AND($D10&gt;=DB$5,$D10&lt;DB$5+7),"◆",""),IF(AND($D10&lt;DB$5+7,$E10&gt;DB$5),"■","")))</x:f>
      </x:c>
      <x:c r="DC10" s="7" t="str">
        <x:f>IF(OR($D10="",DC$5="",'상세일정'!AM10="제외"),"",IF($D10=$E10,IF(AND($D10&gt;=DC$5,$D10&lt;DC$5+7),"◆",""),IF(AND($D10&lt;DC$5+7,$E10&gt;DC$5),"■","")))</x:f>
      </x:c>
      <x:c r="DD10" s="7" t="str">
        <x:f>IF(OR($D10="",DD$5="",'상세일정'!AM10="제외"),"",IF($D10=$E10,IF(AND($D10&gt;=DD$5,$D10&lt;DD$5+7),"◆",""),IF(AND($D10&lt;DD$5+7,$E10&gt;DD$5),"■","")))</x:f>
      </x:c>
      <x:c r="DE10" s="7" t="str">
        <x:f>IF(OR($D10="",DE$5="",'상세일정'!AM10="제외"),"",IF($D10=$E10,IF(AND($D10&gt;=DE$5,$D10&lt;DE$5+7),"◆",""),IF(AND($D10&lt;DE$5+7,$E10&gt;DE$5),"■","")))</x:f>
      </x:c>
    </x:row>
    <x:row r="11" ht="34" customHeight="1">
      <x:c r="A11" s="7" t="str">
        <x:v>LD02</x:v>
      </x:c>
      <x:c r="B11" s="7" t="str">
        <x:v>02 부지·행정 선행조건</x:v>
      </x:c>
      <x:c r="C11" s="7" t="str">
        <x:v>측량·지반조사 보고서 및 지반조건 재확인</x:v>
      </x:c>
      <x:c r="D11" s="10" t="str">
        <x:f>'상세일정'!AJ11</x:f>
      </x:c>
      <x:c r="E11" s="10" t="str">
        <x:f>'상세일정'!AK11</x:f>
      </x:c>
      <x:c r="F11" s="7" t="str">
        <x:f>IF(OR($D11="",F$5="",'상세일정'!AM11="제외"),"",IF($D11=$E11,IF(AND($D11&gt;=F$5,$D11&lt;F$5+7),"◆",""),IF(AND($D11&lt;F$5+7,$E11&gt;F$5),"■","")))</x:f>
      </x:c>
      <x:c r="G11" s="7" t="str">
        <x:f>IF(OR($D11="",G$5="",'상세일정'!AM11="제외"),"",IF($D11=$E11,IF(AND($D11&gt;=G$5,$D11&lt;G$5+7),"◆",""),IF(AND($D11&lt;G$5+7,$E11&gt;G$5),"■","")))</x:f>
      </x:c>
      <x:c r="H11" s="7" t="str">
        <x:f>IF(OR($D11="",H$5="",'상세일정'!AM11="제외"),"",IF($D11=$E11,IF(AND($D11&gt;=H$5,$D11&lt;H$5+7),"◆",""),IF(AND($D11&lt;H$5+7,$E11&gt;H$5),"■","")))</x:f>
      </x:c>
      <x:c r="I11" s="7" t="str">
        <x:f>IF(OR($D11="",I$5="",'상세일정'!AM11="제외"),"",IF($D11=$E11,IF(AND($D11&gt;=I$5,$D11&lt;I$5+7),"◆",""),IF(AND($D11&lt;I$5+7,$E11&gt;I$5),"■","")))</x:f>
      </x:c>
      <x:c r="J11" s="7" t="str">
        <x:f>IF(OR($D11="",J$5="",'상세일정'!AM11="제외"),"",IF($D11=$E11,IF(AND($D11&gt;=J$5,$D11&lt;J$5+7),"◆",""),IF(AND($D11&lt;J$5+7,$E11&gt;J$5),"■","")))</x:f>
      </x:c>
      <x:c r="K11" s="7" t="str">
        <x:f>IF(OR($D11="",K$5="",'상세일정'!AM11="제외"),"",IF($D11=$E11,IF(AND($D11&gt;=K$5,$D11&lt;K$5+7),"◆",""),IF(AND($D11&lt;K$5+7,$E11&gt;K$5),"■","")))</x:f>
      </x:c>
      <x:c r="L11" s="7" t="str">
        <x:f>IF(OR($D11="",L$5="",'상세일정'!AM11="제외"),"",IF($D11=$E11,IF(AND($D11&gt;=L$5,$D11&lt;L$5+7),"◆",""),IF(AND($D11&lt;L$5+7,$E11&gt;L$5),"■","")))</x:f>
      </x:c>
      <x:c r="M11" s="7" t="str">
        <x:f>IF(OR($D11="",M$5="",'상세일정'!AM11="제외"),"",IF($D11=$E11,IF(AND($D11&gt;=M$5,$D11&lt;M$5+7),"◆",""),IF(AND($D11&lt;M$5+7,$E11&gt;M$5),"■","")))</x:f>
      </x:c>
      <x:c r="N11" s="7" t="str">
        <x:f>IF(OR($D11="",N$5="",'상세일정'!AM11="제외"),"",IF($D11=$E11,IF(AND($D11&gt;=N$5,$D11&lt;N$5+7),"◆",""),IF(AND($D11&lt;N$5+7,$E11&gt;N$5),"■","")))</x:f>
      </x:c>
      <x:c r="O11" s="7" t="str">
        <x:f>IF(OR($D11="",O$5="",'상세일정'!AM11="제외"),"",IF($D11=$E11,IF(AND($D11&gt;=O$5,$D11&lt;O$5+7),"◆",""),IF(AND($D11&lt;O$5+7,$E11&gt;O$5),"■","")))</x:f>
      </x:c>
      <x:c r="P11" s="7" t="str">
        <x:f>IF(OR($D11="",P$5="",'상세일정'!AM11="제외"),"",IF($D11=$E11,IF(AND($D11&gt;=P$5,$D11&lt;P$5+7),"◆",""),IF(AND($D11&lt;P$5+7,$E11&gt;P$5),"■","")))</x:f>
      </x:c>
      <x:c r="Q11" s="7" t="str">
        <x:f>IF(OR($D11="",Q$5="",'상세일정'!AM11="제외"),"",IF($D11=$E11,IF(AND($D11&gt;=Q$5,$D11&lt;Q$5+7),"◆",""),IF(AND($D11&lt;Q$5+7,$E11&gt;Q$5),"■","")))</x:f>
      </x:c>
      <x:c r="R11" s="7" t="str">
        <x:f>IF(OR($D11="",R$5="",'상세일정'!AM11="제외"),"",IF($D11=$E11,IF(AND($D11&gt;=R$5,$D11&lt;R$5+7),"◆",""),IF(AND($D11&lt;R$5+7,$E11&gt;R$5),"■","")))</x:f>
      </x:c>
      <x:c r="S11" s="7" t="str">
        <x:f>IF(OR($D11="",S$5="",'상세일정'!AM11="제외"),"",IF($D11=$E11,IF(AND($D11&gt;=S$5,$D11&lt;S$5+7),"◆",""),IF(AND($D11&lt;S$5+7,$E11&gt;S$5),"■","")))</x:f>
      </x:c>
      <x:c r="T11" s="7" t="str">
        <x:f>IF(OR($D11="",T$5="",'상세일정'!AM11="제외"),"",IF($D11=$E11,IF(AND($D11&gt;=T$5,$D11&lt;T$5+7),"◆",""),IF(AND($D11&lt;T$5+7,$E11&gt;T$5),"■","")))</x:f>
      </x:c>
      <x:c r="U11" s="7" t="str">
        <x:f>IF(OR($D11="",U$5="",'상세일정'!AM11="제외"),"",IF($D11=$E11,IF(AND($D11&gt;=U$5,$D11&lt;U$5+7),"◆",""),IF(AND($D11&lt;U$5+7,$E11&gt;U$5),"■","")))</x:f>
      </x:c>
      <x:c r="V11" s="7" t="str">
        <x:f>IF(OR($D11="",V$5="",'상세일정'!AM11="제외"),"",IF($D11=$E11,IF(AND($D11&gt;=V$5,$D11&lt;V$5+7),"◆",""),IF(AND($D11&lt;V$5+7,$E11&gt;V$5),"■","")))</x:f>
      </x:c>
      <x:c r="W11" s="7" t="str">
        <x:f>IF(OR($D11="",W$5="",'상세일정'!AM11="제외"),"",IF($D11=$E11,IF(AND($D11&gt;=W$5,$D11&lt;W$5+7),"◆",""),IF(AND($D11&lt;W$5+7,$E11&gt;W$5),"■","")))</x:f>
      </x:c>
      <x:c r="X11" s="7" t="str">
        <x:f>IF(OR($D11="",X$5="",'상세일정'!AM11="제외"),"",IF($D11=$E11,IF(AND($D11&gt;=X$5,$D11&lt;X$5+7),"◆",""),IF(AND($D11&lt;X$5+7,$E11&gt;X$5),"■","")))</x:f>
      </x:c>
      <x:c r="Y11" s="7" t="str">
        <x:f>IF(OR($D11="",Y$5="",'상세일정'!AM11="제외"),"",IF($D11=$E11,IF(AND($D11&gt;=Y$5,$D11&lt;Y$5+7),"◆",""),IF(AND($D11&lt;Y$5+7,$E11&gt;Y$5),"■","")))</x:f>
      </x:c>
      <x:c r="Z11" s="7" t="str">
        <x:f>IF(OR($D11="",Z$5="",'상세일정'!AM11="제외"),"",IF($D11=$E11,IF(AND($D11&gt;=Z$5,$D11&lt;Z$5+7),"◆",""),IF(AND($D11&lt;Z$5+7,$E11&gt;Z$5),"■","")))</x:f>
      </x:c>
      <x:c r="AA11" s="7" t="str">
        <x:f>IF(OR($D11="",AA$5="",'상세일정'!AM11="제외"),"",IF($D11=$E11,IF(AND($D11&gt;=AA$5,$D11&lt;AA$5+7),"◆",""),IF(AND($D11&lt;AA$5+7,$E11&gt;AA$5),"■","")))</x:f>
      </x:c>
      <x:c r="AB11" s="7" t="str">
        <x:f>IF(OR($D11="",AB$5="",'상세일정'!AM11="제외"),"",IF($D11=$E11,IF(AND($D11&gt;=AB$5,$D11&lt;AB$5+7),"◆",""),IF(AND($D11&lt;AB$5+7,$E11&gt;AB$5),"■","")))</x:f>
      </x:c>
      <x:c r="AC11" s="7" t="str">
        <x:f>IF(OR($D11="",AC$5="",'상세일정'!AM11="제외"),"",IF($D11=$E11,IF(AND($D11&gt;=AC$5,$D11&lt;AC$5+7),"◆",""),IF(AND($D11&lt;AC$5+7,$E11&gt;AC$5),"■","")))</x:f>
      </x:c>
      <x:c r="AD11" s="7" t="str">
        <x:f>IF(OR($D11="",AD$5="",'상세일정'!AM11="제외"),"",IF($D11=$E11,IF(AND($D11&gt;=AD$5,$D11&lt;AD$5+7),"◆",""),IF(AND($D11&lt;AD$5+7,$E11&gt;AD$5),"■","")))</x:f>
      </x:c>
      <x:c r="AE11" s="7" t="str">
        <x:f>IF(OR($D11="",AE$5="",'상세일정'!AM11="제외"),"",IF($D11=$E11,IF(AND($D11&gt;=AE$5,$D11&lt;AE$5+7),"◆",""),IF(AND($D11&lt;AE$5+7,$E11&gt;AE$5),"■","")))</x:f>
      </x:c>
      <x:c r="AF11" s="7" t="str">
        <x:f>IF(OR($D11="",AF$5="",'상세일정'!AM11="제외"),"",IF($D11=$E11,IF(AND($D11&gt;=AF$5,$D11&lt;AF$5+7),"◆",""),IF(AND($D11&lt;AF$5+7,$E11&gt;AF$5),"■","")))</x:f>
      </x:c>
      <x:c r="AG11" s="7" t="str">
        <x:f>IF(OR($D11="",AG$5="",'상세일정'!AM11="제외"),"",IF($D11=$E11,IF(AND($D11&gt;=AG$5,$D11&lt;AG$5+7),"◆",""),IF(AND($D11&lt;AG$5+7,$E11&gt;AG$5),"■","")))</x:f>
      </x:c>
      <x:c r="AH11" s="7" t="str">
        <x:f>IF(OR($D11="",AH$5="",'상세일정'!AM11="제외"),"",IF($D11=$E11,IF(AND($D11&gt;=AH$5,$D11&lt;AH$5+7),"◆",""),IF(AND($D11&lt;AH$5+7,$E11&gt;AH$5),"■","")))</x:f>
      </x:c>
      <x:c r="AI11" s="7" t="str">
        <x:f>IF(OR($D11="",AI$5="",'상세일정'!AM11="제외"),"",IF($D11=$E11,IF(AND($D11&gt;=AI$5,$D11&lt;AI$5+7),"◆",""),IF(AND($D11&lt;AI$5+7,$E11&gt;AI$5),"■","")))</x:f>
      </x:c>
      <x:c r="AJ11" s="7" t="str">
        <x:f>IF(OR($D11="",AJ$5="",'상세일정'!AM11="제외"),"",IF($D11=$E11,IF(AND($D11&gt;=AJ$5,$D11&lt;AJ$5+7),"◆",""),IF(AND($D11&lt;AJ$5+7,$E11&gt;AJ$5),"■","")))</x:f>
      </x:c>
      <x:c r="AK11" s="7" t="str">
        <x:f>IF(OR($D11="",AK$5="",'상세일정'!AM11="제외"),"",IF($D11=$E11,IF(AND($D11&gt;=AK$5,$D11&lt;AK$5+7),"◆",""),IF(AND($D11&lt;AK$5+7,$E11&gt;AK$5),"■","")))</x:f>
      </x:c>
      <x:c r="AL11" s="7" t="str">
        <x:f>IF(OR($D11="",AL$5="",'상세일정'!AM11="제외"),"",IF($D11=$E11,IF(AND($D11&gt;=AL$5,$D11&lt;AL$5+7),"◆",""),IF(AND($D11&lt;AL$5+7,$E11&gt;AL$5),"■","")))</x:f>
      </x:c>
      <x:c r="AM11" s="7" t="str">
        <x:f>IF(OR($D11="",AM$5="",'상세일정'!AM11="제외"),"",IF($D11=$E11,IF(AND($D11&gt;=AM$5,$D11&lt;AM$5+7),"◆",""),IF(AND($D11&lt;AM$5+7,$E11&gt;AM$5),"■","")))</x:f>
      </x:c>
      <x:c r="AN11" s="7" t="str">
        <x:f>IF(OR($D11="",AN$5="",'상세일정'!AM11="제외"),"",IF($D11=$E11,IF(AND($D11&gt;=AN$5,$D11&lt;AN$5+7),"◆",""),IF(AND($D11&lt;AN$5+7,$E11&gt;AN$5),"■","")))</x:f>
      </x:c>
      <x:c r="AO11" s="7" t="str">
        <x:f>IF(OR($D11="",AO$5="",'상세일정'!AM11="제외"),"",IF($D11=$E11,IF(AND($D11&gt;=AO$5,$D11&lt;AO$5+7),"◆",""),IF(AND($D11&lt;AO$5+7,$E11&gt;AO$5),"■","")))</x:f>
      </x:c>
      <x:c r="AP11" s="7" t="str">
        <x:f>IF(OR($D11="",AP$5="",'상세일정'!AM11="제외"),"",IF($D11=$E11,IF(AND($D11&gt;=AP$5,$D11&lt;AP$5+7),"◆",""),IF(AND($D11&lt;AP$5+7,$E11&gt;AP$5),"■","")))</x:f>
      </x:c>
      <x:c r="AQ11" s="7" t="str">
        <x:f>IF(OR($D11="",AQ$5="",'상세일정'!AM11="제외"),"",IF($D11=$E11,IF(AND($D11&gt;=AQ$5,$D11&lt;AQ$5+7),"◆",""),IF(AND($D11&lt;AQ$5+7,$E11&gt;AQ$5),"■","")))</x:f>
      </x:c>
      <x:c r="AR11" s="7" t="str">
        <x:f>IF(OR($D11="",AR$5="",'상세일정'!AM11="제외"),"",IF($D11=$E11,IF(AND($D11&gt;=AR$5,$D11&lt;AR$5+7),"◆",""),IF(AND($D11&lt;AR$5+7,$E11&gt;AR$5),"■","")))</x:f>
      </x:c>
      <x:c r="AS11" s="7" t="str">
        <x:f>IF(OR($D11="",AS$5="",'상세일정'!AM11="제외"),"",IF($D11=$E11,IF(AND($D11&gt;=AS$5,$D11&lt;AS$5+7),"◆",""),IF(AND($D11&lt;AS$5+7,$E11&gt;AS$5),"■","")))</x:f>
      </x:c>
      <x:c r="AT11" s="7" t="str">
        <x:f>IF(OR($D11="",AT$5="",'상세일정'!AM11="제외"),"",IF($D11=$E11,IF(AND($D11&gt;=AT$5,$D11&lt;AT$5+7),"◆",""),IF(AND($D11&lt;AT$5+7,$E11&gt;AT$5),"■","")))</x:f>
      </x:c>
      <x:c r="AU11" s="7" t="str">
        <x:f>IF(OR($D11="",AU$5="",'상세일정'!AM11="제외"),"",IF($D11=$E11,IF(AND($D11&gt;=AU$5,$D11&lt;AU$5+7),"◆",""),IF(AND($D11&lt;AU$5+7,$E11&gt;AU$5),"■","")))</x:f>
      </x:c>
      <x:c r="AV11" s="7" t="str">
        <x:f>IF(OR($D11="",AV$5="",'상세일정'!AM11="제외"),"",IF($D11=$E11,IF(AND($D11&gt;=AV$5,$D11&lt;AV$5+7),"◆",""),IF(AND($D11&lt;AV$5+7,$E11&gt;AV$5),"■","")))</x:f>
      </x:c>
      <x:c r="AW11" s="7" t="str">
        <x:f>IF(OR($D11="",AW$5="",'상세일정'!AM11="제외"),"",IF($D11=$E11,IF(AND($D11&gt;=AW$5,$D11&lt;AW$5+7),"◆",""),IF(AND($D11&lt;AW$5+7,$E11&gt;AW$5),"■","")))</x:f>
      </x:c>
      <x:c r="AX11" s="7" t="str">
        <x:f>IF(OR($D11="",AX$5="",'상세일정'!AM11="제외"),"",IF($D11=$E11,IF(AND($D11&gt;=AX$5,$D11&lt;AX$5+7),"◆",""),IF(AND($D11&lt;AX$5+7,$E11&gt;AX$5),"■","")))</x:f>
      </x:c>
      <x:c r="AY11" s="7" t="str">
        <x:f>IF(OR($D11="",AY$5="",'상세일정'!AM11="제외"),"",IF($D11=$E11,IF(AND($D11&gt;=AY$5,$D11&lt;AY$5+7),"◆",""),IF(AND($D11&lt;AY$5+7,$E11&gt;AY$5),"■","")))</x:f>
      </x:c>
      <x:c r="AZ11" s="7" t="str">
        <x:f>IF(OR($D11="",AZ$5="",'상세일정'!AM11="제외"),"",IF($D11=$E11,IF(AND($D11&gt;=AZ$5,$D11&lt;AZ$5+7),"◆",""),IF(AND($D11&lt;AZ$5+7,$E11&gt;AZ$5),"■","")))</x:f>
      </x:c>
      <x:c r="BA11" s="7" t="str">
        <x:f>IF(OR($D11="",BA$5="",'상세일정'!AM11="제외"),"",IF($D11=$E11,IF(AND($D11&gt;=BA$5,$D11&lt;BA$5+7),"◆",""),IF(AND($D11&lt;BA$5+7,$E11&gt;BA$5),"■","")))</x:f>
      </x:c>
      <x:c r="BB11" s="7" t="str">
        <x:f>IF(OR($D11="",BB$5="",'상세일정'!AM11="제외"),"",IF($D11=$E11,IF(AND($D11&gt;=BB$5,$D11&lt;BB$5+7),"◆",""),IF(AND($D11&lt;BB$5+7,$E11&gt;BB$5),"■","")))</x:f>
      </x:c>
      <x:c r="BC11" s="7" t="str">
        <x:f>IF(OR($D11="",BC$5="",'상세일정'!AM11="제외"),"",IF($D11=$E11,IF(AND($D11&gt;=BC$5,$D11&lt;BC$5+7),"◆",""),IF(AND($D11&lt;BC$5+7,$E11&gt;BC$5),"■","")))</x:f>
      </x:c>
      <x:c r="BD11" s="7" t="str">
        <x:f>IF(OR($D11="",BD$5="",'상세일정'!AM11="제외"),"",IF($D11=$E11,IF(AND($D11&gt;=BD$5,$D11&lt;BD$5+7),"◆",""),IF(AND($D11&lt;BD$5+7,$E11&gt;BD$5),"■","")))</x:f>
      </x:c>
      <x:c r="BE11" s="7" t="str">
        <x:f>IF(OR($D11="",BE$5="",'상세일정'!AM11="제외"),"",IF($D11=$E11,IF(AND($D11&gt;=BE$5,$D11&lt;BE$5+7),"◆",""),IF(AND($D11&lt;BE$5+7,$E11&gt;BE$5),"■","")))</x:f>
      </x:c>
      <x:c r="BF11" s="7" t="str">
        <x:f>IF(OR($D11="",BF$5="",'상세일정'!AM11="제외"),"",IF($D11=$E11,IF(AND($D11&gt;=BF$5,$D11&lt;BF$5+7),"◆",""),IF(AND($D11&lt;BF$5+7,$E11&gt;BF$5),"■","")))</x:f>
      </x:c>
      <x:c r="BG11" s="7" t="str">
        <x:f>IF(OR($D11="",BG$5="",'상세일정'!AM11="제외"),"",IF($D11=$E11,IF(AND($D11&gt;=BG$5,$D11&lt;BG$5+7),"◆",""),IF(AND($D11&lt;BG$5+7,$E11&gt;BG$5),"■","")))</x:f>
      </x:c>
      <x:c r="BH11" s="7" t="str">
        <x:f>IF(OR($D11="",BH$5="",'상세일정'!AM11="제외"),"",IF($D11=$E11,IF(AND($D11&gt;=BH$5,$D11&lt;BH$5+7),"◆",""),IF(AND($D11&lt;BH$5+7,$E11&gt;BH$5),"■","")))</x:f>
      </x:c>
      <x:c r="BI11" s="7" t="str">
        <x:f>IF(OR($D11="",BI$5="",'상세일정'!AM11="제외"),"",IF($D11=$E11,IF(AND($D11&gt;=BI$5,$D11&lt;BI$5+7),"◆",""),IF(AND($D11&lt;BI$5+7,$E11&gt;BI$5),"■","")))</x:f>
      </x:c>
      <x:c r="BJ11" s="7" t="str">
        <x:f>IF(OR($D11="",BJ$5="",'상세일정'!AM11="제외"),"",IF($D11=$E11,IF(AND($D11&gt;=BJ$5,$D11&lt;BJ$5+7),"◆",""),IF(AND($D11&lt;BJ$5+7,$E11&gt;BJ$5),"■","")))</x:f>
      </x:c>
      <x:c r="BK11" s="7" t="str">
        <x:f>IF(OR($D11="",BK$5="",'상세일정'!AM11="제외"),"",IF($D11=$E11,IF(AND($D11&gt;=BK$5,$D11&lt;BK$5+7),"◆",""),IF(AND($D11&lt;BK$5+7,$E11&gt;BK$5),"■","")))</x:f>
      </x:c>
      <x:c r="BL11" s="7" t="str">
        <x:f>IF(OR($D11="",BL$5="",'상세일정'!AM11="제외"),"",IF($D11=$E11,IF(AND($D11&gt;=BL$5,$D11&lt;BL$5+7),"◆",""),IF(AND($D11&lt;BL$5+7,$E11&gt;BL$5),"■","")))</x:f>
      </x:c>
      <x:c r="BM11" s="7" t="str">
        <x:f>IF(OR($D11="",BM$5="",'상세일정'!AM11="제외"),"",IF($D11=$E11,IF(AND($D11&gt;=BM$5,$D11&lt;BM$5+7),"◆",""),IF(AND($D11&lt;BM$5+7,$E11&gt;BM$5),"■","")))</x:f>
      </x:c>
      <x:c r="BN11" s="7" t="str">
        <x:f>IF(OR($D11="",BN$5="",'상세일정'!AM11="제외"),"",IF($D11=$E11,IF(AND($D11&gt;=BN$5,$D11&lt;BN$5+7),"◆",""),IF(AND($D11&lt;BN$5+7,$E11&gt;BN$5),"■","")))</x:f>
      </x:c>
      <x:c r="BO11" s="7" t="str">
        <x:f>IF(OR($D11="",BO$5="",'상세일정'!AM11="제외"),"",IF($D11=$E11,IF(AND($D11&gt;=BO$5,$D11&lt;BO$5+7),"◆",""),IF(AND($D11&lt;BO$5+7,$E11&gt;BO$5),"■","")))</x:f>
      </x:c>
      <x:c r="BP11" s="7" t="str">
        <x:f>IF(OR($D11="",BP$5="",'상세일정'!AM11="제외"),"",IF($D11=$E11,IF(AND($D11&gt;=BP$5,$D11&lt;BP$5+7),"◆",""),IF(AND($D11&lt;BP$5+7,$E11&gt;BP$5),"■","")))</x:f>
      </x:c>
      <x:c r="BQ11" s="7" t="str">
        <x:f>IF(OR($D11="",BQ$5="",'상세일정'!AM11="제외"),"",IF($D11=$E11,IF(AND($D11&gt;=BQ$5,$D11&lt;BQ$5+7),"◆",""),IF(AND($D11&lt;BQ$5+7,$E11&gt;BQ$5),"■","")))</x:f>
      </x:c>
      <x:c r="BR11" s="7" t="str">
        <x:f>IF(OR($D11="",BR$5="",'상세일정'!AM11="제외"),"",IF($D11=$E11,IF(AND($D11&gt;=BR$5,$D11&lt;BR$5+7),"◆",""),IF(AND($D11&lt;BR$5+7,$E11&gt;BR$5),"■","")))</x:f>
      </x:c>
      <x:c r="BS11" s="7" t="str">
        <x:f>IF(OR($D11="",BS$5="",'상세일정'!AM11="제외"),"",IF($D11=$E11,IF(AND($D11&gt;=BS$5,$D11&lt;BS$5+7),"◆",""),IF(AND($D11&lt;BS$5+7,$E11&gt;BS$5),"■","")))</x:f>
      </x:c>
      <x:c r="BT11" s="7" t="str">
        <x:f>IF(OR($D11="",BT$5="",'상세일정'!AM11="제외"),"",IF($D11=$E11,IF(AND($D11&gt;=BT$5,$D11&lt;BT$5+7),"◆",""),IF(AND($D11&lt;BT$5+7,$E11&gt;BT$5),"■","")))</x:f>
      </x:c>
      <x:c r="BU11" s="7" t="str">
        <x:f>IF(OR($D11="",BU$5="",'상세일정'!AM11="제외"),"",IF($D11=$E11,IF(AND($D11&gt;=BU$5,$D11&lt;BU$5+7),"◆",""),IF(AND($D11&lt;BU$5+7,$E11&gt;BU$5),"■","")))</x:f>
      </x:c>
      <x:c r="BV11" s="7" t="str">
        <x:f>IF(OR($D11="",BV$5="",'상세일정'!AM11="제외"),"",IF($D11=$E11,IF(AND($D11&gt;=BV$5,$D11&lt;BV$5+7),"◆",""),IF(AND($D11&lt;BV$5+7,$E11&gt;BV$5),"■","")))</x:f>
      </x:c>
      <x:c r="BW11" s="7" t="str">
        <x:f>IF(OR($D11="",BW$5="",'상세일정'!AM11="제외"),"",IF($D11=$E11,IF(AND($D11&gt;=BW$5,$D11&lt;BW$5+7),"◆",""),IF(AND($D11&lt;BW$5+7,$E11&gt;BW$5),"■","")))</x:f>
      </x:c>
      <x:c r="BX11" s="7" t="str">
        <x:f>IF(OR($D11="",BX$5="",'상세일정'!AM11="제외"),"",IF($D11=$E11,IF(AND($D11&gt;=BX$5,$D11&lt;BX$5+7),"◆",""),IF(AND($D11&lt;BX$5+7,$E11&gt;BX$5),"■","")))</x:f>
      </x:c>
      <x:c r="BY11" s="7" t="str">
        <x:f>IF(OR($D11="",BY$5="",'상세일정'!AM11="제외"),"",IF($D11=$E11,IF(AND($D11&gt;=BY$5,$D11&lt;BY$5+7),"◆",""),IF(AND($D11&lt;BY$5+7,$E11&gt;BY$5),"■","")))</x:f>
      </x:c>
      <x:c r="BZ11" s="7" t="str">
        <x:f>IF(OR($D11="",BZ$5="",'상세일정'!AM11="제외"),"",IF($D11=$E11,IF(AND($D11&gt;=BZ$5,$D11&lt;BZ$5+7),"◆",""),IF(AND($D11&lt;BZ$5+7,$E11&gt;BZ$5),"■","")))</x:f>
      </x:c>
      <x:c r="CA11" s="7" t="str">
        <x:f>IF(OR($D11="",CA$5="",'상세일정'!AM11="제외"),"",IF($D11=$E11,IF(AND($D11&gt;=CA$5,$D11&lt;CA$5+7),"◆",""),IF(AND($D11&lt;CA$5+7,$E11&gt;CA$5),"■","")))</x:f>
      </x:c>
      <x:c r="CB11" s="7" t="str">
        <x:f>IF(OR($D11="",CB$5="",'상세일정'!AM11="제외"),"",IF($D11=$E11,IF(AND($D11&gt;=CB$5,$D11&lt;CB$5+7),"◆",""),IF(AND($D11&lt;CB$5+7,$E11&gt;CB$5),"■","")))</x:f>
      </x:c>
      <x:c r="CC11" s="7" t="str">
        <x:f>IF(OR($D11="",CC$5="",'상세일정'!AM11="제외"),"",IF($D11=$E11,IF(AND($D11&gt;=CC$5,$D11&lt;CC$5+7),"◆",""),IF(AND($D11&lt;CC$5+7,$E11&gt;CC$5),"■","")))</x:f>
      </x:c>
      <x:c r="CD11" s="7" t="str">
        <x:f>IF(OR($D11="",CD$5="",'상세일정'!AM11="제외"),"",IF($D11=$E11,IF(AND($D11&gt;=CD$5,$D11&lt;CD$5+7),"◆",""),IF(AND($D11&lt;CD$5+7,$E11&gt;CD$5),"■","")))</x:f>
      </x:c>
      <x:c r="CE11" s="7" t="str">
        <x:f>IF(OR($D11="",CE$5="",'상세일정'!AM11="제외"),"",IF($D11=$E11,IF(AND($D11&gt;=CE$5,$D11&lt;CE$5+7),"◆",""),IF(AND($D11&lt;CE$5+7,$E11&gt;CE$5),"■","")))</x:f>
      </x:c>
      <x:c r="CF11" s="7" t="str">
        <x:f>IF(OR($D11="",CF$5="",'상세일정'!AM11="제외"),"",IF($D11=$E11,IF(AND($D11&gt;=CF$5,$D11&lt;CF$5+7),"◆",""),IF(AND($D11&lt;CF$5+7,$E11&gt;CF$5),"■","")))</x:f>
      </x:c>
      <x:c r="CG11" s="7" t="str">
        <x:f>IF(OR($D11="",CG$5="",'상세일정'!AM11="제외"),"",IF($D11=$E11,IF(AND($D11&gt;=CG$5,$D11&lt;CG$5+7),"◆",""),IF(AND($D11&lt;CG$5+7,$E11&gt;CG$5),"■","")))</x:f>
      </x:c>
      <x:c r="CH11" s="7" t="str">
        <x:f>IF(OR($D11="",CH$5="",'상세일정'!AM11="제외"),"",IF($D11=$E11,IF(AND($D11&gt;=CH$5,$D11&lt;CH$5+7),"◆",""),IF(AND($D11&lt;CH$5+7,$E11&gt;CH$5),"■","")))</x:f>
      </x:c>
      <x:c r="CI11" s="7" t="str">
        <x:f>IF(OR($D11="",CI$5="",'상세일정'!AM11="제외"),"",IF($D11=$E11,IF(AND($D11&gt;=CI$5,$D11&lt;CI$5+7),"◆",""),IF(AND($D11&lt;CI$5+7,$E11&gt;CI$5),"■","")))</x:f>
      </x:c>
      <x:c r="CJ11" s="7" t="str">
        <x:f>IF(OR($D11="",CJ$5="",'상세일정'!AM11="제외"),"",IF($D11=$E11,IF(AND($D11&gt;=CJ$5,$D11&lt;CJ$5+7),"◆",""),IF(AND($D11&lt;CJ$5+7,$E11&gt;CJ$5),"■","")))</x:f>
      </x:c>
      <x:c r="CK11" s="7" t="str">
        <x:f>IF(OR($D11="",CK$5="",'상세일정'!AM11="제외"),"",IF($D11=$E11,IF(AND($D11&gt;=CK$5,$D11&lt;CK$5+7),"◆",""),IF(AND($D11&lt;CK$5+7,$E11&gt;CK$5),"■","")))</x:f>
      </x:c>
      <x:c r="CL11" s="7" t="str">
        <x:f>IF(OR($D11="",CL$5="",'상세일정'!AM11="제외"),"",IF($D11=$E11,IF(AND($D11&gt;=CL$5,$D11&lt;CL$5+7),"◆",""),IF(AND($D11&lt;CL$5+7,$E11&gt;CL$5),"■","")))</x:f>
      </x:c>
      <x:c r="CM11" s="7" t="str">
        <x:f>IF(OR($D11="",CM$5="",'상세일정'!AM11="제외"),"",IF($D11=$E11,IF(AND($D11&gt;=CM$5,$D11&lt;CM$5+7),"◆",""),IF(AND($D11&lt;CM$5+7,$E11&gt;CM$5),"■","")))</x:f>
      </x:c>
      <x:c r="CN11" s="7" t="str">
        <x:f>IF(OR($D11="",CN$5="",'상세일정'!AM11="제외"),"",IF($D11=$E11,IF(AND($D11&gt;=CN$5,$D11&lt;CN$5+7),"◆",""),IF(AND($D11&lt;CN$5+7,$E11&gt;CN$5),"■","")))</x:f>
      </x:c>
      <x:c r="CO11" s="7" t="str">
        <x:f>IF(OR($D11="",CO$5="",'상세일정'!AM11="제외"),"",IF($D11=$E11,IF(AND($D11&gt;=CO$5,$D11&lt;CO$5+7),"◆",""),IF(AND($D11&lt;CO$5+7,$E11&gt;CO$5),"■","")))</x:f>
      </x:c>
      <x:c r="CP11" s="7" t="str">
        <x:f>IF(OR($D11="",CP$5="",'상세일정'!AM11="제외"),"",IF($D11=$E11,IF(AND($D11&gt;=CP$5,$D11&lt;CP$5+7),"◆",""),IF(AND($D11&lt;CP$5+7,$E11&gt;CP$5),"■","")))</x:f>
      </x:c>
      <x:c r="CQ11" s="7" t="str">
        <x:f>IF(OR($D11="",CQ$5="",'상세일정'!AM11="제외"),"",IF($D11=$E11,IF(AND($D11&gt;=CQ$5,$D11&lt;CQ$5+7),"◆",""),IF(AND($D11&lt;CQ$5+7,$E11&gt;CQ$5),"■","")))</x:f>
      </x:c>
      <x:c r="CR11" s="7" t="str">
        <x:f>IF(OR($D11="",CR$5="",'상세일정'!AM11="제외"),"",IF($D11=$E11,IF(AND($D11&gt;=CR$5,$D11&lt;CR$5+7),"◆",""),IF(AND($D11&lt;CR$5+7,$E11&gt;CR$5),"■","")))</x:f>
      </x:c>
      <x:c r="CS11" s="7" t="str">
        <x:f>IF(OR($D11="",CS$5="",'상세일정'!AM11="제외"),"",IF($D11=$E11,IF(AND($D11&gt;=CS$5,$D11&lt;CS$5+7),"◆",""),IF(AND($D11&lt;CS$5+7,$E11&gt;CS$5),"■","")))</x:f>
      </x:c>
      <x:c r="CT11" s="7" t="str">
        <x:f>IF(OR($D11="",CT$5="",'상세일정'!AM11="제외"),"",IF($D11=$E11,IF(AND($D11&gt;=CT$5,$D11&lt;CT$5+7),"◆",""),IF(AND($D11&lt;CT$5+7,$E11&gt;CT$5),"■","")))</x:f>
      </x:c>
      <x:c r="CU11" s="7" t="str">
        <x:f>IF(OR($D11="",CU$5="",'상세일정'!AM11="제외"),"",IF($D11=$E11,IF(AND($D11&gt;=CU$5,$D11&lt;CU$5+7),"◆",""),IF(AND($D11&lt;CU$5+7,$E11&gt;CU$5),"■","")))</x:f>
      </x:c>
      <x:c r="CV11" s="7" t="str">
        <x:f>IF(OR($D11="",CV$5="",'상세일정'!AM11="제외"),"",IF($D11=$E11,IF(AND($D11&gt;=CV$5,$D11&lt;CV$5+7),"◆",""),IF(AND($D11&lt;CV$5+7,$E11&gt;CV$5),"■","")))</x:f>
      </x:c>
      <x:c r="CW11" s="7" t="str">
        <x:f>IF(OR($D11="",CW$5="",'상세일정'!AM11="제외"),"",IF($D11=$E11,IF(AND($D11&gt;=CW$5,$D11&lt;CW$5+7),"◆",""),IF(AND($D11&lt;CW$5+7,$E11&gt;CW$5),"■","")))</x:f>
      </x:c>
      <x:c r="CX11" s="7" t="str">
        <x:f>IF(OR($D11="",CX$5="",'상세일정'!AM11="제외"),"",IF($D11=$E11,IF(AND($D11&gt;=CX$5,$D11&lt;CX$5+7),"◆",""),IF(AND($D11&lt;CX$5+7,$E11&gt;CX$5),"■","")))</x:f>
      </x:c>
      <x:c r="CY11" s="7" t="str">
        <x:f>IF(OR($D11="",CY$5="",'상세일정'!AM11="제외"),"",IF($D11=$E11,IF(AND($D11&gt;=CY$5,$D11&lt;CY$5+7),"◆",""),IF(AND($D11&lt;CY$5+7,$E11&gt;CY$5),"■","")))</x:f>
      </x:c>
      <x:c r="CZ11" s="7" t="str">
        <x:f>IF(OR($D11="",CZ$5="",'상세일정'!AM11="제외"),"",IF($D11=$E11,IF(AND($D11&gt;=CZ$5,$D11&lt;CZ$5+7),"◆",""),IF(AND($D11&lt;CZ$5+7,$E11&gt;CZ$5),"■","")))</x:f>
      </x:c>
      <x:c r="DA11" s="7" t="str">
        <x:f>IF(OR($D11="",DA$5="",'상세일정'!AM11="제외"),"",IF($D11=$E11,IF(AND($D11&gt;=DA$5,$D11&lt;DA$5+7),"◆",""),IF(AND($D11&lt;DA$5+7,$E11&gt;DA$5),"■","")))</x:f>
      </x:c>
      <x:c r="DB11" s="7" t="str">
        <x:f>IF(OR($D11="",DB$5="",'상세일정'!AM11="제외"),"",IF($D11=$E11,IF(AND($D11&gt;=DB$5,$D11&lt;DB$5+7),"◆",""),IF(AND($D11&lt;DB$5+7,$E11&gt;DB$5),"■","")))</x:f>
      </x:c>
      <x:c r="DC11" s="7" t="str">
        <x:f>IF(OR($D11="",DC$5="",'상세일정'!AM11="제외"),"",IF($D11=$E11,IF(AND($D11&gt;=DC$5,$D11&lt;DC$5+7),"◆",""),IF(AND($D11&lt;DC$5+7,$E11&gt;DC$5),"■","")))</x:f>
      </x:c>
      <x:c r="DD11" s="7" t="str">
        <x:f>IF(OR($D11="",DD$5="",'상세일정'!AM11="제외"),"",IF($D11=$E11,IF(AND($D11&gt;=DD$5,$D11&lt;DD$5+7),"◆",""),IF(AND($D11&lt;DD$5+7,$E11&gt;DD$5),"■","")))</x:f>
      </x:c>
      <x:c r="DE11" s="7" t="str">
        <x:f>IF(OR($D11="",DE$5="",'상세일정'!AM11="제외"),"",IF($D11=$E11,IF(AND($D11&gt;=DE$5,$D11&lt;DE$5+7),"◆",""),IF(AND($D11&lt;DE$5+7,$E11&gt;DE$5),"■","")))</x:f>
      </x:c>
    </x:row>
    <x:row r="12" ht="34" customHeight="1">
      <x:c r="A12" s="7" t="str">
        <x:v>LD03</x:v>
      </x:c>
      <x:c r="B12" s="7" t="str">
        <x:v>02 부지·행정 선행조건</x:v>
      </x:c>
      <x:c r="C12" s="7" t="str">
        <x:v>주변 보호시설·경계·진입로·유틸리티 조사</x:v>
      </x:c>
      <x:c r="D12" s="10" t="str">
        <x:f>'상세일정'!AJ12</x:f>
      </x:c>
      <x:c r="E12" s="10" t="str">
        <x:f>'상세일정'!AK12</x:f>
      </x:c>
      <x:c r="F12" s="7" t="str">
        <x:f>IF(OR($D12="",F$5="",'상세일정'!AM12="제외"),"",IF($D12=$E12,IF(AND($D12&gt;=F$5,$D12&lt;F$5+7),"◆",""),IF(AND($D12&lt;F$5+7,$E12&gt;F$5),"■","")))</x:f>
      </x:c>
      <x:c r="G12" s="7" t="str">
        <x:f>IF(OR($D12="",G$5="",'상세일정'!AM12="제외"),"",IF($D12=$E12,IF(AND($D12&gt;=G$5,$D12&lt;G$5+7),"◆",""),IF(AND($D12&lt;G$5+7,$E12&gt;G$5),"■","")))</x:f>
      </x:c>
      <x:c r="H12" s="7" t="str">
        <x:f>IF(OR($D12="",H$5="",'상세일정'!AM12="제외"),"",IF($D12=$E12,IF(AND($D12&gt;=H$5,$D12&lt;H$5+7),"◆",""),IF(AND($D12&lt;H$5+7,$E12&gt;H$5),"■","")))</x:f>
      </x:c>
      <x:c r="I12" s="7" t="str">
        <x:f>IF(OR($D12="",I$5="",'상세일정'!AM12="제외"),"",IF($D12=$E12,IF(AND($D12&gt;=I$5,$D12&lt;I$5+7),"◆",""),IF(AND($D12&lt;I$5+7,$E12&gt;I$5),"■","")))</x:f>
      </x:c>
      <x:c r="J12" s="7" t="str">
        <x:f>IF(OR($D12="",J$5="",'상세일정'!AM12="제외"),"",IF($D12=$E12,IF(AND($D12&gt;=J$5,$D12&lt;J$5+7),"◆",""),IF(AND($D12&lt;J$5+7,$E12&gt;J$5),"■","")))</x:f>
      </x:c>
      <x:c r="K12" s="7" t="str">
        <x:f>IF(OR($D12="",K$5="",'상세일정'!AM12="제외"),"",IF($D12=$E12,IF(AND($D12&gt;=K$5,$D12&lt;K$5+7),"◆",""),IF(AND($D12&lt;K$5+7,$E12&gt;K$5),"■","")))</x:f>
      </x:c>
      <x:c r="L12" s="7" t="str">
        <x:f>IF(OR($D12="",L$5="",'상세일정'!AM12="제외"),"",IF($D12=$E12,IF(AND($D12&gt;=L$5,$D12&lt;L$5+7),"◆",""),IF(AND($D12&lt;L$5+7,$E12&gt;L$5),"■","")))</x:f>
      </x:c>
      <x:c r="M12" s="7" t="str">
        <x:f>IF(OR($D12="",M$5="",'상세일정'!AM12="제외"),"",IF($D12=$E12,IF(AND($D12&gt;=M$5,$D12&lt;M$5+7),"◆",""),IF(AND($D12&lt;M$5+7,$E12&gt;M$5),"■","")))</x:f>
      </x:c>
      <x:c r="N12" s="7" t="str">
        <x:f>IF(OR($D12="",N$5="",'상세일정'!AM12="제외"),"",IF($D12=$E12,IF(AND($D12&gt;=N$5,$D12&lt;N$5+7),"◆",""),IF(AND($D12&lt;N$5+7,$E12&gt;N$5),"■","")))</x:f>
      </x:c>
      <x:c r="O12" s="7" t="str">
        <x:f>IF(OR($D12="",O$5="",'상세일정'!AM12="제외"),"",IF($D12=$E12,IF(AND($D12&gt;=O$5,$D12&lt;O$5+7),"◆",""),IF(AND($D12&lt;O$5+7,$E12&gt;O$5),"■","")))</x:f>
      </x:c>
      <x:c r="P12" s="7" t="str">
        <x:f>IF(OR($D12="",P$5="",'상세일정'!AM12="제외"),"",IF($D12=$E12,IF(AND($D12&gt;=P$5,$D12&lt;P$5+7),"◆",""),IF(AND($D12&lt;P$5+7,$E12&gt;P$5),"■","")))</x:f>
      </x:c>
      <x:c r="Q12" s="7" t="str">
        <x:f>IF(OR($D12="",Q$5="",'상세일정'!AM12="제외"),"",IF($D12=$E12,IF(AND($D12&gt;=Q$5,$D12&lt;Q$5+7),"◆",""),IF(AND($D12&lt;Q$5+7,$E12&gt;Q$5),"■","")))</x:f>
      </x:c>
      <x:c r="R12" s="7" t="str">
        <x:f>IF(OR($D12="",R$5="",'상세일정'!AM12="제외"),"",IF($D12=$E12,IF(AND($D12&gt;=R$5,$D12&lt;R$5+7),"◆",""),IF(AND($D12&lt;R$5+7,$E12&gt;R$5),"■","")))</x:f>
      </x:c>
      <x:c r="S12" s="7" t="str">
        <x:f>IF(OR($D12="",S$5="",'상세일정'!AM12="제외"),"",IF($D12=$E12,IF(AND($D12&gt;=S$5,$D12&lt;S$5+7),"◆",""),IF(AND($D12&lt;S$5+7,$E12&gt;S$5),"■","")))</x:f>
      </x:c>
      <x:c r="T12" s="7" t="str">
        <x:f>IF(OR($D12="",T$5="",'상세일정'!AM12="제외"),"",IF($D12=$E12,IF(AND($D12&gt;=T$5,$D12&lt;T$5+7),"◆",""),IF(AND($D12&lt;T$5+7,$E12&gt;T$5),"■","")))</x:f>
      </x:c>
      <x:c r="U12" s="7" t="str">
        <x:f>IF(OR($D12="",U$5="",'상세일정'!AM12="제외"),"",IF($D12=$E12,IF(AND($D12&gt;=U$5,$D12&lt;U$5+7),"◆",""),IF(AND($D12&lt;U$5+7,$E12&gt;U$5),"■","")))</x:f>
      </x:c>
      <x:c r="V12" s="7" t="str">
        <x:f>IF(OR($D12="",V$5="",'상세일정'!AM12="제외"),"",IF($D12=$E12,IF(AND($D12&gt;=V$5,$D12&lt;V$5+7),"◆",""),IF(AND($D12&lt;V$5+7,$E12&gt;V$5),"■","")))</x:f>
      </x:c>
      <x:c r="W12" s="7" t="str">
        <x:f>IF(OR($D12="",W$5="",'상세일정'!AM12="제외"),"",IF($D12=$E12,IF(AND($D12&gt;=W$5,$D12&lt;W$5+7),"◆",""),IF(AND($D12&lt;W$5+7,$E12&gt;W$5),"■","")))</x:f>
      </x:c>
      <x:c r="X12" s="7" t="str">
        <x:f>IF(OR($D12="",X$5="",'상세일정'!AM12="제외"),"",IF($D12=$E12,IF(AND($D12&gt;=X$5,$D12&lt;X$5+7),"◆",""),IF(AND($D12&lt;X$5+7,$E12&gt;X$5),"■","")))</x:f>
      </x:c>
      <x:c r="Y12" s="7" t="str">
        <x:f>IF(OR($D12="",Y$5="",'상세일정'!AM12="제외"),"",IF($D12=$E12,IF(AND($D12&gt;=Y$5,$D12&lt;Y$5+7),"◆",""),IF(AND($D12&lt;Y$5+7,$E12&gt;Y$5),"■","")))</x:f>
      </x:c>
      <x:c r="Z12" s="7" t="str">
        <x:f>IF(OR($D12="",Z$5="",'상세일정'!AM12="제외"),"",IF($D12=$E12,IF(AND($D12&gt;=Z$5,$D12&lt;Z$5+7),"◆",""),IF(AND($D12&lt;Z$5+7,$E12&gt;Z$5),"■","")))</x:f>
      </x:c>
      <x:c r="AA12" s="7" t="str">
        <x:f>IF(OR($D12="",AA$5="",'상세일정'!AM12="제외"),"",IF($D12=$E12,IF(AND($D12&gt;=AA$5,$D12&lt;AA$5+7),"◆",""),IF(AND($D12&lt;AA$5+7,$E12&gt;AA$5),"■","")))</x:f>
      </x:c>
      <x:c r="AB12" s="7" t="str">
        <x:f>IF(OR($D12="",AB$5="",'상세일정'!AM12="제외"),"",IF($D12=$E12,IF(AND($D12&gt;=AB$5,$D12&lt;AB$5+7),"◆",""),IF(AND($D12&lt;AB$5+7,$E12&gt;AB$5),"■","")))</x:f>
      </x:c>
      <x:c r="AC12" s="7" t="str">
        <x:f>IF(OR($D12="",AC$5="",'상세일정'!AM12="제외"),"",IF($D12=$E12,IF(AND($D12&gt;=AC$5,$D12&lt;AC$5+7),"◆",""),IF(AND($D12&lt;AC$5+7,$E12&gt;AC$5),"■","")))</x:f>
      </x:c>
      <x:c r="AD12" s="7" t="str">
        <x:f>IF(OR($D12="",AD$5="",'상세일정'!AM12="제외"),"",IF($D12=$E12,IF(AND($D12&gt;=AD$5,$D12&lt;AD$5+7),"◆",""),IF(AND($D12&lt;AD$5+7,$E12&gt;AD$5),"■","")))</x:f>
      </x:c>
      <x:c r="AE12" s="7" t="str">
        <x:f>IF(OR($D12="",AE$5="",'상세일정'!AM12="제외"),"",IF($D12=$E12,IF(AND($D12&gt;=AE$5,$D12&lt;AE$5+7),"◆",""),IF(AND($D12&lt;AE$5+7,$E12&gt;AE$5),"■","")))</x:f>
      </x:c>
      <x:c r="AF12" s="7" t="str">
        <x:f>IF(OR($D12="",AF$5="",'상세일정'!AM12="제외"),"",IF($D12=$E12,IF(AND($D12&gt;=AF$5,$D12&lt;AF$5+7),"◆",""),IF(AND($D12&lt;AF$5+7,$E12&gt;AF$5),"■","")))</x:f>
      </x:c>
      <x:c r="AG12" s="7" t="str">
        <x:f>IF(OR($D12="",AG$5="",'상세일정'!AM12="제외"),"",IF($D12=$E12,IF(AND($D12&gt;=AG$5,$D12&lt;AG$5+7),"◆",""),IF(AND($D12&lt;AG$5+7,$E12&gt;AG$5),"■","")))</x:f>
      </x:c>
      <x:c r="AH12" s="7" t="str">
        <x:f>IF(OR($D12="",AH$5="",'상세일정'!AM12="제외"),"",IF($D12=$E12,IF(AND($D12&gt;=AH$5,$D12&lt;AH$5+7),"◆",""),IF(AND($D12&lt;AH$5+7,$E12&gt;AH$5),"■","")))</x:f>
      </x:c>
      <x:c r="AI12" s="7" t="str">
        <x:f>IF(OR($D12="",AI$5="",'상세일정'!AM12="제외"),"",IF($D12=$E12,IF(AND($D12&gt;=AI$5,$D12&lt;AI$5+7),"◆",""),IF(AND($D12&lt;AI$5+7,$E12&gt;AI$5),"■","")))</x:f>
      </x:c>
      <x:c r="AJ12" s="7" t="str">
        <x:f>IF(OR($D12="",AJ$5="",'상세일정'!AM12="제외"),"",IF($D12=$E12,IF(AND($D12&gt;=AJ$5,$D12&lt;AJ$5+7),"◆",""),IF(AND($D12&lt;AJ$5+7,$E12&gt;AJ$5),"■","")))</x:f>
      </x:c>
      <x:c r="AK12" s="7" t="str">
        <x:f>IF(OR($D12="",AK$5="",'상세일정'!AM12="제외"),"",IF($D12=$E12,IF(AND($D12&gt;=AK$5,$D12&lt;AK$5+7),"◆",""),IF(AND($D12&lt;AK$5+7,$E12&gt;AK$5),"■","")))</x:f>
      </x:c>
      <x:c r="AL12" s="7" t="str">
        <x:f>IF(OR($D12="",AL$5="",'상세일정'!AM12="제외"),"",IF($D12=$E12,IF(AND($D12&gt;=AL$5,$D12&lt;AL$5+7),"◆",""),IF(AND($D12&lt;AL$5+7,$E12&gt;AL$5),"■","")))</x:f>
      </x:c>
      <x:c r="AM12" s="7" t="str">
        <x:f>IF(OR($D12="",AM$5="",'상세일정'!AM12="제외"),"",IF($D12=$E12,IF(AND($D12&gt;=AM$5,$D12&lt;AM$5+7),"◆",""),IF(AND($D12&lt;AM$5+7,$E12&gt;AM$5),"■","")))</x:f>
      </x:c>
      <x:c r="AN12" s="7" t="str">
        <x:f>IF(OR($D12="",AN$5="",'상세일정'!AM12="제외"),"",IF($D12=$E12,IF(AND($D12&gt;=AN$5,$D12&lt;AN$5+7),"◆",""),IF(AND($D12&lt;AN$5+7,$E12&gt;AN$5),"■","")))</x:f>
      </x:c>
      <x:c r="AO12" s="7" t="str">
        <x:f>IF(OR($D12="",AO$5="",'상세일정'!AM12="제외"),"",IF($D12=$E12,IF(AND($D12&gt;=AO$5,$D12&lt;AO$5+7),"◆",""),IF(AND($D12&lt;AO$5+7,$E12&gt;AO$5),"■","")))</x:f>
      </x:c>
      <x:c r="AP12" s="7" t="str">
        <x:f>IF(OR($D12="",AP$5="",'상세일정'!AM12="제외"),"",IF($D12=$E12,IF(AND($D12&gt;=AP$5,$D12&lt;AP$5+7),"◆",""),IF(AND($D12&lt;AP$5+7,$E12&gt;AP$5),"■","")))</x:f>
      </x:c>
      <x:c r="AQ12" s="7" t="str">
        <x:f>IF(OR($D12="",AQ$5="",'상세일정'!AM12="제외"),"",IF($D12=$E12,IF(AND($D12&gt;=AQ$5,$D12&lt;AQ$5+7),"◆",""),IF(AND($D12&lt;AQ$5+7,$E12&gt;AQ$5),"■","")))</x:f>
      </x:c>
      <x:c r="AR12" s="7" t="str">
        <x:f>IF(OR($D12="",AR$5="",'상세일정'!AM12="제외"),"",IF($D12=$E12,IF(AND($D12&gt;=AR$5,$D12&lt;AR$5+7),"◆",""),IF(AND($D12&lt;AR$5+7,$E12&gt;AR$5),"■","")))</x:f>
      </x:c>
      <x:c r="AS12" s="7" t="str">
        <x:f>IF(OR($D12="",AS$5="",'상세일정'!AM12="제외"),"",IF($D12=$E12,IF(AND($D12&gt;=AS$5,$D12&lt;AS$5+7),"◆",""),IF(AND($D12&lt;AS$5+7,$E12&gt;AS$5),"■","")))</x:f>
      </x:c>
      <x:c r="AT12" s="7" t="str">
        <x:f>IF(OR($D12="",AT$5="",'상세일정'!AM12="제외"),"",IF($D12=$E12,IF(AND($D12&gt;=AT$5,$D12&lt;AT$5+7),"◆",""),IF(AND($D12&lt;AT$5+7,$E12&gt;AT$5),"■","")))</x:f>
      </x:c>
      <x:c r="AU12" s="7" t="str">
        <x:f>IF(OR($D12="",AU$5="",'상세일정'!AM12="제외"),"",IF($D12=$E12,IF(AND($D12&gt;=AU$5,$D12&lt;AU$5+7),"◆",""),IF(AND($D12&lt;AU$5+7,$E12&gt;AU$5),"■","")))</x:f>
      </x:c>
      <x:c r="AV12" s="7" t="str">
        <x:f>IF(OR($D12="",AV$5="",'상세일정'!AM12="제외"),"",IF($D12=$E12,IF(AND($D12&gt;=AV$5,$D12&lt;AV$5+7),"◆",""),IF(AND($D12&lt;AV$5+7,$E12&gt;AV$5),"■","")))</x:f>
      </x:c>
      <x:c r="AW12" s="7" t="str">
        <x:f>IF(OR($D12="",AW$5="",'상세일정'!AM12="제외"),"",IF($D12=$E12,IF(AND($D12&gt;=AW$5,$D12&lt;AW$5+7),"◆",""),IF(AND($D12&lt;AW$5+7,$E12&gt;AW$5),"■","")))</x:f>
      </x:c>
      <x:c r="AX12" s="7" t="str">
        <x:f>IF(OR($D12="",AX$5="",'상세일정'!AM12="제외"),"",IF($D12=$E12,IF(AND($D12&gt;=AX$5,$D12&lt;AX$5+7),"◆",""),IF(AND($D12&lt;AX$5+7,$E12&gt;AX$5),"■","")))</x:f>
      </x:c>
      <x:c r="AY12" s="7" t="str">
        <x:f>IF(OR($D12="",AY$5="",'상세일정'!AM12="제외"),"",IF($D12=$E12,IF(AND($D12&gt;=AY$5,$D12&lt;AY$5+7),"◆",""),IF(AND($D12&lt;AY$5+7,$E12&gt;AY$5),"■","")))</x:f>
      </x:c>
      <x:c r="AZ12" s="7" t="str">
        <x:f>IF(OR($D12="",AZ$5="",'상세일정'!AM12="제외"),"",IF($D12=$E12,IF(AND($D12&gt;=AZ$5,$D12&lt;AZ$5+7),"◆",""),IF(AND($D12&lt;AZ$5+7,$E12&gt;AZ$5),"■","")))</x:f>
      </x:c>
      <x:c r="BA12" s="7" t="str">
        <x:f>IF(OR($D12="",BA$5="",'상세일정'!AM12="제외"),"",IF($D12=$E12,IF(AND($D12&gt;=BA$5,$D12&lt;BA$5+7),"◆",""),IF(AND($D12&lt;BA$5+7,$E12&gt;BA$5),"■","")))</x:f>
      </x:c>
      <x:c r="BB12" s="7" t="str">
        <x:f>IF(OR($D12="",BB$5="",'상세일정'!AM12="제외"),"",IF($D12=$E12,IF(AND($D12&gt;=BB$5,$D12&lt;BB$5+7),"◆",""),IF(AND($D12&lt;BB$5+7,$E12&gt;BB$5),"■","")))</x:f>
      </x:c>
      <x:c r="BC12" s="7" t="str">
        <x:f>IF(OR($D12="",BC$5="",'상세일정'!AM12="제외"),"",IF($D12=$E12,IF(AND($D12&gt;=BC$5,$D12&lt;BC$5+7),"◆",""),IF(AND($D12&lt;BC$5+7,$E12&gt;BC$5),"■","")))</x:f>
      </x:c>
      <x:c r="BD12" s="7" t="str">
        <x:f>IF(OR($D12="",BD$5="",'상세일정'!AM12="제외"),"",IF($D12=$E12,IF(AND($D12&gt;=BD$5,$D12&lt;BD$5+7),"◆",""),IF(AND($D12&lt;BD$5+7,$E12&gt;BD$5),"■","")))</x:f>
      </x:c>
      <x:c r="BE12" s="7" t="str">
        <x:f>IF(OR($D12="",BE$5="",'상세일정'!AM12="제외"),"",IF($D12=$E12,IF(AND($D12&gt;=BE$5,$D12&lt;BE$5+7),"◆",""),IF(AND($D12&lt;BE$5+7,$E12&gt;BE$5),"■","")))</x:f>
      </x:c>
      <x:c r="BF12" s="7" t="str">
        <x:f>IF(OR($D12="",BF$5="",'상세일정'!AM12="제외"),"",IF($D12=$E12,IF(AND($D12&gt;=BF$5,$D12&lt;BF$5+7),"◆",""),IF(AND($D12&lt;BF$5+7,$E12&gt;BF$5),"■","")))</x:f>
      </x:c>
      <x:c r="BG12" s="7" t="str">
        <x:f>IF(OR($D12="",BG$5="",'상세일정'!AM12="제외"),"",IF($D12=$E12,IF(AND($D12&gt;=BG$5,$D12&lt;BG$5+7),"◆",""),IF(AND($D12&lt;BG$5+7,$E12&gt;BG$5),"■","")))</x:f>
      </x:c>
      <x:c r="BH12" s="7" t="str">
        <x:f>IF(OR($D12="",BH$5="",'상세일정'!AM12="제외"),"",IF($D12=$E12,IF(AND($D12&gt;=BH$5,$D12&lt;BH$5+7),"◆",""),IF(AND($D12&lt;BH$5+7,$E12&gt;BH$5),"■","")))</x:f>
      </x:c>
      <x:c r="BI12" s="7" t="str">
        <x:f>IF(OR($D12="",BI$5="",'상세일정'!AM12="제외"),"",IF($D12=$E12,IF(AND($D12&gt;=BI$5,$D12&lt;BI$5+7),"◆",""),IF(AND($D12&lt;BI$5+7,$E12&gt;BI$5),"■","")))</x:f>
      </x:c>
      <x:c r="BJ12" s="7" t="str">
        <x:f>IF(OR($D12="",BJ$5="",'상세일정'!AM12="제외"),"",IF($D12=$E12,IF(AND($D12&gt;=BJ$5,$D12&lt;BJ$5+7),"◆",""),IF(AND($D12&lt;BJ$5+7,$E12&gt;BJ$5),"■","")))</x:f>
      </x:c>
      <x:c r="BK12" s="7" t="str">
        <x:f>IF(OR($D12="",BK$5="",'상세일정'!AM12="제외"),"",IF($D12=$E12,IF(AND($D12&gt;=BK$5,$D12&lt;BK$5+7),"◆",""),IF(AND($D12&lt;BK$5+7,$E12&gt;BK$5),"■","")))</x:f>
      </x:c>
      <x:c r="BL12" s="7" t="str">
        <x:f>IF(OR($D12="",BL$5="",'상세일정'!AM12="제외"),"",IF($D12=$E12,IF(AND($D12&gt;=BL$5,$D12&lt;BL$5+7),"◆",""),IF(AND($D12&lt;BL$5+7,$E12&gt;BL$5),"■","")))</x:f>
      </x:c>
      <x:c r="BM12" s="7" t="str">
        <x:f>IF(OR($D12="",BM$5="",'상세일정'!AM12="제외"),"",IF($D12=$E12,IF(AND($D12&gt;=BM$5,$D12&lt;BM$5+7),"◆",""),IF(AND($D12&lt;BM$5+7,$E12&gt;BM$5),"■","")))</x:f>
      </x:c>
      <x:c r="BN12" s="7" t="str">
        <x:f>IF(OR($D12="",BN$5="",'상세일정'!AM12="제외"),"",IF($D12=$E12,IF(AND($D12&gt;=BN$5,$D12&lt;BN$5+7),"◆",""),IF(AND($D12&lt;BN$5+7,$E12&gt;BN$5),"■","")))</x:f>
      </x:c>
      <x:c r="BO12" s="7" t="str">
        <x:f>IF(OR($D12="",BO$5="",'상세일정'!AM12="제외"),"",IF($D12=$E12,IF(AND($D12&gt;=BO$5,$D12&lt;BO$5+7),"◆",""),IF(AND($D12&lt;BO$5+7,$E12&gt;BO$5),"■","")))</x:f>
      </x:c>
      <x:c r="BP12" s="7" t="str">
        <x:f>IF(OR($D12="",BP$5="",'상세일정'!AM12="제외"),"",IF($D12=$E12,IF(AND($D12&gt;=BP$5,$D12&lt;BP$5+7),"◆",""),IF(AND($D12&lt;BP$5+7,$E12&gt;BP$5),"■","")))</x:f>
      </x:c>
      <x:c r="BQ12" s="7" t="str">
        <x:f>IF(OR($D12="",BQ$5="",'상세일정'!AM12="제외"),"",IF($D12=$E12,IF(AND($D12&gt;=BQ$5,$D12&lt;BQ$5+7),"◆",""),IF(AND($D12&lt;BQ$5+7,$E12&gt;BQ$5),"■","")))</x:f>
      </x:c>
      <x:c r="BR12" s="7" t="str">
        <x:f>IF(OR($D12="",BR$5="",'상세일정'!AM12="제외"),"",IF($D12=$E12,IF(AND($D12&gt;=BR$5,$D12&lt;BR$5+7),"◆",""),IF(AND($D12&lt;BR$5+7,$E12&gt;BR$5),"■","")))</x:f>
      </x:c>
      <x:c r="BS12" s="7" t="str">
        <x:f>IF(OR($D12="",BS$5="",'상세일정'!AM12="제외"),"",IF($D12=$E12,IF(AND($D12&gt;=BS$5,$D12&lt;BS$5+7),"◆",""),IF(AND($D12&lt;BS$5+7,$E12&gt;BS$5),"■","")))</x:f>
      </x:c>
      <x:c r="BT12" s="7" t="str">
        <x:f>IF(OR($D12="",BT$5="",'상세일정'!AM12="제외"),"",IF($D12=$E12,IF(AND($D12&gt;=BT$5,$D12&lt;BT$5+7),"◆",""),IF(AND($D12&lt;BT$5+7,$E12&gt;BT$5),"■","")))</x:f>
      </x:c>
      <x:c r="BU12" s="7" t="str">
        <x:f>IF(OR($D12="",BU$5="",'상세일정'!AM12="제외"),"",IF($D12=$E12,IF(AND($D12&gt;=BU$5,$D12&lt;BU$5+7),"◆",""),IF(AND($D12&lt;BU$5+7,$E12&gt;BU$5),"■","")))</x:f>
      </x:c>
      <x:c r="BV12" s="7" t="str">
        <x:f>IF(OR($D12="",BV$5="",'상세일정'!AM12="제외"),"",IF($D12=$E12,IF(AND($D12&gt;=BV$5,$D12&lt;BV$5+7),"◆",""),IF(AND($D12&lt;BV$5+7,$E12&gt;BV$5),"■","")))</x:f>
      </x:c>
      <x:c r="BW12" s="7" t="str">
        <x:f>IF(OR($D12="",BW$5="",'상세일정'!AM12="제외"),"",IF($D12=$E12,IF(AND($D12&gt;=BW$5,$D12&lt;BW$5+7),"◆",""),IF(AND($D12&lt;BW$5+7,$E12&gt;BW$5),"■","")))</x:f>
      </x:c>
      <x:c r="BX12" s="7" t="str">
        <x:f>IF(OR($D12="",BX$5="",'상세일정'!AM12="제외"),"",IF($D12=$E12,IF(AND($D12&gt;=BX$5,$D12&lt;BX$5+7),"◆",""),IF(AND($D12&lt;BX$5+7,$E12&gt;BX$5),"■","")))</x:f>
      </x:c>
      <x:c r="BY12" s="7" t="str">
        <x:f>IF(OR($D12="",BY$5="",'상세일정'!AM12="제외"),"",IF($D12=$E12,IF(AND($D12&gt;=BY$5,$D12&lt;BY$5+7),"◆",""),IF(AND($D12&lt;BY$5+7,$E12&gt;BY$5),"■","")))</x:f>
      </x:c>
      <x:c r="BZ12" s="7" t="str">
        <x:f>IF(OR($D12="",BZ$5="",'상세일정'!AM12="제외"),"",IF($D12=$E12,IF(AND($D12&gt;=BZ$5,$D12&lt;BZ$5+7),"◆",""),IF(AND($D12&lt;BZ$5+7,$E12&gt;BZ$5),"■","")))</x:f>
      </x:c>
      <x:c r="CA12" s="7" t="str">
        <x:f>IF(OR($D12="",CA$5="",'상세일정'!AM12="제외"),"",IF($D12=$E12,IF(AND($D12&gt;=CA$5,$D12&lt;CA$5+7),"◆",""),IF(AND($D12&lt;CA$5+7,$E12&gt;CA$5),"■","")))</x:f>
      </x:c>
      <x:c r="CB12" s="7" t="str">
        <x:f>IF(OR($D12="",CB$5="",'상세일정'!AM12="제외"),"",IF($D12=$E12,IF(AND($D12&gt;=CB$5,$D12&lt;CB$5+7),"◆",""),IF(AND($D12&lt;CB$5+7,$E12&gt;CB$5),"■","")))</x:f>
      </x:c>
      <x:c r="CC12" s="7" t="str">
        <x:f>IF(OR($D12="",CC$5="",'상세일정'!AM12="제외"),"",IF($D12=$E12,IF(AND($D12&gt;=CC$5,$D12&lt;CC$5+7),"◆",""),IF(AND($D12&lt;CC$5+7,$E12&gt;CC$5),"■","")))</x:f>
      </x:c>
      <x:c r="CD12" s="7" t="str">
        <x:f>IF(OR($D12="",CD$5="",'상세일정'!AM12="제외"),"",IF($D12=$E12,IF(AND($D12&gt;=CD$5,$D12&lt;CD$5+7),"◆",""),IF(AND($D12&lt;CD$5+7,$E12&gt;CD$5),"■","")))</x:f>
      </x:c>
      <x:c r="CE12" s="7" t="str">
        <x:f>IF(OR($D12="",CE$5="",'상세일정'!AM12="제외"),"",IF($D12=$E12,IF(AND($D12&gt;=CE$5,$D12&lt;CE$5+7),"◆",""),IF(AND($D12&lt;CE$5+7,$E12&gt;CE$5),"■","")))</x:f>
      </x:c>
      <x:c r="CF12" s="7" t="str">
        <x:f>IF(OR($D12="",CF$5="",'상세일정'!AM12="제외"),"",IF($D12=$E12,IF(AND($D12&gt;=CF$5,$D12&lt;CF$5+7),"◆",""),IF(AND($D12&lt;CF$5+7,$E12&gt;CF$5),"■","")))</x:f>
      </x:c>
      <x:c r="CG12" s="7" t="str">
        <x:f>IF(OR($D12="",CG$5="",'상세일정'!AM12="제외"),"",IF($D12=$E12,IF(AND($D12&gt;=CG$5,$D12&lt;CG$5+7),"◆",""),IF(AND($D12&lt;CG$5+7,$E12&gt;CG$5),"■","")))</x:f>
      </x:c>
      <x:c r="CH12" s="7" t="str">
        <x:f>IF(OR($D12="",CH$5="",'상세일정'!AM12="제외"),"",IF($D12=$E12,IF(AND($D12&gt;=CH$5,$D12&lt;CH$5+7),"◆",""),IF(AND($D12&lt;CH$5+7,$E12&gt;CH$5),"■","")))</x:f>
      </x:c>
      <x:c r="CI12" s="7" t="str">
        <x:f>IF(OR($D12="",CI$5="",'상세일정'!AM12="제외"),"",IF($D12=$E12,IF(AND($D12&gt;=CI$5,$D12&lt;CI$5+7),"◆",""),IF(AND($D12&lt;CI$5+7,$E12&gt;CI$5),"■","")))</x:f>
      </x:c>
      <x:c r="CJ12" s="7" t="str">
        <x:f>IF(OR($D12="",CJ$5="",'상세일정'!AM12="제외"),"",IF($D12=$E12,IF(AND($D12&gt;=CJ$5,$D12&lt;CJ$5+7),"◆",""),IF(AND($D12&lt;CJ$5+7,$E12&gt;CJ$5),"■","")))</x:f>
      </x:c>
      <x:c r="CK12" s="7" t="str">
        <x:f>IF(OR($D12="",CK$5="",'상세일정'!AM12="제외"),"",IF($D12=$E12,IF(AND($D12&gt;=CK$5,$D12&lt;CK$5+7),"◆",""),IF(AND($D12&lt;CK$5+7,$E12&gt;CK$5),"■","")))</x:f>
      </x:c>
      <x:c r="CL12" s="7" t="str">
        <x:f>IF(OR($D12="",CL$5="",'상세일정'!AM12="제외"),"",IF($D12=$E12,IF(AND($D12&gt;=CL$5,$D12&lt;CL$5+7),"◆",""),IF(AND($D12&lt;CL$5+7,$E12&gt;CL$5),"■","")))</x:f>
      </x:c>
      <x:c r="CM12" s="7" t="str">
        <x:f>IF(OR($D12="",CM$5="",'상세일정'!AM12="제외"),"",IF($D12=$E12,IF(AND($D12&gt;=CM$5,$D12&lt;CM$5+7),"◆",""),IF(AND($D12&lt;CM$5+7,$E12&gt;CM$5),"■","")))</x:f>
      </x:c>
      <x:c r="CN12" s="7" t="str">
        <x:f>IF(OR($D12="",CN$5="",'상세일정'!AM12="제외"),"",IF($D12=$E12,IF(AND($D12&gt;=CN$5,$D12&lt;CN$5+7),"◆",""),IF(AND($D12&lt;CN$5+7,$E12&gt;CN$5),"■","")))</x:f>
      </x:c>
      <x:c r="CO12" s="7" t="str">
        <x:f>IF(OR($D12="",CO$5="",'상세일정'!AM12="제외"),"",IF($D12=$E12,IF(AND($D12&gt;=CO$5,$D12&lt;CO$5+7),"◆",""),IF(AND($D12&lt;CO$5+7,$E12&gt;CO$5),"■","")))</x:f>
      </x:c>
      <x:c r="CP12" s="7" t="str">
        <x:f>IF(OR($D12="",CP$5="",'상세일정'!AM12="제외"),"",IF($D12=$E12,IF(AND($D12&gt;=CP$5,$D12&lt;CP$5+7),"◆",""),IF(AND($D12&lt;CP$5+7,$E12&gt;CP$5),"■","")))</x:f>
      </x:c>
      <x:c r="CQ12" s="7" t="str">
        <x:f>IF(OR($D12="",CQ$5="",'상세일정'!AM12="제외"),"",IF($D12=$E12,IF(AND($D12&gt;=CQ$5,$D12&lt;CQ$5+7),"◆",""),IF(AND($D12&lt;CQ$5+7,$E12&gt;CQ$5),"■","")))</x:f>
      </x:c>
      <x:c r="CR12" s="7" t="str">
        <x:f>IF(OR($D12="",CR$5="",'상세일정'!AM12="제외"),"",IF($D12=$E12,IF(AND($D12&gt;=CR$5,$D12&lt;CR$5+7),"◆",""),IF(AND($D12&lt;CR$5+7,$E12&gt;CR$5),"■","")))</x:f>
      </x:c>
      <x:c r="CS12" s="7" t="str">
        <x:f>IF(OR($D12="",CS$5="",'상세일정'!AM12="제외"),"",IF($D12=$E12,IF(AND($D12&gt;=CS$5,$D12&lt;CS$5+7),"◆",""),IF(AND($D12&lt;CS$5+7,$E12&gt;CS$5),"■","")))</x:f>
      </x:c>
      <x:c r="CT12" s="7" t="str">
        <x:f>IF(OR($D12="",CT$5="",'상세일정'!AM12="제외"),"",IF($D12=$E12,IF(AND($D12&gt;=CT$5,$D12&lt;CT$5+7),"◆",""),IF(AND($D12&lt;CT$5+7,$E12&gt;CT$5),"■","")))</x:f>
      </x:c>
      <x:c r="CU12" s="7" t="str">
        <x:f>IF(OR($D12="",CU$5="",'상세일정'!AM12="제외"),"",IF($D12=$E12,IF(AND($D12&gt;=CU$5,$D12&lt;CU$5+7),"◆",""),IF(AND($D12&lt;CU$5+7,$E12&gt;CU$5),"■","")))</x:f>
      </x:c>
      <x:c r="CV12" s="7" t="str">
        <x:f>IF(OR($D12="",CV$5="",'상세일정'!AM12="제외"),"",IF($D12=$E12,IF(AND($D12&gt;=CV$5,$D12&lt;CV$5+7),"◆",""),IF(AND($D12&lt;CV$5+7,$E12&gt;CV$5),"■","")))</x:f>
      </x:c>
      <x:c r="CW12" s="7" t="str">
        <x:f>IF(OR($D12="",CW$5="",'상세일정'!AM12="제외"),"",IF($D12=$E12,IF(AND($D12&gt;=CW$5,$D12&lt;CW$5+7),"◆",""),IF(AND($D12&lt;CW$5+7,$E12&gt;CW$5),"■","")))</x:f>
      </x:c>
      <x:c r="CX12" s="7" t="str">
        <x:f>IF(OR($D12="",CX$5="",'상세일정'!AM12="제외"),"",IF($D12=$E12,IF(AND($D12&gt;=CX$5,$D12&lt;CX$5+7),"◆",""),IF(AND($D12&lt;CX$5+7,$E12&gt;CX$5),"■","")))</x:f>
      </x:c>
      <x:c r="CY12" s="7" t="str">
        <x:f>IF(OR($D12="",CY$5="",'상세일정'!AM12="제외"),"",IF($D12=$E12,IF(AND($D12&gt;=CY$5,$D12&lt;CY$5+7),"◆",""),IF(AND($D12&lt;CY$5+7,$E12&gt;CY$5),"■","")))</x:f>
      </x:c>
      <x:c r="CZ12" s="7" t="str">
        <x:f>IF(OR($D12="",CZ$5="",'상세일정'!AM12="제외"),"",IF($D12=$E12,IF(AND($D12&gt;=CZ$5,$D12&lt;CZ$5+7),"◆",""),IF(AND($D12&lt;CZ$5+7,$E12&gt;CZ$5),"■","")))</x:f>
      </x:c>
      <x:c r="DA12" s="7" t="str">
        <x:f>IF(OR($D12="",DA$5="",'상세일정'!AM12="제외"),"",IF($D12=$E12,IF(AND($D12&gt;=DA$5,$D12&lt;DA$5+7),"◆",""),IF(AND($D12&lt;DA$5+7,$E12&gt;DA$5),"■","")))</x:f>
      </x:c>
      <x:c r="DB12" s="7" t="str">
        <x:f>IF(OR($D12="",DB$5="",'상세일정'!AM12="제외"),"",IF($D12=$E12,IF(AND($D12&gt;=DB$5,$D12&lt;DB$5+7),"◆",""),IF(AND($D12&lt;DB$5+7,$E12&gt;DB$5),"■","")))</x:f>
      </x:c>
      <x:c r="DC12" s="7" t="str">
        <x:f>IF(OR($D12="",DC$5="",'상세일정'!AM12="제외"),"",IF($D12=$E12,IF(AND($D12&gt;=DC$5,$D12&lt;DC$5+7),"◆",""),IF(AND($D12&lt;DC$5+7,$E12&gt;DC$5),"■","")))</x:f>
      </x:c>
      <x:c r="DD12" s="7" t="str">
        <x:f>IF(OR($D12="",DD$5="",'상세일정'!AM12="제외"),"",IF($D12=$E12,IF(AND($D12&gt;=DD$5,$D12&lt;DD$5+7),"◆",""),IF(AND($D12&lt;DD$5+7,$E12&gt;DD$5),"■","")))</x:f>
      </x:c>
      <x:c r="DE12" s="7" t="str">
        <x:f>IF(OR($D12="",DE$5="",'상세일정'!AM12="제외"),"",IF($D12=$E12,IF(AND($D12&gt;=DE$5,$D12&lt;DE$5+7),"◆",""),IF(AND($D12&lt;DE$5+7,$E12&gt;DE$5),"■","")))</x:f>
      </x:c>
    </x:row>
    <x:row r="13" ht="34" customHeight="1">
      <x:c r="A13" s="7" t="str">
        <x:v>LD04</x:v>
      </x:c>
      <x:c r="B13" s="7" t="str">
        <x:v>02 부지·행정 선행조건</x:v>
      </x:c>
      <x:c r="C13" s="7" t="str">
        <x:v>공유재산 사용조건·사업부지 확보 잔여조치</x:v>
      </x:c>
      <x:c r="D13" s="10" t="str">
        <x:f>'상세일정'!AJ13</x:f>
      </x:c>
      <x:c r="E13" s="10" t="str">
        <x:f>'상세일정'!AK13</x:f>
      </x:c>
      <x:c r="F13" s="7" t="str">
        <x:f>IF(OR($D13="",F$5="",'상세일정'!AM13="제외"),"",IF($D13=$E13,IF(AND($D13&gt;=F$5,$D13&lt;F$5+7),"◆",""),IF(AND($D13&lt;F$5+7,$E13&gt;F$5),"■","")))</x:f>
      </x:c>
      <x:c r="G13" s="7" t="str">
        <x:f>IF(OR($D13="",G$5="",'상세일정'!AM13="제외"),"",IF($D13=$E13,IF(AND($D13&gt;=G$5,$D13&lt;G$5+7),"◆",""),IF(AND($D13&lt;G$5+7,$E13&gt;G$5),"■","")))</x:f>
      </x:c>
      <x:c r="H13" s="7" t="str">
        <x:f>IF(OR($D13="",H$5="",'상세일정'!AM13="제외"),"",IF($D13=$E13,IF(AND($D13&gt;=H$5,$D13&lt;H$5+7),"◆",""),IF(AND($D13&lt;H$5+7,$E13&gt;H$5),"■","")))</x:f>
      </x:c>
      <x:c r="I13" s="7" t="str">
        <x:f>IF(OR($D13="",I$5="",'상세일정'!AM13="제외"),"",IF($D13=$E13,IF(AND($D13&gt;=I$5,$D13&lt;I$5+7),"◆",""),IF(AND($D13&lt;I$5+7,$E13&gt;I$5),"■","")))</x:f>
      </x:c>
      <x:c r="J13" s="7" t="str">
        <x:f>IF(OR($D13="",J$5="",'상세일정'!AM13="제외"),"",IF($D13=$E13,IF(AND($D13&gt;=J$5,$D13&lt;J$5+7),"◆",""),IF(AND($D13&lt;J$5+7,$E13&gt;J$5),"■","")))</x:f>
      </x:c>
      <x:c r="K13" s="7" t="str">
        <x:f>IF(OR($D13="",K$5="",'상세일정'!AM13="제외"),"",IF($D13=$E13,IF(AND($D13&gt;=K$5,$D13&lt;K$5+7),"◆",""),IF(AND($D13&lt;K$5+7,$E13&gt;K$5),"■","")))</x:f>
      </x:c>
      <x:c r="L13" s="7" t="str">
        <x:f>IF(OR($D13="",L$5="",'상세일정'!AM13="제외"),"",IF($D13=$E13,IF(AND($D13&gt;=L$5,$D13&lt;L$5+7),"◆",""),IF(AND($D13&lt;L$5+7,$E13&gt;L$5),"■","")))</x:f>
      </x:c>
      <x:c r="M13" s="7" t="str">
        <x:f>IF(OR($D13="",M$5="",'상세일정'!AM13="제외"),"",IF($D13=$E13,IF(AND($D13&gt;=M$5,$D13&lt;M$5+7),"◆",""),IF(AND($D13&lt;M$5+7,$E13&gt;M$5),"■","")))</x:f>
      </x:c>
      <x:c r="N13" s="7" t="str">
        <x:f>IF(OR($D13="",N$5="",'상세일정'!AM13="제외"),"",IF($D13=$E13,IF(AND($D13&gt;=N$5,$D13&lt;N$5+7),"◆",""),IF(AND($D13&lt;N$5+7,$E13&gt;N$5),"■","")))</x:f>
      </x:c>
      <x:c r="O13" s="7" t="str">
        <x:f>IF(OR($D13="",O$5="",'상세일정'!AM13="제외"),"",IF($D13=$E13,IF(AND($D13&gt;=O$5,$D13&lt;O$5+7),"◆",""),IF(AND($D13&lt;O$5+7,$E13&gt;O$5),"■","")))</x:f>
      </x:c>
      <x:c r="P13" s="7" t="str">
        <x:f>IF(OR($D13="",P$5="",'상세일정'!AM13="제외"),"",IF($D13=$E13,IF(AND($D13&gt;=P$5,$D13&lt;P$5+7),"◆",""),IF(AND($D13&lt;P$5+7,$E13&gt;P$5),"■","")))</x:f>
      </x:c>
      <x:c r="Q13" s="7" t="str">
        <x:f>IF(OR($D13="",Q$5="",'상세일정'!AM13="제외"),"",IF($D13=$E13,IF(AND($D13&gt;=Q$5,$D13&lt;Q$5+7),"◆",""),IF(AND($D13&lt;Q$5+7,$E13&gt;Q$5),"■","")))</x:f>
      </x:c>
      <x:c r="R13" s="7" t="str">
        <x:f>IF(OR($D13="",R$5="",'상세일정'!AM13="제외"),"",IF($D13=$E13,IF(AND($D13&gt;=R$5,$D13&lt;R$5+7),"◆",""),IF(AND($D13&lt;R$5+7,$E13&gt;R$5),"■","")))</x:f>
      </x:c>
      <x:c r="S13" s="7" t="str">
        <x:f>IF(OR($D13="",S$5="",'상세일정'!AM13="제외"),"",IF($D13=$E13,IF(AND($D13&gt;=S$5,$D13&lt;S$5+7),"◆",""),IF(AND($D13&lt;S$5+7,$E13&gt;S$5),"■","")))</x:f>
      </x:c>
      <x:c r="T13" s="7" t="str">
        <x:f>IF(OR($D13="",T$5="",'상세일정'!AM13="제외"),"",IF($D13=$E13,IF(AND($D13&gt;=T$5,$D13&lt;T$5+7),"◆",""),IF(AND($D13&lt;T$5+7,$E13&gt;T$5),"■","")))</x:f>
      </x:c>
      <x:c r="U13" s="7" t="str">
        <x:f>IF(OR($D13="",U$5="",'상세일정'!AM13="제외"),"",IF($D13=$E13,IF(AND($D13&gt;=U$5,$D13&lt;U$5+7),"◆",""),IF(AND($D13&lt;U$5+7,$E13&gt;U$5),"■","")))</x:f>
      </x:c>
      <x:c r="V13" s="7" t="str">
        <x:f>IF(OR($D13="",V$5="",'상세일정'!AM13="제외"),"",IF($D13=$E13,IF(AND($D13&gt;=V$5,$D13&lt;V$5+7),"◆",""),IF(AND($D13&lt;V$5+7,$E13&gt;V$5),"■","")))</x:f>
      </x:c>
      <x:c r="W13" s="7" t="str">
        <x:f>IF(OR($D13="",W$5="",'상세일정'!AM13="제외"),"",IF($D13=$E13,IF(AND($D13&gt;=W$5,$D13&lt;W$5+7),"◆",""),IF(AND($D13&lt;W$5+7,$E13&gt;W$5),"■","")))</x:f>
      </x:c>
      <x:c r="X13" s="7" t="str">
        <x:f>IF(OR($D13="",X$5="",'상세일정'!AM13="제외"),"",IF($D13=$E13,IF(AND($D13&gt;=X$5,$D13&lt;X$5+7),"◆",""),IF(AND($D13&lt;X$5+7,$E13&gt;X$5),"■","")))</x:f>
      </x:c>
      <x:c r="Y13" s="7" t="str">
        <x:f>IF(OR($D13="",Y$5="",'상세일정'!AM13="제외"),"",IF($D13=$E13,IF(AND($D13&gt;=Y$5,$D13&lt;Y$5+7),"◆",""),IF(AND($D13&lt;Y$5+7,$E13&gt;Y$5),"■","")))</x:f>
      </x:c>
      <x:c r="Z13" s="7" t="str">
        <x:f>IF(OR($D13="",Z$5="",'상세일정'!AM13="제외"),"",IF($D13=$E13,IF(AND($D13&gt;=Z$5,$D13&lt;Z$5+7),"◆",""),IF(AND($D13&lt;Z$5+7,$E13&gt;Z$5),"■","")))</x:f>
      </x:c>
      <x:c r="AA13" s="7" t="str">
        <x:f>IF(OR($D13="",AA$5="",'상세일정'!AM13="제외"),"",IF($D13=$E13,IF(AND($D13&gt;=AA$5,$D13&lt;AA$5+7),"◆",""),IF(AND($D13&lt;AA$5+7,$E13&gt;AA$5),"■","")))</x:f>
      </x:c>
      <x:c r="AB13" s="7" t="str">
        <x:f>IF(OR($D13="",AB$5="",'상세일정'!AM13="제외"),"",IF($D13=$E13,IF(AND($D13&gt;=AB$5,$D13&lt;AB$5+7),"◆",""),IF(AND($D13&lt;AB$5+7,$E13&gt;AB$5),"■","")))</x:f>
      </x:c>
      <x:c r="AC13" s="7" t="str">
        <x:f>IF(OR($D13="",AC$5="",'상세일정'!AM13="제외"),"",IF($D13=$E13,IF(AND($D13&gt;=AC$5,$D13&lt;AC$5+7),"◆",""),IF(AND($D13&lt;AC$5+7,$E13&gt;AC$5),"■","")))</x:f>
      </x:c>
      <x:c r="AD13" s="7" t="str">
        <x:f>IF(OR($D13="",AD$5="",'상세일정'!AM13="제외"),"",IF($D13=$E13,IF(AND($D13&gt;=AD$5,$D13&lt;AD$5+7),"◆",""),IF(AND($D13&lt;AD$5+7,$E13&gt;AD$5),"■","")))</x:f>
      </x:c>
      <x:c r="AE13" s="7" t="str">
        <x:f>IF(OR($D13="",AE$5="",'상세일정'!AM13="제외"),"",IF($D13=$E13,IF(AND($D13&gt;=AE$5,$D13&lt;AE$5+7),"◆",""),IF(AND($D13&lt;AE$5+7,$E13&gt;AE$5),"■","")))</x:f>
      </x:c>
      <x:c r="AF13" s="7" t="str">
        <x:f>IF(OR($D13="",AF$5="",'상세일정'!AM13="제외"),"",IF($D13=$E13,IF(AND($D13&gt;=AF$5,$D13&lt;AF$5+7),"◆",""),IF(AND($D13&lt;AF$5+7,$E13&gt;AF$5),"■","")))</x:f>
      </x:c>
      <x:c r="AG13" s="7" t="str">
        <x:f>IF(OR($D13="",AG$5="",'상세일정'!AM13="제외"),"",IF($D13=$E13,IF(AND($D13&gt;=AG$5,$D13&lt;AG$5+7),"◆",""),IF(AND($D13&lt;AG$5+7,$E13&gt;AG$5),"■","")))</x:f>
      </x:c>
      <x:c r="AH13" s="7" t="str">
        <x:f>IF(OR($D13="",AH$5="",'상세일정'!AM13="제외"),"",IF($D13=$E13,IF(AND($D13&gt;=AH$5,$D13&lt;AH$5+7),"◆",""),IF(AND($D13&lt;AH$5+7,$E13&gt;AH$5),"■","")))</x:f>
      </x:c>
      <x:c r="AI13" s="7" t="str">
        <x:f>IF(OR($D13="",AI$5="",'상세일정'!AM13="제외"),"",IF($D13=$E13,IF(AND($D13&gt;=AI$5,$D13&lt;AI$5+7),"◆",""),IF(AND($D13&lt;AI$5+7,$E13&gt;AI$5),"■","")))</x:f>
      </x:c>
      <x:c r="AJ13" s="7" t="str">
        <x:f>IF(OR($D13="",AJ$5="",'상세일정'!AM13="제외"),"",IF($D13=$E13,IF(AND($D13&gt;=AJ$5,$D13&lt;AJ$5+7),"◆",""),IF(AND($D13&lt;AJ$5+7,$E13&gt;AJ$5),"■","")))</x:f>
      </x:c>
      <x:c r="AK13" s="7" t="str">
        <x:f>IF(OR($D13="",AK$5="",'상세일정'!AM13="제외"),"",IF($D13=$E13,IF(AND($D13&gt;=AK$5,$D13&lt;AK$5+7),"◆",""),IF(AND($D13&lt;AK$5+7,$E13&gt;AK$5),"■","")))</x:f>
      </x:c>
      <x:c r="AL13" s="7" t="str">
        <x:f>IF(OR($D13="",AL$5="",'상세일정'!AM13="제외"),"",IF($D13=$E13,IF(AND($D13&gt;=AL$5,$D13&lt;AL$5+7),"◆",""),IF(AND($D13&lt;AL$5+7,$E13&gt;AL$5),"■","")))</x:f>
      </x:c>
      <x:c r="AM13" s="7" t="str">
        <x:f>IF(OR($D13="",AM$5="",'상세일정'!AM13="제외"),"",IF($D13=$E13,IF(AND($D13&gt;=AM$5,$D13&lt;AM$5+7),"◆",""),IF(AND($D13&lt;AM$5+7,$E13&gt;AM$5),"■","")))</x:f>
      </x:c>
      <x:c r="AN13" s="7" t="str">
        <x:f>IF(OR($D13="",AN$5="",'상세일정'!AM13="제외"),"",IF($D13=$E13,IF(AND($D13&gt;=AN$5,$D13&lt;AN$5+7),"◆",""),IF(AND($D13&lt;AN$5+7,$E13&gt;AN$5),"■","")))</x:f>
      </x:c>
      <x:c r="AO13" s="7" t="str">
        <x:f>IF(OR($D13="",AO$5="",'상세일정'!AM13="제외"),"",IF($D13=$E13,IF(AND($D13&gt;=AO$5,$D13&lt;AO$5+7),"◆",""),IF(AND($D13&lt;AO$5+7,$E13&gt;AO$5),"■","")))</x:f>
      </x:c>
      <x:c r="AP13" s="7" t="str">
        <x:f>IF(OR($D13="",AP$5="",'상세일정'!AM13="제외"),"",IF($D13=$E13,IF(AND($D13&gt;=AP$5,$D13&lt;AP$5+7),"◆",""),IF(AND($D13&lt;AP$5+7,$E13&gt;AP$5),"■","")))</x:f>
      </x:c>
      <x:c r="AQ13" s="7" t="str">
        <x:f>IF(OR($D13="",AQ$5="",'상세일정'!AM13="제외"),"",IF($D13=$E13,IF(AND($D13&gt;=AQ$5,$D13&lt;AQ$5+7),"◆",""),IF(AND($D13&lt;AQ$5+7,$E13&gt;AQ$5),"■","")))</x:f>
      </x:c>
      <x:c r="AR13" s="7" t="str">
        <x:f>IF(OR($D13="",AR$5="",'상세일정'!AM13="제외"),"",IF($D13=$E13,IF(AND($D13&gt;=AR$5,$D13&lt;AR$5+7),"◆",""),IF(AND($D13&lt;AR$5+7,$E13&gt;AR$5),"■","")))</x:f>
      </x:c>
      <x:c r="AS13" s="7" t="str">
        <x:f>IF(OR($D13="",AS$5="",'상세일정'!AM13="제외"),"",IF($D13=$E13,IF(AND($D13&gt;=AS$5,$D13&lt;AS$5+7),"◆",""),IF(AND($D13&lt;AS$5+7,$E13&gt;AS$5),"■","")))</x:f>
      </x:c>
      <x:c r="AT13" s="7" t="str">
        <x:f>IF(OR($D13="",AT$5="",'상세일정'!AM13="제외"),"",IF($D13=$E13,IF(AND($D13&gt;=AT$5,$D13&lt;AT$5+7),"◆",""),IF(AND($D13&lt;AT$5+7,$E13&gt;AT$5),"■","")))</x:f>
      </x:c>
      <x:c r="AU13" s="7" t="str">
        <x:f>IF(OR($D13="",AU$5="",'상세일정'!AM13="제외"),"",IF($D13=$E13,IF(AND($D13&gt;=AU$5,$D13&lt;AU$5+7),"◆",""),IF(AND($D13&lt;AU$5+7,$E13&gt;AU$5),"■","")))</x:f>
      </x:c>
      <x:c r="AV13" s="7" t="str">
        <x:f>IF(OR($D13="",AV$5="",'상세일정'!AM13="제외"),"",IF($D13=$E13,IF(AND($D13&gt;=AV$5,$D13&lt;AV$5+7),"◆",""),IF(AND($D13&lt;AV$5+7,$E13&gt;AV$5),"■","")))</x:f>
      </x:c>
      <x:c r="AW13" s="7" t="str">
        <x:f>IF(OR($D13="",AW$5="",'상세일정'!AM13="제외"),"",IF($D13=$E13,IF(AND($D13&gt;=AW$5,$D13&lt;AW$5+7),"◆",""),IF(AND($D13&lt;AW$5+7,$E13&gt;AW$5),"■","")))</x:f>
      </x:c>
      <x:c r="AX13" s="7" t="str">
        <x:f>IF(OR($D13="",AX$5="",'상세일정'!AM13="제외"),"",IF($D13=$E13,IF(AND($D13&gt;=AX$5,$D13&lt;AX$5+7),"◆",""),IF(AND($D13&lt;AX$5+7,$E13&gt;AX$5),"■","")))</x:f>
      </x:c>
      <x:c r="AY13" s="7" t="str">
        <x:f>IF(OR($D13="",AY$5="",'상세일정'!AM13="제외"),"",IF($D13=$E13,IF(AND($D13&gt;=AY$5,$D13&lt;AY$5+7),"◆",""),IF(AND($D13&lt;AY$5+7,$E13&gt;AY$5),"■","")))</x:f>
      </x:c>
      <x:c r="AZ13" s="7" t="str">
        <x:f>IF(OR($D13="",AZ$5="",'상세일정'!AM13="제외"),"",IF($D13=$E13,IF(AND($D13&gt;=AZ$5,$D13&lt;AZ$5+7),"◆",""),IF(AND($D13&lt;AZ$5+7,$E13&gt;AZ$5),"■","")))</x:f>
      </x:c>
      <x:c r="BA13" s="7" t="str">
        <x:f>IF(OR($D13="",BA$5="",'상세일정'!AM13="제외"),"",IF($D13=$E13,IF(AND($D13&gt;=BA$5,$D13&lt;BA$5+7),"◆",""),IF(AND($D13&lt;BA$5+7,$E13&gt;BA$5),"■","")))</x:f>
      </x:c>
      <x:c r="BB13" s="7" t="str">
        <x:f>IF(OR($D13="",BB$5="",'상세일정'!AM13="제외"),"",IF($D13=$E13,IF(AND($D13&gt;=BB$5,$D13&lt;BB$5+7),"◆",""),IF(AND($D13&lt;BB$5+7,$E13&gt;BB$5),"■","")))</x:f>
      </x:c>
      <x:c r="BC13" s="7" t="str">
        <x:f>IF(OR($D13="",BC$5="",'상세일정'!AM13="제외"),"",IF($D13=$E13,IF(AND($D13&gt;=BC$5,$D13&lt;BC$5+7),"◆",""),IF(AND($D13&lt;BC$5+7,$E13&gt;BC$5),"■","")))</x:f>
      </x:c>
      <x:c r="BD13" s="7" t="str">
        <x:f>IF(OR($D13="",BD$5="",'상세일정'!AM13="제외"),"",IF($D13=$E13,IF(AND($D13&gt;=BD$5,$D13&lt;BD$5+7),"◆",""),IF(AND($D13&lt;BD$5+7,$E13&gt;BD$5),"■","")))</x:f>
      </x:c>
      <x:c r="BE13" s="7" t="str">
        <x:f>IF(OR($D13="",BE$5="",'상세일정'!AM13="제외"),"",IF($D13=$E13,IF(AND($D13&gt;=BE$5,$D13&lt;BE$5+7),"◆",""),IF(AND($D13&lt;BE$5+7,$E13&gt;BE$5),"■","")))</x:f>
      </x:c>
      <x:c r="BF13" s="7" t="str">
        <x:f>IF(OR($D13="",BF$5="",'상세일정'!AM13="제외"),"",IF($D13=$E13,IF(AND($D13&gt;=BF$5,$D13&lt;BF$5+7),"◆",""),IF(AND($D13&lt;BF$5+7,$E13&gt;BF$5),"■","")))</x:f>
      </x:c>
      <x:c r="BG13" s="7" t="str">
        <x:f>IF(OR($D13="",BG$5="",'상세일정'!AM13="제외"),"",IF($D13=$E13,IF(AND($D13&gt;=BG$5,$D13&lt;BG$5+7),"◆",""),IF(AND($D13&lt;BG$5+7,$E13&gt;BG$5),"■","")))</x:f>
      </x:c>
      <x:c r="BH13" s="7" t="str">
        <x:f>IF(OR($D13="",BH$5="",'상세일정'!AM13="제외"),"",IF($D13=$E13,IF(AND($D13&gt;=BH$5,$D13&lt;BH$5+7),"◆",""),IF(AND($D13&lt;BH$5+7,$E13&gt;BH$5),"■","")))</x:f>
      </x:c>
      <x:c r="BI13" s="7" t="str">
        <x:f>IF(OR($D13="",BI$5="",'상세일정'!AM13="제외"),"",IF($D13=$E13,IF(AND($D13&gt;=BI$5,$D13&lt;BI$5+7),"◆",""),IF(AND($D13&lt;BI$5+7,$E13&gt;BI$5),"■","")))</x:f>
      </x:c>
      <x:c r="BJ13" s="7" t="str">
        <x:f>IF(OR($D13="",BJ$5="",'상세일정'!AM13="제외"),"",IF($D13=$E13,IF(AND($D13&gt;=BJ$5,$D13&lt;BJ$5+7),"◆",""),IF(AND($D13&lt;BJ$5+7,$E13&gt;BJ$5),"■","")))</x:f>
      </x:c>
      <x:c r="BK13" s="7" t="str">
        <x:f>IF(OR($D13="",BK$5="",'상세일정'!AM13="제외"),"",IF($D13=$E13,IF(AND($D13&gt;=BK$5,$D13&lt;BK$5+7),"◆",""),IF(AND($D13&lt;BK$5+7,$E13&gt;BK$5),"■","")))</x:f>
      </x:c>
      <x:c r="BL13" s="7" t="str">
        <x:f>IF(OR($D13="",BL$5="",'상세일정'!AM13="제외"),"",IF($D13=$E13,IF(AND($D13&gt;=BL$5,$D13&lt;BL$5+7),"◆",""),IF(AND($D13&lt;BL$5+7,$E13&gt;BL$5),"■","")))</x:f>
      </x:c>
      <x:c r="BM13" s="7" t="str">
        <x:f>IF(OR($D13="",BM$5="",'상세일정'!AM13="제외"),"",IF($D13=$E13,IF(AND($D13&gt;=BM$5,$D13&lt;BM$5+7),"◆",""),IF(AND($D13&lt;BM$5+7,$E13&gt;BM$5),"■","")))</x:f>
      </x:c>
      <x:c r="BN13" s="7" t="str">
        <x:f>IF(OR($D13="",BN$5="",'상세일정'!AM13="제외"),"",IF($D13=$E13,IF(AND($D13&gt;=BN$5,$D13&lt;BN$5+7),"◆",""),IF(AND($D13&lt;BN$5+7,$E13&gt;BN$5),"■","")))</x:f>
      </x:c>
      <x:c r="BO13" s="7" t="str">
        <x:f>IF(OR($D13="",BO$5="",'상세일정'!AM13="제외"),"",IF($D13=$E13,IF(AND($D13&gt;=BO$5,$D13&lt;BO$5+7),"◆",""),IF(AND($D13&lt;BO$5+7,$E13&gt;BO$5),"■","")))</x:f>
      </x:c>
      <x:c r="BP13" s="7" t="str">
        <x:f>IF(OR($D13="",BP$5="",'상세일정'!AM13="제외"),"",IF($D13=$E13,IF(AND($D13&gt;=BP$5,$D13&lt;BP$5+7),"◆",""),IF(AND($D13&lt;BP$5+7,$E13&gt;BP$5),"■","")))</x:f>
      </x:c>
      <x:c r="BQ13" s="7" t="str">
        <x:f>IF(OR($D13="",BQ$5="",'상세일정'!AM13="제외"),"",IF($D13=$E13,IF(AND($D13&gt;=BQ$5,$D13&lt;BQ$5+7),"◆",""),IF(AND($D13&lt;BQ$5+7,$E13&gt;BQ$5),"■","")))</x:f>
      </x:c>
      <x:c r="BR13" s="7" t="str">
        <x:f>IF(OR($D13="",BR$5="",'상세일정'!AM13="제외"),"",IF($D13=$E13,IF(AND($D13&gt;=BR$5,$D13&lt;BR$5+7),"◆",""),IF(AND($D13&lt;BR$5+7,$E13&gt;BR$5),"■","")))</x:f>
      </x:c>
      <x:c r="BS13" s="7" t="str">
        <x:f>IF(OR($D13="",BS$5="",'상세일정'!AM13="제외"),"",IF($D13=$E13,IF(AND($D13&gt;=BS$5,$D13&lt;BS$5+7),"◆",""),IF(AND($D13&lt;BS$5+7,$E13&gt;BS$5),"■","")))</x:f>
      </x:c>
      <x:c r="BT13" s="7" t="str">
        <x:f>IF(OR($D13="",BT$5="",'상세일정'!AM13="제외"),"",IF($D13=$E13,IF(AND($D13&gt;=BT$5,$D13&lt;BT$5+7),"◆",""),IF(AND($D13&lt;BT$5+7,$E13&gt;BT$5),"■","")))</x:f>
      </x:c>
      <x:c r="BU13" s="7" t="str">
        <x:f>IF(OR($D13="",BU$5="",'상세일정'!AM13="제외"),"",IF($D13=$E13,IF(AND($D13&gt;=BU$5,$D13&lt;BU$5+7),"◆",""),IF(AND($D13&lt;BU$5+7,$E13&gt;BU$5),"■","")))</x:f>
      </x:c>
      <x:c r="BV13" s="7" t="str">
        <x:f>IF(OR($D13="",BV$5="",'상세일정'!AM13="제외"),"",IF($D13=$E13,IF(AND($D13&gt;=BV$5,$D13&lt;BV$5+7),"◆",""),IF(AND($D13&lt;BV$5+7,$E13&gt;BV$5),"■","")))</x:f>
      </x:c>
      <x:c r="BW13" s="7" t="str">
        <x:f>IF(OR($D13="",BW$5="",'상세일정'!AM13="제외"),"",IF($D13=$E13,IF(AND($D13&gt;=BW$5,$D13&lt;BW$5+7),"◆",""),IF(AND($D13&lt;BW$5+7,$E13&gt;BW$5),"■","")))</x:f>
      </x:c>
      <x:c r="BX13" s="7" t="str">
        <x:f>IF(OR($D13="",BX$5="",'상세일정'!AM13="제외"),"",IF($D13=$E13,IF(AND($D13&gt;=BX$5,$D13&lt;BX$5+7),"◆",""),IF(AND($D13&lt;BX$5+7,$E13&gt;BX$5),"■","")))</x:f>
      </x:c>
      <x:c r="BY13" s="7" t="str">
        <x:f>IF(OR($D13="",BY$5="",'상세일정'!AM13="제외"),"",IF($D13=$E13,IF(AND($D13&gt;=BY$5,$D13&lt;BY$5+7),"◆",""),IF(AND($D13&lt;BY$5+7,$E13&gt;BY$5),"■","")))</x:f>
      </x:c>
      <x:c r="BZ13" s="7" t="str">
        <x:f>IF(OR($D13="",BZ$5="",'상세일정'!AM13="제외"),"",IF($D13=$E13,IF(AND($D13&gt;=BZ$5,$D13&lt;BZ$5+7),"◆",""),IF(AND($D13&lt;BZ$5+7,$E13&gt;BZ$5),"■","")))</x:f>
      </x:c>
      <x:c r="CA13" s="7" t="str">
        <x:f>IF(OR($D13="",CA$5="",'상세일정'!AM13="제외"),"",IF($D13=$E13,IF(AND($D13&gt;=CA$5,$D13&lt;CA$5+7),"◆",""),IF(AND($D13&lt;CA$5+7,$E13&gt;CA$5),"■","")))</x:f>
      </x:c>
      <x:c r="CB13" s="7" t="str">
        <x:f>IF(OR($D13="",CB$5="",'상세일정'!AM13="제외"),"",IF($D13=$E13,IF(AND($D13&gt;=CB$5,$D13&lt;CB$5+7),"◆",""),IF(AND($D13&lt;CB$5+7,$E13&gt;CB$5),"■","")))</x:f>
      </x:c>
      <x:c r="CC13" s="7" t="str">
        <x:f>IF(OR($D13="",CC$5="",'상세일정'!AM13="제외"),"",IF($D13=$E13,IF(AND($D13&gt;=CC$5,$D13&lt;CC$5+7),"◆",""),IF(AND($D13&lt;CC$5+7,$E13&gt;CC$5),"■","")))</x:f>
      </x:c>
      <x:c r="CD13" s="7" t="str">
        <x:f>IF(OR($D13="",CD$5="",'상세일정'!AM13="제외"),"",IF($D13=$E13,IF(AND($D13&gt;=CD$5,$D13&lt;CD$5+7),"◆",""),IF(AND($D13&lt;CD$5+7,$E13&gt;CD$5),"■","")))</x:f>
      </x:c>
      <x:c r="CE13" s="7" t="str">
        <x:f>IF(OR($D13="",CE$5="",'상세일정'!AM13="제외"),"",IF($D13=$E13,IF(AND($D13&gt;=CE$5,$D13&lt;CE$5+7),"◆",""),IF(AND($D13&lt;CE$5+7,$E13&gt;CE$5),"■","")))</x:f>
      </x:c>
      <x:c r="CF13" s="7" t="str">
        <x:f>IF(OR($D13="",CF$5="",'상세일정'!AM13="제외"),"",IF($D13=$E13,IF(AND($D13&gt;=CF$5,$D13&lt;CF$5+7),"◆",""),IF(AND($D13&lt;CF$5+7,$E13&gt;CF$5),"■","")))</x:f>
      </x:c>
      <x:c r="CG13" s="7" t="str">
        <x:f>IF(OR($D13="",CG$5="",'상세일정'!AM13="제외"),"",IF($D13=$E13,IF(AND($D13&gt;=CG$5,$D13&lt;CG$5+7),"◆",""),IF(AND($D13&lt;CG$5+7,$E13&gt;CG$5),"■","")))</x:f>
      </x:c>
      <x:c r="CH13" s="7" t="str">
        <x:f>IF(OR($D13="",CH$5="",'상세일정'!AM13="제외"),"",IF($D13=$E13,IF(AND($D13&gt;=CH$5,$D13&lt;CH$5+7),"◆",""),IF(AND($D13&lt;CH$5+7,$E13&gt;CH$5),"■","")))</x:f>
      </x:c>
      <x:c r="CI13" s="7" t="str">
        <x:f>IF(OR($D13="",CI$5="",'상세일정'!AM13="제외"),"",IF($D13=$E13,IF(AND($D13&gt;=CI$5,$D13&lt;CI$5+7),"◆",""),IF(AND($D13&lt;CI$5+7,$E13&gt;CI$5),"■","")))</x:f>
      </x:c>
      <x:c r="CJ13" s="7" t="str">
        <x:f>IF(OR($D13="",CJ$5="",'상세일정'!AM13="제외"),"",IF($D13=$E13,IF(AND($D13&gt;=CJ$5,$D13&lt;CJ$5+7),"◆",""),IF(AND($D13&lt;CJ$5+7,$E13&gt;CJ$5),"■","")))</x:f>
      </x:c>
      <x:c r="CK13" s="7" t="str">
        <x:f>IF(OR($D13="",CK$5="",'상세일정'!AM13="제외"),"",IF($D13=$E13,IF(AND($D13&gt;=CK$5,$D13&lt;CK$5+7),"◆",""),IF(AND($D13&lt;CK$5+7,$E13&gt;CK$5),"■","")))</x:f>
      </x:c>
      <x:c r="CL13" s="7" t="str">
        <x:f>IF(OR($D13="",CL$5="",'상세일정'!AM13="제외"),"",IF($D13=$E13,IF(AND($D13&gt;=CL$5,$D13&lt;CL$5+7),"◆",""),IF(AND($D13&lt;CL$5+7,$E13&gt;CL$5),"■","")))</x:f>
      </x:c>
      <x:c r="CM13" s="7" t="str">
        <x:f>IF(OR($D13="",CM$5="",'상세일정'!AM13="제외"),"",IF($D13=$E13,IF(AND($D13&gt;=CM$5,$D13&lt;CM$5+7),"◆",""),IF(AND($D13&lt;CM$5+7,$E13&gt;CM$5),"■","")))</x:f>
      </x:c>
      <x:c r="CN13" s="7" t="str">
        <x:f>IF(OR($D13="",CN$5="",'상세일정'!AM13="제외"),"",IF($D13=$E13,IF(AND($D13&gt;=CN$5,$D13&lt;CN$5+7),"◆",""),IF(AND($D13&lt;CN$5+7,$E13&gt;CN$5),"■","")))</x:f>
      </x:c>
      <x:c r="CO13" s="7" t="str">
        <x:f>IF(OR($D13="",CO$5="",'상세일정'!AM13="제외"),"",IF($D13=$E13,IF(AND($D13&gt;=CO$5,$D13&lt;CO$5+7),"◆",""),IF(AND($D13&lt;CO$5+7,$E13&gt;CO$5),"■","")))</x:f>
      </x:c>
      <x:c r="CP13" s="7" t="str">
        <x:f>IF(OR($D13="",CP$5="",'상세일정'!AM13="제외"),"",IF($D13=$E13,IF(AND($D13&gt;=CP$5,$D13&lt;CP$5+7),"◆",""),IF(AND($D13&lt;CP$5+7,$E13&gt;CP$5),"■","")))</x:f>
      </x:c>
      <x:c r="CQ13" s="7" t="str">
        <x:f>IF(OR($D13="",CQ$5="",'상세일정'!AM13="제외"),"",IF($D13=$E13,IF(AND($D13&gt;=CQ$5,$D13&lt;CQ$5+7),"◆",""),IF(AND($D13&lt;CQ$5+7,$E13&gt;CQ$5),"■","")))</x:f>
      </x:c>
      <x:c r="CR13" s="7" t="str">
        <x:f>IF(OR($D13="",CR$5="",'상세일정'!AM13="제외"),"",IF($D13=$E13,IF(AND($D13&gt;=CR$5,$D13&lt;CR$5+7),"◆",""),IF(AND($D13&lt;CR$5+7,$E13&gt;CR$5),"■","")))</x:f>
      </x:c>
      <x:c r="CS13" s="7" t="str">
        <x:f>IF(OR($D13="",CS$5="",'상세일정'!AM13="제외"),"",IF($D13=$E13,IF(AND($D13&gt;=CS$5,$D13&lt;CS$5+7),"◆",""),IF(AND($D13&lt;CS$5+7,$E13&gt;CS$5),"■","")))</x:f>
      </x:c>
      <x:c r="CT13" s="7" t="str">
        <x:f>IF(OR($D13="",CT$5="",'상세일정'!AM13="제외"),"",IF($D13=$E13,IF(AND($D13&gt;=CT$5,$D13&lt;CT$5+7),"◆",""),IF(AND($D13&lt;CT$5+7,$E13&gt;CT$5),"■","")))</x:f>
      </x:c>
      <x:c r="CU13" s="7" t="str">
        <x:f>IF(OR($D13="",CU$5="",'상세일정'!AM13="제외"),"",IF($D13=$E13,IF(AND($D13&gt;=CU$5,$D13&lt;CU$5+7),"◆",""),IF(AND($D13&lt;CU$5+7,$E13&gt;CU$5),"■","")))</x:f>
      </x:c>
      <x:c r="CV13" s="7" t="str">
        <x:f>IF(OR($D13="",CV$5="",'상세일정'!AM13="제외"),"",IF($D13=$E13,IF(AND($D13&gt;=CV$5,$D13&lt;CV$5+7),"◆",""),IF(AND($D13&lt;CV$5+7,$E13&gt;CV$5),"■","")))</x:f>
      </x:c>
      <x:c r="CW13" s="7" t="str">
        <x:f>IF(OR($D13="",CW$5="",'상세일정'!AM13="제외"),"",IF($D13=$E13,IF(AND($D13&gt;=CW$5,$D13&lt;CW$5+7),"◆",""),IF(AND($D13&lt;CW$5+7,$E13&gt;CW$5),"■","")))</x:f>
      </x:c>
      <x:c r="CX13" s="7" t="str">
        <x:f>IF(OR($D13="",CX$5="",'상세일정'!AM13="제외"),"",IF($D13=$E13,IF(AND($D13&gt;=CX$5,$D13&lt;CX$5+7),"◆",""),IF(AND($D13&lt;CX$5+7,$E13&gt;CX$5),"■","")))</x:f>
      </x:c>
      <x:c r="CY13" s="7" t="str">
        <x:f>IF(OR($D13="",CY$5="",'상세일정'!AM13="제외"),"",IF($D13=$E13,IF(AND($D13&gt;=CY$5,$D13&lt;CY$5+7),"◆",""),IF(AND($D13&lt;CY$5+7,$E13&gt;CY$5),"■","")))</x:f>
      </x:c>
      <x:c r="CZ13" s="7" t="str">
        <x:f>IF(OR($D13="",CZ$5="",'상세일정'!AM13="제외"),"",IF($D13=$E13,IF(AND($D13&gt;=CZ$5,$D13&lt;CZ$5+7),"◆",""),IF(AND($D13&lt;CZ$5+7,$E13&gt;CZ$5),"■","")))</x:f>
      </x:c>
      <x:c r="DA13" s="7" t="str">
        <x:f>IF(OR($D13="",DA$5="",'상세일정'!AM13="제외"),"",IF($D13=$E13,IF(AND($D13&gt;=DA$5,$D13&lt;DA$5+7),"◆",""),IF(AND($D13&lt;DA$5+7,$E13&gt;DA$5),"■","")))</x:f>
      </x:c>
      <x:c r="DB13" s="7" t="str">
        <x:f>IF(OR($D13="",DB$5="",'상세일정'!AM13="제외"),"",IF($D13=$E13,IF(AND($D13&gt;=DB$5,$D13&lt;DB$5+7),"◆",""),IF(AND($D13&lt;DB$5+7,$E13&gt;DB$5),"■","")))</x:f>
      </x:c>
      <x:c r="DC13" s="7" t="str">
        <x:f>IF(OR($D13="",DC$5="",'상세일정'!AM13="제외"),"",IF($D13=$E13,IF(AND($D13&gt;=DC$5,$D13&lt;DC$5+7),"◆",""),IF(AND($D13&lt;DC$5+7,$E13&gt;DC$5),"■","")))</x:f>
      </x:c>
      <x:c r="DD13" s="7" t="str">
        <x:f>IF(OR($D13="",DD$5="",'상세일정'!AM13="제외"),"",IF($D13=$E13,IF(AND($D13&gt;=DD$5,$D13&lt;DD$5+7),"◆",""),IF(AND($D13&lt;DD$5+7,$E13&gt;DD$5),"■","")))</x:f>
      </x:c>
      <x:c r="DE13" s="7" t="str">
        <x:f>IF(OR($D13="",DE$5="",'상세일정'!AM13="제외"),"",IF($D13=$E13,IF(AND($D13&gt;=DE$5,$D13&lt;DE$5+7),"◆",""),IF(AND($D13&lt;DE$5+7,$E13&gt;DE$5),"■","")))</x:f>
      </x:c>
    </x:row>
    <x:row r="14" ht="34" customHeight="1">
      <x:c r="A14" s="7" t="str">
        <x:v>UP01</x:v>
      </x:c>
      <x:c r="B14" s="7" t="str">
        <x:v>03 도시계획·실시계획</x:v>
      </x:c>
      <x:c r="C14" s="7" t="str">
        <x:v>도시관리계획 접수·군협의·심의 진행상태 확인</x:v>
      </x:c>
      <x:c r="D14" s="10" t="str">
        <x:f>'상세일정'!AJ14</x:f>
      </x:c>
      <x:c r="E14" s="10" t="str">
        <x:f>'상세일정'!AK14</x:f>
      </x:c>
      <x:c r="F14" s="7" t="str">
        <x:f>IF(OR($D14="",F$5="",'상세일정'!AM14="제외"),"",IF($D14=$E14,IF(AND($D14&gt;=F$5,$D14&lt;F$5+7),"◆",""),IF(AND($D14&lt;F$5+7,$E14&gt;F$5),"■","")))</x:f>
      </x:c>
      <x:c r="G14" s="7" t="str">
        <x:f>IF(OR($D14="",G$5="",'상세일정'!AM14="제외"),"",IF($D14=$E14,IF(AND($D14&gt;=G$5,$D14&lt;G$5+7),"◆",""),IF(AND($D14&lt;G$5+7,$E14&gt;G$5),"■","")))</x:f>
      </x:c>
      <x:c r="H14" s="7" t="str">
        <x:f>IF(OR($D14="",H$5="",'상세일정'!AM14="제외"),"",IF($D14=$E14,IF(AND($D14&gt;=H$5,$D14&lt;H$5+7),"◆",""),IF(AND($D14&lt;H$5+7,$E14&gt;H$5),"■","")))</x:f>
      </x:c>
      <x:c r="I14" s="7" t="str">
        <x:f>IF(OR($D14="",I$5="",'상세일정'!AM14="제외"),"",IF($D14=$E14,IF(AND($D14&gt;=I$5,$D14&lt;I$5+7),"◆",""),IF(AND($D14&lt;I$5+7,$E14&gt;I$5),"■","")))</x:f>
      </x:c>
      <x:c r="J14" s="7" t="str">
        <x:f>IF(OR($D14="",J$5="",'상세일정'!AM14="제외"),"",IF($D14=$E14,IF(AND($D14&gt;=J$5,$D14&lt;J$5+7),"◆",""),IF(AND($D14&lt;J$5+7,$E14&gt;J$5),"■","")))</x:f>
      </x:c>
      <x:c r="K14" s="7" t="str">
        <x:f>IF(OR($D14="",K$5="",'상세일정'!AM14="제외"),"",IF($D14=$E14,IF(AND($D14&gt;=K$5,$D14&lt;K$5+7),"◆",""),IF(AND($D14&lt;K$5+7,$E14&gt;K$5),"■","")))</x:f>
      </x:c>
      <x:c r="L14" s="7" t="str">
        <x:f>IF(OR($D14="",L$5="",'상세일정'!AM14="제외"),"",IF($D14=$E14,IF(AND($D14&gt;=L$5,$D14&lt;L$5+7),"◆",""),IF(AND($D14&lt;L$5+7,$E14&gt;L$5),"■","")))</x:f>
      </x:c>
      <x:c r="M14" s="7" t="str">
        <x:f>IF(OR($D14="",M$5="",'상세일정'!AM14="제외"),"",IF($D14=$E14,IF(AND($D14&gt;=M$5,$D14&lt;M$5+7),"◆",""),IF(AND($D14&lt;M$5+7,$E14&gt;M$5),"■","")))</x:f>
      </x:c>
      <x:c r="N14" s="7" t="str">
        <x:f>IF(OR($D14="",N$5="",'상세일정'!AM14="제외"),"",IF($D14=$E14,IF(AND($D14&gt;=N$5,$D14&lt;N$5+7),"◆",""),IF(AND($D14&lt;N$5+7,$E14&gt;N$5),"■","")))</x:f>
      </x:c>
      <x:c r="O14" s="7" t="str">
        <x:f>IF(OR($D14="",O$5="",'상세일정'!AM14="제외"),"",IF($D14=$E14,IF(AND($D14&gt;=O$5,$D14&lt;O$5+7),"◆",""),IF(AND($D14&lt;O$5+7,$E14&gt;O$5),"■","")))</x:f>
      </x:c>
      <x:c r="P14" s="7" t="str">
        <x:f>IF(OR($D14="",P$5="",'상세일정'!AM14="제외"),"",IF($D14=$E14,IF(AND($D14&gt;=P$5,$D14&lt;P$5+7),"◆",""),IF(AND($D14&lt;P$5+7,$E14&gt;P$5),"■","")))</x:f>
      </x:c>
      <x:c r="Q14" s="7" t="str">
        <x:f>IF(OR($D14="",Q$5="",'상세일정'!AM14="제외"),"",IF($D14=$E14,IF(AND($D14&gt;=Q$5,$D14&lt;Q$5+7),"◆",""),IF(AND($D14&lt;Q$5+7,$E14&gt;Q$5),"■","")))</x:f>
      </x:c>
      <x:c r="R14" s="7" t="str">
        <x:f>IF(OR($D14="",R$5="",'상세일정'!AM14="제외"),"",IF($D14=$E14,IF(AND($D14&gt;=R$5,$D14&lt;R$5+7),"◆",""),IF(AND($D14&lt;R$5+7,$E14&gt;R$5),"■","")))</x:f>
      </x:c>
      <x:c r="S14" s="7" t="str">
        <x:f>IF(OR($D14="",S$5="",'상세일정'!AM14="제외"),"",IF($D14=$E14,IF(AND($D14&gt;=S$5,$D14&lt;S$5+7),"◆",""),IF(AND($D14&lt;S$5+7,$E14&gt;S$5),"■","")))</x:f>
      </x:c>
      <x:c r="T14" s="7" t="str">
        <x:f>IF(OR($D14="",T$5="",'상세일정'!AM14="제외"),"",IF($D14=$E14,IF(AND($D14&gt;=T$5,$D14&lt;T$5+7),"◆",""),IF(AND($D14&lt;T$5+7,$E14&gt;T$5),"■","")))</x:f>
      </x:c>
      <x:c r="U14" s="7" t="str">
        <x:f>IF(OR($D14="",U$5="",'상세일정'!AM14="제외"),"",IF($D14=$E14,IF(AND($D14&gt;=U$5,$D14&lt;U$5+7),"◆",""),IF(AND($D14&lt;U$5+7,$E14&gt;U$5),"■","")))</x:f>
      </x:c>
      <x:c r="V14" s="7" t="str">
        <x:f>IF(OR($D14="",V$5="",'상세일정'!AM14="제외"),"",IF($D14=$E14,IF(AND($D14&gt;=V$5,$D14&lt;V$5+7),"◆",""),IF(AND($D14&lt;V$5+7,$E14&gt;V$5),"■","")))</x:f>
      </x:c>
      <x:c r="W14" s="7" t="str">
        <x:f>IF(OR($D14="",W$5="",'상세일정'!AM14="제외"),"",IF($D14=$E14,IF(AND($D14&gt;=W$5,$D14&lt;W$5+7),"◆",""),IF(AND($D14&lt;W$5+7,$E14&gt;W$5),"■","")))</x:f>
      </x:c>
      <x:c r="X14" s="7" t="str">
        <x:f>IF(OR($D14="",X$5="",'상세일정'!AM14="제외"),"",IF($D14=$E14,IF(AND($D14&gt;=X$5,$D14&lt;X$5+7),"◆",""),IF(AND($D14&lt;X$5+7,$E14&gt;X$5),"■","")))</x:f>
      </x:c>
      <x:c r="Y14" s="7" t="str">
        <x:f>IF(OR($D14="",Y$5="",'상세일정'!AM14="제외"),"",IF($D14=$E14,IF(AND($D14&gt;=Y$5,$D14&lt;Y$5+7),"◆",""),IF(AND($D14&lt;Y$5+7,$E14&gt;Y$5),"■","")))</x:f>
      </x:c>
      <x:c r="Z14" s="7" t="str">
        <x:f>IF(OR($D14="",Z$5="",'상세일정'!AM14="제외"),"",IF($D14=$E14,IF(AND($D14&gt;=Z$5,$D14&lt;Z$5+7),"◆",""),IF(AND($D14&lt;Z$5+7,$E14&gt;Z$5),"■","")))</x:f>
      </x:c>
      <x:c r="AA14" s="7" t="str">
        <x:f>IF(OR($D14="",AA$5="",'상세일정'!AM14="제외"),"",IF($D14=$E14,IF(AND($D14&gt;=AA$5,$D14&lt;AA$5+7),"◆",""),IF(AND($D14&lt;AA$5+7,$E14&gt;AA$5),"■","")))</x:f>
      </x:c>
      <x:c r="AB14" s="7" t="str">
        <x:f>IF(OR($D14="",AB$5="",'상세일정'!AM14="제외"),"",IF($D14=$E14,IF(AND($D14&gt;=AB$5,$D14&lt;AB$5+7),"◆",""),IF(AND($D14&lt;AB$5+7,$E14&gt;AB$5),"■","")))</x:f>
      </x:c>
      <x:c r="AC14" s="7" t="str">
        <x:f>IF(OR($D14="",AC$5="",'상세일정'!AM14="제외"),"",IF($D14=$E14,IF(AND($D14&gt;=AC$5,$D14&lt;AC$5+7),"◆",""),IF(AND($D14&lt;AC$5+7,$E14&gt;AC$5),"■","")))</x:f>
      </x:c>
      <x:c r="AD14" s="7" t="str">
        <x:f>IF(OR($D14="",AD$5="",'상세일정'!AM14="제외"),"",IF($D14=$E14,IF(AND($D14&gt;=AD$5,$D14&lt;AD$5+7),"◆",""),IF(AND($D14&lt;AD$5+7,$E14&gt;AD$5),"■","")))</x:f>
      </x:c>
      <x:c r="AE14" s="7" t="str">
        <x:f>IF(OR($D14="",AE$5="",'상세일정'!AM14="제외"),"",IF($D14=$E14,IF(AND($D14&gt;=AE$5,$D14&lt;AE$5+7),"◆",""),IF(AND($D14&lt;AE$5+7,$E14&gt;AE$5),"■","")))</x:f>
      </x:c>
      <x:c r="AF14" s="7" t="str">
        <x:f>IF(OR($D14="",AF$5="",'상세일정'!AM14="제외"),"",IF($D14=$E14,IF(AND($D14&gt;=AF$5,$D14&lt;AF$5+7),"◆",""),IF(AND($D14&lt;AF$5+7,$E14&gt;AF$5),"■","")))</x:f>
      </x:c>
      <x:c r="AG14" s="7" t="str">
        <x:f>IF(OR($D14="",AG$5="",'상세일정'!AM14="제외"),"",IF($D14=$E14,IF(AND($D14&gt;=AG$5,$D14&lt;AG$5+7),"◆",""),IF(AND($D14&lt;AG$5+7,$E14&gt;AG$5),"■","")))</x:f>
      </x:c>
      <x:c r="AH14" s="7" t="str">
        <x:f>IF(OR($D14="",AH$5="",'상세일정'!AM14="제외"),"",IF($D14=$E14,IF(AND($D14&gt;=AH$5,$D14&lt;AH$5+7),"◆",""),IF(AND($D14&lt;AH$5+7,$E14&gt;AH$5),"■","")))</x:f>
      </x:c>
      <x:c r="AI14" s="7" t="str">
        <x:f>IF(OR($D14="",AI$5="",'상세일정'!AM14="제외"),"",IF($D14=$E14,IF(AND($D14&gt;=AI$5,$D14&lt;AI$5+7),"◆",""),IF(AND($D14&lt;AI$5+7,$E14&gt;AI$5),"■","")))</x:f>
      </x:c>
      <x:c r="AJ14" s="7" t="str">
        <x:f>IF(OR($D14="",AJ$5="",'상세일정'!AM14="제외"),"",IF($D14=$E14,IF(AND($D14&gt;=AJ$5,$D14&lt;AJ$5+7),"◆",""),IF(AND($D14&lt;AJ$5+7,$E14&gt;AJ$5),"■","")))</x:f>
      </x:c>
      <x:c r="AK14" s="7" t="str">
        <x:f>IF(OR($D14="",AK$5="",'상세일정'!AM14="제외"),"",IF($D14=$E14,IF(AND($D14&gt;=AK$5,$D14&lt;AK$5+7),"◆",""),IF(AND($D14&lt;AK$5+7,$E14&gt;AK$5),"■","")))</x:f>
      </x:c>
      <x:c r="AL14" s="7" t="str">
        <x:f>IF(OR($D14="",AL$5="",'상세일정'!AM14="제외"),"",IF($D14=$E14,IF(AND($D14&gt;=AL$5,$D14&lt;AL$5+7),"◆",""),IF(AND($D14&lt;AL$5+7,$E14&gt;AL$5),"■","")))</x:f>
      </x:c>
      <x:c r="AM14" s="7" t="str">
        <x:f>IF(OR($D14="",AM$5="",'상세일정'!AM14="제외"),"",IF($D14=$E14,IF(AND($D14&gt;=AM$5,$D14&lt;AM$5+7),"◆",""),IF(AND($D14&lt;AM$5+7,$E14&gt;AM$5),"■","")))</x:f>
      </x:c>
      <x:c r="AN14" s="7" t="str">
        <x:f>IF(OR($D14="",AN$5="",'상세일정'!AM14="제외"),"",IF($D14=$E14,IF(AND($D14&gt;=AN$5,$D14&lt;AN$5+7),"◆",""),IF(AND($D14&lt;AN$5+7,$E14&gt;AN$5),"■","")))</x:f>
      </x:c>
      <x:c r="AO14" s="7" t="str">
        <x:f>IF(OR($D14="",AO$5="",'상세일정'!AM14="제외"),"",IF($D14=$E14,IF(AND($D14&gt;=AO$5,$D14&lt;AO$5+7),"◆",""),IF(AND($D14&lt;AO$5+7,$E14&gt;AO$5),"■","")))</x:f>
      </x:c>
      <x:c r="AP14" s="7" t="str">
        <x:f>IF(OR($D14="",AP$5="",'상세일정'!AM14="제외"),"",IF($D14=$E14,IF(AND($D14&gt;=AP$5,$D14&lt;AP$5+7),"◆",""),IF(AND($D14&lt;AP$5+7,$E14&gt;AP$5),"■","")))</x:f>
      </x:c>
      <x:c r="AQ14" s="7" t="str">
        <x:f>IF(OR($D14="",AQ$5="",'상세일정'!AM14="제외"),"",IF($D14=$E14,IF(AND($D14&gt;=AQ$5,$D14&lt;AQ$5+7),"◆",""),IF(AND($D14&lt;AQ$5+7,$E14&gt;AQ$5),"■","")))</x:f>
      </x:c>
      <x:c r="AR14" s="7" t="str">
        <x:f>IF(OR($D14="",AR$5="",'상세일정'!AM14="제외"),"",IF($D14=$E14,IF(AND($D14&gt;=AR$5,$D14&lt;AR$5+7),"◆",""),IF(AND($D14&lt;AR$5+7,$E14&gt;AR$5),"■","")))</x:f>
      </x:c>
      <x:c r="AS14" s="7" t="str">
        <x:f>IF(OR($D14="",AS$5="",'상세일정'!AM14="제외"),"",IF($D14=$E14,IF(AND($D14&gt;=AS$5,$D14&lt;AS$5+7),"◆",""),IF(AND($D14&lt;AS$5+7,$E14&gt;AS$5),"■","")))</x:f>
      </x:c>
      <x:c r="AT14" s="7" t="str">
        <x:f>IF(OR($D14="",AT$5="",'상세일정'!AM14="제외"),"",IF($D14=$E14,IF(AND($D14&gt;=AT$5,$D14&lt;AT$5+7),"◆",""),IF(AND($D14&lt;AT$5+7,$E14&gt;AT$5),"■","")))</x:f>
      </x:c>
      <x:c r="AU14" s="7" t="str">
        <x:f>IF(OR($D14="",AU$5="",'상세일정'!AM14="제외"),"",IF($D14=$E14,IF(AND($D14&gt;=AU$5,$D14&lt;AU$5+7),"◆",""),IF(AND($D14&lt;AU$5+7,$E14&gt;AU$5),"■","")))</x:f>
      </x:c>
      <x:c r="AV14" s="7" t="str">
        <x:f>IF(OR($D14="",AV$5="",'상세일정'!AM14="제외"),"",IF($D14=$E14,IF(AND($D14&gt;=AV$5,$D14&lt;AV$5+7),"◆",""),IF(AND($D14&lt;AV$5+7,$E14&gt;AV$5),"■","")))</x:f>
      </x:c>
      <x:c r="AW14" s="7" t="str">
        <x:f>IF(OR($D14="",AW$5="",'상세일정'!AM14="제외"),"",IF($D14=$E14,IF(AND($D14&gt;=AW$5,$D14&lt;AW$5+7),"◆",""),IF(AND($D14&lt;AW$5+7,$E14&gt;AW$5),"■","")))</x:f>
      </x:c>
      <x:c r="AX14" s="7" t="str">
        <x:f>IF(OR($D14="",AX$5="",'상세일정'!AM14="제외"),"",IF($D14=$E14,IF(AND($D14&gt;=AX$5,$D14&lt;AX$5+7),"◆",""),IF(AND($D14&lt;AX$5+7,$E14&gt;AX$5),"■","")))</x:f>
      </x:c>
      <x:c r="AY14" s="7" t="str">
        <x:f>IF(OR($D14="",AY$5="",'상세일정'!AM14="제외"),"",IF($D14=$E14,IF(AND($D14&gt;=AY$5,$D14&lt;AY$5+7),"◆",""),IF(AND($D14&lt;AY$5+7,$E14&gt;AY$5),"■","")))</x:f>
      </x:c>
      <x:c r="AZ14" s="7" t="str">
        <x:f>IF(OR($D14="",AZ$5="",'상세일정'!AM14="제외"),"",IF($D14=$E14,IF(AND($D14&gt;=AZ$5,$D14&lt;AZ$5+7),"◆",""),IF(AND($D14&lt;AZ$5+7,$E14&gt;AZ$5),"■","")))</x:f>
      </x:c>
      <x:c r="BA14" s="7" t="str">
        <x:f>IF(OR($D14="",BA$5="",'상세일정'!AM14="제외"),"",IF($D14=$E14,IF(AND($D14&gt;=BA$5,$D14&lt;BA$5+7),"◆",""),IF(AND($D14&lt;BA$5+7,$E14&gt;BA$5),"■","")))</x:f>
      </x:c>
      <x:c r="BB14" s="7" t="str">
        <x:f>IF(OR($D14="",BB$5="",'상세일정'!AM14="제외"),"",IF($D14=$E14,IF(AND($D14&gt;=BB$5,$D14&lt;BB$5+7),"◆",""),IF(AND($D14&lt;BB$5+7,$E14&gt;BB$5),"■","")))</x:f>
      </x:c>
      <x:c r="BC14" s="7" t="str">
        <x:f>IF(OR($D14="",BC$5="",'상세일정'!AM14="제외"),"",IF($D14=$E14,IF(AND($D14&gt;=BC$5,$D14&lt;BC$5+7),"◆",""),IF(AND($D14&lt;BC$5+7,$E14&gt;BC$5),"■","")))</x:f>
      </x:c>
      <x:c r="BD14" s="7" t="str">
        <x:f>IF(OR($D14="",BD$5="",'상세일정'!AM14="제외"),"",IF($D14=$E14,IF(AND($D14&gt;=BD$5,$D14&lt;BD$5+7),"◆",""),IF(AND($D14&lt;BD$5+7,$E14&gt;BD$5),"■","")))</x:f>
      </x:c>
      <x:c r="BE14" s="7" t="str">
        <x:f>IF(OR($D14="",BE$5="",'상세일정'!AM14="제외"),"",IF($D14=$E14,IF(AND($D14&gt;=BE$5,$D14&lt;BE$5+7),"◆",""),IF(AND($D14&lt;BE$5+7,$E14&gt;BE$5),"■","")))</x:f>
      </x:c>
      <x:c r="BF14" s="7" t="str">
        <x:f>IF(OR($D14="",BF$5="",'상세일정'!AM14="제외"),"",IF($D14=$E14,IF(AND($D14&gt;=BF$5,$D14&lt;BF$5+7),"◆",""),IF(AND($D14&lt;BF$5+7,$E14&gt;BF$5),"■","")))</x:f>
      </x:c>
      <x:c r="BG14" s="7" t="str">
        <x:f>IF(OR($D14="",BG$5="",'상세일정'!AM14="제외"),"",IF($D14=$E14,IF(AND($D14&gt;=BG$5,$D14&lt;BG$5+7),"◆",""),IF(AND($D14&lt;BG$5+7,$E14&gt;BG$5),"■","")))</x:f>
      </x:c>
      <x:c r="BH14" s="7" t="str">
        <x:f>IF(OR($D14="",BH$5="",'상세일정'!AM14="제외"),"",IF($D14=$E14,IF(AND($D14&gt;=BH$5,$D14&lt;BH$5+7),"◆",""),IF(AND($D14&lt;BH$5+7,$E14&gt;BH$5),"■","")))</x:f>
      </x:c>
      <x:c r="BI14" s="7" t="str">
        <x:f>IF(OR($D14="",BI$5="",'상세일정'!AM14="제외"),"",IF($D14=$E14,IF(AND($D14&gt;=BI$5,$D14&lt;BI$5+7),"◆",""),IF(AND($D14&lt;BI$5+7,$E14&gt;BI$5),"■","")))</x:f>
      </x:c>
      <x:c r="BJ14" s="7" t="str">
        <x:f>IF(OR($D14="",BJ$5="",'상세일정'!AM14="제외"),"",IF($D14=$E14,IF(AND($D14&gt;=BJ$5,$D14&lt;BJ$5+7),"◆",""),IF(AND($D14&lt;BJ$5+7,$E14&gt;BJ$5),"■","")))</x:f>
      </x:c>
      <x:c r="BK14" s="7" t="str">
        <x:f>IF(OR($D14="",BK$5="",'상세일정'!AM14="제외"),"",IF($D14=$E14,IF(AND($D14&gt;=BK$5,$D14&lt;BK$5+7),"◆",""),IF(AND($D14&lt;BK$5+7,$E14&gt;BK$5),"■","")))</x:f>
      </x:c>
      <x:c r="BL14" s="7" t="str">
        <x:f>IF(OR($D14="",BL$5="",'상세일정'!AM14="제외"),"",IF($D14=$E14,IF(AND($D14&gt;=BL$5,$D14&lt;BL$5+7),"◆",""),IF(AND($D14&lt;BL$5+7,$E14&gt;BL$5),"■","")))</x:f>
      </x:c>
      <x:c r="BM14" s="7" t="str">
        <x:f>IF(OR($D14="",BM$5="",'상세일정'!AM14="제외"),"",IF($D14=$E14,IF(AND($D14&gt;=BM$5,$D14&lt;BM$5+7),"◆",""),IF(AND($D14&lt;BM$5+7,$E14&gt;BM$5),"■","")))</x:f>
      </x:c>
      <x:c r="BN14" s="7" t="str">
        <x:f>IF(OR($D14="",BN$5="",'상세일정'!AM14="제외"),"",IF($D14=$E14,IF(AND($D14&gt;=BN$5,$D14&lt;BN$5+7),"◆",""),IF(AND($D14&lt;BN$5+7,$E14&gt;BN$5),"■","")))</x:f>
      </x:c>
      <x:c r="BO14" s="7" t="str">
        <x:f>IF(OR($D14="",BO$5="",'상세일정'!AM14="제외"),"",IF($D14=$E14,IF(AND($D14&gt;=BO$5,$D14&lt;BO$5+7),"◆",""),IF(AND($D14&lt;BO$5+7,$E14&gt;BO$5),"■","")))</x:f>
      </x:c>
      <x:c r="BP14" s="7" t="str">
        <x:f>IF(OR($D14="",BP$5="",'상세일정'!AM14="제외"),"",IF($D14=$E14,IF(AND($D14&gt;=BP$5,$D14&lt;BP$5+7),"◆",""),IF(AND($D14&lt;BP$5+7,$E14&gt;BP$5),"■","")))</x:f>
      </x:c>
      <x:c r="BQ14" s="7" t="str">
        <x:f>IF(OR($D14="",BQ$5="",'상세일정'!AM14="제외"),"",IF($D14=$E14,IF(AND($D14&gt;=BQ$5,$D14&lt;BQ$5+7),"◆",""),IF(AND($D14&lt;BQ$5+7,$E14&gt;BQ$5),"■","")))</x:f>
      </x:c>
      <x:c r="BR14" s="7" t="str">
        <x:f>IF(OR($D14="",BR$5="",'상세일정'!AM14="제외"),"",IF($D14=$E14,IF(AND($D14&gt;=BR$5,$D14&lt;BR$5+7),"◆",""),IF(AND($D14&lt;BR$5+7,$E14&gt;BR$5),"■","")))</x:f>
      </x:c>
      <x:c r="BS14" s="7" t="str">
        <x:f>IF(OR($D14="",BS$5="",'상세일정'!AM14="제외"),"",IF($D14=$E14,IF(AND($D14&gt;=BS$5,$D14&lt;BS$5+7),"◆",""),IF(AND($D14&lt;BS$5+7,$E14&gt;BS$5),"■","")))</x:f>
      </x:c>
      <x:c r="BT14" s="7" t="str">
        <x:f>IF(OR($D14="",BT$5="",'상세일정'!AM14="제외"),"",IF($D14=$E14,IF(AND($D14&gt;=BT$5,$D14&lt;BT$5+7),"◆",""),IF(AND($D14&lt;BT$5+7,$E14&gt;BT$5),"■","")))</x:f>
      </x:c>
      <x:c r="BU14" s="7" t="str">
        <x:f>IF(OR($D14="",BU$5="",'상세일정'!AM14="제외"),"",IF($D14=$E14,IF(AND($D14&gt;=BU$5,$D14&lt;BU$5+7),"◆",""),IF(AND($D14&lt;BU$5+7,$E14&gt;BU$5),"■","")))</x:f>
      </x:c>
      <x:c r="BV14" s="7" t="str">
        <x:f>IF(OR($D14="",BV$5="",'상세일정'!AM14="제외"),"",IF($D14=$E14,IF(AND($D14&gt;=BV$5,$D14&lt;BV$5+7),"◆",""),IF(AND($D14&lt;BV$5+7,$E14&gt;BV$5),"■","")))</x:f>
      </x:c>
      <x:c r="BW14" s="7" t="str">
        <x:f>IF(OR($D14="",BW$5="",'상세일정'!AM14="제외"),"",IF($D14=$E14,IF(AND($D14&gt;=BW$5,$D14&lt;BW$5+7),"◆",""),IF(AND($D14&lt;BW$5+7,$E14&gt;BW$5),"■","")))</x:f>
      </x:c>
      <x:c r="BX14" s="7" t="str">
        <x:f>IF(OR($D14="",BX$5="",'상세일정'!AM14="제외"),"",IF($D14=$E14,IF(AND($D14&gt;=BX$5,$D14&lt;BX$5+7),"◆",""),IF(AND($D14&lt;BX$5+7,$E14&gt;BX$5),"■","")))</x:f>
      </x:c>
      <x:c r="BY14" s="7" t="str">
        <x:f>IF(OR($D14="",BY$5="",'상세일정'!AM14="제외"),"",IF($D14=$E14,IF(AND($D14&gt;=BY$5,$D14&lt;BY$5+7),"◆",""),IF(AND($D14&lt;BY$5+7,$E14&gt;BY$5),"■","")))</x:f>
      </x:c>
      <x:c r="BZ14" s="7" t="str">
        <x:f>IF(OR($D14="",BZ$5="",'상세일정'!AM14="제외"),"",IF($D14=$E14,IF(AND($D14&gt;=BZ$5,$D14&lt;BZ$5+7),"◆",""),IF(AND($D14&lt;BZ$5+7,$E14&gt;BZ$5),"■","")))</x:f>
      </x:c>
      <x:c r="CA14" s="7" t="str">
        <x:f>IF(OR($D14="",CA$5="",'상세일정'!AM14="제외"),"",IF($D14=$E14,IF(AND($D14&gt;=CA$5,$D14&lt;CA$5+7),"◆",""),IF(AND($D14&lt;CA$5+7,$E14&gt;CA$5),"■","")))</x:f>
      </x:c>
      <x:c r="CB14" s="7" t="str">
        <x:f>IF(OR($D14="",CB$5="",'상세일정'!AM14="제외"),"",IF($D14=$E14,IF(AND($D14&gt;=CB$5,$D14&lt;CB$5+7),"◆",""),IF(AND($D14&lt;CB$5+7,$E14&gt;CB$5),"■","")))</x:f>
      </x:c>
      <x:c r="CC14" s="7" t="str">
        <x:f>IF(OR($D14="",CC$5="",'상세일정'!AM14="제외"),"",IF($D14=$E14,IF(AND($D14&gt;=CC$5,$D14&lt;CC$5+7),"◆",""),IF(AND($D14&lt;CC$5+7,$E14&gt;CC$5),"■","")))</x:f>
      </x:c>
      <x:c r="CD14" s="7" t="str">
        <x:f>IF(OR($D14="",CD$5="",'상세일정'!AM14="제외"),"",IF($D14=$E14,IF(AND($D14&gt;=CD$5,$D14&lt;CD$5+7),"◆",""),IF(AND($D14&lt;CD$5+7,$E14&gt;CD$5),"■","")))</x:f>
      </x:c>
      <x:c r="CE14" s="7" t="str">
        <x:f>IF(OR($D14="",CE$5="",'상세일정'!AM14="제외"),"",IF($D14=$E14,IF(AND($D14&gt;=CE$5,$D14&lt;CE$5+7),"◆",""),IF(AND($D14&lt;CE$5+7,$E14&gt;CE$5),"■","")))</x:f>
      </x:c>
      <x:c r="CF14" s="7" t="str">
        <x:f>IF(OR($D14="",CF$5="",'상세일정'!AM14="제외"),"",IF($D14=$E14,IF(AND($D14&gt;=CF$5,$D14&lt;CF$5+7),"◆",""),IF(AND($D14&lt;CF$5+7,$E14&gt;CF$5),"■","")))</x:f>
      </x:c>
      <x:c r="CG14" s="7" t="str">
        <x:f>IF(OR($D14="",CG$5="",'상세일정'!AM14="제외"),"",IF($D14=$E14,IF(AND($D14&gt;=CG$5,$D14&lt;CG$5+7),"◆",""),IF(AND($D14&lt;CG$5+7,$E14&gt;CG$5),"■","")))</x:f>
      </x:c>
      <x:c r="CH14" s="7" t="str">
        <x:f>IF(OR($D14="",CH$5="",'상세일정'!AM14="제외"),"",IF($D14=$E14,IF(AND($D14&gt;=CH$5,$D14&lt;CH$5+7),"◆",""),IF(AND($D14&lt;CH$5+7,$E14&gt;CH$5),"■","")))</x:f>
      </x:c>
      <x:c r="CI14" s="7" t="str">
        <x:f>IF(OR($D14="",CI$5="",'상세일정'!AM14="제외"),"",IF($D14=$E14,IF(AND($D14&gt;=CI$5,$D14&lt;CI$5+7),"◆",""),IF(AND($D14&lt;CI$5+7,$E14&gt;CI$5),"■","")))</x:f>
      </x:c>
      <x:c r="CJ14" s="7" t="str">
        <x:f>IF(OR($D14="",CJ$5="",'상세일정'!AM14="제외"),"",IF($D14=$E14,IF(AND($D14&gt;=CJ$5,$D14&lt;CJ$5+7),"◆",""),IF(AND($D14&lt;CJ$5+7,$E14&gt;CJ$5),"■","")))</x:f>
      </x:c>
      <x:c r="CK14" s="7" t="str">
        <x:f>IF(OR($D14="",CK$5="",'상세일정'!AM14="제외"),"",IF($D14=$E14,IF(AND($D14&gt;=CK$5,$D14&lt;CK$5+7),"◆",""),IF(AND($D14&lt;CK$5+7,$E14&gt;CK$5),"■","")))</x:f>
      </x:c>
      <x:c r="CL14" s="7" t="str">
        <x:f>IF(OR($D14="",CL$5="",'상세일정'!AM14="제외"),"",IF($D14=$E14,IF(AND($D14&gt;=CL$5,$D14&lt;CL$5+7),"◆",""),IF(AND($D14&lt;CL$5+7,$E14&gt;CL$5),"■","")))</x:f>
      </x:c>
      <x:c r="CM14" s="7" t="str">
        <x:f>IF(OR($D14="",CM$5="",'상세일정'!AM14="제외"),"",IF($D14=$E14,IF(AND($D14&gt;=CM$5,$D14&lt;CM$5+7),"◆",""),IF(AND($D14&lt;CM$5+7,$E14&gt;CM$5),"■","")))</x:f>
      </x:c>
      <x:c r="CN14" s="7" t="str">
        <x:f>IF(OR($D14="",CN$5="",'상세일정'!AM14="제외"),"",IF($D14=$E14,IF(AND($D14&gt;=CN$5,$D14&lt;CN$5+7),"◆",""),IF(AND($D14&lt;CN$5+7,$E14&gt;CN$5),"■","")))</x:f>
      </x:c>
      <x:c r="CO14" s="7" t="str">
        <x:f>IF(OR($D14="",CO$5="",'상세일정'!AM14="제외"),"",IF($D14=$E14,IF(AND($D14&gt;=CO$5,$D14&lt;CO$5+7),"◆",""),IF(AND($D14&lt;CO$5+7,$E14&gt;CO$5),"■","")))</x:f>
      </x:c>
      <x:c r="CP14" s="7" t="str">
        <x:f>IF(OR($D14="",CP$5="",'상세일정'!AM14="제외"),"",IF($D14=$E14,IF(AND($D14&gt;=CP$5,$D14&lt;CP$5+7),"◆",""),IF(AND($D14&lt;CP$5+7,$E14&gt;CP$5),"■","")))</x:f>
      </x:c>
      <x:c r="CQ14" s="7" t="str">
        <x:f>IF(OR($D14="",CQ$5="",'상세일정'!AM14="제외"),"",IF($D14=$E14,IF(AND($D14&gt;=CQ$5,$D14&lt;CQ$5+7),"◆",""),IF(AND($D14&lt;CQ$5+7,$E14&gt;CQ$5),"■","")))</x:f>
      </x:c>
      <x:c r="CR14" s="7" t="str">
        <x:f>IF(OR($D14="",CR$5="",'상세일정'!AM14="제외"),"",IF($D14=$E14,IF(AND($D14&gt;=CR$5,$D14&lt;CR$5+7),"◆",""),IF(AND($D14&lt;CR$5+7,$E14&gt;CR$5),"■","")))</x:f>
      </x:c>
      <x:c r="CS14" s="7" t="str">
        <x:f>IF(OR($D14="",CS$5="",'상세일정'!AM14="제외"),"",IF($D14=$E14,IF(AND($D14&gt;=CS$5,$D14&lt;CS$5+7),"◆",""),IF(AND($D14&lt;CS$5+7,$E14&gt;CS$5),"■","")))</x:f>
      </x:c>
      <x:c r="CT14" s="7" t="str">
        <x:f>IF(OR($D14="",CT$5="",'상세일정'!AM14="제외"),"",IF($D14=$E14,IF(AND($D14&gt;=CT$5,$D14&lt;CT$5+7),"◆",""),IF(AND($D14&lt;CT$5+7,$E14&gt;CT$5),"■","")))</x:f>
      </x:c>
      <x:c r="CU14" s="7" t="str">
        <x:f>IF(OR($D14="",CU$5="",'상세일정'!AM14="제외"),"",IF($D14=$E14,IF(AND($D14&gt;=CU$5,$D14&lt;CU$5+7),"◆",""),IF(AND($D14&lt;CU$5+7,$E14&gt;CU$5),"■","")))</x:f>
      </x:c>
      <x:c r="CV14" s="7" t="str">
        <x:f>IF(OR($D14="",CV$5="",'상세일정'!AM14="제외"),"",IF($D14=$E14,IF(AND($D14&gt;=CV$5,$D14&lt;CV$5+7),"◆",""),IF(AND($D14&lt;CV$5+7,$E14&gt;CV$5),"■","")))</x:f>
      </x:c>
      <x:c r="CW14" s="7" t="str">
        <x:f>IF(OR($D14="",CW$5="",'상세일정'!AM14="제외"),"",IF($D14=$E14,IF(AND($D14&gt;=CW$5,$D14&lt;CW$5+7),"◆",""),IF(AND($D14&lt;CW$5+7,$E14&gt;CW$5),"■","")))</x:f>
      </x:c>
      <x:c r="CX14" s="7" t="str">
        <x:f>IF(OR($D14="",CX$5="",'상세일정'!AM14="제외"),"",IF($D14=$E14,IF(AND($D14&gt;=CX$5,$D14&lt;CX$5+7),"◆",""),IF(AND($D14&lt;CX$5+7,$E14&gt;CX$5),"■","")))</x:f>
      </x:c>
      <x:c r="CY14" s="7" t="str">
        <x:f>IF(OR($D14="",CY$5="",'상세일정'!AM14="제외"),"",IF($D14=$E14,IF(AND($D14&gt;=CY$5,$D14&lt;CY$5+7),"◆",""),IF(AND($D14&lt;CY$5+7,$E14&gt;CY$5),"■","")))</x:f>
      </x:c>
      <x:c r="CZ14" s="7" t="str">
        <x:f>IF(OR($D14="",CZ$5="",'상세일정'!AM14="제외"),"",IF($D14=$E14,IF(AND($D14&gt;=CZ$5,$D14&lt;CZ$5+7),"◆",""),IF(AND($D14&lt;CZ$5+7,$E14&gt;CZ$5),"■","")))</x:f>
      </x:c>
      <x:c r="DA14" s="7" t="str">
        <x:f>IF(OR($D14="",DA$5="",'상세일정'!AM14="제외"),"",IF($D14=$E14,IF(AND($D14&gt;=DA$5,$D14&lt;DA$5+7),"◆",""),IF(AND($D14&lt;DA$5+7,$E14&gt;DA$5),"■","")))</x:f>
      </x:c>
      <x:c r="DB14" s="7" t="str">
        <x:f>IF(OR($D14="",DB$5="",'상세일정'!AM14="제외"),"",IF($D14=$E14,IF(AND($D14&gt;=DB$5,$D14&lt;DB$5+7),"◆",""),IF(AND($D14&lt;DB$5+7,$E14&gt;DB$5),"■","")))</x:f>
      </x:c>
      <x:c r="DC14" s="7" t="str">
        <x:f>IF(OR($D14="",DC$5="",'상세일정'!AM14="제외"),"",IF($D14=$E14,IF(AND($D14&gt;=DC$5,$D14&lt;DC$5+7),"◆",""),IF(AND($D14&lt;DC$5+7,$E14&gt;DC$5),"■","")))</x:f>
      </x:c>
      <x:c r="DD14" s="7" t="str">
        <x:f>IF(OR($D14="",DD$5="",'상세일정'!AM14="제외"),"",IF($D14=$E14,IF(AND($D14&gt;=DD$5,$D14&lt;DD$5+7),"◆",""),IF(AND($D14&lt;DD$5+7,$E14&gt;DD$5),"■","")))</x:f>
      </x:c>
      <x:c r="DE14" s="7" t="str">
        <x:f>IF(OR($D14="",DE$5="",'상세일정'!AM14="제외"),"",IF($D14=$E14,IF(AND($D14&gt;=DE$5,$D14&lt;DE$5+7),"◆",""),IF(AND($D14&lt;DE$5+7,$E14&gt;DE$5),"■","")))</x:f>
      </x:c>
    </x:row>
    <x:row r="15" ht="34" customHeight="1">
      <x:c r="A15" s="7" t="str">
        <x:v>UP02</x:v>
      </x:c>
      <x:c r="B15" s="7" t="str">
        <x:v>03 도시계획·실시계획</x:v>
      </x:c>
      <x:c r="C15" s="7" t="str">
        <x:v>배치 변경에 따른 도시계획 보완도서 작성</x:v>
      </x:c>
      <x:c r="D15" s="10" t="str">
        <x:f>'상세일정'!AJ15</x:f>
      </x:c>
      <x:c r="E15" s="10" t="str">
        <x:f>'상세일정'!AK15</x:f>
      </x:c>
      <x:c r="F15" s="7" t="str">
        <x:f>IF(OR($D15="",F$5="",'상세일정'!AM15="제외"),"",IF($D15=$E15,IF(AND($D15&gt;=F$5,$D15&lt;F$5+7),"◆",""),IF(AND($D15&lt;F$5+7,$E15&gt;F$5),"■","")))</x:f>
      </x:c>
      <x:c r="G15" s="7" t="str">
        <x:f>IF(OR($D15="",G$5="",'상세일정'!AM15="제외"),"",IF($D15=$E15,IF(AND($D15&gt;=G$5,$D15&lt;G$5+7),"◆",""),IF(AND($D15&lt;G$5+7,$E15&gt;G$5),"■","")))</x:f>
      </x:c>
      <x:c r="H15" s="7" t="str">
        <x:f>IF(OR($D15="",H$5="",'상세일정'!AM15="제외"),"",IF($D15=$E15,IF(AND($D15&gt;=H$5,$D15&lt;H$5+7),"◆",""),IF(AND($D15&lt;H$5+7,$E15&gt;H$5),"■","")))</x:f>
      </x:c>
      <x:c r="I15" s="7" t="str">
        <x:f>IF(OR($D15="",I$5="",'상세일정'!AM15="제외"),"",IF($D15=$E15,IF(AND($D15&gt;=I$5,$D15&lt;I$5+7),"◆",""),IF(AND($D15&lt;I$5+7,$E15&gt;I$5),"■","")))</x:f>
      </x:c>
      <x:c r="J15" s="7" t="str">
        <x:f>IF(OR($D15="",J$5="",'상세일정'!AM15="제외"),"",IF($D15=$E15,IF(AND($D15&gt;=J$5,$D15&lt;J$5+7),"◆",""),IF(AND($D15&lt;J$5+7,$E15&gt;J$5),"■","")))</x:f>
      </x:c>
      <x:c r="K15" s="7" t="str">
        <x:f>IF(OR($D15="",K$5="",'상세일정'!AM15="제외"),"",IF($D15=$E15,IF(AND($D15&gt;=K$5,$D15&lt;K$5+7),"◆",""),IF(AND($D15&lt;K$5+7,$E15&gt;K$5),"■","")))</x:f>
      </x:c>
      <x:c r="L15" s="7" t="str">
        <x:f>IF(OR($D15="",L$5="",'상세일정'!AM15="제외"),"",IF($D15=$E15,IF(AND($D15&gt;=L$5,$D15&lt;L$5+7),"◆",""),IF(AND($D15&lt;L$5+7,$E15&gt;L$5),"■","")))</x:f>
      </x:c>
      <x:c r="M15" s="7" t="str">
        <x:f>IF(OR($D15="",M$5="",'상세일정'!AM15="제외"),"",IF($D15=$E15,IF(AND($D15&gt;=M$5,$D15&lt;M$5+7),"◆",""),IF(AND($D15&lt;M$5+7,$E15&gt;M$5),"■","")))</x:f>
      </x:c>
      <x:c r="N15" s="7" t="str">
        <x:f>IF(OR($D15="",N$5="",'상세일정'!AM15="제외"),"",IF($D15=$E15,IF(AND($D15&gt;=N$5,$D15&lt;N$5+7),"◆",""),IF(AND($D15&lt;N$5+7,$E15&gt;N$5),"■","")))</x:f>
      </x:c>
      <x:c r="O15" s="7" t="str">
        <x:f>IF(OR($D15="",O$5="",'상세일정'!AM15="제외"),"",IF($D15=$E15,IF(AND($D15&gt;=O$5,$D15&lt;O$5+7),"◆",""),IF(AND($D15&lt;O$5+7,$E15&gt;O$5),"■","")))</x:f>
      </x:c>
      <x:c r="P15" s="7" t="str">
        <x:f>IF(OR($D15="",P$5="",'상세일정'!AM15="제외"),"",IF($D15=$E15,IF(AND($D15&gt;=P$5,$D15&lt;P$5+7),"◆",""),IF(AND($D15&lt;P$5+7,$E15&gt;P$5),"■","")))</x:f>
      </x:c>
      <x:c r="Q15" s="7" t="str">
        <x:f>IF(OR($D15="",Q$5="",'상세일정'!AM15="제외"),"",IF($D15=$E15,IF(AND($D15&gt;=Q$5,$D15&lt;Q$5+7),"◆",""),IF(AND($D15&lt;Q$5+7,$E15&gt;Q$5),"■","")))</x:f>
      </x:c>
      <x:c r="R15" s="7" t="str">
        <x:f>IF(OR($D15="",R$5="",'상세일정'!AM15="제외"),"",IF($D15=$E15,IF(AND($D15&gt;=R$5,$D15&lt;R$5+7),"◆",""),IF(AND($D15&lt;R$5+7,$E15&gt;R$5),"■","")))</x:f>
      </x:c>
      <x:c r="S15" s="7" t="str">
        <x:f>IF(OR($D15="",S$5="",'상세일정'!AM15="제외"),"",IF($D15=$E15,IF(AND($D15&gt;=S$5,$D15&lt;S$5+7),"◆",""),IF(AND($D15&lt;S$5+7,$E15&gt;S$5),"■","")))</x:f>
      </x:c>
      <x:c r="T15" s="7" t="str">
        <x:f>IF(OR($D15="",T$5="",'상세일정'!AM15="제외"),"",IF($D15=$E15,IF(AND($D15&gt;=T$5,$D15&lt;T$5+7),"◆",""),IF(AND($D15&lt;T$5+7,$E15&gt;T$5),"■","")))</x:f>
      </x:c>
      <x:c r="U15" s="7" t="str">
        <x:f>IF(OR($D15="",U$5="",'상세일정'!AM15="제외"),"",IF($D15=$E15,IF(AND($D15&gt;=U$5,$D15&lt;U$5+7),"◆",""),IF(AND($D15&lt;U$5+7,$E15&gt;U$5),"■","")))</x:f>
      </x:c>
      <x:c r="V15" s="7" t="str">
        <x:f>IF(OR($D15="",V$5="",'상세일정'!AM15="제외"),"",IF($D15=$E15,IF(AND($D15&gt;=V$5,$D15&lt;V$5+7),"◆",""),IF(AND($D15&lt;V$5+7,$E15&gt;V$5),"■","")))</x:f>
      </x:c>
      <x:c r="W15" s="7" t="str">
        <x:f>IF(OR($D15="",W$5="",'상세일정'!AM15="제외"),"",IF($D15=$E15,IF(AND($D15&gt;=W$5,$D15&lt;W$5+7),"◆",""),IF(AND($D15&lt;W$5+7,$E15&gt;W$5),"■","")))</x:f>
      </x:c>
      <x:c r="X15" s="7" t="str">
        <x:f>IF(OR($D15="",X$5="",'상세일정'!AM15="제외"),"",IF($D15=$E15,IF(AND($D15&gt;=X$5,$D15&lt;X$5+7),"◆",""),IF(AND($D15&lt;X$5+7,$E15&gt;X$5),"■","")))</x:f>
      </x:c>
      <x:c r="Y15" s="7" t="str">
        <x:f>IF(OR($D15="",Y$5="",'상세일정'!AM15="제외"),"",IF($D15=$E15,IF(AND($D15&gt;=Y$5,$D15&lt;Y$5+7),"◆",""),IF(AND($D15&lt;Y$5+7,$E15&gt;Y$5),"■","")))</x:f>
      </x:c>
      <x:c r="Z15" s="7" t="str">
        <x:f>IF(OR($D15="",Z$5="",'상세일정'!AM15="제외"),"",IF($D15=$E15,IF(AND($D15&gt;=Z$5,$D15&lt;Z$5+7),"◆",""),IF(AND($D15&lt;Z$5+7,$E15&gt;Z$5),"■","")))</x:f>
      </x:c>
      <x:c r="AA15" s="7" t="str">
        <x:f>IF(OR($D15="",AA$5="",'상세일정'!AM15="제외"),"",IF($D15=$E15,IF(AND($D15&gt;=AA$5,$D15&lt;AA$5+7),"◆",""),IF(AND($D15&lt;AA$5+7,$E15&gt;AA$5),"■","")))</x:f>
      </x:c>
      <x:c r="AB15" s="7" t="str">
        <x:f>IF(OR($D15="",AB$5="",'상세일정'!AM15="제외"),"",IF($D15=$E15,IF(AND($D15&gt;=AB$5,$D15&lt;AB$5+7),"◆",""),IF(AND($D15&lt;AB$5+7,$E15&gt;AB$5),"■","")))</x:f>
      </x:c>
      <x:c r="AC15" s="7" t="str">
        <x:f>IF(OR($D15="",AC$5="",'상세일정'!AM15="제외"),"",IF($D15=$E15,IF(AND($D15&gt;=AC$5,$D15&lt;AC$5+7),"◆",""),IF(AND($D15&lt;AC$5+7,$E15&gt;AC$5),"■","")))</x:f>
      </x:c>
      <x:c r="AD15" s="7" t="str">
        <x:f>IF(OR($D15="",AD$5="",'상세일정'!AM15="제외"),"",IF($D15=$E15,IF(AND($D15&gt;=AD$5,$D15&lt;AD$5+7),"◆",""),IF(AND($D15&lt;AD$5+7,$E15&gt;AD$5),"■","")))</x:f>
      </x:c>
      <x:c r="AE15" s="7" t="str">
        <x:f>IF(OR($D15="",AE$5="",'상세일정'!AM15="제외"),"",IF($D15=$E15,IF(AND($D15&gt;=AE$5,$D15&lt;AE$5+7),"◆",""),IF(AND($D15&lt;AE$5+7,$E15&gt;AE$5),"■","")))</x:f>
      </x:c>
      <x:c r="AF15" s="7" t="str">
        <x:f>IF(OR($D15="",AF$5="",'상세일정'!AM15="제외"),"",IF($D15=$E15,IF(AND($D15&gt;=AF$5,$D15&lt;AF$5+7),"◆",""),IF(AND($D15&lt;AF$5+7,$E15&gt;AF$5),"■","")))</x:f>
      </x:c>
      <x:c r="AG15" s="7" t="str">
        <x:f>IF(OR($D15="",AG$5="",'상세일정'!AM15="제외"),"",IF($D15=$E15,IF(AND($D15&gt;=AG$5,$D15&lt;AG$5+7),"◆",""),IF(AND($D15&lt;AG$5+7,$E15&gt;AG$5),"■","")))</x:f>
      </x:c>
      <x:c r="AH15" s="7" t="str">
        <x:f>IF(OR($D15="",AH$5="",'상세일정'!AM15="제외"),"",IF($D15=$E15,IF(AND($D15&gt;=AH$5,$D15&lt;AH$5+7),"◆",""),IF(AND($D15&lt;AH$5+7,$E15&gt;AH$5),"■","")))</x:f>
      </x:c>
      <x:c r="AI15" s="7" t="str">
        <x:f>IF(OR($D15="",AI$5="",'상세일정'!AM15="제외"),"",IF($D15=$E15,IF(AND($D15&gt;=AI$5,$D15&lt;AI$5+7),"◆",""),IF(AND($D15&lt;AI$5+7,$E15&gt;AI$5),"■","")))</x:f>
      </x:c>
      <x:c r="AJ15" s="7" t="str">
        <x:f>IF(OR($D15="",AJ$5="",'상세일정'!AM15="제외"),"",IF($D15=$E15,IF(AND($D15&gt;=AJ$5,$D15&lt;AJ$5+7),"◆",""),IF(AND($D15&lt;AJ$5+7,$E15&gt;AJ$5),"■","")))</x:f>
      </x:c>
      <x:c r="AK15" s="7" t="str">
        <x:f>IF(OR($D15="",AK$5="",'상세일정'!AM15="제외"),"",IF($D15=$E15,IF(AND($D15&gt;=AK$5,$D15&lt;AK$5+7),"◆",""),IF(AND($D15&lt;AK$5+7,$E15&gt;AK$5),"■","")))</x:f>
      </x:c>
      <x:c r="AL15" s="7" t="str">
        <x:f>IF(OR($D15="",AL$5="",'상세일정'!AM15="제외"),"",IF($D15=$E15,IF(AND($D15&gt;=AL$5,$D15&lt;AL$5+7),"◆",""),IF(AND($D15&lt;AL$5+7,$E15&gt;AL$5),"■","")))</x:f>
      </x:c>
      <x:c r="AM15" s="7" t="str">
        <x:f>IF(OR($D15="",AM$5="",'상세일정'!AM15="제외"),"",IF($D15=$E15,IF(AND($D15&gt;=AM$5,$D15&lt;AM$5+7),"◆",""),IF(AND($D15&lt;AM$5+7,$E15&gt;AM$5),"■","")))</x:f>
      </x:c>
      <x:c r="AN15" s="7" t="str">
        <x:f>IF(OR($D15="",AN$5="",'상세일정'!AM15="제외"),"",IF($D15=$E15,IF(AND($D15&gt;=AN$5,$D15&lt;AN$5+7),"◆",""),IF(AND($D15&lt;AN$5+7,$E15&gt;AN$5),"■","")))</x:f>
      </x:c>
      <x:c r="AO15" s="7" t="str">
        <x:f>IF(OR($D15="",AO$5="",'상세일정'!AM15="제외"),"",IF($D15=$E15,IF(AND($D15&gt;=AO$5,$D15&lt;AO$5+7),"◆",""),IF(AND($D15&lt;AO$5+7,$E15&gt;AO$5),"■","")))</x:f>
      </x:c>
      <x:c r="AP15" s="7" t="str">
        <x:f>IF(OR($D15="",AP$5="",'상세일정'!AM15="제외"),"",IF($D15=$E15,IF(AND($D15&gt;=AP$5,$D15&lt;AP$5+7),"◆",""),IF(AND($D15&lt;AP$5+7,$E15&gt;AP$5),"■","")))</x:f>
      </x:c>
      <x:c r="AQ15" s="7" t="str">
        <x:f>IF(OR($D15="",AQ$5="",'상세일정'!AM15="제외"),"",IF($D15=$E15,IF(AND($D15&gt;=AQ$5,$D15&lt;AQ$5+7),"◆",""),IF(AND($D15&lt;AQ$5+7,$E15&gt;AQ$5),"■","")))</x:f>
      </x:c>
      <x:c r="AR15" s="7" t="str">
        <x:f>IF(OR($D15="",AR$5="",'상세일정'!AM15="제외"),"",IF($D15=$E15,IF(AND($D15&gt;=AR$5,$D15&lt;AR$5+7),"◆",""),IF(AND($D15&lt;AR$5+7,$E15&gt;AR$5),"■","")))</x:f>
      </x:c>
      <x:c r="AS15" s="7" t="str">
        <x:f>IF(OR($D15="",AS$5="",'상세일정'!AM15="제외"),"",IF($D15=$E15,IF(AND($D15&gt;=AS$5,$D15&lt;AS$5+7),"◆",""),IF(AND($D15&lt;AS$5+7,$E15&gt;AS$5),"■","")))</x:f>
      </x:c>
      <x:c r="AT15" s="7" t="str">
        <x:f>IF(OR($D15="",AT$5="",'상세일정'!AM15="제외"),"",IF($D15=$E15,IF(AND($D15&gt;=AT$5,$D15&lt;AT$5+7),"◆",""),IF(AND($D15&lt;AT$5+7,$E15&gt;AT$5),"■","")))</x:f>
      </x:c>
      <x:c r="AU15" s="7" t="str">
        <x:f>IF(OR($D15="",AU$5="",'상세일정'!AM15="제외"),"",IF($D15=$E15,IF(AND($D15&gt;=AU$5,$D15&lt;AU$5+7),"◆",""),IF(AND($D15&lt;AU$5+7,$E15&gt;AU$5),"■","")))</x:f>
      </x:c>
      <x:c r="AV15" s="7" t="str">
        <x:f>IF(OR($D15="",AV$5="",'상세일정'!AM15="제외"),"",IF($D15=$E15,IF(AND($D15&gt;=AV$5,$D15&lt;AV$5+7),"◆",""),IF(AND($D15&lt;AV$5+7,$E15&gt;AV$5),"■","")))</x:f>
      </x:c>
      <x:c r="AW15" s="7" t="str">
        <x:f>IF(OR($D15="",AW$5="",'상세일정'!AM15="제외"),"",IF($D15=$E15,IF(AND($D15&gt;=AW$5,$D15&lt;AW$5+7),"◆",""),IF(AND($D15&lt;AW$5+7,$E15&gt;AW$5),"■","")))</x:f>
      </x:c>
      <x:c r="AX15" s="7" t="str">
        <x:f>IF(OR($D15="",AX$5="",'상세일정'!AM15="제외"),"",IF($D15=$E15,IF(AND($D15&gt;=AX$5,$D15&lt;AX$5+7),"◆",""),IF(AND($D15&lt;AX$5+7,$E15&gt;AX$5),"■","")))</x:f>
      </x:c>
      <x:c r="AY15" s="7" t="str">
        <x:f>IF(OR($D15="",AY$5="",'상세일정'!AM15="제외"),"",IF($D15=$E15,IF(AND($D15&gt;=AY$5,$D15&lt;AY$5+7),"◆",""),IF(AND($D15&lt;AY$5+7,$E15&gt;AY$5),"■","")))</x:f>
      </x:c>
      <x:c r="AZ15" s="7" t="str">
        <x:f>IF(OR($D15="",AZ$5="",'상세일정'!AM15="제외"),"",IF($D15=$E15,IF(AND($D15&gt;=AZ$5,$D15&lt;AZ$5+7),"◆",""),IF(AND($D15&lt;AZ$5+7,$E15&gt;AZ$5),"■","")))</x:f>
      </x:c>
      <x:c r="BA15" s="7" t="str">
        <x:f>IF(OR($D15="",BA$5="",'상세일정'!AM15="제외"),"",IF($D15=$E15,IF(AND($D15&gt;=BA$5,$D15&lt;BA$5+7),"◆",""),IF(AND($D15&lt;BA$5+7,$E15&gt;BA$5),"■","")))</x:f>
      </x:c>
      <x:c r="BB15" s="7" t="str">
        <x:f>IF(OR($D15="",BB$5="",'상세일정'!AM15="제외"),"",IF($D15=$E15,IF(AND($D15&gt;=BB$5,$D15&lt;BB$5+7),"◆",""),IF(AND($D15&lt;BB$5+7,$E15&gt;BB$5),"■","")))</x:f>
      </x:c>
      <x:c r="BC15" s="7" t="str">
        <x:f>IF(OR($D15="",BC$5="",'상세일정'!AM15="제외"),"",IF($D15=$E15,IF(AND($D15&gt;=BC$5,$D15&lt;BC$5+7),"◆",""),IF(AND($D15&lt;BC$5+7,$E15&gt;BC$5),"■","")))</x:f>
      </x:c>
      <x:c r="BD15" s="7" t="str">
        <x:f>IF(OR($D15="",BD$5="",'상세일정'!AM15="제외"),"",IF($D15=$E15,IF(AND($D15&gt;=BD$5,$D15&lt;BD$5+7),"◆",""),IF(AND($D15&lt;BD$5+7,$E15&gt;BD$5),"■","")))</x:f>
      </x:c>
      <x:c r="BE15" s="7" t="str">
        <x:f>IF(OR($D15="",BE$5="",'상세일정'!AM15="제외"),"",IF($D15=$E15,IF(AND($D15&gt;=BE$5,$D15&lt;BE$5+7),"◆",""),IF(AND($D15&lt;BE$5+7,$E15&gt;BE$5),"■","")))</x:f>
      </x:c>
      <x:c r="BF15" s="7" t="str">
        <x:f>IF(OR($D15="",BF$5="",'상세일정'!AM15="제외"),"",IF($D15=$E15,IF(AND($D15&gt;=BF$5,$D15&lt;BF$5+7),"◆",""),IF(AND($D15&lt;BF$5+7,$E15&gt;BF$5),"■","")))</x:f>
      </x:c>
      <x:c r="BG15" s="7" t="str">
        <x:f>IF(OR($D15="",BG$5="",'상세일정'!AM15="제외"),"",IF($D15=$E15,IF(AND($D15&gt;=BG$5,$D15&lt;BG$5+7),"◆",""),IF(AND($D15&lt;BG$5+7,$E15&gt;BG$5),"■","")))</x:f>
      </x:c>
      <x:c r="BH15" s="7" t="str">
        <x:f>IF(OR($D15="",BH$5="",'상세일정'!AM15="제외"),"",IF($D15=$E15,IF(AND($D15&gt;=BH$5,$D15&lt;BH$5+7),"◆",""),IF(AND($D15&lt;BH$5+7,$E15&gt;BH$5),"■","")))</x:f>
      </x:c>
      <x:c r="BI15" s="7" t="str">
        <x:f>IF(OR($D15="",BI$5="",'상세일정'!AM15="제외"),"",IF($D15=$E15,IF(AND($D15&gt;=BI$5,$D15&lt;BI$5+7),"◆",""),IF(AND($D15&lt;BI$5+7,$E15&gt;BI$5),"■","")))</x:f>
      </x:c>
      <x:c r="BJ15" s="7" t="str">
        <x:f>IF(OR($D15="",BJ$5="",'상세일정'!AM15="제외"),"",IF($D15=$E15,IF(AND($D15&gt;=BJ$5,$D15&lt;BJ$5+7),"◆",""),IF(AND($D15&lt;BJ$5+7,$E15&gt;BJ$5),"■","")))</x:f>
      </x:c>
      <x:c r="BK15" s="7" t="str">
        <x:f>IF(OR($D15="",BK$5="",'상세일정'!AM15="제외"),"",IF($D15=$E15,IF(AND($D15&gt;=BK$5,$D15&lt;BK$5+7),"◆",""),IF(AND($D15&lt;BK$5+7,$E15&gt;BK$5),"■","")))</x:f>
      </x:c>
      <x:c r="BL15" s="7" t="str">
        <x:f>IF(OR($D15="",BL$5="",'상세일정'!AM15="제외"),"",IF($D15=$E15,IF(AND($D15&gt;=BL$5,$D15&lt;BL$5+7),"◆",""),IF(AND($D15&lt;BL$5+7,$E15&gt;BL$5),"■","")))</x:f>
      </x:c>
      <x:c r="BM15" s="7" t="str">
        <x:f>IF(OR($D15="",BM$5="",'상세일정'!AM15="제외"),"",IF($D15=$E15,IF(AND($D15&gt;=BM$5,$D15&lt;BM$5+7),"◆",""),IF(AND($D15&lt;BM$5+7,$E15&gt;BM$5),"■","")))</x:f>
      </x:c>
      <x:c r="BN15" s="7" t="str">
        <x:f>IF(OR($D15="",BN$5="",'상세일정'!AM15="제외"),"",IF($D15=$E15,IF(AND($D15&gt;=BN$5,$D15&lt;BN$5+7),"◆",""),IF(AND($D15&lt;BN$5+7,$E15&gt;BN$5),"■","")))</x:f>
      </x:c>
      <x:c r="BO15" s="7" t="str">
        <x:f>IF(OR($D15="",BO$5="",'상세일정'!AM15="제외"),"",IF($D15=$E15,IF(AND($D15&gt;=BO$5,$D15&lt;BO$5+7),"◆",""),IF(AND($D15&lt;BO$5+7,$E15&gt;BO$5),"■","")))</x:f>
      </x:c>
      <x:c r="BP15" s="7" t="str">
        <x:f>IF(OR($D15="",BP$5="",'상세일정'!AM15="제외"),"",IF($D15=$E15,IF(AND($D15&gt;=BP$5,$D15&lt;BP$5+7),"◆",""),IF(AND($D15&lt;BP$5+7,$E15&gt;BP$5),"■","")))</x:f>
      </x:c>
      <x:c r="BQ15" s="7" t="str">
        <x:f>IF(OR($D15="",BQ$5="",'상세일정'!AM15="제외"),"",IF($D15=$E15,IF(AND($D15&gt;=BQ$5,$D15&lt;BQ$5+7),"◆",""),IF(AND($D15&lt;BQ$5+7,$E15&gt;BQ$5),"■","")))</x:f>
      </x:c>
      <x:c r="BR15" s="7" t="str">
        <x:f>IF(OR($D15="",BR$5="",'상세일정'!AM15="제외"),"",IF($D15=$E15,IF(AND($D15&gt;=BR$5,$D15&lt;BR$5+7),"◆",""),IF(AND($D15&lt;BR$5+7,$E15&gt;BR$5),"■","")))</x:f>
      </x:c>
      <x:c r="BS15" s="7" t="str">
        <x:f>IF(OR($D15="",BS$5="",'상세일정'!AM15="제외"),"",IF($D15=$E15,IF(AND($D15&gt;=BS$5,$D15&lt;BS$5+7),"◆",""),IF(AND($D15&lt;BS$5+7,$E15&gt;BS$5),"■","")))</x:f>
      </x:c>
      <x:c r="BT15" s="7" t="str">
        <x:f>IF(OR($D15="",BT$5="",'상세일정'!AM15="제외"),"",IF($D15=$E15,IF(AND($D15&gt;=BT$5,$D15&lt;BT$5+7),"◆",""),IF(AND($D15&lt;BT$5+7,$E15&gt;BT$5),"■","")))</x:f>
      </x:c>
      <x:c r="BU15" s="7" t="str">
        <x:f>IF(OR($D15="",BU$5="",'상세일정'!AM15="제외"),"",IF($D15=$E15,IF(AND($D15&gt;=BU$5,$D15&lt;BU$5+7),"◆",""),IF(AND($D15&lt;BU$5+7,$E15&gt;BU$5),"■","")))</x:f>
      </x:c>
      <x:c r="BV15" s="7" t="str">
        <x:f>IF(OR($D15="",BV$5="",'상세일정'!AM15="제외"),"",IF($D15=$E15,IF(AND($D15&gt;=BV$5,$D15&lt;BV$5+7),"◆",""),IF(AND($D15&lt;BV$5+7,$E15&gt;BV$5),"■","")))</x:f>
      </x:c>
      <x:c r="BW15" s="7" t="str">
        <x:f>IF(OR($D15="",BW$5="",'상세일정'!AM15="제외"),"",IF($D15=$E15,IF(AND($D15&gt;=BW$5,$D15&lt;BW$5+7),"◆",""),IF(AND($D15&lt;BW$5+7,$E15&gt;BW$5),"■","")))</x:f>
      </x:c>
      <x:c r="BX15" s="7" t="str">
        <x:f>IF(OR($D15="",BX$5="",'상세일정'!AM15="제외"),"",IF($D15=$E15,IF(AND($D15&gt;=BX$5,$D15&lt;BX$5+7),"◆",""),IF(AND($D15&lt;BX$5+7,$E15&gt;BX$5),"■","")))</x:f>
      </x:c>
      <x:c r="BY15" s="7" t="str">
        <x:f>IF(OR($D15="",BY$5="",'상세일정'!AM15="제외"),"",IF($D15=$E15,IF(AND($D15&gt;=BY$5,$D15&lt;BY$5+7),"◆",""),IF(AND($D15&lt;BY$5+7,$E15&gt;BY$5),"■","")))</x:f>
      </x:c>
      <x:c r="BZ15" s="7" t="str">
        <x:f>IF(OR($D15="",BZ$5="",'상세일정'!AM15="제외"),"",IF($D15=$E15,IF(AND($D15&gt;=BZ$5,$D15&lt;BZ$5+7),"◆",""),IF(AND($D15&lt;BZ$5+7,$E15&gt;BZ$5),"■","")))</x:f>
      </x:c>
      <x:c r="CA15" s="7" t="str">
        <x:f>IF(OR($D15="",CA$5="",'상세일정'!AM15="제외"),"",IF($D15=$E15,IF(AND($D15&gt;=CA$5,$D15&lt;CA$5+7),"◆",""),IF(AND($D15&lt;CA$5+7,$E15&gt;CA$5),"■","")))</x:f>
      </x:c>
      <x:c r="CB15" s="7" t="str">
        <x:f>IF(OR($D15="",CB$5="",'상세일정'!AM15="제외"),"",IF($D15=$E15,IF(AND($D15&gt;=CB$5,$D15&lt;CB$5+7),"◆",""),IF(AND($D15&lt;CB$5+7,$E15&gt;CB$5),"■","")))</x:f>
      </x:c>
      <x:c r="CC15" s="7" t="str">
        <x:f>IF(OR($D15="",CC$5="",'상세일정'!AM15="제외"),"",IF($D15=$E15,IF(AND($D15&gt;=CC$5,$D15&lt;CC$5+7),"◆",""),IF(AND($D15&lt;CC$5+7,$E15&gt;CC$5),"■","")))</x:f>
      </x:c>
      <x:c r="CD15" s="7" t="str">
        <x:f>IF(OR($D15="",CD$5="",'상세일정'!AM15="제외"),"",IF($D15=$E15,IF(AND($D15&gt;=CD$5,$D15&lt;CD$5+7),"◆",""),IF(AND($D15&lt;CD$5+7,$E15&gt;CD$5),"■","")))</x:f>
      </x:c>
      <x:c r="CE15" s="7" t="str">
        <x:f>IF(OR($D15="",CE$5="",'상세일정'!AM15="제외"),"",IF($D15=$E15,IF(AND($D15&gt;=CE$5,$D15&lt;CE$5+7),"◆",""),IF(AND($D15&lt;CE$5+7,$E15&gt;CE$5),"■","")))</x:f>
      </x:c>
      <x:c r="CF15" s="7" t="str">
        <x:f>IF(OR($D15="",CF$5="",'상세일정'!AM15="제외"),"",IF($D15=$E15,IF(AND($D15&gt;=CF$5,$D15&lt;CF$5+7),"◆",""),IF(AND($D15&lt;CF$5+7,$E15&gt;CF$5),"■","")))</x:f>
      </x:c>
      <x:c r="CG15" s="7" t="str">
        <x:f>IF(OR($D15="",CG$5="",'상세일정'!AM15="제외"),"",IF($D15=$E15,IF(AND($D15&gt;=CG$5,$D15&lt;CG$5+7),"◆",""),IF(AND($D15&lt;CG$5+7,$E15&gt;CG$5),"■","")))</x:f>
      </x:c>
      <x:c r="CH15" s="7" t="str">
        <x:f>IF(OR($D15="",CH$5="",'상세일정'!AM15="제외"),"",IF($D15=$E15,IF(AND($D15&gt;=CH$5,$D15&lt;CH$5+7),"◆",""),IF(AND($D15&lt;CH$5+7,$E15&gt;CH$5),"■","")))</x:f>
      </x:c>
      <x:c r="CI15" s="7" t="str">
        <x:f>IF(OR($D15="",CI$5="",'상세일정'!AM15="제외"),"",IF($D15=$E15,IF(AND($D15&gt;=CI$5,$D15&lt;CI$5+7),"◆",""),IF(AND($D15&lt;CI$5+7,$E15&gt;CI$5),"■","")))</x:f>
      </x:c>
      <x:c r="CJ15" s="7" t="str">
        <x:f>IF(OR($D15="",CJ$5="",'상세일정'!AM15="제외"),"",IF($D15=$E15,IF(AND($D15&gt;=CJ$5,$D15&lt;CJ$5+7),"◆",""),IF(AND($D15&lt;CJ$5+7,$E15&gt;CJ$5),"■","")))</x:f>
      </x:c>
      <x:c r="CK15" s="7" t="str">
        <x:f>IF(OR($D15="",CK$5="",'상세일정'!AM15="제외"),"",IF($D15=$E15,IF(AND($D15&gt;=CK$5,$D15&lt;CK$5+7),"◆",""),IF(AND($D15&lt;CK$5+7,$E15&gt;CK$5),"■","")))</x:f>
      </x:c>
      <x:c r="CL15" s="7" t="str">
        <x:f>IF(OR($D15="",CL$5="",'상세일정'!AM15="제외"),"",IF($D15=$E15,IF(AND($D15&gt;=CL$5,$D15&lt;CL$5+7),"◆",""),IF(AND($D15&lt;CL$5+7,$E15&gt;CL$5),"■","")))</x:f>
      </x:c>
      <x:c r="CM15" s="7" t="str">
        <x:f>IF(OR($D15="",CM$5="",'상세일정'!AM15="제외"),"",IF($D15=$E15,IF(AND($D15&gt;=CM$5,$D15&lt;CM$5+7),"◆",""),IF(AND($D15&lt;CM$5+7,$E15&gt;CM$5),"■","")))</x:f>
      </x:c>
      <x:c r="CN15" s="7" t="str">
        <x:f>IF(OR($D15="",CN$5="",'상세일정'!AM15="제외"),"",IF($D15=$E15,IF(AND($D15&gt;=CN$5,$D15&lt;CN$5+7),"◆",""),IF(AND($D15&lt;CN$5+7,$E15&gt;CN$5),"■","")))</x:f>
      </x:c>
      <x:c r="CO15" s="7" t="str">
        <x:f>IF(OR($D15="",CO$5="",'상세일정'!AM15="제외"),"",IF($D15=$E15,IF(AND($D15&gt;=CO$5,$D15&lt;CO$5+7),"◆",""),IF(AND($D15&lt;CO$5+7,$E15&gt;CO$5),"■","")))</x:f>
      </x:c>
      <x:c r="CP15" s="7" t="str">
        <x:f>IF(OR($D15="",CP$5="",'상세일정'!AM15="제외"),"",IF($D15=$E15,IF(AND($D15&gt;=CP$5,$D15&lt;CP$5+7),"◆",""),IF(AND($D15&lt;CP$5+7,$E15&gt;CP$5),"■","")))</x:f>
      </x:c>
      <x:c r="CQ15" s="7" t="str">
        <x:f>IF(OR($D15="",CQ$5="",'상세일정'!AM15="제외"),"",IF($D15=$E15,IF(AND($D15&gt;=CQ$5,$D15&lt;CQ$5+7),"◆",""),IF(AND($D15&lt;CQ$5+7,$E15&gt;CQ$5),"■","")))</x:f>
      </x:c>
      <x:c r="CR15" s="7" t="str">
        <x:f>IF(OR($D15="",CR$5="",'상세일정'!AM15="제외"),"",IF($D15=$E15,IF(AND($D15&gt;=CR$5,$D15&lt;CR$5+7),"◆",""),IF(AND($D15&lt;CR$5+7,$E15&gt;CR$5),"■","")))</x:f>
      </x:c>
      <x:c r="CS15" s="7" t="str">
        <x:f>IF(OR($D15="",CS$5="",'상세일정'!AM15="제외"),"",IF($D15=$E15,IF(AND($D15&gt;=CS$5,$D15&lt;CS$5+7),"◆",""),IF(AND($D15&lt;CS$5+7,$E15&gt;CS$5),"■","")))</x:f>
      </x:c>
      <x:c r="CT15" s="7" t="str">
        <x:f>IF(OR($D15="",CT$5="",'상세일정'!AM15="제외"),"",IF($D15=$E15,IF(AND($D15&gt;=CT$5,$D15&lt;CT$5+7),"◆",""),IF(AND($D15&lt;CT$5+7,$E15&gt;CT$5),"■","")))</x:f>
      </x:c>
      <x:c r="CU15" s="7" t="str">
        <x:f>IF(OR($D15="",CU$5="",'상세일정'!AM15="제외"),"",IF($D15=$E15,IF(AND($D15&gt;=CU$5,$D15&lt;CU$5+7),"◆",""),IF(AND($D15&lt;CU$5+7,$E15&gt;CU$5),"■","")))</x:f>
      </x:c>
      <x:c r="CV15" s="7" t="str">
        <x:f>IF(OR($D15="",CV$5="",'상세일정'!AM15="제외"),"",IF($D15=$E15,IF(AND($D15&gt;=CV$5,$D15&lt;CV$5+7),"◆",""),IF(AND($D15&lt;CV$5+7,$E15&gt;CV$5),"■","")))</x:f>
      </x:c>
      <x:c r="CW15" s="7" t="str">
        <x:f>IF(OR($D15="",CW$5="",'상세일정'!AM15="제외"),"",IF($D15=$E15,IF(AND($D15&gt;=CW$5,$D15&lt;CW$5+7),"◆",""),IF(AND($D15&lt;CW$5+7,$E15&gt;CW$5),"■","")))</x:f>
      </x:c>
      <x:c r="CX15" s="7" t="str">
        <x:f>IF(OR($D15="",CX$5="",'상세일정'!AM15="제외"),"",IF($D15=$E15,IF(AND($D15&gt;=CX$5,$D15&lt;CX$5+7),"◆",""),IF(AND($D15&lt;CX$5+7,$E15&gt;CX$5),"■","")))</x:f>
      </x:c>
      <x:c r="CY15" s="7" t="str">
        <x:f>IF(OR($D15="",CY$5="",'상세일정'!AM15="제외"),"",IF($D15=$E15,IF(AND($D15&gt;=CY$5,$D15&lt;CY$5+7),"◆",""),IF(AND($D15&lt;CY$5+7,$E15&gt;CY$5),"■","")))</x:f>
      </x:c>
      <x:c r="CZ15" s="7" t="str">
        <x:f>IF(OR($D15="",CZ$5="",'상세일정'!AM15="제외"),"",IF($D15=$E15,IF(AND($D15&gt;=CZ$5,$D15&lt;CZ$5+7),"◆",""),IF(AND($D15&lt;CZ$5+7,$E15&gt;CZ$5),"■","")))</x:f>
      </x:c>
      <x:c r="DA15" s="7" t="str">
        <x:f>IF(OR($D15="",DA$5="",'상세일정'!AM15="제외"),"",IF($D15=$E15,IF(AND($D15&gt;=DA$5,$D15&lt;DA$5+7),"◆",""),IF(AND($D15&lt;DA$5+7,$E15&gt;DA$5),"■","")))</x:f>
      </x:c>
      <x:c r="DB15" s="7" t="str">
        <x:f>IF(OR($D15="",DB$5="",'상세일정'!AM15="제외"),"",IF($D15=$E15,IF(AND($D15&gt;=DB$5,$D15&lt;DB$5+7),"◆",""),IF(AND($D15&lt;DB$5+7,$E15&gt;DB$5),"■","")))</x:f>
      </x:c>
      <x:c r="DC15" s="7" t="str">
        <x:f>IF(OR($D15="",DC$5="",'상세일정'!AM15="제외"),"",IF($D15=$E15,IF(AND($D15&gt;=DC$5,$D15&lt;DC$5+7),"◆",""),IF(AND($D15&lt;DC$5+7,$E15&gt;DC$5),"■","")))</x:f>
      </x:c>
      <x:c r="DD15" s="7" t="str">
        <x:f>IF(OR($D15="",DD$5="",'상세일정'!AM15="제외"),"",IF($D15=$E15,IF(AND($D15&gt;=DD$5,$D15&lt;DD$5+7),"◆",""),IF(AND($D15&lt;DD$5+7,$E15&gt;DD$5),"■","")))</x:f>
      </x:c>
      <x:c r="DE15" s="7" t="str">
        <x:f>IF(OR($D15="",DE$5="",'상세일정'!AM15="제외"),"",IF($D15=$E15,IF(AND($D15&gt;=DE$5,$D15&lt;DE$5+7),"◆",""),IF(AND($D15&lt;DE$5+7,$E15&gt;DE$5),"■","")))</x:f>
      </x:c>
    </x:row>
    <x:row r="16" ht="34" customHeight="1">
      <x:c r="A16" s="7" t="str">
        <x:v>UP03</x:v>
      </x:c>
      <x:c r="B16" s="7" t="str">
        <x:v>03 도시계획·실시계획</x:v>
      </x:c>
      <x:c r="C16" s="7" t="str">
        <x:v>관계부서·군협의 잔여 회신 확보</x:v>
      </x:c>
      <x:c r="D16" s="10" t="str">
        <x:f>'상세일정'!AJ16</x:f>
      </x:c>
      <x:c r="E16" s="10" t="str">
        <x:f>'상세일정'!AK16</x:f>
      </x:c>
      <x:c r="F16" s="7" t="str">
        <x:f>IF(OR($D16="",F$5="",'상세일정'!AM16="제외"),"",IF($D16=$E16,IF(AND($D16&gt;=F$5,$D16&lt;F$5+7),"◆",""),IF(AND($D16&lt;F$5+7,$E16&gt;F$5),"■","")))</x:f>
      </x:c>
      <x:c r="G16" s="7" t="str">
        <x:f>IF(OR($D16="",G$5="",'상세일정'!AM16="제외"),"",IF($D16=$E16,IF(AND($D16&gt;=G$5,$D16&lt;G$5+7),"◆",""),IF(AND($D16&lt;G$5+7,$E16&gt;G$5),"■","")))</x:f>
      </x:c>
      <x:c r="H16" s="7" t="str">
        <x:f>IF(OR($D16="",H$5="",'상세일정'!AM16="제외"),"",IF($D16=$E16,IF(AND($D16&gt;=H$5,$D16&lt;H$5+7),"◆",""),IF(AND($D16&lt;H$5+7,$E16&gt;H$5),"■","")))</x:f>
      </x:c>
      <x:c r="I16" s="7" t="str">
        <x:f>IF(OR($D16="",I$5="",'상세일정'!AM16="제외"),"",IF($D16=$E16,IF(AND($D16&gt;=I$5,$D16&lt;I$5+7),"◆",""),IF(AND($D16&lt;I$5+7,$E16&gt;I$5),"■","")))</x:f>
      </x:c>
      <x:c r="J16" s="7" t="str">
        <x:f>IF(OR($D16="",J$5="",'상세일정'!AM16="제외"),"",IF($D16=$E16,IF(AND($D16&gt;=J$5,$D16&lt;J$5+7),"◆",""),IF(AND($D16&lt;J$5+7,$E16&gt;J$5),"■","")))</x:f>
      </x:c>
      <x:c r="K16" s="7" t="str">
        <x:f>IF(OR($D16="",K$5="",'상세일정'!AM16="제외"),"",IF($D16=$E16,IF(AND($D16&gt;=K$5,$D16&lt;K$5+7),"◆",""),IF(AND($D16&lt;K$5+7,$E16&gt;K$5),"■","")))</x:f>
      </x:c>
      <x:c r="L16" s="7" t="str">
        <x:f>IF(OR($D16="",L$5="",'상세일정'!AM16="제외"),"",IF($D16=$E16,IF(AND($D16&gt;=L$5,$D16&lt;L$5+7),"◆",""),IF(AND($D16&lt;L$5+7,$E16&gt;L$5),"■","")))</x:f>
      </x:c>
      <x:c r="M16" s="7" t="str">
        <x:f>IF(OR($D16="",M$5="",'상세일정'!AM16="제외"),"",IF($D16=$E16,IF(AND($D16&gt;=M$5,$D16&lt;M$5+7),"◆",""),IF(AND($D16&lt;M$5+7,$E16&gt;M$5),"■","")))</x:f>
      </x:c>
      <x:c r="N16" s="7" t="str">
        <x:f>IF(OR($D16="",N$5="",'상세일정'!AM16="제외"),"",IF($D16=$E16,IF(AND($D16&gt;=N$5,$D16&lt;N$5+7),"◆",""),IF(AND($D16&lt;N$5+7,$E16&gt;N$5),"■","")))</x:f>
      </x:c>
      <x:c r="O16" s="7" t="str">
        <x:f>IF(OR($D16="",O$5="",'상세일정'!AM16="제외"),"",IF($D16=$E16,IF(AND($D16&gt;=O$5,$D16&lt;O$5+7),"◆",""),IF(AND($D16&lt;O$5+7,$E16&gt;O$5),"■","")))</x:f>
      </x:c>
      <x:c r="P16" s="7" t="str">
        <x:f>IF(OR($D16="",P$5="",'상세일정'!AM16="제외"),"",IF($D16=$E16,IF(AND($D16&gt;=P$5,$D16&lt;P$5+7),"◆",""),IF(AND($D16&lt;P$5+7,$E16&gt;P$5),"■","")))</x:f>
      </x:c>
      <x:c r="Q16" s="7" t="str">
        <x:f>IF(OR($D16="",Q$5="",'상세일정'!AM16="제외"),"",IF($D16=$E16,IF(AND($D16&gt;=Q$5,$D16&lt;Q$5+7),"◆",""),IF(AND($D16&lt;Q$5+7,$E16&gt;Q$5),"■","")))</x:f>
      </x:c>
      <x:c r="R16" s="7" t="str">
        <x:f>IF(OR($D16="",R$5="",'상세일정'!AM16="제외"),"",IF($D16=$E16,IF(AND($D16&gt;=R$5,$D16&lt;R$5+7),"◆",""),IF(AND($D16&lt;R$5+7,$E16&gt;R$5),"■","")))</x:f>
      </x:c>
      <x:c r="S16" s="7" t="str">
        <x:f>IF(OR($D16="",S$5="",'상세일정'!AM16="제외"),"",IF($D16=$E16,IF(AND($D16&gt;=S$5,$D16&lt;S$5+7),"◆",""),IF(AND($D16&lt;S$5+7,$E16&gt;S$5),"■","")))</x:f>
      </x:c>
      <x:c r="T16" s="7" t="str">
        <x:f>IF(OR($D16="",T$5="",'상세일정'!AM16="제외"),"",IF($D16=$E16,IF(AND($D16&gt;=T$5,$D16&lt;T$5+7),"◆",""),IF(AND($D16&lt;T$5+7,$E16&gt;T$5),"■","")))</x:f>
      </x:c>
      <x:c r="U16" s="7" t="str">
        <x:f>IF(OR($D16="",U$5="",'상세일정'!AM16="제외"),"",IF($D16=$E16,IF(AND($D16&gt;=U$5,$D16&lt;U$5+7),"◆",""),IF(AND($D16&lt;U$5+7,$E16&gt;U$5),"■","")))</x:f>
      </x:c>
      <x:c r="V16" s="7" t="str">
        <x:f>IF(OR($D16="",V$5="",'상세일정'!AM16="제외"),"",IF($D16=$E16,IF(AND($D16&gt;=V$5,$D16&lt;V$5+7),"◆",""),IF(AND($D16&lt;V$5+7,$E16&gt;V$5),"■","")))</x:f>
      </x:c>
      <x:c r="W16" s="7" t="str">
        <x:f>IF(OR($D16="",W$5="",'상세일정'!AM16="제외"),"",IF($D16=$E16,IF(AND($D16&gt;=W$5,$D16&lt;W$5+7),"◆",""),IF(AND($D16&lt;W$5+7,$E16&gt;W$5),"■","")))</x:f>
      </x:c>
      <x:c r="X16" s="7" t="str">
        <x:f>IF(OR($D16="",X$5="",'상세일정'!AM16="제외"),"",IF($D16=$E16,IF(AND($D16&gt;=X$5,$D16&lt;X$5+7),"◆",""),IF(AND($D16&lt;X$5+7,$E16&gt;X$5),"■","")))</x:f>
      </x:c>
      <x:c r="Y16" s="7" t="str">
        <x:f>IF(OR($D16="",Y$5="",'상세일정'!AM16="제외"),"",IF($D16=$E16,IF(AND($D16&gt;=Y$5,$D16&lt;Y$5+7),"◆",""),IF(AND($D16&lt;Y$5+7,$E16&gt;Y$5),"■","")))</x:f>
      </x:c>
      <x:c r="Z16" s="7" t="str">
        <x:f>IF(OR($D16="",Z$5="",'상세일정'!AM16="제외"),"",IF($D16=$E16,IF(AND($D16&gt;=Z$5,$D16&lt;Z$5+7),"◆",""),IF(AND($D16&lt;Z$5+7,$E16&gt;Z$5),"■","")))</x:f>
      </x:c>
      <x:c r="AA16" s="7" t="str">
        <x:f>IF(OR($D16="",AA$5="",'상세일정'!AM16="제외"),"",IF($D16=$E16,IF(AND($D16&gt;=AA$5,$D16&lt;AA$5+7),"◆",""),IF(AND($D16&lt;AA$5+7,$E16&gt;AA$5),"■","")))</x:f>
      </x:c>
      <x:c r="AB16" s="7" t="str">
        <x:f>IF(OR($D16="",AB$5="",'상세일정'!AM16="제외"),"",IF($D16=$E16,IF(AND($D16&gt;=AB$5,$D16&lt;AB$5+7),"◆",""),IF(AND($D16&lt;AB$5+7,$E16&gt;AB$5),"■","")))</x:f>
      </x:c>
      <x:c r="AC16" s="7" t="str">
        <x:f>IF(OR($D16="",AC$5="",'상세일정'!AM16="제외"),"",IF($D16=$E16,IF(AND($D16&gt;=AC$5,$D16&lt;AC$5+7),"◆",""),IF(AND($D16&lt;AC$5+7,$E16&gt;AC$5),"■","")))</x:f>
      </x:c>
      <x:c r="AD16" s="7" t="str">
        <x:f>IF(OR($D16="",AD$5="",'상세일정'!AM16="제외"),"",IF($D16=$E16,IF(AND($D16&gt;=AD$5,$D16&lt;AD$5+7),"◆",""),IF(AND($D16&lt;AD$5+7,$E16&gt;AD$5),"■","")))</x:f>
      </x:c>
      <x:c r="AE16" s="7" t="str">
        <x:f>IF(OR($D16="",AE$5="",'상세일정'!AM16="제외"),"",IF($D16=$E16,IF(AND($D16&gt;=AE$5,$D16&lt;AE$5+7),"◆",""),IF(AND($D16&lt;AE$5+7,$E16&gt;AE$5),"■","")))</x:f>
      </x:c>
      <x:c r="AF16" s="7" t="str">
        <x:f>IF(OR($D16="",AF$5="",'상세일정'!AM16="제외"),"",IF($D16=$E16,IF(AND($D16&gt;=AF$5,$D16&lt;AF$5+7),"◆",""),IF(AND($D16&lt;AF$5+7,$E16&gt;AF$5),"■","")))</x:f>
      </x:c>
      <x:c r="AG16" s="7" t="str">
        <x:f>IF(OR($D16="",AG$5="",'상세일정'!AM16="제외"),"",IF($D16=$E16,IF(AND($D16&gt;=AG$5,$D16&lt;AG$5+7),"◆",""),IF(AND($D16&lt;AG$5+7,$E16&gt;AG$5),"■","")))</x:f>
      </x:c>
      <x:c r="AH16" s="7" t="str">
        <x:f>IF(OR($D16="",AH$5="",'상세일정'!AM16="제외"),"",IF($D16=$E16,IF(AND($D16&gt;=AH$5,$D16&lt;AH$5+7),"◆",""),IF(AND($D16&lt;AH$5+7,$E16&gt;AH$5),"■","")))</x:f>
      </x:c>
      <x:c r="AI16" s="7" t="str">
        <x:f>IF(OR($D16="",AI$5="",'상세일정'!AM16="제외"),"",IF($D16=$E16,IF(AND($D16&gt;=AI$5,$D16&lt;AI$5+7),"◆",""),IF(AND($D16&lt;AI$5+7,$E16&gt;AI$5),"■","")))</x:f>
      </x:c>
      <x:c r="AJ16" s="7" t="str">
        <x:f>IF(OR($D16="",AJ$5="",'상세일정'!AM16="제외"),"",IF($D16=$E16,IF(AND($D16&gt;=AJ$5,$D16&lt;AJ$5+7),"◆",""),IF(AND($D16&lt;AJ$5+7,$E16&gt;AJ$5),"■","")))</x:f>
      </x:c>
      <x:c r="AK16" s="7" t="str">
        <x:f>IF(OR($D16="",AK$5="",'상세일정'!AM16="제외"),"",IF($D16=$E16,IF(AND($D16&gt;=AK$5,$D16&lt;AK$5+7),"◆",""),IF(AND($D16&lt;AK$5+7,$E16&gt;AK$5),"■","")))</x:f>
      </x:c>
      <x:c r="AL16" s="7" t="str">
        <x:f>IF(OR($D16="",AL$5="",'상세일정'!AM16="제외"),"",IF($D16=$E16,IF(AND($D16&gt;=AL$5,$D16&lt;AL$5+7),"◆",""),IF(AND($D16&lt;AL$5+7,$E16&gt;AL$5),"■","")))</x:f>
      </x:c>
      <x:c r="AM16" s="7" t="str">
        <x:f>IF(OR($D16="",AM$5="",'상세일정'!AM16="제외"),"",IF($D16=$E16,IF(AND($D16&gt;=AM$5,$D16&lt;AM$5+7),"◆",""),IF(AND($D16&lt;AM$5+7,$E16&gt;AM$5),"■","")))</x:f>
      </x:c>
      <x:c r="AN16" s="7" t="str">
        <x:f>IF(OR($D16="",AN$5="",'상세일정'!AM16="제외"),"",IF($D16=$E16,IF(AND($D16&gt;=AN$5,$D16&lt;AN$5+7),"◆",""),IF(AND($D16&lt;AN$5+7,$E16&gt;AN$5),"■","")))</x:f>
      </x:c>
      <x:c r="AO16" s="7" t="str">
        <x:f>IF(OR($D16="",AO$5="",'상세일정'!AM16="제외"),"",IF($D16=$E16,IF(AND($D16&gt;=AO$5,$D16&lt;AO$5+7),"◆",""),IF(AND($D16&lt;AO$5+7,$E16&gt;AO$5),"■","")))</x:f>
      </x:c>
      <x:c r="AP16" s="7" t="str">
        <x:f>IF(OR($D16="",AP$5="",'상세일정'!AM16="제외"),"",IF($D16=$E16,IF(AND($D16&gt;=AP$5,$D16&lt;AP$5+7),"◆",""),IF(AND($D16&lt;AP$5+7,$E16&gt;AP$5),"■","")))</x:f>
      </x:c>
      <x:c r="AQ16" s="7" t="str">
        <x:f>IF(OR($D16="",AQ$5="",'상세일정'!AM16="제외"),"",IF($D16=$E16,IF(AND($D16&gt;=AQ$5,$D16&lt;AQ$5+7),"◆",""),IF(AND($D16&lt;AQ$5+7,$E16&gt;AQ$5),"■","")))</x:f>
      </x:c>
      <x:c r="AR16" s="7" t="str">
        <x:f>IF(OR($D16="",AR$5="",'상세일정'!AM16="제외"),"",IF($D16=$E16,IF(AND($D16&gt;=AR$5,$D16&lt;AR$5+7),"◆",""),IF(AND($D16&lt;AR$5+7,$E16&gt;AR$5),"■","")))</x:f>
      </x:c>
      <x:c r="AS16" s="7" t="str">
        <x:f>IF(OR($D16="",AS$5="",'상세일정'!AM16="제외"),"",IF($D16=$E16,IF(AND($D16&gt;=AS$5,$D16&lt;AS$5+7),"◆",""),IF(AND($D16&lt;AS$5+7,$E16&gt;AS$5),"■","")))</x:f>
      </x:c>
      <x:c r="AT16" s="7" t="str">
        <x:f>IF(OR($D16="",AT$5="",'상세일정'!AM16="제외"),"",IF($D16=$E16,IF(AND($D16&gt;=AT$5,$D16&lt;AT$5+7),"◆",""),IF(AND($D16&lt;AT$5+7,$E16&gt;AT$5),"■","")))</x:f>
      </x:c>
      <x:c r="AU16" s="7" t="str">
        <x:f>IF(OR($D16="",AU$5="",'상세일정'!AM16="제외"),"",IF($D16=$E16,IF(AND($D16&gt;=AU$5,$D16&lt;AU$5+7),"◆",""),IF(AND($D16&lt;AU$5+7,$E16&gt;AU$5),"■","")))</x:f>
      </x:c>
      <x:c r="AV16" s="7" t="str">
        <x:f>IF(OR($D16="",AV$5="",'상세일정'!AM16="제외"),"",IF($D16=$E16,IF(AND($D16&gt;=AV$5,$D16&lt;AV$5+7),"◆",""),IF(AND($D16&lt;AV$5+7,$E16&gt;AV$5),"■","")))</x:f>
      </x:c>
      <x:c r="AW16" s="7" t="str">
        <x:f>IF(OR($D16="",AW$5="",'상세일정'!AM16="제외"),"",IF($D16=$E16,IF(AND($D16&gt;=AW$5,$D16&lt;AW$5+7),"◆",""),IF(AND($D16&lt;AW$5+7,$E16&gt;AW$5),"■","")))</x:f>
      </x:c>
      <x:c r="AX16" s="7" t="str">
        <x:f>IF(OR($D16="",AX$5="",'상세일정'!AM16="제외"),"",IF($D16=$E16,IF(AND($D16&gt;=AX$5,$D16&lt;AX$5+7),"◆",""),IF(AND($D16&lt;AX$5+7,$E16&gt;AX$5),"■","")))</x:f>
      </x:c>
      <x:c r="AY16" s="7" t="str">
        <x:f>IF(OR($D16="",AY$5="",'상세일정'!AM16="제외"),"",IF($D16=$E16,IF(AND($D16&gt;=AY$5,$D16&lt;AY$5+7),"◆",""),IF(AND($D16&lt;AY$5+7,$E16&gt;AY$5),"■","")))</x:f>
      </x:c>
      <x:c r="AZ16" s="7" t="str">
        <x:f>IF(OR($D16="",AZ$5="",'상세일정'!AM16="제외"),"",IF($D16=$E16,IF(AND($D16&gt;=AZ$5,$D16&lt;AZ$5+7),"◆",""),IF(AND($D16&lt;AZ$5+7,$E16&gt;AZ$5),"■","")))</x:f>
      </x:c>
      <x:c r="BA16" s="7" t="str">
        <x:f>IF(OR($D16="",BA$5="",'상세일정'!AM16="제외"),"",IF($D16=$E16,IF(AND($D16&gt;=BA$5,$D16&lt;BA$5+7),"◆",""),IF(AND($D16&lt;BA$5+7,$E16&gt;BA$5),"■","")))</x:f>
      </x:c>
      <x:c r="BB16" s="7" t="str">
        <x:f>IF(OR($D16="",BB$5="",'상세일정'!AM16="제외"),"",IF($D16=$E16,IF(AND($D16&gt;=BB$5,$D16&lt;BB$5+7),"◆",""),IF(AND($D16&lt;BB$5+7,$E16&gt;BB$5),"■","")))</x:f>
      </x:c>
      <x:c r="BC16" s="7" t="str">
        <x:f>IF(OR($D16="",BC$5="",'상세일정'!AM16="제외"),"",IF($D16=$E16,IF(AND($D16&gt;=BC$5,$D16&lt;BC$5+7),"◆",""),IF(AND($D16&lt;BC$5+7,$E16&gt;BC$5),"■","")))</x:f>
      </x:c>
      <x:c r="BD16" s="7" t="str">
        <x:f>IF(OR($D16="",BD$5="",'상세일정'!AM16="제외"),"",IF($D16=$E16,IF(AND($D16&gt;=BD$5,$D16&lt;BD$5+7),"◆",""),IF(AND($D16&lt;BD$5+7,$E16&gt;BD$5),"■","")))</x:f>
      </x:c>
      <x:c r="BE16" s="7" t="str">
        <x:f>IF(OR($D16="",BE$5="",'상세일정'!AM16="제외"),"",IF($D16=$E16,IF(AND($D16&gt;=BE$5,$D16&lt;BE$5+7),"◆",""),IF(AND($D16&lt;BE$5+7,$E16&gt;BE$5),"■","")))</x:f>
      </x:c>
      <x:c r="BF16" s="7" t="str">
        <x:f>IF(OR($D16="",BF$5="",'상세일정'!AM16="제외"),"",IF($D16=$E16,IF(AND($D16&gt;=BF$5,$D16&lt;BF$5+7),"◆",""),IF(AND($D16&lt;BF$5+7,$E16&gt;BF$5),"■","")))</x:f>
      </x:c>
      <x:c r="BG16" s="7" t="str">
        <x:f>IF(OR($D16="",BG$5="",'상세일정'!AM16="제외"),"",IF($D16=$E16,IF(AND($D16&gt;=BG$5,$D16&lt;BG$5+7),"◆",""),IF(AND($D16&lt;BG$5+7,$E16&gt;BG$5),"■","")))</x:f>
      </x:c>
      <x:c r="BH16" s="7" t="str">
        <x:f>IF(OR($D16="",BH$5="",'상세일정'!AM16="제외"),"",IF($D16=$E16,IF(AND($D16&gt;=BH$5,$D16&lt;BH$5+7),"◆",""),IF(AND($D16&lt;BH$5+7,$E16&gt;BH$5),"■","")))</x:f>
      </x:c>
      <x:c r="BI16" s="7" t="str">
        <x:f>IF(OR($D16="",BI$5="",'상세일정'!AM16="제외"),"",IF($D16=$E16,IF(AND($D16&gt;=BI$5,$D16&lt;BI$5+7),"◆",""),IF(AND($D16&lt;BI$5+7,$E16&gt;BI$5),"■","")))</x:f>
      </x:c>
      <x:c r="BJ16" s="7" t="str">
        <x:f>IF(OR($D16="",BJ$5="",'상세일정'!AM16="제외"),"",IF($D16=$E16,IF(AND($D16&gt;=BJ$5,$D16&lt;BJ$5+7),"◆",""),IF(AND($D16&lt;BJ$5+7,$E16&gt;BJ$5),"■","")))</x:f>
      </x:c>
      <x:c r="BK16" s="7" t="str">
        <x:f>IF(OR($D16="",BK$5="",'상세일정'!AM16="제외"),"",IF($D16=$E16,IF(AND($D16&gt;=BK$5,$D16&lt;BK$5+7),"◆",""),IF(AND($D16&lt;BK$5+7,$E16&gt;BK$5),"■","")))</x:f>
      </x:c>
      <x:c r="BL16" s="7" t="str">
        <x:f>IF(OR($D16="",BL$5="",'상세일정'!AM16="제외"),"",IF($D16=$E16,IF(AND($D16&gt;=BL$5,$D16&lt;BL$5+7),"◆",""),IF(AND($D16&lt;BL$5+7,$E16&gt;BL$5),"■","")))</x:f>
      </x:c>
      <x:c r="BM16" s="7" t="str">
        <x:f>IF(OR($D16="",BM$5="",'상세일정'!AM16="제외"),"",IF($D16=$E16,IF(AND($D16&gt;=BM$5,$D16&lt;BM$5+7),"◆",""),IF(AND($D16&lt;BM$5+7,$E16&gt;BM$5),"■","")))</x:f>
      </x:c>
      <x:c r="BN16" s="7" t="str">
        <x:f>IF(OR($D16="",BN$5="",'상세일정'!AM16="제외"),"",IF($D16=$E16,IF(AND($D16&gt;=BN$5,$D16&lt;BN$5+7),"◆",""),IF(AND($D16&lt;BN$5+7,$E16&gt;BN$5),"■","")))</x:f>
      </x:c>
      <x:c r="BO16" s="7" t="str">
        <x:f>IF(OR($D16="",BO$5="",'상세일정'!AM16="제외"),"",IF($D16=$E16,IF(AND($D16&gt;=BO$5,$D16&lt;BO$5+7),"◆",""),IF(AND($D16&lt;BO$5+7,$E16&gt;BO$5),"■","")))</x:f>
      </x:c>
      <x:c r="BP16" s="7" t="str">
        <x:f>IF(OR($D16="",BP$5="",'상세일정'!AM16="제외"),"",IF($D16=$E16,IF(AND($D16&gt;=BP$5,$D16&lt;BP$5+7),"◆",""),IF(AND($D16&lt;BP$5+7,$E16&gt;BP$5),"■","")))</x:f>
      </x:c>
      <x:c r="BQ16" s="7" t="str">
        <x:f>IF(OR($D16="",BQ$5="",'상세일정'!AM16="제외"),"",IF($D16=$E16,IF(AND($D16&gt;=BQ$5,$D16&lt;BQ$5+7),"◆",""),IF(AND($D16&lt;BQ$5+7,$E16&gt;BQ$5),"■","")))</x:f>
      </x:c>
      <x:c r="BR16" s="7" t="str">
        <x:f>IF(OR($D16="",BR$5="",'상세일정'!AM16="제외"),"",IF($D16=$E16,IF(AND($D16&gt;=BR$5,$D16&lt;BR$5+7),"◆",""),IF(AND($D16&lt;BR$5+7,$E16&gt;BR$5),"■","")))</x:f>
      </x:c>
      <x:c r="BS16" s="7" t="str">
        <x:f>IF(OR($D16="",BS$5="",'상세일정'!AM16="제외"),"",IF($D16=$E16,IF(AND($D16&gt;=BS$5,$D16&lt;BS$5+7),"◆",""),IF(AND($D16&lt;BS$5+7,$E16&gt;BS$5),"■","")))</x:f>
      </x:c>
      <x:c r="BT16" s="7" t="str">
        <x:f>IF(OR($D16="",BT$5="",'상세일정'!AM16="제외"),"",IF($D16=$E16,IF(AND($D16&gt;=BT$5,$D16&lt;BT$5+7),"◆",""),IF(AND($D16&lt;BT$5+7,$E16&gt;BT$5),"■","")))</x:f>
      </x:c>
      <x:c r="BU16" s="7" t="str">
        <x:f>IF(OR($D16="",BU$5="",'상세일정'!AM16="제외"),"",IF($D16=$E16,IF(AND($D16&gt;=BU$5,$D16&lt;BU$5+7),"◆",""),IF(AND($D16&lt;BU$5+7,$E16&gt;BU$5),"■","")))</x:f>
      </x:c>
      <x:c r="BV16" s="7" t="str">
        <x:f>IF(OR($D16="",BV$5="",'상세일정'!AM16="제외"),"",IF($D16=$E16,IF(AND($D16&gt;=BV$5,$D16&lt;BV$5+7),"◆",""),IF(AND($D16&lt;BV$5+7,$E16&gt;BV$5),"■","")))</x:f>
      </x:c>
      <x:c r="BW16" s="7" t="str">
        <x:f>IF(OR($D16="",BW$5="",'상세일정'!AM16="제외"),"",IF($D16=$E16,IF(AND($D16&gt;=BW$5,$D16&lt;BW$5+7),"◆",""),IF(AND($D16&lt;BW$5+7,$E16&gt;BW$5),"■","")))</x:f>
      </x:c>
      <x:c r="BX16" s="7" t="str">
        <x:f>IF(OR($D16="",BX$5="",'상세일정'!AM16="제외"),"",IF($D16=$E16,IF(AND($D16&gt;=BX$5,$D16&lt;BX$5+7),"◆",""),IF(AND($D16&lt;BX$5+7,$E16&gt;BX$5),"■","")))</x:f>
      </x:c>
      <x:c r="BY16" s="7" t="str">
        <x:f>IF(OR($D16="",BY$5="",'상세일정'!AM16="제외"),"",IF($D16=$E16,IF(AND($D16&gt;=BY$5,$D16&lt;BY$5+7),"◆",""),IF(AND($D16&lt;BY$5+7,$E16&gt;BY$5),"■","")))</x:f>
      </x:c>
      <x:c r="BZ16" s="7" t="str">
        <x:f>IF(OR($D16="",BZ$5="",'상세일정'!AM16="제외"),"",IF($D16=$E16,IF(AND($D16&gt;=BZ$5,$D16&lt;BZ$5+7),"◆",""),IF(AND($D16&lt;BZ$5+7,$E16&gt;BZ$5),"■","")))</x:f>
      </x:c>
      <x:c r="CA16" s="7" t="str">
        <x:f>IF(OR($D16="",CA$5="",'상세일정'!AM16="제외"),"",IF($D16=$E16,IF(AND($D16&gt;=CA$5,$D16&lt;CA$5+7),"◆",""),IF(AND($D16&lt;CA$5+7,$E16&gt;CA$5),"■","")))</x:f>
      </x:c>
      <x:c r="CB16" s="7" t="str">
        <x:f>IF(OR($D16="",CB$5="",'상세일정'!AM16="제외"),"",IF($D16=$E16,IF(AND($D16&gt;=CB$5,$D16&lt;CB$5+7),"◆",""),IF(AND($D16&lt;CB$5+7,$E16&gt;CB$5),"■","")))</x:f>
      </x:c>
      <x:c r="CC16" s="7" t="str">
        <x:f>IF(OR($D16="",CC$5="",'상세일정'!AM16="제외"),"",IF($D16=$E16,IF(AND($D16&gt;=CC$5,$D16&lt;CC$5+7),"◆",""),IF(AND($D16&lt;CC$5+7,$E16&gt;CC$5),"■","")))</x:f>
      </x:c>
      <x:c r="CD16" s="7" t="str">
        <x:f>IF(OR($D16="",CD$5="",'상세일정'!AM16="제외"),"",IF($D16=$E16,IF(AND($D16&gt;=CD$5,$D16&lt;CD$5+7),"◆",""),IF(AND($D16&lt;CD$5+7,$E16&gt;CD$5),"■","")))</x:f>
      </x:c>
      <x:c r="CE16" s="7" t="str">
        <x:f>IF(OR($D16="",CE$5="",'상세일정'!AM16="제외"),"",IF($D16=$E16,IF(AND($D16&gt;=CE$5,$D16&lt;CE$5+7),"◆",""),IF(AND($D16&lt;CE$5+7,$E16&gt;CE$5),"■","")))</x:f>
      </x:c>
      <x:c r="CF16" s="7" t="str">
        <x:f>IF(OR($D16="",CF$5="",'상세일정'!AM16="제외"),"",IF($D16=$E16,IF(AND($D16&gt;=CF$5,$D16&lt;CF$5+7),"◆",""),IF(AND($D16&lt;CF$5+7,$E16&gt;CF$5),"■","")))</x:f>
      </x:c>
      <x:c r="CG16" s="7" t="str">
        <x:f>IF(OR($D16="",CG$5="",'상세일정'!AM16="제외"),"",IF($D16=$E16,IF(AND($D16&gt;=CG$5,$D16&lt;CG$5+7),"◆",""),IF(AND($D16&lt;CG$5+7,$E16&gt;CG$5),"■","")))</x:f>
      </x:c>
      <x:c r="CH16" s="7" t="str">
        <x:f>IF(OR($D16="",CH$5="",'상세일정'!AM16="제외"),"",IF($D16=$E16,IF(AND($D16&gt;=CH$5,$D16&lt;CH$5+7),"◆",""),IF(AND($D16&lt;CH$5+7,$E16&gt;CH$5),"■","")))</x:f>
      </x:c>
      <x:c r="CI16" s="7" t="str">
        <x:f>IF(OR($D16="",CI$5="",'상세일정'!AM16="제외"),"",IF($D16=$E16,IF(AND($D16&gt;=CI$5,$D16&lt;CI$5+7),"◆",""),IF(AND($D16&lt;CI$5+7,$E16&gt;CI$5),"■","")))</x:f>
      </x:c>
      <x:c r="CJ16" s="7" t="str">
        <x:f>IF(OR($D16="",CJ$5="",'상세일정'!AM16="제외"),"",IF($D16=$E16,IF(AND($D16&gt;=CJ$5,$D16&lt;CJ$5+7),"◆",""),IF(AND($D16&lt;CJ$5+7,$E16&gt;CJ$5),"■","")))</x:f>
      </x:c>
      <x:c r="CK16" s="7" t="str">
        <x:f>IF(OR($D16="",CK$5="",'상세일정'!AM16="제외"),"",IF($D16=$E16,IF(AND($D16&gt;=CK$5,$D16&lt;CK$5+7),"◆",""),IF(AND($D16&lt;CK$5+7,$E16&gt;CK$5),"■","")))</x:f>
      </x:c>
      <x:c r="CL16" s="7" t="str">
        <x:f>IF(OR($D16="",CL$5="",'상세일정'!AM16="제외"),"",IF($D16=$E16,IF(AND($D16&gt;=CL$5,$D16&lt;CL$5+7),"◆",""),IF(AND($D16&lt;CL$5+7,$E16&gt;CL$5),"■","")))</x:f>
      </x:c>
      <x:c r="CM16" s="7" t="str">
        <x:f>IF(OR($D16="",CM$5="",'상세일정'!AM16="제외"),"",IF($D16=$E16,IF(AND($D16&gt;=CM$5,$D16&lt;CM$5+7),"◆",""),IF(AND($D16&lt;CM$5+7,$E16&gt;CM$5),"■","")))</x:f>
      </x:c>
      <x:c r="CN16" s="7" t="str">
        <x:f>IF(OR($D16="",CN$5="",'상세일정'!AM16="제외"),"",IF($D16=$E16,IF(AND($D16&gt;=CN$5,$D16&lt;CN$5+7),"◆",""),IF(AND($D16&lt;CN$5+7,$E16&gt;CN$5),"■","")))</x:f>
      </x:c>
      <x:c r="CO16" s="7" t="str">
        <x:f>IF(OR($D16="",CO$5="",'상세일정'!AM16="제외"),"",IF($D16=$E16,IF(AND($D16&gt;=CO$5,$D16&lt;CO$5+7),"◆",""),IF(AND($D16&lt;CO$5+7,$E16&gt;CO$5),"■","")))</x:f>
      </x:c>
      <x:c r="CP16" s="7" t="str">
        <x:f>IF(OR($D16="",CP$5="",'상세일정'!AM16="제외"),"",IF($D16=$E16,IF(AND($D16&gt;=CP$5,$D16&lt;CP$5+7),"◆",""),IF(AND($D16&lt;CP$5+7,$E16&gt;CP$5),"■","")))</x:f>
      </x:c>
      <x:c r="CQ16" s="7" t="str">
        <x:f>IF(OR($D16="",CQ$5="",'상세일정'!AM16="제외"),"",IF($D16=$E16,IF(AND($D16&gt;=CQ$5,$D16&lt;CQ$5+7),"◆",""),IF(AND($D16&lt;CQ$5+7,$E16&gt;CQ$5),"■","")))</x:f>
      </x:c>
      <x:c r="CR16" s="7" t="str">
        <x:f>IF(OR($D16="",CR$5="",'상세일정'!AM16="제외"),"",IF($D16=$E16,IF(AND($D16&gt;=CR$5,$D16&lt;CR$5+7),"◆",""),IF(AND($D16&lt;CR$5+7,$E16&gt;CR$5),"■","")))</x:f>
      </x:c>
      <x:c r="CS16" s="7" t="str">
        <x:f>IF(OR($D16="",CS$5="",'상세일정'!AM16="제외"),"",IF($D16=$E16,IF(AND($D16&gt;=CS$5,$D16&lt;CS$5+7),"◆",""),IF(AND($D16&lt;CS$5+7,$E16&gt;CS$5),"■","")))</x:f>
      </x:c>
      <x:c r="CT16" s="7" t="str">
        <x:f>IF(OR($D16="",CT$5="",'상세일정'!AM16="제외"),"",IF($D16=$E16,IF(AND($D16&gt;=CT$5,$D16&lt;CT$5+7),"◆",""),IF(AND($D16&lt;CT$5+7,$E16&gt;CT$5),"■","")))</x:f>
      </x:c>
      <x:c r="CU16" s="7" t="str">
        <x:f>IF(OR($D16="",CU$5="",'상세일정'!AM16="제외"),"",IF($D16=$E16,IF(AND($D16&gt;=CU$5,$D16&lt;CU$5+7),"◆",""),IF(AND($D16&lt;CU$5+7,$E16&gt;CU$5),"■","")))</x:f>
      </x:c>
      <x:c r="CV16" s="7" t="str">
        <x:f>IF(OR($D16="",CV$5="",'상세일정'!AM16="제외"),"",IF($D16=$E16,IF(AND($D16&gt;=CV$5,$D16&lt;CV$5+7),"◆",""),IF(AND($D16&lt;CV$5+7,$E16&gt;CV$5),"■","")))</x:f>
      </x:c>
      <x:c r="CW16" s="7" t="str">
        <x:f>IF(OR($D16="",CW$5="",'상세일정'!AM16="제외"),"",IF($D16=$E16,IF(AND($D16&gt;=CW$5,$D16&lt;CW$5+7),"◆",""),IF(AND($D16&lt;CW$5+7,$E16&gt;CW$5),"■","")))</x:f>
      </x:c>
      <x:c r="CX16" s="7" t="str">
        <x:f>IF(OR($D16="",CX$5="",'상세일정'!AM16="제외"),"",IF($D16=$E16,IF(AND($D16&gt;=CX$5,$D16&lt;CX$5+7),"◆",""),IF(AND($D16&lt;CX$5+7,$E16&gt;CX$5),"■","")))</x:f>
      </x:c>
      <x:c r="CY16" s="7" t="str">
        <x:f>IF(OR($D16="",CY$5="",'상세일정'!AM16="제외"),"",IF($D16=$E16,IF(AND($D16&gt;=CY$5,$D16&lt;CY$5+7),"◆",""),IF(AND($D16&lt;CY$5+7,$E16&gt;CY$5),"■","")))</x:f>
      </x:c>
      <x:c r="CZ16" s="7" t="str">
        <x:f>IF(OR($D16="",CZ$5="",'상세일정'!AM16="제외"),"",IF($D16=$E16,IF(AND($D16&gt;=CZ$5,$D16&lt;CZ$5+7),"◆",""),IF(AND($D16&lt;CZ$5+7,$E16&gt;CZ$5),"■","")))</x:f>
      </x:c>
      <x:c r="DA16" s="7" t="str">
        <x:f>IF(OR($D16="",DA$5="",'상세일정'!AM16="제외"),"",IF($D16=$E16,IF(AND($D16&gt;=DA$5,$D16&lt;DA$5+7),"◆",""),IF(AND($D16&lt;DA$5+7,$E16&gt;DA$5),"■","")))</x:f>
      </x:c>
      <x:c r="DB16" s="7" t="str">
        <x:f>IF(OR($D16="",DB$5="",'상세일정'!AM16="제외"),"",IF($D16=$E16,IF(AND($D16&gt;=DB$5,$D16&lt;DB$5+7),"◆",""),IF(AND($D16&lt;DB$5+7,$E16&gt;DB$5),"■","")))</x:f>
      </x:c>
      <x:c r="DC16" s="7" t="str">
        <x:f>IF(OR($D16="",DC$5="",'상세일정'!AM16="제외"),"",IF($D16=$E16,IF(AND($D16&gt;=DC$5,$D16&lt;DC$5+7),"◆",""),IF(AND($D16&lt;DC$5+7,$E16&gt;DC$5),"■","")))</x:f>
      </x:c>
      <x:c r="DD16" s="7" t="str">
        <x:f>IF(OR($D16="",DD$5="",'상세일정'!AM16="제외"),"",IF($D16=$E16,IF(AND($D16&gt;=DD$5,$D16&lt;DD$5+7),"◆",""),IF(AND($D16&lt;DD$5+7,$E16&gt;DD$5),"■","")))</x:f>
      </x:c>
      <x:c r="DE16" s="7" t="str">
        <x:f>IF(OR($D16="",DE$5="",'상세일정'!AM16="제외"),"",IF($D16=$E16,IF(AND($D16&gt;=DE$5,$D16&lt;DE$5+7),"◆",""),IF(AND($D16&lt;DE$5+7,$E16&gt;DE$5),"■","")))</x:f>
      </x:c>
    </x:row>
    <x:row r="17" ht="34" customHeight="1">
      <x:c r="A17" s="7" t="str">
        <x:v>UP04</x:v>
      </x:c>
      <x:c r="B17" s="7" t="str">
        <x:v>03 도시계획·실시계획</x:v>
      </x:c>
      <x:c r="C17" s="7" t="str">
        <x:v>도시계획위원회 상정·보완 및 결정고시 확보</x:v>
      </x:c>
      <x:c r="D17" s="10" t="str">
        <x:f>'상세일정'!AJ17</x:f>
      </x:c>
      <x:c r="E17" s="10" t="str">
        <x:f>'상세일정'!AK17</x:f>
      </x:c>
      <x:c r="F17" s="7" t="str">
        <x:f>IF(OR($D17="",F$5="",'상세일정'!AM17="제외"),"",IF($D17=$E17,IF(AND($D17&gt;=F$5,$D17&lt;F$5+7),"◆",""),IF(AND($D17&lt;F$5+7,$E17&gt;F$5),"■","")))</x:f>
      </x:c>
      <x:c r="G17" s="7" t="str">
        <x:f>IF(OR($D17="",G$5="",'상세일정'!AM17="제외"),"",IF($D17=$E17,IF(AND($D17&gt;=G$5,$D17&lt;G$5+7),"◆",""),IF(AND($D17&lt;G$5+7,$E17&gt;G$5),"■","")))</x:f>
      </x:c>
      <x:c r="H17" s="7" t="str">
        <x:f>IF(OR($D17="",H$5="",'상세일정'!AM17="제외"),"",IF($D17=$E17,IF(AND($D17&gt;=H$5,$D17&lt;H$5+7),"◆",""),IF(AND($D17&lt;H$5+7,$E17&gt;H$5),"■","")))</x:f>
      </x:c>
      <x:c r="I17" s="7" t="str">
        <x:f>IF(OR($D17="",I$5="",'상세일정'!AM17="제외"),"",IF($D17=$E17,IF(AND($D17&gt;=I$5,$D17&lt;I$5+7),"◆",""),IF(AND($D17&lt;I$5+7,$E17&gt;I$5),"■","")))</x:f>
      </x:c>
      <x:c r="J17" s="7" t="str">
        <x:f>IF(OR($D17="",J$5="",'상세일정'!AM17="제외"),"",IF($D17=$E17,IF(AND($D17&gt;=J$5,$D17&lt;J$5+7),"◆",""),IF(AND($D17&lt;J$5+7,$E17&gt;J$5),"■","")))</x:f>
      </x:c>
      <x:c r="K17" s="7" t="str">
        <x:f>IF(OR($D17="",K$5="",'상세일정'!AM17="제외"),"",IF($D17=$E17,IF(AND($D17&gt;=K$5,$D17&lt;K$5+7),"◆",""),IF(AND($D17&lt;K$5+7,$E17&gt;K$5),"■","")))</x:f>
      </x:c>
      <x:c r="L17" s="7" t="str">
        <x:f>IF(OR($D17="",L$5="",'상세일정'!AM17="제외"),"",IF($D17=$E17,IF(AND($D17&gt;=L$5,$D17&lt;L$5+7),"◆",""),IF(AND($D17&lt;L$5+7,$E17&gt;L$5),"■","")))</x:f>
      </x:c>
      <x:c r="M17" s="7" t="str">
        <x:f>IF(OR($D17="",M$5="",'상세일정'!AM17="제외"),"",IF($D17=$E17,IF(AND($D17&gt;=M$5,$D17&lt;M$5+7),"◆",""),IF(AND($D17&lt;M$5+7,$E17&gt;M$5),"■","")))</x:f>
      </x:c>
      <x:c r="N17" s="7" t="str">
        <x:f>IF(OR($D17="",N$5="",'상세일정'!AM17="제외"),"",IF($D17=$E17,IF(AND($D17&gt;=N$5,$D17&lt;N$5+7),"◆",""),IF(AND($D17&lt;N$5+7,$E17&gt;N$5),"■","")))</x:f>
      </x:c>
      <x:c r="O17" s="7" t="str">
        <x:f>IF(OR($D17="",O$5="",'상세일정'!AM17="제외"),"",IF($D17=$E17,IF(AND($D17&gt;=O$5,$D17&lt;O$5+7),"◆",""),IF(AND($D17&lt;O$5+7,$E17&gt;O$5),"■","")))</x:f>
      </x:c>
      <x:c r="P17" s="7" t="str">
        <x:f>IF(OR($D17="",P$5="",'상세일정'!AM17="제외"),"",IF($D17=$E17,IF(AND($D17&gt;=P$5,$D17&lt;P$5+7),"◆",""),IF(AND($D17&lt;P$5+7,$E17&gt;P$5),"■","")))</x:f>
      </x:c>
      <x:c r="Q17" s="7" t="str">
        <x:f>IF(OR($D17="",Q$5="",'상세일정'!AM17="제외"),"",IF($D17=$E17,IF(AND($D17&gt;=Q$5,$D17&lt;Q$5+7),"◆",""),IF(AND($D17&lt;Q$5+7,$E17&gt;Q$5),"■","")))</x:f>
      </x:c>
      <x:c r="R17" s="7" t="str">
        <x:f>IF(OR($D17="",R$5="",'상세일정'!AM17="제외"),"",IF($D17=$E17,IF(AND($D17&gt;=R$5,$D17&lt;R$5+7),"◆",""),IF(AND($D17&lt;R$5+7,$E17&gt;R$5),"■","")))</x:f>
      </x:c>
      <x:c r="S17" s="7" t="str">
        <x:f>IF(OR($D17="",S$5="",'상세일정'!AM17="제외"),"",IF($D17=$E17,IF(AND($D17&gt;=S$5,$D17&lt;S$5+7),"◆",""),IF(AND($D17&lt;S$5+7,$E17&gt;S$5),"■","")))</x:f>
      </x:c>
      <x:c r="T17" s="7" t="str">
        <x:f>IF(OR($D17="",T$5="",'상세일정'!AM17="제외"),"",IF($D17=$E17,IF(AND($D17&gt;=T$5,$D17&lt;T$5+7),"◆",""),IF(AND($D17&lt;T$5+7,$E17&gt;T$5),"■","")))</x:f>
      </x:c>
      <x:c r="U17" s="7" t="str">
        <x:f>IF(OR($D17="",U$5="",'상세일정'!AM17="제외"),"",IF($D17=$E17,IF(AND($D17&gt;=U$5,$D17&lt;U$5+7),"◆",""),IF(AND($D17&lt;U$5+7,$E17&gt;U$5),"■","")))</x:f>
      </x:c>
      <x:c r="V17" s="7" t="str">
        <x:f>IF(OR($D17="",V$5="",'상세일정'!AM17="제외"),"",IF($D17=$E17,IF(AND($D17&gt;=V$5,$D17&lt;V$5+7),"◆",""),IF(AND($D17&lt;V$5+7,$E17&gt;V$5),"■","")))</x:f>
      </x:c>
      <x:c r="W17" s="7" t="str">
        <x:f>IF(OR($D17="",W$5="",'상세일정'!AM17="제외"),"",IF($D17=$E17,IF(AND($D17&gt;=W$5,$D17&lt;W$5+7),"◆",""),IF(AND($D17&lt;W$5+7,$E17&gt;W$5),"■","")))</x:f>
      </x:c>
      <x:c r="X17" s="7" t="str">
        <x:f>IF(OR($D17="",X$5="",'상세일정'!AM17="제외"),"",IF($D17=$E17,IF(AND($D17&gt;=X$5,$D17&lt;X$5+7),"◆",""),IF(AND($D17&lt;X$5+7,$E17&gt;X$5),"■","")))</x:f>
      </x:c>
      <x:c r="Y17" s="7" t="str">
        <x:f>IF(OR($D17="",Y$5="",'상세일정'!AM17="제외"),"",IF($D17=$E17,IF(AND($D17&gt;=Y$5,$D17&lt;Y$5+7),"◆",""),IF(AND($D17&lt;Y$5+7,$E17&gt;Y$5),"■","")))</x:f>
      </x:c>
      <x:c r="Z17" s="7" t="str">
        <x:f>IF(OR($D17="",Z$5="",'상세일정'!AM17="제외"),"",IF($D17=$E17,IF(AND($D17&gt;=Z$5,$D17&lt;Z$5+7),"◆",""),IF(AND($D17&lt;Z$5+7,$E17&gt;Z$5),"■","")))</x:f>
      </x:c>
      <x:c r="AA17" s="7" t="str">
        <x:f>IF(OR($D17="",AA$5="",'상세일정'!AM17="제외"),"",IF($D17=$E17,IF(AND($D17&gt;=AA$5,$D17&lt;AA$5+7),"◆",""),IF(AND($D17&lt;AA$5+7,$E17&gt;AA$5),"■","")))</x:f>
      </x:c>
      <x:c r="AB17" s="7" t="str">
        <x:f>IF(OR($D17="",AB$5="",'상세일정'!AM17="제외"),"",IF($D17=$E17,IF(AND($D17&gt;=AB$5,$D17&lt;AB$5+7),"◆",""),IF(AND($D17&lt;AB$5+7,$E17&gt;AB$5),"■","")))</x:f>
      </x:c>
      <x:c r="AC17" s="7" t="str">
        <x:f>IF(OR($D17="",AC$5="",'상세일정'!AM17="제외"),"",IF($D17=$E17,IF(AND($D17&gt;=AC$5,$D17&lt;AC$5+7),"◆",""),IF(AND($D17&lt;AC$5+7,$E17&gt;AC$5),"■","")))</x:f>
      </x:c>
      <x:c r="AD17" s="7" t="str">
        <x:f>IF(OR($D17="",AD$5="",'상세일정'!AM17="제외"),"",IF($D17=$E17,IF(AND($D17&gt;=AD$5,$D17&lt;AD$5+7),"◆",""),IF(AND($D17&lt;AD$5+7,$E17&gt;AD$5),"■","")))</x:f>
      </x:c>
      <x:c r="AE17" s="7" t="str">
        <x:f>IF(OR($D17="",AE$5="",'상세일정'!AM17="제외"),"",IF($D17=$E17,IF(AND($D17&gt;=AE$5,$D17&lt;AE$5+7),"◆",""),IF(AND($D17&lt;AE$5+7,$E17&gt;AE$5),"■","")))</x:f>
      </x:c>
      <x:c r="AF17" s="7" t="str">
        <x:f>IF(OR($D17="",AF$5="",'상세일정'!AM17="제외"),"",IF($D17=$E17,IF(AND($D17&gt;=AF$5,$D17&lt;AF$5+7),"◆",""),IF(AND($D17&lt;AF$5+7,$E17&gt;AF$5),"■","")))</x:f>
      </x:c>
      <x:c r="AG17" s="7" t="str">
        <x:f>IF(OR($D17="",AG$5="",'상세일정'!AM17="제외"),"",IF($D17=$E17,IF(AND($D17&gt;=AG$5,$D17&lt;AG$5+7),"◆",""),IF(AND($D17&lt;AG$5+7,$E17&gt;AG$5),"■","")))</x:f>
      </x:c>
      <x:c r="AH17" s="7" t="str">
        <x:f>IF(OR($D17="",AH$5="",'상세일정'!AM17="제외"),"",IF($D17=$E17,IF(AND($D17&gt;=AH$5,$D17&lt;AH$5+7),"◆",""),IF(AND($D17&lt;AH$5+7,$E17&gt;AH$5),"■","")))</x:f>
      </x:c>
      <x:c r="AI17" s="7" t="str">
        <x:f>IF(OR($D17="",AI$5="",'상세일정'!AM17="제외"),"",IF($D17=$E17,IF(AND($D17&gt;=AI$5,$D17&lt;AI$5+7),"◆",""),IF(AND($D17&lt;AI$5+7,$E17&gt;AI$5),"■","")))</x:f>
      </x:c>
      <x:c r="AJ17" s="7" t="str">
        <x:f>IF(OR($D17="",AJ$5="",'상세일정'!AM17="제외"),"",IF($D17=$E17,IF(AND($D17&gt;=AJ$5,$D17&lt;AJ$5+7),"◆",""),IF(AND($D17&lt;AJ$5+7,$E17&gt;AJ$5),"■","")))</x:f>
      </x:c>
      <x:c r="AK17" s="7" t="str">
        <x:f>IF(OR($D17="",AK$5="",'상세일정'!AM17="제외"),"",IF($D17=$E17,IF(AND($D17&gt;=AK$5,$D17&lt;AK$5+7),"◆",""),IF(AND($D17&lt;AK$5+7,$E17&gt;AK$5),"■","")))</x:f>
      </x:c>
      <x:c r="AL17" s="7" t="str">
        <x:f>IF(OR($D17="",AL$5="",'상세일정'!AM17="제외"),"",IF($D17=$E17,IF(AND($D17&gt;=AL$5,$D17&lt;AL$5+7),"◆",""),IF(AND($D17&lt;AL$5+7,$E17&gt;AL$5),"■","")))</x:f>
      </x:c>
      <x:c r="AM17" s="7" t="str">
        <x:f>IF(OR($D17="",AM$5="",'상세일정'!AM17="제외"),"",IF($D17=$E17,IF(AND($D17&gt;=AM$5,$D17&lt;AM$5+7),"◆",""),IF(AND($D17&lt;AM$5+7,$E17&gt;AM$5),"■","")))</x:f>
      </x:c>
      <x:c r="AN17" s="7" t="str">
        <x:f>IF(OR($D17="",AN$5="",'상세일정'!AM17="제외"),"",IF($D17=$E17,IF(AND($D17&gt;=AN$5,$D17&lt;AN$5+7),"◆",""),IF(AND($D17&lt;AN$5+7,$E17&gt;AN$5),"■","")))</x:f>
      </x:c>
      <x:c r="AO17" s="7" t="str">
        <x:f>IF(OR($D17="",AO$5="",'상세일정'!AM17="제외"),"",IF($D17=$E17,IF(AND($D17&gt;=AO$5,$D17&lt;AO$5+7),"◆",""),IF(AND($D17&lt;AO$5+7,$E17&gt;AO$5),"■","")))</x:f>
      </x:c>
      <x:c r="AP17" s="7" t="str">
        <x:f>IF(OR($D17="",AP$5="",'상세일정'!AM17="제외"),"",IF($D17=$E17,IF(AND($D17&gt;=AP$5,$D17&lt;AP$5+7),"◆",""),IF(AND($D17&lt;AP$5+7,$E17&gt;AP$5),"■","")))</x:f>
      </x:c>
      <x:c r="AQ17" s="7" t="str">
        <x:f>IF(OR($D17="",AQ$5="",'상세일정'!AM17="제외"),"",IF($D17=$E17,IF(AND($D17&gt;=AQ$5,$D17&lt;AQ$5+7),"◆",""),IF(AND($D17&lt;AQ$5+7,$E17&gt;AQ$5),"■","")))</x:f>
      </x:c>
      <x:c r="AR17" s="7" t="str">
        <x:f>IF(OR($D17="",AR$5="",'상세일정'!AM17="제외"),"",IF($D17=$E17,IF(AND($D17&gt;=AR$5,$D17&lt;AR$5+7),"◆",""),IF(AND($D17&lt;AR$5+7,$E17&gt;AR$5),"■","")))</x:f>
      </x:c>
      <x:c r="AS17" s="7" t="str">
        <x:f>IF(OR($D17="",AS$5="",'상세일정'!AM17="제외"),"",IF($D17=$E17,IF(AND($D17&gt;=AS$5,$D17&lt;AS$5+7),"◆",""),IF(AND($D17&lt;AS$5+7,$E17&gt;AS$5),"■","")))</x:f>
      </x:c>
      <x:c r="AT17" s="7" t="str">
        <x:f>IF(OR($D17="",AT$5="",'상세일정'!AM17="제외"),"",IF($D17=$E17,IF(AND($D17&gt;=AT$5,$D17&lt;AT$5+7),"◆",""),IF(AND($D17&lt;AT$5+7,$E17&gt;AT$5),"■","")))</x:f>
      </x:c>
      <x:c r="AU17" s="7" t="str">
        <x:f>IF(OR($D17="",AU$5="",'상세일정'!AM17="제외"),"",IF($D17=$E17,IF(AND($D17&gt;=AU$5,$D17&lt;AU$5+7),"◆",""),IF(AND($D17&lt;AU$5+7,$E17&gt;AU$5),"■","")))</x:f>
      </x:c>
      <x:c r="AV17" s="7" t="str">
        <x:f>IF(OR($D17="",AV$5="",'상세일정'!AM17="제외"),"",IF($D17=$E17,IF(AND($D17&gt;=AV$5,$D17&lt;AV$5+7),"◆",""),IF(AND($D17&lt;AV$5+7,$E17&gt;AV$5),"■","")))</x:f>
      </x:c>
      <x:c r="AW17" s="7" t="str">
        <x:f>IF(OR($D17="",AW$5="",'상세일정'!AM17="제외"),"",IF($D17=$E17,IF(AND($D17&gt;=AW$5,$D17&lt;AW$5+7),"◆",""),IF(AND($D17&lt;AW$5+7,$E17&gt;AW$5),"■","")))</x:f>
      </x:c>
      <x:c r="AX17" s="7" t="str">
        <x:f>IF(OR($D17="",AX$5="",'상세일정'!AM17="제외"),"",IF($D17=$E17,IF(AND($D17&gt;=AX$5,$D17&lt;AX$5+7),"◆",""),IF(AND($D17&lt;AX$5+7,$E17&gt;AX$5),"■","")))</x:f>
      </x:c>
      <x:c r="AY17" s="7" t="str">
        <x:f>IF(OR($D17="",AY$5="",'상세일정'!AM17="제외"),"",IF($D17=$E17,IF(AND($D17&gt;=AY$5,$D17&lt;AY$5+7),"◆",""),IF(AND($D17&lt;AY$5+7,$E17&gt;AY$5),"■","")))</x:f>
      </x:c>
      <x:c r="AZ17" s="7" t="str">
        <x:f>IF(OR($D17="",AZ$5="",'상세일정'!AM17="제외"),"",IF($D17=$E17,IF(AND($D17&gt;=AZ$5,$D17&lt;AZ$5+7),"◆",""),IF(AND($D17&lt;AZ$5+7,$E17&gt;AZ$5),"■","")))</x:f>
      </x:c>
      <x:c r="BA17" s="7" t="str">
        <x:f>IF(OR($D17="",BA$5="",'상세일정'!AM17="제외"),"",IF($D17=$E17,IF(AND($D17&gt;=BA$5,$D17&lt;BA$5+7),"◆",""),IF(AND($D17&lt;BA$5+7,$E17&gt;BA$5),"■","")))</x:f>
      </x:c>
      <x:c r="BB17" s="7" t="str">
        <x:f>IF(OR($D17="",BB$5="",'상세일정'!AM17="제외"),"",IF($D17=$E17,IF(AND($D17&gt;=BB$5,$D17&lt;BB$5+7),"◆",""),IF(AND($D17&lt;BB$5+7,$E17&gt;BB$5),"■","")))</x:f>
      </x:c>
      <x:c r="BC17" s="7" t="str">
        <x:f>IF(OR($D17="",BC$5="",'상세일정'!AM17="제외"),"",IF($D17=$E17,IF(AND($D17&gt;=BC$5,$D17&lt;BC$5+7),"◆",""),IF(AND($D17&lt;BC$5+7,$E17&gt;BC$5),"■","")))</x:f>
      </x:c>
      <x:c r="BD17" s="7" t="str">
        <x:f>IF(OR($D17="",BD$5="",'상세일정'!AM17="제외"),"",IF($D17=$E17,IF(AND($D17&gt;=BD$5,$D17&lt;BD$5+7),"◆",""),IF(AND($D17&lt;BD$5+7,$E17&gt;BD$5),"■","")))</x:f>
      </x:c>
      <x:c r="BE17" s="7" t="str">
        <x:f>IF(OR($D17="",BE$5="",'상세일정'!AM17="제외"),"",IF($D17=$E17,IF(AND($D17&gt;=BE$5,$D17&lt;BE$5+7),"◆",""),IF(AND($D17&lt;BE$5+7,$E17&gt;BE$5),"■","")))</x:f>
      </x:c>
      <x:c r="BF17" s="7" t="str">
        <x:f>IF(OR($D17="",BF$5="",'상세일정'!AM17="제외"),"",IF($D17=$E17,IF(AND($D17&gt;=BF$5,$D17&lt;BF$5+7),"◆",""),IF(AND($D17&lt;BF$5+7,$E17&gt;BF$5),"■","")))</x:f>
      </x:c>
      <x:c r="BG17" s="7" t="str">
        <x:f>IF(OR($D17="",BG$5="",'상세일정'!AM17="제외"),"",IF($D17=$E17,IF(AND($D17&gt;=BG$5,$D17&lt;BG$5+7),"◆",""),IF(AND($D17&lt;BG$5+7,$E17&gt;BG$5),"■","")))</x:f>
      </x:c>
      <x:c r="BH17" s="7" t="str">
        <x:f>IF(OR($D17="",BH$5="",'상세일정'!AM17="제외"),"",IF($D17=$E17,IF(AND($D17&gt;=BH$5,$D17&lt;BH$5+7),"◆",""),IF(AND($D17&lt;BH$5+7,$E17&gt;BH$5),"■","")))</x:f>
      </x:c>
      <x:c r="BI17" s="7" t="str">
        <x:f>IF(OR($D17="",BI$5="",'상세일정'!AM17="제외"),"",IF($D17=$E17,IF(AND($D17&gt;=BI$5,$D17&lt;BI$5+7),"◆",""),IF(AND($D17&lt;BI$5+7,$E17&gt;BI$5),"■","")))</x:f>
      </x:c>
      <x:c r="BJ17" s="7" t="str">
        <x:f>IF(OR($D17="",BJ$5="",'상세일정'!AM17="제외"),"",IF($D17=$E17,IF(AND($D17&gt;=BJ$5,$D17&lt;BJ$5+7),"◆",""),IF(AND($D17&lt;BJ$5+7,$E17&gt;BJ$5),"■","")))</x:f>
      </x:c>
      <x:c r="BK17" s="7" t="str">
        <x:f>IF(OR($D17="",BK$5="",'상세일정'!AM17="제외"),"",IF($D17=$E17,IF(AND($D17&gt;=BK$5,$D17&lt;BK$5+7),"◆",""),IF(AND($D17&lt;BK$5+7,$E17&gt;BK$5),"■","")))</x:f>
      </x:c>
      <x:c r="BL17" s="7" t="str">
        <x:f>IF(OR($D17="",BL$5="",'상세일정'!AM17="제외"),"",IF($D17=$E17,IF(AND($D17&gt;=BL$5,$D17&lt;BL$5+7),"◆",""),IF(AND($D17&lt;BL$5+7,$E17&gt;BL$5),"■","")))</x:f>
      </x:c>
      <x:c r="BM17" s="7" t="str">
        <x:f>IF(OR($D17="",BM$5="",'상세일정'!AM17="제외"),"",IF($D17=$E17,IF(AND($D17&gt;=BM$5,$D17&lt;BM$5+7),"◆",""),IF(AND($D17&lt;BM$5+7,$E17&gt;BM$5),"■","")))</x:f>
      </x:c>
      <x:c r="BN17" s="7" t="str">
        <x:f>IF(OR($D17="",BN$5="",'상세일정'!AM17="제외"),"",IF($D17=$E17,IF(AND($D17&gt;=BN$5,$D17&lt;BN$5+7),"◆",""),IF(AND($D17&lt;BN$5+7,$E17&gt;BN$5),"■","")))</x:f>
      </x:c>
      <x:c r="BO17" s="7" t="str">
        <x:f>IF(OR($D17="",BO$5="",'상세일정'!AM17="제외"),"",IF($D17=$E17,IF(AND($D17&gt;=BO$5,$D17&lt;BO$5+7),"◆",""),IF(AND($D17&lt;BO$5+7,$E17&gt;BO$5),"■","")))</x:f>
      </x:c>
      <x:c r="BP17" s="7" t="str">
        <x:f>IF(OR($D17="",BP$5="",'상세일정'!AM17="제외"),"",IF($D17=$E17,IF(AND($D17&gt;=BP$5,$D17&lt;BP$5+7),"◆",""),IF(AND($D17&lt;BP$5+7,$E17&gt;BP$5),"■","")))</x:f>
      </x:c>
      <x:c r="BQ17" s="7" t="str">
        <x:f>IF(OR($D17="",BQ$5="",'상세일정'!AM17="제외"),"",IF($D17=$E17,IF(AND($D17&gt;=BQ$5,$D17&lt;BQ$5+7),"◆",""),IF(AND($D17&lt;BQ$5+7,$E17&gt;BQ$5),"■","")))</x:f>
      </x:c>
      <x:c r="BR17" s="7" t="str">
        <x:f>IF(OR($D17="",BR$5="",'상세일정'!AM17="제외"),"",IF($D17=$E17,IF(AND($D17&gt;=BR$5,$D17&lt;BR$5+7),"◆",""),IF(AND($D17&lt;BR$5+7,$E17&gt;BR$5),"■","")))</x:f>
      </x:c>
      <x:c r="BS17" s="7" t="str">
        <x:f>IF(OR($D17="",BS$5="",'상세일정'!AM17="제외"),"",IF($D17=$E17,IF(AND($D17&gt;=BS$5,$D17&lt;BS$5+7),"◆",""),IF(AND($D17&lt;BS$5+7,$E17&gt;BS$5),"■","")))</x:f>
      </x:c>
      <x:c r="BT17" s="7" t="str">
        <x:f>IF(OR($D17="",BT$5="",'상세일정'!AM17="제외"),"",IF($D17=$E17,IF(AND($D17&gt;=BT$5,$D17&lt;BT$5+7),"◆",""),IF(AND($D17&lt;BT$5+7,$E17&gt;BT$5),"■","")))</x:f>
      </x:c>
      <x:c r="BU17" s="7" t="str">
        <x:f>IF(OR($D17="",BU$5="",'상세일정'!AM17="제외"),"",IF($D17=$E17,IF(AND($D17&gt;=BU$5,$D17&lt;BU$5+7),"◆",""),IF(AND($D17&lt;BU$5+7,$E17&gt;BU$5),"■","")))</x:f>
      </x:c>
      <x:c r="BV17" s="7" t="str">
        <x:f>IF(OR($D17="",BV$5="",'상세일정'!AM17="제외"),"",IF($D17=$E17,IF(AND($D17&gt;=BV$5,$D17&lt;BV$5+7),"◆",""),IF(AND($D17&lt;BV$5+7,$E17&gt;BV$5),"■","")))</x:f>
      </x:c>
      <x:c r="BW17" s="7" t="str">
        <x:f>IF(OR($D17="",BW$5="",'상세일정'!AM17="제외"),"",IF($D17=$E17,IF(AND($D17&gt;=BW$5,$D17&lt;BW$5+7),"◆",""),IF(AND($D17&lt;BW$5+7,$E17&gt;BW$5),"■","")))</x:f>
      </x:c>
      <x:c r="BX17" s="7" t="str">
        <x:f>IF(OR($D17="",BX$5="",'상세일정'!AM17="제외"),"",IF($D17=$E17,IF(AND($D17&gt;=BX$5,$D17&lt;BX$5+7),"◆",""),IF(AND($D17&lt;BX$5+7,$E17&gt;BX$5),"■","")))</x:f>
      </x:c>
      <x:c r="BY17" s="7" t="str">
        <x:f>IF(OR($D17="",BY$5="",'상세일정'!AM17="제외"),"",IF($D17=$E17,IF(AND($D17&gt;=BY$5,$D17&lt;BY$5+7),"◆",""),IF(AND($D17&lt;BY$5+7,$E17&gt;BY$5),"■","")))</x:f>
      </x:c>
      <x:c r="BZ17" s="7" t="str">
        <x:f>IF(OR($D17="",BZ$5="",'상세일정'!AM17="제외"),"",IF($D17=$E17,IF(AND($D17&gt;=BZ$5,$D17&lt;BZ$5+7),"◆",""),IF(AND($D17&lt;BZ$5+7,$E17&gt;BZ$5),"■","")))</x:f>
      </x:c>
      <x:c r="CA17" s="7" t="str">
        <x:f>IF(OR($D17="",CA$5="",'상세일정'!AM17="제외"),"",IF($D17=$E17,IF(AND($D17&gt;=CA$5,$D17&lt;CA$5+7),"◆",""),IF(AND($D17&lt;CA$5+7,$E17&gt;CA$5),"■","")))</x:f>
      </x:c>
      <x:c r="CB17" s="7" t="str">
        <x:f>IF(OR($D17="",CB$5="",'상세일정'!AM17="제외"),"",IF($D17=$E17,IF(AND($D17&gt;=CB$5,$D17&lt;CB$5+7),"◆",""),IF(AND($D17&lt;CB$5+7,$E17&gt;CB$5),"■","")))</x:f>
      </x:c>
      <x:c r="CC17" s="7" t="str">
        <x:f>IF(OR($D17="",CC$5="",'상세일정'!AM17="제외"),"",IF($D17=$E17,IF(AND($D17&gt;=CC$5,$D17&lt;CC$5+7),"◆",""),IF(AND($D17&lt;CC$5+7,$E17&gt;CC$5),"■","")))</x:f>
      </x:c>
      <x:c r="CD17" s="7" t="str">
        <x:f>IF(OR($D17="",CD$5="",'상세일정'!AM17="제외"),"",IF($D17=$E17,IF(AND($D17&gt;=CD$5,$D17&lt;CD$5+7),"◆",""),IF(AND($D17&lt;CD$5+7,$E17&gt;CD$5),"■","")))</x:f>
      </x:c>
      <x:c r="CE17" s="7" t="str">
        <x:f>IF(OR($D17="",CE$5="",'상세일정'!AM17="제외"),"",IF($D17=$E17,IF(AND($D17&gt;=CE$5,$D17&lt;CE$5+7),"◆",""),IF(AND($D17&lt;CE$5+7,$E17&gt;CE$5),"■","")))</x:f>
      </x:c>
      <x:c r="CF17" s="7" t="str">
        <x:f>IF(OR($D17="",CF$5="",'상세일정'!AM17="제외"),"",IF($D17=$E17,IF(AND($D17&gt;=CF$5,$D17&lt;CF$5+7),"◆",""),IF(AND($D17&lt;CF$5+7,$E17&gt;CF$5),"■","")))</x:f>
      </x:c>
      <x:c r="CG17" s="7" t="str">
        <x:f>IF(OR($D17="",CG$5="",'상세일정'!AM17="제외"),"",IF($D17=$E17,IF(AND($D17&gt;=CG$5,$D17&lt;CG$5+7),"◆",""),IF(AND($D17&lt;CG$5+7,$E17&gt;CG$5),"■","")))</x:f>
      </x:c>
      <x:c r="CH17" s="7" t="str">
        <x:f>IF(OR($D17="",CH$5="",'상세일정'!AM17="제외"),"",IF($D17=$E17,IF(AND($D17&gt;=CH$5,$D17&lt;CH$5+7),"◆",""),IF(AND($D17&lt;CH$5+7,$E17&gt;CH$5),"■","")))</x:f>
      </x:c>
      <x:c r="CI17" s="7" t="str">
        <x:f>IF(OR($D17="",CI$5="",'상세일정'!AM17="제외"),"",IF($D17=$E17,IF(AND($D17&gt;=CI$5,$D17&lt;CI$5+7),"◆",""),IF(AND($D17&lt;CI$5+7,$E17&gt;CI$5),"■","")))</x:f>
      </x:c>
      <x:c r="CJ17" s="7" t="str">
        <x:f>IF(OR($D17="",CJ$5="",'상세일정'!AM17="제외"),"",IF($D17=$E17,IF(AND($D17&gt;=CJ$5,$D17&lt;CJ$5+7),"◆",""),IF(AND($D17&lt;CJ$5+7,$E17&gt;CJ$5),"■","")))</x:f>
      </x:c>
      <x:c r="CK17" s="7" t="str">
        <x:f>IF(OR($D17="",CK$5="",'상세일정'!AM17="제외"),"",IF($D17=$E17,IF(AND($D17&gt;=CK$5,$D17&lt;CK$5+7),"◆",""),IF(AND($D17&lt;CK$5+7,$E17&gt;CK$5),"■","")))</x:f>
      </x:c>
      <x:c r="CL17" s="7" t="str">
        <x:f>IF(OR($D17="",CL$5="",'상세일정'!AM17="제외"),"",IF($D17=$E17,IF(AND($D17&gt;=CL$5,$D17&lt;CL$5+7),"◆",""),IF(AND($D17&lt;CL$5+7,$E17&gt;CL$5),"■","")))</x:f>
      </x:c>
      <x:c r="CM17" s="7" t="str">
        <x:f>IF(OR($D17="",CM$5="",'상세일정'!AM17="제외"),"",IF($D17=$E17,IF(AND($D17&gt;=CM$5,$D17&lt;CM$5+7),"◆",""),IF(AND($D17&lt;CM$5+7,$E17&gt;CM$5),"■","")))</x:f>
      </x:c>
      <x:c r="CN17" s="7" t="str">
        <x:f>IF(OR($D17="",CN$5="",'상세일정'!AM17="제외"),"",IF($D17=$E17,IF(AND($D17&gt;=CN$5,$D17&lt;CN$5+7),"◆",""),IF(AND($D17&lt;CN$5+7,$E17&gt;CN$5),"■","")))</x:f>
      </x:c>
      <x:c r="CO17" s="7" t="str">
        <x:f>IF(OR($D17="",CO$5="",'상세일정'!AM17="제외"),"",IF($D17=$E17,IF(AND($D17&gt;=CO$5,$D17&lt;CO$5+7),"◆",""),IF(AND($D17&lt;CO$5+7,$E17&gt;CO$5),"■","")))</x:f>
      </x:c>
      <x:c r="CP17" s="7" t="str">
        <x:f>IF(OR($D17="",CP$5="",'상세일정'!AM17="제외"),"",IF($D17=$E17,IF(AND($D17&gt;=CP$5,$D17&lt;CP$5+7),"◆",""),IF(AND($D17&lt;CP$5+7,$E17&gt;CP$5),"■","")))</x:f>
      </x:c>
      <x:c r="CQ17" s="7" t="str">
        <x:f>IF(OR($D17="",CQ$5="",'상세일정'!AM17="제외"),"",IF($D17=$E17,IF(AND($D17&gt;=CQ$5,$D17&lt;CQ$5+7),"◆",""),IF(AND($D17&lt;CQ$5+7,$E17&gt;CQ$5),"■","")))</x:f>
      </x:c>
      <x:c r="CR17" s="7" t="str">
        <x:f>IF(OR($D17="",CR$5="",'상세일정'!AM17="제외"),"",IF($D17=$E17,IF(AND($D17&gt;=CR$5,$D17&lt;CR$5+7),"◆",""),IF(AND($D17&lt;CR$5+7,$E17&gt;CR$5),"■","")))</x:f>
      </x:c>
      <x:c r="CS17" s="7" t="str">
        <x:f>IF(OR($D17="",CS$5="",'상세일정'!AM17="제외"),"",IF($D17=$E17,IF(AND($D17&gt;=CS$5,$D17&lt;CS$5+7),"◆",""),IF(AND($D17&lt;CS$5+7,$E17&gt;CS$5),"■","")))</x:f>
      </x:c>
      <x:c r="CT17" s="7" t="str">
        <x:f>IF(OR($D17="",CT$5="",'상세일정'!AM17="제외"),"",IF($D17=$E17,IF(AND($D17&gt;=CT$5,$D17&lt;CT$5+7),"◆",""),IF(AND($D17&lt;CT$5+7,$E17&gt;CT$5),"■","")))</x:f>
      </x:c>
      <x:c r="CU17" s="7" t="str">
        <x:f>IF(OR($D17="",CU$5="",'상세일정'!AM17="제외"),"",IF($D17=$E17,IF(AND($D17&gt;=CU$5,$D17&lt;CU$5+7),"◆",""),IF(AND($D17&lt;CU$5+7,$E17&gt;CU$5),"■","")))</x:f>
      </x:c>
      <x:c r="CV17" s="7" t="str">
        <x:f>IF(OR($D17="",CV$5="",'상세일정'!AM17="제외"),"",IF($D17=$E17,IF(AND($D17&gt;=CV$5,$D17&lt;CV$5+7),"◆",""),IF(AND($D17&lt;CV$5+7,$E17&gt;CV$5),"■","")))</x:f>
      </x:c>
      <x:c r="CW17" s="7" t="str">
        <x:f>IF(OR($D17="",CW$5="",'상세일정'!AM17="제외"),"",IF($D17=$E17,IF(AND($D17&gt;=CW$5,$D17&lt;CW$5+7),"◆",""),IF(AND($D17&lt;CW$5+7,$E17&gt;CW$5),"■","")))</x:f>
      </x:c>
      <x:c r="CX17" s="7" t="str">
        <x:f>IF(OR($D17="",CX$5="",'상세일정'!AM17="제외"),"",IF($D17=$E17,IF(AND($D17&gt;=CX$5,$D17&lt;CX$5+7),"◆",""),IF(AND($D17&lt;CX$5+7,$E17&gt;CX$5),"■","")))</x:f>
      </x:c>
      <x:c r="CY17" s="7" t="str">
        <x:f>IF(OR($D17="",CY$5="",'상세일정'!AM17="제외"),"",IF($D17=$E17,IF(AND($D17&gt;=CY$5,$D17&lt;CY$5+7),"◆",""),IF(AND($D17&lt;CY$5+7,$E17&gt;CY$5),"■","")))</x:f>
      </x:c>
      <x:c r="CZ17" s="7" t="str">
        <x:f>IF(OR($D17="",CZ$5="",'상세일정'!AM17="제외"),"",IF($D17=$E17,IF(AND($D17&gt;=CZ$5,$D17&lt;CZ$5+7),"◆",""),IF(AND($D17&lt;CZ$5+7,$E17&gt;CZ$5),"■","")))</x:f>
      </x:c>
      <x:c r="DA17" s="7" t="str">
        <x:f>IF(OR($D17="",DA$5="",'상세일정'!AM17="제외"),"",IF($D17=$E17,IF(AND($D17&gt;=DA$5,$D17&lt;DA$5+7),"◆",""),IF(AND($D17&lt;DA$5+7,$E17&gt;DA$5),"■","")))</x:f>
      </x:c>
      <x:c r="DB17" s="7" t="str">
        <x:f>IF(OR($D17="",DB$5="",'상세일정'!AM17="제외"),"",IF($D17=$E17,IF(AND($D17&gt;=DB$5,$D17&lt;DB$5+7),"◆",""),IF(AND($D17&lt;DB$5+7,$E17&gt;DB$5),"■","")))</x:f>
      </x:c>
      <x:c r="DC17" s="7" t="str">
        <x:f>IF(OR($D17="",DC$5="",'상세일정'!AM17="제외"),"",IF($D17=$E17,IF(AND($D17&gt;=DC$5,$D17&lt;DC$5+7),"◆",""),IF(AND($D17&lt;DC$5+7,$E17&gt;DC$5),"■","")))</x:f>
      </x:c>
      <x:c r="DD17" s="7" t="str">
        <x:f>IF(OR($D17="",DD$5="",'상세일정'!AM17="제외"),"",IF($D17=$E17,IF(AND($D17&gt;=DD$5,$D17&lt;DD$5+7),"◆",""),IF(AND($D17&lt;DD$5+7,$E17&gt;DD$5),"■","")))</x:f>
      </x:c>
      <x:c r="DE17" s="7" t="str">
        <x:f>IF(OR($D17="",DE$5="",'상세일정'!AM17="제외"),"",IF($D17=$E17,IF(AND($D17&gt;=DE$5,$D17&lt;DE$5+7),"◆",""),IF(AND($D17&lt;DE$5+7,$E17&gt;DE$5),"■","")))</x:f>
      </x:c>
    </x:row>
    <x:row r="18" ht="34" customHeight="1">
      <x:c r="A18" s="7" t="str">
        <x:v>UP05</x:v>
      </x:c>
      <x:c r="B18" s="7" t="str">
        <x:v>03 도시계획·실시계획</x:v>
      </x:c>
      <x:c r="C18" s="7" t="str">
        <x:v>도시관리계획 결정고시 확인</x:v>
      </x:c>
      <x:c r="D18" s="10" t="str">
        <x:f>'상세일정'!AJ18</x:f>
      </x:c>
      <x:c r="E18" s="10" t="str">
        <x:f>'상세일정'!AK18</x:f>
      </x:c>
      <x:c r="F18" s="7" t="str">
        <x:f>IF(OR($D18="",F$5="",'상세일정'!AM18="제외"),"",IF($D18=$E18,IF(AND($D18&gt;=F$5,$D18&lt;F$5+7),"◆",""),IF(AND($D18&lt;F$5+7,$E18&gt;F$5),"■","")))</x:f>
      </x:c>
      <x:c r="G18" s="7" t="str">
        <x:f>IF(OR($D18="",G$5="",'상세일정'!AM18="제외"),"",IF($D18=$E18,IF(AND($D18&gt;=G$5,$D18&lt;G$5+7),"◆",""),IF(AND($D18&lt;G$5+7,$E18&gt;G$5),"■","")))</x:f>
      </x:c>
      <x:c r="H18" s="7" t="str">
        <x:f>IF(OR($D18="",H$5="",'상세일정'!AM18="제외"),"",IF($D18=$E18,IF(AND($D18&gt;=H$5,$D18&lt;H$5+7),"◆",""),IF(AND($D18&lt;H$5+7,$E18&gt;H$5),"■","")))</x:f>
      </x:c>
      <x:c r="I18" s="7" t="str">
        <x:f>IF(OR($D18="",I$5="",'상세일정'!AM18="제외"),"",IF($D18=$E18,IF(AND($D18&gt;=I$5,$D18&lt;I$5+7),"◆",""),IF(AND($D18&lt;I$5+7,$E18&gt;I$5),"■","")))</x:f>
      </x:c>
      <x:c r="J18" s="7" t="str">
        <x:f>IF(OR($D18="",J$5="",'상세일정'!AM18="제외"),"",IF($D18=$E18,IF(AND($D18&gt;=J$5,$D18&lt;J$5+7),"◆",""),IF(AND($D18&lt;J$5+7,$E18&gt;J$5),"■","")))</x:f>
      </x:c>
      <x:c r="K18" s="7" t="str">
        <x:f>IF(OR($D18="",K$5="",'상세일정'!AM18="제외"),"",IF($D18=$E18,IF(AND($D18&gt;=K$5,$D18&lt;K$5+7),"◆",""),IF(AND($D18&lt;K$5+7,$E18&gt;K$5),"■","")))</x:f>
      </x:c>
      <x:c r="L18" s="7" t="str">
        <x:f>IF(OR($D18="",L$5="",'상세일정'!AM18="제외"),"",IF($D18=$E18,IF(AND($D18&gt;=L$5,$D18&lt;L$5+7),"◆",""),IF(AND($D18&lt;L$5+7,$E18&gt;L$5),"■","")))</x:f>
      </x:c>
      <x:c r="M18" s="7" t="str">
        <x:f>IF(OR($D18="",M$5="",'상세일정'!AM18="제외"),"",IF($D18=$E18,IF(AND($D18&gt;=M$5,$D18&lt;M$5+7),"◆",""),IF(AND($D18&lt;M$5+7,$E18&gt;M$5),"■","")))</x:f>
      </x:c>
      <x:c r="N18" s="7" t="str">
        <x:f>IF(OR($D18="",N$5="",'상세일정'!AM18="제외"),"",IF($D18=$E18,IF(AND($D18&gt;=N$5,$D18&lt;N$5+7),"◆",""),IF(AND($D18&lt;N$5+7,$E18&gt;N$5),"■","")))</x:f>
      </x:c>
      <x:c r="O18" s="7" t="str">
        <x:f>IF(OR($D18="",O$5="",'상세일정'!AM18="제외"),"",IF($D18=$E18,IF(AND($D18&gt;=O$5,$D18&lt;O$5+7),"◆",""),IF(AND($D18&lt;O$5+7,$E18&gt;O$5),"■","")))</x:f>
      </x:c>
      <x:c r="P18" s="7" t="str">
        <x:f>IF(OR($D18="",P$5="",'상세일정'!AM18="제외"),"",IF($D18=$E18,IF(AND($D18&gt;=P$5,$D18&lt;P$5+7),"◆",""),IF(AND($D18&lt;P$5+7,$E18&gt;P$5),"■","")))</x:f>
      </x:c>
      <x:c r="Q18" s="7" t="str">
        <x:f>IF(OR($D18="",Q$5="",'상세일정'!AM18="제외"),"",IF($D18=$E18,IF(AND($D18&gt;=Q$5,$D18&lt;Q$5+7),"◆",""),IF(AND($D18&lt;Q$5+7,$E18&gt;Q$5),"■","")))</x:f>
      </x:c>
      <x:c r="R18" s="7" t="str">
        <x:f>IF(OR($D18="",R$5="",'상세일정'!AM18="제외"),"",IF($D18=$E18,IF(AND($D18&gt;=R$5,$D18&lt;R$5+7),"◆",""),IF(AND($D18&lt;R$5+7,$E18&gt;R$5),"■","")))</x:f>
      </x:c>
      <x:c r="S18" s="7" t="str">
        <x:f>IF(OR($D18="",S$5="",'상세일정'!AM18="제외"),"",IF($D18=$E18,IF(AND($D18&gt;=S$5,$D18&lt;S$5+7),"◆",""),IF(AND($D18&lt;S$5+7,$E18&gt;S$5),"■","")))</x:f>
      </x:c>
      <x:c r="T18" s="7" t="str">
        <x:f>IF(OR($D18="",T$5="",'상세일정'!AM18="제외"),"",IF($D18=$E18,IF(AND($D18&gt;=T$5,$D18&lt;T$5+7),"◆",""),IF(AND($D18&lt;T$5+7,$E18&gt;T$5),"■","")))</x:f>
      </x:c>
      <x:c r="U18" s="7" t="str">
        <x:f>IF(OR($D18="",U$5="",'상세일정'!AM18="제외"),"",IF($D18=$E18,IF(AND($D18&gt;=U$5,$D18&lt;U$5+7),"◆",""),IF(AND($D18&lt;U$5+7,$E18&gt;U$5),"■","")))</x:f>
      </x:c>
      <x:c r="V18" s="7" t="str">
        <x:f>IF(OR($D18="",V$5="",'상세일정'!AM18="제외"),"",IF($D18=$E18,IF(AND($D18&gt;=V$5,$D18&lt;V$5+7),"◆",""),IF(AND($D18&lt;V$5+7,$E18&gt;V$5),"■","")))</x:f>
      </x:c>
      <x:c r="W18" s="7" t="str">
        <x:f>IF(OR($D18="",W$5="",'상세일정'!AM18="제외"),"",IF($D18=$E18,IF(AND($D18&gt;=W$5,$D18&lt;W$5+7),"◆",""),IF(AND($D18&lt;W$5+7,$E18&gt;W$5),"■","")))</x:f>
      </x:c>
      <x:c r="X18" s="7" t="str">
        <x:f>IF(OR($D18="",X$5="",'상세일정'!AM18="제외"),"",IF($D18=$E18,IF(AND($D18&gt;=X$5,$D18&lt;X$5+7),"◆",""),IF(AND($D18&lt;X$5+7,$E18&gt;X$5),"■","")))</x:f>
      </x:c>
      <x:c r="Y18" s="7" t="str">
        <x:f>IF(OR($D18="",Y$5="",'상세일정'!AM18="제외"),"",IF($D18=$E18,IF(AND($D18&gt;=Y$5,$D18&lt;Y$5+7),"◆",""),IF(AND($D18&lt;Y$5+7,$E18&gt;Y$5),"■","")))</x:f>
      </x:c>
      <x:c r="Z18" s="7" t="str">
        <x:f>IF(OR($D18="",Z$5="",'상세일정'!AM18="제외"),"",IF($D18=$E18,IF(AND($D18&gt;=Z$5,$D18&lt;Z$5+7),"◆",""),IF(AND($D18&lt;Z$5+7,$E18&gt;Z$5),"■","")))</x:f>
      </x:c>
      <x:c r="AA18" s="7" t="str">
        <x:f>IF(OR($D18="",AA$5="",'상세일정'!AM18="제외"),"",IF($D18=$E18,IF(AND($D18&gt;=AA$5,$D18&lt;AA$5+7),"◆",""),IF(AND($D18&lt;AA$5+7,$E18&gt;AA$5),"■","")))</x:f>
      </x:c>
      <x:c r="AB18" s="7" t="str">
        <x:f>IF(OR($D18="",AB$5="",'상세일정'!AM18="제외"),"",IF($D18=$E18,IF(AND($D18&gt;=AB$5,$D18&lt;AB$5+7),"◆",""),IF(AND($D18&lt;AB$5+7,$E18&gt;AB$5),"■","")))</x:f>
      </x:c>
      <x:c r="AC18" s="7" t="str">
        <x:f>IF(OR($D18="",AC$5="",'상세일정'!AM18="제외"),"",IF($D18=$E18,IF(AND($D18&gt;=AC$5,$D18&lt;AC$5+7),"◆",""),IF(AND($D18&lt;AC$5+7,$E18&gt;AC$5),"■","")))</x:f>
      </x:c>
      <x:c r="AD18" s="7" t="str">
        <x:f>IF(OR($D18="",AD$5="",'상세일정'!AM18="제외"),"",IF($D18=$E18,IF(AND($D18&gt;=AD$5,$D18&lt;AD$5+7),"◆",""),IF(AND($D18&lt;AD$5+7,$E18&gt;AD$5),"■","")))</x:f>
      </x:c>
      <x:c r="AE18" s="7" t="str">
        <x:f>IF(OR($D18="",AE$5="",'상세일정'!AM18="제외"),"",IF($D18=$E18,IF(AND($D18&gt;=AE$5,$D18&lt;AE$5+7),"◆",""),IF(AND($D18&lt;AE$5+7,$E18&gt;AE$5),"■","")))</x:f>
      </x:c>
      <x:c r="AF18" s="7" t="str">
        <x:f>IF(OR($D18="",AF$5="",'상세일정'!AM18="제외"),"",IF($D18=$E18,IF(AND($D18&gt;=AF$5,$D18&lt;AF$5+7),"◆",""),IF(AND($D18&lt;AF$5+7,$E18&gt;AF$5),"■","")))</x:f>
      </x:c>
      <x:c r="AG18" s="7" t="str">
        <x:f>IF(OR($D18="",AG$5="",'상세일정'!AM18="제외"),"",IF($D18=$E18,IF(AND($D18&gt;=AG$5,$D18&lt;AG$5+7),"◆",""),IF(AND($D18&lt;AG$5+7,$E18&gt;AG$5),"■","")))</x:f>
      </x:c>
      <x:c r="AH18" s="7" t="str">
        <x:f>IF(OR($D18="",AH$5="",'상세일정'!AM18="제외"),"",IF($D18=$E18,IF(AND($D18&gt;=AH$5,$D18&lt;AH$5+7),"◆",""),IF(AND($D18&lt;AH$5+7,$E18&gt;AH$5),"■","")))</x:f>
      </x:c>
      <x:c r="AI18" s="7" t="str">
        <x:f>IF(OR($D18="",AI$5="",'상세일정'!AM18="제외"),"",IF($D18=$E18,IF(AND($D18&gt;=AI$5,$D18&lt;AI$5+7),"◆",""),IF(AND($D18&lt;AI$5+7,$E18&gt;AI$5),"■","")))</x:f>
      </x:c>
      <x:c r="AJ18" s="7" t="str">
        <x:f>IF(OR($D18="",AJ$5="",'상세일정'!AM18="제외"),"",IF($D18=$E18,IF(AND($D18&gt;=AJ$5,$D18&lt;AJ$5+7),"◆",""),IF(AND($D18&lt;AJ$5+7,$E18&gt;AJ$5),"■","")))</x:f>
      </x:c>
      <x:c r="AK18" s="7" t="str">
        <x:f>IF(OR($D18="",AK$5="",'상세일정'!AM18="제외"),"",IF($D18=$E18,IF(AND($D18&gt;=AK$5,$D18&lt;AK$5+7),"◆",""),IF(AND($D18&lt;AK$5+7,$E18&gt;AK$5),"■","")))</x:f>
      </x:c>
      <x:c r="AL18" s="7" t="str">
        <x:f>IF(OR($D18="",AL$5="",'상세일정'!AM18="제외"),"",IF($D18=$E18,IF(AND($D18&gt;=AL$5,$D18&lt;AL$5+7),"◆",""),IF(AND($D18&lt;AL$5+7,$E18&gt;AL$5),"■","")))</x:f>
      </x:c>
      <x:c r="AM18" s="7" t="str">
        <x:f>IF(OR($D18="",AM$5="",'상세일정'!AM18="제외"),"",IF($D18=$E18,IF(AND($D18&gt;=AM$5,$D18&lt;AM$5+7),"◆",""),IF(AND($D18&lt;AM$5+7,$E18&gt;AM$5),"■","")))</x:f>
      </x:c>
      <x:c r="AN18" s="7" t="str">
        <x:f>IF(OR($D18="",AN$5="",'상세일정'!AM18="제외"),"",IF($D18=$E18,IF(AND($D18&gt;=AN$5,$D18&lt;AN$5+7),"◆",""),IF(AND($D18&lt;AN$5+7,$E18&gt;AN$5),"■","")))</x:f>
      </x:c>
      <x:c r="AO18" s="7" t="str">
        <x:f>IF(OR($D18="",AO$5="",'상세일정'!AM18="제외"),"",IF($D18=$E18,IF(AND($D18&gt;=AO$5,$D18&lt;AO$5+7),"◆",""),IF(AND($D18&lt;AO$5+7,$E18&gt;AO$5),"■","")))</x:f>
      </x:c>
      <x:c r="AP18" s="7" t="str">
        <x:f>IF(OR($D18="",AP$5="",'상세일정'!AM18="제외"),"",IF($D18=$E18,IF(AND($D18&gt;=AP$5,$D18&lt;AP$5+7),"◆",""),IF(AND($D18&lt;AP$5+7,$E18&gt;AP$5),"■","")))</x:f>
      </x:c>
      <x:c r="AQ18" s="7" t="str">
        <x:f>IF(OR($D18="",AQ$5="",'상세일정'!AM18="제외"),"",IF($D18=$E18,IF(AND($D18&gt;=AQ$5,$D18&lt;AQ$5+7),"◆",""),IF(AND($D18&lt;AQ$5+7,$E18&gt;AQ$5),"■","")))</x:f>
      </x:c>
      <x:c r="AR18" s="7" t="str">
        <x:f>IF(OR($D18="",AR$5="",'상세일정'!AM18="제외"),"",IF($D18=$E18,IF(AND($D18&gt;=AR$5,$D18&lt;AR$5+7),"◆",""),IF(AND($D18&lt;AR$5+7,$E18&gt;AR$5),"■","")))</x:f>
      </x:c>
      <x:c r="AS18" s="7" t="str">
        <x:f>IF(OR($D18="",AS$5="",'상세일정'!AM18="제외"),"",IF($D18=$E18,IF(AND($D18&gt;=AS$5,$D18&lt;AS$5+7),"◆",""),IF(AND($D18&lt;AS$5+7,$E18&gt;AS$5),"■","")))</x:f>
      </x:c>
      <x:c r="AT18" s="7" t="str">
        <x:f>IF(OR($D18="",AT$5="",'상세일정'!AM18="제외"),"",IF($D18=$E18,IF(AND($D18&gt;=AT$5,$D18&lt;AT$5+7),"◆",""),IF(AND($D18&lt;AT$5+7,$E18&gt;AT$5),"■","")))</x:f>
      </x:c>
      <x:c r="AU18" s="7" t="str">
        <x:f>IF(OR($D18="",AU$5="",'상세일정'!AM18="제외"),"",IF($D18=$E18,IF(AND($D18&gt;=AU$5,$D18&lt;AU$5+7),"◆",""),IF(AND($D18&lt;AU$5+7,$E18&gt;AU$5),"■","")))</x:f>
      </x:c>
      <x:c r="AV18" s="7" t="str">
        <x:f>IF(OR($D18="",AV$5="",'상세일정'!AM18="제외"),"",IF($D18=$E18,IF(AND($D18&gt;=AV$5,$D18&lt;AV$5+7),"◆",""),IF(AND($D18&lt;AV$5+7,$E18&gt;AV$5),"■","")))</x:f>
      </x:c>
      <x:c r="AW18" s="7" t="str">
        <x:f>IF(OR($D18="",AW$5="",'상세일정'!AM18="제외"),"",IF($D18=$E18,IF(AND($D18&gt;=AW$5,$D18&lt;AW$5+7),"◆",""),IF(AND($D18&lt;AW$5+7,$E18&gt;AW$5),"■","")))</x:f>
      </x:c>
      <x:c r="AX18" s="7" t="str">
        <x:f>IF(OR($D18="",AX$5="",'상세일정'!AM18="제외"),"",IF($D18=$E18,IF(AND($D18&gt;=AX$5,$D18&lt;AX$5+7),"◆",""),IF(AND($D18&lt;AX$5+7,$E18&gt;AX$5),"■","")))</x:f>
      </x:c>
      <x:c r="AY18" s="7" t="str">
        <x:f>IF(OR($D18="",AY$5="",'상세일정'!AM18="제외"),"",IF($D18=$E18,IF(AND($D18&gt;=AY$5,$D18&lt;AY$5+7),"◆",""),IF(AND($D18&lt;AY$5+7,$E18&gt;AY$5),"■","")))</x:f>
      </x:c>
      <x:c r="AZ18" s="7" t="str">
        <x:f>IF(OR($D18="",AZ$5="",'상세일정'!AM18="제외"),"",IF($D18=$E18,IF(AND($D18&gt;=AZ$5,$D18&lt;AZ$5+7),"◆",""),IF(AND($D18&lt;AZ$5+7,$E18&gt;AZ$5),"■","")))</x:f>
      </x:c>
      <x:c r="BA18" s="7" t="str">
        <x:f>IF(OR($D18="",BA$5="",'상세일정'!AM18="제외"),"",IF($D18=$E18,IF(AND($D18&gt;=BA$5,$D18&lt;BA$5+7),"◆",""),IF(AND($D18&lt;BA$5+7,$E18&gt;BA$5),"■","")))</x:f>
      </x:c>
      <x:c r="BB18" s="7" t="str">
        <x:f>IF(OR($D18="",BB$5="",'상세일정'!AM18="제외"),"",IF($D18=$E18,IF(AND($D18&gt;=BB$5,$D18&lt;BB$5+7),"◆",""),IF(AND($D18&lt;BB$5+7,$E18&gt;BB$5),"■","")))</x:f>
      </x:c>
      <x:c r="BC18" s="7" t="str">
        <x:f>IF(OR($D18="",BC$5="",'상세일정'!AM18="제외"),"",IF($D18=$E18,IF(AND($D18&gt;=BC$5,$D18&lt;BC$5+7),"◆",""),IF(AND($D18&lt;BC$5+7,$E18&gt;BC$5),"■","")))</x:f>
      </x:c>
      <x:c r="BD18" s="7" t="str">
        <x:f>IF(OR($D18="",BD$5="",'상세일정'!AM18="제외"),"",IF($D18=$E18,IF(AND($D18&gt;=BD$5,$D18&lt;BD$5+7),"◆",""),IF(AND($D18&lt;BD$5+7,$E18&gt;BD$5),"■","")))</x:f>
      </x:c>
      <x:c r="BE18" s="7" t="str">
        <x:f>IF(OR($D18="",BE$5="",'상세일정'!AM18="제외"),"",IF($D18=$E18,IF(AND($D18&gt;=BE$5,$D18&lt;BE$5+7),"◆",""),IF(AND($D18&lt;BE$5+7,$E18&gt;BE$5),"■","")))</x:f>
      </x:c>
      <x:c r="BF18" s="7" t="str">
        <x:f>IF(OR($D18="",BF$5="",'상세일정'!AM18="제외"),"",IF($D18=$E18,IF(AND($D18&gt;=BF$5,$D18&lt;BF$5+7),"◆",""),IF(AND($D18&lt;BF$5+7,$E18&gt;BF$5),"■","")))</x:f>
      </x:c>
      <x:c r="BG18" s="7" t="str">
        <x:f>IF(OR($D18="",BG$5="",'상세일정'!AM18="제외"),"",IF($D18=$E18,IF(AND($D18&gt;=BG$5,$D18&lt;BG$5+7),"◆",""),IF(AND($D18&lt;BG$5+7,$E18&gt;BG$5),"■","")))</x:f>
      </x:c>
      <x:c r="BH18" s="7" t="str">
        <x:f>IF(OR($D18="",BH$5="",'상세일정'!AM18="제외"),"",IF($D18=$E18,IF(AND($D18&gt;=BH$5,$D18&lt;BH$5+7),"◆",""),IF(AND($D18&lt;BH$5+7,$E18&gt;BH$5),"■","")))</x:f>
      </x:c>
      <x:c r="BI18" s="7" t="str">
        <x:f>IF(OR($D18="",BI$5="",'상세일정'!AM18="제외"),"",IF($D18=$E18,IF(AND($D18&gt;=BI$5,$D18&lt;BI$5+7),"◆",""),IF(AND($D18&lt;BI$5+7,$E18&gt;BI$5),"■","")))</x:f>
      </x:c>
      <x:c r="BJ18" s="7" t="str">
        <x:f>IF(OR($D18="",BJ$5="",'상세일정'!AM18="제외"),"",IF($D18=$E18,IF(AND($D18&gt;=BJ$5,$D18&lt;BJ$5+7),"◆",""),IF(AND($D18&lt;BJ$5+7,$E18&gt;BJ$5),"■","")))</x:f>
      </x:c>
      <x:c r="BK18" s="7" t="str">
        <x:f>IF(OR($D18="",BK$5="",'상세일정'!AM18="제외"),"",IF($D18=$E18,IF(AND($D18&gt;=BK$5,$D18&lt;BK$5+7),"◆",""),IF(AND($D18&lt;BK$5+7,$E18&gt;BK$5),"■","")))</x:f>
      </x:c>
      <x:c r="BL18" s="7" t="str">
        <x:f>IF(OR($D18="",BL$5="",'상세일정'!AM18="제외"),"",IF($D18=$E18,IF(AND($D18&gt;=BL$5,$D18&lt;BL$5+7),"◆",""),IF(AND($D18&lt;BL$5+7,$E18&gt;BL$5),"■","")))</x:f>
      </x:c>
      <x:c r="BM18" s="7" t="str">
        <x:f>IF(OR($D18="",BM$5="",'상세일정'!AM18="제외"),"",IF($D18=$E18,IF(AND($D18&gt;=BM$5,$D18&lt;BM$5+7),"◆",""),IF(AND($D18&lt;BM$5+7,$E18&gt;BM$5),"■","")))</x:f>
      </x:c>
      <x:c r="BN18" s="7" t="str">
        <x:f>IF(OR($D18="",BN$5="",'상세일정'!AM18="제외"),"",IF($D18=$E18,IF(AND($D18&gt;=BN$5,$D18&lt;BN$5+7),"◆",""),IF(AND($D18&lt;BN$5+7,$E18&gt;BN$5),"■","")))</x:f>
      </x:c>
      <x:c r="BO18" s="7" t="str">
        <x:f>IF(OR($D18="",BO$5="",'상세일정'!AM18="제외"),"",IF($D18=$E18,IF(AND($D18&gt;=BO$5,$D18&lt;BO$5+7),"◆",""),IF(AND($D18&lt;BO$5+7,$E18&gt;BO$5),"■","")))</x:f>
      </x:c>
      <x:c r="BP18" s="7" t="str">
        <x:f>IF(OR($D18="",BP$5="",'상세일정'!AM18="제외"),"",IF($D18=$E18,IF(AND($D18&gt;=BP$5,$D18&lt;BP$5+7),"◆",""),IF(AND($D18&lt;BP$5+7,$E18&gt;BP$5),"■","")))</x:f>
      </x:c>
      <x:c r="BQ18" s="7" t="str">
        <x:f>IF(OR($D18="",BQ$5="",'상세일정'!AM18="제외"),"",IF($D18=$E18,IF(AND($D18&gt;=BQ$5,$D18&lt;BQ$5+7),"◆",""),IF(AND($D18&lt;BQ$5+7,$E18&gt;BQ$5),"■","")))</x:f>
      </x:c>
      <x:c r="BR18" s="7" t="str">
        <x:f>IF(OR($D18="",BR$5="",'상세일정'!AM18="제외"),"",IF($D18=$E18,IF(AND($D18&gt;=BR$5,$D18&lt;BR$5+7),"◆",""),IF(AND($D18&lt;BR$5+7,$E18&gt;BR$5),"■","")))</x:f>
      </x:c>
      <x:c r="BS18" s="7" t="str">
        <x:f>IF(OR($D18="",BS$5="",'상세일정'!AM18="제외"),"",IF($D18=$E18,IF(AND($D18&gt;=BS$5,$D18&lt;BS$5+7),"◆",""),IF(AND($D18&lt;BS$5+7,$E18&gt;BS$5),"■","")))</x:f>
      </x:c>
      <x:c r="BT18" s="7" t="str">
        <x:f>IF(OR($D18="",BT$5="",'상세일정'!AM18="제외"),"",IF($D18=$E18,IF(AND($D18&gt;=BT$5,$D18&lt;BT$5+7),"◆",""),IF(AND($D18&lt;BT$5+7,$E18&gt;BT$5),"■","")))</x:f>
      </x:c>
      <x:c r="BU18" s="7" t="str">
        <x:f>IF(OR($D18="",BU$5="",'상세일정'!AM18="제외"),"",IF($D18=$E18,IF(AND($D18&gt;=BU$5,$D18&lt;BU$5+7),"◆",""),IF(AND($D18&lt;BU$5+7,$E18&gt;BU$5),"■","")))</x:f>
      </x:c>
      <x:c r="BV18" s="7" t="str">
        <x:f>IF(OR($D18="",BV$5="",'상세일정'!AM18="제외"),"",IF($D18=$E18,IF(AND($D18&gt;=BV$5,$D18&lt;BV$5+7),"◆",""),IF(AND($D18&lt;BV$5+7,$E18&gt;BV$5),"■","")))</x:f>
      </x:c>
      <x:c r="BW18" s="7" t="str">
        <x:f>IF(OR($D18="",BW$5="",'상세일정'!AM18="제외"),"",IF($D18=$E18,IF(AND($D18&gt;=BW$5,$D18&lt;BW$5+7),"◆",""),IF(AND($D18&lt;BW$5+7,$E18&gt;BW$5),"■","")))</x:f>
      </x:c>
      <x:c r="BX18" s="7" t="str">
        <x:f>IF(OR($D18="",BX$5="",'상세일정'!AM18="제외"),"",IF($D18=$E18,IF(AND($D18&gt;=BX$5,$D18&lt;BX$5+7),"◆",""),IF(AND($D18&lt;BX$5+7,$E18&gt;BX$5),"■","")))</x:f>
      </x:c>
      <x:c r="BY18" s="7" t="str">
        <x:f>IF(OR($D18="",BY$5="",'상세일정'!AM18="제외"),"",IF($D18=$E18,IF(AND($D18&gt;=BY$5,$D18&lt;BY$5+7),"◆",""),IF(AND($D18&lt;BY$5+7,$E18&gt;BY$5),"■","")))</x:f>
      </x:c>
      <x:c r="BZ18" s="7" t="str">
        <x:f>IF(OR($D18="",BZ$5="",'상세일정'!AM18="제외"),"",IF($D18=$E18,IF(AND($D18&gt;=BZ$5,$D18&lt;BZ$5+7),"◆",""),IF(AND($D18&lt;BZ$5+7,$E18&gt;BZ$5),"■","")))</x:f>
      </x:c>
      <x:c r="CA18" s="7" t="str">
        <x:f>IF(OR($D18="",CA$5="",'상세일정'!AM18="제외"),"",IF($D18=$E18,IF(AND($D18&gt;=CA$5,$D18&lt;CA$5+7),"◆",""),IF(AND($D18&lt;CA$5+7,$E18&gt;CA$5),"■","")))</x:f>
      </x:c>
      <x:c r="CB18" s="7" t="str">
        <x:f>IF(OR($D18="",CB$5="",'상세일정'!AM18="제외"),"",IF($D18=$E18,IF(AND($D18&gt;=CB$5,$D18&lt;CB$5+7),"◆",""),IF(AND($D18&lt;CB$5+7,$E18&gt;CB$5),"■","")))</x:f>
      </x:c>
      <x:c r="CC18" s="7" t="str">
        <x:f>IF(OR($D18="",CC$5="",'상세일정'!AM18="제외"),"",IF($D18=$E18,IF(AND($D18&gt;=CC$5,$D18&lt;CC$5+7),"◆",""),IF(AND($D18&lt;CC$5+7,$E18&gt;CC$5),"■","")))</x:f>
      </x:c>
      <x:c r="CD18" s="7" t="str">
        <x:f>IF(OR($D18="",CD$5="",'상세일정'!AM18="제외"),"",IF($D18=$E18,IF(AND($D18&gt;=CD$5,$D18&lt;CD$5+7),"◆",""),IF(AND($D18&lt;CD$5+7,$E18&gt;CD$5),"■","")))</x:f>
      </x:c>
      <x:c r="CE18" s="7" t="str">
        <x:f>IF(OR($D18="",CE$5="",'상세일정'!AM18="제외"),"",IF($D18=$E18,IF(AND($D18&gt;=CE$5,$D18&lt;CE$5+7),"◆",""),IF(AND($D18&lt;CE$5+7,$E18&gt;CE$5),"■","")))</x:f>
      </x:c>
      <x:c r="CF18" s="7" t="str">
        <x:f>IF(OR($D18="",CF$5="",'상세일정'!AM18="제외"),"",IF($D18=$E18,IF(AND($D18&gt;=CF$5,$D18&lt;CF$5+7),"◆",""),IF(AND($D18&lt;CF$5+7,$E18&gt;CF$5),"■","")))</x:f>
      </x:c>
      <x:c r="CG18" s="7" t="str">
        <x:f>IF(OR($D18="",CG$5="",'상세일정'!AM18="제외"),"",IF($D18=$E18,IF(AND($D18&gt;=CG$5,$D18&lt;CG$5+7),"◆",""),IF(AND($D18&lt;CG$5+7,$E18&gt;CG$5),"■","")))</x:f>
      </x:c>
      <x:c r="CH18" s="7" t="str">
        <x:f>IF(OR($D18="",CH$5="",'상세일정'!AM18="제외"),"",IF($D18=$E18,IF(AND($D18&gt;=CH$5,$D18&lt;CH$5+7),"◆",""),IF(AND($D18&lt;CH$5+7,$E18&gt;CH$5),"■","")))</x:f>
      </x:c>
      <x:c r="CI18" s="7" t="str">
        <x:f>IF(OR($D18="",CI$5="",'상세일정'!AM18="제외"),"",IF($D18=$E18,IF(AND($D18&gt;=CI$5,$D18&lt;CI$5+7),"◆",""),IF(AND($D18&lt;CI$5+7,$E18&gt;CI$5),"■","")))</x:f>
      </x:c>
      <x:c r="CJ18" s="7" t="str">
        <x:f>IF(OR($D18="",CJ$5="",'상세일정'!AM18="제외"),"",IF($D18=$E18,IF(AND($D18&gt;=CJ$5,$D18&lt;CJ$5+7),"◆",""),IF(AND($D18&lt;CJ$5+7,$E18&gt;CJ$5),"■","")))</x:f>
      </x:c>
      <x:c r="CK18" s="7" t="str">
        <x:f>IF(OR($D18="",CK$5="",'상세일정'!AM18="제외"),"",IF($D18=$E18,IF(AND($D18&gt;=CK$5,$D18&lt;CK$5+7),"◆",""),IF(AND($D18&lt;CK$5+7,$E18&gt;CK$5),"■","")))</x:f>
      </x:c>
      <x:c r="CL18" s="7" t="str">
        <x:f>IF(OR($D18="",CL$5="",'상세일정'!AM18="제외"),"",IF($D18=$E18,IF(AND($D18&gt;=CL$5,$D18&lt;CL$5+7),"◆",""),IF(AND($D18&lt;CL$5+7,$E18&gt;CL$5),"■","")))</x:f>
      </x:c>
      <x:c r="CM18" s="7" t="str">
        <x:f>IF(OR($D18="",CM$5="",'상세일정'!AM18="제외"),"",IF($D18=$E18,IF(AND($D18&gt;=CM$5,$D18&lt;CM$5+7),"◆",""),IF(AND($D18&lt;CM$5+7,$E18&gt;CM$5),"■","")))</x:f>
      </x:c>
      <x:c r="CN18" s="7" t="str">
        <x:f>IF(OR($D18="",CN$5="",'상세일정'!AM18="제외"),"",IF($D18=$E18,IF(AND($D18&gt;=CN$5,$D18&lt;CN$5+7),"◆",""),IF(AND($D18&lt;CN$5+7,$E18&gt;CN$5),"■","")))</x:f>
      </x:c>
      <x:c r="CO18" s="7" t="str">
        <x:f>IF(OR($D18="",CO$5="",'상세일정'!AM18="제외"),"",IF($D18=$E18,IF(AND($D18&gt;=CO$5,$D18&lt;CO$5+7),"◆",""),IF(AND($D18&lt;CO$5+7,$E18&gt;CO$5),"■","")))</x:f>
      </x:c>
      <x:c r="CP18" s="7" t="str">
        <x:f>IF(OR($D18="",CP$5="",'상세일정'!AM18="제외"),"",IF($D18=$E18,IF(AND($D18&gt;=CP$5,$D18&lt;CP$5+7),"◆",""),IF(AND($D18&lt;CP$5+7,$E18&gt;CP$5),"■","")))</x:f>
      </x:c>
      <x:c r="CQ18" s="7" t="str">
        <x:f>IF(OR($D18="",CQ$5="",'상세일정'!AM18="제외"),"",IF($D18=$E18,IF(AND($D18&gt;=CQ$5,$D18&lt;CQ$5+7),"◆",""),IF(AND($D18&lt;CQ$5+7,$E18&gt;CQ$5),"■","")))</x:f>
      </x:c>
      <x:c r="CR18" s="7" t="str">
        <x:f>IF(OR($D18="",CR$5="",'상세일정'!AM18="제외"),"",IF($D18=$E18,IF(AND($D18&gt;=CR$5,$D18&lt;CR$5+7),"◆",""),IF(AND($D18&lt;CR$5+7,$E18&gt;CR$5),"■","")))</x:f>
      </x:c>
      <x:c r="CS18" s="7" t="str">
        <x:f>IF(OR($D18="",CS$5="",'상세일정'!AM18="제외"),"",IF($D18=$E18,IF(AND($D18&gt;=CS$5,$D18&lt;CS$5+7),"◆",""),IF(AND($D18&lt;CS$5+7,$E18&gt;CS$5),"■","")))</x:f>
      </x:c>
      <x:c r="CT18" s="7" t="str">
        <x:f>IF(OR($D18="",CT$5="",'상세일정'!AM18="제외"),"",IF($D18=$E18,IF(AND($D18&gt;=CT$5,$D18&lt;CT$5+7),"◆",""),IF(AND($D18&lt;CT$5+7,$E18&gt;CT$5),"■","")))</x:f>
      </x:c>
      <x:c r="CU18" s="7" t="str">
        <x:f>IF(OR($D18="",CU$5="",'상세일정'!AM18="제외"),"",IF($D18=$E18,IF(AND($D18&gt;=CU$5,$D18&lt;CU$5+7),"◆",""),IF(AND($D18&lt;CU$5+7,$E18&gt;CU$5),"■","")))</x:f>
      </x:c>
      <x:c r="CV18" s="7" t="str">
        <x:f>IF(OR($D18="",CV$5="",'상세일정'!AM18="제외"),"",IF($D18=$E18,IF(AND($D18&gt;=CV$5,$D18&lt;CV$5+7),"◆",""),IF(AND($D18&lt;CV$5+7,$E18&gt;CV$5),"■","")))</x:f>
      </x:c>
      <x:c r="CW18" s="7" t="str">
        <x:f>IF(OR($D18="",CW$5="",'상세일정'!AM18="제외"),"",IF($D18=$E18,IF(AND($D18&gt;=CW$5,$D18&lt;CW$5+7),"◆",""),IF(AND($D18&lt;CW$5+7,$E18&gt;CW$5),"■","")))</x:f>
      </x:c>
      <x:c r="CX18" s="7" t="str">
        <x:f>IF(OR($D18="",CX$5="",'상세일정'!AM18="제외"),"",IF($D18=$E18,IF(AND($D18&gt;=CX$5,$D18&lt;CX$5+7),"◆",""),IF(AND($D18&lt;CX$5+7,$E18&gt;CX$5),"■","")))</x:f>
      </x:c>
      <x:c r="CY18" s="7" t="str">
        <x:f>IF(OR($D18="",CY$5="",'상세일정'!AM18="제외"),"",IF($D18=$E18,IF(AND($D18&gt;=CY$5,$D18&lt;CY$5+7),"◆",""),IF(AND($D18&lt;CY$5+7,$E18&gt;CY$5),"■","")))</x:f>
      </x:c>
      <x:c r="CZ18" s="7" t="str">
        <x:f>IF(OR($D18="",CZ$5="",'상세일정'!AM18="제외"),"",IF($D18=$E18,IF(AND($D18&gt;=CZ$5,$D18&lt;CZ$5+7),"◆",""),IF(AND($D18&lt;CZ$5+7,$E18&gt;CZ$5),"■","")))</x:f>
      </x:c>
      <x:c r="DA18" s="7" t="str">
        <x:f>IF(OR($D18="",DA$5="",'상세일정'!AM18="제외"),"",IF($D18=$E18,IF(AND($D18&gt;=DA$5,$D18&lt;DA$5+7),"◆",""),IF(AND($D18&lt;DA$5+7,$E18&gt;DA$5),"■","")))</x:f>
      </x:c>
      <x:c r="DB18" s="7" t="str">
        <x:f>IF(OR($D18="",DB$5="",'상세일정'!AM18="제외"),"",IF($D18=$E18,IF(AND($D18&gt;=DB$5,$D18&lt;DB$5+7),"◆",""),IF(AND($D18&lt;DB$5+7,$E18&gt;DB$5),"■","")))</x:f>
      </x:c>
      <x:c r="DC18" s="7" t="str">
        <x:f>IF(OR($D18="",DC$5="",'상세일정'!AM18="제외"),"",IF($D18=$E18,IF(AND($D18&gt;=DC$5,$D18&lt;DC$5+7),"◆",""),IF(AND($D18&lt;DC$5+7,$E18&gt;DC$5),"■","")))</x:f>
      </x:c>
      <x:c r="DD18" s="7" t="str">
        <x:f>IF(OR($D18="",DD$5="",'상세일정'!AM18="제외"),"",IF($D18=$E18,IF(AND($D18&gt;=DD$5,$D18&lt;DD$5+7),"◆",""),IF(AND($D18&lt;DD$5+7,$E18&gt;DD$5),"■","")))</x:f>
      </x:c>
      <x:c r="DE18" s="7" t="str">
        <x:f>IF(OR($D18="",DE$5="",'상세일정'!AM18="제외"),"",IF($D18=$E18,IF(AND($D18&gt;=DE$5,$D18&lt;DE$5+7),"◆",""),IF(AND($D18&lt;DE$5+7,$E18&gt;DE$5),"■","")))</x:f>
      </x:c>
    </x:row>
    <x:row r="19" ht="34" customHeight="1">
      <x:c r="A19" s="7" t="str">
        <x:v>DB01</x:v>
      </x:c>
      <x:c r="B19" s="7" t="str">
        <x:v>04 공정·배치 기준</x:v>
      </x:c>
      <x:c r="C19" s="7" t="str">
        <x:v>설비 용량·운전조건·배터리리밋 확정</x:v>
      </x:c>
      <x:c r="D19" s="10" t="str">
        <x:f>'상세일정'!AJ19</x:f>
      </x:c>
      <x:c r="E19" s="10" t="str">
        <x:f>'상세일정'!AK19</x:f>
      </x:c>
      <x:c r="F19" s="7" t="str">
        <x:f>IF(OR($D19="",F$5="",'상세일정'!AM19="제외"),"",IF($D19=$E19,IF(AND($D19&gt;=F$5,$D19&lt;F$5+7),"◆",""),IF(AND($D19&lt;F$5+7,$E19&gt;F$5),"■","")))</x:f>
      </x:c>
      <x:c r="G19" s="7" t="str">
        <x:f>IF(OR($D19="",G$5="",'상세일정'!AM19="제외"),"",IF($D19=$E19,IF(AND($D19&gt;=G$5,$D19&lt;G$5+7),"◆",""),IF(AND($D19&lt;G$5+7,$E19&gt;G$5),"■","")))</x:f>
      </x:c>
      <x:c r="H19" s="7" t="str">
        <x:f>IF(OR($D19="",H$5="",'상세일정'!AM19="제외"),"",IF($D19=$E19,IF(AND($D19&gt;=H$5,$D19&lt;H$5+7),"◆",""),IF(AND($D19&lt;H$5+7,$E19&gt;H$5),"■","")))</x:f>
      </x:c>
      <x:c r="I19" s="7" t="str">
        <x:f>IF(OR($D19="",I$5="",'상세일정'!AM19="제외"),"",IF($D19=$E19,IF(AND($D19&gt;=I$5,$D19&lt;I$5+7),"◆",""),IF(AND($D19&lt;I$5+7,$E19&gt;I$5),"■","")))</x:f>
      </x:c>
      <x:c r="J19" s="7" t="str">
        <x:f>IF(OR($D19="",J$5="",'상세일정'!AM19="제외"),"",IF($D19=$E19,IF(AND($D19&gt;=J$5,$D19&lt;J$5+7),"◆",""),IF(AND($D19&lt;J$5+7,$E19&gt;J$5),"■","")))</x:f>
      </x:c>
      <x:c r="K19" s="7" t="str">
        <x:f>IF(OR($D19="",K$5="",'상세일정'!AM19="제외"),"",IF($D19=$E19,IF(AND($D19&gt;=K$5,$D19&lt;K$5+7),"◆",""),IF(AND($D19&lt;K$5+7,$E19&gt;K$5),"■","")))</x:f>
      </x:c>
      <x:c r="L19" s="7" t="str">
        <x:f>IF(OR($D19="",L$5="",'상세일정'!AM19="제외"),"",IF($D19=$E19,IF(AND($D19&gt;=L$5,$D19&lt;L$5+7),"◆",""),IF(AND($D19&lt;L$5+7,$E19&gt;L$5),"■","")))</x:f>
      </x:c>
      <x:c r="M19" s="7" t="str">
        <x:f>IF(OR($D19="",M$5="",'상세일정'!AM19="제외"),"",IF($D19=$E19,IF(AND($D19&gt;=M$5,$D19&lt;M$5+7),"◆",""),IF(AND($D19&lt;M$5+7,$E19&gt;M$5),"■","")))</x:f>
      </x:c>
      <x:c r="N19" s="7" t="str">
        <x:f>IF(OR($D19="",N$5="",'상세일정'!AM19="제외"),"",IF($D19=$E19,IF(AND($D19&gt;=N$5,$D19&lt;N$5+7),"◆",""),IF(AND($D19&lt;N$5+7,$E19&gt;N$5),"■","")))</x:f>
      </x:c>
      <x:c r="O19" s="7" t="str">
        <x:f>IF(OR($D19="",O$5="",'상세일정'!AM19="제외"),"",IF($D19=$E19,IF(AND($D19&gt;=O$5,$D19&lt;O$5+7),"◆",""),IF(AND($D19&lt;O$5+7,$E19&gt;O$5),"■","")))</x:f>
      </x:c>
      <x:c r="P19" s="7" t="str">
        <x:f>IF(OR($D19="",P$5="",'상세일정'!AM19="제외"),"",IF($D19=$E19,IF(AND($D19&gt;=P$5,$D19&lt;P$5+7),"◆",""),IF(AND($D19&lt;P$5+7,$E19&gt;P$5),"■","")))</x:f>
      </x:c>
      <x:c r="Q19" s="7" t="str">
        <x:f>IF(OR($D19="",Q$5="",'상세일정'!AM19="제외"),"",IF($D19=$E19,IF(AND($D19&gt;=Q$5,$D19&lt;Q$5+7),"◆",""),IF(AND($D19&lt;Q$5+7,$E19&gt;Q$5),"■","")))</x:f>
      </x:c>
      <x:c r="R19" s="7" t="str">
        <x:f>IF(OR($D19="",R$5="",'상세일정'!AM19="제외"),"",IF($D19=$E19,IF(AND($D19&gt;=R$5,$D19&lt;R$5+7),"◆",""),IF(AND($D19&lt;R$5+7,$E19&gt;R$5),"■","")))</x:f>
      </x:c>
      <x:c r="S19" s="7" t="str">
        <x:f>IF(OR($D19="",S$5="",'상세일정'!AM19="제외"),"",IF($D19=$E19,IF(AND($D19&gt;=S$5,$D19&lt;S$5+7),"◆",""),IF(AND($D19&lt;S$5+7,$E19&gt;S$5),"■","")))</x:f>
      </x:c>
      <x:c r="T19" s="7" t="str">
        <x:f>IF(OR($D19="",T$5="",'상세일정'!AM19="제외"),"",IF($D19=$E19,IF(AND($D19&gt;=T$5,$D19&lt;T$5+7),"◆",""),IF(AND($D19&lt;T$5+7,$E19&gt;T$5),"■","")))</x:f>
      </x:c>
      <x:c r="U19" s="7" t="str">
        <x:f>IF(OR($D19="",U$5="",'상세일정'!AM19="제외"),"",IF($D19=$E19,IF(AND($D19&gt;=U$5,$D19&lt;U$5+7),"◆",""),IF(AND($D19&lt;U$5+7,$E19&gt;U$5),"■","")))</x:f>
      </x:c>
      <x:c r="V19" s="7" t="str">
        <x:f>IF(OR($D19="",V$5="",'상세일정'!AM19="제외"),"",IF($D19=$E19,IF(AND($D19&gt;=V$5,$D19&lt;V$5+7),"◆",""),IF(AND($D19&lt;V$5+7,$E19&gt;V$5),"■","")))</x:f>
      </x:c>
      <x:c r="W19" s="7" t="str">
        <x:f>IF(OR($D19="",W$5="",'상세일정'!AM19="제외"),"",IF($D19=$E19,IF(AND($D19&gt;=W$5,$D19&lt;W$5+7),"◆",""),IF(AND($D19&lt;W$5+7,$E19&gt;W$5),"■","")))</x:f>
      </x:c>
      <x:c r="X19" s="7" t="str">
        <x:f>IF(OR($D19="",X$5="",'상세일정'!AM19="제외"),"",IF($D19=$E19,IF(AND($D19&gt;=X$5,$D19&lt;X$5+7),"◆",""),IF(AND($D19&lt;X$5+7,$E19&gt;X$5),"■","")))</x:f>
      </x:c>
      <x:c r="Y19" s="7" t="str">
        <x:f>IF(OR($D19="",Y$5="",'상세일정'!AM19="제외"),"",IF($D19=$E19,IF(AND($D19&gt;=Y$5,$D19&lt;Y$5+7),"◆",""),IF(AND($D19&lt;Y$5+7,$E19&gt;Y$5),"■","")))</x:f>
      </x:c>
      <x:c r="Z19" s="7" t="str">
        <x:f>IF(OR($D19="",Z$5="",'상세일정'!AM19="제외"),"",IF($D19=$E19,IF(AND($D19&gt;=Z$5,$D19&lt;Z$5+7),"◆",""),IF(AND($D19&lt;Z$5+7,$E19&gt;Z$5),"■","")))</x:f>
      </x:c>
      <x:c r="AA19" s="7" t="str">
        <x:f>IF(OR($D19="",AA$5="",'상세일정'!AM19="제외"),"",IF($D19=$E19,IF(AND($D19&gt;=AA$5,$D19&lt;AA$5+7),"◆",""),IF(AND($D19&lt;AA$5+7,$E19&gt;AA$5),"■","")))</x:f>
      </x:c>
      <x:c r="AB19" s="7" t="str">
        <x:f>IF(OR($D19="",AB$5="",'상세일정'!AM19="제외"),"",IF($D19=$E19,IF(AND($D19&gt;=AB$5,$D19&lt;AB$5+7),"◆",""),IF(AND($D19&lt;AB$5+7,$E19&gt;AB$5),"■","")))</x:f>
      </x:c>
      <x:c r="AC19" s="7" t="str">
        <x:f>IF(OR($D19="",AC$5="",'상세일정'!AM19="제외"),"",IF($D19=$E19,IF(AND($D19&gt;=AC$5,$D19&lt;AC$5+7),"◆",""),IF(AND($D19&lt;AC$5+7,$E19&gt;AC$5),"■","")))</x:f>
      </x:c>
      <x:c r="AD19" s="7" t="str">
        <x:f>IF(OR($D19="",AD$5="",'상세일정'!AM19="제외"),"",IF($D19=$E19,IF(AND($D19&gt;=AD$5,$D19&lt;AD$5+7),"◆",""),IF(AND($D19&lt;AD$5+7,$E19&gt;AD$5),"■","")))</x:f>
      </x:c>
      <x:c r="AE19" s="7" t="str">
        <x:f>IF(OR($D19="",AE$5="",'상세일정'!AM19="제외"),"",IF($D19=$E19,IF(AND($D19&gt;=AE$5,$D19&lt;AE$5+7),"◆",""),IF(AND($D19&lt;AE$5+7,$E19&gt;AE$5),"■","")))</x:f>
      </x:c>
      <x:c r="AF19" s="7" t="str">
        <x:f>IF(OR($D19="",AF$5="",'상세일정'!AM19="제외"),"",IF($D19=$E19,IF(AND($D19&gt;=AF$5,$D19&lt;AF$5+7),"◆",""),IF(AND($D19&lt;AF$5+7,$E19&gt;AF$5),"■","")))</x:f>
      </x:c>
      <x:c r="AG19" s="7" t="str">
        <x:f>IF(OR($D19="",AG$5="",'상세일정'!AM19="제외"),"",IF($D19=$E19,IF(AND($D19&gt;=AG$5,$D19&lt;AG$5+7),"◆",""),IF(AND($D19&lt;AG$5+7,$E19&gt;AG$5),"■","")))</x:f>
      </x:c>
      <x:c r="AH19" s="7" t="str">
        <x:f>IF(OR($D19="",AH$5="",'상세일정'!AM19="제외"),"",IF($D19=$E19,IF(AND($D19&gt;=AH$5,$D19&lt;AH$5+7),"◆",""),IF(AND($D19&lt;AH$5+7,$E19&gt;AH$5),"■","")))</x:f>
      </x:c>
      <x:c r="AI19" s="7" t="str">
        <x:f>IF(OR($D19="",AI$5="",'상세일정'!AM19="제외"),"",IF($D19=$E19,IF(AND($D19&gt;=AI$5,$D19&lt;AI$5+7),"◆",""),IF(AND($D19&lt;AI$5+7,$E19&gt;AI$5),"■","")))</x:f>
      </x:c>
      <x:c r="AJ19" s="7" t="str">
        <x:f>IF(OR($D19="",AJ$5="",'상세일정'!AM19="제외"),"",IF($D19=$E19,IF(AND($D19&gt;=AJ$5,$D19&lt;AJ$5+7),"◆",""),IF(AND($D19&lt;AJ$5+7,$E19&gt;AJ$5),"■","")))</x:f>
      </x:c>
      <x:c r="AK19" s="7" t="str">
        <x:f>IF(OR($D19="",AK$5="",'상세일정'!AM19="제외"),"",IF($D19=$E19,IF(AND($D19&gt;=AK$5,$D19&lt;AK$5+7),"◆",""),IF(AND($D19&lt;AK$5+7,$E19&gt;AK$5),"■","")))</x:f>
      </x:c>
      <x:c r="AL19" s="7" t="str">
        <x:f>IF(OR($D19="",AL$5="",'상세일정'!AM19="제외"),"",IF($D19=$E19,IF(AND($D19&gt;=AL$5,$D19&lt;AL$5+7),"◆",""),IF(AND($D19&lt;AL$5+7,$E19&gt;AL$5),"■","")))</x:f>
      </x:c>
      <x:c r="AM19" s="7" t="str">
        <x:f>IF(OR($D19="",AM$5="",'상세일정'!AM19="제외"),"",IF($D19=$E19,IF(AND($D19&gt;=AM$5,$D19&lt;AM$5+7),"◆",""),IF(AND($D19&lt;AM$5+7,$E19&gt;AM$5),"■","")))</x:f>
      </x:c>
      <x:c r="AN19" s="7" t="str">
        <x:f>IF(OR($D19="",AN$5="",'상세일정'!AM19="제외"),"",IF($D19=$E19,IF(AND($D19&gt;=AN$5,$D19&lt;AN$5+7),"◆",""),IF(AND($D19&lt;AN$5+7,$E19&gt;AN$5),"■","")))</x:f>
      </x:c>
      <x:c r="AO19" s="7" t="str">
        <x:f>IF(OR($D19="",AO$5="",'상세일정'!AM19="제외"),"",IF($D19=$E19,IF(AND($D19&gt;=AO$5,$D19&lt;AO$5+7),"◆",""),IF(AND($D19&lt;AO$5+7,$E19&gt;AO$5),"■","")))</x:f>
      </x:c>
      <x:c r="AP19" s="7" t="str">
        <x:f>IF(OR($D19="",AP$5="",'상세일정'!AM19="제외"),"",IF($D19=$E19,IF(AND($D19&gt;=AP$5,$D19&lt;AP$5+7),"◆",""),IF(AND($D19&lt;AP$5+7,$E19&gt;AP$5),"■","")))</x:f>
      </x:c>
      <x:c r="AQ19" s="7" t="str">
        <x:f>IF(OR($D19="",AQ$5="",'상세일정'!AM19="제외"),"",IF($D19=$E19,IF(AND($D19&gt;=AQ$5,$D19&lt;AQ$5+7),"◆",""),IF(AND($D19&lt;AQ$5+7,$E19&gt;AQ$5),"■","")))</x:f>
      </x:c>
      <x:c r="AR19" s="7" t="str">
        <x:f>IF(OR($D19="",AR$5="",'상세일정'!AM19="제외"),"",IF($D19=$E19,IF(AND($D19&gt;=AR$5,$D19&lt;AR$5+7),"◆",""),IF(AND($D19&lt;AR$5+7,$E19&gt;AR$5),"■","")))</x:f>
      </x:c>
      <x:c r="AS19" s="7" t="str">
        <x:f>IF(OR($D19="",AS$5="",'상세일정'!AM19="제외"),"",IF($D19=$E19,IF(AND($D19&gt;=AS$5,$D19&lt;AS$5+7),"◆",""),IF(AND($D19&lt;AS$5+7,$E19&gt;AS$5),"■","")))</x:f>
      </x:c>
      <x:c r="AT19" s="7" t="str">
        <x:f>IF(OR($D19="",AT$5="",'상세일정'!AM19="제외"),"",IF($D19=$E19,IF(AND($D19&gt;=AT$5,$D19&lt;AT$5+7),"◆",""),IF(AND($D19&lt;AT$5+7,$E19&gt;AT$5),"■","")))</x:f>
      </x:c>
      <x:c r="AU19" s="7" t="str">
        <x:f>IF(OR($D19="",AU$5="",'상세일정'!AM19="제외"),"",IF($D19=$E19,IF(AND($D19&gt;=AU$5,$D19&lt;AU$5+7),"◆",""),IF(AND($D19&lt;AU$5+7,$E19&gt;AU$5),"■","")))</x:f>
      </x:c>
      <x:c r="AV19" s="7" t="str">
        <x:f>IF(OR($D19="",AV$5="",'상세일정'!AM19="제외"),"",IF($D19=$E19,IF(AND($D19&gt;=AV$5,$D19&lt;AV$5+7),"◆",""),IF(AND($D19&lt;AV$5+7,$E19&gt;AV$5),"■","")))</x:f>
      </x:c>
      <x:c r="AW19" s="7" t="str">
        <x:f>IF(OR($D19="",AW$5="",'상세일정'!AM19="제외"),"",IF($D19=$E19,IF(AND($D19&gt;=AW$5,$D19&lt;AW$5+7),"◆",""),IF(AND($D19&lt;AW$5+7,$E19&gt;AW$5),"■","")))</x:f>
      </x:c>
      <x:c r="AX19" s="7" t="str">
        <x:f>IF(OR($D19="",AX$5="",'상세일정'!AM19="제외"),"",IF($D19=$E19,IF(AND($D19&gt;=AX$5,$D19&lt;AX$5+7),"◆",""),IF(AND($D19&lt;AX$5+7,$E19&gt;AX$5),"■","")))</x:f>
      </x:c>
      <x:c r="AY19" s="7" t="str">
        <x:f>IF(OR($D19="",AY$5="",'상세일정'!AM19="제외"),"",IF($D19=$E19,IF(AND($D19&gt;=AY$5,$D19&lt;AY$5+7),"◆",""),IF(AND($D19&lt;AY$5+7,$E19&gt;AY$5),"■","")))</x:f>
      </x:c>
      <x:c r="AZ19" s="7" t="str">
        <x:f>IF(OR($D19="",AZ$5="",'상세일정'!AM19="제외"),"",IF($D19=$E19,IF(AND($D19&gt;=AZ$5,$D19&lt;AZ$5+7),"◆",""),IF(AND($D19&lt;AZ$5+7,$E19&gt;AZ$5),"■","")))</x:f>
      </x:c>
      <x:c r="BA19" s="7" t="str">
        <x:f>IF(OR($D19="",BA$5="",'상세일정'!AM19="제외"),"",IF($D19=$E19,IF(AND($D19&gt;=BA$5,$D19&lt;BA$5+7),"◆",""),IF(AND($D19&lt;BA$5+7,$E19&gt;BA$5),"■","")))</x:f>
      </x:c>
      <x:c r="BB19" s="7" t="str">
        <x:f>IF(OR($D19="",BB$5="",'상세일정'!AM19="제외"),"",IF($D19=$E19,IF(AND($D19&gt;=BB$5,$D19&lt;BB$5+7),"◆",""),IF(AND($D19&lt;BB$5+7,$E19&gt;BB$5),"■","")))</x:f>
      </x:c>
      <x:c r="BC19" s="7" t="str">
        <x:f>IF(OR($D19="",BC$5="",'상세일정'!AM19="제외"),"",IF($D19=$E19,IF(AND($D19&gt;=BC$5,$D19&lt;BC$5+7),"◆",""),IF(AND($D19&lt;BC$5+7,$E19&gt;BC$5),"■","")))</x:f>
      </x:c>
      <x:c r="BD19" s="7" t="str">
        <x:f>IF(OR($D19="",BD$5="",'상세일정'!AM19="제외"),"",IF($D19=$E19,IF(AND($D19&gt;=BD$5,$D19&lt;BD$5+7),"◆",""),IF(AND($D19&lt;BD$5+7,$E19&gt;BD$5),"■","")))</x:f>
      </x:c>
      <x:c r="BE19" s="7" t="str">
        <x:f>IF(OR($D19="",BE$5="",'상세일정'!AM19="제외"),"",IF($D19=$E19,IF(AND($D19&gt;=BE$5,$D19&lt;BE$5+7),"◆",""),IF(AND($D19&lt;BE$5+7,$E19&gt;BE$5),"■","")))</x:f>
      </x:c>
      <x:c r="BF19" s="7" t="str">
        <x:f>IF(OR($D19="",BF$5="",'상세일정'!AM19="제외"),"",IF($D19=$E19,IF(AND($D19&gt;=BF$5,$D19&lt;BF$5+7),"◆",""),IF(AND($D19&lt;BF$5+7,$E19&gt;BF$5),"■","")))</x:f>
      </x:c>
      <x:c r="BG19" s="7" t="str">
        <x:f>IF(OR($D19="",BG$5="",'상세일정'!AM19="제외"),"",IF($D19=$E19,IF(AND($D19&gt;=BG$5,$D19&lt;BG$5+7),"◆",""),IF(AND($D19&lt;BG$5+7,$E19&gt;BG$5),"■","")))</x:f>
      </x:c>
      <x:c r="BH19" s="7" t="str">
        <x:f>IF(OR($D19="",BH$5="",'상세일정'!AM19="제외"),"",IF($D19=$E19,IF(AND($D19&gt;=BH$5,$D19&lt;BH$5+7),"◆",""),IF(AND($D19&lt;BH$5+7,$E19&gt;BH$5),"■","")))</x:f>
      </x:c>
      <x:c r="BI19" s="7" t="str">
        <x:f>IF(OR($D19="",BI$5="",'상세일정'!AM19="제외"),"",IF($D19=$E19,IF(AND($D19&gt;=BI$5,$D19&lt;BI$5+7),"◆",""),IF(AND($D19&lt;BI$5+7,$E19&gt;BI$5),"■","")))</x:f>
      </x:c>
      <x:c r="BJ19" s="7" t="str">
        <x:f>IF(OR($D19="",BJ$5="",'상세일정'!AM19="제외"),"",IF($D19=$E19,IF(AND($D19&gt;=BJ$5,$D19&lt;BJ$5+7),"◆",""),IF(AND($D19&lt;BJ$5+7,$E19&gt;BJ$5),"■","")))</x:f>
      </x:c>
      <x:c r="BK19" s="7" t="str">
        <x:f>IF(OR($D19="",BK$5="",'상세일정'!AM19="제외"),"",IF($D19=$E19,IF(AND($D19&gt;=BK$5,$D19&lt;BK$5+7),"◆",""),IF(AND($D19&lt;BK$5+7,$E19&gt;BK$5),"■","")))</x:f>
      </x:c>
      <x:c r="BL19" s="7" t="str">
        <x:f>IF(OR($D19="",BL$5="",'상세일정'!AM19="제외"),"",IF($D19=$E19,IF(AND($D19&gt;=BL$5,$D19&lt;BL$5+7),"◆",""),IF(AND($D19&lt;BL$5+7,$E19&gt;BL$5),"■","")))</x:f>
      </x:c>
      <x:c r="BM19" s="7" t="str">
        <x:f>IF(OR($D19="",BM$5="",'상세일정'!AM19="제외"),"",IF($D19=$E19,IF(AND($D19&gt;=BM$5,$D19&lt;BM$5+7),"◆",""),IF(AND($D19&lt;BM$5+7,$E19&gt;BM$5),"■","")))</x:f>
      </x:c>
      <x:c r="BN19" s="7" t="str">
        <x:f>IF(OR($D19="",BN$5="",'상세일정'!AM19="제외"),"",IF($D19=$E19,IF(AND($D19&gt;=BN$5,$D19&lt;BN$5+7),"◆",""),IF(AND($D19&lt;BN$5+7,$E19&gt;BN$5),"■","")))</x:f>
      </x:c>
      <x:c r="BO19" s="7" t="str">
        <x:f>IF(OR($D19="",BO$5="",'상세일정'!AM19="제외"),"",IF($D19=$E19,IF(AND($D19&gt;=BO$5,$D19&lt;BO$5+7),"◆",""),IF(AND($D19&lt;BO$5+7,$E19&gt;BO$5),"■","")))</x:f>
      </x:c>
      <x:c r="BP19" s="7" t="str">
        <x:f>IF(OR($D19="",BP$5="",'상세일정'!AM19="제외"),"",IF($D19=$E19,IF(AND($D19&gt;=BP$5,$D19&lt;BP$5+7),"◆",""),IF(AND($D19&lt;BP$5+7,$E19&gt;BP$5),"■","")))</x:f>
      </x:c>
      <x:c r="BQ19" s="7" t="str">
        <x:f>IF(OR($D19="",BQ$5="",'상세일정'!AM19="제외"),"",IF($D19=$E19,IF(AND($D19&gt;=BQ$5,$D19&lt;BQ$5+7),"◆",""),IF(AND($D19&lt;BQ$5+7,$E19&gt;BQ$5),"■","")))</x:f>
      </x:c>
      <x:c r="BR19" s="7" t="str">
        <x:f>IF(OR($D19="",BR$5="",'상세일정'!AM19="제외"),"",IF($D19=$E19,IF(AND($D19&gt;=BR$5,$D19&lt;BR$5+7),"◆",""),IF(AND($D19&lt;BR$5+7,$E19&gt;BR$5),"■","")))</x:f>
      </x:c>
      <x:c r="BS19" s="7" t="str">
        <x:f>IF(OR($D19="",BS$5="",'상세일정'!AM19="제외"),"",IF($D19=$E19,IF(AND($D19&gt;=BS$5,$D19&lt;BS$5+7),"◆",""),IF(AND($D19&lt;BS$5+7,$E19&gt;BS$5),"■","")))</x:f>
      </x:c>
      <x:c r="BT19" s="7" t="str">
        <x:f>IF(OR($D19="",BT$5="",'상세일정'!AM19="제외"),"",IF($D19=$E19,IF(AND($D19&gt;=BT$5,$D19&lt;BT$5+7),"◆",""),IF(AND($D19&lt;BT$5+7,$E19&gt;BT$5),"■","")))</x:f>
      </x:c>
      <x:c r="BU19" s="7" t="str">
        <x:f>IF(OR($D19="",BU$5="",'상세일정'!AM19="제외"),"",IF($D19=$E19,IF(AND($D19&gt;=BU$5,$D19&lt;BU$5+7),"◆",""),IF(AND($D19&lt;BU$5+7,$E19&gt;BU$5),"■","")))</x:f>
      </x:c>
      <x:c r="BV19" s="7" t="str">
        <x:f>IF(OR($D19="",BV$5="",'상세일정'!AM19="제외"),"",IF($D19=$E19,IF(AND($D19&gt;=BV$5,$D19&lt;BV$5+7),"◆",""),IF(AND($D19&lt;BV$5+7,$E19&gt;BV$5),"■","")))</x:f>
      </x:c>
      <x:c r="BW19" s="7" t="str">
        <x:f>IF(OR($D19="",BW$5="",'상세일정'!AM19="제외"),"",IF($D19=$E19,IF(AND($D19&gt;=BW$5,$D19&lt;BW$5+7),"◆",""),IF(AND($D19&lt;BW$5+7,$E19&gt;BW$5),"■","")))</x:f>
      </x:c>
      <x:c r="BX19" s="7" t="str">
        <x:f>IF(OR($D19="",BX$5="",'상세일정'!AM19="제외"),"",IF($D19=$E19,IF(AND($D19&gt;=BX$5,$D19&lt;BX$5+7),"◆",""),IF(AND($D19&lt;BX$5+7,$E19&gt;BX$5),"■","")))</x:f>
      </x:c>
      <x:c r="BY19" s="7" t="str">
        <x:f>IF(OR($D19="",BY$5="",'상세일정'!AM19="제외"),"",IF($D19=$E19,IF(AND($D19&gt;=BY$5,$D19&lt;BY$5+7),"◆",""),IF(AND($D19&lt;BY$5+7,$E19&gt;BY$5),"■","")))</x:f>
      </x:c>
      <x:c r="BZ19" s="7" t="str">
        <x:f>IF(OR($D19="",BZ$5="",'상세일정'!AM19="제외"),"",IF($D19=$E19,IF(AND($D19&gt;=BZ$5,$D19&lt;BZ$5+7),"◆",""),IF(AND($D19&lt;BZ$5+7,$E19&gt;BZ$5),"■","")))</x:f>
      </x:c>
      <x:c r="CA19" s="7" t="str">
        <x:f>IF(OR($D19="",CA$5="",'상세일정'!AM19="제외"),"",IF($D19=$E19,IF(AND($D19&gt;=CA$5,$D19&lt;CA$5+7),"◆",""),IF(AND($D19&lt;CA$5+7,$E19&gt;CA$5),"■","")))</x:f>
      </x:c>
      <x:c r="CB19" s="7" t="str">
        <x:f>IF(OR($D19="",CB$5="",'상세일정'!AM19="제외"),"",IF($D19=$E19,IF(AND($D19&gt;=CB$5,$D19&lt;CB$5+7),"◆",""),IF(AND($D19&lt;CB$5+7,$E19&gt;CB$5),"■","")))</x:f>
      </x:c>
      <x:c r="CC19" s="7" t="str">
        <x:f>IF(OR($D19="",CC$5="",'상세일정'!AM19="제외"),"",IF($D19=$E19,IF(AND($D19&gt;=CC$5,$D19&lt;CC$5+7),"◆",""),IF(AND($D19&lt;CC$5+7,$E19&gt;CC$5),"■","")))</x:f>
      </x:c>
      <x:c r="CD19" s="7" t="str">
        <x:f>IF(OR($D19="",CD$5="",'상세일정'!AM19="제외"),"",IF($D19=$E19,IF(AND($D19&gt;=CD$5,$D19&lt;CD$5+7),"◆",""),IF(AND($D19&lt;CD$5+7,$E19&gt;CD$5),"■","")))</x:f>
      </x:c>
      <x:c r="CE19" s="7" t="str">
        <x:f>IF(OR($D19="",CE$5="",'상세일정'!AM19="제외"),"",IF($D19=$E19,IF(AND($D19&gt;=CE$5,$D19&lt;CE$5+7),"◆",""),IF(AND($D19&lt;CE$5+7,$E19&gt;CE$5),"■","")))</x:f>
      </x:c>
      <x:c r="CF19" s="7" t="str">
        <x:f>IF(OR($D19="",CF$5="",'상세일정'!AM19="제외"),"",IF($D19=$E19,IF(AND($D19&gt;=CF$5,$D19&lt;CF$5+7),"◆",""),IF(AND($D19&lt;CF$5+7,$E19&gt;CF$5),"■","")))</x:f>
      </x:c>
      <x:c r="CG19" s="7" t="str">
        <x:f>IF(OR($D19="",CG$5="",'상세일정'!AM19="제외"),"",IF($D19=$E19,IF(AND($D19&gt;=CG$5,$D19&lt;CG$5+7),"◆",""),IF(AND($D19&lt;CG$5+7,$E19&gt;CG$5),"■","")))</x:f>
      </x:c>
      <x:c r="CH19" s="7" t="str">
        <x:f>IF(OR($D19="",CH$5="",'상세일정'!AM19="제외"),"",IF($D19=$E19,IF(AND($D19&gt;=CH$5,$D19&lt;CH$5+7),"◆",""),IF(AND($D19&lt;CH$5+7,$E19&gt;CH$5),"■","")))</x:f>
      </x:c>
      <x:c r="CI19" s="7" t="str">
        <x:f>IF(OR($D19="",CI$5="",'상세일정'!AM19="제외"),"",IF($D19=$E19,IF(AND($D19&gt;=CI$5,$D19&lt;CI$5+7),"◆",""),IF(AND($D19&lt;CI$5+7,$E19&gt;CI$5),"■","")))</x:f>
      </x:c>
      <x:c r="CJ19" s="7" t="str">
        <x:f>IF(OR($D19="",CJ$5="",'상세일정'!AM19="제외"),"",IF($D19=$E19,IF(AND($D19&gt;=CJ$5,$D19&lt;CJ$5+7),"◆",""),IF(AND($D19&lt;CJ$5+7,$E19&gt;CJ$5),"■","")))</x:f>
      </x:c>
      <x:c r="CK19" s="7" t="str">
        <x:f>IF(OR($D19="",CK$5="",'상세일정'!AM19="제외"),"",IF($D19=$E19,IF(AND($D19&gt;=CK$5,$D19&lt;CK$5+7),"◆",""),IF(AND($D19&lt;CK$5+7,$E19&gt;CK$5),"■","")))</x:f>
      </x:c>
      <x:c r="CL19" s="7" t="str">
        <x:f>IF(OR($D19="",CL$5="",'상세일정'!AM19="제외"),"",IF($D19=$E19,IF(AND($D19&gt;=CL$5,$D19&lt;CL$5+7),"◆",""),IF(AND($D19&lt;CL$5+7,$E19&gt;CL$5),"■","")))</x:f>
      </x:c>
      <x:c r="CM19" s="7" t="str">
        <x:f>IF(OR($D19="",CM$5="",'상세일정'!AM19="제외"),"",IF($D19=$E19,IF(AND($D19&gt;=CM$5,$D19&lt;CM$5+7),"◆",""),IF(AND($D19&lt;CM$5+7,$E19&gt;CM$5),"■","")))</x:f>
      </x:c>
      <x:c r="CN19" s="7" t="str">
        <x:f>IF(OR($D19="",CN$5="",'상세일정'!AM19="제외"),"",IF($D19=$E19,IF(AND($D19&gt;=CN$5,$D19&lt;CN$5+7),"◆",""),IF(AND($D19&lt;CN$5+7,$E19&gt;CN$5),"■","")))</x:f>
      </x:c>
      <x:c r="CO19" s="7" t="str">
        <x:f>IF(OR($D19="",CO$5="",'상세일정'!AM19="제외"),"",IF($D19=$E19,IF(AND($D19&gt;=CO$5,$D19&lt;CO$5+7),"◆",""),IF(AND($D19&lt;CO$5+7,$E19&gt;CO$5),"■","")))</x:f>
      </x:c>
      <x:c r="CP19" s="7" t="str">
        <x:f>IF(OR($D19="",CP$5="",'상세일정'!AM19="제외"),"",IF($D19=$E19,IF(AND($D19&gt;=CP$5,$D19&lt;CP$5+7),"◆",""),IF(AND($D19&lt;CP$5+7,$E19&gt;CP$5),"■","")))</x:f>
      </x:c>
      <x:c r="CQ19" s="7" t="str">
        <x:f>IF(OR($D19="",CQ$5="",'상세일정'!AM19="제외"),"",IF($D19=$E19,IF(AND($D19&gt;=CQ$5,$D19&lt;CQ$5+7),"◆",""),IF(AND($D19&lt;CQ$5+7,$E19&gt;CQ$5),"■","")))</x:f>
      </x:c>
      <x:c r="CR19" s="7" t="str">
        <x:f>IF(OR($D19="",CR$5="",'상세일정'!AM19="제외"),"",IF($D19=$E19,IF(AND($D19&gt;=CR$5,$D19&lt;CR$5+7),"◆",""),IF(AND($D19&lt;CR$5+7,$E19&gt;CR$5),"■","")))</x:f>
      </x:c>
      <x:c r="CS19" s="7" t="str">
        <x:f>IF(OR($D19="",CS$5="",'상세일정'!AM19="제외"),"",IF($D19=$E19,IF(AND($D19&gt;=CS$5,$D19&lt;CS$5+7),"◆",""),IF(AND($D19&lt;CS$5+7,$E19&gt;CS$5),"■","")))</x:f>
      </x:c>
      <x:c r="CT19" s="7" t="str">
        <x:f>IF(OR($D19="",CT$5="",'상세일정'!AM19="제외"),"",IF($D19=$E19,IF(AND($D19&gt;=CT$5,$D19&lt;CT$5+7),"◆",""),IF(AND($D19&lt;CT$5+7,$E19&gt;CT$5),"■","")))</x:f>
      </x:c>
      <x:c r="CU19" s="7" t="str">
        <x:f>IF(OR($D19="",CU$5="",'상세일정'!AM19="제외"),"",IF($D19=$E19,IF(AND($D19&gt;=CU$5,$D19&lt;CU$5+7),"◆",""),IF(AND($D19&lt;CU$5+7,$E19&gt;CU$5),"■","")))</x:f>
      </x:c>
      <x:c r="CV19" s="7" t="str">
        <x:f>IF(OR($D19="",CV$5="",'상세일정'!AM19="제외"),"",IF($D19=$E19,IF(AND($D19&gt;=CV$5,$D19&lt;CV$5+7),"◆",""),IF(AND($D19&lt;CV$5+7,$E19&gt;CV$5),"■","")))</x:f>
      </x:c>
      <x:c r="CW19" s="7" t="str">
        <x:f>IF(OR($D19="",CW$5="",'상세일정'!AM19="제외"),"",IF($D19=$E19,IF(AND($D19&gt;=CW$5,$D19&lt;CW$5+7),"◆",""),IF(AND($D19&lt;CW$5+7,$E19&gt;CW$5),"■","")))</x:f>
      </x:c>
      <x:c r="CX19" s="7" t="str">
        <x:f>IF(OR($D19="",CX$5="",'상세일정'!AM19="제외"),"",IF($D19=$E19,IF(AND($D19&gt;=CX$5,$D19&lt;CX$5+7),"◆",""),IF(AND($D19&lt;CX$5+7,$E19&gt;CX$5),"■","")))</x:f>
      </x:c>
      <x:c r="CY19" s="7" t="str">
        <x:f>IF(OR($D19="",CY$5="",'상세일정'!AM19="제외"),"",IF($D19=$E19,IF(AND($D19&gt;=CY$5,$D19&lt;CY$5+7),"◆",""),IF(AND($D19&lt;CY$5+7,$E19&gt;CY$5),"■","")))</x:f>
      </x:c>
      <x:c r="CZ19" s="7" t="str">
        <x:f>IF(OR($D19="",CZ$5="",'상세일정'!AM19="제외"),"",IF($D19=$E19,IF(AND($D19&gt;=CZ$5,$D19&lt;CZ$5+7),"◆",""),IF(AND($D19&lt;CZ$5+7,$E19&gt;CZ$5),"■","")))</x:f>
      </x:c>
      <x:c r="DA19" s="7" t="str">
        <x:f>IF(OR($D19="",DA$5="",'상세일정'!AM19="제외"),"",IF($D19=$E19,IF(AND($D19&gt;=DA$5,$D19&lt;DA$5+7),"◆",""),IF(AND($D19&lt;DA$5+7,$E19&gt;DA$5),"■","")))</x:f>
      </x:c>
      <x:c r="DB19" s="7" t="str">
        <x:f>IF(OR($D19="",DB$5="",'상세일정'!AM19="제외"),"",IF($D19=$E19,IF(AND($D19&gt;=DB$5,$D19&lt;DB$5+7),"◆",""),IF(AND($D19&lt;DB$5+7,$E19&gt;DB$5),"■","")))</x:f>
      </x:c>
      <x:c r="DC19" s="7" t="str">
        <x:f>IF(OR($D19="",DC$5="",'상세일정'!AM19="제외"),"",IF($D19=$E19,IF(AND($D19&gt;=DC$5,$D19&lt;DC$5+7),"◆",""),IF(AND($D19&lt;DC$5+7,$E19&gt;DC$5),"■","")))</x:f>
      </x:c>
      <x:c r="DD19" s="7" t="str">
        <x:f>IF(OR($D19="",DD$5="",'상세일정'!AM19="제외"),"",IF($D19=$E19,IF(AND($D19&gt;=DD$5,$D19&lt;DD$5+7),"◆",""),IF(AND($D19&lt;DD$5+7,$E19&gt;DD$5),"■","")))</x:f>
      </x:c>
      <x:c r="DE19" s="7" t="str">
        <x:f>IF(OR($D19="",DE$5="",'상세일정'!AM19="제외"),"",IF($D19=$E19,IF(AND($D19&gt;=DE$5,$D19&lt;DE$5+7),"◆",""),IF(AND($D19&lt;DE$5+7,$E19&gt;DE$5),"■","")))</x:f>
      </x:c>
    </x:row>
    <x:row r="20" ht="34" customHeight="1">
      <x:c r="A20" s="7" t="str">
        <x:v>DB02</x:v>
      </x:c>
      <x:c r="B20" s="7" t="str">
        <x:v>04 공정·배치 기준</x:v>
      </x:c>
      <x:c r="C20" s="7" t="str">
        <x:v>원료가스 조성·압력·유량 및 인입조건 확인</x:v>
      </x:c>
      <x:c r="D20" s="10" t="str">
        <x:f>'상세일정'!AJ20</x:f>
      </x:c>
      <x:c r="E20" s="10" t="str">
        <x:f>'상세일정'!AK20</x:f>
      </x:c>
      <x:c r="F20" s="7" t="str">
        <x:f>IF(OR($D20="",F$5="",'상세일정'!AM20="제외"),"",IF($D20=$E20,IF(AND($D20&gt;=F$5,$D20&lt;F$5+7),"◆",""),IF(AND($D20&lt;F$5+7,$E20&gt;F$5),"■","")))</x:f>
      </x:c>
      <x:c r="G20" s="7" t="str">
        <x:f>IF(OR($D20="",G$5="",'상세일정'!AM20="제외"),"",IF($D20=$E20,IF(AND($D20&gt;=G$5,$D20&lt;G$5+7),"◆",""),IF(AND($D20&lt;G$5+7,$E20&gt;G$5),"■","")))</x:f>
      </x:c>
      <x:c r="H20" s="7" t="str">
        <x:f>IF(OR($D20="",H$5="",'상세일정'!AM20="제외"),"",IF($D20=$E20,IF(AND($D20&gt;=H$5,$D20&lt;H$5+7),"◆",""),IF(AND($D20&lt;H$5+7,$E20&gt;H$5),"■","")))</x:f>
      </x:c>
      <x:c r="I20" s="7" t="str">
        <x:f>IF(OR($D20="",I$5="",'상세일정'!AM20="제외"),"",IF($D20=$E20,IF(AND($D20&gt;=I$5,$D20&lt;I$5+7),"◆",""),IF(AND($D20&lt;I$5+7,$E20&gt;I$5),"■","")))</x:f>
      </x:c>
      <x:c r="J20" s="7" t="str">
        <x:f>IF(OR($D20="",J$5="",'상세일정'!AM20="제외"),"",IF($D20=$E20,IF(AND($D20&gt;=J$5,$D20&lt;J$5+7),"◆",""),IF(AND($D20&lt;J$5+7,$E20&gt;J$5),"■","")))</x:f>
      </x:c>
      <x:c r="K20" s="7" t="str">
        <x:f>IF(OR($D20="",K$5="",'상세일정'!AM20="제외"),"",IF($D20=$E20,IF(AND($D20&gt;=K$5,$D20&lt;K$5+7),"◆",""),IF(AND($D20&lt;K$5+7,$E20&gt;K$5),"■","")))</x:f>
      </x:c>
      <x:c r="L20" s="7" t="str">
        <x:f>IF(OR($D20="",L$5="",'상세일정'!AM20="제외"),"",IF($D20=$E20,IF(AND($D20&gt;=L$5,$D20&lt;L$5+7),"◆",""),IF(AND($D20&lt;L$5+7,$E20&gt;L$5),"■","")))</x:f>
      </x:c>
      <x:c r="M20" s="7" t="str">
        <x:f>IF(OR($D20="",M$5="",'상세일정'!AM20="제외"),"",IF($D20=$E20,IF(AND($D20&gt;=M$5,$D20&lt;M$5+7),"◆",""),IF(AND($D20&lt;M$5+7,$E20&gt;M$5),"■","")))</x:f>
      </x:c>
      <x:c r="N20" s="7" t="str">
        <x:f>IF(OR($D20="",N$5="",'상세일정'!AM20="제외"),"",IF($D20=$E20,IF(AND($D20&gt;=N$5,$D20&lt;N$5+7),"◆",""),IF(AND($D20&lt;N$5+7,$E20&gt;N$5),"■","")))</x:f>
      </x:c>
      <x:c r="O20" s="7" t="str">
        <x:f>IF(OR($D20="",O$5="",'상세일정'!AM20="제외"),"",IF($D20=$E20,IF(AND($D20&gt;=O$5,$D20&lt;O$5+7),"◆",""),IF(AND($D20&lt;O$5+7,$E20&gt;O$5),"■","")))</x:f>
      </x:c>
      <x:c r="P20" s="7" t="str">
        <x:f>IF(OR($D20="",P$5="",'상세일정'!AM20="제외"),"",IF($D20=$E20,IF(AND($D20&gt;=P$5,$D20&lt;P$5+7),"◆",""),IF(AND($D20&lt;P$5+7,$E20&gt;P$5),"■","")))</x:f>
      </x:c>
      <x:c r="Q20" s="7" t="str">
        <x:f>IF(OR($D20="",Q$5="",'상세일정'!AM20="제외"),"",IF($D20=$E20,IF(AND($D20&gt;=Q$5,$D20&lt;Q$5+7),"◆",""),IF(AND($D20&lt;Q$5+7,$E20&gt;Q$5),"■","")))</x:f>
      </x:c>
      <x:c r="R20" s="7" t="str">
        <x:f>IF(OR($D20="",R$5="",'상세일정'!AM20="제외"),"",IF($D20=$E20,IF(AND($D20&gt;=R$5,$D20&lt;R$5+7),"◆",""),IF(AND($D20&lt;R$5+7,$E20&gt;R$5),"■","")))</x:f>
      </x:c>
      <x:c r="S20" s="7" t="str">
        <x:f>IF(OR($D20="",S$5="",'상세일정'!AM20="제외"),"",IF($D20=$E20,IF(AND($D20&gt;=S$5,$D20&lt;S$5+7),"◆",""),IF(AND($D20&lt;S$5+7,$E20&gt;S$5),"■","")))</x:f>
      </x:c>
      <x:c r="T20" s="7" t="str">
        <x:f>IF(OR($D20="",T$5="",'상세일정'!AM20="제외"),"",IF($D20=$E20,IF(AND($D20&gt;=T$5,$D20&lt;T$5+7),"◆",""),IF(AND($D20&lt;T$5+7,$E20&gt;T$5),"■","")))</x:f>
      </x:c>
      <x:c r="U20" s="7" t="str">
        <x:f>IF(OR($D20="",U$5="",'상세일정'!AM20="제외"),"",IF($D20=$E20,IF(AND($D20&gt;=U$5,$D20&lt;U$5+7),"◆",""),IF(AND($D20&lt;U$5+7,$E20&gt;U$5),"■","")))</x:f>
      </x:c>
      <x:c r="V20" s="7" t="str">
        <x:f>IF(OR($D20="",V$5="",'상세일정'!AM20="제외"),"",IF($D20=$E20,IF(AND($D20&gt;=V$5,$D20&lt;V$5+7),"◆",""),IF(AND($D20&lt;V$5+7,$E20&gt;V$5),"■","")))</x:f>
      </x:c>
      <x:c r="W20" s="7" t="str">
        <x:f>IF(OR($D20="",W$5="",'상세일정'!AM20="제외"),"",IF($D20=$E20,IF(AND($D20&gt;=W$5,$D20&lt;W$5+7),"◆",""),IF(AND($D20&lt;W$5+7,$E20&gt;W$5),"■","")))</x:f>
      </x:c>
      <x:c r="X20" s="7" t="str">
        <x:f>IF(OR($D20="",X$5="",'상세일정'!AM20="제외"),"",IF($D20=$E20,IF(AND($D20&gt;=X$5,$D20&lt;X$5+7),"◆",""),IF(AND($D20&lt;X$5+7,$E20&gt;X$5),"■","")))</x:f>
      </x:c>
      <x:c r="Y20" s="7" t="str">
        <x:f>IF(OR($D20="",Y$5="",'상세일정'!AM20="제외"),"",IF($D20=$E20,IF(AND($D20&gt;=Y$5,$D20&lt;Y$5+7),"◆",""),IF(AND($D20&lt;Y$5+7,$E20&gt;Y$5),"■","")))</x:f>
      </x:c>
      <x:c r="Z20" s="7" t="str">
        <x:f>IF(OR($D20="",Z$5="",'상세일정'!AM20="제외"),"",IF($D20=$E20,IF(AND($D20&gt;=Z$5,$D20&lt;Z$5+7),"◆",""),IF(AND($D20&lt;Z$5+7,$E20&gt;Z$5),"■","")))</x:f>
      </x:c>
      <x:c r="AA20" s="7" t="str">
        <x:f>IF(OR($D20="",AA$5="",'상세일정'!AM20="제외"),"",IF($D20=$E20,IF(AND($D20&gt;=AA$5,$D20&lt;AA$5+7),"◆",""),IF(AND($D20&lt;AA$5+7,$E20&gt;AA$5),"■","")))</x:f>
      </x:c>
      <x:c r="AB20" s="7" t="str">
        <x:f>IF(OR($D20="",AB$5="",'상세일정'!AM20="제외"),"",IF($D20=$E20,IF(AND($D20&gt;=AB$5,$D20&lt;AB$5+7),"◆",""),IF(AND($D20&lt;AB$5+7,$E20&gt;AB$5),"■","")))</x:f>
      </x:c>
      <x:c r="AC20" s="7" t="str">
        <x:f>IF(OR($D20="",AC$5="",'상세일정'!AM20="제외"),"",IF($D20=$E20,IF(AND($D20&gt;=AC$5,$D20&lt;AC$5+7),"◆",""),IF(AND($D20&lt;AC$5+7,$E20&gt;AC$5),"■","")))</x:f>
      </x:c>
      <x:c r="AD20" s="7" t="str">
        <x:f>IF(OR($D20="",AD$5="",'상세일정'!AM20="제외"),"",IF($D20=$E20,IF(AND($D20&gt;=AD$5,$D20&lt;AD$5+7),"◆",""),IF(AND($D20&lt;AD$5+7,$E20&gt;AD$5),"■","")))</x:f>
      </x:c>
      <x:c r="AE20" s="7" t="str">
        <x:f>IF(OR($D20="",AE$5="",'상세일정'!AM20="제외"),"",IF($D20=$E20,IF(AND($D20&gt;=AE$5,$D20&lt;AE$5+7),"◆",""),IF(AND($D20&lt;AE$5+7,$E20&gt;AE$5),"■","")))</x:f>
      </x:c>
      <x:c r="AF20" s="7" t="str">
        <x:f>IF(OR($D20="",AF$5="",'상세일정'!AM20="제외"),"",IF($D20=$E20,IF(AND($D20&gt;=AF$5,$D20&lt;AF$5+7),"◆",""),IF(AND($D20&lt;AF$5+7,$E20&gt;AF$5),"■","")))</x:f>
      </x:c>
      <x:c r="AG20" s="7" t="str">
        <x:f>IF(OR($D20="",AG$5="",'상세일정'!AM20="제외"),"",IF($D20=$E20,IF(AND($D20&gt;=AG$5,$D20&lt;AG$5+7),"◆",""),IF(AND($D20&lt;AG$5+7,$E20&gt;AG$5),"■","")))</x:f>
      </x:c>
      <x:c r="AH20" s="7" t="str">
        <x:f>IF(OR($D20="",AH$5="",'상세일정'!AM20="제외"),"",IF($D20=$E20,IF(AND($D20&gt;=AH$5,$D20&lt;AH$5+7),"◆",""),IF(AND($D20&lt;AH$5+7,$E20&gt;AH$5),"■","")))</x:f>
      </x:c>
      <x:c r="AI20" s="7" t="str">
        <x:f>IF(OR($D20="",AI$5="",'상세일정'!AM20="제외"),"",IF($D20=$E20,IF(AND($D20&gt;=AI$5,$D20&lt;AI$5+7),"◆",""),IF(AND($D20&lt;AI$5+7,$E20&gt;AI$5),"■","")))</x:f>
      </x:c>
      <x:c r="AJ20" s="7" t="str">
        <x:f>IF(OR($D20="",AJ$5="",'상세일정'!AM20="제외"),"",IF($D20=$E20,IF(AND($D20&gt;=AJ$5,$D20&lt;AJ$5+7),"◆",""),IF(AND($D20&lt;AJ$5+7,$E20&gt;AJ$5),"■","")))</x:f>
      </x:c>
      <x:c r="AK20" s="7" t="str">
        <x:f>IF(OR($D20="",AK$5="",'상세일정'!AM20="제외"),"",IF($D20=$E20,IF(AND($D20&gt;=AK$5,$D20&lt;AK$5+7),"◆",""),IF(AND($D20&lt;AK$5+7,$E20&gt;AK$5),"■","")))</x:f>
      </x:c>
      <x:c r="AL20" s="7" t="str">
        <x:f>IF(OR($D20="",AL$5="",'상세일정'!AM20="제외"),"",IF($D20=$E20,IF(AND($D20&gt;=AL$5,$D20&lt;AL$5+7),"◆",""),IF(AND($D20&lt;AL$5+7,$E20&gt;AL$5),"■","")))</x:f>
      </x:c>
      <x:c r="AM20" s="7" t="str">
        <x:f>IF(OR($D20="",AM$5="",'상세일정'!AM20="제외"),"",IF($D20=$E20,IF(AND($D20&gt;=AM$5,$D20&lt;AM$5+7),"◆",""),IF(AND($D20&lt;AM$5+7,$E20&gt;AM$5),"■","")))</x:f>
      </x:c>
      <x:c r="AN20" s="7" t="str">
        <x:f>IF(OR($D20="",AN$5="",'상세일정'!AM20="제외"),"",IF($D20=$E20,IF(AND($D20&gt;=AN$5,$D20&lt;AN$5+7),"◆",""),IF(AND($D20&lt;AN$5+7,$E20&gt;AN$5),"■","")))</x:f>
      </x:c>
      <x:c r="AO20" s="7" t="str">
        <x:f>IF(OR($D20="",AO$5="",'상세일정'!AM20="제외"),"",IF($D20=$E20,IF(AND($D20&gt;=AO$5,$D20&lt;AO$5+7),"◆",""),IF(AND($D20&lt;AO$5+7,$E20&gt;AO$5),"■","")))</x:f>
      </x:c>
      <x:c r="AP20" s="7" t="str">
        <x:f>IF(OR($D20="",AP$5="",'상세일정'!AM20="제외"),"",IF($D20=$E20,IF(AND($D20&gt;=AP$5,$D20&lt;AP$5+7),"◆",""),IF(AND($D20&lt;AP$5+7,$E20&gt;AP$5),"■","")))</x:f>
      </x:c>
      <x:c r="AQ20" s="7" t="str">
        <x:f>IF(OR($D20="",AQ$5="",'상세일정'!AM20="제외"),"",IF($D20=$E20,IF(AND($D20&gt;=AQ$5,$D20&lt;AQ$5+7),"◆",""),IF(AND($D20&lt;AQ$5+7,$E20&gt;AQ$5),"■","")))</x:f>
      </x:c>
      <x:c r="AR20" s="7" t="str">
        <x:f>IF(OR($D20="",AR$5="",'상세일정'!AM20="제외"),"",IF($D20=$E20,IF(AND($D20&gt;=AR$5,$D20&lt;AR$5+7),"◆",""),IF(AND($D20&lt;AR$5+7,$E20&gt;AR$5),"■","")))</x:f>
      </x:c>
      <x:c r="AS20" s="7" t="str">
        <x:f>IF(OR($D20="",AS$5="",'상세일정'!AM20="제외"),"",IF($D20=$E20,IF(AND($D20&gt;=AS$5,$D20&lt;AS$5+7),"◆",""),IF(AND($D20&lt;AS$5+7,$E20&gt;AS$5),"■","")))</x:f>
      </x:c>
      <x:c r="AT20" s="7" t="str">
        <x:f>IF(OR($D20="",AT$5="",'상세일정'!AM20="제외"),"",IF($D20=$E20,IF(AND($D20&gt;=AT$5,$D20&lt;AT$5+7),"◆",""),IF(AND($D20&lt;AT$5+7,$E20&gt;AT$5),"■","")))</x:f>
      </x:c>
      <x:c r="AU20" s="7" t="str">
        <x:f>IF(OR($D20="",AU$5="",'상세일정'!AM20="제외"),"",IF($D20=$E20,IF(AND($D20&gt;=AU$5,$D20&lt;AU$5+7),"◆",""),IF(AND($D20&lt;AU$5+7,$E20&gt;AU$5),"■","")))</x:f>
      </x:c>
      <x:c r="AV20" s="7" t="str">
        <x:f>IF(OR($D20="",AV$5="",'상세일정'!AM20="제외"),"",IF($D20=$E20,IF(AND($D20&gt;=AV$5,$D20&lt;AV$5+7),"◆",""),IF(AND($D20&lt;AV$5+7,$E20&gt;AV$5),"■","")))</x:f>
      </x:c>
      <x:c r="AW20" s="7" t="str">
        <x:f>IF(OR($D20="",AW$5="",'상세일정'!AM20="제외"),"",IF($D20=$E20,IF(AND($D20&gt;=AW$5,$D20&lt;AW$5+7),"◆",""),IF(AND($D20&lt;AW$5+7,$E20&gt;AW$5),"■","")))</x:f>
      </x:c>
      <x:c r="AX20" s="7" t="str">
        <x:f>IF(OR($D20="",AX$5="",'상세일정'!AM20="제외"),"",IF($D20=$E20,IF(AND($D20&gt;=AX$5,$D20&lt;AX$5+7),"◆",""),IF(AND($D20&lt;AX$5+7,$E20&gt;AX$5),"■","")))</x:f>
      </x:c>
      <x:c r="AY20" s="7" t="str">
        <x:f>IF(OR($D20="",AY$5="",'상세일정'!AM20="제외"),"",IF($D20=$E20,IF(AND($D20&gt;=AY$5,$D20&lt;AY$5+7),"◆",""),IF(AND($D20&lt;AY$5+7,$E20&gt;AY$5),"■","")))</x:f>
      </x:c>
      <x:c r="AZ20" s="7" t="str">
        <x:f>IF(OR($D20="",AZ$5="",'상세일정'!AM20="제외"),"",IF($D20=$E20,IF(AND($D20&gt;=AZ$5,$D20&lt;AZ$5+7),"◆",""),IF(AND($D20&lt;AZ$5+7,$E20&gt;AZ$5),"■","")))</x:f>
      </x:c>
      <x:c r="BA20" s="7" t="str">
        <x:f>IF(OR($D20="",BA$5="",'상세일정'!AM20="제외"),"",IF($D20=$E20,IF(AND($D20&gt;=BA$5,$D20&lt;BA$5+7),"◆",""),IF(AND($D20&lt;BA$5+7,$E20&gt;BA$5),"■","")))</x:f>
      </x:c>
      <x:c r="BB20" s="7" t="str">
        <x:f>IF(OR($D20="",BB$5="",'상세일정'!AM20="제외"),"",IF($D20=$E20,IF(AND($D20&gt;=BB$5,$D20&lt;BB$5+7),"◆",""),IF(AND($D20&lt;BB$5+7,$E20&gt;BB$5),"■","")))</x:f>
      </x:c>
      <x:c r="BC20" s="7" t="str">
        <x:f>IF(OR($D20="",BC$5="",'상세일정'!AM20="제외"),"",IF($D20=$E20,IF(AND($D20&gt;=BC$5,$D20&lt;BC$5+7),"◆",""),IF(AND($D20&lt;BC$5+7,$E20&gt;BC$5),"■","")))</x:f>
      </x:c>
      <x:c r="BD20" s="7" t="str">
        <x:f>IF(OR($D20="",BD$5="",'상세일정'!AM20="제외"),"",IF($D20=$E20,IF(AND($D20&gt;=BD$5,$D20&lt;BD$5+7),"◆",""),IF(AND($D20&lt;BD$5+7,$E20&gt;BD$5),"■","")))</x:f>
      </x:c>
      <x:c r="BE20" s="7" t="str">
        <x:f>IF(OR($D20="",BE$5="",'상세일정'!AM20="제외"),"",IF($D20=$E20,IF(AND($D20&gt;=BE$5,$D20&lt;BE$5+7),"◆",""),IF(AND($D20&lt;BE$5+7,$E20&gt;BE$5),"■","")))</x:f>
      </x:c>
      <x:c r="BF20" s="7" t="str">
        <x:f>IF(OR($D20="",BF$5="",'상세일정'!AM20="제외"),"",IF($D20=$E20,IF(AND($D20&gt;=BF$5,$D20&lt;BF$5+7),"◆",""),IF(AND($D20&lt;BF$5+7,$E20&gt;BF$5),"■","")))</x:f>
      </x:c>
      <x:c r="BG20" s="7" t="str">
        <x:f>IF(OR($D20="",BG$5="",'상세일정'!AM20="제외"),"",IF($D20=$E20,IF(AND($D20&gt;=BG$5,$D20&lt;BG$5+7),"◆",""),IF(AND($D20&lt;BG$5+7,$E20&gt;BG$5),"■","")))</x:f>
      </x:c>
      <x:c r="BH20" s="7" t="str">
        <x:f>IF(OR($D20="",BH$5="",'상세일정'!AM20="제외"),"",IF($D20=$E20,IF(AND($D20&gt;=BH$5,$D20&lt;BH$5+7),"◆",""),IF(AND($D20&lt;BH$5+7,$E20&gt;BH$5),"■","")))</x:f>
      </x:c>
      <x:c r="BI20" s="7" t="str">
        <x:f>IF(OR($D20="",BI$5="",'상세일정'!AM20="제외"),"",IF($D20=$E20,IF(AND($D20&gt;=BI$5,$D20&lt;BI$5+7),"◆",""),IF(AND($D20&lt;BI$5+7,$E20&gt;BI$5),"■","")))</x:f>
      </x:c>
      <x:c r="BJ20" s="7" t="str">
        <x:f>IF(OR($D20="",BJ$5="",'상세일정'!AM20="제외"),"",IF($D20=$E20,IF(AND($D20&gt;=BJ$5,$D20&lt;BJ$5+7),"◆",""),IF(AND($D20&lt;BJ$5+7,$E20&gt;BJ$5),"■","")))</x:f>
      </x:c>
      <x:c r="BK20" s="7" t="str">
        <x:f>IF(OR($D20="",BK$5="",'상세일정'!AM20="제외"),"",IF($D20=$E20,IF(AND($D20&gt;=BK$5,$D20&lt;BK$5+7),"◆",""),IF(AND($D20&lt;BK$5+7,$E20&gt;BK$5),"■","")))</x:f>
      </x:c>
      <x:c r="BL20" s="7" t="str">
        <x:f>IF(OR($D20="",BL$5="",'상세일정'!AM20="제외"),"",IF($D20=$E20,IF(AND($D20&gt;=BL$5,$D20&lt;BL$5+7),"◆",""),IF(AND($D20&lt;BL$5+7,$E20&gt;BL$5),"■","")))</x:f>
      </x:c>
      <x:c r="BM20" s="7" t="str">
        <x:f>IF(OR($D20="",BM$5="",'상세일정'!AM20="제외"),"",IF($D20=$E20,IF(AND($D20&gt;=BM$5,$D20&lt;BM$5+7),"◆",""),IF(AND($D20&lt;BM$5+7,$E20&gt;BM$5),"■","")))</x:f>
      </x:c>
      <x:c r="BN20" s="7" t="str">
        <x:f>IF(OR($D20="",BN$5="",'상세일정'!AM20="제외"),"",IF($D20=$E20,IF(AND($D20&gt;=BN$5,$D20&lt;BN$5+7),"◆",""),IF(AND($D20&lt;BN$5+7,$E20&gt;BN$5),"■","")))</x:f>
      </x:c>
      <x:c r="BO20" s="7" t="str">
        <x:f>IF(OR($D20="",BO$5="",'상세일정'!AM20="제외"),"",IF($D20=$E20,IF(AND($D20&gt;=BO$5,$D20&lt;BO$5+7),"◆",""),IF(AND($D20&lt;BO$5+7,$E20&gt;BO$5),"■","")))</x:f>
      </x:c>
      <x:c r="BP20" s="7" t="str">
        <x:f>IF(OR($D20="",BP$5="",'상세일정'!AM20="제외"),"",IF($D20=$E20,IF(AND($D20&gt;=BP$5,$D20&lt;BP$5+7),"◆",""),IF(AND($D20&lt;BP$5+7,$E20&gt;BP$5),"■","")))</x:f>
      </x:c>
      <x:c r="BQ20" s="7" t="str">
        <x:f>IF(OR($D20="",BQ$5="",'상세일정'!AM20="제외"),"",IF($D20=$E20,IF(AND($D20&gt;=BQ$5,$D20&lt;BQ$5+7),"◆",""),IF(AND($D20&lt;BQ$5+7,$E20&gt;BQ$5),"■","")))</x:f>
      </x:c>
      <x:c r="BR20" s="7" t="str">
        <x:f>IF(OR($D20="",BR$5="",'상세일정'!AM20="제외"),"",IF($D20=$E20,IF(AND($D20&gt;=BR$5,$D20&lt;BR$5+7),"◆",""),IF(AND($D20&lt;BR$5+7,$E20&gt;BR$5),"■","")))</x:f>
      </x:c>
      <x:c r="BS20" s="7" t="str">
        <x:f>IF(OR($D20="",BS$5="",'상세일정'!AM20="제외"),"",IF($D20=$E20,IF(AND($D20&gt;=BS$5,$D20&lt;BS$5+7),"◆",""),IF(AND($D20&lt;BS$5+7,$E20&gt;BS$5),"■","")))</x:f>
      </x:c>
      <x:c r="BT20" s="7" t="str">
        <x:f>IF(OR($D20="",BT$5="",'상세일정'!AM20="제외"),"",IF($D20=$E20,IF(AND($D20&gt;=BT$5,$D20&lt;BT$5+7),"◆",""),IF(AND($D20&lt;BT$5+7,$E20&gt;BT$5),"■","")))</x:f>
      </x:c>
      <x:c r="BU20" s="7" t="str">
        <x:f>IF(OR($D20="",BU$5="",'상세일정'!AM20="제외"),"",IF($D20=$E20,IF(AND($D20&gt;=BU$5,$D20&lt;BU$5+7),"◆",""),IF(AND($D20&lt;BU$5+7,$E20&gt;BU$5),"■","")))</x:f>
      </x:c>
      <x:c r="BV20" s="7" t="str">
        <x:f>IF(OR($D20="",BV$5="",'상세일정'!AM20="제외"),"",IF($D20=$E20,IF(AND($D20&gt;=BV$5,$D20&lt;BV$5+7),"◆",""),IF(AND($D20&lt;BV$5+7,$E20&gt;BV$5),"■","")))</x:f>
      </x:c>
      <x:c r="BW20" s="7" t="str">
        <x:f>IF(OR($D20="",BW$5="",'상세일정'!AM20="제외"),"",IF($D20=$E20,IF(AND($D20&gt;=BW$5,$D20&lt;BW$5+7),"◆",""),IF(AND($D20&lt;BW$5+7,$E20&gt;BW$5),"■","")))</x:f>
      </x:c>
      <x:c r="BX20" s="7" t="str">
        <x:f>IF(OR($D20="",BX$5="",'상세일정'!AM20="제외"),"",IF($D20=$E20,IF(AND($D20&gt;=BX$5,$D20&lt;BX$5+7),"◆",""),IF(AND($D20&lt;BX$5+7,$E20&gt;BX$5),"■","")))</x:f>
      </x:c>
      <x:c r="BY20" s="7" t="str">
        <x:f>IF(OR($D20="",BY$5="",'상세일정'!AM20="제외"),"",IF($D20=$E20,IF(AND($D20&gt;=BY$5,$D20&lt;BY$5+7),"◆",""),IF(AND($D20&lt;BY$5+7,$E20&gt;BY$5),"■","")))</x:f>
      </x:c>
      <x:c r="BZ20" s="7" t="str">
        <x:f>IF(OR($D20="",BZ$5="",'상세일정'!AM20="제외"),"",IF($D20=$E20,IF(AND($D20&gt;=BZ$5,$D20&lt;BZ$5+7),"◆",""),IF(AND($D20&lt;BZ$5+7,$E20&gt;BZ$5),"■","")))</x:f>
      </x:c>
      <x:c r="CA20" s="7" t="str">
        <x:f>IF(OR($D20="",CA$5="",'상세일정'!AM20="제외"),"",IF($D20=$E20,IF(AND($D20&gt;=CA$5,$D20&lt;CA$5+7),"◆",""),IF(AND($D20&lt;CA$5+7,$E20&gt;CA$5),"■","")))</x:f>
      </x:c>
      <x:c r="CB20" s="7" t="str">
        <x:f>IF(OR($D20="",CB$5="",'상세일정'!AM20="제외"),"",IF($D20=$E20,IF(AND($D20&gt;=CB$5,$D20&lt;CB$5+7),"◆",""),IF(AND($D20&lt;CB$5+7,$E20&gt;CB$5),"■","")))</x:f>
      </x:c>
      <x:c r="CC20" s="7" t="str">
        <x:f>IF(OR($D20="",CC$5="",'상세일정'!AM20="제외"),"",IF($D20=$E20,IF(AND($D20&gt;=CC$5,$D20&lt;CC$5+7),"◆",""),IF(AND($D20&lt;CC$5+7,$E20&gt;CC$5),"■","")))</x:f>
      </x:c>
      <x:c r="CD20" s="7" t="str">
        <x:f>IF(OR($D20="",CD$5="",'상세일정'!AM20="제외"),"",IF($D20=$E20,IF(AND($D20&gt;=CD$5,$D20&lt;CD$5+7),"◆",""),IF(AND($D20&lt;CD$5+7,$E20&gt;CD$5),"■","")))</x:f>
      </x:c>
      <x:c r="CE20" s="7" t="str">
        <x:f>IF(OR($D20="",CE$5="",'상세일정'!AM20="제외"),"",IF($D20=$E20,IF(AND($D20&gt;=CE$5,$D20&lt;CE$5+7),"◆",""),IF(AND($D20&lt;CE$5+7,$E20&gt;CE$5),"■","")))</x:f>
      </x:c>
      <x:c r="CF20" s="7" t="str">
        <x:f>IF(OR($D20="",CF$5="",'상세일정'!AM20="제외"),"",IF($D20=$E20,IF(AND($D20&gt;=CF$5,$D20&lt;CF$5+7),"◆",""),IF(AND($D20&lt;CF$5+7,$E20&gt;CF$5),"■","")))</x:f>
      </x:c>
      <x:c r="CG20" s="7" t="str">
        <x:f>IF(OR($D20="",CG$5="",'상세일정'!AM20="제외"),"",IF($D20=$E20,IF(AND($D20&gt;=CG$5,$D20&lt;CG$5+7),"◆",""),IF(AND($D20&lt;CG$5+7,$E20&gt;CG$5),"■","")))</x:f>
      </x:c>
      <x:c r="CH20" s="7" t="str">
        <x:f>IF(OR($D20="",CH$5="",'상세일정'!AM20="제외"),"",IF($D20=$E20,IF(AND($D20&gt;=CH$5,$D20&lt;CH$5+7),"◆",""),IF(AND($D20&lt;CH$5+7,$E20&gt;CH$5),"■","")))</x:f>
      </x:c>
      <x:c r="CI20" s="7" t="str">
        <x:f>IF(OR($D20="",CI$5="",'상세일정'!AM20="제외"),"",IF($D20=$E20,IF(AND($D20&gt;=CI$5,$D20&lt;CI$5+7),"◆",""),IF(AND($D20&lt;CI$5+7,$E20&gt;CI$5),"■","")))</x:f>
      </x:c>
      <x:c r="CJ20" s="7" t="str">
        <x:f>IF(OR($D20="",CJ$5="",'상세일정'!AM20="제외"),"",IF($D20=$E20,IF(AND($D20&gt;=CJ$5,$D20&lt;CJ$5+7),"◆",""),IF(AND($D20&lt;CJ$5+7,$E20&gt;CJ$5),"■","")))</x:f>
      </x:c>
      <x:c r="CK20" s="7" t="str">
        <x:f>IF(OR($D20="",CK$5="",'상세일정'!AM20="제외"),"",IF($D20=$E20,IF(AND($D20&gt;=CK$5,$D20&lt;CK$5+7),"◆",""),IF(AND($D20&lt;CK$5+7,$E20&gt;CK$5),"■","")))</x:f>
      </x:c>
      <x:c r="CL20" s="7" t="str">
        <x:f>IF(OR($D20="",CL$5="",'상세일정'!AM20="제외"),"",IF($D20=$E20,IF(AND($D20&gt;=CL$5,$D20&lt;CL$5+7),"◆",""),IF(AND($D20&lt;CL$5+7,$E20&gt;CL$5),"■","")))</x:f>
      </x:c>
      <x:c r="CM20" s="7" t="str">
        <x:f>IF(OR($D20="",CM$5="",'상세일정'!AM20="제외"),"",IF($D20=$E20,IF(AND($D20&gt;=CM$5,$D20&lt;CM$5+7),"◆",""),IF(AND($D20&lt;CM$5+7,$E20&gt;CM$5),"■","")))</x:f>
      </x:c>
      <x:c r="CN20" s="7" t="str">
        <x:f>IF(OR($D20="",CN$5="",'상세일정'!AM20="제외"),"",IF($D20=$E20,IF(AND($D20&gt;=CN$5,$D20&lt;CN$5+7),"◆",""),IF(AND($D20&lt;CN$5+7,$E20&gt;CN$5),"■","")))</x:f>
      </x:c>
      <x:c r="CO20" s="7" t="str">
        <x:f>IF(OR($D20="",CO$5="",'상세일정'!AM20="제외"),"",IF($D20=$E20,IF(AND($D20&gt;=CO$5,$D20&lt;CO$5+7),"◆",""),IF(AND($D20&lt;CO$5+7,$E20&gt;CO$5),"■","")))</x:f>
      </x:c>
      <x:c r="CP20" s="7" t="str">
        <x:f>IF(OR($D20="",CP$5="",'상세일정'!AM20="제외"),"",IF($D20=$E20,IF(AND($D20&gt;=CP$5,$D20&lt;CP$5+7),"◆",""),IF(AND($D20&lt;CP$5+7,$E20&gt;CP$5),"■","")))</x:f>
      </x:c>
      <x:c r="CQ20" s="7" t="str">
        <x:f>IF(OR($D20="",CQ$5="",'상세일정'!AM20="제외"),"",IF($D20=$E20,IF(AND($D20&gt;=CQ$5,$D20&lt;CQ$5+7),"◆",""),IF(AND($D20&lt;CQ$5+7,$E20&gt;CQ$5),"■","")))</x:f>
      </x:c>
      <x:c r="CR20" s="7" t="str">
        <x:f>IF(OR($D20="",CR$5="",'상세일정'!AM20="제외"),"",IF($D20=$E20,IF(AND($D20&gt;=CR$5,$D20&lt;CR$5+7),"◆",""),IF(AND($D20&lt;CR$5+7,$E20&gt;CR$5),"■","")))</x:f>
      </x:c>
      <x:c r="CS20" s="7" t="str">
        <x:f>IF(OR($D20="",CS$5="",'상세일정'!AM20="제외"),"",IF($D20=$E20,IF(AND($D20&gt;=CS$5,$D20&lt;CS$5+7),"◆",""),IF(AND($D20&lt;CS$5+7,$E20&gt;CS$5),"■","")))</x:f>
      </x:c>
      <x:c r="CT20" s="7" t="str">
        <x:f>IF(OR($D20="",CT$5="",'상세일정'!AM20="제외"),"",IF($D20=$E20,IF(AND($D20&gt;=CT$5,$D20&lt;CT$5+7),"◆",""),IF(AND($D20&lt;CT$5+7,$E20&gt;CT$5),"■","")))</x:f>
      </x:c>
      <x:c r="CU20" s="7" t="str">
        <x:f>IF(OR($D20="",CU$5="",'상세일정'!AM20="제외"),"",IF($D20=$E20,IF(AND($D20&gt;=CU$5,$D20&lt;CU$5+7),"◆",""),IF(AND($D20&lt;CU$5+7,$E20&gt;CU$5),"■","")))</x:f>
      </x:c>
      <x:c r="CV20" s="7" t="str">
        <x:f>IF(OR($D20="",CV$5="",'상세일정'!AM20="제외"),"",IF($D20=$E20,IF(AND($D20&gt;=CV$5,$D20&lt;CV$5+7),"◆",""),IF(AND($D20&lt;CV$5+7,$E20&gt;CV$5),"■","")))</x:f>
      </x:c>
      <x:c r="CW20" s="7" t="str">
        <x:f>IF(OR($D20="",CW$5="",'상세일정'!AM20="제외"),"",IF($D20=$E20,IF(AND($D20&gt;=CW$5,$D20&lt;CW$5+7),"◆",""),IF(AND($D20&lt;CW$5+7,$E20&gt;CW$5),"■","")))</x:f>
      </x:c>
      <x:c r="CX20" s="7" t="str">
        <x:f>IF(OR($D20="",CX$5="",'상세일정'!AM20="제외"),"",IF($D20=$E20,IF(AND($D20&gt;=CX$5,$D20&lt;CX$5+7),"◆",""),IF(AND($D20&lt;CX$5+7,$E20&gt;CX$5),"■","")))</x:f>
      </x:c>
      <x:c r="CY20" s="7" t="str">
        <x:f>IF(OR($D20="",CY$5="",'상세일정'!AM20="제외"),"",IF($D20=$E20,IF(AND($D20&gt;=CY$5,$D20&lt;CY$5+7),"◆",""),IF(AND($D20&lt;CY$5+7,$E20&gt;CY$5),"■","")))</x:f>
      </x:c>
      <x:c r="CZ20" s="7" t="str">
        <x:f>IF(OR($D20="",CZ$5="",'상세일정'!AM20="제외"),"",IF($D20=$E20,IF(AND($D20&gt;=CZ$5,$D20&lt;CZ$5+7),"◆",""),IF(AND($D20&lt;CZ$5+7,$E20&gt;CZ$5),"■","")))</x:f>
      </x:c>
      <x:c r="DA20" s="7" t="str">
        <x:f>IF(OR($D20="",DA$5="",'상세일정'!AM20="제외"),"",IF($D20=$E20,IF(AND($D20&gt;=DA$5,$D20&lt;DA$5+7),"◆",""),IF(AND($D20&lt;DA$5+7,$E20&gt;DA$5),"■","")))</x:f>
      </x:c>
      <x:c r="DB20" s="7" t="str">
        <x:f>IF(OR($D20="",DB$5="",'상세일정'!AM20="제외"),"",IF($D20=$E20,IF(AND($D20&gt;=DB$5,$D20&lt;DB$5+7),"◆",""),IF(AND($D20&lt;DB$5+7,$E20&gt;DB$5),"■","")))</x:f>
      </x:c>
      <x:c r="DC20" s="7" t="str">
        <x:f>IF(OR($D20="",DC$5="",'상세일정'!AM20="제외"),"",IF($D20=$E20,IF(AND($D20&gt;=DC$5,$D20&lt;DC$5+7),"◆",""),IF(AND($D20&lt;DC$5+7,$E20&gt;DC$5),"■","")))</x:f>
      </x:c>
      <x:c r="DD20" s="7" t="str">
        <x:f>IF(OR($D20="",DD$5="",'상세일정'!AM20="제외"),"",IF($D20=$E20,IF(AND($D20&gt;=DD$5,$D20&lt;DD$5+7),"◆",""),IF(AND($D20&lt;DD$5+7,$E20&gt;DD$5),"■","")))</x:f>
      </x:c>
      <x:c r="DE20" s="7" t="str">
        <x:f>IF(OR($D20="",DE$5="",'상세일정'!AM20="제외"),"",IF($D20=$E20,IF(AND($D20&gt;=DE$5,$D20&lt;DE$5+7),"◆",""),IF(AND($D20&lt;DE$5+7,$E20&gt;DE$5),"■","")))</x:f>
      </x:c>
    </x:row>
    <x:row r="21" ht="34" customHeight="1">
      <x:c r="A21" s="7" t="str">
        <x:v>DB03</x:v>
      </x:c>
      <x:c r="B21" s="7" t="str">
        <x:v>04 공정·배치 기준</x:v>
      </x:c>
      <x:c r="C21" s="7" t="str">
        <x:v>PFD·물질수지·유틸리티 수지 개정</x:v>
      </x:c>
      <x:c r="D21" s="10" t="str">
        <x:f>'상세일정'!AJ21</x:f>
      </x:c>
      <x:c r="E21" s="10" t="str">
        <x:f>'상세일정'!AK21</x:f>
      </x:c>
      <x:c r="F21" s="7" t="str">
        <x:f>IF(OR($D21="",F$5="",'상세일정'!AM21="제외"),"",IF($D21=$E21,IF(AND($D21&gt;=F$5,$D21&lt;F$5+7),"◆",""),IF(AND($D21&lt;F$5+7,$E21&gt;F$5),"■","")))</x:f>
      </x:c>
      <x:c r="G21" s="7" t="str">
        <x:f>IF(OR($D21="",G$5="",'상세일정'!AM21="제외"),"",IF($D21=$E21,IF(AND($D21&gt;=G$5,$D21&lt;G$5+7),"◆",""),IF(AND($D21&lt;G$5+7,$E21&gt;G$5),"■","")))</x:f>
      </x:c>
      <x:c r="H21" s="7" t="str">
        <x:f>IF(OR($D21="",H$5="",'상세일정'!AM21="제외"),"",IF($D21=$E21,IF(AND($D21&gt;=H$5,$D21&lt;H$5+7),"◆",""),IF(AND($D21&lt;H$5+7,$E21&gt;H$5),"■","")))</x:f>
      </x:c>
      <x:c r="I21" s="7" t="str">
        <x:f>IF(OR($D21="",I$5="",'상세일정'!AM21="제외"),"",IF($D21=$E21,IF(AND($D21&gt;=I$5,$D21&lt;I$5+7),"◆",""),IF(AND($D21&lt;I$5+7,$E21&gt;I$5),"■","")))</x:f>
      </x:c>
      <x:c r="J21" s="7" t="str">
        <x:f>IF(OR($D21="",J$5="",'상세일정'!AM21="제외"),"",IF($D21=$E21,IF(AND($D21&gt;=J$5,$D21&lt;J$5+7),"◆",""),IF(AND($D21&lt;J$5+7,$E21&gt;J$5),"■","")))</x:f>
      </x:c>
      <x:c r="K21" s="7" t="str">
        <x:f>IF(OR($D21="",K$5="",'상세일정'!AM21="제외"),"",IF($D21=$E21,IF(AND($D21&gt;=K$5,$D21&lt;K$5+7),"◆",""),IF(AND($D21&lt;K$5+7,$E21&gt;K$5),"■","")))</x:f>
      </x:c>
      <x:c r="L21" s="7" t="str">
        <x:f>IF(OR($D21="",L$5="",'상세일정'!AM21="제외"),"",IF($D21=$E21,IF(AND($D21&gt;=L$5,$D21&lt;L$5+7),"◆",""),IF(AND($D21&lt;L$5+7,$E21&gt;L$5),"■","")))</x:f>
      </x:c>
      <x:c r="M21" s="7" t="str">
        <x:f>IF(OR($D21="",M$5="",'상세일정'!AM21="제외"),"",IF($D21=$E21,IF(AND($D21&gt;=M$5,$D21&lt;M$5+7),"◆",""),IF(AND($D21&lt;M$5+7,$E21&gt;M$5),"■","")))</x:f>
      </x:c>
      <x:c r="N21" s="7" t="str">
        <x:f>IF(OR($D21="",N$5="",'상세일정'!AM21="제외"),"",IF($D21=$E21,IF(AND($D21&gt;=N$5,$D21&lt;N$5+7),"◆",""),IF(AND($D21&lt;N$5+7,$E21&gt;N$5),"■","")))</x:f>
      </x:c>
      <x:c r="O21" s="7" t="str">
        <x:f>IF(OR($D21="",O$5="",'상세일정'!AM21="제외"),"",IF($D21=$E21,IF(AND($D21&gt;=O$5,$D21&lt;O$5+7),"◆",""),IF(AND($D21&lt;O$5+7,$E21&gt;O$5),"■","")))</x:f>
      </x:c>
      <x:c r="P21" s="7" t="str">
        <x:f>IF(OR($D21="",P$5="",'상세일정'!AM21="제외"),"",IF($D21=$E21,IF(AND($D21&gt;=P$5,$D21&lt;P$5+7),"◆",""),IF(AND($D21&lt;P$5+7,$E21&gt;P$5),"■","")))</x:f>
      </x:c>
      <x:c r="Q21" s="7" t="str">
        <x:f>IF(OR($D21="",Q$5="",'상세일정'!AM21="제외"),"",IF($D21=$E21,IF(AND($D21&gt;=Q$5,$D21&lt;Q$5+7),"◆",""),IF(AND($D21&lt;Q$5+7,$E21&gt;Q$5),"■","")))</x:f>
      </x:c>
      <x:c r="R21" s="7" t="str">
        <x:f>IF(OR($D21="",R$5="",'상세일정'!AM21="제외"),"",IF($D21=$E21,IF(AND($D21&gt;=R$5,$D21&lt;R$5+7),"◆",""),IF(AND($D21&lt;R$5+7,$E21&gt;R$5),"■","")))</x:f>
      </x:c>
      <x:c r="S21" s="7" t="str">
        <x:f>IF(OR($D21="",S$5="",'상세일정'!AM21="제외"),"",IF($D21=$E21,IF(AND($D21&gt;=S$5,$D21&lt;S$5+7),"◆",""),IF(AND($D21&lt;S$5+7,$E21&gt;S$5),"■","")))</x:f>
      </x:c>
      <x:c r="T21" s="7" t="str">
        <x:f>IF(OR($D21="",T$5="",'상세일정'!AM21="제외"),"",IF($D21=$E21,IF(AND($D21&gt;=T$5,$D21&lt;T$5+7),"◆",""),IF(AND($D21&lt;T$5+7,$E21&gt;T$5),"■","")))</x:f>
      </x:c>
      <x:c r="U21" s="7" t="str">
        <x:f>IF(OR($D21="",U$5="",'상세일정'!AM21="제외"),"",IF($D21=$E21,IF(AND($D21&gt;=U$5,$D21&lt;U$5+7),"◆",""),IF(AND($D21&lt;U$5+7,$E21&gt;U$5),"■","")))</x:f>
      </x:c>
      <x:c r="V21" s="7" t="str">
        <x:f>IF(OR($D21="",V$5="",'상세일정'!AM21="제외"),"",IF($D21=$E21,IF(AND($D21&gt;=V$5,$D21&lt;V$5+7),"◆",""),IF(AND($D21&lt;V$5+7,$E21&gt;V$5),"■","")))</x:f>
      </x:c>
      <x:c r="W21" s="7" t="str">
        <x:f>IF(OR($D21="",W$5="",'상세일정'!AM21="제외"),"",IF($D21=$E21,IF(AND($D21&gt;=W$5,$D21&lt;W$5+7),"◆",""),IF(AND($D21&lt;W$5+7,$E21&gt;W$5),"■","")))</x:f>
      </x:c>
      <x:c r="X21" s="7" t="str">
        <x:f>IF(OR($D21="",X$5="",'상세일정'!AM21="제외"),"",IF($D21=$E21,IF(AND($D21&gt;=X$5,$D21&lt;X$5+7),"◆",""),IF(AND($D21&lt;X$5+7,$E21&gt;X$5),"■","")))</x:f>
      </x:c>
      <x:c r="Y21" s="7" t="str">
        <x:f>IF(OR($D21="",Y$5="",'상세일정'!AM21="제외"),"",IF($D21=$E21,IF(AND($D21&gt;=Y$5,$D21&lt;Y$5+7),"◆",""),IF(AND($D21&lt;Y$5+7,$E21&gt;Y$5),"■","")))</x:f>
      </x:c>
      <x:c r="Z21" s="7" t="str">
        <x:f>IF(OR($D21="",Z$5="",'상세일정'!AM21="제외"),"",IF($D21=$E21,IF(AND($D21&gt;=Z$5,$D21&lt;Z$5+7),"◆",""),IF(AND($D21&lt;Z$5+7,$E21&gt;Z$5),"■","")))</x:f>
      </x:c>
      <x:c r="AA21" s="7" t="str">
        <x:f>IF(OR($D21="",AA$5="",'상세일정'!AM21="제외"),"",IF($D21=$E21,IF(AND($D21&gt;=AA$5,$D21&lt;AA$5+7),"◆",""),IF(AND($D21&lt;AA$5+7,$E21&gt;AA$5),"■","")))</x:f>
      </x:c>
      <x:c r="AB21" s="7" t="str">
        <x:f>IF(OR($D21="",AB$5="",'상세일정'!AM21="제외"),"",IF($D21=$E21,IF(AND($D21&gt;=AB$5,$D21&lt;AB$5+7),"◆",""),IF(AND($D21&lt;AB$5+7,$E21&gt;AB$5),"■","")))</x:f>
      </x:c>
      <x:c r="AC21" s="7" t="str">
        <x:f>IF(OR($D21="",AC$5="",'상세일정'!AM21="제외"),"",IF($D21=$E21,IF(AND($D21&gt;=AC$5,$D21&lt;AC$5+7),"◆",""),IF(AND($D21&lt;AC$5+7,$E21&gt;AC$5),"■","")))</x:f>
      </x:c>
      <x:c r="AD21" s="7" t="str">
        <x:f>IF(OR($D21="",AD$5="",'상세일정'!AM21="제외"),"",IF($D21=$E21,IF(AND($D21&gt;=AD$5,$D21&lt;AD$5+7),"◆",""),IF(AND($D21&lt;AD$5+7,$E21&gt;AD$5),"■","")))</x:f>
      </x:c>
      <x:c r="AE21" s="7" t="str">
        <x:f>IF(OR($D21="",AE$5="",'상세일정'!AM21="제외"),"",IF($D21=$E21,IF(AND($D21&gt;=AE$5,$D21&lt;AE$5+7),"◆",""),IF(AND($D21&lt;AE$5+7,$E21&gt;AE$5),"■","")))</x:f>
      </x:c>
      <x:c r="AF21" s="7" t="str">
        <x:f>IF(OR($D21="",AF$5="",'상세일정'!AM21="제외"),"",IF($D21=$E21,IF(AND($D21&gt;=AF$5,$D21&lt;AF$5+7),"◆",""),IF(AND($D21&lt;AF$5+7,$E21&gt;AF$5),"■","")))</x:f>
      </x:c>
      <x:c r="AG21" s="7" t="str">
        <x:f>IF(OR($D21="",AG$5="",'상세일정'!AM21="제외"),"",IF($D21=$E21,IF(AND($D21&gt;=AG$5,$D21&lt;AG$5+7),"◆",""),IF(AND($D21&lt;AG$5+7,$E21&gt;AG$5),"■","")))</x:f>
      </x:c>
      <x:c r="AH21" s="7" t="str">
        <x:f>IF(OR($D21="",AH$5="",'상세일정'!AM21="제외"),"",IF($D21=$E21,IF(AND($D21&gt;=AH$5,$D21&lt;AH$5+7),"◆",""),IF(AND($D21&lt;AH$5+7,$E21&gt;AH$5),"■","")))</x:f>
      </x:c>
      <x:c r="AI21" s="7" t="str">
        <x:f>IF(OR($D21="",AI$5="",'상세일정'!AM21="제외"),"",IF($D21=$E21,IF(AND($D21&gt;=AI$5,$D21&lt;AI$5+7),"◆",""),IF(AND($D21&lt;AI$5+7,$E21&gt;AI$5),"■","")))</x:f>
      </x:c>
      <x:c r="AJ21" s="7" t="str">
        <x:f>IF(OR($D21="",AJ$5="",'상세일정'!AM21="제외"),"",IF($D21=$E21,IF(AND($D21&gt;=AJ$5,$D21&lt;AJ$5+7),"◆",""),IF(AND($D21&lt;AJ$5+7,$E21&gt;AJ$5),"■","")))</x:f>
      </x:c>
      <x:c r="AK21" s="7" t="str">
        <x:f>IF(OR($D21="",AK$5="",'상세일정'!AM21="제외"),"",IF($D21=$E21,IF(AND($D21&gt;=AK$5,$D21&lt;AK$5+7),"◆",""),IF(AND($D21&lt;AK$5+7,$E21&gt;AK$5),"■","")))</x:f>
      </x:c>
      <x:c r="AL21" s="7" t="str">
        <x:f>IF(OR($D21="",AL$5="",'상세일정'!AM21="제외"),"",IF($D21=$E21,IF(AND($D21&gt;=AL$5,$D21&lt;AL$5+7),"◆",""),IF(AND($D21&lt;AL$5+7,$E21&gt;AL$5),"■","")))</x:f>
      </x:c>
      <x:c r="AM21" s="7" t="str">
        <x:f>IF(OR($D21="",AM$5="",'상세일정'!AM21="제외"),"",IF($D21=$E21,IF(AND($D21&gt;=AM$5,$D21&lt;AM$5+7),"◆",""),IF(AND($D21&lt;AM$5+7,$E21&gt;AM$5),"■","")))</x:f>
      </x:c>
      <x:c r="AN21" s="7" t="str">
        <x:f>IF(OR($D21="",AN$5="",'상세일정'!AM21="제외"),"",IF($D21=$E21,IF(AND($D21&gt;=AN$5,$D21&lt;AN$5+7),"◆",""),IF(AND($D21&lt;AN$5+7,$E21&gt;AN$5),"■","")))</x:f>
      </x:c>
      <x:c r="AO21" s="7" t="str">
        <x:f>IF(OR($D21="",AO$5="",'상세일정'!AM21="제외"),"",IF($D21=$E21,IF(AND($D21&gt;=AO$5,$D21&lt;AO$5+7),"◆",""),IF(AND($D21&lt;AO$5+7,$E21&gt;AO$5),"■","")))</x:f>
      </x:c>
      <x:c r="AP21" s="7" t="str">
        <x:f>IF(OR($D21="",AP$5="",'상세일정'!AM21="제외"),"",IF($D21=$E21,IF(AND($D21&gt;=AP$5,$D21&lt;AP$5+7),"◆",""),IF(AND($D21&lt;AP$5+7,$E21&gt;AP$5),"■","")))</x:f>
      </x:c>
      <x:c r="AQ21" s="7" t="str">
        <x:f>IF(OR($D21="",AQ$5="",'상세일정'!AM21="제외"),"",IF($D21=$E21,IF(AND($D21&gt;=AQ$5,$D21&lt;AQ$5+7),"◆",""),IF(AND($D21&lt;AQ$5+7,$E21&gt;AQ$5),"■","")))</x:f>
      </x:c>
      <x:c r="AR21" s="7" t="str">
        <x:f>IF(OR($D21="",AR$5="",'상세일정'!AM21="제외"),"",IF($D21=$E21,IF(AND($D21&gt;=AR$5,$D21&lt;AR$5+7),"◆",""),IF(AND($D21&lt;AR$5+7,$E21&gt;AR$5),"■","")))</x:f>
      </x:c>
      <x:c r="AS21" s="7" t="str">
        <x:f>IF(OR($D21="",AS$5="",'상세일정'!AM21="제외"),"",IF($D21=$E21,IF(AND($D21&gt;=AS$5,$D21&lt;AS$5+7),"◆",""),IF(AND($D21&lt;AS$5+7,$E21&gt;AS$5),"■","")))</x:f>
      </x:c>
      <x:c r="AT21" s="7" t="str">
        <x:f>IF(OR($D21="",AT$5="",'상세일정'!AM21="제외"),"",IF($D21=$E21,IF(AND($D21&gt;=AT$5,$D21&lt;AT$5+7),"◆",""),IF(AND($D21&lt;AT$5+7,$E21&gt;AT$5),"■","")))</x:f>
      </x:c>
      <x:c r="AU21" s="7" t="str">
        <x:f>IF(OR($D21="",AU$5="",'상세일정'!AM21="제외"),"",IF($D21=$E21,IF(AND($D21&gt;=AU$5,$D21&lt;AU$5+7),"◆",""),IF(AND($D21&lt;AU$5+7,$E21&gt;AU$5),"■","")))</x:f>
      </x:c>
      <x:c r="AV21" s="7" t="str">
        <x:f>IF(OR($D21="",AV$5="",'상세일정'!AM21="제외"),"",IF($D21=$E21,IF(AND($D21&gt;=AV$5,$D21&lt;AV$5+7),"◆",""),IF(AND($D21&lt;AV$5+7,$E21&gt;AV$5),"■","")))</x:f>
      </x:c>
      <x:c r="AW21" s="7" t="str">
        <x:f>IF(OR($D21="",AW$5="",'상세일정'!AM21="제외"),"",IF($D21=$E21,IF(AND($D21&gt;=AW$5,$D21&lt;AW$5+7),"◆",""),IF(AND($D21&lt;AW$5+7,$E21&gt;AW$5),"■","")))</x:f>
      </x:c>
      <x:c r="AX21" s="7" t="str">
        <x:f>IF(OR($D21="",AX$5="",'상세일정'!AM21="제외"),"",IF($D21=$E21,IF(AND($D21&gt;=AX$5,$D21&lt;AX$5+7),"◆",""),IF(AND($D21&lt;AX$5+7,$E21&gt;AX$5),"■","")))</x:f>
      </x:c>
      <x:c r="AY21" s="7" t="str">
        <x:f>IF(OR($D21="",AY$5="",'상세일정'!AM21="제외"),"",IF($D21=$E21,IF(AND($D21&gt;=AY$5,$D21&lt;AY$5+7),"◆",""),IF(AND($D21&lt;AY$5+7,$E21&gt;AY$5),"■","")))</x:f>
      </x:c>
      <x:c r="AZ21" s="7" t="str">
        <x:f>IF(OR($D21="",AZ$5="",'상세일정'!AM21="제외"),"",IF($D21=$E21,IF(AND($D21&gt;=AZ$5,$D21&lt;AZ$5+7),"◆",""),IF(AND($D21&lt;AZ$5+7,$E21&gt;AZ$5),"■","")))</x:f>
      </x:c>
      <x:c r="BA21" s="7" t="str">
        <x:f>IF(OR($D21="",BA$5="",'상세일정'!AM21="제외"),"",IF($D21=$E21,IF(AND($D21&gt;=BA$5,$D21&lt;BA$5+7),"◆",""),IF(AND($D21&lt;BA$5+7,$E21&gt;BA$5),"■","")))</x:f>
      </x:c>
      <x:c r="BB21" s="7" t="str">
        <x:f>IF(OR($D21="",BB$5="",'상세일정'!AM21="제외"),"",IF($D21=$E21,IF(AND($D21&gt;=BB$5,$D21&lt;BB$5+7),"◆",""),IF(AND($D21&lt;BB$5+7,$E21&gt;BB$5),"■","")))</x:f>
      </x:c>
      <x:c r="BC21" s="7" t="str">
        <x:f>IF(OR($D21="",BC$5="",'상세일정'!AM21="제외"),"",IF($D21=$E21,IF(AND($D21&gt;=BC$5,$D21&lt;BC$5+7),"◆",""),IF(AND($D21&lt;BC$5+7,$E21&gt;BC$5),"■","")))</x:f>
      </x:c>
      <x:c r="BD21" s="7" t="str">
        <x:f>IF(OR($D21="",BD$5="",'상세일정'!AM21="제외"),"",IF($D21=$E21,IF(AND($D21&gt;=BD$5,$D21&lt;BD$5+7),"◆",""),IF(AND($D21&lt;BD$5+7,$E21&gt;BD$5),"■","")))</x:f>
      </x:c>
      <x:c r="BE21" s="7" t="str">
        <x:f>IF(OR($D21="",BE$5="",'상세일정'!AM21="제외"),"",IF($D21=$E21,IF(AND($D21&gt;=BE$5,$D21&lt;BE$5+7),"◆",""),IF(AND($D21&lt;BE$5+7,$E21&gt;BE$5),"■","")))</x:f>
      </x:c>
      <x:c r="BF21" s="7" t="str">
        <x:f>IF(OR($D21="",BF$5="",'상세일정'!AM21="제외"),"",IF($D21=$E21,IF(AND($D21&gt;=BF$5,$D21&lt;BF$5+7),"◆",""),IF(AND($D21&lt;BF$5+7,$E21&gt;BF$5),"■","")))</x:f>
      </x:c>
      <x:c r="BG21" s="7" t="str">
        <x:f>IF(OR($D21="",BG$5="",'상세일정'!AM21="제외"),"",IF($D21=$E21,IF(AND($D21&gt;=BG$5,$D21&lt;BG$5+7),"◆",""),IF(AND($D21&lt;BG$5+7,$E21&gt;BG$5),"■","")))</x:f>
      </x:c>
      <x:c r="BH21" s="7" t="str">
        <x:f>IF(OR($D21="",BH$5="",'상세일정'!AM21="제외"),"",IF($D21=$E21,IF(AND($D21&gt;=BH$5,$D21&lt;BH$5+7),"◆",""),IF(AND($D21&lt;BH$5+7,$E21&gt;BH$5),"■","")))</x:f>
      </x:c>
      <x:c r="BI21" s="7" t="str">
        <x:f>IF(OR($D21="",BI$5="",'상세일정'!AM21="제외"),"",IF($D21=$E21,IF(AND($D21&gt;=BI$5,$D21&lt;BI$5+7),"◆",""),IF(AND($D21&lt;BI$5+7,$E21&gt;BI$5),"■","")))</x:f>
      </x:c>
      <x:c r="BJ21" s="7" t="str">
        <x:f>IF(OR($D21="",BJ$5="",'상세일정'!AM21="제외"),"",IF($D21=$E21,IF(AND($D21&gt;=BJ$5,$D21&lt;BJ$5+7),"◆",""),IF(AND($D21&lt;BJ$5+7,$E21&gt;BJ$5),"■","")))</x:f>
      </x:c>
      <x:c r="BK21" s="7" t="str">
        <x:f>IF(OR($D21="",BK$5="",'상세일정'!AM21="제외"),"",IF($D21=$E21,IF(AND($D21&gt;=BK$5,$D21&lt;BK$5+7),"◆",""),IF(AND($D21&lt;BK$5+7,$E21&gt;BK$5),"■","")))</x:f>
      </x:c>
      <x:c r="BL21" s="7" t="str">
        <x:f>IF(OR($D21="",BL$5="",'상세일정'!AM21="제외"),"",IF($D21=$E21,IF(AND($D21&gt;=BL$5,$D21&lt;BL$5+7),"◆",""),IF(AND($D21&lt;BL$5+7,$E21&gt;BL$5),"■","")))</x:f>
      </x:c>
      <x:c r="BM21" s="7" t="str">
        <x:f>IF(OR($D21="",BM$5="",'상세일정'!AM21="제외"),"",IF($D21=$E21,IF(AND($D21&gt;=BM$5,$D21&lt;BM$5+7),"◆",""),IF(AND($D21&lt;BM$5+7,$E21&gt;BM$5),"■","")))</x:f>
      </x:c>
      <x:c r="BN21" s="7" t="str">
        <x:f>IF(OR($D21="",BN$5="",'상세일정'!AM21="제외"),"",IF($D21=$E21,IF(AND($D21&gt;=BN$5,$D21&lt;BN$5+7),"◆",""),IF(AND($D21&lt;BN$5+7,$E21&gt;BN$5),"■","")))</x:f>
      </x:c>
      <x:c r="BO21" s="7" t="str">
        <x:f>IF(OR($D21="",BO$5="",'상세일정'!AM21="제외"),"",IF($D21=$E21,IF(AND($D21&gt;=BO$5,$D21&lt;BO$5+7),"◆",""),IF(AND($D21&lt;BO$5+7,$E21&gt;BO$5),"■","")))</x:f>
      </x:c>
      <x:c r="BP21" s="7" t="str">
        <x:f>IF(OR($D21="",BP$5="",'상세일정'!AM21="제외"),"",IF($D21=$E21,IF(AND($D21&gt;=BP$5,$D21&lt;BP$5+7),"◆",""),IF(AND($D21&lt;BP$5+7,$E21&gt;BP$5),"■","")))</x:f>
      </x:c>
      <x:c r="BQ21" s="7" t="str">
        <x:f>IF(OR($D21="",BQ$5="",'상세일정'!AM21="제외"),"",IF($D21=$E21,IF(AND($D21&gt;=BQ$5,$D21&lt;BQ$5+7),"◆",""),IF(AND($D21&lt;BQ$5+7,$E21&gt;BQ$5),"■","")))</x:f>
      </x:c>
      <x:c r="BR21" s="7" t="str">
        <x:f>IF(OR($D21="",BR$5="",'상세일정'!AM21="제외"),"",IF($D21=$E21,IF(AND($D21&gt;=BR$5,$D21&lt;BR$5+7),"◆",""),IF(AND($D21&lt;BR$5+7,$E21&gt;BR$5),"■","")))</x:f>
      </x:c>
      <x:c r="BS21" s="7" t="str">
        <x:f>IF(OR($D21="",BS$5="",'상세일정'!AM21="제외"),"",IF($D21=$E21,IF(AND($D21&gt;=BS$5,$D21&lt;BS$5+7),"◆",""),IF(AND($D21&lt;BS$5+7,$E21&gt;BS$5),"■","")))</x:f>
      </x:c>
      <x:c r="BT21" s="7" t="str">
        <x:f>IF(OR($D21="",BT$5="",'상세일정'!AM21="제외"),"",IF($D21=$E21,IF(AND($D21&gt;=BT$5,$D21&lt;BT$5+7),"◆",""),IF(AND($D21&lt;BT$5+7,$E21&gt;BT$5),"■","")))</x:f>
      </x:c>
      <x:c r="BU21" s="7" t="str">
        <x:f>IF(OR($D21="",BU$5="",'상세일정'!AM21="제외"),"",IF($D21=$E21,IF(AND($D21&gt;=BU$5,$D21&lt;BU$5+7),"◆",""),IF(AND($D21&lt;BU$5+7,$E21&gt;BU$5),"■","")))</x:f>
      </x:c>
      <x:c r="BV21" s="7" t="str">
        <x:f>IF(OR($D21="",BV$5="",'상세일정'!AM21="제외"),"",IF($D21=$E21,IF(AND($D21&gt;=BV$5,$D21&lt;BV$5+7),"◆",""),IF(AND($D21&lt;BV$5+7,$E21&gt;BV$5),"■","")))</x:f>
      </x:c>
      <x:c r="BW21" s="7" t="str">
        <x:f>IF(OR($D21="",BW$5="",'상세일정'!AM21="제외"),"",IF($D21=$E21,IF(AND($D21&gt;=BW$5,$D21&lt;BW$5+7),"◆",""),IF(AND($D21&lt;BW$5+7,$E21&gt;BW$5),"■","")))</x:f>
      </x:c>
      <x:c r="BX21" s="7" t="str">
        <x:f>IF(OR($D21="",BX$5="",'상세일정'!AM21="제외"),"",IF($D21=$E21,IF(AND($D21&gt;=BX$5,$D21&lt;BX$5+7),"◆",""),IF(AND($D21&lt;BX$5+7,$E21&gt;BX$5),"■","")))</x:f>
      </x:c>
      <x:c r="BY21" s="7" t="str">
        <x:f>IF(OR($D21="",BY$5="",'상세일정'!AM21="제외"),"",IF($D21=$E21,IF(AND($D21&gt;=BY$5,$D21&lt;BY$5+7),"◆",""),IF(AND($D21&lt;BY$5+7,$E21&gt;BY$5),"■","")))</x:f>
      </x:c>
      <x:c r="BZ21" s="7" t="str">
        <x:f>IF(OR($D21="",BZ$5="",'상세일정'!AM21="제외"),"",IF($D21=$E21,IF(AND($D21&gt;=BZ$5,$D21&lt;BZ$5+7),"◆",""),IF(AND($D21&lt;BZ$5+7,$E21&gt;BZ$5),"■","")))</x:f>
      </x:c>
      <x:c r="CA21" s="7" t="str">
        <x:f>IF(OR($D21="",CA$5="",'상세일정'!AM21="제외"),"",IF($D21=$E21,IF(AND($D21&gt;=CA$5,$D21&lt;CA$5+7),"◆",""),IF(AND($D21&lt;CA$5+7,$E21&gt;CA$5),"■","")))</x:f>
      </x:c>
      <x:c r="CB21" s="7" t="str">
        <x:f>IF(OR($D21="",CB$5="",'상세일정'!AM21="제외"),"",IF($D21=$E21,IF(AND($D21&gt;=CB$5,$D21&lt;CB$5+7),"◆",""),IF(AND($D21&lt;CB$5+7,$E21&gt;CB$5),"■","")))</x:f>
      </x:c>
      <x:c r="CC21" s="7" t="str">
        <x:f>IF(OR($D21="",CC$5="",'상세일정'!AM21="제외"),"",IF($D21=$E21,IF(AND($D21&gt;=CC$5,$D21&lt;CC$5+7),"◆",""),IF(AND($D21&lt;CC$5+7,$E21&gt;CC$5),"■","")))</x:f>
      </x:c>
      <x:c r="CD21" s="7" t="str">
        <x:f>IF(OR($D21="",CD$5="",'상세일정'!AM21="제외"),"",IF($D21=$E21,IF(AND($D21&gt;=CD$5,$D21&lt;CD$5+7),"◆",""),IF(AND($D21&lt;CD$5+7,$E21&gt;CD$5),"■","")))</x:f>
      </x:c>
      <x:c r="CE21" s="7" t="str">
        <x:f>IF(OR($D21="",CE$5="",'상세일정'!AM21="제외"),"",IF($D21=$E21,IF(AND($D21&gt;=CE$5,$D21&lt;CE$5+7),"◆",""),IF(AND($D21&lt;CE$5+7,$E21&gt;CE$5),"■","")))</x:f>
      </x:c>
      <x:c r="CF21" s="7" t="str">
        <x:f>IF(OR($D21="",CF$5="",'상세일정'!AM21="제외"),"",IF($D21=$E21,IF(AND($D21&gt;=CF$5,$D21&lt;CF$5+7),"◆",""),IF(AND($D21&lt;CF$5+7,$E21&gt;CF$5),"■","")))</x:f>
      </x:c>
      <x:c r="CG21" s="7" t="str">
        <x:f>IF(OR($D21="",CG$5="",'상세일정'!AM21="제외"),"",IF($D21=$E21,IF(AND($D21&gt;=CG$5,$D21&lt;CG$5+7),"◆",""),IF(AND($D21&lt;CG$5+7,$E21&gt;CG$5),"■","")))</x:f>
      </x:c>
      <x:c r="CH21" s="7" t="str">
        <x:f>IF(OR($D21="",CH$5="",'상세일정'!AM21="제외"),"",IF($D21=$E21,IF(AND($D21&gt;=CH$5,$D21&lt;CH$5+7),"◆",""),IF(AND($D21&lt;CH$5+7,$E21&gt;CH$5),"■","")))</x:f>
      </x:c>
      <x:c r="CI21" s="7" t="str">
        <x:f>IF(OR($D21="",CI$5="",'상세일정'!AM21="제외"),"",IF($D21=$E21,IF(AND($D21&gt;=CI$5,$D21&lt;CI$5+7),"◆",""),IF(AND($D21&lt;CI$5+7,$E21&gt;CI$5),"■","")))</x:f>
      </x:c>
      <x:c r="CJ21" s="7" t="str">
        <x:f>IF(OR($D21="",CJ$5="",'상세일정'!AM21="제외"),"",IF($D21=$E21,IF(AND($D21&gt;=CJ$5,$D21&lt;CJ$5+7),"◆",""),IF(AND($D21&lt;CJ$5+7,$E21&gt;CJ$5),"■","")))</x:f>
      </x:c>
      <x:c r="CK21" s="7" t="str">
        <x:f>IF(OR($D21="",CK$5="",'상세일정'!AM21="제외"),"",IF($D21=$E21,IF(AND($D21&gt;=CK$5,$D21&lt;CK$5+7),"◆",""),IF(AND($D21&lt;CK$5+7,$E21&gt;CK$5),"■","")))</x:f>
      </x:c>
      <x:c r="CL21" s="7" t="str">
        <x:f>IF(OR($D21="",CL$5="",'상세일정'!AM21="제외"),"",IF($D21=$E21,IF(AND($D21&gt;=CL$5,$D21&lt;CL$5+7),"◆",""),IF(AND($D21&lt;CL$5+7,$E21&gt;CL$5),"■","")))</x:f>
      </x:c>
      <x:c r="CM21" s="7" t="str">
        <x:f>IF(OR($D21="",CM$5="",'상세일정'!AM21="제외"),"",IF($D21=$E21,IF(AND($D21&gt;=CM$5,$D21&lt;CM$5+7),"◆",""),IF(AND($D21&lt;CM$5+7,$E21&gt;CM$5),"■","")))</x:f>
      </x:c>
      <x:c r="CN21" s="7" t="str">
        <x:f>IF(OR($D21="",CN$5="",'상세일정'!AM21="제외"),"",IF($D21=$E21,IF(AND($D21&gt;=CN$5,$D21&lt;CN$5+7),"◆",""),IF(AND($D21&lt;CN$5+7,$E21&gt;CN$5),"■","")))</x:f>
      </x:c>
      <x:c r="CO21" s="7" t="str">
        <x:f>IF(OR($D21="",CO$5="",'상세일정'!AM21="제외"),"",IF($D21=$E21,IF(AND($D21&gt;=CO$5,$D21&lt;CO$5+7),"◆",""),IF(AND($D21&lt;CO$5+7,$E21&gt;CO$5),"■","")))</x:f>
      </x:c>
      <x:c r="CP21" s="7" t="str">
        <x:f>IF(OR($D21="",CP$5="",'상세일정'!AM21="제외"),"",IF($D21=$E21,IF(AND($D21&gt;=CP$5,$D21&lt;CP$5+7),"◆",""),IF(AND($D21&lt;CP$5+7,$E21&gt;CP$5),"■","")))</x:f>
      </x:c>
      <x:c r="CQ21" s="7" t="str">
        <x:f>IF(OR($D21="",CQ$5="",'상세일정'!AM21="제외"),"",IF($D21=$E21,IF(AND($D21&gt;=CQ$5,$D21&lt;CQ$5+7),"◆",""),IF(AND($D21&lt;CQ$5+7,$E21&gt;CQ$5),"■","")))</x:f>
      </x:c>
      <x:c r="CR21" s="7" t="str">
        <x:f>IF(OR($D21="",CR$5="",'상세일정'!AM21="제외"),"",IF($D21=$E21,IF(AND($D21&gt;=CR$5,$D21&lt;CR$5+7),"◆",""),IF(AND($D21&lt;CR$5+7,$E21&gt;CR$5),"■","")))</x:f>
      </x:c>
      <x:c r="CS21" s="7" t="str">
        <x:f>IF(OR($D21="",CS$5="",'상세일정'!AM21="제외"),"",IF($D21=$E21,IF(AND($D21&gt;=CS$5,$D21&lt;CS$5+7),"◆",""),IF(AND($D21&lt;CS$5+7,$E21&gt;CS$5),"■","")))</x:f>
      </x:c>
      <x:c r="CT21" s="7" t="str">
        <x:f>IF(OR($D21="",CT$5="",'상세일정'!AM21="제외"),"",IF($D21=$E21,IF(AND($D21&gt;=CT$5,$D21&lt;CT$5+7),"◆",""),IF(AND($D21&lt;CT$5+7,$E21&gt;CT$5),"■","")))</x:f>
      </x:c>
      <x:c r="CU21" s="7" t="str">
        <x:f>IF(OR($D21="",CU$5="",'상세일정'!AM21="제외"),"",IF($D21=$E21,IF(AND($D21&gt;=CU$5,$D21&lt;CU$5+7),"◆",""),IF(AND($D21&lt;CU$5+7,$E21&gt;CU$5),"■","")))</x:f>
      </x:c>
      <x:c r="CV21" s="7" t="str">
        <x:f>IF(OR($D21="",CV$5="",'상세일정'!AM21="제외"),"",IF($D21=$E21,IF(AND($D21&gt;=CV$5,$D21&lt;CV$5+7),"◆",""),IF(AND($D21&lt;CV$5+7,$E21&gt;CV$5),"■","")))</x:f>
      </x:c>
      <x:c r="CW21" s="7" t="str">
        <x:f>IF(OR($D21="",CW$5="",'상세일정'!AM21="제외"),"",IF($D21=$E21,IF(AND($D21&gt;=CW$5,$D21&lt;CW$5+7),"◆",""),IF(AND($D21&lt;CW$5+7,$E21&gt;CW$5),"■","")))</x:f>
      </x:c>
      <x:c r="CX21" s="7" t="str">
        <x:f>IF(OR($D21="",CX$5="",'상세일정'!AM21="제외"),"",IF($D21=$E21,IF(AND($D21&gt;=CX$5,$D21&lt;CX$5+7),"◆",""),IF(AND($D21&lt;CX$5+7,$E21&gt;CX$5),"■","")))</x:f>
      </x:c>
      <x:c r="CY21" s="7" t="str">
        <x:f>IF(OR($D21="",CY$5="",'상세일정'!AM21="제외"),"",IF($D21=$E21,IF(AND($D21&gt;=CY$5,$D21&lt;CY$5+7),"◆",""),IF(AND($D21&lt;CY$5+7,$E21&gt;CY$5),"■","")))</x:f>
      </x:c>
      <x:c r="CZ21" s="7" t="str">
        <x:f>IF(OR($D21="",CZ$5="",'상세일정'!AM21="제외"),"",IF($D21=$E21,IF(AND($D21&gt;=CZ$5,$D21&lt;CZ$5+7),"◆",""),IF(AND($D21&lt;CZ$5+7,$E21&gt;CZ$5),"■","")))</x:f>
      </x:c>
      <x:c r="DA21" s="7" t="str">
        <x:f>IF(OR($D21="",DA$5="",'상세일정'!AM21="제외"),"",IF($D21=$E21,IF(AND($D21&gt;=DA$5,$D21&lt;DA$5+7),"◆",""),IF(AND($D21&lt;DA$5+7,$E21&gt;DA$5),"■","")))</x:f>
      </x:c>
      <x:c r="DB21" s="7" t="str">
        <x:f>IF(OR($D21="",DB$5="",'상세일정'!AM21="제외"),"",IF($D21=$E21,IF(AND($D21&gt;=DB$5,$D21&lt;DB$5+7),"◆",""),IF(AND($D21&lt;DB$5+7,$E21&gt;DB$5),"■","")))</x:f>
      </x:c>
      <x:c r="DC21" s="7" t="str">
        <x:f>IF(OR($D21="",DC$5="",'상세일정'!AM21="제외"),"",IF($D21=$E21,IF(AND($D21&gt;=DC$5,$D21&lt;DC$5+7),"◆",""),IF(AND($D21&lt;DC$5+7,$E21&gt;DC$5),"■","")))</x:f>
      </x:c>
      <x:c r="DD21" s="7" t="str">
        <x:f>IF(OR($D21="",DD$5="",'상세일정'!AM21="제외"),"",IF($D21=$E21,IF(AND($D21&gt;=DD$5,$D21&lt;DD$5+7),"◆",""),IF(AND($D21&lt;DD$5+7,$E21&gt;DD$5),"■","")))</x:f>
      </x:c>
      <x:c r="DE21" s="7" t="str">
        <x:f>IF(OR($D21="",DE$5="",'상세일정'!AM21="제외"),"",IF($D21=$E21,IF(AND($D21&gt;=DE$5,$D21&lt;DE$5+7),"◆",""),IF(AND($D21&lt;DE$5+7,$E21&gt;DE$5),"■","")))</x:f>
      </x:c>
    </x:row>
    <x:row r="22" ht="34" customHeight="1">
      <x:c r="A22" s="7" t="str">
        <x:v>DB04</x:v>
      </x:c>
      <x:c r="B22" s="7" t="str">
        <x:v>04 공정·배치 기준</x:v>
      </x:c>
      <x:c r="C22" s="7" t="str">
        <x:v>장비배치·안전거리·차량동선·정비공간 검토</x:v>
      </x:c>
      <x:c r="D22" s="10" t="str">
        <x:f>'상세일정'!AJ22</x:f>
      </x:c>
      <x:c r="E22" s="10" t="str">
        <x:f>'상세일정'!AK22</x:f>
      </x:c>
      <x:c r="F22" s="7" t="str">
        <x:f>IF(OR($D22="",F$5="",'상세일정'!AM22="제외"),"",IF($D22=$E22,IF(AND($D22&gt;=F$5,$D22&lt;F$5+7),"◆",""),IF(AND($D22&lt;F$5+7,$E22&gt;F$5),"■","")))</x:f>
      </x:c>
      <x:c r="G22" s="7" t="str">
        <x:f>IF(OR($D22="",G$5="",'상세일정'!AM22="제외"),"",IF($D22=$E22,IF(AND($D22&gt;=G$5,$D22&lt;G$5+7),"◆",""),IF(AND($D22&lt;G$5+7,$E22&gt;G$5),"■","")))</x:f>
      </x:c>
      <x:c r="H22" s="7" t="str">
        <x:f>IF(OR($D22="",H$5="",'상세일정'!AM22="제외"),"",IF($D22=$E22,IF(AND($D22&gt;=H$5,$D22&lt;H$5+7),"◆",""),IF(AND($D22&lt;H$5+7,$E22&gt;H$5),"■","")))</x:f>
      </x:c>
      <x:c r="I22" s="7" t="str">
        <x:f>IF(OR($D22="",I$5="",'상세일정'!AM22="제외"),"",IF($D22=$E22,IF(AND($D22&gt;=I$5,$D22&lt;I$5+7),"◆",""),IF(AND($D22&lt;I$5+7,$E22&gt;I$5),"■","")))</x:f>
      </x:c>
      <x:c r="J22" s="7" t="str">
        <x:f>IF(OR($D22="",J$5="",'상세일정'!AM22="제외"),"",IF($D22=$E22,IF(AND($D22&gt;=J$5,$D22&lt;J$5+7),"◆",""),IF(AND($D22&lt;J$5+7,$E22&gt;J$5),"■","")))</x:f>
      </x:c>
      <x:c r="K22" s="7" t="str">
        <x:f>IF(OR($D22="",K$5="",'상세일정'!AM22="제외"),"",IF($D22=$E22,IF(AND($D22&gt;=K$5,$D22&lt;K$5+7),"◆",""),IF(AND($D22&lt;K$5+7,$E22&gt;K$5),"■","")))</x:f>
      </x:c>
      <x:c r="L22" s="7" t="str">
        <x:f>IF(OR($D22="",L$5="",'상세일정'!AM22="제외"),"",IF($D22=$E22,IF(AND($D22&gt;=L$5,$D22&lt;L$5+7),"◆",""),IF(AND($D22&lt;L$5+7,$E22&gt;L$5),"■","")))</x:f>
      </x:c>
      <x:c r="M22" s="7" t="str">
        <x:f>IF(OR($D22="",M$5="",'상세일정'!AM22="제외"),"",IF($D22=$E22,IF(AND($D22&gt;=M$5,$D22&lt;M$5+7),"◆",""),IF(AND($D22&lt;M$5+7,$E22&gt;M$5),"■","")))</x:f>
      </x:c>
      <x:c r="N22" s="7" t="str">
        <x:f>IF(OR($D22="",N$5="",'상세일정'!AM22="제외"),"",IF($D22=$E22,IF(AND($D22&gt;=N$5,$D22&lt;N$5+7),"◆",""),IF(AND($D22&lt;N$5+7,$E22&gt;N$5),"■","")))</x:f>
      </x:c>
      <x:c r="O22" s="7" t="str">
        <x:f>IF(OR($D22="",O$5="",'상세일정'!AM22="제외"),"",IF($D22=$E22,IF(AND($D22&gt;=O$5,$D22&lt;O$5+7),"◆",""),IF(AND($D22&lt;O$5+7,$E22&gt;O$5),"■","")))</x:f>
      </x:c>
      <x:c r="P22" s="7" t="str">
        <x:f>IF(OR($D22="",P$5="",'상세일정'!AM22="제외"),"",IF($D22=$E22,IF(AND($D22&gt;=P$5,$D22&lt;P$5+7),"◆",""),IF(AND($D22&lt;P$5+7,$E22&gt;P$5),"■","")))</x:f>
      </x:c>
      <x:c r="Q22" s="7" t="str">
        <x:f>IF(OR($D22="",Q$5="",'상세일정'!AM22="제외"),"",IF($D22=$E22,IF(AND($D22&gt;=Q$5,$D22&lt;Q$5+7),"◆",""),IF(AND($D22&lt;Q$5+7,$E22&gt;Q$5),"■","")))</x:f>
      </x:c>
      <x:c r="R22" s="7" t="str">
        <x:f>IF(OR($D22="",R$5="",'상세일정'!AM22="제외"),"",IF($D22=$E22,IF(AND($D22&gt;=R$5,$D22&lt;R$5+7),"◆",""),IF(AND($D22&lt;R$5+7,$E22&gt;R$5),"■","")))</x:f>
      </x:c>
      <x:c r="S22" s="7" t="str">
        <x:f>IF(OR($D22="",S$5="",'상세일정'!AM22="제외"),"",IF($D22=$E22,IF(AND($D22&gt;=S$5,$D22&lt;S$5+7),"◆",""),IF(AND($D22&lt;S$5+7,$E22&gt;S$5),"■","")))</x:f>
      </x:c>
      <x:c r="T22" s="7" t="str">
        <x:f>IF(OR($D22="",T$5="",'상세일정'!AM22="제외"),"",IF($D22=$E22,IF(AND($D22&gt;=T$5,$D22&lt;T$5+7),"◆",""),IF(AND($D22&lt;T$5+7,$E22&gt;T$5),"■","")))</x:f>
      </x:c>
      <x:c r="U22" s="7" t="str">
        <x:f>IF(OR($D22="",U$5="",'상세일정'!AM22="제외"),"",IF($D22=$E22,IF(AND($D22&gt;=U$5,$D22&lt;U$5+7),"◆",""),IF(AND($D22&lt;U$5+7,$E22&gt;U$5),"■","")))</x:f>
      </x:c>
      <x:c r="V22" s="7" t="str">
        <x:f>IF(OR($D22="",V$5="",'상세일정'!AM22="제외"),"",IF($D22=$E22,IF(AND($D22&gt;=V$5,$D22&lt;V$5+7),"◆",""),IF(AND($D22&lt;V$5+7,$E22&gt;V$5),"■","")))</x:f>
      </x:c>
      <x:c r="W22" s="7" t="str">
        <x:f>IF(OR($D22="",W$5="",'상세일정'!AM22="제외"),"",IF($D22=$E22,IF(AND($D22&gt;=W$5,$D22&lt;W$5+7),"◆",""),IF(AND($D22&lt;W$5+7,$E22&gt;W$5),"■","")))</x:f>
      </x:c>
      <x:c r="X22" s="7" t="str">
        <x:f>IF(OR($D22="",X$5="",'상세일정'!AM22="제외"),"",IF($D22=$E22,IF(AND($D22&gt;=X$5,$D22&lt;X$5+7),"◆",""),IF(AND($D22&lt;X$5+7,$E22&gt;X$5),"■","")))</x:f>
      </x:c>
      <x:c r="Y22" s="7" t="str">
        <x:f>IF(OR($D22="",Y$5="",'상세일정'!AM22="제외"),"",IF($D22=$E22,IF(AND($D22&gt;=Y$5,$D22&lt;Y$5+7),"◆",""),IF(AND($D22&lt;Y$5+7,$E22&gt;Y$5),"■","")))</x:f>
      </x:c>
      <x:c r="Z22" s="7" t="str">
        <x:f>IF(OR($D22="",Z$5="",'상세일정'!AM22="제외"),"",IF($D22=$E22,IF(AND($D22&gt;=Z$5,$D22&lt;Z$5+7),"◆",""),IF(AND($D22&lt;Z$5+7,$E22&gt;Z$5),"■","")))</x:f>
      </x:c>
      <x:c r="AA22" s="7" t="str">
        <x:f>IF(OR($D22="",AA$5="",'상세일정'!AM22="제외"),"",IF($D22=$E22,IF(AND($D22&gt;=AA$5,$D22&lt;AA$5+7),"◆",""),IF(AND($D22&lt;AA$5+7,$E22&gt;AA$5),"■","")))</x:f>
      </x:c>
      <x:c r="AB22" s="7" t="str">
        <x:f>IF(OR($D22="",AB$5="",'상세일정'!AM22="제외"),"",IF($D22=$E22,IF(AND($D22&gt;=AB$5,$D22&lt;AB$5+7),"◆",""),IF(AND($D22&lt;AB$5+7,$E22&gt;AB$5),"■","")))</x:f>
      </x:c>
      <x:c r="AC22" s="7" t="str">
        <x:f>IF(OR($D22="",AC$5="",'상세일정'!AM22="제외"),"",IF($D22=$E22,IF(AND($D22&gt;=AC$5,$D22&lt;AC$5+7),"◆",""),IF(AND($D22&lt;AC$5+7,$E22&gt;AC$5),"■","")))</x:f>
      </x:c>
      <x:c r="AD22" s="7" t="str">
        <x:f>IF(OR($D22="",AD$5="",'상세일정'!AM22="제외"),"",IF($D22=$E22,IF(AND($D22&gt;=AD$5,$D22&lt;AD$5+7),"◆",""),IF(AND($D22&lt;AD$5+7,$E22&gt;AD$5),"■","")))</x:f>
      </x:c>
      <x:c r="AE22" s="7" t="str">
        <x:f>IF(OR($D22="",AE$5="",'상세일정'!AM22="제외"),"",IF($D22=$E22,IF(AND($D22&gt;=AE$5,$D22&lt;AE$5+7),"◆",""),IF(AND($D22&lt;AE$5+7,$E22&gt;AE$5),"■","")))</x:f>
      </x:c>
      <x:c r="AF22" s="7" t="str">
        <x:f>IF(OR($D22="",AF$5="",'상세일정'!AM22="제외"),"",IF($D22=$E22,IF(AND($D22&gt;=AF$5,$D22&lt;AF$5+7),"◆",""),IF(AND($D22&lt;AF$5+7,$E22&gt;AF$5),"■","")))</x:f>
      </x:c>
      <x:c r="AG22" s="7" t="str">
        <x:f>IF(OR($D22="",AG$5="",'상세일정'!AM22="제외"),"",IF($D22=$E22,IF(AND($D22&gt;=AG$5,$D22&lt;AG$5+7),"◆",""),IF(AND($D22&lt;AG$5+7,$E22&gt;AG$5),"■","")))</x:f>
      </x:c>
      <x:c r="AH22" s="7" t="str">
        <x:f>IF(OR($D22="",AH$5="",'상세일정'!AM22="제외"),"",IF($D22=$E22,IF(AND($D22&gt;=AH$5,$D22&lt;AH$5+7),"◆",""),IF(AND($D22&lt;AH$5+7,$E22&gt;AH$5),"■","")))</x:f>
      </x:c>
      <x:c r="AI22" s="7" t="str">
        <x:f>IF(OR($D22="",AI$5="",'상세일정'!AM22="제외"),"",IF($D22=$E22,IF(AND($D22&gt;=AI$5,$D22&lt;AI$5+7),"◆",""),IF(AND($D22&lt;AI$5+7,$E22&gt;AI$5),"■","")))</x:f>
      </x:c>
      <x:c r="AJ22" s="7" t="str">
        <x:f>IF(OR($D22="",AJ$5="",'상세일정'!AM22="제외"),"",IF($D22=$E22,IF(AND($D22&gt;=AJ$5,$D22&lt;AJ$5+7),"◆",""),IF(AND($D22&lt;AJ$5+7,$E22&gt;AJ$5),"■","")))</x:f>
      </x:c>
      <x:c r="AK22" s="7" t="str">
        <x:f>IF(OR($D22="",AK$5="",'상세일정'!AM22="제외"),"",IF($D22=$E22,IF(AND($D22&gt;=AK$5,$D22&lt;AK$5+7),"◆",""),IF(AND($D22&lt;AK$5+7,$E22&gt;AK$5),"■","")))</x:f>
      </x:c>
      <x:c r="AL22" s="7" t="str">
        <x:f>IF(OR($D22="",AL$5="",'상세일정'!AM22="제외"),"",IF($D22=$E22,IF(AND($D22&gt;=AL$5,$D22&lt;AL$5+7),"◆",""),IF(AND($D22&lt;AL$5+7,$E22&gt;AL$5),"■","")))</x:f>
      </x:c>
      <x:c r="AM22" s="7" t="str">
        <x:f>IF(OR($D22="",AM$5="",'상세일정'!AM22="제외"),"",IF($D22=$E22,IF(AND($D22&gt;=AM$5,$D22&lt;AM$5+7),"◆",""),IF(AND($D22&lt;AM$5+7,$E22&gt;AM$5),"■","")))</x:f>
      </x:c>
      <x:c r="AN22" s="7" t="str">
        <x:f>IF(OR($D22="",AN$5="",'상세일정'!AM22="제외"),"",IF($D22=$E22,IF(AND($D22&gt;=AN$5,$D22&lt;AN$5+7),"◆",""),IF(AND($D22&lt;AN$5+7,$E22&gt;AN$5),"■","")))</x:f>
      </x:c>
      <x:c r="AO22" s="7" t="str">
        <x:f>IF(OR($D22="",AO$5="",'상세일정'!AM22="제외"),"",IF($D22=$E22,IF(AND($D22&gt;=AO$5,$D22&lt;AO$5+7),"◆",""),IF(AND($D22&lt;AO$5+7,$E22&gt;AO$5),"■","")))</x:f>
      </x:c>
      <x:c r="AP22" s="7" t="str">
        <x:f>IF(OR($D22="",AP$5="",'상세일정'!AM22="제외"),"",IF($D22=$E22,IF(AND($D22&gt;=AP$5,$D22&lt;AP$5+7),"◆",""),IF(AND($D22&lt;AP$5+7,$E22&gt;AP$5),"■","")))</x:f>
      </x:c>
      <x:c r="AQ22" s="7" t="str">
        <x:f>IF(OR($D22="",AQ$5="",'상세일정'!AM22="제외"),"",IF($D22=$E22,IF(AND($D22&gt;=AQ$5,$D22&lt;AQ$5+7),"◆",""),IF(AND($D22&lt;AQ$5+7,$E22&gt;AQ$5),"■","")))</x:f>
      </x:c>
      <x:c r="AR22" s="7" t="str">
        <x:f>IF(OR($D22="",AR$5="",'상세일정'!AM22="제외"),"",IF($D22=$E22,IF(AND($D22&gt;=AR$5,$D22&lt;AR$5+7),"◆",""),IF(AND($D22&lt;AR$5+7,$E22&gt;AR$5),"■","")))</x:f>
      </x:c>
      <x:c r="AS22" s="7" t="str">
        <x:f>IF(OR($D22="",AS$5="",'상세일정'!AM22="제외"),"",IF($D22=$E22,IF(AND($D22&gt;=AS$5,$D22&lt;AS$5+7),"◆",""),IF(AND($D22&lt;AS$5+7,$E22&gt;AS$5),"■","")))</x:f>
      </x:c>
      <x:c r="AT22" s="7" t="str">
        <x:f>IF(OR($D22="",AT$5="",'상세일정'!AM22="제외"),"",IF($D22=$E22,IF(AND($D22&gt;=AT$5,$D22&lt;AT$5+7),"◆",""),IF(AND($D22&lt;AT$5+7,$E22&gt;AT$5),"■","")))</x:f>
      </x:c>
      <x:c r="AU22" s="7" t="str">
        <x:f>IF(OR($D22="",AU$5="",'상세일정'!AM22="제외"),"",IF($D22=$E22,IF(AND($D22&gt;=AU$5,$D22&lt;AU$5+7),"◆",""),IF(AND($D22&lt;AU$5+7,$E22&gt;AU$5),"■","")))</x:f>
      </x:c>
      <x:c r="AV22" s="7" t="str">
        <x:f>IF(OR($D22="",AV$5="",'상세일정'!AM22="제외"),"",IF($D22=$E22,IF(AND($D22&gt;=AV$5,$D22&lt;AV$5+7),"◆",""),IF(AND($D22&lt;AV$5+7,$E22&gt;AV$5),"■","")))</x:f>
      </x:c>
      <x:c r="AW22" s="7" t="str">
        <x:f>IF(OR($D22="",AW$5="",'상세일정'!AM22="제외"),"",IF($D22=$E22,IF(AND($D22&gt;=AW$5,$D22&lt;AW$5+7),"◆",""),IF(AND($D22&lt;AW$5+7,$E22&gt;AW$5),"■","")))</x:f>
      </x:c>
      <x:c r="AX22" s="7" t="str">
        <x:f>IF(OR($D22="",AX$5="",'상세일정'!AM22="제외"),"",IF($D22=$E22,IF(AND($D22&gt;=AX$5,$D22&lt;AX$5+7),"◆",""),IF(AND($D22&lt;AX$5+7,$E22&gt;AX$5),"■","")))</x:f>
      </x:c>
      <x:c r="AY22" s="7" t="str">
        <x:f>IF(OR($D22="",AY$5="",'상세일정'!AM22="제외"),"",IF($D22=$E22,IF(AND($D22&gt;=AY$5,$D22&lt;AY$5+7),"◆",""),IF(AND($D22&lt;AY$5+7,$E22&gt;AY$5),"■","")))</x:f>
      </x:c>
      <x:c r="AZ22" s="7" t="str">
        <x:f>IF(OR($D22="",AZ$5="",'상세일정'!AM22="제외"),"",IF($D22=$E22,IF(AND($D22&gt;=AZ$5,$D22&lt;AZ$5+7),"◆",""),IF(AND($D22&lt;AZ$5+7,$E22&gt;AZ$5),"■","")))</x:f>
      </x:c>
      <x:c r="BA22" s="7" t="str">
        <x:f>IF(OR($D22="",BA$5="",'상세일정'!AM22="제외"),"",IF($D22=$E22,IF(AND($D22&gt;=BA$5,$D22&lt;BA$5+7),"◆",""),IF(AND($D22&lt;BA$5+7,$E22&gt;BA$5),"■","")))</x:f>
      </x:c>
      <x:c r="BB22" s="7" t="str">
        <x:f>IF(OR($D22="",BB$5="",'상세일정'!AM22="제외"),"",IF($D22=$E22,IF(AND($D22&gt;=BB$5,$D22&lt;BB$5+7),"◆",""),IF(AND($D22&lt;BB$5+7,$E22&gt;BB$5),"■","")))</x:f>
      </x:c>
      <x:c r="BC22" s="7" t="str">
        <x:f>IF(OR($D22="",BC$5="",'상세일정'!AM22="제외"),"",IF($D22=$E22,IF(AND($D22&gt;=BC$5,$D22&lt;BC$5+7),"◆",""),IF(AND($D22&lt;BC$5+7,$E22&gt;BC$5),"■","")))</x:f>
      </x:c>
      <x:c r="BD22" s="7" t="str">
        <x:f>IF(OR($D22="",BD$5="",'상세일정'!AM22="제외"),"",IF($D22=$E22,IF(AND($D22&gt;=BD$5,$D22&lt;BD$5+7),"◆",""),IF(AND($D22&lt;BD$5+7,$E22&gt;BD$5),"■","")))</x:f>
      </x:c>
      <x:c r="BE22" s="7" t="str">
        <x:f>IF(OR($D22="",BE$5="",'상세일정'!AM22="제외"),"",IF($D22=$E22,IF(AND($D22&gt;=BE$5,$D22&lt;BE$5+7),"◆",""),IF(AND($D22&lt;BE$5+7,$E22&gt;BE$5),"■","")))</x:f>
      </x:c>
      <x:c r="BF22" s="7" t="str">
        <x:f>IF(OR($D22="",BF$5="",'상세일정'!AM22="제외"),"",IF($D22=$E22,IF(AND($D22&gt;=BF$5,$D22&lt;BF$5+7),"◆",""),IF(AND($D22&lt;BF$5+7,$E22&gt;BF$5),"■","")))</x:f>
      </x:c>
      <x:c r="BG22" s="7" t="str">
        <x:f>IF(OR($D22="",BG$5="",'상세일정'!AM22="제외"),"",IF($D22=$E22,IF(AND($D22&gt;=BG$5,$D22&lt;BG$5+7),"◆",""),IF(AND($D22&lt;BG$5+7,$E22&gt;BG$5),"■","")))</x:f>
      </x:c>
      <x:c r="BH22" s="7" t="str">
        <x:f>IF(OR($D22="",BH$5="",'상세일정'!AM22="제외"),"",IF($D22=$E22,IF(AND($D22&gt;=BH$5,$D22&lt;BH$5+7),"◆",""),IF(AND($D22&lt;BH$5+7,$E22&gt;BH$5),"■","")))</x:f>
      </x:c>
      <x:c r="BI22" s="7" t="str">
        <x:f>IF(OR($D22="",BI$5="",'상세일정'!AM22="제외"),"",IF($D22=$E22,IF(AND($D22&gt;=BI$5,$D22&lt;BI$5+7),"◆",""),IF(AND($D22&lt;BI$5+7,$E22&gt;BI$5),"■","")))</x:f>
      </x:c>
      <x:c r="BJ22" s="7" t="str">
        <x:f>IF(OR($D22="",BJ$5="",'상세일정'!AM22="제외"),"",IF($D22=$E22,IF(AND($D22&gt;=BJ$5,$D22&lt;BJ$5+7),"◆",""),IF(AND($D22&lt;BJ$5+7,$E22&gt;BJ$5),"■","")))</x:f>
      </x:c>
      <x:c r="BK22" s="7" t="str">
        <x:f>IF(OR($D22="",BK$5="",'상세일정'!AM22="제외"),"",IF($D22=$E22,IF(AND($D22&gt;=BK$5,$D22&lt;BK$5+7),"◆",""),IF(AND($D22&lt;BK$5+7,$E22&gt;BK$5),"■","")))</x:f>
      </x:c>
      <x:c r="BL22" s="7" t="str">
        <x:f>IF(OR($D22="",BL$5="",'상세일정'!AM22="제외"),"",IF($D22=$E22,IF(AND($D22&gt;=BL$5,$D22&lt;BL$5+7),"◆",""),IF(AND($D22&lt;BL$5+7,$E22&gt;BL$5),"■","")))</x:f>
      </x:c>
      <x:c r="BM22" s="7" t="str">
        <x:f>IF(OR($D22="",BM$5="",'상세일정'!AM22="제외"),"",IF($D22=$E22,IF(AND($D22&gt;=BM$5,$D22&lt;BM$5+7),"◆",""),IF(AND($D22&lt;BM$5+7,$E22&gt;BM$5),"■","")))</x:f>
      </x:c>
      <x:c r="BN22" s="7" t="str">
        <x:f>IF(OR($D22="",BN$5="",'상세일정'!AM22="제외"),"",IF($D22=$E22,IF(AND($D22&gt;=BN$5,$D22&lt;BN$5+7),"◆",""),IF(AND($D22&lt;BN$5+7,$E22&gt;BN$5),"■","")))</x:f>
      </x:c>
      <x:c r="BO22" s="7" t="str">
        <x:f>IF(OR($D22="",BO$5="",'상세일정'!AM22="제외"),"",IF($D22=$E22,IF(AND($D22&gt;=BO$5,$D22&lt;BO$5+7),"◆",""),IF(AND($D22&lt;BO$5+7,$E22&gt;BO$5),"■","")))</x:f>
      </x:c>
      <x:c r="BP22" s="7" t="str">
        <x:f>IF(OR($D22="",BP$5="",'상세일정'!AM22="제외"),"",IF($D22=$E22,IF(AND($D22&gt;=BP$5,$D22&lt;BP$5+7),"◆",""),IF(AND($D22&lt;BP$5+7,$E22&gt;BP$5),"■","")))</x:f>
      </x:c>
      <x:c r="BQ22" s="7" t="str">
        <x:f>IF(OR($D22="",BQ$5="",'상세일정'!AM22="제외"),"",IF($D22=$E22,IF(AND($D22&gt;=BQ$5,$D22&lt;BQ$5+7),"◆",""),IF(AND($D22&lt;BQ$5+7,$E22&gt;BQ$5),"■","")))</x:f>
      </x:c>
      <x:c r="BR22" s="7" t="str">
        <x:f>IF(OR($D22="",BR$5="",'상세일정'!AM22="제외"),"",IF($D22=$E22,IF(AND($D22&gt;=BR$5,$D22&lt;BR$5+7),"◆",""),IF(AND($D22&lt;BR$5+7,$E22&gt;BR$5),"■","")))</x:f>
      </x:c>
      <x:c r="BS22" s="7" t="str">
        <x:f>IF(OR($D22="",BS$5="",'상세일정'!AM22="제외"),"",IF($D22=$E22,IF(AND($D22&gt;=BS$5,$D22&lt;BS$5+7),"◆",""),IF(AND($D22&lt;BS$5+7,$E22&gt;BS$5),"■","")))</x:f>
      </x:c>
      <x:c r="BT22" s="7" t="str">
        <x:f>IF(OR($D22="",BT$5="",'상세일정'!AM22="제외"),"",IF($D22=$E22,IF(AND($D22&gt;=BT$5,$D22&lt;BT$5+7),"◆",""),IF(AND($D22&lt;BT$5+7,$E22&gt;BT$5),"■","")))</x:f>
      </x:c>
      <x:c r="BU22" s="7" t="str">
        <x:f>IF(OR($D22="",BU$5="",'상세일정'!AM22="제외"),"",IF($D22=$E22,IF(AND($D22&gt;=BU$5,$D22&lt;BU$5+7),"◆",""),IF(AND($D22&lt;BU$5+7,$E22&gt;BU$5),"■","")))</x:f>
      </x:c>
      <x:c r="BV22" s="7" t="str">
        <x:f>IF(OR($D22="",BV$5="",'상세일정'!AM22="제외"),"",IF($D22=$E22,IF(AND($D22&gt;=BV$5,$D22&lt;BV$5+7),"◆",""),IF(AND($D22&lt;BV$5+7,$E22&gt;BV$5),"■","")))</x:f>
      </x:c>
      <x:c r="BW22" s="7" t="str">
        <x:f>IF(OR($D22="",BW$5="",'상세일정'!AM22="제외"),"",IF($D22=$E22,IF(AND($D22&gt;=BW$5,$D22&lt;BW$5+7),"◆",""),IF(AND($D22&lt;BW$5+7,$E22&gt;BW$5),"■","")))</x:f>
      </x:c>
      <x:c r="BX22" s="7" t="str">
        <x:f>IF(OR($D22="",BX$5="",'상세일정'!AM22="제외"),"",IF($D22=$E22,IF(AND($D22&gt;=BX$5,$D22&lt;BX$5+7),"◆",""),IF(AND($D22&lt;BX$5+7,$E22&gt;BX$5),"■","")))</x:f>
      </x:c>
      <x:c r="BY22" s="7" t="str">
        <x:f>IF(OR($D22="",BY$5="",'상세일정'!AM22="제외"),"",IF($D22=$E22,IF(AND($D22&gt;=BY$5,$D22&lt;BY$5+7),"◆",""),IF(AND($D22&lt;BY$5+7,$E22&gt;BY$5),"■","")))</x:f>
      </x:c>
      <x:c r="BZ22" s="7" t="str">
        <x:f>IF(OR($D22="",BZ$5="",'상세일정'!AM22="제외"),"",IF($D22=$E22,IF(AND($D22&gt;=BZ$5,$D22&lt;BZ$5+7),"◆",""),IF(AND($D22&lt;BZ$5+7,$E22&gt;BZ$5),"■","")))</x:f>
      </x:c>
      <x:c r="CA22" s="7" t="str">
        <x:f>IF(OR($D22="",CA$5="",'상세일정'!AM22="제외"),"",IF($D22=$E22,IF(AND($D22&gt;=CA$5,$D22&lt;CA$5+7),"◆",""),IF(AND($D22&lt;CA$5+7,$E22&gt;CA$5),"■","")))</x:f>
      </x:c>
      <x:c r="CB22" s="7" t="str">
        <x:f>IF(OR($D22="",CB$5="",'상세일정'!AM22="제외"),"",IF($D22=$E22,IF(AND($D22&gt;=CB$5,$D22&lt;CB$5+7),"◆",""),IF(AND($D22&lt;CB$5+7,$E22&gt;CB$5),"■","")))</x:f>
      </x:c>
      <x:c r="CC22" s="7" t="str">
        <x:f>IF(OR($D22="",CC$5="",'상세일정'!AM22="제외"),"",IF($D22=$E22,IF(AND($D22&gt;=CC$5,$D22&lt;CC$5+7),"◆",""),IF(AND($D22&lt;CC$5+7,$E22&gt;CC$5),"■","")))</x:f>
      </x:c>
      <x:c r="CD22" s="7" t="str">
        <x:f>IF(OR($D22="",CD$5="",'상세일정'!AM22="제외"),"",IF($D22=$E22,IF(AND($D22&gt;=CD$5,$D22&lt;CD$5+7),"◆",""),IF(AND($D22&lt;CD$5+7,$E22&gt;CD$5),"■","")))</x:f>
      </x:c>
      <x:c r="CE22" s="7" t="str">
        <x:f>IF(OR($D22="",CE$5="",'상세일정'!AM22="제외"),"",IF($D22=$E22,IF(AND($D22&gt;=CE$5,$D22&lt;CE$5+7),"◆",""),IF(AND($D22&lt;CE$5+7,$E22&gt;CE$5),"■","")))</x:f>
      </x:c>
      <x:c r="CF22" s="7" t="str">
        <x:f>IF(OR($D22="",CF$5="",'상세일정'!AM22="제외"),"",IF($D22=$E22,IF(AND($D22&gt;=CF$5,$D22&lt;CF$5+7),"◆",""),IF(AND($D22&lt;CF$5+7,$E22&gt;CF$5),"■","")))</x:f>
      </x:c>
      <x:c r="CG22" s="7" t="str">
        <x:f>IF(OR($D22="",CG$5="",'상세일정'!AM22="제외"),"",IF($D22=$E22,IF(AND($D22&gt;=CG$5,$D22&lt;CG$5+7),"◆",""),IF(AND($D22&lt;CG$5+7,$E22&gt;CG$5),"■","")))</x:f>
      </x:c>
      <x:c r="CH22" s="7" t="str">
        <x:f>IF(OR($D22="",CH$5="",'상세일정'!AM22="제외"),"",IF($D22=$E22,IF(AND($D22&gt;=CH$5,$D22&lt;CH$5+7),"◆",""),IF(AND($D22&lt;CH$5+7,$E22&gt;CH$5),"■","")))</x:f>
      </x:c>
      <x:c r="CI22" s="7" t="str">
        <x:f>IF(OR($D22="",CI$5="",'상세일정'!AM22="제외"),"",IF($D22=$E22,IF(AND($D22&gt;=CI$5,$D22&lt;CI$5+7),"◆",""),IF(AND($D22&lt;CI$5+7,$E22&gt;CI$5),"■","")))</x:f>
      </x:c>
      <x:c r="CJ22" s="7" t="str">
        <x:f>IF(OR($D22="",CJ$5="",'상세일정'!AM22="제외"),"",IF($D22=$E22,IF(AND($D22&gt;=CJ$5,$D22&lt;CJ$5+7),"◆",""),IF(AND($D22&lt;CJ$5+7,$E22&gt;CJ$5),"■","")))</x:f>
      </x:c>
      <x:c r="CK22" s="7" t="str">
        <x:f>IF(OR($D22="",CK$5="",'상세일정'!AM22="제외"),"",IF($D22=$E22,IF(AND($D22&gt;=CK$5,$D22&lt;CK$5+7),"◆",""),IF(AND($D22&lt;CK$5+7,$E22&gt;CK$5),"■","")))</x:f>
      </x:c>
      <x:c r="CL22" s="7" t="str">
        <x:f>IF(OR($D22="",CL$5="",'상세일정'!AM22="제외"),"",IF($D22=$E22,IF(AND($D22&gt;=CL$5,$D22&lt;CL$5+7),"◆",""),IF(AND($D22&lt;CL$5+7,$E22&gt;CL$5),"■","")))</x:f>
      </x:c>
      <x:c r="CM22" s="7" t="str">
        <x:f>IF(OR($D22="",CM$5="",'상세일정'!AM22="제외"),"",IF($D22=$E22,IF(AND($D22&gt;=CM$5,$D22&lt;CM$5+7),"◆",""),IF(AND($D22&lt;CM$5+7,$E22&gt;CM$5),"■","")))</x:f>
      </x:c>
      <x:c r="CN22" s="7" t="str">
        <x:f>IF(OR($D22="",CN$5="",'상세일정'!AM22="제외"),"",IF($D22=$E22,IF(AND($D22&gt;=CN$5,$D22&lt;CN$5+7),"◆",""),IF(AND($D22&lt;CN$5+7,$E22&gt;CN$5),"■","")))</x:f>
      </x:c>
      <x:c r="CO22" s="7" t="str">
        <x:f>IF(OR($D22="",CO$5="",'상세일정'!AM22="제외"),"",IF($D22=$E22,IF(AND($D22&gt;=CO$5,$D22&lt;CO$5+7),"◆",""),IF(AND($D22&lt;CO$5+7,$E22&gt;CO$5),"■","")))</x:f>
      </x:c>
      <x:c r="CP22" s="7" t="str">
        <x:f>IF(OR($D22="",CP$5="",'상세일정'!AM22="제외"),"",IF($D22=$E22,IF(AND($D22&gt;=CP$5,$D22&lt;CP$5+7),"◆",""),IF(AND($D22&lt;CP$5+7,$E22&gt;CP$5),"■","")))</x:f>
      </x:c>
      <x:c r="CQ22" s="7" t="str">
        <x:f>IF(OR($D22="",CQ$5="",'상세일정'!AM22="제외"),"",IF($D22=$E22,IF(AND($D22&gt;=CQ$5,$D22&lt;CQ$5+7),"◆",""),IF(AND($D22&lt;CQ$5+7,$E22&gt;CQ$5),"■","")))</x:f>
      </x:c>
      <x:c r="CR22" s="7" t="str">
        <x:f>IF(OR($D22="",CR$5="",'상세일정'!AM22="제외"),"",IF($D22=$E22,IF(AND($D22&gt;=CR$5,$D22&lt;CR$5+7),"◆",""),IF(AND($D22&lt;CR$5+7,$E22&gt;CR$5),"■","")))</x:f>
      </x:c>
      <x:c r="CS22" s="7" t="str">
        <x:f>IF(OR($D22="",CS$5="",'상세일정'!AM22="제외"),"",IF($D22=$E22,IF(AND($D22&gt;=CS$5,$D22&lt;CS$5+7),"◆",""),IF(AND($D22&lt;CS$5+7,$E22&gt;CS$5),"■","")))</x:f>
      </x:c>
      <x:c r="CT22" s="7" t="str">
        <x:f>IF(OR($D22="",CT$5="",'상세일정'!AM22="제외"),"",IF($D22=$E22,IF(AND($D22&gt;=CT$5,$D22&lt;CT$5+7),"◆",""),IF(AND($D22&lt;CT$5+7,$E22&gt;CT$5),"■","")))</x:f>
      </x:c>
      <x:c r="CU22" s="7" t="str">
        <x:f>IF(OR($D22="",CU$5="",'상세일정'!AM22="제외"),"",IF($D22=$E22,IF(AND($D22&gt;=CU$5,$D22&lt;CU$5+7),"◆",""),IF(AND($D22&lt;CU$5+7,$E22&gt;CU$5),"■","")))</x:f>
      </x:c>
      <x:c r="CV22" s="7" t="str">
        <x:f>IF(OR($D22="",CV$5="",'상세일정'!AM22="제외"),"",IF($D22=$E22,IF(AND($D22&gt;=CV$5,$D22&lt;CV$5+7),"◆",""),IF(AND($D22&lt;CV$5+7,$E22&gt;CV$5),"■","")))</x:f>
      </x:c>
      <x:c r="CW22" s="7" t="str">
        <x:f>IF(OR($D22="",CW$5="",'상세일정'!AM22="제외"),"",IF($D22=$E22,IF(AND($D22&gt;=CW$5,$D22&lt;CW$5+7),"◆",""),IF(AND($D22&lt;CW$5+7,$E22&gt;CW$5),"■","")))</x:f>
      </x:c>
      <x:c r="CX22" s="7" t="str">
        <x:f>IF(OR($D22="",CX$5="",'상세일정'!AM22="제외"),"",IF($D22=$E22,IF(AND($D22&gt;=CX$5,$D22&lt;CX$5+7),"◆",""),IF(AND($D22&lt;CX$5+7,$E22&gt;CX$5),"■","")))</x:f>
      </x:c>
      <x:c r="CY22" s="7" t="str">
        <x:f>IF(OR($D22="",CY$5="",'상세일정'!AM22="제외"),"",IF($D22=$E22,IF(AND($D22&gt;=CY$5,$D22&lt;CY$5+7),"◆",""),IF(AND($D22&lt;CY$5+7,$E22&gt;CY$5),"■","")))</x:f>
      </x:c>
      <x:c r="CZ22" s="7" t="str">
        <x:f>IF(OR($D22="",CZ$5="",'상세일정'!AM22="제외"),"",IF($D22=$E22,IF(AND($D22&gt;=CZ$5,$D22&lt;CZ$5+7),"◆",""),IF(AND($D22&lt;CZ$5+7,$E22&gt;CZ$5),"■","")))</x:f>
      </x:c>
      <x:c r="DA22" s="7" t="str">
        <x:f>IF(OR($D22="",DA$5="",'상세일정'!AM22="제외"),"",IF($D22=$E22,IF(AND($D22&gt;=DA$5,$D22&lt;DA$5+7),"◆",""),IF(AND($D22&lt;DA$5+7,$E22&gt;DA$5),"■","")))</x:f>
      </x:c>
      <x:c r="DB22" s="7" t="str">
        <x:f>IF(OR($D22="",DB$5="",'상세일정'!AM22="제외"),"",IF($D22=$E22,IF(AND($D22&gt;=DB$5,$D22&lt;DB$5+7),"◆",""),IF(AND($D22&lt;DB$5+7,$E22&gt;DB$5),"■","")))</x:f>
      </x:c>
      <x:c r="DC22" s="7" t="str">
        <x:f>IF(OR($D22="",DC$5="",'상세일정'!AM22="제외"),"",IF($D22=$E22,IF(AND($D22&gt;=DC$5,$D22&lt;DC$5+7),"◆",""),IF(AND($D22&lt;DC$5+7,$E22&gt;DC$5),"■","")))</x:f>
      </x:c>
      <x:c r="DD22" s="7" t="str">
        <x:f>IF(OR($D22="",DD$5="",'상세일정'!AM22="제외"),"",IF($D22=$E22,IF(AND($D22&gt;=DD$5,$D22&lt;DD$5+7),"◆",""),IF(AND($D22&lt;DD$5+7,$E22&gt;DD$5),"■","")))</x:f>
      </x:c>
      <x:c r="DE22" s="7" t="str">
        <x:f>IF(OR($D22="",DE$5="",'상세일정'!AM22="제외"),"",IF($D22=$E22,IF(AND($D22&gt;=DE$5,$D22&lt;DE$5+7),"◆",""),IF(AND($D22&lt;DE$5+7,$E22&gt;DE$5),"■","")))</x:f>
      </x:c>
    </x:row>
    <x:row r="23" ht="34" customHeight="1">
      <x:c r="A23" s="7" t="str">
        <x:v>DB05</x:v>
      </x:c>
      <x:c r="B23" s="7" t="str">
        <x:v>04 공정·배치 기준</x:v>
      </x:c>
      <x:c r="C23" s="7" t="str">
        <x:v>분야 간 배치 인터페이스 코멘트 해소</x:v>
      </x:c>
      <x:c r="D23" s="10" t="str">
        <x:f>'상세일정'!AJ23</x:f>
      </x:c>
      <x:c r="E23" s="10" t="str">
        <x:f>'상세일정'!AK23</x:f>
      </x:c>
      <x:c r="F23" s="7" t="str">
        <x:f>IF(OR($D23="",F$5="",'상세일정'!AM23="제외"),"",IF($D23=$E23,IF(AND($D23&gt;=F$5,$D23&lt;F$5+7),"◆",""),IF(AND($D23&lt;F$5+7,$E23&gt;F$5),"■","")))</x:f>
      </x:c>
      <x:c r="G23" s="7" t="str">
        <x:f>IF(OR($D23="",G$5="",'상세일정'!AM23="제외"),"",IF($D23=$E23,IF(AND($D23&gt;=G$5,$D23&lt;G$5+7),"◆",""),IF(AND($D23&lt;G$5+7,$E23&gt;G$5),"■","")))</x:f>
      </x:c>
      <x:c r="H23" s="7" t="str">
        <x:f>IF(OR($D23="",H$5="",'상세일정'!AM23="제외"),"",IF($D23=$E23,IF(AND($D23&gt;=H$5,$D23&lt;H$5+7),"◆",""),IF(AND($D23&lt;H$5+7,$E23&gt;H$5),"■","")))</x:f>
      </x:c>
      <x:c r="I23" s="7" t="str">
        <x:f>IF(OR($D23="",I$5="",'상세일정'!AM23="제외"),"",IF($D23=$E23,IF(AND($D23&gt;=I$5,$D23&lt;I$5+7),"◆",""),IF(AND($D23&lt;I$5+7,$E23&gt;I$5),"■","")))</x:f>
      </x:c>
      <x:c r="J23" s="7" t="str">
        <x:f>IF(OR($D23="",J$5="",'상세일정'!AM23="제외"),"",IF($D23=$E23,IF(AND($D23&gt;=J$5,$D23&lt;J$5+7),"◆",""),IF(AND($D23&lt;J$5+7,$E23&gt;J$5),"■","")))</x:f>
      </x:c>
      <x:c r="K23" s="7" t="str">
        <x:f>IF(OR($D23="",K$5="",'상세일정'!AM23="제외"),"",IF($D23=$E23,IF(AND($D23&gt;=K$5,$D23&lt;K$5+7),"◆",""),IF(AND($D23&lt;K$5+7,$E23&gt;K$5),"■","")))</x:f>
      </x:c>
      <x:c r="L23" s="7" t="str">
        <x:f>IF(OR($D23="",L$5="",'상세일정'!AM23="제외"),"",IF($D23=$E23,IF(AND($D23&gt;=L$5,$D23&lt;L$5+7),"◆",""),IF(AND($D23&lt;L$5+7,$E23&gt;L$5),"■","")))</x:f>
      </x:c>
      <x:c r="M23" s="7" t="str">
        <x:f>IF(OR($D23="",M$5="",'상세일정'!AM23="제외"),"",IF($D23=$E23,IF(AND($D23&gt;=M$5,$D23&lt;M$5+7),"◆",""),IF(AND($D23&lt;M$5+7,$E23&gt;M$5),"■","")))</x:f>
      </x:c>
      <x:c r="N23" s="7" t="str">
        <x:f>IF(OR($D23="",N$5="",'상세일정'!AM23="제외"),"",IF($D23=$E23,IF(AND($D23&gt;=N$5,$D23&lt;N$5+7),"◆",""),IF(AND($D23&lt;N$5+7,$E23&gt;N$5),"■","")))</x:f>
      </x:c>
      <x:c r="O23" s="7" t="str">
        <x:f>IF(OR($D23="",O$5="",'상세일정'!AM23="제외"),"",IF($D23=$E23,IF(AND($D23&gt;=O$5,$D23&lt;O$5+7),"◆",""),IF(AND($D23&lt;O$5+7,$E23&gt;O$5),"■","")))</x:f>
      </x:c>
      <x:c r="P23" s="7" t="str">
        <x:f>IF(OR($D23="",P$5="",'상세일정'!AM23="제외"),"",IF($D23=$E23,IF(AND($D23&gt;=P$5,$D23&lt;P$5+7),"◆",""),IF(AND($D23&lt;P$5+7,$E23&gt;P$5),"■","")))</x:f>
      </x:c>
      <x:c r="Q23" s="7" t="str">
        <x:f>IF(OR($D23="",Q$5="",'상세일정'!AM23="제외"),"",IF($D23=$E23,IF(AND($D23&gt;=Q$5,$D23&lt;Q$5+7),"◆",""),IF(AND($D23&lt;Q$5+7,$E23&gt;Q$5),"■","")))</x:f>
      </x:c>
      <x:c r="R23" s="7" t="str">
        <x:f>IF(OR($D23="",R$5="",'상세일정'!AM23="제외"),"",IF($D23=$E23,IF(AND($D23&gt;=R$5,$D23&lt;R$5+7),"◆",""),IF(AND($D23&lt;R$5+7,$E23&gt;R$5),"■","")))</x:f>
      </x:c>
      <x:c r="S23" s="7" t="str">
        <x:f>IF(OR($D23="",S$5="",'상세일정'!AM23="제외"),"",IF($D23=$E23,IF(AND($D23&gt;=S$5,$D23&lt;S$5+7),"◆",""),IF(AND($D23&lt;S$5+7,$E23&gt;S$5),"■","")))</x:f>
      </x:c>
      <x:c r="T23" s="7" t="str">
        <x:f>IF(OR($D23="",T$5="",'상세일정'!AM23="제외"),"",IF($D23=$E23,IF(AND($D23&gt;=T$5,$D23&lt;T$5+7),"◆",""),IF(AND($D23&lt;T$5+7,$E23&gt;T$5),"■","")))</x:f>
      </x:c>
      <x:c r="U23" s="7" t="str">
        <x:f>IF(OR($D23="",U$5="",'상세일정'!AM23="제외"),"",IF($D23=$E23,IF(AND($D23&gt;=U$5,$D23&lt;U$5+7),"◆",""),IF(AND($D23&lt;U$5+7,$E23&gt;U$5),"■","")))</x:f>
      </x:c>
      <x:c r="V23" s="7" t="str">
        <x:f>IF(OR($D23="",V$5="",'상세일정'!AM23="제외"),"",IF($D23=$E23,IF(AND($D23&gt;=V$5,$D23&lt;V$5+7),"◆",""),IF(AND($D23&lt;V$5+7,$E23&gt;V$5),"■","")))</x:f>
      </x:c>
      <x:c r="W23" s="7" t="str">
        <x:f>IF(OR($D23="",W$5="",'상세일정'!AM23="제외"),"",IF($D23=$E23,IF(AND($D23&gt;=W$5,$D23&lt;W$5+7),"◆",""),IF(AND($D23&lt;W$5+7,$E23&gt;W$5),"■","")))</x:f>
      </x:c>
      <x:c r="X23" s="7" t="str">
        <x:f>IF(OR($D23="",X$5="",'상세일정'!AM23="제외"),"",IF($D23=$E23,IF(AND($D23&gt;=X$5,$D23&lt;X$5+7),"◆",""),IF(AND($D23&lt;X$5+7,$E23&gt;X$5),"■","")))</x:f>
      </x:c>
      <x:c r="Y23" s="7" t="str">
        <x:f>IF(OR($D23="",Y$5="",'상세일정'!AM23="제외"),"",IF($D23=$E23,IF(AND($D23&gt;=Y$5,$D23&lt;Y$5+7),"◆",""),IF(AND($D23&lt;Y$5+7,$E23&gt;Y$5),"■","")))</x:f>
      </x:c>
      <x:c r="Z23" s="7" t="str">
        <x:f>IF(OR($D23="",Z$5="",'상세일정'!AM23="제외"),"",IF($D23=$E23,IF(AND($D23&gt;=Z$5,$D23&lt;Z$5+7),"◆",""),IF(AND($D23&lt;Z$5+7,$E23&gt;Z$5),"■","")))</x:f>
      </x:c>
      <x:c r="AA23" s="7" t="str">
        <x:f>IF(OR($D23="",AA$5="",'상세일정'!AM23="제외"),"",IF($D23=$E23,IF(AND($D23&gt;=AA$5,$D23&lt;AA$5+7),"◆",""),IF(AND($D23&lt;AA$5+7,$E23&gt;AA$5),"■","")))</x:f>
      </x:c>
      <x:c r="AB23" s="7" t="str">
        <x:f>IF(OR($D23="",AB$5="",'상세일정'!AM23="제외"),"",IF($D23=$E23,IF(AND($D23&gt;=AB$5,$D23&lt;AB$5+7),"◆",""),IF(AND($D23&lt;AB$5+7,$E23&gt;AB$5),"■","")))</x:f>
      </x:c>
      <x:c r="AC23" s="7" t="str">
        <x:f>IF(OR($D23="",AC$5="",'상세일정'!AM23="제외"),"",IF($D23=$E23,IF(AND($D23&gt;=AC$5,$D23&lt;AC$5+7),"◆",""),IF(AND($D23&lt;AC$5+7,$E23&gt;AC$5),"■","")))</x:f>
      </x:c>
      <x:c r="AD23" s="7" t="str">
        <x:f>IF(OR($D23="",AD$5="",'상세일정'!AM23="제외"),"",IF($D23=$E23,IF(AND($D23&gt;=AD$5,$D23&lt;AD$5+7),"◆",""),IF(AND($D23&lt;AD$5+7,$E23&gt;AD$5),"■","")))</x:f>
      </x:c>
      <x:c r="AE23" s="7" t="str">
        <x:f>IF(OR($D23="",AE$5="",'상세일정'!AM23="제외"),"",IF($D23=$E23,IF(AND($D23&gt;=AE$5,$D23&lt;AE$5+7),"◆",""),IF(AND($D23&lt;AE$5+7,$E23&gt;AE$5),"■","")))</x:f>
      </x:c>
      <x:c r="AF23" s="7" t="str">
        <x:f>IF(OR($D23="",AF$5="",'상세일정'!AM23="제외"),"",IF($D23=$E23,IF(AND($D23&gt;=AF$5,$D23&lt;AF$5+7),"◆",""),IF(AND($D23&lt;AF$5+7,$E23&gt;AF$5),"■","")))</x:f>
      </x:c>
      <x:c r="AG23" s="7" t="str">
        <x:f>IF(OR($D23="",AG$5="",'상세일정'!AM23="제외"),"",IF($D23=$E23,IF(AND($D23&gt;=AG$5,$D23&lt;AG$5+7),"◆",""),IF(AND($D23&lt;AG$5+7,$E23&gt;AG$5),"■","")))</x:f>
      </x:c>
      <x:c r="AH23" s="7" t="str">
        <x:f>IF(OR($D23="",AH$5="",'상세일정'!AM23="제외"),"",IF($D23=$E23,IF(AND($D23&gt;=AH$5,$D23&lt;AH$5+7),"◆",""),IF(AND($D23&lt;AH$5+7,$E23&gt;AH$5),"■","")))</x:f>
      </x:c>
      <x:c r="AI23" s="7" t="str">
        <x:f>IF(OR($D23="",AI$5="",'상세일정'!AM23="제외"),"",IF($D23=$E23,IF(AND($D23&gt;=AI$5,$D23&lt;AI$5+7),"◆",""),IF(AND($D23&lt;AI$5+7,$E23&gt;AI$5),"■","")))</x:f>
      </x:c>
      <x:c r="AJ23" s="7" t="str">
        <x:f>IF(OR($D23="",AJ$5="",'상세일정'!AM23="제외"),"",IF($D23=$E23,IF(AND($D23&gt;=AJ$5,$D23&lt;AJ$5+7),"◆",""),IF(AND($D23&lt;AJ$5+7,$E23&gt;AJ$5),"■","")))</x:f>
      </x:c>
      <x:c r="AK23" s="7" t="str">
        <x:f>IF(OR($D23="",AK$5="",'상세일정'!AM23="제외"),"",IF($D23=$E23,IF(AND($D23&gt;=AK$5,$D23&lt;AK$5+7),"◆",""),IF(AND($D23&lt;AK$5+7,$E23&gt;AK$5),"■","")))</x:f>
      </x:c>
      <x:c r="AL23" s="7" t="str">
        <x:f>IF(OR($D23="",AL$5="",'상세일정'!AM23="제외"),"",IF($D23=$E23,IF(AND($D23&gt;=AL$5,$D23&lt;AL$5+7),"◆",""),IF(AND($D23&lt;AL$5+7,$E23&gt;AL$5),"■","")))</x:f>
      </x:c>
      <x:c r="AM23" s="7" t="str">
        <x:f>IF(OR($D23="",AM$5="",'상세일정'!AM23="제외"),"",IF($D23=$E23,IF(AND($D23&gt;=AM$5,$D23&lt;AM$5+7),"◆",""),IF(AND($D23&lt;AM$5+7,$E23&gt;AM$5),"■","")))</x:f>
      </x:c>
      <x:c r="AN23" s="7" t="str">
        <x:f>IF(OR($D23="",AN$5="",'상세일정'!AM23="제외"),"",IF($D23=$E23,IF(AND($D23&gt;=AN$5,$D23&lt;AN$5+7),"◆",""),IF(AND($D23&lt;AN$5+7,$E23&gt;AN$5),"■","")))</x:f>
      </x:c>
      <x:c r="AO23" s="7" t="str">
        <x:f>IF(OR($D23="",AO$5="",'상세일정'!AM23="제외"),"",IF($D23=$E23,IF(AND($D23&gt;=AO$5,$D23&lt;AO$5+7),"◆",""),IF(AND($D23&lt;AO$5+7,$E23&gt;AO$5),"■","")))</x:f>
      </x:c>
      <x:c r="AP23" s="7" t="str">
        <x:f>IF(OR($D23="",AP$5="",'상세일정'!AM23="제외"),"",IF($D23=$E23,IF(AND($D23&gt;=AP$5,$D23&lt;AP$5+7),"◆",""),IF(AND($D23&lt;AP$5+7,$E23&gt;AP$5),"■","")))</x:f>
      </x:c>
      <x:c r="AQ23" s="7" t="str">
        <x:f>IF(OR($D23="",AQ$5="",'상세일정'!AM23="제외"),"",IF($D23=$E23,IF(AND($D23&gt;=AQ$5,$D23&lt;AQ$5+7),"◆",""),IF(AND($D23&lt;AQ$5+7,$E23&gt;AQ$5),"■","")))</x:f>
      </x:c>
      <x:c r="AR23" s="7" t="str">
        <x:f>IF(OR($D23="",AR$5="",'상세일정'!AM23="제외"),"",IF($D23=$E23,IF(AND($D23&gt;=AR$5,$D23&lt;AR$5+7),"◆",""),IF(AND($D23&lt;AR$5+7,$E23&gt;AR$5),"■","")))</x:f>
      </x:c>
      <x:c r="AS23" s="7" t="str">
        <x:f>IF(OR($D23="",AS$5="",'상세일정'!AM23="제외"),"",IF($D23=$E23,IF(AND($D23&gt;=AS$5,$D23&lt;AS$5+7),"◆",""),IF(AND($D23&lt;AS$5+7,$E23&gt;AS$5),"■","")))</x:f>
      </x:c>
      <x:c r="AT23" s="7" t="str">
        <x:f>IF(OR($D23="",AT$5="",'상세일정'!AM23="제외"),"",IF($D23=$E23,IF(AND($D23&gt;=AT$5,$D23&lt;AT$5+7),"◆",""),IF(AND($D23&lt;AT$5+7,$E23&gt;AT$5),"■","")))</x:f>
      </x:c>
      <x:c r="AU23" s="7" t="str">
        <x:f>IF(OR($D23="",AU$5="",'상세일정'!AM23="제외"),"",IF($D23=$E23,IF(AND($D23&gt;=AU$5,$D23&lt;AU$5+7),"◆",""),IF(AND($D23&lt;AU$5+7,$E23&gt;AU$5),"■","")))</x:f>
      </x:c>
      <x:c r="AV23" s="7" t="str">
        <x:f>IF(OR($D23="",AV$5="",'상세일정'!AM23="제외"),"",IF($D23=$E23,IF(AND($D23&gt;=AV$5,$D23&lt;AV$5+7),"◆",""),IF(AND($D23&lt;AV$5+7,$E23&gt;AV$5),"■","")))</x:f>
      </x:c>
      <x:c r="AW23" s="7" t="str">
        <x:f>IF(OR($D23="",AW$5="",'상세일정'!AM23="제외"),"",IF($D23=$E23,IF(AND($D23&gt;=AW$5,$D23&lt;AW$5+7),"◆",""),IF(AND($D23&lt;AW$5+7,$E23&gt;AW$5),"■","")))</x:f>
      </x:c>
      <x:c r="AX23" s="7" t="str">
        <x:f>IF(OR($D23="",AX$5="",'상세일정'!AM23="제외"),"",IF($D23=$E23,IF(AND($D23&gt;=AX$5,$D23&lt;AX$5+7),"◆",""),IF(AND($D23&lt;AX$5+7,$E23&gt;AX$5),"■","")))</x:f>
      </x:c>
      <x:c r="AY23" s="7" t="str">
        <x:f>IF(OR($D23="",AY$5="",'상세일정'!AM23="제외"),"",IF($D23=$E23,IF(AND($D23&gt;=AY$5,$D23&lt;AY$5+7),"◆",""),IF(AND($D23&lt;AY$5+7,$E23&gt;AY$5),"■","")))</x:f>
      </x:c>
      <x:c r="AZ23" s="7" t="str">
        <x:f>IF(OR($D23="",AZ$5="",'상세일정'!AM23="제외"),"",IF($D23=$E23,IF(AND($D23&gt;=AZ$5,$D23&lt;AZ$5+7),"◆",""),IF(AND($D23&lt;AZ$5+7,$E23&gt;AZ$5),"■","")))</x:f>
      </x:c>
      <x:c r="BA23" s="7" t="str">
        <x:f>IF(OR($D23="",BA$5="",'상세일정'!AM23="제외"),"",IF($D23=$E23,IF(AND($D23&gt;=BA$5,$D23&lt;BA$5+7),"◆",""),IF(AND($D23&lt;BA$5+7,$E23&gt;BA$5),"■","")))</x:f>
      </x:c>
      <x:c r="BB23" s="7" t="str">
        <x:f>IF(OR($D23="",BB$5="",'상세일정'!AM23="제외"),"",IF($D23=$E23,IF(AND($D23&gt;=BB$5,$D23&lt;BB$5+7),"◆",""),IF(AND($D23&lt;BB$5+7,$E23&gt;BB$5),"■","")))</x:f>
      </x:c>
      <x:c r="BC23" s="7" t="str">
        <x:f>IF(OR($D23="",BC$5="",'상세일정'!AM23="제외"),"",IF($D23=$E23,IF(AND($D23&gt;=BC$5,$D23&lt;BC$5+7),"◆",""),IF(AND($D23&lt;BC$5+7,$E23&gt;BC$5),"■","")))</x:f>
      </x:c>
      <x:c r="BD23" s="7" t="str">
        <x:f>IF(OR($D23="",BD$5="",'상세일정'!AM23="제외"),"",IF($D23=$E23,IF(AND($D23&gt;=BD$5,$D23&lt;BD$5+7),"◆",""),IF(AND($D23&lt;BD$5+7,$E23&gt;BD$5),"■","")))</x:f>
      </x:c>
      <x:c r="BE23" s="7" t="str">
        <x:f>IF(OR($D23="",BE$5="",'상세일정'!AM23="제외"),"",IF($D23=$E23,IF(AND($D23&gt;=BE$5,$D23&lt;BE$5+7),"◆",""),IF(AND($D23&lt;BE$5+7,$E23&gt;BE$5),"■","")))</x:f>
      </x:c>
      <x:c r="BF23" s="7" t="str">
        <x:f>IF(OR($D23="",BF$5="",'상세일정'!AM23="제외"),"",IF($D23=$E23,IF(AND($D23&gt;=BF$5,$D23&lt;BF$5+7),"◆",""),IF(AND($D23&lt;BF$5+7,$E23&gt;BF$5),"■","")))</x:f>
      </x:c>
      <x:c r="BG23" s="7" t="str">
        <x:f>IF(OR($D23="",BG$5="",'상세일정'!AM23="제외"),"",IF($D23=$E23,IF(AND($D23&gt;=BG$5,$D23&lt;BG$5+7),"◆",""),IF(AND($D23&lt;BG$5+7,$E23&gt;BG$5),"■","")))</x:f>
      </x:c>
      <x:c r="BH23" s="7" t="str">
        <x:f>IF(OR($D23="",BH$5="",'상세일정'!AM23="제외"),"",IF($D23=$E23,IF(AND($D23&gt;=BH$5,$D23&lt;BH$5+7),"◆",""),IF(AND($D23&lt;BH$5+7,$E23&gt;BH$5),"■","")))</x:f>
      </x:c>
      <x:c r="BI23" s="7" t="str">
        <x:f>IF(OR($D23="",BI$5="",'상세일정'!AM23="제외"),"",IF($D23=$E23,IF(AND($D23&gt;=BI$5,$D23&lt;BI$5+7),"◆",""),IF(AND($D23&lt;BI$5+7,$E23&gt;BI$5),"■","")))</x:f>
      </x:c>
      <x:c r="BJ23" s="7" t="str">
        <x:f>IF(OR($D23="",BJ$5="",'상세일정'!AM23="제외"),"",IF($D23=$E23,IF(AND($D23&gt;=BJ$5,$D23&lt;BJ$5+7),"◆",""),IF(AND($D23&lt;BJ$5+7,$E23&gt;BJ$5),"■","")))</x:f>
      </x:c>
      <x:c r="BK23" s="7" t="str">
        <x:f>IF(OR($D23="",BK$5="",'상세일정'!AM23="제외"),"",IF($D23=$E23,IF(AND($D23&gt;=BK$5,$D23&lt;BK$5+7),"◆",""),IF(AND($D23&lt;BK$5+7,$E23&gt;BK$5),"■","")))</x:f>
      </x:c>
      <x:c r="BL23" s="7" t="str">
        <x:f>IF(OR($D23="",BL$5="",'상세일정'!AM23="제외"),"",IF($D23=$E23,IF(AND($D23&gt;=BL$5,$D23&lt;BL$5+7),"◆",""),IF(AND($D23&lt;BL$5+7,$E23&gt;BL$5),"■","")))</x:f>
      </x:c>
      <x:c r="BM23" s="7" t="str">
        <x:f>IF(OR($D23="",BM$5="",'상세일정'!AM23="제외"),"",IF($D23=$E23,IF(AND($D23&gt;=BM$5,$D23&lt;BM$5+7),"◆",""),IF(AND($D23&lt;BM$5+7,$E23&gt;BM$5),"■","")))</x:f>
      </x:c>
      <x:c r="BN23" s="7" t="str">
        <x:f>IF(OR($D23="",BN$5="",'상세일정'!AM23="제외"),"",IF($D23=$E23,IF(AND($D23&gt;=BN$5,$D23&lt;BN$5+7),"◆",""),IF(AND($D23&lt;BN$5+7,$E23&gt;BN$5),"■","")))</x:f>
      </x:c>
      <x:c r="BO23" s="7" t="str">
        <x:f>IF(OR($D23="",BO$5="",'상세일정'!AM23="제외"),"",IF($D23=$E23,IF(AND($D23&gt;=BO$5,$D23&lt;BO$5+7),"◆",""),IF(AND($D23&lt;BO$5+7,$E23&gt;BO$5),"■","")))</x:f>
      </x:c>
      <x:c r="BP23" s="7" t="str">
        <x:f>IF(OR($D23="",BP$5="",'상세일정'!AM23="제외"),"",IF($D23=$E23,IF(AND($D23&gt;=BP$5,$D23&lt;BP$5+7),"◆",""),IF(AND($D23&lt;BP$5+7,$E23&gt;BP$5),"■","")))</x:f>
      </x:c>
      <x:c r="BQ23" s="7" t="str">
        <x:f>IF(OR($D23="",BQ$5="",'상세일정'!AM23="제외"),"",IF($D23=$E23,IF(AND($D23&gt;=BQ$5,$D23&lt;BQ$5+7),"◆",""),IF(AND($D23&lt;BQ$5+7,$E23&gt;BQ$5),"■","")))</x:f>
      </x:c>
      <x:c r="BR23" s="7" t="str">
        <x:f>IF(OR($D23="",BR$5="",'상세일정'!AM23="제외"),"",IF($D23=$E23,IF(AND($D23&gt;=BR$5,$D23&lt;BR$5+7),"◆",""),IF(AND($D23&lt;BR$5+7,$E23&gt;BR$5),"■","")))</x:f>
      </x:c>
      <x:c r="BS23" s="7" t="str">
        <x:f>IF(OR($D23="",BS$5="",'상세일정'!AM23="제외"),"",IF($D23=$E23,IF(AND($D23&gt;=BS$5,$D23&lt;BS$5+7),"◆",""),IF(AND($D23&lt;BS$5+7,$E23&gt;BS$5),"■","")))</x:f>
      </x:c>
      <x:c r="BT23" s="7" t="str">
        <x:f>IF(OR($D23="",BT$5="",'상세일정'!AM23="제외"),"",IF($D23=$E23,IF(AND($D23&gt;=BT$5,$D23&lt;BT$5+7),"◆",""),IF(AND($D23&lt;BT$5+7,$E23&gt;BT$5),"■","")))</x:f>
      </x:c>
      <x:c r="BU23" s="7" t="str">
        <x:f>IF(OR($D23="",BU$5="",'상세일정'!AM23="제외"),"",IF($D23=$E23,IF(AND($D23&gt;=BU$5,$D23&lt;BU$5+7),"◆",""),IF(AND($D23&lt;BU$5+7,$E23&gt;BU$5),"■","")))</x:f>
      </x:c>
      <x:c r="BV23" s="7" t="str">
        <x:f>IF(OR($D23="",BV$5="",'상세일정'!AM23="제외"),"",IF($D23=$E23,IF(AND($D23&gt;=BV$5,$D23&lt;BV$5+7),"◆",""),IF(AND($D23&lt;BV$5+7,$E23&gt;BV$5),"■","")))</x:f>
      </x:c>
      <x:c r="BW23" s="7" t="str">
        <x:f>IF(OR($D23="",BW$5="",'상세일정'!AM23="제외"),"",IF($D23=$E23,IF(AND($D23&gt;=BW$5,$D23&lt;BW$5+7),"◆",""),IF(AND($D23&lt;BW$5+7,$E23&gt;BW$5),"■","")))</x:f>
      </x:c>
      <x:c r="BX23" s="7" t="str">
        <x:f>IF(OR($D23="",BX$5="",'상세일정'!AM23="제외"),"",IF($D23=$E23,IF(AND($D23&gt;=BX$5,$D23&lt;BX$5+7),"◆",""),IF(AND($D23&lt;BX$5+7,$E23&gt;BX$5),"■","")))</x:f>
      </x:c>
      <x:c r="BY23" s="7" t="str">
        <x:f>IF(OR($D23="",BY$5="",'상세일정'!AM23="제외"),"",IF($D23=$E23,IF(AND($D23&gt;=BY$5,$D23&lt;BY$5+7),"◆",""),IF(AND($D23&lt;BY$5+7,$E23&gt;BY$5),"■","")))</x:f>
      </x:c>
      <x:c r="BZ23" s="7" t="str">
        <x:f>IF(OR($D23="",BZ$5="",'상세일정'!AM23="제외"),"",IF($D23=$E23,IF(AND($D23&gt;=BZ$5,$D23&lt;BZ$5+7),"◆",""),IF(AND($D23&lt;BZ$5+7,$E23&gt;BZ$5),"■","")))</x:f>
      </x:c>
      <x:c r="CA23" s="7" t="str">
        <x:f>IF(OR($D23="",CA$5="",'상세일정'!AM23="제외"),"",IF($D23=$E23,IF(AND($D23&gt;=CA$5,$D23&lt;CA$5+7),"◆",""),IF(AND($D23&lt;CA$5+7,$E23&gt;CA$5),"■","")))</x:f>
      </x:c>
      <x:c r="CB23" s="7" t="str">
        <x:f>IF(OR($D23="",CB$5="",'상세일정'!AM23="제외"),"",IF($D23=$E23,IF(AND($D23&gt;=CB$5,$D23&lt;CB$5+7),"◆",""),IF(AND($D23&lt;CB$5+7,$E23&gt;CB$5),"■","")))</x:f>
      </x:c>
      <x:c r="CC23" s="7" t="str">
        <x:f>IF(OR($D23="",CC$5="",'상세일정'!AM23="제외"),"",IF($D23=$E23,IF(AND($D23&gt;=CC$5,$D23&lt;CC$5+7),"◆",""),IF(AND($D23&lt;CC$5+7,$E23&gt;CC$5),"■","")))</x:f>
      </x:c>
      <x:c r="CD23" s="7" t="str">
        <x:f>IF(OR($D23="",CD$5="",'상세일정'!AM23="제외"),"",IF($D23=$E23,IF(AND($D23&gt;=CD$5,$D23&lt;CD$5+7),"◆",""),IF(AND($D23&lt;CD$5+7,$E23&gt;CD$5),"■","")))</x:f>
      </x:c>
      <x:c r="CE23" s="7" t="str">
        <x:f>IF(OR($D23="",CE$5="",'상세일정'!AM23="제외"),"",IF($D23=$E23,IF(AND($D23&gt;=CE$5,$D23&lt;CE$5+7),"◆",""),IF(AND($D23&lt;CE$5+7,$E23&gt;CE$5),"■","")))</x:f>
      </x:c>
      <x:c r="CF23" s="7" t="str">
        <x:f>IF(OR($D23="",CF$5="",'상세일정'!AM23="제외"),"",IF($D23=$E23,IF(AND($D23&gt;=CF$5,$D23&lt;CF$5+7),"◆",""),IF(AND($D23&lt;CF$5+7,$E23&gt;CF$5),"■","")))</x:f>
      </x:c>
      <x:c r="CG23" s="7" t="str">
        <x:f>IF(OR($D23="",CG$5="",'상세일정'!AM23="제외"),"",IF($D23=$E23,IF(AND($D23&gt;=CG$5,$D23&lt;CG$5+7),"◆",""),IF(AND($D23&lt;CG$5+7,$E23&gt;CG$5),"■","")))</x:f>
      </x:c>
      <x:c r="CH23" s="7" t="str">
        <x:f>IF(OR($D23="",CH$5="",'상세일정'!AM23="제외"),"",IF($D23=$E23,IF(AND($D23&gt;=CH$5,$D23&lt;CH$5+7),"◆",""),IF(AND($D23&lt;CH$5+7,$E23&gt;CH$5),"■","")))</x:f>
      </x:c>
      <x:c r="CI23" s="7" t="str">
        <x:f>IF(OR($D23="",CI$5="",'상세일정'!AM23="제외"),"",IF($D23=$E23,IF(AND($D23&gt;=CI$5,$D23&lt;CI$5+7),"◆",""),IF(AND($D23&lt;CI$5+7,$E23&gt;CI$5),"■","")))</x:f>
      </x:c>
      <x:c r="CJ23" s="7" t="str">
        <x:f>IF(OR($D23="",CJ$5="",'상세일정'!AM23="제외"),"",IF($D23=$E23,IF(AND($D23&gt;=CJ$5,$D23&lt;CJ$5+7),"◆",""),IF(AND($D23&lt;CJ$5+7,$E23&gt;CJ$5),"■","")))</x:f>
      </x:c>
      <x:c r="CK23" s="7" t="str">
        <x:f>IF(OR($D23="",CK$5="",'상세일정'!AM23="제외"),"",IF($D23=$E23,IF(AND($D23&gt;=CK$5,$D23&lt;CK$5+7),"◆",""),IF(AND($D23&lt;CK$5+7,$E23&gt;CK$5),"■","")))</x:f>
      </x:c>
      <x:c r="CL23" s="7" t="str">
        <x:f>IF(OR($D23="",CL$5="",'상세일정'!AM23="제외"),"",IF($D23=$E23,IF(AND($D23&gt;=CL$5,$D23&lt;CL$5+7),"◆",""),IF(AND($D23&lt;CL$5+7,$E23&gt;CL$5),"■","")))</x:f>
      </x:c>
      <x:c r="CM23" s="7" t="str">
        <x:f>IF(OR($D23="",CM$5="",'상세일정'!AM23="제외"),"",IF($D23=$E23,IF(AND($D23&gt;=CM$5,$D23&lt;CM$5+7),"◆",""),IF(AND($D23&lt;CM$5+7,$E23&gt;CM$5),"■","")))</x:f>
      </x:c>
      <x:c r="CN23" s="7" t="str">
        <x:f>IF(OR($D23="",CN$5="",'상세일정'!AM23="제외"),"",IF($D23=$E23,IF(AND($D23&gt;=CN$5,$D23&lt;CN$5+7),"◆",""),IF(AND($D23&lt;CN$5+7,$E23&gt;CN$5),"■","")))</x:f>
      </x:c>
      <x:c r="CO23" s="7" t="str">
        <x:f>IF(OR($D23="",CO$5="",'상세일정'!AM23="제외"),"",IF($D23=$E23,IF(AND($D23&gt;=CO$5,$D23&lt;CO$5+7),"◆",""),IF(AND($D23&lt;CO$5+7,$E23&gt;CO$5),"■","")))</x:f>
      </x:c>
      <x:c r="CP23" s="7" t="str">
        <x:f>IF(OR($D23="",CP$5="",'상세일정'!AM23="제외"),"",IF($D23=$E23,IF(AND($D23&gt;=CP$5,$D23&lt;CP$5+7),"◆",""),IF(AND($D23&lt;CP$5+7,$E23&gt;CP$5),"■","")))</x:f>
      </x:c>
      <x:c r="CQ23" s="7" t="str">
        <x:f>IF(OR($D23="",CQ$5="",'상세일정'!AM23="제외"),"",IF($D23=$E23,IF(AND($D23&gt;=CQ$5,$D23&lt;CQ$5+7),"◆",""),IF(AND($D23&lt;CQ$5+7,$E23&gt;CQ$5),"■","")))</x:f>
      </x:c>
      <x:c r="CR23" s="7" t="str">
        <x:f>IF(OR($D23="",CR$5="",'상세일정'!AM23="제외"),"",IF($D23=$E23,IF(AND($D23&gt;=CR$5,$D23&lt;CR$5+7),"◆",""),IF(AND($D23&lt;CR$5+7,$E23&gt;CR$5),"■","")))</x:f>
      </x:c>
      <x:c r="CS23" s="7" t="str">
        <x:f>IF(OR($D23="",CS$5="",'상세일정'!AM23="제외"),"",IF($D23=$E23,IF(AND($D23&gt;=CS$5,$D23&lt;CS$5+7),"◆",""),IF(AND($D23&lt;CS$5+7,$E23&gt;CS$5),"■","")))</x:f>
      </x:c>
      <x:c r="CT23" s="7" t="str">
        <x:f>IF(OR($D23="",CT$5="",'상세일정'!AM23="제외"),"",IF($D23=$E23,IF(AND($D23&gt;=CT$5,$D23&lt;CT$5+7),"◆",""),IF(AND($D23&lt;CT$5+7,$E23&gt;CT$5),"■","")))</x:f>
      </x:c>
      <x:c r="CU23" s="7" t="str">
        <x:f>IF(OR($D23="",CU$5="",'상세일정'!AM23="제외"),"",IF($D23=$E23,IF(AND($D23&gt;=CU$5,$D23&lt;CU$5+7),"◆",""),IF(AND($D23&lt;CU$5+7,$E23&gt;CU$5),"■","")))</x:f>
      </x:c>
      <x:c r="CV23" s="7" t="str">
        <x:f>IF(OR($D23="",CV$5="",'상세일정'!AM23="제외"),"",IF($D23=$E23,IF(AND($D23&gt;=CV$5,$D23&lt;CV$5+7),"◆",""),IF(AND($D23&lt;CV$5+7,$E23&gt;CV$5),"■","")))</x:f>
      </x:c>
      <x:c r="CW23" s="7" t="str">
        <x:f>IF(OR($D23="",CW$5="",'상세일정'!AM23="제외"),"",IF($D23=$E23,IF(AND($D23&gt;=CW$5,$D23&lt;CW$5+7),"◆",""),IF(AND($D23&lt;CW$5+7,$E23&gt;CW$5),"■","")))</x:f>
      </x:c>
      <x:c r="CX23" s="7" t="str">
        <x:f>IF(OR($D23="",CX$5="",'상세일정'!AM23="제외"),"",IF($D23=$E23,IF(AND($D23&gt;=CX$5,$D23&lt;CX$5+7),"◆",""),IF(AND($D23&lt;CX$5+7,$E23&gt;CX$5),"■","")))</x:f>
      </x:c>
      <x:c r="CY23" s="7" t="str">
        <x:f>IF(OR($D23="",CY$5="",'상세일정'!AM23="제외"),"",IF($D23=$E23,IF(AND($D23&gt;=CY$5,$D23&lt;CY$5+7),"◆",""),IF(AND($D23&lt;CY$5+7,$E23&gt;CY$5),"■","")))</x:f>
      </x:c>
      <x:c r="CZ23" s="7" t="str">
        <x:f>IF(OR($D23="",CZ$5="",'상세일정'!AM23="제외"),"",IF($D23=$E23,IF(AND($D23&gt;=CZ$5,$D23&lt;CZ$5+7),"◆",""),IF(AND($D23&lt;CZ$5+7,$E23&gt;CZ$5),"■","")))</x:f>
      </x:c>
      <x:c r="DA23" s="7" t="str">
        <x:f>IF(OR($D23="",DA$5="",'상세일정'!AM23="제외"),"",IF($D23=$E23,IF(AND($D23&gt;=DA$5,$D23&lt;DA$5+7),"◆",""),IF(AND($D23&lt;DA$5+7,$E23&gt;DA$5),"■","")))</x:f>
      </x:c>
      <x:c r="DB23" s="7" t="str">
        <x:f>IF(OR($D23="",DB$5="",'상세일정'!AM23="제외"),"",IF($D23=$E23,IF(AND($D23&gt;=DB$5,$D23&lt;DB$5+7),"◆",""),IF(AND($D23&lt;DB$5+7,$E23&gt;DB$5),"■","")))</x:f>
      </x:c>
      <x:c r="DC23" s="7" t="str">
        <x:f>IF(OR($D23="",DC$5="",'상세일정'!AM23="제외"),"",IF($D23=$E23,IF(AND($D23&gt;=DC$5,$D23&lt;DC$5+7),"◆",""),IF(AND($D23&lt;DC$5+7,$E23&gt;DC$5),"■","")))</x:f>
      </x:c>
      <x:c r="DD23" s="7" t="str">
        <x:f>IF(OR($D23="",DD$5="",'상세일정'!AM23="제외"),"",IF($D23=$E23,IF(AND($D23&gt;=DD$5,$D23&lt;DD$5+7),"◆",""),IF(AND($D23&lt;DD$5+7,$E23&gt;DD$5),"■","")))</x:f>
      </x:c>
      <x:c r="DE23" s="7" t="str">
        <x:f>IF(OR($D23="",DE$5="",'상세일정'!AM23="제외"),"",IF($D23=$E23,IF(AND($D23&gt;=DE$5,$D23&lt;DE$5+7),"◆",""),IF(AND($D23&lt;DE$5+7,$E23&gt;DE$5),"■","")))</x:f>
      </x:c>
    </x:row>
    <x:row r="24" ht="34" customHeight="1">
      <x:c r="A24" s="7" t="str">
        <x:v>DB06</x:v>
      </x:c>
      <x:c r="B24" s="7" t="str">
        <x:v>04 공정·배치 기준</x:v>
      </x:c>
      <x:c r="C24" s="7" t="str">
        <x:v>배치도 동결 및 변경관리 개시</x:v>
      </x:c>
      <x:c r="D24" s="10" t="str">
        <x:f>'상세일정'!AJ24</x:f>
      </x:c>
      <x:c r="E24" s="10" t="str">
        <x:f>'상세일정'!AK24</x:f>
      </x:c>
      <x:c r="F24" s="7" t="str">
        <x:f>IF(OR($D24="",F$5="",'상세일정'!AM24="제외"),"",IF($D24=$E24,IF(AND($D24&gt;=F$5,$D24&lt;F$5+7),"◆",""),IF(AND($D24&lt;F$5+7,$E24&gt;F$5),"■","")))</x:f>
      </x:c>
      <x:c r="G24" s="7" t="str">
        <x:f>IF(OR($D24="",G$5="",'상세일정'!AM24="제외"),"",IF($D24=$E24,IF(AND($D24&gt;=G$5,$D24&lt;G$5+7),"◆",""),IF(AND($D24&lt;G$5+7,$E24&gt;G$5),"■","")))</x:f>
      </x:c>
      <x:c r="H24" s="7" t="str">
        <x:f>IF(OR($D24="",H$5="",'상세일정'!AM24="제외"),"",IF($D24=$E24,IF(AND($D24&gt;=H$5,$D24&lt;H$5+7),"◆",""),IF(AND($D24&lt;H$5+7,$E24&gt;H$5),"■","")))</x:f>
      </x:c>
      <x:c r="I24" s="7" t="str">
        <x:f>IF(OR($D24="",I$5="",'상세일정'!AM24="제외"),"",IF($D24=$E24,IF(AND($D24&gt;=I$5,$D24&lt;I$5+7),"◆",""),IF(AND($D24&lt;I$5+7,$E24&gt;I$5),"■","")))</x:f>
      </x:c>
      <x:c r="J24" s="7" t="str">
        <x:f>IF(OR($D24="",J$5="",'상세일정'!AM24="제외"),"",IF($D24=$E24,IF(AND($D24&gt;=J$5,$D24&lt;J$5+7),"◆",""),IF(AND($D24&lt;J$5+7,$E24&gt;J$5),"■","")))</x:f>
      </x:c>
      <x:c r="K24" s="7" t="str">
        <x:f>IF(OR($D24="",K$5="",'상세일정'!AM24="제외"),"",IF($D24=$E24,IF(AND($D24&gt;=K$5,$D24&lt;K$5+7),"◆",""),IF(AND($D24&lt;K$5+7,$E24&gt;K$5),"■","")))</x:f>
      </x:c>
      <x:c r="L24" s="7" t="str">
        <x:f>IF(OR($D24="",L$5="",'상세일정'!AM24="제외"),"",IF($D24=$E24,IF(AND($D24&gt;=L$5,$D24&lt;L$5+7),"◆",""),IF(AND($D24&lt;L$5+7,$E24&gt;L$5),"■","")))</x:f>
      </x:c>
      <x:c r="M24" s="7" t="str">
        <x:f>IF(OR($D24="",M$5="",'상세일정'!AM24="제외"),"",IF($D24=$E24,IF(AND($D24&gt;=M$5,$D24&lt;M$5+7),"◆",""),IF(AND($D24&lt;M$5+7,$E24&gt;M$5),"■","")))</x:f>
      </x:c>
      <x:c r="N24" s="7" t="str">
        <x:f>IF(OR($D24="",N$5="",'상세일정'!AM24="제외"),"",IF($D24=$E24,IF(AND($D24&gt;=N$5,$D24&lt;N$5+7),"◆",""),IF(AND($D24&lt;N$5+7,$E24&gt;N$5),"■","")))</x:f>
      </x:c>
      <x:c r="O24" s="7" t="str">
        <x:f>IF(OR($D24="",O$5="",'상세일정'!AM24="제외"),"",IF($D24=$E24,IF(AND($D24&gt;=O$5,$D24&lt;O$5+7),"◆",""),IF(AND($D24&lt;O$5+7,$E24&gt;O$5),"■","")))</x:f>
      </x:c>
      <x:c r="P24" s="7" t="str">
        <x:f>IF(OR($D24="",P$5="",'상세일정'!AM24="제외"),"",IF($D24=$E24,IF(AND($D24&gt;=P$5,$D24&lt;P$5+7),"◆",""),IF(AND($D24&lt;P$5+7,$E24&gt;P$5),"■","")))</x:f>
      </x:c>
      <x:c r="Q24" s="7" t="str">
        <x:f>IF(OR($D24="",Q$5="",'상세일정'!AM24="제외"),"",IF($D24=$E24,IF(AND($D24&gt;=Q$5,$D24&lt;Q$5+7),"◆",""),IF(AND($D24&lt;Q$5+7,$E24&gt;Q$5),"■","")))</x:f>
      </x:c>
      <x:c r="R24" s="7" t="str">
        <x:f>IF(OR($D24="",R$5="",'상세일정'!AM24="제외"),"",IF($D24=$E24,IF(AND($D24&gt;=R$5,$D24&lt;R$5+7),"◆",""),IF(AND($D24&lt;R$5+7,$E24&gt;R$5),"■","")))</x:f>
      </x:c>
      <x:c r="S24" s="7" t="str">
        <x:f>IF(OR($D24="",S$5="",'상세일정'!AM24="제외"),"",IF($D24=$E24,IF(AND($D24&gt;=S$5,$D24&lt;S$5+7),"◆",""),IF(AND($D24&lt;S$5+7,$E24&gt;S$5),"■","")))</x:f>
      </x:c>
      <x:c r="T24" s="7" t="str">
        <x:f>IF(OR($D24="",T$5="",'상세일정'!AM24="제외"),"",IF($D24=$E24,IF(AND($D24&gt;=T$5,$D24&lt;T$5+7),"◆",""),IF(AND($D24&lt;T$5+7,$E24&gt;T$5),"■","")))</x:f>
      </x:c>
      <x:c r="U24" s="7" t="str">
        <x:f>IF(OR($D24="",U$5="",'상세일정'!AM24="제외"),"",IF($D24=$E24,IF(AND($D24&gt;=U$5,$D24&lt;U$5+7),"◆",""),IF(AND($D24&lt;U$5+7,$E24&gt;U$5),"■","")))</x:f>
      </x:c>
      <x:c r="V24" s="7" t="str">
        <x:f>IF(OR($D24="",V$5="",'상세일정'!AM24="제외"),"",IF($D24=$E24,IF(AND($D24&gt;=V$5,$D24&lt;V$5+7),"◆",""),IF(AND($D24&lt;V$5+7,$E24&gt;V$5),"■","")))</x:f>
      </x:c>
      <x:c r="W24" s="7" t="str">
        <x:f>IF(OR($D24="",W$5="",'상세일정'!AM24="제외"),"",IF($D24=$E24,IF(AND($D24&gt;=W$5,$D24&lt;W$5+7),"◆",""),IF(AND($D24&lt;W$5+7,$E24&gt;W$5),"■","")))</x:f>
      </x:c>
      <x:c r="X24" s="7" t="str">
        <x:f>IF(OR($D24="",X$5="",'상세일정'!AM24="제외"),"",IF($D24=$E24,IF(AND($D24&gt;=X$5,$D24&lt;X$5+7),"◆",""),IF(AND($D24&lt;X$5+7,$E24&gt;X$5),"■","")))</x:f>
      </x:c>
      <x:c r="Y24" s="7" t="str">
        <x:f>IF(OR($D24="",Y$5="",'상세일정'!AM24="제외"),"",IF($D24=$E24,IF(AND($D24&gt;=Y$5,$D24&lt;Y$5+7),"◆",""),IF(AND($D24&lt;Y$5+7,$E24&gt;Y$5),"■","")))</x:f>
      </x:c>
      <x:c r="Z24" s="7" t="str">
        <x:f>IF(OR($D24="",Z$5="",'상세일정'!AM24="제외"),"",IF($D24=$E24,IF(AND($D24&gt;=Z$5,$D24&lt;Z$5+7),"◆",""),IF(AND($D24&lt;Z$5+7,$E24&gt;Z$5),"■","")))</x:f>
      </x:c>
      <x:c r="AA24" s="7" t="str">
        <x:f>IF(OR($D24="",AA$5="",'상세일정'!AM24="제외"),"",IF($D24=$E24,IF(AND($D24&gt;=AA$5,$D24&lt;AA$5+7),"◆",""),IF(AND($D24&lt;AA$5+7,$E24&gt;AA$5),"■","")))</x:f>
      </x:c>
      <x:c r="AB24" s="7" t="str">
        <x:f>IF(OR($D24="",AB$5="",'상세일정'!AM24="제외"),"",IF($D24=$E24,IF(AND($D24&gt;=AB$5,$D24&lt;AB$5+7),"◆",""),IF(AND($D24&lt;AB$5+7,$E24&gt;AB$5),"■","")))</x:f>
      </x:c>
      <x:c r="AC24" s="7" t="str">
        <x:f>IF(OR($D24="",AC$5="",'상세일정'!AM24="제외"),"",IF($D24=$E24,IF(AND($D24&gt;=AC$5,$D24&lt;AC$5+7),"◆",""),IF(AND($D24&lt;AC$5+7,$E24&gt;AC$5),"■","")))</x:f>
      </x:c>
      <x:c r="AD24" s="7" t="str">
        <x:f>IF(OR($D24="",AD$5="",'상세일정'!AM24="제외"),"",IF($D24=$E24,IF(AND($D24&gt;=AD$5,$D24&lt;AD$5+7),"◆",""),IF(AND($D24&lt;AD$5+7,$E24&gt;AD$5),"■","")))</x:f>
      </x:c>
      <x:c r="AE24" s="7" t="str">
        <x:f>IF(OR($D24="",AE$5="",'상세일정'!AM24="제외"),"",IF($D24=$E24,IF(AND($D24&gt;=AE$5,$D24&lt;AE$5+7),"◆",""),IF(AND($D24&lt;AE$5+7,$E24&gt;AE$5),"■","")))</x:f>
      </x:c>
      <x:c r="AF24" s="7" t="str">
        <x:f>IF(OR($D24="",AF$5="",'상세일정'!AM24="제외"),"",IF($D24=$E24,IF(AND($D24&gt;=AF$5,$D24&lt;AF$5+7),"◆",""),IF(AND($D24&lt;AF$5+7,$E24&gt;AF$5),"■","")))</x:f>
      </x:c>
      <x:c r="AG24" s="7" t="str">
        <x:f>IF(OR($D24="",AG$5="",'상세일정'!AM24="제외"),"",IF($D24=$E24,IF(AND($D24&gt;=AG$5,$D24&lt;AG$5+7),"◆",""),IF(AND($D24&lt;AG$5+7,$E24&gt;AG$5),"■","")))</x:f>
      </x:c>
      <x:c r="AH24" s="7" t="str">
        <x:f>IF(OR($D24="",AH$5="",'상세일정'!AM24="제외"),"",IF($D24=$E24,IF(AND($D24&gt;=AH$5,$D24&lt;AH$5+7),"◆",""),IF(AND($D24&lt;AH$5+7,$E24&gt;AH$5),"■","")))</x:f>
      </x:c>
      <x:c r="AI24" s="7" t="str">
        <x:f>IF(OR($D24="",AI$5="",'상세일정'!AM24="제외"),"",IF($D24=$E24,IF(AND($D24&gt;=AI$5,$D24&lt;AI$5+7),"◆",""),IF(AND($D24&lt;AI$5+7,$E24&gt;AI$5),"■","")))</x:f>
      </x:c>
      <x:c r="AJ24" s="7" t="str">
        <x:f>IF(OR($D24="",AJ$5="",'상세일정'!AM24="제외"),"",IF($D24=$E24,IF(AND($D24&gt;=AJ$5,$D24&lt;AJ$5+7),"◆",""),IF(AND($D24&lt;AJ$5+7,$E24&gt;AJ$5),"■","")))</x:f>
      </x:c>
      <x:c r="AK24" s="7" t="str">
        <x:f>IF(OR($D24="",AK$5="",'상세일정'!AM24="제외"),"",IF($D24=$E24,IF(AND($D24&gt;=AK$5,$D24&lt;AK$5+7),"◆",""),IF(AND($D24&lt;AK$5+7,$E24&gt;AK$5),"■","")))</x:f>
      </x:c>
      <x:c r="AL24" s="7" t="str">
        <x:f>IF(OR($D24="",AL$5="",'상세일정'!AM24="제외"),"",IF($D24=$E24,IF(AND($D24&gt;=AL$5,$D24&lt;AL$5+7),"◆",""),IF(AND($D24&lt;AL$5+7,$E24&gt;AL$5),"■","")))</x:f>
      </x:c>
      <x:c r="AM24" s="7" t="str">
        <x:f>IF(OR($D24="",AM$5="",'상세일정'!AM24="제외"),"",IF($D24=$E24,IF(AND($D24&gt;=AM$5,$D24&lt;AM$5+7),"◆",""),IF(AND($D24&lt;AM$5+7,$E24&gt;AM$5),"■","")))</x:f>
      </x:c>
      <x:c r="AN24" s="7" t="str">
        <x:f>IF(OR($D24="",AN$5="",'상세일정'!AM24="제외"),"",IF($D24=$E24,IF(AND($D24&gt;=AN$5,$D24&lt;AN$5+7),"◆",""),IF(AND($D24&lt;AN$5+7,$E24&gt;AN$5),"■","")))</x:f>
      </x:c>
      <x:c r="AO24" s="7" t="str">
        <x:f>IF(OR($D24="",AO$5="",'상세일정'!AM24="제외"),"",IF($D24=$E24,IF(AND($D24&gt;=AO$5,$D24&lt;AO$5+7),"◆",""),IF(AND($D24&lt;AO$5+7,$E24&gt;AO$5),"■","")))</x:f>
      </x:c>
      <x:c r="AP24" s="7" t="str">
        <x:f>IF(OR($D24="",AP$5="",'상세일정'!AM24="제외"),"",IF($D24=$E24,IF(AND($D24&gt;=AP$5,$D24&lt;AP$5+7),"◆",""),IF(AND($D24&lt;AP$5+7,$E24&gt;AP$5),"■","")))</x:f>
      </x:c>
      <x:c r="AQ24" s="7" t="str">
        <x:f>IF(OR($D24="",AQ$5="",'상세일정'!AM24="제외"),"",IF($D24=$E24,IF(AND($D24&gt;=AQ$5,$D24&lt;AQ$5+7),"◆",""),IF(AND($D24&lt;AQ$5+7,$E24&gt;AQ$5),"■","")))</x:f>
      </x:c>
      <x:c r="AR24" s="7" t="str">
        <x:f>IF(OR($D24="",AR$5="",'상세일정'!AM24="제외"),"",IF($D24=$E24,IF(AND($D24&gt;=AR$5,$D24&lt;AR$5+7),"◆",""),IF(AND($D24&lt;AR$5+7,$E24&gt;AR$5),"■","")))</x:f>
      </x:c>
      <x:c r="AS24" s="7" t="str">
        <x:f>IF(OR($D24="",AS$5="",'상세일정'!AM24="제외"),"",IF($D24=$E24,IF(AND($D24&gt;=AS$5,$D24&lt;AS$5+7),"◆",""),IF(AND($D24&lt;AS$5+7,$E24&gt;AS$5),"■","")))</x:f>
      </x:c>
      <x:c r="AT24" s="7" t="str">
        <x:f>IF(OR($D24="",AT$5="",'상세일정'!AM24="제외"),"",IF($D24=$E24,IF(AND($D24&gt;=AT$5,$D24&lt;AT$5+7),"◆",""),IF(AND($D24&lt;AT$5+7,$E24&gt;AT$5),"■","")))</x:f>
      </x:c>
      <x:c r="AU24" s="7" t="str">
        <x:f>IF(OR($D24="",AU$5="",'상세일정'!AM24="제외"),"",IF($D24=$E24,IF(AND($D24&gt;=AU$5,$D24&lt;AU$5+7),"◆",""),IF(AND($D24&lt;AU$5+7,$E24&gt;AU$5),"■","")))</x:f>
      </x:c>
      <x:c r="AV24" s="7" t="str">
        <x:f>IF(OR($D24="",AV$5="",'상세일정'!AM24="제외"),"",IF($D24=$E24,IF(AND($D24&gt;=AV$5,$D24&lt;AV$5+7),"◆",""),IF(AND($D24&lt;AV$5+7,$E24&gt;AV$5),"■","")))</x:f>
      </x:c>
      <x:c r="AW24" s="7" t="str">
        <x:f>IF(OR($D24="",AW$5="",'상세일정'!AM24="제외"),"",IF($D24=$E24,IF(AND($D24&gt;=AW$5,$D24&lt;AW$5+7),"◆",""),IF(AND($D24&lt;AW$5+7,$E24&gt;AW$5),"■","")))</x:f>
      </x:c>
      <x:c r="AX24" s="7" t="str">
        <x:f>IF(OR($D24="",AX$5="",'상세일정'!AM24="제외"),"",IF($D24=$E24,IF(AND($D24&gt;=AX$5,$D24&lt;AX$5+7),"◆",""),IF(AND($D24&lt;AX$5+7,$E24&gt;AX$5),"■","")))</x:f>
      </x:c>
      <x:c r="AY24" s="7" t="str">
        <x:f>IF(OR($D24="",AY$5="",'상세일정'!AM24="제외"),"",IF($D24=$E24,IF(AND($D24&gt;=AY$5,$D24&lt;AY$5+7),"◆",""),IF(AND($D24&lt;AY$5+7,$E24&gt;AY$5),"■","")))</x:f>
      </x:c>
      <x:c r="AZ24" s="7" t="str">
        <x:f>IF(OR($D24="",AZ$5="",'상세일정'!AM24="제외"),"",IF($D24=$E24,IF(AND($D24&gt;=AZ$5,$D24&lt;AZ$5+7),"◆",""),IF(AND($D24&lt;AZ$5+7,$E24&gt;AZ$5),"■","")))</x:f>
      </x:c>
      <x:c r="BA24" s="7" t="str">
        <x:f>IF(OR($D24="",BA$5="",'상세일정'!AM24="제외"),"",IF($D24=$E24,IF(AND($D24&gt;=BA$5,$D24&lt;BA$5+7),"◆",""),IF(AND($D24&lt;BA$5+7,$E24&gt;BA$5),"■","")))</x:f>
      </x:c>
      <x:c r="BB24" s="7" t="str">
        <x:f>IF(OR($D24="",BB$5="",'상세일정'!AM24="제외"),"",IF($D24=$E24,IF(AND($D24&gt;=BB$5,$D24&lt;BB$5+7),"◆",""),IF(AND($D24&lt;BB$5+7,$E24&gt;BB$5),"■","")))</x:f>
      </x:c>
      <x:c r="BC24" s="7" t="str">
        <x:f>IF(OR($D24="",BC$5="",'상세일정'!AM24="제외"),"",IF($D24=$E24,IF(AND($D24&gt;=BC$5,$D24&lt;BC$5+7),"◆",""),IF(AND($D24&lt;BC$5+7,$E24&gt;BC$5),"■","")))</x:f>
      </x:c>
      <x:c r="BD24" s="7" t="str">
        <x:f>IF(OR($D24="",BD$5="",'상세일정'!AM24="제외"),"",IF($D24=$E24,IF(AND($D24&gt;=BD$5,$D24&lt;BD$5+7),"◆",""),IF(AND($D24&lt;BD$5+7,$E24&gt;BD$5),"■","")))</x:f>
      </x:c>
      <x:c r="BE24" s="7" t="str">
        <x:f>IF(OR($D24="",BE$5="",'상세일정'!AM24="제외"),"",IF($D24=$E24,IF(AND($D24&gt;=BE$5,$D24&lt;BE$5+7),"◆",""),IF(AND($D24&lt;BE$5+7,$E24&gt;BE$5),"■","")))</x:f>
      </x:c>
      <x:c r="BF24" s="7" t="str">
        <x:f>IF(OR($D24="",BF$5="",'상세일정'!AM24="제외"),"",IF($D24=$E24,IF(AND($D24&gt;=BF$5,$D24&lt;BF$5+7),"◆",""),IF(AND($D24&lt;BF$5+7,$E24&gt;BF$5),"■","")))</x:f>
      </x:c>
      <x:c r="BG24" s="7" t="str">
        <x:f>IF(OR($D24="",BG$5="",'상세일정'!AM24="제외"),"",IF($D24=$E24,IF(AND($D24&gt;=BG$5,$D24&lt;BG$5+7),"◆",""),IF(AND($D24&lt;BG$5+7,$E24&gt;BG$5),"■","")))</x:f>
      </x:c>
      <x:c r="BH24" s="7" t="str">
        <x:f>IF(OR($D24="",BH$5="",'상세일정'!AM24="제외"),"",IF($D24=$E24,IF(AND($D24&gt;=BH$5,$D24&lt;BH$5+7),"◆",""),IF(AND($D24&lt;BH$5+7,$E24&gt;BH$5),"■","")))</x:f>
      </x:c>
      <x:c r="BI24" s="7" t="str">
        <x:f>IF(OR($D24="",BI$5="",'상세일정'!AM24="제외"),"",IF($D24=$E24,IF(AND($D24&gt;=BI$5,$D24&lt;BI$5+7),"◆",""),IF(AND($D24&lt;BI$5+7,$E24&gt;BI$5),"■","")))</x:f>
      </x:c>
      <x:c r="BJ24" s="7" t="str">
        <x:f>IF(OR($D24="",BJ$5="",'상세일정'!AM24="제외"),"",IF($D24=$E24,IF(AND($D24&gt;=BJ$5,$D24&lt;BJ$5+7),"◆",""),IF(AND($D24&lt;BJ$5+7,$E24&gt;BJ$5),"■","")))</x:f>
      </x:c>
      <x:c r="BK24" s="7" t="str">
        <x:f>IF(OR($D24="",BK$5="",'상세일정'!AM24="제외"),"",IF($D24=$E24,IF(AND($D24&gt;=BK$5,$D24&lt;BK$5+7),"◆",""),IF(AND($D24&lt;BK$5+7,$E24&gt;BK$5),"■","")))</x:f>
      </x:c>
      <x:c r="BL24" s="7" t="str">
        <x:f>IF(OR($D24="",BL$5="",'상세일정'!AM24="제외"),"",IF($D24=$E24,IF(AND($D24&gt;=BL$5,$D24&lt;BL$5+7),"◆",""),IF(AND($D24&lt;BL$5+7,$E24&gt;BL$5),"■","")))</x:f>
      </x:c>
      <x:c r="BM24" s="7" t="str">
        <x:f>IF(OR($D24="",BM$5="",'상세일정'!AM24="제외"),"",IF($D24=$E24,IF(AND($D24&gt;=BM$5,$D24&lt;BM$5+7),"◆",""),IF(AND($D24&lt;BM$5+7,$E24&gt;BM$5),"■","")))</x:f>
      </x:c>
      <x:c r="BN24" s="7" t="str">
        <x:f>IF(OR($D24="",BN$5="",'상세일정'!AM24="제외"),"",IF($D24=$E24,IF(AND($D24&gt;=BN$5,$D24&lt;BN$5+7),"◆",""),IF(AND($D24&lt;BN$5+7,$E24&gt;BN$5),"■","")))</x:f>
      </x:c>
      <x:c r="BO24" s="7" t="str">
        <x:f>IF(OR($D24="",BO$5="",'상세일정'!AM24="제외"),"",IF($D24=$E24,IF(AND($D24&gt;=BO$5,$D24&lt;BO$5+7),"◆",""),IF(AND($D24&lt;BO$5+7,$E24&gt;BO$5),"■","")))</x:f>
      </x:c>
      <x:c r="BP24" s="7" t="str">
        <x:f>IF(OR($D24="",BP$5="",'상세일정'!AM24="제외"),"",IF($D24=$E24,IF(AND($D24&gt;=BP$5,$D24&lt;BP$5+7),"◆",""),IF(AND($D24&lt;BP$5+7,$E24&gt;BP$5),"■","")))</x:f>
      </x:c>
      <x:c r="BQ24" s="7" t="str">
        <x:f>IF(OR($D24="",BQ$5="",'상세일정'!AM24="제외"),"",IF($D24=$E24,IF(AND($D24&gt;=BQ$5,$D24&lt;BQ$5+7),"◆",""),IF(AND($D24&lt;BQ$5+7,$E24&gt;BQ$5),"■","")))</x:f>
      </x:c>
      <x:c r="BR24" s="7" t="str">
        <x:f>IF(OR($D24="",BR$5="",'상세일정'!AM24="제외"),"",IF($D24=$E24,IF(AND($D24&gt;=BR$5,$D24&lt;BR$5+7),"◆",""),IF(AND($D24&lt;BR$5+7,$E24&gt;BR$5),"■","")))</x:f>
      </x:c>
      <x:c r="BS24" s="7" t="str">
        <x:f>IF(OR($D24="",BS$5="",'상세일정'!AM24="제외"),"",IF($D24=$E24,IF(AND($D24&gt;=BS$5,$D24&lt;BS$5+7),"◆",""),IF(AND($D24&lt;BS$5+7,$E24&gt;BS$5),"■","")))</x:f>
      </x:c>
      <x:c r="BT24" s="7" t="str">
        <x:f>IF(OR($D24="",BT$5="",'상세일정'!AM24="제외"),"",IF($D24=$E24,IF(AND($D24&gt;=BT$5,$D24&lt;BT$5+7),"◆",""),IF(AND($D24&lt;BT$5+7,$E24&gt;BT$5),"■","")))</x:f>
      </x:c>
      <x:c r="BU24" s="7" t="str">
        <x:f>IF(OR($D24="",BU$5="",'상세일정'!AM24="제외"),"",IF($D24=$E24,IF(AND($D24&gt;=BU$5,$D24&lt;BU$5+7),"◆",""),IF(AND($D24&lt;BU$5+7,$E24&gt;BU$5),"■","")))</x:f>
      </x:c>
      <x:c r="BV24" s="7" t="str">
        <x:f>IF(OR($D24="",BV$5="",'상세일정'!AM24="제외"),"",IF($D24=$E24,IF(AND($D24&gt;=BV$5,$D24&lt;BV$5+7),"◆",""),IF(AND($D24&lt;BV$5+7,$E24&gt;BV$5),"■","")))</x:f>
      </x:c>
      <x:c r="BW24" s="7" t="str">
        <x:f>IF(OR($D24="",BW$5="",'상세일정'!AM24="제외"),"",IF($D24=$E24,IF(AND($D24&gt;=BW$5,$D24&lt;BW$5+7),"◆",""),IF(AND($D24&lt;BW$5+7,$E24&gt;BW$5),"■","")))</x:f>
      </x:c>
      <x:c r="BX24" s="7" t="str">
        <x:f>IF(OR($D24="",BX$5="",'상세일정'!AM24="제외"),"",IF($D24=$E24,IF(AND($D24&gt;=BX$5,$D24&lt;BX$5+7),"◆",""),IF(AND($D24&lt;BX$5+7,$E24&gt;BX$5),"■","")))</x:f>
      </x:c>
      <x:c r="BY24" s="7" t="str">
        <x:f>IF(OR($D24="",BY$5="",'상세일정'!AM24="제외"),"",IF($D24=$E24,IF(AND($D24&gt;=BY$5,$D24&lt;BY$5+7),"◆",""),IF(AND($D24&lt;BY$5+7,$E24&gt;BY$5),"■","")))</x:f>
      </x:c>
      <x:c r="BZ24" s="7" t="str">
        <x:f>IF(OR($D24="",BZ$5="",'상세일정'!AM24="제외"),"",IF($D24=$E24,IF(AND($D24&gt;=BZ$5,$D24&lt;BZ$5+7),"◆",""),IF(AND($D24&lt;BZ$5+7,$E24&gt;BZ$5),"■","")))</x:f>
      </x:c>
      <x:c r="CA24" s="7" t="str">
        <x:f>IF(OR($D24="",CA$5="",'상세일정'!AM24="제외"),"",IF($D24=$E24,IF(AND($D24&gt;=CA$5,$D24&lt;CA$5+7),"◆",""),IF(AND($D24&lt;CA$5+7,$E24&gt;CA$5),"■","")))</x:f>
      </x:c>
      <x:c r="CB24" s="7" t="str">
        <x:f>IF(OR($D24="",CB$5="",'상세일정'!AM24="제외"),"",IF($D24=$E24,IF(AND($D24&gt;=CB$5,$D24&lt;CB$5+7),"◆",""),IF(AND($D24&lt;CB$5+7,$E24&gt;CB$5),"■","")))</x:f>
      </x:c>
      <x:c r="CC24" s="7" t="str">
        <x:f>IF(OR($D24="",CC$5="",'상세일정'!AM24="제외"),"",IF($D24=$E24,IF(AND($D24&gt;=CC$5,$D24&lt;CC$5+7),"◆",""),IF(AND($D24&lt;CC$5+7,$E24&gt;CC$5),"■","")))</x:f>
      </x:c>
      <x:c r="CD24" s="7" t="str">
        <x:f>IF(OR($D24="",CD$5="",'상세일정'!AM24="제외"),"",IF($D24=$E24,IF(AND($D24&gt;=CD$5,$D24&lt;CD$5+7),"◆",""),IF(AND($D24&lt;CD$5+7,$E24&gt;CD$5),"■","")))</x:f>
      </x:c>
      <x:c r="CE24" s="7" t="str">
        <x:f>IF(OR($D24="",CE$5="",'상세일정'!AM24="제외"),"",IF($D24=$E24,IF(AND($D24&gt;=CE$5,$D24&lt;CE$5+7),"◆",""),IF(AND($D24&lt;CE$5+7,$E24&gt;CE$5),"■","")))</x:f>
      </x:c>
      <x:c r="CF24" s="7" t="str">
        <x:f>IF(OR($D24="",CF$5="",'상세일정'!AM24="제외"),"",IF($D24=$E24,IF(AND($D24&gt;=CF$5,$D24&lt;CF$5+7),"◆",""),IF(AND($D24&lt;CF$5+7,$E24&gt;CF$5),"■","")))</x:f>
      </x:c>
      <x:c r="CG24" s="7" t="str">
        <x:f>IF(OR($D24="",CG$5="",'상세일정'!AM24="제외"),"",IF($D24=$E24,IF(AND($D24&gt;=CG$5,$D24&lt;CG$5+7),"◆",""),IF(AND($D24&lt;CG$5+7,$E24&gt;CG$5),"■","")))</x:f>
      </x:c>
      <x:c r="CH24" s="7" t="str">
        <x:f>IF(OR($D24="",CH$5="",'상세일정'!AM24="제외"),"",IF($D24=$E24,IF(AND($D24&gt;=CH$5,$D24&lt;CH$5+7),"◆",""),IF(AND($D24&lt;CH$5+7,$E24&gt;CH$5),"■","")))</x:f>
      </x:c>
      <x:c r="CI24" s="7" t="str">
        <x:f>IF(OR($D24="",CI$5="",'상세일정'!AM24="제외"),"",IF($D24=$E24,IF(AND($D24&gt;=CI$5,$D24&lt;CI$5+7),"◆",""),IF(AND($D24&lt;CI$5+7,$E24&gt;CI$5),"■","")))</x:f>
      </x:c>
      <x:c r="CJ24" s="7" t="str">
        <x:f>IF(OR($D24="",CJ$5="",'상세일정'!AM24="제외"),"",IF($D24=$E24,IF(AND($D24&gt;=CJ$5,$D24&lt;CJ$5+7),"◆",""),IF(AND($D24&lt;CJ$5+7,$E24&gt;CJ$5),"■","")))</x:f>
      </x:c>
      <x:c r="CK24" s="7" t="str">
        <x:f>IF(OR($D24="",CK$5="",'상세일정'!AM24="제외"),"",IF($D24=$E24,IF(AND($D24&gt;=CK$5,$D24&lt;CK$5+7),"◆",""),IF(AND($D24&lt;CK$5+7,$E24&gt;CK$5),"■","")))</x:f>
      </x:c>
      <x:c r="CL24" s="7" t="str">
        <x:f>IF(OR($D24="",CL$5="",'상세일정'!AM24="제외"),"",IF($D24=$E24,IF(AND($D24&gt;=CL$5,$D24&lt;CL$5+7),"◆",""),IF(AND($D24&lt;CL$5+7,$E24&gt;CL$5),"■","")))</x:f>
      </x:c>
      <x:c r="CM24" s="7" t="str">
        <x:f>IF(OR($D24="",CM$5="",'상세일정'!AM24="제외"),"",IF($D24=$E24,IF(AND($D24&gt;=CM$5,$D24&lt;CM$5+7),"◆",""),IF(AND($D24&lt;CM$5+7,$E24&gt;CM$5),"■","")))</x:f>
      </x:c>
      <x:c r="CN24" s="7" t="str">
        <x:f>IF(OR($D24="",CN$5="",'상세일정'!AM24="제외"),"",IF($D24=$E24,IF(AND($D24&gt;=CN$5,$D24&lt;CN$5+7),"◆",""),IF(AND($D24&lt;CN$5+7,$E24&gt;CN$5),"■","")))</x:f>
      </x:c>
      <x:c r="CO24" s="7" t="str">
        <x:f>IF(OR($D24="",CO$5="",'상세일정'!AM24="제외"),"",IF($D24=$E24,IF(AND($D24&gt;=CO$5,$D24&lt;CO$5+7),"◆",""),IF(AND($D24&lt;CO$5+7,$E24&gt;CO$5),"■","")))</x:f>
      </x:c>
      <x:c r="CP24" s="7" t="str">
        <x:f>IF(OR($D24="",CP$5="",'상세일정'!AM24="제외"),"",IF($D24=$E24,IF(AND($D24&gt;=CP$5,$D24&lt;CP$5+7),"◆",""),IF(AND($D24&lt;CP$5+7,$E24&gt;CP$5),"■","")))</x:f>
      </x:c>
      <x:c r="CQ24" s="7" t="str">
        <x:f>IF(OR($D24="",CQ$5="",'상세일정'!AM24="제외"),"",IF($D24=$E24,IF(AND($D24&gt;=CQ$5,$D24&lt;CQ$5+7),"◆",""),IF(AND($D24&lt;CQ$5+7,$E24&gt;CQ$5),"■","")))</x:f>
      </x:c>
      <x:c r="CR24" s="7" t="str">
        <x:f>IF(OR($D24="",CR$5="",'상세일정'!AM24="제외"),"",IF($D24=$E24,IF(AND($D24&gt;=CR$5,$D24&lt;CR$5+7),"◆",""),IF(AND($D24&lt;CR$5+7,$E24&gt;CR$5),"■","")))</x:f>
      </x:c>
      <x:c r="CS24" s="7" t="str">
        <x:f>IF(OR($D24="",CS$5="",'상세일정'!AM24="제외"),"",IF($D24=$E24,IF(AND($D24&gt;=CS$5,$D24&lt;CS$5+7),"◆",""),IF(AND($D24&lt;CS$5+7,$E24&gt;CS$5),"■","")))</x:f>
      </x:c>
      <x:c r="CT24" s="7" t="str">
        <x:f>IF(OR($D24="",CT$5="",'상세일정'!AM24="제외"),"",IF($D24=$E24,IF(AND($D24&gt;=CT$5,$D24&lt;CT$5+7),"◆",""),IF(AND($D24&lt;CT$5+7,$E24&gt;CT$5),"■","")))</x:f>
      </x:c>
      <x:c r="CU24" s="7" t="str">
        <x:f>IF(OR($D24="",CU$5="",'상세일정'!AM24="제외"),"",IF($D24=$E24,IF(AND($D24&gt;=CU$5,$D24&lt;CU$5+7),"◆",""),IF(AND($D24&lt;CU$5+7,$E24&gt;CU$5),"■","")))</x:f>
      </x:c>
      <x:c r="CV24" s="7" t="str">
        <x:f>IF(OR($D24="",CV$5="",'상세일정'!AM24="제외"),"",IF($D24=$E24,IF(AND($D24&gt;=CV$5,$D24&lt;CV$5+7),"◆",""),IF(AND($D24&lt;CV$5+7,$E24&gt;CV$5),"■","")))</x:f>
      </x:c>
      <x:c r="CW24" s="7" t="str">
        <x:f>IF(OR($D24="",CW$5="",'상세일정'!AM24="제외"),"",IF($D24=$E24,IF(AND($D24&gt;=CW$5,$D24&lt;CW$5+7),"◆",""),IF(AND($D24&lt;CW$5+7,$E24&gt;CW$5),"■","")))</x:f>
      </x:c>
      <x:c r="CX24" s="7" t="str">
        <x:f>IF(OR($D24="",CX$5="",'상세일정'!AM24="제외"),"",IF($D24=$E24,IF(AND($D24&gt;=CX$5,$D24&lt;CX$5+7),"◆",""),IF(AND($D24&lt;CX$5+7,$E24&gt;CX$5),"■","")))</x:f>
      </x:c>
      <x:c r="CY24" s="7" t="str">
        <x:f>IF(OR($D24="",CY$5="",'상세일정'!AM24="제외"),"",IF($D24=$E24,IF(AND($D24&gt;=CY$5,$D24&lt;CY$5+7),"◆",""),IF(AND($D24&lt;CY$5+7,$E24&gt;CY$5),"■","")))</x:f>
      </x:c>
      <x:c r="CZ24" s="7" t="str">
        <x:f>IF(OR($D24="",CZ$5="",'상세일정'!AM24="제외"),"",IF($D24=$E24,IF(AND($D24&gt;=CZ$5,$D24&lt;CZ$5+7),"◆",""),IF(AND($D24&lt;CZ$5+7,$E24&gt;CZ$5),"■","")))</x:f>
      </x:c>
      <x:c r="DA24" s="7" t="str">
        <x:f>IF(OR($D24="",DA$5="",'상세일정'!AM24="제외"),"",IF($D24=$E24,IF(AND($D24&gt;=DA$5,$D24&lt;DA$5+7),"◆",""),IF(AND($D24&lt;DA$5+7,$E24&gt;DA$5),"■","")))</x:f>
      </x:c>
      <x:c r="DB24" s="7" t="str">
        <x:f>IF(OR($D24="",DB$5="",'상세일정'!AM24="제외"),"",IF($D24=$E24,IF(AND($D24&gt;=DB$5,$D24&lt;DB$5+7),"◆",""),IF(AND($D24&lt;DB$5+7,$E24&gt;DB$5),"■","")))</x:f>
      </x:c>
      <x:c r="DC24" s="7" t="str">
        <x:f>IF(OR($D24="",DC$5="",'상세일정'!AM24="제외"),"",IF($D24=$E24,IF(AND($D24&gt;=DC$5,$D24&lt;DC$5+7),"◆",""),IF(AND($D24&lt;DC$5+7,$E24&gt;DC$5),"■","")))</x:f>
      </x:c>
      <x:c r="DD24" s="7" t="str">
        <x:f>IF(OR($D24="",DD$5="",'상세일정'!AM24="제외"),"",IF($D24=$E24,IF(AND($D24&gt;=DD$5,$D24&lt;DD$5+7),"◆",""),IF(AND($D24&lt;DD$5+7,$E24&gt;DD$5),"■","")))</x:f>
      </x:c>
      <x:c r="DE24" s="7" t="str">
        <x:f>IF(OR($D24="",DE$5="",'상세일정'!AM24="제외"),"",IF($D24=$E24,IF(AND($D24&gt;=DE$5,$D24&lt;DE$5+7),"◆",""),IF(AND($D24&lt;DE$5+7,$E24&gt;DE$5),"■","")))</x:f>
      </x:c>
    </x:row>
    <x:row r="25" ht="34" customHeight="1">
      <x:c r="A25" s="7" t="str">
        <x:v>VP01</x:v>
      </x:c>
      <x:c r="B25" s="7" t="str">
        <x:v>05 Vendor Print 관리</x:v>
      </x:c>
      <x:c r="C25" s="7" t="str">
        <x:v>벤더별 필수 VP·제출일·누락 목록 확정</x:v>
      </x:c>
      <x:c r="D25" s="10" t="str">
        <x:f>'상세일정'!AJ25</x:f>
      </x:c>
      <x:c r="E25" s="10" t="str">
        <x:f>'상세일정'!AK25</x:f>
      </x:c>
      <x:c r="F25" s="7" t="str">
        <x:f>IF(OR($D25="",F$5="",'상세일정'!AM25="제외"),"",IF($D25=$E25,IF(AND($D25&gt;=F$5,$D25&lt;F$5+7),"◆",""),IF(AND($D25&lt;F$5+7,$E25&gt;F$5),"■","")))</x:f>
      </x:c>
      <x:c r="G25" s="7" t="str">
        <x:f>IF(OR($D25="",G$5="",'상세일정'!AM25="제외"),"",IF($D25=$E25,IF(AND($D25&gt;=G$5,$D25&lt;G$5+7),"◆",""),IF(AND($D25&lt;G$5+7,$E25&gt;G$5),"■","")))</x:f>
      </x:c>
      <x:c r="H25" s="7" t="str">
        <x:f>IF(OR($D25="",H$5="",'상세일정'!AM25="제외"),"",IF($D25=$E25,IF(AND($D25&gt;=H$5,$D25&lt;H$5+7),"◆",""),IF(AND($D25&lt;H$5+7,$E25&gt;H$5),"■","")))</x:f>
      </x:c>
      <x:c r="I25" s="7" t="str">
        <x:f>IF(OR($D25="",I$5="",'상세일정'!AM25="제외"),"",IF($D25=$E25,IF(AND($D25&gt;=I$5,$D25&lt;I$5+7),"◆",""),IF(AND($D25&lt;I$5+7,$E25&gt;I$5),"■","")))</x:f>
      </x:c>
      <x:c r="J25" s="7" t="str">
        <x:f>IF(OR($D25="",J$5="",'상세일정'!AM25="제외"),"",IF($D25=$E25,IF(AND($D25&gt;=J$5,$D25&lt;J$5+7),"◆",""),IF(AND($D25&lt;J$5+7,$E25&gt;J$5),"■","")))</x:f>
      </x:c>
      <x:c r="K25" s="7" t="str">
        <x:f>IF(OR($D25="",K$5="",'상세일정'!AM25="제외"),"",IF($D25=$E25,IF(AND($D25&gt;=K$5,$D25&lt;K$5+7),"◆",""),IF(AND($D25&lt;K$5+7,$E25&gt;K$5),"■","")))</x:f>
      </x:c>
      <x:c r="L25" s="7" t="str">
        <x:f>IF(OR($D25="",L$5="",'상세일정'!AM25="제외"),"",IF($D25=$E25,IF(AND($D25&gt;=L$5,$D25&lt;L$5+7),"◆",""),IF(AND($D25&lt;L$5+7,$E25&gt;L$5),"■","")))</x:f>
      </x:c>
      <x:c r="M25" s="7" t="str">
        <x:f>IF(OR($D25="",M$5="",'상세일정'!AM25="제외"),"",IF($D25=$E25,IF(AND($D25&gt;=M$5,$D25&lt;M$5+7),"◆",""),IF(AND($D25&lt;M$5+7,$E25&gt;M$5),"■","")))</x:f>
      </x:c>
      <x:c r="N25" s="7" t="str">
        <x:f>IF(OR($D25="",N$5="",'상세일정'!AM25="제외"),"",IF($D25=$E25,IF(AND($D25&gt;=N$5,$D25&lt;N$5+7),"◆",""),IF(AND($D25&lt;N$5+7,$E25&gt;N$5),"■","")))</x:f>
      </x:c>
      <x:c r="O25" s="7" t="str">
        <x:f>IF(OR($D25="",O$5="",'상세일정'!AM25="제외"),"",IF($D25=$E25,IF(AND($D25&gt;=O$5,$D25&lt;O$5+7),"◆",""),IF(AND($D25&lt;O$5+7,$E25&gt;O$5),"■","")))</x:f>
      </x:c>
      <x:c r="P25" s="7" t="str">
        <x:f>IF(OR($D25="",P$5="",'상세일정'!AM25="제외"),"",IF($D25=$E25,IF(AND($D25&gt;=P$5,$D25&lt;P$5+7),"◆",""),IF(AND($D25&lt;P$5+7,$E25&gt;P$5),"■","")))</x:f>
      </x:c>
      <x:c r="Q25" s="7" t="str">
        <x:f>IF(OR($D25="",Q$5="",'상세일정'!AM25="제외"),"",IF($D25=$E25,IF(AND($D25&gt;=Q$5,$D25&lt;Q$5+7),"◆",""),IF(AND($D25&lt;Q$5+7,$E25&gt;Q$5),"■","")))</x:f>
      </x:c>
      <x:c r="R25" s="7" t="str">
        <x:f>IF(OR($D25="",R$5="",'상세일정'!AM25="제외"),"",IF($D25=$E25,IF(AND($D25&gt;=R$5,$D25&lt;R$5+7),"◆",""),IF(AND($D25&lt;R$5+7,$E25&gt;R$5),"■","")))</x:f>
      </x:c>
      <x:c r="S25" s="7" t="str">
        <x:f>IF(OR($D25="",S$5="",'상세일정'!AM25="제외"),"",IF($D25=$E25,IF(AND($D25&gt;=S$5,$D25&lt;S$5+7),"◆",""),IF(AND($D25&lt;S$5+7,$E25&gt;S$5),"■","")))</x:f>
      </x:c>
      <x:c r="T25" s="7" t="str">
        <x:f>IF(OR($D25="",T$5="",'상세일정'!AM25="제외"),"",IF($D25=$E25,IF(AND($D25&gt;=T$5,$D25&lt;T$5+7),"◆",""),IF(AND($D25&lt;T$5+7,$E25&gt;T$5),"■","")))</x:f>
      </x:c>
      <x:c r="U25" s="7" t="str">
        <x:f>IF(OR($D25="",U$5="",'상세일정'!AM25="제외"),"",IF($D25=$E25,IF(AND($D25&gt;=U$5,$D25&lt;U$5+7),"◆",""),IF(AND($D25&lt;U$5+7,$E25&gt;U$5),"■","")))</x:f>
      </x:c>
      <x:c r="V25" s="7" t="str">
        <x:f>IF(OR($D25="",V$5="",'상세일정'!AM25="제외"),"",IF($D25=$E25,IF(AND($D25&gt;=V$5,$D25&lt;V$5+7),"◆",""),IF(AND($D25&lt;V$5+7,$E25&gt;V$5),"■","")))</x:f>
      </x:c>
      <x:c r="W25" s="7" t="str">
        <x:f>IF(OR($D25="",W$5="",'상세일정'!AM25="제외"),"",IF($D25=$E25,IF(AND($D25&gt;=W$5,$D25&lt;W$5+7),"◆",""),IF(AND($D25&lt;W$5+7,$E25&gt;W$5),"■","")))</x:f>
      </x:c>
      <x:c r="X25" s="7" t="str">
        <x:f>IF(OR($D25="",X$5="",'상세일정'!AM25="제외"),"",IF($D25=$E25,IF(AND($D25&gt;=X$5,$D25&lt;X$5+7),"◆",""),IF(AND($D25&lt;X$5+7,$E25&gt;X$5),"■","")))</x:f>
      </x:c>
      <x:c r="Y25" s="7" t="str">
        <x:f>IF(OR($D25="",Y$5="",'상세일정'!AM25="제외"),"",IF($D25=$E25,IF(AND($D25&gt;=Y$5,$D25&lt;Y$5+7),"◆",""),IF(AND($D25&lt;Y$5+7,$E25&gt;Y$5),"■","")))</x:f>
      </x:c>
      <x:c r="Z25" s="7" t="str">
        <x:f>IF(OR($D25="",Z$5="",'상세일정'!AM25="제외"),"",IF($D25=$E25,IF(AND($D25&gt;=Z$5,$D25&lt;Z$5+7),"◆",""),IF(AND($D25&lt;Z$5+7,$E25&gt;Z$5),"■","")))</x:f>
      </x:c>
      <x:c r="AA25" s="7" t="str">
        <x:f>IF(OR($D25="",AA$5="",'상세일정'!AM25="제외"),"",IF($D25=$E25,IF(AND($D25&gt;=AA$5,$D25&lt;AA$5+7),"◆",""),IF(AND($D25&lt;AA$5+7,$E25&gt;AA$5),"■","")))</x:f>
      </x:c>
      <x:c r="AB25" s="7" t="str">
        <x:f>IF(OR($D25="",AB$5="",'상세일정'!AM25="제외"),"",IF($D25=$E25,IF(AND($D25&gt;=AB$5,$D25&lt;AB$5+7),"◆",""),IF(AND($D25&lt;AB$5+7,$E25&gt;AB$5),"■","")))</x:f>
      </x:c>
      <x:c r="AC25" s="7" t="str">
        <x:f>IF(OR($D25="",AC$5="",'상세일정'!AM25="제외"),"",IF($D25=$E25,IF(AND($D25&gt;=AC$5,$D25&lt;AC$5+7),"◆",""),IF(AND($D25&lt;AC$5+7,$E25&gt;AC$5),"■","")))</x:f>
      </x:c>
      <x:c r="AD25" s="7" t="str">
        <x:f>IF(OR($D25="",AD$5="",'상세일정'!AM25="제외"),"",IF($D25=$E25,IF(AND($D25&gt;=AD$5,$D25&lt;AD$5+7),"◆",""),IF(AND($D25&lt;AD$5+7,$E25&gt;AD$5),"■","")))</x:f>
      </x:c>
      <x:c r="AE25" s="7" t="str">
        <x:f>IF(OR($D25="",AE$5="",'상세일정'!AM25="제외"),"",IF($D25=$E25,IF(AND($D25&gt;=AE$5,$D25&lt;AE$5+7),"◆",""),IF(AND($D25&lt;AE$5+7,$E25&gt;AE$5),"■","")))</x:f>
      </x:c>
      <x:c r="AF25" s="7" t="str">
        <x:f>IF(OR($D25="",AF$5="",'상세일정'!AM25="제외"),"",IF($D25=$E25,IF(AND($D25&gt;=AF$5,$D25&lt;AF$5+7),"◆",""),IF(AND($D25&lt;AF$5+7,$E25&gt;AF$5),"■","")))</x:f>
      </x:c>
      <x:c r="AG25" s="7" t="str">
        <x:f>IF(OR($D25="",AG$5="",'상세일정'!AM25="제외"),"",IF($D25=$E25,IF(AND($D25&gt;=AG$5,$D25&lt;AG$5+7),"◆",""),IF(AND($D25&lt;AG$5+7,$E25&gt;AG$5),"■","")))</x:f>
      </x:c>
      <x:c r="AH25" s="7" t="str">
        <x:f>IF(OR($D25="",AH$5="",'상세일정'!AM25="제외"),"",IF($D25=$E25,IF(AND($D25&gt;=AH$5,$D25&lt;AH$5+7),"◆",""),IF(AND($D25&lt;AH$5+7,$E25&gt;AH$5),"■","")))</x:f>
      </x:c>
      <x:c r="AI25" s="7" t="str">
        <x:f>IF(OR($D25="",AI$5="",'상세일정'!AM25="제외"),"",IF($D25=$E25,IF(AND($D25&gt;=AI$5,$D25&lt;AI$5+7),"◆",""),IF(AND($D25&lt;AI$5+7,$E25&gt;AI$5),"■","")))</x:f>
      </x:c>
      <x:c r="AJ25" s="7" t="str">
        <x:f>IF(OR($D25="",AJ$5="",'상세일정'!AM25="제외"),"",IF($D25=$E25,IF(AND($D25&gt;=AJ$5,$D25&lt;AJ$5+7),"◆",""),IF(AND($D25&lt;AJ$5+7,$E25&gt;AJ$5),"■","")))</x:f>
      </x:c>
      <x:c r="AK25" s="7" t="str">
        <x:f>IF(OR($D25="",AK$5="",'상세일정'!AM25="제외"),"",IF($D25=$E25,IF(AND($D25&gt;=AK$5,$D25&lt;AK$5+7),"◆",""),IF(AND($D25&lt;AK$5+7,$E25&gt;AK$5),"■","")))</x:f>
      </x:c>
      <x:c r="AL25" s="7" t="str">
        <x:f>IF(OR($D25="",AL$5="",'상세일정'!AM25="제외"),"",IF($D25=$E25,IF(AND($D25&gt;=AL$5,$D25&lt;AL$5+7),"◆",""),IF(AND($D25&lt;AL$5+7,$E25&gt;AL$5),"■","")))</x:f>
      </x:c>
      <x:c r="AM25" s="7" t="str">
        <x:f>IF(OR($D25="",AM$5="",'상세일정'!AM25="제외"),"",IF($D25=$E25,IF(AND($D25&gt;=AM$5,$D25&lt;AM$5+7),"◆",""),IF(AND($D25&lt;AM$5+7,$E25&gt;AM$5),"■","")))</x:f>
      </x:c>
      <x:c r="AN25" s="7" t="str">
        <x:f>IF(OR($D25="",AN$5="",'상세일정'!AM25="제외"),"",IF($D25=$E25,IF(AND($D25&gt;=AN$5,$D25&lt;AN$5+7),"◆",""),IF(AND($D25&lt;AN$5+7,$E25&gt;AN$5),"■","")))</x:f>
      </x:c>
      <x:c r="AO25" s="7" t="str">
        <x:f>IF(OR($D25="",AO$5="",'상세일정'!AM25="제외"),"",IF($D25=$E25,IF(AND($D25&gt;=AO$5,$D25&lt;AO$5+7),"◆",""),IF(AND($D25&lt;AO$5+7,$E25&gt;AO$5),"■","")))</x:f>
      </x:c>
      <x:c r="AP25" s="7" t="str">
        <x:f>IF(OR($D25="",AP$5="",'상세일정'!AM25="제외"),"",IF($D25=$E25,IF(AND($D25&gt;=AP$5,$D25&lt;AP$5+7),"◆",""),IF(AND($D25&lt;AP$5+7,$E25&gt;AP$5),"■","")))</x:f>
      </x:c>
      <x:c r="AQ25" s="7" t="str">
        <x:f>IF(OR($D25="",AQ$5="",'상세일정'!AM25="제외"),"",IF($D25=$E25,IF(AND($D25&gt;=AQ$5,$D25&lt;AQ$5+7),"◆",""),IF(AND($D25&lt;AQ$5+7,$E25&gt;AQ$5),"■","")))</x:f>
      </x:c>
      <x:c r="AR25" s="7" t="str">
        <x:f>IF(OR($D25="",AR$5="",'상세일정'!AM25="제외"),"",IF($D25=$E25,IF(AND($D25&gt;=AR$5,$D25&lt;AR$5+7),"◆",""),IF(AND($D25&lt;AR$5+7,$E25&gt;AR$5),"■","")))</x:f>
      </x:c>
      <x:c r="AS25" s="7" t="str">
        <x:f>IF(OR($D25="",AS$5="",'상세일정'!AM25="제외"),"",IF($D25=$E25,IF(AND($D25&gt;=AS$5,$D25&lt;AS$5+7),"◆",""),IF(AND($D25&lt;AS$5+7,$E25&gt;AS$5),"■","")))</x:f>
      </x:c>
      <x:c r="AT25" s="7" t="str">
        <x:f>IF(OR($D25="",AT$5="",'상세일정'!AM25="제외"),"",IF($D25=$E25,IF(AND($D25&gt;=AT$5,$D25&lt;AT$5+7),"◆",""),IF(AND($D25&lt;AT$5+7,$E25&gt;AT$5),"■","")))</x:f>
      </x:c>
      <x:c r="AU25" s="7" t="str">
        <x:f>IF(OR($D25="",AU$5="",'상세일정'!AM25="제외"),"",IF($D25=$E25,IF(AND($D25&gt;=AU$5,$D25&lt;AU$5+7),"◆",""),IF(AND($D25&lt;AU$5+7,$E25&gt;AU$5),"■","")))</x:f>
      </x:c>
      <x:c r="AV25" s="7" t="str">
        <x:f>IF(OR($D25="",AV$5="",'상세일정'!AM25="제외"),"",IF($D25=$E25,IF(AND($D25&gt;=AV$5,$D25&lt;AV$5+7),"◆",""),IF(AND($D25&lt;AV$5+7,$E25&gt;AV$5),"■","")))</x:f>
      </x:c>
      <x:c r="AW25" s="7" t="str">
        <x:f>IF(OR($D25="",AW$5="",'상세일정'!AM25="제외"),"",IF($D25=$E25,IF(AND($D25&gt;=AW$5,$D25&lt;AW$5+7),"◆",""),IF(AND($D25&lt;AW$5+7,$E25&gt;AW$5),"■","")))</x:f>
      </x:c>
      <x:c r="AX25" s="7" t="str">
        <x:f>IF(OR($D25="",AX$5="",'상세일정'!AM25="제외"),"",IF($D25=$E25,IF(AND($D25&gt;=AX$5,$D25&lt;AX$5+7),"◆",""),IF(AND($D25&lt;AX$5+7,$E25&gt;AX$5),"■","")))</x:f>
      </x:c>
      <x:c r="AY25" s="7" t="str">
        <x:f>IF(OR($D25="",AY$5="",'상세일정'!AM25="제외"),"",IF($D25=$E25,IF(AND($D25&gt;=AY$5,$D25&lt;AY$5+7),"◆",""),IF(AND($D25&lt;AY$5+7,$E25&gt;AY$5),"■","")))</x:f>
      </x:c>
      <x:c r="AZ25" s="7" t="str">
        <x:f>IF(OR($D25="",AZ$5="",'상세일정'!AM25="제외"),"",IF($D25=$E25,IF(AND($D25&gt;=AZ$5,$D25&lt;AZ$5+7),"◆",""),IF(AND($D25&lt;AZ$5+7,$E25&gt;AZ$5),"■","")))</x:f>
      </x:c>
      <x:c r="BA25" s="7" t="str">
        <x:f>IF(OR($D25="",BA$5="",'상세일정'!AM25="제외"),"",IF($D25=$E25,IF(AND($D25&gt;=BA$5,$D25&lt;BA$5+7),"◆",""),IF(AND($D25&lt;BA$5+7,$E25&gt;BA$5),"■","")))</x:f>
      </x:c>
      <x:c r="BB25" s="7" t="str">
        <x:f>IF(OR($D25="",BB$5="",'상세일정'!AM25="제외"),"",IF($D25=$E25,IF(AND($D25&gt;=BB$5,$D25&lt;BB$5+7),"◆",""),IF(AND($D25&lt;BB$5+7,$E25&gt;BB$5),"■","")))</x:f>
      </x:c>
      <x:c r="BC25" s="7" t="str">
        <x:f>IF(OR($D25="",BC$5="",'상세일정'!AM25="제외"),"",IF($D25=$E25,IF(AND($D25&gt;=BC$5,$D25&lt;BC$5+7),"◆",""),IF(AND($D25&lt;BC$5+7,$E25&gt;BC$5),"■","")))</x:f>
      </x:c>
      <x:c r="BD25" s="7" t="str">
        <x:f>IF(OR($D25="",BD$5="",'상세일정'!AM25="제외"),"",IF($D25=$E25,IF(AND($D25&gt;=BD$5,$D25&lt;BD$5+7),"◆",""),IF(AND($D25&lt;BD$5+7,$E25&gt;BD$5),"■","")))</x:f>
      </x:c>
      <x:c r="BE25" s="7" t="str">
        <x:f>IF(OR($D25="",BE$5="",'상세일정'!AM25="제외"),"",IF($D25=$E25,IF(AND($D25&gt;=BE$5,$D25&lt;BE$5+7),"◆",""),IF(AND($D25&lt;BE$5+7,$E25&gt;BE$5),"■","")))</x:f>
      </x:c>
      <x:c r="BF25" s="7" t="str">
        <x:f>IF(OR($D25="",BF$5="",'상세일정'!AM25="제외"),"",IF($D25=$E25,IF(AND($D25&gt;=BF$5,$D25&lt;BF$5+7),"◆",""),IF(AND($D25&lt;BF$5+7,$E25&gt;BF$5),"■","")))</x:f>
      </x:c>
      <x:c r="BG25" s="7" t="str">
        <x:f>IF(OR($D25="",BG$5="",'상세일정'!AM25="제외"),"",IF($D25=$E25,IF(AND($D25&gt;=BG$5,$D25&lt;BG$5+7),"◆",""),IF(AND($D25&lt;BG$5+7,$E25&gt;BG$5),"■","")))</x:f>
      </x:c>
      <x:c r="BH25" s="7" t="str">
        <x:f>IF(OR($D25="",BH$5="",'상세일정'!AM25="제외"),"",IF($D25=$E25,IF(AND($D25&gt;=BH$5,$D25&lt;BH$5+7),"◆",""),IF(AND($D25&lt;BH$5+7,$E25&gt;BH$5),"■","")))</x:f>
      </x:c>
      <x:c r="BI25" s="7" t="str">
        <x:f>IF(OR($D25="",BI$5="",'상세일정'!AM25="제외"),"",IF($D25=$E25,IF(AND($D25&gt;=BI$5,$D25&lt;BI$5+7),"◆",""),IF(AND($D25&lt;BI$5+7,$E25&gt;BI$5),"■","")))</x:f>
      </x:c>
      <x:c r="BJ25" s="7" t="str">
        <x:f>IF(OR($D25="",BJ$5="",'상세일정'!AM25="제외"),"",IF($D25=$E25,IF(AND($D25&gt;=BJ$5,$D25&lt;BJ$5+7),"◆",""),IF(AND($D25&lt;BJ$5+7,$E25&gt;BJ$5),"■","")))</x:f>
      </x:c>
      <x:c r="BK25" s="7" t="str">
        <x:f>IF(OR($D25="",BK$5="",'상세일정'!AM25="제외"),"",IF($D25=$E25,IF(AND($D25&gt;=BK$5,$D25&lt;BK$5+7),"◆",""),IF(AND($D25&lt;BK$5+7,$E25&gt;BK$5),"■","")))</x:f>
      </x:c>
      <x:c r="BL25" s="7" t="str">
        <x:f>IF(OR($D25="",BL$5="",'상세일정'!AM25="제외"),"",IF($D25=$E25,IF(AND($D25&gt;=BL$5,$D25&lt;BL$5+7),"◆",""),IF(AND($D25&lt;BL$5+7,$E25&gt;BL$5),"■","")))</x:f>
      </x:c>
      <x:c r="BM25" s="7" t="str">
        <x:f>IF(OR($D25="",BM$5="",'상세일정'!AM25="제외"),"",IF($D25=$E25,IF(AND($D25&gt;=BM$5,$D25&lt;BM$5+7),"◆",""),IF(AND($D25&lt;BM$5+7,$E25&gt;BM$5),"■","")))</x:f>
      </x:c>
      <x:c r="BN25" s="7" t="str">
        <x:f>IF(OR($D25="",BN$5="",'상세일정'!AM25="제외"),"",IF($D25=$E25,IF(AND($D25&gt;=BN$5,$D25&lt;BN$5+7),"◆",""),IF(AND($D25&lt;BN$5+7,$E25&gt;BN$5),"■","")))</x:f>
      </x:c>
      <x:c r="BO25" s="7" t="str">
        <x:f>IF(OR($D25="",BO$5="",'상세일정'!AM25="제외"),"",IF($D25=$E25,IF(AND($D25&gt;=BO$5,$D25&lt;BO$5+7),"◆",""),IF(AND($D25&lt;BO$5+7,$E25&gt;BO$5),"■","")))</x:f>
      </x:c>
      <x:c r="BP25" s="7" t="str">
        <x:f>IF(OR($D25="",BP$5="",'상세일정'!AM25="제외"),"",IF($D25=$E25,IF(AND($D25&gt;=BP$5,$D25&lt;BP$5+7),"◆",""),IF(AND($D25&lt;BP$5+7,$E25&gt;BP$5),"■","")))</x:f>
      </x:c>
      <x:c r="BQ25" s="7" t="str">
        <x:f>IF(OR($D25="",BQ$5="",'상세일정'!AM25="제외"),"",IF($D25=$E25,IF(AND($D25&gt;=BQ$5,$D25&lt;BQ$5+7),"◆",""),IF(AND($D25&lt;BQ$5+7,$E25&gt;BQ$5),"■","")))</x:f>
      </x:c>
      <x:c r="BR25" s="7" t="str">
        <x:f>IF(OR($D25="",BR$5="",'상세일정'!AM25="제외"),"",IF($D25=$E25,IF(AND($D25&gt;=BR$5,$D25&lt;BR$5+7),"◆",""),IF(AND($D25&lt;BR$5+7,$E25&gt;BR$5),"■","")))</x:f>
      </x:c>
      <x:c r="BS25" s="7" t="str">
        <x:f>IF(OR($D25="",BS$5="",'상세일정'!AM25="제외"),"",IF($D25=$E25,IF(AND($D25&gt;=BS$5,$D25&lt;BS$5+7),"◆",""),IF(AND($D25&lt;BS$5+7,$E25&gt;BS$5),"■","")))</x:f>
      </x:c>
      <x:c r="BT25" s="7" t="str">
        <x:f>IF(OR($D25="",BT$5="",'상세일정'!AM25="제외"),"",IF($D25=$E25,IF(AND($D25&gt;=BT$5,$D25&lt;BT$5+7),"◆",""),IF(AND($D25&lt;BT$5+7,$E25&gt;BT$5),"■","")))</x:f>
      </x:c>
      <x:c r="BU25" s="7" t="str">
        <x:f>IF(OR($D25="",BU$5="",'상세일정'!AM25="제외"),"",IF($D25=$E25,IF(AND($D25&gt;=BU$5,$D25&lt;BU$5+7),"◆",""),IF(AND($D25&lt;BU$5+7,$E25&gt;BU$5),"■","")))</x:f>
      </x:c>
      <x:c r="BV25" s="7" t="str">
        <x:f>IF(OR($D25="",BV$5="",'상세일정'!AM25="제외"),"",IF($D25=$E25,IF(AND($D25&gt;=BV$5,$D25&lt;BV$5+7),"◆",""),IF(AND($D25&lt;BV$5+7,$E25&gt;BV$5),"■","")))</x:f>
      </x:c>
      <x:c r="BW25" s="7" t="str">
        <x:f>IF(OR($D25="",BW$5="",'상세일정'!AM25="제외"),"",IF($D25=$E25,IF(AND($D25&gt;=BW$5,$D25&lt;BW$5+7),"◆",""),IF(AND($D25&lt;BW$5+7,$E25&gt;BW$5),"■","")))</x:f>
      </x:c>
      <x:c r="BX25" s="7" t="str">
        <x:f>IF(OR($D25="",BX$5="",'상세일정'!AM25="제외"),"",IF($D25=$E25,IF(AND($D25&gt;=BX$5,$D25&lt;BX$5+7),"◆",""),IF(AND($D25&lt;BX$5+7,$E25&gt;BX$5),"■","")))</x:f>
      </x:c>
      <x:c r="BY25" s="7" t="str">
        <x:f>IF(OR($D25="",BY$5="",'상세일정'!AM25="제외"),"",IF($D25=$E25,IF(AND($D25&gt;=BY$5,$D25&lt;BY$5+7),"◆",""),IF(AND($D25&lt;BY$5+7,$E25&gt;BY$5),"■","")))</x:f>
      </x:c>
      <x:c r="BZ25" s="7" t="str">
        <x:f>IF(OR($D25="",BZ$5="",'상세일정'!AM25="제외"),"",IF($D25=$E25,IF(AND($D25&gt;=BZ$5,$D25&lt;BZ$5+7),"◆",""),IF(AND($D25&lt;BZ$5+7,$E25&gt;BZ$5),"■","")))</x:f>
      </x:c>
      <x:c r="CA25" s="7" t="str">
        <x:f>IF(OR($D25="",CA$5="",'상세일정'!AM25="제외"),"",IF($D25=$E25,IF(AND($D25&gt;=CA$5,$D25&lt;CA$5+7),"◆",""),IF(AND($D25&lt;CA$5+7,$E25&gt;CA$5),"■","")))</x:f>
      </x:c>
      <x:c r="CB25" s="7" t="str">
        <x:f>IF(OR($D25="",CB$5="",'상세일정'!AM25="제외"),"",IF($D25=$E25,IF(AND($D25&gt;=CB$5,$D25&lt;CB$5+7),"◆",""),IF(AND($D25&lt;CB$5+7,$E25&gt;CB$5),"■","")))</x:f>
      </x:c>
      <x:c r="CC25" s="7" t="str">
        <x:f>IF(OR($D25="",CC$5="",'상세일정'!AM25="제외"),"",IF($D25=$E25,IF(AND($D25&gt;=CC$5,$D25&lt;CC$5+7),"◆",""),IF(AND($D25&lt;CC$5+7,$E25&gt;CC$5),"■","")))</x:f>
      </x:c>
      <x:c r="CD25" s="7" t="str">
        <x:f>IF(OR($D25="",CD$5="",'상세일정'!AM25="제외"),"",IF($D25=$E25,IF(AND($D25&gt;=CD$5,$D25&lt;CD$5+7),"◆",""),IF(AND($D25&lt;CD$5+7,$E25&gt;CD$5),"■","")))</x:f>
      </x:c>
      <x:c r="CE25" s="7" t="str">
        <x:f>IF(OR($D25="",CE$5="",'상세일정'!AM25="제외"),"",IF($D25=$E25,IF(AND($D25&gt;=CE$5,$D25&lt;CE$5+7),"◆",""),IF(AND($D25&lt;CE$5+7,$E25&gt;CE$5),"■","")))</x:f>
      </x:c>
      <x:c r="CF25" s="7" t="str">
        <x:f>IF(OR($D25="",CF$5="",'상세일정'!AM25="제외"),"",IF($D25=$E25,IF(AND($D25&gt;=CF$5,$D25&lt;CF$5+7),"◆",""),IF(AND($D25&lt;CF$5+7,$E25&gt;CF$5),"■","")))</x:f>
      </x:c>
      <x:c r="CG25" s="7" t="str">
        <x:f>IF(OR($D25="",CG$5="",'상세일정'!AM25="제외"),"",IF($D25=$E25,IF(AND($D25&gt;=CG$5,$D25&lt;CG$5+7),"◆",""),IF(AND($D25&lt;CG$5+7,$E25&gt;CG$5),"■","")))</x:f>
      </x:c>
      <x:c r="CH25" s="7" t="str">
        <x:f>IF(OR($D25="",CH$5="",'상세일정'!AM25="제외"),"",IF($D25=$E25,IF(AND($D25&gt;=CH$5,$D25&lt;CH$5+7),"◆",""),IF(AND($D25&lt;CH$5+7,$E25&gt;CH$5),"■","")))</x:f>
      </x:c>
      <x:c r="CI25" s="7" t="str">
        <x:f>IF(OR($D25="",CI$5="",'상세일정'!AM25="제외"),"",IF($D25=$E25,IF(AND($D25&gt;=CI$5,$D25&lt;CI$5+7),"◆",""),IF(AND($D25&lt;CI$5+7,$E25&gt;CI$5),"■","")))</x:f>
      </x:c>
      <x:c r="CJ25" s="7" t="str">
        <x:f>IF(OR($D25="",CJ$5="",'상세일정'!AM25="제외"),"",IF($D25=$E25,IF(AND($D25&gt;=CJ$5,$D25&lt;CJ$5+7),"◆",""),IF(AND($D25&lt;CJ$5+7,$E25&gt;CJ$5),"■","")))</x:f>
      </x:c>
      <x:c r="CK25" s="7" t="str">
        <x:f>IF(OR($D25="",CK$5="",'상세일정'!AM25="제외"),"",IF($D25=$E25,IF(AND($D25&gt;=CK$5,$D25&lt;CK$5+7),"◆",""),IF(AND($D25&lt;CK$5+7,$E25&gt;CK$5),"■","")))</x:f>
      </x:c>
      <x:c r="CL25" s="7" t="str">
        <x:f>IF(OR($D25="",CL$5="",'상세일정'!AM25="제외"),"",IF($D25=$E25,IF(AND($D25&gt;=CL$5,$D25&lt;CL$5+7),"◆",""),IF(AND($D25&lt;CL$5+7,$E25&gt;CL$5),"■","")))</x:f>
      </x:c>
      <x:c r="CM25" s="7" t="str">
        <x:f>IF(OR($D25="",CM$5="",'상세일정'!AM25="제외"),"",IF($D25=$E25,IF(AND($D25&gt;=CM$5,$D25&lt;CM$5+7),"◆",""),IF(AND($D25&lt;CM$5+7,$E25&gt;CM$5),"■","")))</x:f>
      </x:c>
      <x:c r="CN25" s="7" t="str">
        <x:f>IF(OR($D25="",CN$5="",'상세일정'!AM25="제외"),"",IF($D25=$E25,IF(AND($D25&gt;=CN$5,$D25&lt;CN$5+7),"◆",""),IF(AND($D25&lt;CN$5+7,$E25&gt;CN$5),"■","")))</x:f>
      </x:c>
      <x:c r="CO25" s="7" t="str">
        <x:f>IF(OR($D25="",CO$5="",'상세일정'!AM25="제외"),"",IF($D25=$E25,IF(AND($D25&gt;=CO$5,$D25&lt;CO$5+7),"◆",""),IF(AND($D25&lt;CO$5+7,$E25&gt;CO$5),"■","")))</x:f>
      </x:c>
      <x:c r="CP25" s="7" t="str">
        <x:f>IF(OR($D25="",CP$5="",'상세일정'!AM25="제외"),"",IF($D25=$E25,IF(AND($D25&gt;=CP$5,$D25&lt;CP$5+7),"◆",""),IF(AND($D25&lt;CP$5+7,$E25&gt;CP$5),"■","")))</x:f>
      </x:c>
      <x:c r="CQ25" s="7" t="str">
        <x:f>IF(OR($D25="",CQ$5="",'상세일정'!AM25="제외"),"",IF($D25=$E25,IF(AND($D25&gt;=CQ$5,$D25&lt;CQ$5+7),"◆",""),IF(AND($D25&lt;CQ$5+7,$E25&gt;CQ$5),"■","")))</x:f>
      </x:c>
      <x:c r="CR25" s="7" t="str">
        <x:f>IF(OR($D25="",CR$5="",'상세일정'!AM25="제외"),"",IF($D25=$E25,IF(AND($D25&gt;=CR$5,$D25&lt;CR$5+7),"◆",""),IF(AND($D25&lt;CR$5+7,$E25&gt;CR$5),"■","")))</x:f>
      </x:c>
      <x:c r="CS25" s="7" t="str">
        <x:f>IF(OR($D25="",CS$5="",'상세일정'!AM25="제외"),"",IF($D25=$E25,IF(AND($D25&gt;=CS$5,$D25&lt;CS$5+7),"◆",""),IF(AND($D25&lt;CS$5+7,$E25&gt;CS$5),"■","")))</x:f>
      </x:c>
      <x:c r="CT25" s="7" t="str">
        <x:f>IF(OR($D25="",CT$5="",'상세일정'!AM25="제외"),"",IF($D25=$E25,IF(AND($D25&gt;=CT$5,$D25&lt;CT$5+7),"◆",""),IF(AND($D25&lt;CT$5+7,$E25&gt;CT$5),"■","")))</x:f>
      </x:c>
      <x:c r="CU25" s="7" t="str">
        <x:f>IF(OR($D25="",CU$5="",'상세일정'!AM25="제외"),"",IF($D25=$E25,IF(AND($D25&gt;=CU$5,$D25&lt;CU$5+7),"◆",""),IF(AND($D25&lt;CU$5+7,$E25&gt;CU$5),"■","")))</x:f>
      </x:c>
      <x:c r="CV25" s="7" t="str">
        <x:f>IF(OR($D25="",CV$5="",'상세일정'!AM25="제외"),"",IF($D25=$E25,IF(AND($D25&gt;=CV$5,$D25&lt;CV$5+7),"◆",""),IF(AND($D25&lt;CV$5+7,$E25&gt;CV$5),"■","")))</x:f>
      </x:c>
      <x:c r="CW25" s="7" t="str">
        <x:f>IF(OR($D25="",CW$5="",'상세일정'!AM25="제외"),"",IF($D25=$E25,IF(AND($D25&gt;=CW$5,$D25&lt;CW$5+7),"◆",""),IF(AND($D25&lt;CW$5+7,$E25&gt;CW$5),"■","")))</x:f>
      </x:c>
      <x:c r="CX25" s="7" t="str">
        <x:f>IF(OR($D25="",CX$5="",'상세일정'!AM25="제외"),"",IF($D25=$E25,IF(AND($D25&gt;=CX$5,$D25&lt;CX$5+7),"◆",""),IF(AND($D25&lt;CX$5+7,$E25&gt;CX$5),"■","")))</x:f>
      </x:c>
      <x:c r="CY25" s="7" t="str">
        <x:f>IF(OR($D25="",CY$5="",'상세일정'!AM25="제외"),"",IF($D25=$E25,IF(AND($D25&gt;=CY$5,$D25&lt;CY$5+7),"◆",""),IF(AND($D25&lt;CY$5+7,$E25&gt;CY$5),"■","")))</x:f>
      </x:c>
      <x:c r="CZ25" s="7" t="str">
        <x:f>IF(OR($D25="",CZ$5="",'상세일정'!AM25="제외"),"",IF($D25=$E25,IF(AND($D25&gt;=CZ$5,$D25&lt;CZ$5+7),"◆",""),IF(AND($D25&lt;CZ$5+7,$E25&gt;CZ$5),"■","")))</x:f>
      </x:c>
      <x:c r="DA25" s="7" t="str">
        <x:f>IF(OR($D25="",DA$5="",'상세일정'!AM25="제외"),"",IF($D25=$E25,IF(AND($D25&gt;=DA$5,$D25&lt;DA$5+7),"◆",""),IF(AND($D25&lt;DA$5+7,$E25&gt;DA$5),"■","")))</x:f>
      </x:c>
      <x:c r="DB25" s="7" t="str">
        <x:f>IF(OR($D25="",DB$5="",'상세일정'!AM25="제외"),"",IF($D25=$E25,IF(AND($D25&gt;=DB$5,$D25&lt;DB$5+7),"◆",""),IF(AND($D25&lt;DB$5+7,$E25&gt;DB$5),"■","")))</x:f>
      </x:c>
      <x:c r="DC25" s="7" t="str">
        <x:f>IF(OR($D25="",DC$5="",'상세일정'!AM25="제외"),"",IF($D25=$E25,IF(AND($D25&gt;=DC$5,$D25&lt;DC$5+7),"◆",""),IF(AND($D25&lt;DC$5+7,$E25&gt;DC$5),"■","")))</x:f>
      </x:c>
      <x:c r="DD25" s="7" t="str">
        <x:f>IF(OR($D25="",DD$5="",'상세일정'!AM25="제외"),"",IF($D25=$E25,IF(AND($D25&gt;=DD$5,$D25&lt;DD$5+7),"◆",""),IF(AND($D25&lt;DD$5+7,$E25&gt;DD$5),"■","")))</x:f>
      </x:c>
      <x:c r="DE25" s="7" t="str">
        <x:f>IF(OR($D25="",DE$5="",'상세일정'!AM25="제외"),"",IF($D25=$E25,IF(AND($D25&gt;=DE$5,$D25&lt;DE$5+7),"◆",""),IF(AND($D25&lt;DE$5+7,$E25&gt;DE$5),"■","")))</x:f>
      </x:c>
    </x:row>
    <x:row r="26" ht="34" customHeight="1">
      <x:c r="A26" s="7" t="str">
        <x:v>VP02</x:v>
      </x:c>
      <x:c r="B26" s="7" t="str">
        <x:v>05 Vendor Print 관리</x:v>
      </x:c>
      <x:c r="C26" s="7" t="str">
        <x:v>VP 1차 접수·번호·리비전·범위 대조</x:v>
      </x:c>
      <x:c r="D26" s="10" t="str">
        <x:f>'상세일정'!AJ26</x:f>
      </x:c>
      <x:c r="E26" s="10" t="str">
        <x:f>'상세일정'!AK26</x:f>
      </x:c>
      <x:c r="F26" s="7" t="str">
        <x:f>IF(OR($D26="",F$5="",'상세일정'!AM26="제외"),"",IF($D26=$E26,IF(AND($D26&gt;=F$5,$D26&lt;F$5+7),"◆",""),IF(AND($D26&lt;F$5+7,$E26&gt;F$5),"■","")))</x:f>
      </x:c>
      <x:c r="G26" s="7" t="str">
        <x:f>IF(OR($D26="",G$5="",'상세일정'!AM26="제외"),"",IF($D26=$E26,IF(AND($D26&gt;=G$5,$D26&lt;G$5+7),"◆",""),IF(AND($D26&lt;G$5+7,$E26&gt;G$5),"■","")))</x:f>
      </x:c>
      <x:c r="H26" s="7" t="str">
        <x:f>IF(OR($D26="",H$5="",'상세일정'!AM26="제외"),"",IF($D26=$E26,IF(AND($D26&gt;=H$5,$D26&lt;H$5+7),"◆",""),IF(AND($D26&lt;H$5+7,$E26&gt;H$5),"■","")))</x:f>
      </x:c>
      <x:c r="I26" s="7" t="str">
        <x:f>IF(OR($D26="",I$5="",'상세일정'!AM26="제외"),"",IF($D26=$E26,IF(AND($D26&gt;=I$5,$D26&lt;I$5+7),"◆",""),IF(AND($D26&lt;I$5+7,$E26&gt;I$5),"■","")))</x:f>
      </x:c>
      <x:c r="J26" s="7" t="str">
        <x:f>IF(OR($D26="",J$5="",'상세일정'!AM26="제외"),"",IF($D26=$E26,IF(AND($D26&gt;=J$5,$D26&lt;J$5+7),"◆",""),IF(AND($D26&lt;J$5+7,$E26&gt;J$5),"■","")))</x:f>
      </x:c>
      <x:c r="K26" s="7" t="str">
        <x:f>IF(OR($D26="",K$5="",'상세일정'!AM26="제외"),"",IF($D26=$E26,IF(AND($D26&gt;=K$5,$D26&lt;K$5+7),"◆",""),IF(AND($D26&lt;K$5+7,$E26&gt;K$5),"■","")))</x:f>
      </x:c>
      <x:c r="L26" s="7" t="str">
        <x:f>IF(OR($D26="",L$5="",'상세일정'!AM26="제외"),"",IF($D26=$E26,IF(AND($D26&gt;=L$5,$D26&lt;L$5+7),"◆",""),IF(AND($D26&lt;L$5+7,$E26&gt;L$5),"■","")))</x:f>
      </x:c>
      <x:c r="M26" s="7" t="str">
        <x:f>IF(OR($D26="",M$5="",'상세일정'!AM26="제외"),"",IF($D26=$E26,IF(AND($D26&gt;=M$5,$D26&lt;M$5+7),"◆",""),IF(AND($D26&lt;M$5+7,$E26&gt;M$5),"■","")))</x:f>
      </x:c>
      <x:c r="N26" s="7" t="str">
        <x:f>IF(OR($D26="",N$5="",'상세일정'!AM26="제외"),"",IF($D26=$E26,IF(AND($D26&gt;=N$5,$D26&lt;N$5+7),"◆",""),IF(AND($D26&lt;N$5+7,$E26&gt;N$5),"■","")))</x:f>
      </x:c>
      <x:c r="O26" s="7" t="str">
        <x:f>IF(OR($D26="",O$5="",'상세일정'!AM26="제외"),"",IF($D26=$E26,IF(AND($D26&gt;=O$5,$D26&lt;O$5+7),"◆",""),IF(AND($D26&lt;O$5+7,$E26&gt;O$5),"■","")))</x:f>
      </x:c>
      <x:c r="P26" s="7" t="str">
        <x:f>IF(OR($D26="",P$5="",'상세일정'!AM26="제외"),"",IF($D26=$E26,IF(AND($D26&gt;=P$5,$D26&lt;P$5+7),"◆",""),IF(AND($D26&lt;P$5+7,$E26&gt;P$5),"■","")))</x:f>
      </x:c>
      <x:c r="Q26" s="7" t="str">
        <x:f>IF(OR($D26="",Q$5="",'상세일정'!AM26="제외"),"",IF($D26=$E26,IF(AND($D26&gt;=Q$5,$D26&lt;Q$5+7),"◆",""),IF(AND($D26&lt;Q$5+7,$E26&gt;Q$5),"■","")))</x:f>
      </x:c>
      <x:c r="R26" s="7" t="str">
        <x:f>IF(OR($D26="",R$5="",'상세일정'!AM26="제외"),"",IF($D26=$E26,IF(AND($D26&gt;=R$5,$D26&lt;R$5+7),"◆",""),IF(AND($D26&lt;R$5+7,$E26&gt;R$5),"■","")))</x:f>
      </x:c>
      <x:c r="S26" s="7" t="str">
        <x:f>IF(OR($D26="",S$5="",'상세일정'!AM26="제외"),"",IF($D26=$E26,IF(AND($D26&gt;=S$5,$D26&lt;S$5+7),"◆",""),IF(AND($D26&lt;S$5+7,$E26&gt;S$5),"■","")))</x:f>
      </x:c>
      <x:c r="T26" s="7" t="str">
        <x:f>IF(OR($D26="",T$5="",'상세일정'!AM26="제외"),"",IF($D26=$E26,IF(AND($D26&gt;=T$5,$D26&lt;T$5+7),"◆",""),IF(AND($D26&lt;T$5+7,$E26&gt;T$5),"■","")))</x:f>
      </x:c>
      <x:c r="U26" s="7" t="str">
        <x:f>IF(OR($D26="",U$5="",'상세일정'!AM26="제외"),"",IF($D26=$E26,IF(AND($D26&gt;=U$5,$D26&lt;U$5+7),"◆",""),IF(AND($D26&lt;U$5+7,$E26&gt;U$5),"■","")))</x:f>
      </x:c>
      <x:c r="V26" s="7" t="str">
        <x:f>IF(OR($D26="",V$5="",'상세일정'!AM26="제외"),"",IF($D26=$E26,IF(AND($D26&gt;=V$5,$D26&lt;V$5+7),"◆",""),IF(AND($D26&lt;V$5+7,$E26&gt;V$5),"■","")))</x:f>
      </x:c>
      <x:c r="W26" s="7" t="str">
        <x:f>IF(OR($D26="",W$5="",'상세일정'!AM26="제외"),"",IF($D26=$E26,IF(AND($D26&gt;=W$5,$D26&lt;W$5+7),"◆",""),IF(AND($D26&lt;W$5+7,$E26&gt;W$5),"■","")))</x:f>
      </x:c>
      <x:c r="X26" s="7" t="str">
        <x:f>IF(OR($D26="",X$5="",'상세일정'!AM26="제외"),"",IF($D26=$E26,IF(AND($D26&gt;=X$5,$D26&lt;X$5+7),"◆",""),IF(AND($D26&lt;X$5+7,$E26&gt;X$5),"■","")))</x:f>
      </x:c>
      <x:c r="Y26" s="7" t="str">
        <x:f>IF(OR($D26="",Y$5="",'상세일정'!AM26="제외"),"",IF($D26=$E26,IF(AND($D26&gt;=Y$5,$D26&lt;Y$5+7),"◆",""),IF(AND($D26&lt;Y$5+7,$E26&gt;Y$5),"■","")))</x:f>
      </x:c>
      <x:c r="Z26" s="7" t="str">
        <x:f>IF(OR($D26="",Z$5="",'상세일정'!AM26="제외"),"",IF($D26=$E26,IF(AND($D26&gt;=Z$5,$D26&lt;Z$5+7),"◆",""),IF(AND($D26&lt;Z$5+7,$E26&gt;Z$5),"■","")))</x:f>
      </x:c>
      <x:c r="AA26" s="7" t="str">
        <x:f>IF(OR($D26="",AA$5="",'상세일정'!AM26="제외"),"",IF($D26=$E26,IF(AND($D26&gt;=AA$5,$D26&lt;AA$5+7),"◆",""),IF(AND($D26&lt;AA$5+7,$E26&gt;AA$5),"■","")))</x:f>
      </x:c>
      <x:c r="AB26" s="7" t="str">
        <x:f>IF(OR($D26="",AB$5="",'상세일정'!AM26="제외"),"",IF($D26=$E26,IF(AND($D26&gt;=AB$5,$D26&lt;AB$5+7),"◆",""),IF(AND($D26&lt;AB$5+7,$E26&gt;AB$5),"■","")))</x:f>
      </x:c>
      <x:c r="AC26" s="7" t="str">
        <x:f>IF(OR($D26="",AC$5="",'상세일정'!AM26="제외"),"",IF($D26=$E26,IF(AND($D26&gt;=AC$5,$D26&lt;AC$5+7),"◆",""),IF(AND($D26&lt;AC$5+7,$E26&gt;AC$5),"■","")))</x:f>
      </x:c>
      <x:c r="AD26" s="7" t="str">
        <x:f>IF(OR($D26="",AD$5="",'상세일정'!AM26="제외"),"",IF($D26=$E26,IF(AND($D26&gt;=AD$5,$D26&lt;AD$5+7),"◆",""),IF(AND($D26&lt;AD$5+7,$E26&gt;AD$5),"■","")))</x:f>
      </x:c>
      <x:c r="AE26" s="7" t="str">
        <x:f>IF(OR($D26="",AE$5="",'상세일정'!AM26="제외"),"",IF($D26=$E26,IF(AND($D26&gt;=AE$5,$D26&lt;AE$5+7),"◆",""),IF(AND($D26&lt;AE$5+7,$E26&gt;AE$5),"■","")))</x:f>
      </x:c>
      <x:c r="AF26" s="7" t="str">
        <x:f>IF(OR($D26="",AF$5="",'상세일정'!AM26="제외"),"",IF($D26=$E26,IF(AND($D26&gt;=AF$5,$D26&lt;AF$5+7),"◆",""),IF(AND($D26&lt;AF$5+7,$E26&gt;AF$5),"■","")))</x:f>
      </x:c>
      <x:c r="AG26" s="7" t="str">
        <x:f>IF(OR($D26="",AG$5="",'상세일정'!AM26="제외"),"",IF($D26=$E26,IF(AND($D26&gt;=AG$5,$D26&lt;AG$5+7),"◆",""),IF(AND($D26&lt;AG$5+7,$E26&gt;AG$5),"■","")))</x:f>
      </x:c>
      <x:c r="AH26" s="7" t="str">
        <x:f>IF(OR($D26="",AH$5="",'상세일정'!AM26="제외"),"",IF($D26=$E26,IF(AND($D26&gt;=AH$5,$D26&lt;AH$5+7),"◆",""),IF(AND($D26&lt;AH$5+7,$E26&gt;AH$5),"■","")))</x:f>
      </x:c>
      <x:c r="AI26" s="7" t="str">
        <x:f>IF(OR($D26="",AI$5="",'상세일정'!AM26="제외"),"",IF($D26=$E26,IF(AND($D26&gt;=AI$5,$D26&lt;AI$5+7),"◆",""),IF(AND($D26&lt;AI$5+7,$E26&gt;AI$5),"■","")))</x:f>
      </x:c>
      <x:c r="AJ26" s="7" t="str">
        <x:f>IF(OR($D26="",AJ$5="",'상세일정'!AM26="제외"),"",IF($D26=$E26,IF(AND($D26&gt;=AJ$5,$D26&lt;AJ$5+7),"◆",""),IF(AND($D26&lt;AJ$5+7,$E26&gt;AJ$5),"■","")))</x:f>
      </x:c>
      <x:c r="AK26" s="7" t="str">
        <x:f>IF(OR($D26="",AK$5="",'상세일정'!AM26="제외"),"",IF($D26=$E26,IF(AND($D26&gt;=AK$5,$D26&lt;AK$5+7),"◆",""),IF(AND($D26&lt;AK$5+7,$E26&gt;AK$5),"■","")))</x:f>
      </x:c>
      <x:c r="AL26" s="7" t="str">
        <x:f>IF(OR($D26="",AL$5="",'상세일정'!AM26="제외"),"",IF($D26=$E26,IF(AND($D26&gt;=AL$5,$D26&lt;AL$5+7),"◆",""),IF(AND($D26&lt;AL$5+7,$E26&gt;AL$5),"■","")))</x:f>
      </x:c>
      <x:c r="AM26" s="7" t="str">
        <x:f>IF(OR($D26="",AM$5="",'상세일정'!AM26="제외"),"",IF($D26=$E26,IF(AND($D26&gt;=AM$5,$D26&lt;AM$5+7),"◆",""),IF(AND($D26&lt;AM$5+7,$E26&gt;AM$5),"■","")))</x:f>
      </x:c>
      <x:c r="AN26" s="7" t="str">
        <x:f>IF(OR($D26="",AN$5="",'상세일정'!AM26="제외"),"",IF($D26=$E26,IF(AND($D26&gt;=AN$5,$D26&lt;AN$5+7),"◆",""),IF(AND($D26&lt;AN$5+7,$E26&gt;AN$5),"■","")))</x:f>
      </x:c>
      <x:c r="AO26" s="7" t="str">
        <x:f>IF(OR($D26="",AO$5="",'상세일정'!AM26="제외"),"",IF($D26=$E26,IF(AND($D26&gt;=AO$5,$D26&lt;AO$5+7),"◆",""),IF(AND($D26&lt;AO$5+7,$E26&gt;AO$5),"■","")))</x:f>
      </x:c>
      <x:c r="AP26" s="7" t="str">
        <x:f>IF(OR($D26="",AP$5="",'상세일정'!AM26="제외"),"",IF($D26=$E26,IF(AND($D26&gt;=AP$5,$D26&lt;AP$5+7),"◆",""),IF(AND($D26&lt;AP$5+7,$E26&gt;AP$5),"■","")))</x:f>
      </x:c>
      <x:c r="AQ26" s="7" t="str">
        <x:f>IF(OR($D26="",AQ$5="",'상세일정'!AM26="제외"),"",IF($D26=$E26,IF(AND($D26&gt;=AQ$5,$D26&lt;AQ$5+7),"◆",""),IF(AND($D26&lt;AQ$5+7,$E26&gt;AQ$5),"■","")))</x:f>
      </x:c>
      <x:c r="AR26" s="7" t="str">
        <x:f>IF(OR($D26="",AR$5="",'상세일정'!AM26="제외"),"",IF($D26=$E26,IF(AND($D26&gt;=AR$5,$D26&lt;AR$5+7),"◆",""),IF(AND($D26&lt;AR$5+7,$E26&gt;AR$5),"■","")))</x:f>
      </x:c>
      <x:c r="AS26" s="7" t="str">
        <x:f>IF(OR($D26="",AS$5="",'상세일정'!AM26="제외"),"",IF($D26=$E26,IF(AND($D26&gt;=AS$5,$D26&lt;AS$5+7),"◆",""),IF(AND($D26&lt;AS$5+7,$E26&gt;AS$5),"■","")))</x:f>
      </x:c>
      <x:c r="AT26" s="7" t="str">
        <x:f>IF(OR($D26="",AT$5="",'상세일정'!AM26="제외"),"",IF($D26=$E26,IF(AND($D26&gt;=AT$5,$D26&lt;AT$5+7),"◆",""),IF(AND($D26&lt;AT$5+7,$E26&gt;AT$5),"■","")))</x:f>
      </x:c>
      <x:c r="AU26" s="7" t="str">
        <x:f>IF(OR($D26="",AU$5="",'상세일정'!AM26="제외"),"",IF($D26=$E26,IF(AND($D26&gt;=AU$5,$D26&lt;AU$5+7),"◆",""),IF(AND($D26&lt;AU$5+7,$E26&gt;AU$5),"■","")))</x:f>
      </x:c>
      <x:c r="AV26" s="7" t="str">
        <x:f>IF(OR($D26="",AV$5="",'상세일정'!AM26="제외"),"",IF($D26=$E26,IF(AND($D26&gt;=AV$5,$D26&lt;AV$5+7),"◆",""),IF(AND($D26&lt;AV$5+7,$E26&gt;AV$5),"■","")))</x:f>
      </x:c>
      <x:c r="AW26" s="7" t="str">
        <x:f>IF(OR($D26="",AW$5="",'상세일정'!AM26="제외"),"",IF($D26=$E26,IF(AND($D26&gt;=AW$5,$D26&lt;AW$5+7),"◆",""),IF(AND($D26&lt;AW$5+7,$E26&gt;AW$5),"■","")))</x:f>
      </x:c>
      <x:c r="AX26" s="7" t="str">
        <x:f>IF(OR($D26="",AX$5="",'상세일정'!AM26="제외"),"",IF($D26=$E26,IF(AND($D26&gt;=AX$5,$D26&lt;AX$5+7),"◆",""),IF(AND($D26&lt;AX$5+7,$E26&gt;AX$5),"■","")))</x:f>
      </x:c>
      <x:c r="AY26" s="7" t="str">
        <x:f>IF(OR($D26="",AY$5="",'상세일정'!AM26="제외"),"",IF($D26=$E26,IF(AND($D26&gt;=AY$5,$D26&lt;AY$5+7),"◆",""),IF(AND($D26&lt;AY$5+7,$E26&gt;AY$5),"■","")))</x:f>
      </x:c>
      <x:c r="AZ26" s="7" t="str">
        <x:f>IF(OR($D26="",AZ$5="",'상세일정'!AM26="제외"),"",IF($D26=$E26,IF(AND($D26&gt;=AZ$5,$D26&lt;AZ$5+7),"◆",""),IF(AND($D26&lt;AZ$5+7,$E26&gt;AZ$5),"■","")))</x:f>
      </x:c>
      <x:c r="BA26" s="7" t="str">
        <x:f>IF(OR($D26="",BA$5="",'상세일정'!AM26="제외"),"",IF($D26=$E26,IF(AND($D26&gt;=BA$5,$D26&lt;BA$5+7),"◆",""),IF(AND($D26&lt;BA$5+7,$E26&gt;BA$5),"■","")))</x:f>
      </x:c>
      <x:c r="BB26" s="7" t="str">
        <x:f>IF(OR($D26="",BB$5="",'상세일정'!AM26="제외"),"",IF($D26=$E26,IF(AND($D26&gt;=BB$5,$D26&lt;BB$5+7),"◆",""),IF(AND($D26&lt;BB$5+7,$E26&gt;BB$5),"■","")))</x:f>
      </x:c>
      <x:c r="BC26" s="7" t="str">
        <x:f>IF(OR($D26="",BC$5="",'상세일정'!AM26="제외"),"",IF($D26=$E26,IF(AND($D26&gt;=BC$5,$D26&lt;BC$5+7),"◆",""),IF(AND($D26&lt;BC$5+7,$E26&gt;BC$5),"■","")))</x:f>
      </x:c>
      <x:c r="BD26" s="7" t="str">
        <x:f>IF(OR($D26="",BD$5="",'상세일정'!AM26="제외"),"",IF($D26=$E26,IF(AND($D26&gt;=BD$5,$D26&lt;BD$5+7),"◆",""),IF(AND($D26&lt;BD$5+7,$E26&gt;BD$5),"■","")))</x:f>
      </x:c>
      <x:c r="BE26" s="7" t="str">
        <x:f>IF(OR($D26="",BE$5="",'상세일정'!AM26="제외"),"",IF($D26=$E26,IF(AND($D26&gt;=BE$5,$D26&lt;BE$5+7),"◆",""),IF(AND($D26&lt;BE$5+7,$E26&gt;BE$5),"■","")))</x:f>
      </x:c>
      <x:c r="BF26" s="7" t="str">
        <x:f>IF(OR($D26="",BF$5="",'상세일정'!AM26="제외"),"",IF($D26=$E26,IF(AND($D26&gt;=BF$5,$D26&lt;BF$5+7),"◆",""),IF(AND($D26&lt;BF$5+7,$E26&gt;BF$5),"■","")))</x:f>
      </x:c>
      <x:c r="BG26" s="7" t="str">
        <x:f>IF(OR($D26="",BG$5="",'상세일정'!AM26="제외"),"",IF($D26=$E26,IF(AND($D26&gt;=BG$5,$D26&lt;BG$5+7),"◆",""),IF(AND($D26&lt;BG$5+7,$E26&gt;BG$5),"■","")))</x:f>
      </x:c>
      <x:c r="BH26" s="7" t="str">
        <x:f>IF(OR($D26="",BH$5="",'상세일정'!AM26="제외"),"",IF($D26=$E26,IF(AND($D26&gt;=BH$5,$D26&lt;BH$5+7),"◆",""),IF(AND($D26&lt;BH$5+7,$E26&gt;BH$5),"■","")))</x:f>
      </x:c>
      <x:c r="BI26" s="7" t="str">
        <x:f>IF(OR($D26="",BI$5="",'상세일정'!AM26="제외"),"",IF($D26=$E26,IF(AND($D26&gt;=BI$5,$D26&lt;BI$5+7),"◆",""),IF(AND($D26&lt;BI$5+7,$E26&gt;BI$5),"■","")))</x:f>
      </x:c>
      <x:c r="BJ26" s="7" t="str">
        <x:f>IF(OR($D26="",BJ$5="",'상세일정'!AM26="제외"),"",IF($D26=$E26,IF(AND($D26&gt;=BJ$5,$D26&lt;BJ$5+7),"◆",""),IF(AND($D26&lt;BJ$5+7,$E26&gt;BJ$5),"■","")))</x:f>
      </x:c>
      <x:c r="BK26" s="7" t="str">
        <x:f>IF(OR($D26="",BK$5="",'상세일정'!AM26="제외"),"",IF($D26=$E26,IF(AND($D26&gt;=BK$5,$D26&lt;BK$5+7),"◆",""),IF(AND($D26&lt;BK$5+7,$E26&gt;BK$5),"■","")))</x:f>
      </x:c>
      <x:c r="BL26" s="7" t="str">
        <x:f>IF(OR($D26="",BL$5="",'상세일정'!AM26="제외"),"",IF($D26=$E26,IF(AND($D26&gt;=BL$5,$D26&lt;BL$5+7),"◆",""),IF(AND($D26&lt;BL$5+7,$E26&gt;BL$5),"■","")))</x:f>
      </x:c>
      <x:c r="BM26" s="7" t="str">
        <x:f>IF(OR($D26="",BM$5="",'상세일정'!AM26="제외"),"",IF($D26=$E26,IF(AND($D26&gt;=BM$5,$D26&lt;BM$5+7),"◆",""),IF(AND($D26&lt;BM$5+7,$E26&gt;BM$5),"■","")))</x:f>
      </x:c>
      <x:c r="BN26" s="7" t="str">
        <x:f>IF(OR($D26="",BN$5="",'상세일정'!AM26="제외"),"",IF($D26=$E26,IF(AND($D26&gt;=BN$5,$D26&lt;BN$5+7),"◆",""),IF(AND($D26&lt;BN$5+7,$E26&gt;BN$5),"■","")))</x:f>
      </x:c>
      <x:c r="BO26" s="7" t="str">
        <x:f>IF(OR($D26="",BO$5="",'상세일정'!AM26="제외"),"",IF($D26=$E26,IF(AND($D26&gt;=BO$5,$D26&lt;BO$5+7),"◆",""),IF(AND($D26&lt;BO$5+7,$E26&gt;BO$5),"■","")))</x:f>
      </x:c>
      <x:c r="BP26" s="7" t="str">
        <x:f>IF(OR($D26="",BP$5="",'상세일정'!AM26="제외"),"",IF($D26=$E26,IF(AND($D26&gt;=BP$5,$D26&lt;BP$5+7),"◆",""),IF(AND($D26&lt;BP$5+7,$E26&gt;BP$5),"■","")))</x:f>
      </x:c>
      <x:c r="BQ26" s="7" t="str">
        <x:f>IF(OR($D26="",BQ$5="",'상세일정'!AM26="제외"),"",IF($D26=$E26,IF(AND($D26&gt;=BQ$5,$D26&lt;BQ$5+7),"◆",""),IF(AND($D26&lt;BQ$5+7,$E26&gt;BQ$5),"■","")))</x:f>
      </x:c>
      <x:c r="BR26" s="7" t="str">
        <x:f>IF(OR($D26="",BR$5="",'상세일정'!AM26="제외"),"",IF($D26=$E26,IF(AND($D26&gt;=BR$5,$D26&lt;BR$5+7),"◆",""),IF(AND($D26&lt;BR$5+7,$E26&gt;BR$5),"■","")))</x:f>
      </x:c>
      <x:c r="BS26" s="7" t="str">
        <x:f>IF(OR($D26="",BS$5="",'상세일정'!AM26="제외"),"",IF($D26=$E26,IF(AND($D26&gt;=BS$5,$D26&lt;BS$5+7),"◆",""),IF(AND($D26&lt;BS$5+7,$E26&gt;BS$5),"■","")))</x:f>
      </x:c>
      <x:c r="BT26" s="7" t="str">
        <x:f>IF(OR($D26="",BT$5="",'상세일정'!AM26="제외"),"",IF($D26=$E26,IF(AND($D26&gt;=BT$5,$D26&lt;BT$5+7),"◆",""),IF(AND($D26&lt;BT$5+7,$E26&gt;BT$5),"■","")))</x:f>
      </x:c>
      <x:c r="BU26" s="7" t="str">
        <x:f>IF(OR($D26="",BU$5="",'상세일정'!AM26="제외"),"",IF($D26=$E26,IF(AND($D26&gt;=BU$5,$D26&lt;BU$5+7),"◆",""),IF(AND($D26&lt;BU$5+7,$E26&gt;BU$5),"■","")))</x:f>
      </x:c>
      <x:c r="BV26" s="7" t="str">
        <x:f>IF(OR($D26="",BV$5="",'상세일정'!AM26="제외"),"",IF($D26=$E26,IF(AND($D26&gt;=BV$5,$D26&lt;BV$5+7),"◆",""),IF(AND($D26&lt;BV$5+7,$E26&gt;BV$5),"■","")))</x:f>
      </x:c>
      <x:c r="BW26" s="7" t="str">
        <x:f>IF(OR($D26="",BW$5="",'상세일정'!AM26="제외"),"",IF($D26=$E26,IF(AND($D26&gt;=BW$5,$D26&lt;BW$5+7),"◆",""),IF(AND($D26&lt;BW$5+7,$E26&gt;BW$5),"■","")))</x:f>
      </x:c>
      <x:c r="BX26" s="7" t="str">
        <x:f>IF(OR($D26="",BX$5="",'상세일정'!AM26="제외"),"",IF($D26=$E26,IF(AND($D26&gt;=BX$5,$D26&lt;BX$5+7),"◆",""),IF(AND($D26&lt;BX$5+7,$E26&gt;BX$5),"■","")))</x:f>
      </x:c>
      <x:c r="BY26" s="7" t="str">
        <x:f>IF(OR($D26="",BY$5="",'상세일정'!AM26="제외"),"",IF($D26=$E26,IF(AND($D26&gt;=BY$5,$D26&lt;BY$5+7),"◆",""),IF(AND($D26&lt;BY$5+7,$E26&gt;BY$5),"■","")))</x:f>
      </x:c>
      <x:c r="BZ26" s="7" t="str">
        <x:f>IF(OR($D26="",BZ$5="",'상세일정'!AM26="제외"),"",IF($D26=$E26,IF(AND($D26&gt;=BZ$5,$D26&lt;BZ$5+7),"◆",""),IF(AND($D26&lt;BZ$5+7,$E26&gt;BZ$5),"■","")))</x:f>
      </x:c>
      <x:c r="CA26" s="7" t="str">
        <x:f>IF(OR($D26="",CA$5="",'상세일정'!AM26="제외"),"",IF($D26=$E26,IF(AND($D26&gt;=CA$5,$D26&lt;CA$5+7),"◆",""),IF(AND($D26&lt;CA$5+7,$E26&gt;CA$5),"■","")))</x:f>
      </x:c>
      <x:c r="CB26" s="7" t="str">
        <x:f>IF(OR($D26="",CB$5="",'상세일정'!AM26="제외"),"",IF($D26=$E26,IF(AND($D26&gt;=CB$5,$D26&lt;CB$5+7),"◆",""),IF(AND($D26&lt;CB$5+7,$E26&gt;CB$5),"■","")))</x:f>
      </x:c>
      <x:c r="CC26" s="7" t="str">
        <x:f>IF(OR($D26="",CC$5="",'상세일정'!AM26="제외"),"",IF($D26=$E26,IF(AND($D26&gt;=CC$5,$D26&lt;CC$5+7),"◆",""),IF(AND($D26&lt;CC$5+7,$E26&gt;CC$5),"■","")))</x:f>
      </x:c>
      <x:c r="CD26" s="7" t="str">
        <x:f>IF(OR($D26="",CD$5="",'상세일정'!AM26="제외"),"",IF($D26=$E26,IF(AND($D26&gt;=CD$5,$D26&lt;CD$5+7),"◆",""),IF(AND($D26&lt;CD$5+7,$E26&gt;CD$5),"■","")))</x:f>
      </x:c>
      <x:c r="CE26" s="7" t="str">
        <x:f>IF(OR($D26="",CE$5="",'상세일정'!AM26="제외"),"",IF($D26=$E26,IF(AND($D26&gt;=CE$5,$D26&lt;CE$5+7),"◆",""),IF(AND($D26&lt;CE$5+7,$E26&gt;CE$5),"■","")))</x:f>
      </x:c>
      <x:c r="CF26" s="7" t="str">
        <x:f>IF(OR($D26="",CF$5="",'상세일정'!AM26="제외"),"",IF($D26=$E26,IF(AND($D26&gt;=CF$5,$D26&lt;CF$5+7),"◆",""),IF(AND($D26&lt;CF$5+7,$E26&gt;CF$5),"■","")))</x:f>
      </x:c>
      <x:c r="CG26" s="7" t="str">
        <x:f>IF(OR($D26="",CG$5="",'상세일정'!AM26="제외"),"",IF($D26=$E26,IF(AND($D26&gt;=CG$5,$D26&lt;CG$5+7),"◆",""),IF(AND($D26&lt;CG$5+7,$E26&gt;CG$5),"■","")))</x:f>
      </x:c>
      <x:c r="CH26" s="7" t="str">
        <x:f>IF(OR($D26="",CH$5="",'상세일정'!AM26="제외"),"",IF($D26=$E26,IF(AND($D26&gt;=CH$5,$D26&lt;CH$5+7),"◆",""),IF(AND($D26&lt;CH$5+7,$E26&gt;CH$5),"■","")))</x:f>
      </x:c>
      <x:c r="CI26" s="7" t="str">
        <x:f>IF(OR($D26="",CI$5="",'상세일정'!AM26="제외"),"",IF($D26=$E26,IF(AND($D26&gt;=CI$5,$D26&lt;CI$5+7),"◆",""),IF(AND($D26&lt;CI$5+7,$E26&gt;CI$5),"■","")))</x:f>
      </x:c>
      <x:c r="CJ26" s="7" t="str">
        <x:f>IF(OR($D26="",CJ$5="",'상세일정'!AM26="제외"),"",IF($D26=$E26,IF(AND($D26&gt;=CJ$5,$D26&lt;CJ$5+7),"◆",""),IF(AND($D26&lt;CJ$5+7,$E26&gt;CJ$5),"■","")))</x:f>
      </x:c>
      <x:c r="CK26" s="7" t="str">
        <x:f>IF(OR($D26="",CK$5="",'상세일정'!AM26="제외"),"",IF($D26=$E26,IF(AND($D26&gt;=CK$5,$D26&lt;CK$5+7),"◆",""),IF(AND($D26&lt;CK$5+7,$E26&gt;CK$5),"■","")))</x:f>
      </x:c>
      <x:c r="CL26" s="7" t="str">
        <x:f>IF(OR($D26="",CL$5="",'상세일정'!AM26="제외"),"",IF($D26=$E26,IF(AND($D26&gt;=CL$5,$D26&lt;CL$5+7),"◆",""),IF(AND($D26&lt;CL$5+7,$E26&gt;CL$5),"■","")))</x:f>
      </x:c>
      <x:c r="CM26" s="7" t="str">
        <x:f>IF(OR($D26="",CM$5="",'상세일정'!AM26="제외"),"",IF($D26=$E26,IF(AND($D26&gt;=CM$5,$D26&lt;CM$5+7),"◆",""),IF(AND($D26&lt;CM$5+7,$E26&gt;CM$5),"■","")))</x:f>
      </x:c>
      <x:c r="CN26" s="7" t="str">
        <x:f>IF(OR($D26="",CN$5="",'상세일정'!AM26="제외"),"",IF($D26=$E26,IF(AND($D26&gt;=CN$5,$D26&lt;CN$5+7),"◆",""),IF(AND($D26&lt;CN$5+7,$E26&gt;CN$5),"■","")))</x:f>
      </x:c>
      <x:c r="CO26" s="7" t="str">
        <x:f>IF(OR($D26="",CO$5="",'상세일정'!AM26="제외"),"",IF($D26=$E26,IF(AND($D26&gt;=CO$5,$D26&lt;CO$5+7),"◆",""),IF(AND($D26&lt;CO$5+7,$E26&gt;CO$5),"■","")))</x:f>
      </x:c>
      <x:c r="CP26" s="7" t="str">
        <x:f>IF(OR($D26="",CP$5="",'상세일정'!AM26="제외"),"",IF($D26=$E26,IF(AND($D26&gt;=CP$5,$D26&lt;CP$5+7),"◆",""),IF(AND($D26&lt;CP$5+7,$E26&gt;CP$5),"■","")))</x:f>
      </x:c>
      <x:c r="CQ26" s="7" t="str">
        <x:f>IF(OR($D26="",CQ$5="",'상세일정'!AM26="제외"),"",IF($D26=$E26,IF(AND($D26&gt;=CQ$5,$D26&lt;CQ$5+7),"◆",""),IF(AND($D26&lt;CQ$5+7,$E26&gt;CQ$5),"■","")))</x:f>
      </x:c>
      <x:c r="CR26" s="7" t="str">
        <x:f>IF(OR($D26="",CR$5="",'상세일정'!AM26="제외"),"",IF($D26=$E26,IF(AND($D26&gt;=CR$5,$D26&lt;CR$5+7),"◆",""),IF(AND($D26&lt;CR$5+7,$E26&gt;CR$5),"■","")))</x:f>
      </x:c>
      <x:c r="CS26" s="7" t="str">
        <x:f>IF(OR($D26="",CS$5="",'상세일정'!AM26="제외"),"",IF($D26=$E26,IF(AND($D26&gt;=CS$5,$D26&lt;CS$5+7),"◆",""),IF(AND($D26&lt;CS$5+7,$E26&gt;CS$5),"■","")))</x:f>
      </x:c>
      <x:c r="CT26" s="7" t="str">
        <x:f>IF(OR($D26="",CT$5="",'상세일정'!AM26="제외"),"",IF($D26=$E26,IF(AND($D26&gt;=CT$5,$D26&lt;CT$5+7),"◆",""),IF(AND($D26&lt;CT$5+7,$E26&gt;CT$5),"■","")))</x:f>
      </x:c>
      <x:c r="CU26" s="7" t="str">
        <x:f>IF(OR($D26="",CU$5="",'상세일정'!AM26="제외"),"",IF($D26=$E26,IF(AND($D26&gt;=CU$5,$D26&lt;CU$5+7),"◆",""),IF(AND($D26&lt;CU$5+7,$E26&gt;CU$5),"■","")))</x:f>
      </x:c>
      <x:c r="CV26" s="7" t="str">
        <x:f>IF(OR($D26="",CV$5="",'상세일정'!AM26="제외"),"",IF($D26=$E26,IF(AND($D26&gt;=CV$5,$D26&lt;CV$5+7),"◆",""),IF(AND($D26&lt;CV$5+7,$E26&gt;CV$5),"■","")))</x:f>
      </x:c>
      <x:c r="CW26" s="7" t="str">
        <x:f>IF(OR($D26="",CW$5="",'상세일정'!AM26="제외"),"",IF($D26=$E26,IF(AND($D26&gt;=CW$5,$D26&lt;CW$5+7),"◆",""),IF(AND($D26&lt;CW$5+7,$E26&gt;CW$5),"■","")))</x:f>
      </x:c>
      <x:c r="CX26" s="7" t="str">
        <x:f>IF(OR($D26="",CX$5="",'상세일정'!AM26="제외"),"",IF($D26=$E26,IF(AND($D26&gt;=CX$5,$D26&lt;CX$5+7),"◆",""),IF(AND($D26&lt;CX$5+7,$E26&gt;CX$5),"■","")))</x:f>
      </x:c>
      <x:c r="CY26" s="7" t="str">
        <x:f>IF(OR($D26="",CY$5="",'상세일정'!AM26="제외"),"",IF($D26=$E26,IF(AND($D26&gt;=CY$5,$D26&lt;CY$5+7),"◆",""),IF(AND($D26&lt;CY$5+7,$E26&gt;CY$5),"■","")))</x:f>
      </x:c>
      <x:c r="CZ26" s="7" t="str">
        <x:f>IF(OR($D26="",CZ$5="",'상세일정'!AM26="제외"),"",IF($D26=$E26,IF(AND($D26&gt;=CZ$5,$D26&lt;CZ$5+7),"◆",""),IF(AND($D26&lt;CZ$5+7,$E26&gt;CZ$5),"■","")))</x:f>
      </x:c>
      <x:c r="DA26" s="7" t="str">
        <x:f>IF(OR($D26="",DA$5="",'상세일정'!AM26="제외"),"",IF($D26=$E26,IF(AND($D26&gt;=DA$5,$D26&lt;DA$5+7),"◆",""),IF(AND($D26&lt;DA$5+7,$E26&gt;DA$5),"■","")))</x:f>
      </x:c>
      <x:c r="DB26" s="7" t="str">
        <x:f>IF(OR($D26="",DB$5="",'상세일정'!AM26="제외"),"",IF($D26=$E26,IF(AND($D26&gt;=DB$5,$D26&lt;DB$5+7),"◆",""),IF(AND($D26&lt;DB$5+7,$E26&gt;DB$5),"■","")))</x:f>
      </x:c>
      <x:c r="DC26" s="7" t="str">
        <x:f>IF(OR($D26="",DC$5="",'상세일정'!AM26="제외"),"",IF($D26=$E26,IF(AND($D26&gt;=DC$5,$D26&lt;DC$5+7),"◆",""),IF(AND($D26&lt;DC$5+7,$E26&gt;DC$5),"■","")))</x:f>
      </x:c>
      <x:c r="DD26" s="7" t="str">
        <x:f>IF(OR($D26="",DD$5="",'상세일정'!AM26="제외"),"",IF($D26=$E26,IF(AND($D26&gt;=DD$5,$D26&lt;DD$5+7),"◆",""),IF(AND($D26&lt;DD$5+7,$E26&gt;DD$5),"■","")))</x:f>
      </x:c>
      <x:c r="DE26" s="7" t="str">
        <x:f>IF(OR($D26="",DE$5="",'상세일정'!AM26="제외"),"",IF($D26=$E26,IF(AND($D26&gt;=DE$5,$D26&lt;DE$5+7),"◆",""),IF(AND($D26&lt;DE$5+7,$E26&gt;DE$5),"■","")))</x:f>
      </x:c>
    </x:row>
    <x:row r="27" ht="34" customHeight="1">
      <x:c r="A27" s="7" t="str">
        <x:v>VP03</x:v>
      </x:c>
      <x:c r="B27" s="7" t="str">
        <x:v>05 Vendor Print 관리</x:v>
      </x:c>
      <x:c r="C27" s="7" t="str">
        <x:v>공정·기계·전기·계장 합동 VP 검토</x:v>
      </x:c>
      <x:c r="D27" s="10" t="str">
        <x:f>'상세일정'!AJ27</x:f>
      </x:c>
      <x:c r="E27" s="10" t="str">
        <x:f>'상세일정'!AK27</x:f>
      </x:c>
      <x:c r="F27" s="7" t="str">
        <x:f>IF(OR($D27="",F$5="",'상세일정'!AM27="제외"),"",IF($D27=$E27,IF(AND($D27&gt;=F$5,$D27&lt;F$5+7),"◆",""),IF(AND($D27&lt;F$5+7,$E27&gt;F$5),"■","")))</x:f>
      </x:c>
      <x:c r="G27" s="7" t="str">
        <x:f>IF(OR($D27="",G$5="",'상세일정'!AM27="제외"),"",IF($D27=$E27,IF(AND($D27&gt;=G$5,$D27&lt;G$5+7),"◆",""),IF(AND($D27&lt;G$5+7,$E27&gt;G$5),"■","")))</x:f>
      </x:c>
      <x:c r="H27" s="7" t="str">
        <x:f>IF(OR($D27="",H$5="",'상세일정'!AM27="제외"),"",IF($D27=$E27,IF(AND($D27&gt;=H$5,$D27&lt;H$5+7),"◆",""),IF(AND($D27&lt;H$5+7,$E27&gt;H$5),"■","")))</x:f>
      </x:c>
      <x:c r="I27" s="7" t="str">
        <x:f>IF(OR($D27="",I$5="",'상세일정'!AM27="제외"),"",IF($D27=$E27,IF(AND($D27&gt;=I$5,$D27&lt;I$5+7),"◆",""),IF(AND($D27&lt;I$5+7,$E27&gt;I$5),"■","")))</x:f>
      </x:c>
      <x:c r="J27" s="7" t="str">
        <x:f>IF(OR($D27="",J$5="",'상세일정'!AM27="제외"),"",IF($D27=$E27,IF(AND($D27&gt;=J$5,$D27&lt;J$5+7),"◆",""),IF(AND($D27&lt;J$5+7,$E27&gt;J$5),"■","")))</x:f>
      </x:c>
      <x:c r="K27" s="7" t="str">
        <x:f>IF(OR($D27="",K$5="",'상세일정'!AM27="제외"),"",IF($D27=$E27,IF(AND($D27&gt;=K$5,$D27&lt;K$5+7),"◆",""),IF(AND($D27&lt;K$5+7,$E27&gt;K$5),"■","")))</x:f>
      </x:c>
      <x:c r="L27" s="7" t="str">
        <x:f>IF(OR($D27="",L$5="",'상세일정'!AM27="제외"),"",IF($D27=$E27,IF(AND($D27&gt;=L$5,$D27&lt;L$5+7),"◆",""),IF(AND($D27&lt;L$5+7,$E27&gt;L$5),"■","")))</x:f>
      </x:c>
      <x:c r="M27" s="7" t="str">
        <x:f>IF(OR($D27="",M$5="",'상세일정'!AM27="제외"),"",IF($D27=$E27,IF(AND($D27&gt;=M$5,$D27&lt;M$5+7),"◆",""),IF(AND($D27&lt;M$5+7,$E27&gt;M$5),"■","")))</x:f>
      </x:c>
      <x:c r="N27" s="7" t="str">
        <x:f>IF(OR($D27="",N$5="",'상세일정'!AM27="제외"),"",IF($D27=$E27,IF(AND($D27&gt;=N$5,$D27&lt;N$5+7),"◆",""),IF(AND($D27&lt;N$5+7,$E27&gt;N$5),"■","")))</x:f>
      </x:c>
      <x:c r="O27" s="7" t="str">
        <x:f>IF(OR($D27="",O$5="",'상세일정'!AM27="제외"),"",IF($D27=$E27,IF(AND($D27&gt;=O$5,$D27&lt;O$5+7),"◆",""),IF(AND($D27&lt;O$5+7,$E27&gt;O$5),"■","")))</x:f>
      </x:c>
      <x:c r="P27" s="7" t="str">
        <x:f>IF(OR($D27="",P$5="",'상세일정'!AM27="제외"),"",IF($D27=$E27,IF(AND($D27&gt;=P$5,$D27&lt;P$5+7),"◆",""),IF(AND($D27&lt;P$5+7,$E27&gt;P$5),"■","")))</x:f>
      </x:c>
      <x:c r="Q27" s="7" t="str">
        <x:f>IF(OR($D27="",Q$5="",'상세일정'!AM27="제외"),"",IF($D27=$E27,IF(AND($D27&gt;=Q$5,$D27&lt;Q$5+7),"◆",""),IF(AND($D27&lt;Q$5+7,$E27&gt;Q$5),"■","")))</x:f>
      </x:c>
      <x:c r="R27" s="7" t="str">
        <x:f>IF(OR($D27="",R$5="",'상세일정'!AM27="제외"),"",IF($D27=$E27,IF(AND($D27&gt;=R$5,$D27&lt;R$5+7),"◆",""),IF(AND($D27&lt;R$5+7,$E27&gt;R$5),"■","")))</x:f>
      </x:c>
      <x:c r="S27" s="7" t="str">
        <x:f>IF(OR($D27="",S$5="",'상세일정'!AM27="제외"),"",IF($D27=$E27,IF(AND($D27&gt;=S$5,$D27&lt;S$5+7),"◆",""),IF(AND($D27&lt;S$5+7,$E27&gt;S$5),"■","")))</x:f>
      </x:c>
      <x:c r="T27" s="7" t="str">
        <x:f>IF(OR($D27="",T$5="",'상세일정'!AM27="제외"),"",IF($D27=$E27,IF(AND($D27&gt;=T$5,$D27&lt;T$5+7),"◆",""),IF(AND($D27&lt;T$5+7,$E27&gt;T$5),"■","")))</x:f>
      </x:c>
      <x:c r="U27" s="7" t="str">
        <x:f>IF(OR($D27="",U$5="",'상세일정'!AM27="제외"),"",IF($D27=$E27,IF(AND($D27&gt;=U$5,$D27&lt;U$5+7),"◆",""),IF(AND($D27&lt;U$5+7,$E27&gt;U$5),"■","")))</x:f>
      </x:c>
      <x:c r="V27" s="7" t="str">
        <x:f>IF(OR($D27="",V$5="",'상세일정'!AM27="제외"),"",IF($D27=$E27,IF(AND($D27&gt;=V$5,$D27&lt;V$5+7),"◆",""),IF(AND($D27&lt;V$5+7,$E27&gt;V$5),"■","")))</x:f>
      </x:c>
      <x:c r="W27" s="7" t="str">
        <x:f>IF(OR($D27="",W$5="",'상세일정'!AM27="제외"),"",IF($D27=$E27,IF(AND($D27&gt;=W$5,$D27&lt;W$5+7),"◆",""),IF(AND($D27&lt;W$5+7,$E27&gt;W$5),"■","")))</x:f>
      </x:c>
      <x:c r="X27" s="7" t="str">
        <x:f>IF(OR($D27="",X$5="",'상세일정'!AM27="제외"),"",IF($D27=$E27,IF(AND($D27&gt;=X$5,$D27&lt;X$5+7),"◆",""),IF(AND($D27&lt;X$5+7,$E27&gt;X$5),"■","")))</x:f>
      </x:c>
      <x:c r="Y27" s="7" t="str">
        <x:f>IF(OR($D27="",Y$5="",'상세일정'!AM27="제외"),"",IF($D27=$E27,IF(AND($D27&gt;=Y$5,$D27&lt;Y$5+7),"◆",""),IF(AND($D27&lt;Y$5+7,$E27&gt;Y$5),"■","")))</x:f>
      </x:c>
      <x:c r="Z27" s="7" t="str">
        <x:f>IF(OR($D27="",Z$5="",'상세일정'!AM27="제외"),"",IF($D27=$E27,IF(AND($D27&gt;=Z$5,$D27&lt;Z$5+7),"◆",""),IF(AND($D27&lt;Z$5+7,$E27&gt;Z$5),"■","")))</x:f>
      </x:c>
      <x:c r="AA27" s="7" t="str">
        <x:f>IF(OR($D27="",AA$5="",'상세일정'!AM27="제외"),"",IF($D27=$E27,IF(AND($D27&gt;=AA$5,$D27&lt;AA$5+7),"◆",""),IF(AND($D27&lt;AA$5+7,$E27&gt;AA$5),"■","")))</x:f>
      </x:c>
      <x:c r="AB27" s="7" t="str">
        <x:f>IF(OR($D27="",AB$5="",'상세일정'!AM27="제외"),"",IF($D27=$E27,IF(AND($D27&gt;=AB$5,$D27&lt;AB$5+7),"◆",""),IF(AND($D27&lt;AB$5+7,$E27&gt;AB$5),"■","")))</x:f>
      </x:c>
      <x:c r="AC27" s="7" t="str">
        <x:f>IF(OR($D27="",AC$5="",'상세일정'!AM27="제외"),"",IF($D27=$E27,IF(AND($D27&gt;=AC$5,$D27&lt;AC$5+7),"◆",""),IF(AND($D27&lt;AC$5+7,$E27&gt;AC$5),"■","")))</x:f>
      </x:c>
      <x:c r="AD27" s="7" t="str">
        <x:f>IF(OR($D27="",AD$5="",'상세일정'!AM27="제외"),"",IF($D27=$E27,IF(AND($D27&gt;=AD$5,$D27&lt;AD$5+7),"◆",""),IF(AND($D27&lt;AD$5+7,$E27&gt;AD$5),"■","")))</x:f>
      </x:c>
      <x:c r="AE27" s="7" t="str">
        <x:f>IF(OR($D27="",AE$5="",'상세일정'!AM27="제외"),"",IF($D27=$E27,IF(AND($D27&gt;=AE$5,$D27&lt;AE$5+7),"◆",""),IF(AND($D27&lt;AE$5+7,$E27&gt;AE$5),"■","")))</x:f>
      </x:c>
      <x:c r="AF27" s="7" t="str">
        <x:f>IF(OR($D27="",AF$5="",'상세일정'!AM27="제외"),"",IF($D27=$E27,IF(AND($D27&gt;=AF$5,$D27&lt;AF$5+7),"◆",""),IF(AND($D27&lt;AF$5+7,$E27&gt;AF$5),"■","")))</x:f>
      </x:c>
      <x:c r="AG27" s="7" t="str">
        <x:f>IF(OR($D27="",AG$5="",'상세일정'!AM27="제외"),"",IF($D27=$E27,IF(AND($D27&gt;=AG$5,$D27&lt;AG$5+7),"◆",""),IF(AND($D27&lt;AG$5+7,$E27&gt;AG$5),"■","")))</x:f>
      </x:c>
      <x:c r="AH27" s="7" t="str">
        <x:f>IF(OR($D27="",AH$5="",'상세일정'!AM27="제외"),"",IF($D27=$E27,IF(AND($D27&gt;=AH$5,$D27&lt;AH$5+7),"◆",""),IF(AND($D27&lt;AH$5+7,$E27&gt;AH$5),"■","")))</x:f>
      </x:c>
      <x:c r="AI27" s="7" t="str">
        <x:f>IF(OR($D27="",AI$5="",'상세일정'!AM27="제외"),"",IF($D27=$E27,IF(AND($D27&gt;=AI$5,$D27&lt;AI$5+7),"◆",""),IF(AND($D27&lt;AI$5+7,$E27&gt;AI$5),"■","")))</x:f>
      </x:c>
      <x:c r="AJ27" s="7" t="str">
        <x:f>IF(OR($D27="",AJ$5="",'상세일정'!AM27="제외"),"",IF($D27=$E27,IF(AND($D27&gt;=AJ$5,$D27&lt;AJ$5+7),"◆",""),IF(AND($D27&lt;AJ$5+7,$E27&gt;AJ$5),"■","")))</x:f>
      </x:c>
      <x:c r="AK27" s="7" t="str">
        <x:f>IF(OR($D27="",AK$5="",'상세일정'!AM27="제외"),"",IF($D27=$E27,IF(AND($D27&gt;=AK$5,$D27&lt;AK$5+7),"◆",""),IF(AND($D27&lt;AK$5+7,$E27&gt;AK$5),"■","")))</x:f>
      </x:c>
      <x:c r="AL27" s="7" t="str">
        <x:f>IF(OR($D27="",AL$5="",'상세일정'!AM27="제외"),"",IF($D27=$E27,IF(AND($D27&gt;=AL$5,$D27&lt;AL$5+7),"◆",""),IF(AND($D27&lt;AL$5+7,$E27&gt;AL$5),"■","")))</x:f>
      </x:c>
      <x:c r="AM27" s="7" t="str">
        <x:f>IF(OR($D27="",AM$5="",'상세일정'!AM27="제외"),"",IF($D27=$E27,IF(AND($D27&gt;=AM$5,$D27&lt;AM$5+7),"◆",""),IF(AND($D27&lt;AM$5+7,$E27&gt;AM$5),"■","")))</x:f>
      </x:c>
      <x:c r="AN27" s="7" t="str">
        <x:f>IF(OR($D27="",AN$5="",'상세일정'!AM27="제외"),"",IF($D27=$E27,IF(AND($D27&gt;=AN$5,$D27&lt;AN$5+7),"◆",""),IF(AND($D27&lt;AN$5+7,$E27&gt;AN$5),"■","")))</x:f>
      </x:c>
      <x:c r="AO27" s="7" t="str">
        <x:f>IF(OR($D27="",AO$5="",'상세일정'!AM27="제외"),"",IF($D27=$E27,IF(AND($D27&gt;=AO$5,$D27&lt;AO$5+7),"◆",""),IF(AND($D27&lt;AO$5+7,$E27&gt;AO$5),"■","")))</x:f>
      </x:c>
      <x:c r="AP27" s="7" t="str">
        <x:f>IF(OR($D27="",AP$5="",'상세일정'!AM27="제외"),"",IF($D27=$E27,IF(AND($D27&gt;=AP$5,$D27&lt;AP$5+7),"◆",""),IF(AND($D27&lt;AP$5+7,$E27&gt;AP$5),"■","")))</x:f>
      </x:c>
      <x:c r="AQ27" s="7" t="str">
        <x:f>IF(OR($D27="",AQ$5="",'상세일정'!AM27="제외"),"",IF($D27=$E27,IF(AND($D27&gt;=AQ$5,$D27&lt;AQ$5+7),"◆",""),IF(AND($D27&lt;AQ$5+7,$E27&gt;AQ$5),"■","")))</x:f>
      </x:c>
      <x:c r="AR27" s="7" t="str">
        <x:f>IF(OR($D27="",AR$5="",'상세일정'!AM27="제외"),"",IF($D27=$E27,IF(AND($D27&gt;=AR$5,$D27&lt;AR$5+7),"◆",""),IF(AND($D27&lt;AR$5+7,$E27&gt;AR$5),"■","")))</x:f>
      </x:c>
      <x:c r="AS27" s="7" t="str">
        <x:f>IF(OR($D27="",AS$5="",'상세일정'!AM27="제외"),"",IF($D27=$E27,IF(AND($D27&gt;=AS$5,$D27&lt;AS$5+7),"◆",""),IF(AND($D27&lt;AS$5+7,$E27&gt;AS$5),"■","")))</x:f>
      </x:c>
      <x:c r="AT27" s="7" t="str">
        <x:f>IF(OR($D27="",AT$5="",'상세일정'!AM27="제외"),"",IF($D27=$E27,IF(AND($D27&gt;=AT$5,$D27&lt;AT$5+7),"◆",""),IF(AND($D27&lt;AT$5+7,$E27&gt;AT$5),"■","")))</x:f>
      </x:c>
      <x:c r="AU27" s="7" t="str">
        <x:f>IF(OR($D27="",AU$5="",'상세일정'!AM27="제외"),"",IF($D27=$E27,IF(AND($D27&gt;=AU$5,$D27&lt;AU$5+7),"◆",""),IF(AND($D27&lt;AU$5+7,$E27&gt;AU$5),"■","")))</x:f>
      </x:c>
      <x:c r="AV27" s="7" t="str">
        <x:f>IF(OR($D27="",AV$5="",'상세일정'!AM27="제외"),"",IF($D27=$E27,IF(AND($D27&gt;=AV$5,$D27&lt;AV$5+7),"◆",""),IF(AND($D27&lt;AV$5+7,$E27&gt;AV$5),"■","")))</x:f>
      </x:c>
      <x:c r="AW27" s="7" t="str">
        <x:f>IF(OR($D27="",AW$5="",'상세일정'!AM27="제외"),"",IF($D27=$E27,IF(AND($D27&gt;=AW$5,$D27&lt;AW$5+7),"◆",""),IF(AND($D27&lt;AW$5+7,$E27&gt;AW$5),"■","")))</x:f>
      </x:c>
      <x:c r="AX27" s="7" t="str">
        <x:f>IF(OR($D27="",AX$5="",'상세일정'!AM27="제외"),"",IF($D27=$E27,IF(AND($D27&gt;=AX$5,$D27&lt;AX$5+7),"◆",""),IF(AND($D27&lt;AX$5+7,$E27&gt;AX$5),"■","")))</x:f>
      </x:c>
      <x:c r="AY27" s="7" t="str">
        <x:f>IF(OR($D27="",AY$5="",'상세일정'!AM27="제외"),"",IF($D27=$E27,IF(AND($D27&gt;=AY$5,$D27&lt;AY$5+7),"◆",""),IF(AND($D27&lt;AY$5+7,$E27&gt;AY$5),"■","")))</x:f>
      </x:c>
      <x:c r="AZ27" s="7" t="str">
        <x:f>IF(OR($D27="",AZ$5="",'상세일정'!AM27="제외"),"",IF($D27=$E27,IF(AND($D27&gt;=AZ$5,$D27&lt;AZ$5+7),"◆",""),IF(AND($D27&lt;AZ$5+7,$E27&gt;AZ$5),"■","")))</x:f>
      </x:c>
      <x:c r="BA27" s="7" t="str">
        <x:f>IF(OR($D27="",BA$5="",'상세일정'!AM27="제외"),"",IF($D27=$E27,IF(AND($D27&gt;=BA$5,$D27&lt;BA$5+7),"◆",""),IF(AND($D27&lt;BA$5+7,$E27&gt;BA$5),"■","")))</x:f>
      </x:c>
      <x:c r="BB27" s="7" t="str">
        <x:f>IF(OR($D27="",BB$5="",'상세일정'!AM27="제외"),"",IF($D27=$E27,IF(AND($D27&gt;=BB$5,$D27&lt;BB$5+7),"◆",""),IF(AND($D27&lt;BB$5+7,$E27&gt;BB$5),"■","")))</x:f>
      </x:c>
      <x:c r="BC27" s="7" t="str">
        <x:f>IF(OR($D27="",BC$5="",'상세일정'!AM27="제외"),"",IF($D27=$E27,IF(AND($D27&gt;=BC$5,$D27&lt;BC$5+7),"◆",""),IF(AND($D27&lt;BC$5+7,$E27&gt;BC$5),"■","")))</x:f>
      </x:c>
      <x:c r="BD27" s="7" t="str">
        <x:f>IF(OR($D27="",BD$5="",'상세일정'!AM27="제외"),"",IF($D27=$E27,IF(AND($D27&gt;=BD$5,$D27&lt;BD$5+7),"◆",""),IF(AND($D27&lt;BD$5+7,$E27&gt;BD$5),"■","")))</x:f>
      </x:c>
      <x:c r="BE27" s="7" t="str">
        <x:f>IF(OR($D27="",BE$5="",'상세일정'!AM27="제외"),"",IF($D27=$E27,IF(AND($D27&gt;=BE$5,$D27&lt;BE$5+7),"◆",""),IF(AND($D27&lt;BE$5+7,$E27&gt;BE$5),"■","")))</x:f>
      </x:c>
      <x:c r="BF27" s="7" t="str">
        <x:f>IF(OR($D27="",BF$5="",'상세일정'!AM27="제외"),"",IF($D27=$E27,IF(AND($D27&gt;=BF$5,$D27&lt;BF$5+7),"◆",""),IF(AND($D27&lt;BF$5+7,$E27&gt;BF$5),"■","")))</x:f>
      </x:c>
      <x:c r="BG27" s="7" t="str">
        <x:f>IF(OR($D27="",BG$5="",'상세일정'!AM27="제외"),"",IF($D27=$E27,IF(AND($D27&gt;=BG$5,$D27&lt;BG$5+7),"◆",""),IF(AND($D27&lt;BG$5+7,$E27&gt;BG$5),"■","")))</x:f>
      </x:c>
      <x:c r="BH27" s="7" t="str">
        <x:f>IF(OR($D27="",BH$5="",'상세일정'!AM27="제외"),"",IF($D27=$E27,IF(AND($D27&gt;=BH$5,$D27&lt;BH$5+7),"◆",""),IF(AND($D27&lt;BH$5+7,$E27&gt;BH$5),"■","")))</x:f>
      </x:c>
      <x:c r="BI27" s="7" t="str">
        <x:f>IF(OR($D27="",BI$5="",'상세일정'!AM27="제외"),"",IF($D27=$E27,IF(AND($D27&gt;=BI$5,$D27&lt;BI$5+7),"◆",""),IF(AND($D27&lt;BI$5+7,$E27&gt;BI$5),"■","")))</x:f>
      </x:c>
      <x:c r="BJ27" s="7" t="str">
        <x:f>IF(OR($D27="",BJ$5="",'상세일정'!AM27="제외"),"",IF($D27=$E27,IF(AND($D27&gt;=BJ$5,$D27&lt;BJ$5+7),"◆",""),IF(AND($D27&lt;BJ$5+7,$E27&gt;BJ$5),"■","")))</x:f>
      </x:c>
      <x:c r="BK27" s="7" t="str">
        <x:f>IF(OR($D27="",BK$5="",'상세일정'!AM27="제외"),"",IF($D27=$E27,IF(AND($D27&gt;=BK$5,$D27&lt;BK$5+7),"◆",""),IF(AND($D27&lt;BK$5+7,$E27&gt;BK$5),"■","")))</x:f>
      </x:c>
      <x:c r="BL27" s="7" t="str">
        <x:f>IF(OR($D27="",BL$5="",'상세일정'!AM27="제외"),"",IF($D27=$E27,IF(AND($D27&gt;=BL$5,$D27&lt;BL$5+7),"◆",""),IF(AND($D27&lt;BL$5+7,$E27&gt;BL$5),"■","")))</x:f>
      </x:c>
      <x:c r="BM27" s="7" t="str">
        <x:f>IF(OR($D27="",BM$5="",'상세일정'!AM27="제외"),"",IF($D27=$E27,IF(AND($D27&gt;=BM$5,$D27&lt;BM$5+7),"◆",""),IF(AND($D27&lt;BM$5+7,$E27&gt;BM$5),"■","")))</x:f>
      </x:c>
      <x:c r="BN27" s="7" t="str">
        <x:f>IF(OR($D27="",BN$5="",'상세일정'!AM27="제외"),"",IF($D27=$E27,IF(AND($D27&gt;=BN$5,$D27&lt;BN$5+7),"◆",""),IF(AND($D27&lt;BN$5+7,$E27&gt;BN$5),"■","")))</x:f>
      </x:c>
      <x:c r="BO27" s="7" t="str">
        <x:f>IF(OR($D27="",BO$5="",'상세일정'!AM27="제외"),"",IF($D27=$E27,IF(AND($D27&gt;=BO$5,$D27&lt;BO$5+7),"◆",""),IF(AND($D27&lt;BO$5+7,$E27&gt;BO$5),"■","")))</x:f>
      </x:c>
      <x:c r="BP27" s="7" t="str">
        <x:f>IF(OR($D27="",BP$5="",'상세일정'!AM27="제외"),"",IF($D27=$E27,IF(AND($D27&gt;=BP$5,$D27&lt;BP$5+7),"◆",""),IF(AND($D27&lt;BP$5+7,$E27&gt;BP$5),"■","")))</x:f>
      </x:c>
      <x:c r="BQ27" s="7" t="str">
        <x:f>IF(OR($D27="",BQ$5="",'상세일정'!AM27="제외"),"",IF($D27=$E27,IF(AND($D27&gt;=BQ$5,$D27&lt;BQ$5+7),"◆",""),IF(AND($D27&lt;BQ$5+7,$E27&gt;BQ$5),"■","")))</x:f>
      </x:c>
      <x:c r="BR27" s="7" t="str">
        <x:f>IF(OR($D27="",BR$5="",'상세일정'!AM27="제외"),"",IF($D27=$E27,IF(AND($D27&gt;=BR$5,$D27&lt;BR$5+7),"◆",""),IF(AND($D27&lt;BR$5+7,$E27&gt;BR$5),"■","")))</x:f>
      </x:c>
      <x:c r="BS27" s="7" t="str">
        <x:f>IF(OR($D27="",BS$5="",'상세일정'!AM27="제외"),"",IF($D27=$E27,IF(AND($D27&gt;=BS$5,$D27&lt;BS$5+7),"◆",""),IF(AND($D27&lt;BS$5+7,$E27&gt;BS$5),"■","")))</x:f>
      </x:c>
      <x:c r="BT27" s="7" t="str">
        <x:f>IF(OR($D27="",BT$5="",'상세일정'!AM27="제외"),"",IF($D27=$E27,IF(AND($D27&gt;=BT$5,$D27&lt;BT$5+7),"◆",""),IF(AND($D27&lt;BT$5+7,$E27&gt;BT$5),"■","")))</x:f>
      </x:c>
      <x:c r="BU27" s="7" t="str">
        <x:f>IF(OR($D27="",BU$5="",'상세일정'!AM27="제외"),"",IF($D27=$E27,IF(AND($D27&gt;=BU$5,$D27&lt;BU$5+7),"◆",""),IF(AND($D27&lt;BU$5+7,$E27&gt;BU$5),"■","")))</x:f>
      </x:c>
      <x:c r="BV27" s="7" t="str">
        <x:f>IF(OR($D27="",BV$5="",'상세일정'!AM27="제외"),"",IF($D27=$E27,IF(AND($D27&gt;=BV$5,$D27&lt;BV$5+7),"◆",""),IF(AND($D27&lt;BV$5+7,$E27&gt;BV$5),"■","")))</x:f>
      </x:c>
      <x:c r="BW27" s="7" t="str">
        <x:f>IF(OR($D27="",BW$5="",'상세일정'!AM27="제외"),"",IF($D27=$E27,IF(AND($D27&gt;=BW$5,$D27&lt;BW$5+7),"◆",""),IF(AND($D27&lt;BW$5+7,$E27&gt;BW$5),"■","")))</x:f>
      </x:c>
      <x:c r="BX27" s="7" t="str">
        <x:f>IF(OR($D27="",BX$5="",'상세일정'!AM27="제외"),"",IF($D27=$E27,IF(AND($D27&gt;=BX$5,$D27&lt;BX$5+7),"◆",""),IF(AND($D27&lt;BX$5+7,$E27&gt;BX$5),"■","")))</x:f>
      </x:c>
      <x:c r="BY27" s="7" t="str">
        <x:f>IF(OR($D27="",BY$5="",'상세일정'!AM27="제외"),"",IF($D27=$E27,IF(AND($D27&gt;=BY$5,$D27&lt;BY$5+7),"◆",""),IF(AND($D27&lt;BY$5+7,$E27&gt;BY$5),"■","")))</x:f>
      </x:c>
      <x:c r="BZ27" s="7" t="str">
        <x:f>IF(OR($D27="",BZ$5="",'상세일정'!AM27="제외"),"",IF($D27=$E27,IF(AND($D27&gt;=BZ$5,$D27&lt;BZ$5+7),"◆",""),IF(AND($D27&lt;BZ$5+7,$E27&gt;BZ$5),"■","")))</x:f>
      </x:c>
      <x:c r="CA27" s="7" t="str">
        <x:f>IF(OR($D27="",CA$5="",'상세일정'!AM27="제외"),"",IF($D27=$E27,IF(AND($D27&gt;=CA$5,$D27&lt;CA$5+7),"◆",""),IF(AND($D27&lt;CA$5+7,$E27&gt;CA$5),"■","")))</x:f>
      </x:c>
      <x:c r="CB27" s="7" t="str">
        <x:f>IF(OR($D27="",CB$5="",'상세일정'!AM27="제외"),"",IF($D27=$E27,IF(AND($D27&gt;=CB$5,$D27&lt;CB$5+7),"◆",""),IF(AND($D27&lt;CB$5+7,$E27&gt;CB$5),"■","")))</x:f>
      </x:c>
      <x:c r="CC27" s="7" t="str">
        <x:f>IF(OR($D27="",CC$5="",'상세일정'!AM27="제외"),"",IF($D27=$E27,IF(AND($D27&gt;=CC$5,$D27&lt;CC$5+7),"◆",""),IF(AND($D27&lt;CC$5+7,$E27&gt;CC$5),"■","")))</x:f>
      </x:c>
      <x:c r="CD27" s="7" t="str">
        <x:f>IF(OR($D27="",CD$5="",'상세일정'!AM27="제외"),"",IF($D27=$E27,IF(AND($D27&gt;=CD$5,$D27&lt;CD$5+7),"◆",""),IF(AND($D27&lt;CD$5+7,$E27&gt;CD$5),"■","")))</x:f>
      </x:c>
      <x:c r="CE27" s="7" t="str">
        <x:f>IF(OR($D27="",CE$5="",'상세일정'!AM27="제외"),"",IF($D27=$E27,IF(AND($D27&gt;=CE$5,$D27&lt;CE$5+7),"◆",""),IF(AND($D27&lt;CE$5+7,$E27&gt;CE$5),"■","")))</x:f>
      </x:c>
      <x:c r="CF27" s="7" t="str">
        <x:f>IF(OR($D27="",CF$5="",'상세일정'!AM27="제외"),"",IF($D27=$E27,IF(AND($D27&gt;=CF$5,$D27&lt;CF$5+7),"◆",""),IF(AND($D27&lt;CF$5+7,$E27&gt;CF$5),"■","")))</x:f>
      </x:c>
      <x:c r="CG27" s="7" t="str">
        <x:f>IF(OR($D27="",CG$5="",'상세일정'!AM27="제외"),"",IF($D27=$E27,IF(AND($D27&gt;=CG$5,$D27&lt;CG$5+7),"◆",""),IF(AND($D27&lt;CG$5+7,$E27&gt;CG$5),"■","")))</x:f>
      </x:c>
      <x:c r="CH27" s="7" t="str">
        <x:f>IF(OR($D27="",CH$5="",'상세일정'!AM27="제외"),"",IF($D27=$E27,IF(AND($D27&gt;=CH$5,$D27&lt;CH$5+7),"◆",""),IF(AND($D27&lt;CH$5+7,$E27&gt;CH$5),"■","")))</x:f>
      </x:c>
      <x:c r="CI27" s="7" t="str">
        <x:f>IF(OR($D27="",CI$5="",'상세일정'!AM27="제외"),"",IF($D27=$E27,IF(AND($D27&gt;=CI$5,$D27&lt;CI$5+7),"◆",""),IF(AND($D27&lt;CI$5+7,$E27&gt;CI$5),"■","")))</x:f>
      </x:c>
      <x:c r="CJ27" s="7" t="str">
        <x:f>IF(OR($D27="",CJ$5="",'상세일정'!AM27="제외"),"",IF($D27=$E27,IF(AND($D27&gt;=CJ$5,$D27&lt;CJ$5+7),"◆",""),IF(AND($D27&lt;CJ$5+7,$E27&gt;CJ$5),"■","")))</x:f>
      </x:c>
      <x:c r="CK27" s="7" t="str">
        <x:f>IF(OR($D27="",CK$5="",'상세일정'!AM27="제외"),"",IF($D27=$E27,IF(AND($D27&gt;=CK$5,$D27&lt;CK$5+7),"◆",""),IF(AND($D27&lt;CK$5+7,$E27&gt;CK$5),"■","")))</x:f>
      </x:c>
      <x:c r="CL27" s="7" t="str">
        <x:f>IF(OR($D27="",CL$5="",'상세일정'!AM27="제외"),"",IF($D27=$E27,IF(AND($D27&gt;=CL$5,$D27&lt;CL$5+7),"◆",""),IF(AND($D27&lt;CL$5+7,$E27&gt;CL$5),"■","")))</x:f>
      </x:c>
      <x:c r="CM27" s="7" t="str">
        <x:f>IF(OR($D27="",CM$5="",'상세일정'!AM27="제외"),"",IF($D27=$E27,IF(AND($D27&gt;=CM$5,$D27&lt;CM$5+7),"◆",""),IF(AND($D27&lt;CM$5+7,$E27&gt;CM$5),"■","")))</x:f>
      </x:c>
      <x:c r="CN27" s="7" t="str">
        <x:f>IF(OR($D27="",CN$5="",'상세일정'!AM27="제외"),"",IF($D27=$E27,IF(AND($D27&gt;=CN$5,$D27&lt;CN$5+7),"◆",""),IF(AND($D27&lt;CN$5+7,$E27&gt;CN$5),"■","")))</x:f>
      </x:c>
      <x:c r="CO27" s="7" t="str">
        <x:f>IF(OR($D27="",CO$5="",'상세일정'!AM27="제외"),"",IF($D27=$E27,IF(AND($D27&gt;=CO$5,$D27&lt;CO$5+7),"◆",""),IF(AND($D27&lt;CO$5+7,$E27&gt;CO$5),"■","")))</x:f>
      </x:c>
      <x:c r="CP27" s="7" t="str">
        <x:f>IF(OR($D27="",CP$5="",'상세일정'!AM27="제외"),"",IF($D27=$E27,IF(AND($D27&gt;=CP$5,$D27&lt;CP$5+7),"◆",""),IF(AND($D27&lt;CP$5+7,$E27&gt;CP$5),"■","")))</x:f>
      </x:c>
      <x:c r="CQ27" s="7" t="str">
        <x:f>IF(OR($D27="",CQ$5="",'상세일정'!AM27="제외"),"",IF($D27=$E27,IF(AND($D27&gt;=CQ$5,$D27&lt;CQ$5+7),"◆",""),IF(AND($D27&lt;CQ$5+7,$E27&gt;CQ$5),"■","")))</x:f>
      </x:c>
      <x:c r="CR27" s="7" t="str">
        <x:f>IF(OR($D27="",CR$5="",'상세일정'!AM27="제외"),"",IF($D27=$E27,IF(AND($D27&gt;=CR$5,$D27&lt;CR$5+7),"◆",""),IF(AND($D27&lt;CR$5+7,$E27&gt;CR$5),"■","")))</x:f>
      </x:c>
      <x:c r="CS27" s="7" t="str">
        <x:f>IF(OR($D27="",CS$5="",'상세일정'!AM27="제외"),"",IF($D27=$E27,IF(AND($D27&gt;=CS$5,$D27&lt;CS$5+7),"◆",""),IF(AND($D27&lt;CS$5+7,$E27&gt;CS$5),"■","")))</x:f>
      </x:c>
      <x:c r="CT27" s="7" t="str">
        <x:f>IF(OR($D27="",CT$5="",'상세일정'!AM27="제외"),"",IF($D27=$E27,IF(AND($D27&gt;=CT$5,$D27&lt;CT$5+7),"◆",""),IF(AND($D27&lt;CT$5+7,$E27&gt;CT$5),"■","")))</x:f>
      </x:c>
      <x:c r="CU27" s="7" t="str">
        <x:f>IF(OR($D27="",CU$5="",'상세일정'!AM27="제외"),"",IF($D27=$E27,IF(AND($D27&gt;=CU$5,$D27&lt;CU$5+7),"◆",""),IF(AND($D27&lt;CU$5+7,$E27&gt;CU$5),"■","")))</x:f>
      </x:c>
      <x:c r="CV27" s="7" t="str">
        <x:f>IF(OR($D27="",CV$5="",'상세일정'!AM27="제외"),"",IF($D27=$E27,IF(AND($D27&gt;=CV$5,$D27&lt;CV$5+7),"◆",""),IF(AND($D27&lt;CV$5+7,$E27&gt;CV$5),"■","")))</x:f>
      </x:c>
      <x:c r="CW27" s="7" t="str">
        <x:f>IF(OR($D27="",CW$5="",'상세일정'!AM27="제외"),"",IF($D27=$E27,IF(AND($D27&gt;=CW$5,$D27&lt;CW$5+7),"◆",""),IF(AND($D27&lt;CW$5+7,$E27&gt;CW$5),"■","")))</x:f>
      </x:c>
      <x:c r="CX27" s="7" t="str">
        <x:f>IF(OR($D27="",CX$5="",'상세일정'!AM27="제외"),"",IF($D27=$E27,IF(AND($D27&gt;=CX$5,$D27&lt;CX$5+7),"◆",""),IF(AND($D27&lt;CX$5+7,$E27&gt;CX$5),"■","")))</x:f>
      </x:c>
      <x:c r="CY27" s="7" t="str">
        <x:f>IF(OR($D27="",CY$5="",'상세일정'!AM27="제외"),"",IF($D27=$E27,IF(AND($D27&gt;=CY$5,$D27&lt;CY$5+7),"◆",""),IF(AND($D27&lt;CY$5+7,$E27&gt;CY$5),"■","")))</x:f>
      </x:c>
      <x:c r="CZ27" s="7" t="str">
        <x:f>IF(OR($D27="",CZ$5="",'상세일정'!AM27="제외"),"",IF($D27=$E27,IF(AND($D27&gt;=CZ$5,$D27&lt;CZ$5+7),"◆",""),IF(AND($D27&lt;CZ$5+7,$E27&gt;CZ$5),"■","")))</x:f>
      </x:c>
      <x:c r="DA27" s="7" t="str">
        <x:f>IF(OR($D27="",DA$5="",'상세일정'!AM27="제외"),"",IF($D27=$E27,IF(AND($D27&gt;=DA$5,$D27&lt;DA$5+7),"◆",""),IF(AND($D27&lt;DA$5+7,$E27&gt;DA$5),"■","")))</x:f>
      </x:c>
      <x:c r="DB27" s="7" t="str">
        <x:f>IF(OR($D27="",DB$5="",'상세일정'!AM27="제외"),"",IF($D27=$E27,IF(AND($D27&gt;=DB$5,$D27&lt;DB$5+7),"◆",""),IF(AND($D27&lt;DB$5+7,$E27&gt;DB$5),"■","")))</x:f>
      </x:c>
      <x:c r="DC27" s="7" t="str">
        <x:f>IF(OR($D27="",DC$5="",'상세일정'!AM27="제외"),"",IF($D27=$E27,IF(AND($D27&gt;=DC$5,$D27&lt;DC$5+7),"◆",""),IF(AND($D27&lt;DC$5+7,$E27&gt;DC$5),"■","")))</x:f>
      </x:c>
      <x:c r="DD27" s="7" t="str">
        <x:f>IF(OR($D27="",DD$5="",'상세일정'!AM27="제외"),"",IF($D27=$E27,IF(AND($D27&gt;=DD$5,$D27&lt;DD$5+7),"◆",""),IF(AND($D27&lt;DD$5+7,$E27&gt;DD$5),"■","")))</x:f>
      </x:c>
      <x:c r="DE27" s="7" t="str">
        <x:f>IF(OR($D27="",DE$5="",'상세일정'!AM27="제외"),"",IF($D27=$E27,IF(AND($D27&gt;=DE$5,$D27&lt;DE$5+7),"◆",""),IF(AND($D27&lt;DE$5+7,$E27&gt;DE$5),"■","")))</x:f>
      </x:c>
    </x:row>
    <x:row r="28" ht="34" customHeight="1">
      <x:c r="A28" s="7" t="str">
        <x:v>VP04</x:v>
      </x:c>
      <x:c r="B28" s="7" t="str">
        <x:v>05 Vendor Print 관리</x:v>
      </x:c>
      <x:c r="C28" s="7" t="str">
        <x:v>벤더 답변 및 수정 VP 접수</x:v>
      </x:c>
      <x:c r="D28" s="10" t="str">
        <x:f>'상세일정'!AJ28</x:f>
      </x:c>
      <x:c r="E28" s="10" t="str">
        <x:f>'상세일정'!AK28</x:f>
      </x:c>
      <x:c r="F28" s="7" t="str">
        <x:f>IF(OR($D28="",F$5="",'상세일정'!AM28="제외"),"",IF($D28=$E28,IF(AND($D28&gt;=F$5,$D28&lt;F$5+7),"◆",""),IF(AND($D28&lt;F$5+7,$E28&gt;F$5),"■","")))</x:f>
      </x:c>
      <x:c r="G28" s="7" t="str">
        <x:f>IF(OR($D28="",G$5="",'상세일정'!AM28="제외"),"",IF($D28=$E28,IF(AND($D28&gt;=G$5,$D28&lt;G$5+7),"◆",""),IF(AND($D28&lt;G$5+7,$E28&gt;G$5),"■","")))</x:f>
      </x:c>
      <x:c r="H28" s="7" t="str">
        <x:f>IF(OR($D28="",H$5="",'상세일정'!AM28="제외"),"",IF($D28=$E28,IF(AND($D28&gt;=H$5,$D28&lt;H$5+7),"◆",""),IF(AND($D28&lt;H$5+7,$E28&gt;H$5),"■","")))</x:f>
      </x:c>
      <x:c r="I28" s="7" t="str">
        <x:f>IF(OR($D28="",I$5="",'상세일정'!AM28="제외"),"",IF($D28=$E28,IF(AND($D28&gt;=I$5,$D28&lt;I$5+7),"◆",""),IF(AND($D28&lt;I$5+7,$E28&gt;I$5),"■","")))</x:f>
      </x:c>
      <x:c r="J28" s="7" t="str">
        <x:f>IF(OR($D28="",J$5="",'상세일정'!AM28="제외"),"",IF($D28=$E28,IF(AND($D28&gt;=J$5,$D28&lt;J$5+7),"◆",""),IF(AND($D28&lt;J$5+7,$E28&gt;J$5),"■","")))</x:f>
      </x:c>
      <x:c r="K28" s="7" t="str">
        <x:f>IF(OR($D28="",K$5="",'상세일정'!AM28="제외"),"",IF($D28=$E28,IF(AND($D28&gt;=K$5,$D28&lt;K$5+7),"◆",""),IF(AND($D28&lt;K$5+7,$E28&gt;K$5),"■","")))</x:f>
      </x:c>
      <x:c r="L28" s="7" t="str">
        <x:f>IF(OR($D28="",L$5="",'상세일정'!AM28="제외"),"",IF($D28=$E28,IF(AND($D28&gt;=L$5,$D28&lt;L$5+7),"◆",""),IF(AND($D28&lt;L$5+7,$E28&gt;L$5),"■","")))</x:f>
      </x:c>
      <x:c r="M28" s="7" t="str">
        <x:f>IF(OR($D28="",M$5="",'상세일정'!AM28="제외"),"",IF($D28=$E28,IF(AND($D28&gt;=M$5,$D28&lt;M$5+7),"◆",""),IF(AND($D28&lt;M$5+7,$E28&gt;M$5),"■","")))</x:f>
      </x:c>
      <x:c r="N28" s="7" t="str">
        <x:f>IF(OR($D28="",N$5="",'상세일정'!AM28="제외"),"",IF($D28=$E28,IF(AND($D28&gt;=N$5,$D28&lt;N$5+7),"◆",""),IF(AND($D28&lt;N$5+7,$E28&gt;N$5),"■","")))</x:f>
      </x:c>
      <x:c r="O28" s="7" t="str">
        <x:f>IF(OR($D28="",O$5="",'상세일정'!AM28="제외"),"",IF($D28=$E28,IF(AND($D28&gt;=O$5,$D28&lt;O$5+7),"◆",""),IF(AND($D28&lt;O$5+7,$E28&gt;O$5),"■","")))</x:f>
      </x:c>
      <x:c r="P28" s="7" t="str">
        <x:f>IF(OR($D28="",P$5="",'상세일정'!AM28="제외"),"",IF($D28=$E28,IF(AND($D28&gt;=P$5,$D28&lt;P$5+7),"◆",""),IF(AND($D28&lt;P$5+7,$E28&gt;P$5),"■","")))</x:f>
      </x:c>
      <x:c r="Q28" s="7" t="str">
        <x:f>IF(OR($D28="",Q$5="",'상세일정'!AM28="제외"),"",IF($D28=$E28,IF(AND($D28&gt;=Q$5,$D28&lt;Q$5+7),"◆",""),IF(AND($D28&lt;Q$5+7,$E28&gt;Q$5),"■","")))</x:f>
      </x:c>
      <x:c r="R28" s="7" t="str">
        <x:f>IF(OR($D28="",R$5="",'상세일정'!AM28="제외"),"",IF($D28=$E28,IF(AND($D28&gt;=R$5,$D28&lt;R$5+7),"◆",""),IF(AND($D28&lt;R$5+7,$E28&gt;R$5),"■","")))</x:f>
      </x:c>
      <x:c r="S28" s="7" t="str">
        <x:f>IF(OR($D28="",S$5="",'상세일정'!AM28="제외"),"",IF($D28=$E28,IF(AND($D28&gt;=S$5,$D28&lt;S$5+7),"◆",""),IF(AND($D28&lt;S$5+7,$E28&gt;S$5),"■","")))</x:f>
      </x:c>
      <x:c r="T28" s="7" t="str">
        <x:f>IF(OR($D28="",T$5="",'상세일정'!AM28="제외"),"",IF($D28=$E28,IF(AND($D28&gt;=T$5,$D28&lt;T$5+7),"◆",""),IF(AND($D28&lt;T$5+7,$E28&gt;T$5),"■","")))</x:f>
      </x:c>
      <x:c r="U28" s="7" t="str">
        <x:f>IF(OR($D28="",U$5="",'상세일정'!AM28="제외"),"",IF($D28=$E28,IF(AND($D28&gt;=U$5,$D28&lt;U$5+7),"◆",""),IF(AND($D28&lt;U$5+7,$E28&gt;U$5),"■","")))</x:f>
      </x:c>
      <x:c r="V28" s="7" t="str">
        <x:f>IF(OR($D28="",V$5="",'상세일정'!AM28="제외"),"",IF($D28=$E28,IF(AND($D28&gt;=V$5,$D28&lt;V$5+7),"◆",""),IF(AND($D28&lt;V$5+7,$E28&gt;V$5),"■","")))</x:f>
      </x:c>
      <x:c r="W28" s="7" t="str">
        <x:f>IF(OR($D28="",W$5="",'상세일정'!AM28="제외"),"",IF($D28=$E28,IF(AND($D28&gt;=W$5,$D28&lt;W$5+7),"◆",""),IF(AND($D28&lt;W$5+7,$E28&gt;W$5),"■","")))</x:f>
      </x:c>
      <x:c r="X28" s="7" t="str">
        <x:f>IF(OR($D28="",X$5="",'상세일정'!AM28="제외"),"",IF($D28=$E28,IF(AND($D28&gt;=X$5,$D28&lt;X$5+7),"◆",""),IF(AND($D28&lt;X$5+7,$E28&gt;X$5),"■","")))</x:f>
      </x:c>
      <x:c r="Y28" s="7" t="str">
        <x:f>IF(OR($D28="",Y$5="",'상세일정'!AM28="제외"),"",IF($D28=$E28,IF(AND($D28&gt;=Y$5,$D28&lt;Y$5+7),"◆",""),IF(AND($D28&lt;Y$5+7,$E28&gt;Y$5),"■","")))</x:f>
      </x:c>
      <x:c r="Z28" s="7" t="str">
        <x:f>IF(OR($D28="",Z$5="",'상세일정'!AM28="제외"),"",IF($D28=$E28,IF(AND($D28&gt;=Z$5,$D28&lt;Z$5+7),"◆",""),IF(AND($D28&lt;Z$5+7,$E28&gt;Z$5),"■","")))</x:f>
      </x:c>
      <x:c r="AA28" s="7" t="str">
        <x:f>IF(OR($D28="",AA$5="",'상세일정'!AM28="제외"),"",IF($D28=$E28,IF(AND($D28&gt;=AA$5,$D28&lt;AA$5+7),"◆",""),IF(AND($D28&lt;AA$5+7,$E28&gt;AA$5),"■","")))</x:f>
      </x:c>
      <x:c r="AB28" s="7" t="str">
        <x:f>IF(OR($D28="",AB$5="",'상세일정'!AM28="제외"),"",IF($D28=$E28,IF(AND($D28&gt;=AB$5,$D28&lt;AB$5+7),"◆",""),IF(AND($D28&lt;AB$5+7,$E28&gt;AB$5),"■","")))</x:f>
      </x:c>
      <x:c r="AC28" s="7" t="str">
        <x:f>IF(OR($D28="",AC$5="",'상세일정'!AM28="제외"),"",IF($D28=$E28,IF(AND($D28&gt;=AC$5,$D28&lt;AC$5+7),"◆",""),IF(AND($D28&lt;AC$5+7,$E28&gt;AC$5),"■","")))</x:f>
      </x:c>
      <x:c r="AD28" s="7" t="str">
        <x:f>IF(OR($D28="",AD$5="",'상세일정'!AM28="제외"),"",IF($D28=$E28,IF(AND($D28&gt;=AD$5,$D28&lt;AD$5+7),"◆",""),IF(AND($D28&lt;AD$5+7,$E28&gt;AD$5),"■","")))</x:f>
      </x:c>
      <x:c r="AE28" s="7" t="str">
        <x:f>IF(OR($D28="",AE$5="",'상세일정'!AM28="제외"),"",IF($D28=$E28,IF(AND($D28&gt;=AE$5,$D28&lt;AE$5+7),"◆",""),IF(AND($D28&lt;AE$5+7,$E28&gt;AE$5),"■","")))</x:f>
      </x:c>
      <x:c r="AF28" s="7" t="str">
        <x:f>IF(OR($D28="",AF$5="",'상세일정'!AM28="제외"),"",IF($D28=$E28,IF(AND($D28&gt;=AF$5,$D28&lt;AF$5+7),"◆",""),IF(AND($D28&lt;AF$5+7,$E28&gt;AF$5),"■","")))</x:f>
      </x:c>
      <x:c r="AG28" s="7" t="str">
        <x:f>IF(OR($D28="",AG$5="",'상세일정'!AM28="제외"),"",IF($D28=$E28,IF(AND($D28&gt;=AG$5,$D28&lt;AG$5+7),"◆",""),IF(AND($D28&lt;AG$5+7,$E28&gt;AG$5),"■","")))</x:f>
      </x:c>
      <x:c r="AH28" s="7" t="str">
        <x:f>IF(OR($D28="",AH$5="",'상세일정'!AM28="제외"),"",IF($D28=$E28,IF(AND($D28&gt;=AH$5,$D28&lt;AH$5+7),"◆",""),IF(AND($D28&lt;AH$5+7,$E28&gt;AH$5),"■","")))</x:f>
      </x:c>
      <x:c r="AI28" s="7" t="str">
        <x:f>IF(OR($D28="",AI$5="",'상세일정'!AM28="제외"),"",IF($D28=$E28,IF(AND($D28&gt;=AI$5,$D28&lt;AI$5+7),"◆",""),IF(AND($D28&lt;AI$5+7,$E28&gt;AI$5),"■","")))</x:f>
      </x:c>
      <x:c r="AJ28" s="7" t="str">
        <x:f>IF(OR($D28="",AJ$5="",'상세일정'!AM28="제외"),"",IF($D28=$E28,IF(AND($D28&gt;=AJ$5,$D28&lt;AJ$5+7),"◆",""),IF(AND($D28&lt;AJ$5+7,$E28&gt;AJ$5),"■","")))</x:f>
      </x:c>
      <x:c r="AK28" s="7" t="str">
        <x:f>IF(OR($D28="",AK$5="",'상세일정'!AM28="제외"),"",IF($D28=$E28,IF(AND($D28&gt;=AK$5,$D28&lt;AK$5+7),"◆",""),IF(AND($D28&lt;AK$5+7,$E28&gt;AK$5),"■","")))</x:f>
      </x:c>
      <x:c r="AL28" s="7" t="str">
        <x:f>IF(OR($D28="",AL$5="",'상세일정'!AM28="제외"),"",IF($D28=$E28,IF(AND($D28&gt;=AL$5,$D28&lt;AL$5+7),"◆",""),IF(AND($D28&lt;AL$5+7,$E28&gt;AL$5),"■","")))</x:f>
      </x:c>
      <x:c r="AM28" s="7" t="str">
        <x:f>IF(OR($D28="",AM$5="",'상세일정'!AM28="제외"),"",IF($D28=$E28,IF(AND($D28&gt;=AM$5,$D28&lt;AM$5+7),"◆",""),IF(AND($D28&lt;AM$5+7,$E28&gt;AM$5),"■","")))</x:f>
      </x:c>
      <x:c r="AN28" s="7" t="str">
        <x:f>IF(OR($D28="",AN$5="",'상세일정'!AM28="제외"),"",IF($D28=$E28,IF(AND($D28&gt;=AN$5,$D28&lt;AN$5+7),"◆",""),IF(AND($D28&lt;AN$5+7,$E28&gt;AN$5),"■","")))</x:f>
      </x:c>
      <x:c r="AO28" s="7" t="str">
        <x:f>IF(OR($D28="",AO$5="",'상세일정'!AM28="제외"),"",IF($D28=$E28,IF(AND($D28&gt;=AO$5,$D28&lt;AO$5+7),"◆",""),IF(AND($D28&lt;AO$5+7,$E28&gt;AO$5),"■","")))</x:f>
      </x:c>
      <x:c r="AP28" s="7" t="str">
        <x:f>IF(OR($D28="",AP$5="",'상세일정'!AM28="제외"),"",IF($D28=$E28,IF(AND($D28&gt;=AP$5,$D28&lt;AP$5+7),"◆",""),IF(AND($D28&lt;AP$5+7,$E28&gt;AP$5),"■","")))</x:f>
      </x:c>
      <x:c r="AQ28" s="7" t="str">
        <x:f>IF(OR($D28="",AQ$5="",'상세일정'!AM28="제외"),"",IF($D28=$E28,IF(AND($D28&gt;=AQ$5,$D28&lt;AQ$5+7),"◆",""),IF(AND($D28&lt;AQ$5+7,$E28&gt;AQ$5),"■","")))</x:f>
      </x:c>
      <x:c r="AR28" s="7" t="str">
        <x:f>IF(OR($D28="",AR$5="",'상세일정'!AM28="제외"),"",IF($D28=$E28,IF(AND($D28&gt;=AR$5,$D28&lt;AR$5+7),"◆",""),IF(AND($D28&lt;AR$5+7,$E28&gt;AR$5),"■","")))</x:f>
      </x:c>
      <x:c r="AS28" s="7" t="str">
        <x:f>IF(OR($D28="",AS$5="",'상세일정'!AM28="제외"),"",IF($D28=$E28,IF(AND($D28&gt;=AS$5,$D28&lt;AS$5+7),"◆",""),IF(AND($D28&lt;AS$5+7,$E28&gt;AS$5),"■","")))</x:f>
      </x:c>
      <x:c r="AT28" s="7" t="str">
        <x:f>IF(OR($D28="",AT$5="",'상세일정'!AM28="제외"),"",IF($D28=$E28,IF(AND($D28&gt;=AT$5,$D28&lt;AT$5+7),"◆",""),IF(AND($D28&lt;AT$5+7,$E28&gt;AT$5),"■","")))</x:f>
      </x:c>
      <x:c r="AU28" s="7" t="str">
        <x:f>IF(OR($D28="",AU$5="",'상세일정'!AM28="제외"),"",IF($D28=$E28,IF(AND($D28&gt;=AU$5,$D28&lt;AU$5+7),"◆",""),IF(AND($D28&lt;AU$5+7,$E28&gt;AU$5),"■","")))</x:f>
      </x:c>
      <x:c r="AV28" s="7" t="str">
        <x:f>IF(OR($D28="",AV$5="",'상세일정'!AM28="제외"),"",IF($D28=$E28,IF(AND($D28&gt;=AV$5,$D28&lt;AV$5+7),"◆",""),IF(AND($D28&lt;AV$5+7,$E28&gt;AV$5),"■","")))</x:f>
      </x:c>
      <x:c r="AW28" s="7" t="str">
        <x:f>IF(OR($D28="",AW$5="",'상세일정'!AM28="제외"),"",IF($D28=$E28,IF(AND($D28&gt;=AW$5,$D28&lt;AW$5+7),"◆",""),IF(AND($D28&lt;AW$5+7,$E28&gt;AW$5),"■","")))</x:f>
      </x:c>
      <x:c r="AX28" s="7" t="str">
        <x:f>IF(OR($D28="",AX$5="",'상세일정'!AM28="제외"),"",IF($D28=$E28,IF(AND($D28&gt;=AX$5,$D28&lt;AX$5+7),"◆",""),IF(AND($D28&lt;AX$5+7,$E28&gt;AX$5),"■","")))</x:f>
      </x:c>
      <x:c r="AY28" s="7" t="str">
        <x:f>IF(OR($D28="",AY$5="",'상세일정'!AM28="제외"),"",IF($D28=$E28,IF(AND($D28&gt;=AY$5,$D28&lt;AY$5+7),"◆",""),IF(AND($D28&lt;AY$5+7,$E28&gt;AY$5),"■","")))</x:f>
      </x:c>
      <x:c r="AZ28" s="7" t="str">
        <x:f>IF(OR($D28="",AZ$5="",'상세일정'!AM28="제외"),"",IF($D28=$E28,IF(AND($D28&gt;=AZ$5,$D28&lt;AZ$5+7),"◆",""),IF(AND($D28&lt;AZ$5+7,$E28&gt;AZ$5),"■","")))</x:f>
      </x:c>
      <x:c r="BA28" s="7" t="str">
        <x:f>IF(OR($D28="",BA$5="",'상세일정'!AM28="제외"),"",IF($D28=$E28,IF(AND($D28&gt;=BA$5,$D28&lt;BA$5+7),"◆",""),IF(AND($D28&lt;BA$5+7,$E28&gt;BA$5),"■","")))</x:f>
      </x:c>
      <x:c r="BB28" s="7" t="str">
        <x:f>IF(OR($D28="",BB$5="",'상세일정'!AM28="제외"),"",IF($D28=$E28,IF(AND($D28&gt;=BB$5,$D28&lt;BB$5+7),"◆",""),IF(AND($D28&lt;BB$5+7,$E28&gt;BB$5),"■","")))</x:f>
      </x:c>
      <x:c r="BC28" s="7" t="str">
        <x:f>IF(OR($D28="",BC$5="",'상세일정'!AM28="제외"),"",IF($D28=$E28,IF(AND($D28&gt;=BC$5,$D28&lt;BC$5+7),"◆",""),IF(AND($D28&lt;BC$5+7,$E28&gt;BC$5),"■","")))</x:f>
      </x:c>
      <x:c r="BD28" s="7" t="str">
        <x:f>IF(OR($D28="",BD$5="",'상세일정'!AM28="제외"),"",IF($D28=$E28,IF(AND($D28&gt;=BD$5,$D28&lt;BD$5+7),"◆",""),IF(AND($D28&lt;BD$5+7,$E28&gt;BD$5),"■","")))</x:f>
      </x:c>
      <x:c r="BE28" s="7" t="str">
        <x:f>IF(OR($D28="",BE$5="",'상세일정'!AM28="제외"),"",IF($D28=$E28,IF(AND($D28&gt;=BE$5,$D28&lt;BE$5+7),"◆",""),IF(AND($D28&lt;BE$5+7,$E28&gt;BE$5),"■","")))</x:f>
      </x:c>
      <x:c r="BF28" s="7" t="str">
        <x:f>IF(OR($D28="",BF$5="",'상세일정'!AM28="제외"),"",IF($D28=$E28,IF(AND($D28&gt;=BF$5,$D28&lt;BF$5+7),"◆",""),IF(AND($D28&lt;BF$5+7,$E28&gt;BF$5),"■","")))</x:f>
      </x:c>
      <x:c r="BG28" s="7" t="str">
        <x:f>IF(OR($D28="",BG$5="",'상세일정'!AM28="제외"),"",IF($D28=$E28,IF(AND($D28&gt;=BG$5,$D28&lt;BG$5+7),"◆",""),IF(AND($D28&lt;BG$5+7,$E28&gt;BG$5),"■","")))</x:f>
      </x:c>
      <x:c r="BH28" s="7" t="str">
        <x:f>IF(OR($D28="",BH$5="",'상세일정'!AM28="제외"),"",IF($D28=$E28,IF(AND($D28&gt;=BH$5,$D28&lt;BH$5+7),"◆",""),IF(AND($D28&lt;BH$5+7,$E28&gt;BH$5),"■","")))</x:f>
      </x:c>
      <x:c r="BI28" s="7" t="str">
        <x:f>IF(OR($D28="",BI$5="",'상세일정'!AM28="제외"),"",IF($D28=$E28,IF(AND($D28&gt;=BI$5,$D28&lt;BI$5+7),"◆",""),IF(AND($D28&lt;BI$5+7,$E28&gt;BI$5),"■","")))</x:f>
      </x:c>
      <x:c r="BJ28" s="7" t="str">
        <x:f>IF(OR($D28="",BJ$5="",'상세일정'!AM28="제외"),"",IF($D28=$E28,IF(AND($D28&gt;=BJ$5,$D28&lt;BJ$5+7),"◆",""),IF(AND($D28&lt;BJ$5+7,$E28&gt;BJ$5),"■","")))</x:f>
      </x:c>
      <x:c r="BK28" s="7" t="str">
        <x:f>IF(OR($D28="",BK$5="",'상세일정'!AM28="제외"),"",IF($D28=$E28,IF(AND($D28&gt;=BK$5,$D28&lt;BK$5+7),"◆",""),IF(AND($D28&lt;BK$5+7,$E28&gt;BK$5),"■","")))</x:f>
      </x:c>
      <x:c r="BL28" s="7" t="str">
        <x:f>IF(OR($D28="",BL$5="",'상세일정'!AM28="제외"),"",IF($D28=$E28,IF(AND($D28&gt;=BL$5,$D28&lt;BL$5+7),"◆",""),IF(AND($D28&lt;BL$5+7,$E28&gt;BL$5),"■","")))</x:f>
      </x:c>
      <x:c r="BM28" s="7" t="str">
        <x:f>IF(OR($D28="",BM$5="",'상세일정'!AM28="제외"),"",IF($D28=$E28,IF(AND($D28&gt;=BM$5,$D28&lt;BM$5+7),"◆",""),IF(AND($D28&lt;BM$5+7,$E28&gt;BM$5),"■","")))</x:f>
      </x:c>
      <x:c r="BN28" s="7" t="str">
        <x:f>IF(OR($D28="",BN$5="",'상세일정'!AM28="제외"),"",IF($D28=$E28,IF(AND($D28&gt;=BN$5,$D28&lt;BN$5+7),"◆",""),IF(AND($D28&lt;BN$5+7,$E28&gt;BN$5),"■","")))</x:f>
      </x:c>
      <x:c r="BO28" s="7" t="str">
        <x:f>IF(OR($D28="",BO$5="",'상세일정'!AM28="제외"),"",IF($D28=$E28,IF(AND($D28&gt;=BO$5,$D28&lt;BO$5+7),"◆",""),IF(AND($D28&lt;BO$5+7,$E28&gt;BO$5),"■","")))</x:f>
      </x:c>
      <x:c r="BP28" s="7" t="str">
        <x:f>IF(OR($D28="",BP$5="",'상세일정'!AM28="제외"),"",IF($D28=$E28,IF(AND($D28&gt;=BP$5,$D28&lt;BP$5+7),"◆",""),IF(AND($D28&lt;BP$5+7,$E28&gt;BP$5),"■","")))</x:f>
      </x:c>
      <x:c r="BQ28" s="7" t="str">
        <x:f>IF(OR($D28="",BQ$5="",'상세일정'!AM28="제외"),"",IF($D28=$E28,IF(AND($D28&gt;=BQ$5,$D28&lt;BQ$5+7),"◆",""),IF(AND($D28&lt;BQ$5+7,$E28&gt;BQ$5),"■","")))</x:f>
      </x:c>
      <x:c r="BR28" s="7" t="str">
        <x:f>IF(OR($D28="",BR$5="",'상세일정'!AM28="제외"),"",IF($D28=$E28,IF(AND($D28&gt;=BR$5,$D28&lt;BR$5+7),"◆",""),IF(AND($D28&lt;BR$5+7,$E28&gt;BR$5),"■","")))</x:f>
      </x:c>
      <x:c r="BS28" s="7" t="str">
        <x:f>IF(OR($D28="",BS$5="",'상세일정'!AM28="제외"),"",IF($D28=$E28,IF(AND($D28&gt;=BS$5,$D28&lt;BS$5+7),"◆",""),IF(AND($D28&lt;BS$5+7,$E28&gt;BS$5),"■","")))</x:f>
      </x:c>
      <x:c r="BT28" s="7" t="str">
        <x:f>IF(OR($D28="",BT$5="",'상세일정'!AM28="제외"),"",IF($D28=$E28,IF(AND($D28&gt;=BT$5,$D28&lt;BT$5+7),"◆",""),IF(AND($D28&lt;BT$5+7,$E28&gt;BT$5),"■","")))</x:f>
      </x:c>
      <x:c r="BU28" s="7" t="str">
        <x:f>IF(OR($D28="",BU$5="",'상세일정'!AM28="제외"),"",IF($D28=$E28,IF(AND($D28&gt;=BU$5,$D28&lt;BU$5+7),"◆",""),IF(AND($D28&lt;BU$5+7,$E28&gt;BU$5),"■","")))</x:f>
      </x:c>
      <x:c r="BV28" s="7" t="str">
        <x:f>IF(OR($D28="",BV$5="",'상세일정'!AM28="제외"),"",IF($D28=$E28,IF(AND($D28&gt;=BV$5,$D28&lt;BV$5+7),"◆",""),IF(AND($D28&lt;BV$5+7,$E28&gt;BV$5),"■","")))</x:f>
      </x:c>
      <x:c r="BW28" s="7" t="str">
        <x:f>IF(OR($D28="",BW$5="",'상세일정'!AM28="제외"),"",IF($D28=$E28,IF(AND($D28&gt;=BW$5,$D28&lt;BW$5+7),"◆",""),IF(AND($D28&lt;BW$5+7,$E28&gt;BW$5),"■","")))</x:f>
      </x:c>
      <x:c r="BX28" s="7" t="str">
        <x:f>IF(OR($D28="",BX$5="",'상세일정'!AM28="제외"),"",IF($D28=$E28,IF(AND($D28&gt;=BX$5,$D28&lt;BX$5+7),"◆",""),IF(AND($D28&lt;BX$5+7,$E28&gt;BX$5),"■","")))</x:f>
      </x:c>
      <x:c r="BY28" s="7" t="str">
        <x:f>IF(OR($D28="",BY$5="",'상세일정'!AM28="제외"),"",IF($D28=$E28,IF(AND($D28&gt;=BY$5,$D28&lt;BY$5+7),"◆",""),IF(AND($D28&lt;BY$5+7,$E28&gt;BY$5),"■","")))</x:f>
      </x:c>
      <x:c r="BZ28" s="7" t="str">
        <x:f>IF(OR($D28="",BZ$5="",'상세일정'!AM28="제외"),"",IF($D28=$E28,IF(AND($D28&gt;=BZ$5,$D28&lt;BZ$5+7),"◆",""),IF(AND($D28&lt;BZ$5+7,$E28&gt;BZ$5),"■","")))</x:f>
      </x:c>
      <x:c r="CA28" s="7" t="str">
        <x:f>IF(OR($D28="",CA$5="",'상세일정'!AM28="제외"),"",IF($D28=$E28,IF(AND($D28&gt;=CA$5,$D28&lt;CA$5+7),"◆",""),IF(AND($D28&lt;CA$5+7,$E28&gt;CA$5),"■","")))</x:f>
      </x:c>
      <x:c r="CB28" s="7" t="str">
        <x:f>IF(OR($D28="",CB$5="",'상세일정'!AM28="제외"),"",IF($D28=$E28,IF(AND($D28&gt;=CB$5,$D28&lt;CB$5+7),"◆",""),IF(AND($D28&lt;CB$5+7,$E28&gt;CB$5),"■","")))</x:f>
      </x:c>
      <x:c r="CC28" s="7" t="str">
        <x:f>IF(OR($D28="",CC$5="",'상세일정'!AM28="제외"),"",IF($D28=$E28,IF(AND($D28&gt;=CC$5,$D28&lt;CC$5+7),"◆",""),IF(AND($D28&lt;CC$5+7,$E28&gt;CC$5),"■","")))</x:f>
      </x:c>
      <x:c r="CD28" s="7" t="str">
        <x:f>IF(OR($D28="",CD$5="",'상세일정'!AM28="제외"),"",IF($D28=$E28,IF(AND($D28&gt;=CD$5,$D28&lt;CD$5+7),"◆",""),IF(AND($D28&lt;CD$5+7,$E28&gt;CD$5),"■","")))</x:f>
      </x:c>
      <x:c r="CE28" s="7" t="str">
        <x:f>IF(OR($D28="",CE$5="",'상세일정'!AM28="제외"),"",IF($D28=$E28,IF(AND($D28&gt;=CE$5,$D28&lt;CE$5+7),"◆",""),IF(AND($D28&lt;CE$5+7,$E28&gt;CE$5),"■","")))</x:f>
      </x:c>
      <x:c r="CF28" s="7" t="str">
        <x:f>IF(OR($D28="",CF$5="",'상세일정'!AM28="제외"),"",IF($D28=$E28,IF(AND($D28&gt;=CF$5,$D28&lt;CF$5+7),"◆",""),IF(AND($D28&lt;CF$5+7,$E28&gt;CF$5),"■","")))</x:f>
      </x:c>
      <x:c r="CG28" s="7" t="str">
        <x:f>IF(OR($D28="",CG$5="",'상세일정'!AM28="제외"),"",IF($D28=$E28,IF(AND($D28&gt;=CG$5,$D28&lt;CG$5+7),"◆",""),IF(AND($D28&lt;CG$5+7,$E28&gt;CG$5),"■","")))</x:f>
      </x:c>
      <x:c r="CH28" s="7" t="str">
        <x:f>IF(OR($D28="",CH$5="",'상세일정'!AM28="제외"),"",IF($D28=$E28,IF(AND($D28&gt;=CH$5,$D28&lt;CH$5+7),"◆",""),IF(AND($D28&lt;CH$5+7,$E28&gt;CH$5),"■","")))</x:f>
      </x:c>
      <x:c r="CI28" s="7" t="str">
        <x:f>IF(OR($D28="",CI$5="",'상세일정'!AM28="제외"),"",IF($D28=$E28,IF(AND($D28&gt;=CI$5,$D28&lt;CI$5+7),"◆",""),IF(AND($D28&lt;CI$5+7,$E28&gt;CI$5),"■","")))</x:f>
      </x:c>
      <x:c r="CJ28" s="7" t="str">
        <x:f>IF(OR($D28="",CJ$5="",'상세일정'!AM28="제외"),"",IF($D28=$E28,IF(AND($D28&gt;=CJ$5,$D28&lt;CJ$5+7),"◆",""),IF(AND($D28&lt;CJ$5+7,$E28&gt;CJ$5),"■","")))</x:f>
      </x:c>
      <x:c r="CK28" s="7" t="str">
        <x:f>IF(OR($D28="",CK$5="",'상세일정'!AM28="제외"),"",IF($D28=$E28,IF(AND($D28&gt;=CK$5,$D28&lt;CK$5+7),"◆",""),IF(AND($D28&lt;CK$5+7,$E28&gt;CK$5),"■","")))</x:f>
      </x:c>
      <x:c r="CL28" s="7" t="str">
        <x:f>IF(OR($D28="",CL$5="",'상세일정'!AM28="제외"),"",IF($D28=$E28,IF(AND($D28&gt;=CL$5,$D28&lt;CL$5+7),"◆",""),IF(AND($D28&lt;CL$5+7,$E28&gt;CL$5),"■","")))</x:f>
      </x:c>
      <x:c r="CM28" s="7" t="str">
        <x:f>IF(OR($D28="",CM$5="",'상세일정'!AM28="제외"),"",IF($D28=$E28,IF(AND($D28&gt;=CM$5,$D28&lt;CM$5+7),"◆",""),IF(AND($D28&lt;CM$5+7,$E28&gt;CM$5),"■","")))</x:f>
      </x:c>
      <x:c r="CN28" s="7" t="str">
        <x:f>IF(OR($D28="",CN$5="",'상세일정'!AM28="제외"),"",IF($D28=$E28,IF(AND($D28&gt;=CN$5,$D28&lt;CN$5+7),"◆",""),IF(AND($D28&lt;CN$5+7,$E28&gt;CN$5),"■","")))</x:f>
      </x:c>
      <x:c r="CO28" s="7" t="str">
        <x:f>IF(OR($D28="",CO$5="",'상세일정'!AM28="제외"),"",IF($D28=$E28,IF(AND($D28&gt;=CO$5,$D28&lt;CO$5+7),"◆",""),IF(AND($D28&lt;CO$5+7,$E28&gt;CO$5),"■","")))</x:f>
      </x:c>
      <x:c r="CP28" s="7" t="str">
        <x:f>IF(OR($D28="",CP$5="",'상세일정'!AM28="제외"),"",IF($D28=$E28,IF(AND($D28&gt;=CP$5,$D28&lt;CP$5+7),"◆",""),IF(AND($D28&lt;CP$5+7,$E28&gt;CP$5),"■","")))</x:f>
      </x:c>
      <x:c r="CQ28" s="7" t="str">
        <x:f>IF(OR($D28="",CQ$5="",'상세일정'!AM28="제외"),"",IF($D28=$E28,IF(AND($D28&gt;=CQ$5,$D28&lt;CQ$5+7),"◆",""),IF(AND($D28&lt;CQ$5+7,$E28&gt;CQ$5),"■","")))</x:f>
      </x:c>
      <x:c r="CR28" s="7" t="str">
        <x:f>IF(OR($D28="",CR$5="",'상세일정'!AM28="제외"),"",IF($D28=$E28,IF(AND($D28&gt;=CR$5,$D28&lt;CR$5+7),"◆",""),IF(AND($D28&lt;CR$5+7,$E28&gt;CR$5),"■","")))</x:f>
      </x:c>
      <x:c r="CS28" s="7" t="str">
        <x:f>IF(OR($D28="",CS$5="",'상세일정'!AM28="제외"),"",IF($D28=$E28,IF(AND($D28&gt;=CS$5,$D28&lt;CS$5+7),"◆",""),IF(AND($D28&lt;CS$5+7,$E28&gt;CS$5),"■","")))</x:f>
      </x:c>
      <x:c r="CT28" s="7" t="str">
        <x:f>IF(OR($D28="",CT$5="",'상세일정'!AM28="제외"),"",IF($D28=$E28,IF(AND($D28&gt;=CT$5,$D28&lt;CT$5+7),"◆",""),IF(AND($D28&lt;CT$5+7,$E28&gt;CT$5),"■","")))</x:f>
      </x:c>
      <x:c r="CU28" s="7" t="str">
        <x:f>IF(OR($D28="",CU$5="",'상세일정'!AM28="제외"),"",IF($D28=$E28,IF(AND($D28&gt;=CU$5,$D28&lt;CU$5+7),"◆",""),IF(AND($D28&lt;CU$5+7,$E28&gt;CU$5),"■","")))</x:f>
      </x:c>
      <x:c r="CV28" s="7" t="str">
        <x:f>IF(OR($D28="",CV$5="",'상세일정'!AM28="제외"),"",IF($D28=$E28,IF(AND($D28&gt;=CV$5,$D28&lt;CV$5+7),"◆",""),IF(AND($D28&lt;CV$5+7,$E28&gt;CV$5),"■","")))</x:f>
      </x:c>
      <x:c r="CW28" s="7" t="str">
        <x:f>IF(OR($D28="",CW$5="",'상세일정'!AM28="제외"),"",IF($D28=$E28,IF(AND($D28&gt;=CW$5,$D28&lt;CW$5+7),"◆",""),IF(AND($D28&lt;CW$5+7,$E28&gt;CW$5),"■","")))</x:f>
      </x:c>
      <x:c r="CX28" s="7" t="str">
        <x:f>IF(OR($D28="",CX$5="",'상세일정'!AM28="제외"),"",IF($D28=$E28,IF(AND($D28&gt;=CX$5,$D28&lt;CX$5+7),"◆",""),IF(AND($D28&lt;CX$5+7,$E28&gt;CX$5),"■","")))</x:f>
      </x:c>
      <x:c r="CY28" s="7" t="str">
        <x:f>IF(OR($D28="",CY$5="",'상세일정'!AM28="제외"),"",IF($D28=$E28,IF(AND($D28&gt;=CY$5,$D28&lt;CY$5+7),"◆",""),IF(AND($D28&lt;CY$5+7,$E28&gt;CY$5),"■","")))</x:f>
      </x:c>
      <x:c r="CZ28" s="7" t="str">
        <x:f>IF(OR($D28="",CZ$5="",'상세일정'!AM28="제외"),"",IF($D28=$E28,IF(AND($D28&gt;=CZ$5,$D28&lt;CZ$5+7),"◆",""),IF(AND($D28&lt;CZ$5+7,$E28&gt;CZ$5),"■","")))</x:f>
      </x:c>
      <x:c r="DA28" s="7" t="str">
        <x:f>IF(OR($D28="",DA$5="",'상세일정'!AM28="제외"),"",IF($D28=$E28,IF(AND($D28&gt;=DA$5,$D28&lt;DA$5+7),"◆",""),IF(AND($D28&lt;DA$5+7,$E28&gt;DA$5),"■","")))</x:f>
      </x:c>
      <x:c r="DB28" s="7" t="str">
        <x:f>IF(OR($D28="",DB$5="",'상세일정'!AM28="제외"),"",IF($D28=$E28,IF(AND($D28&gt;=DB$5,$D28&lt;DB$5+7),"◆",""),IF(AND($D28&lt;DB$5+7,$E28&gt;DB$5),"■","")))</x:f>
      </x:c>
      <x:c r="DC28" s="7" t="str">
        <x:f>IF(OR($D28="",DC$5="",'상세일정'!AM28="제외"),"",IF($D28=$E28,IF(AND($D28&gt;=DC$5,$D28&lt;DC$5+7),"◆",""),IF(AND($D28&lt;DC$5+7,$E28&gt;DC$5),"■","")))</x:f>
      </x:c>
      <x:c r="DD28" s="7" t="str">
        <x:f>IF(OR($D28="",DD$5="",'상세일정'!AM28="제외"),"",IF($D28=$E28,IF(AND($D28&gt;=DD$5,$D28&lt;DD$5+7),"◆",""),IF(AND($D28&lt;DD$5+7,$E28&gt;DD$5),"■","")))</x:f>
      </x:c>
      <x:c r="DE28" s="7" t="str">
        <x:f>IF(OR($D28="",DE$5="",'상세일정'!AM28="제외"),"",IF($D28=$E28,IF(AND($D28&gt;=DE$5,$D28&lt;DE$5+7),"◆",""),IF(AND($D28&lt;DE$5+7,$E28&gt;DE$5),"■","")))</x:f>
      </x:c>
    </x:row>
    <x:row r="29" ht="34" customHeight="1">
      <x:c r="A29" s="7" t="str">
        <x:v>VP05</x:v>
      </x:c>
      <x:c r="B29" s="7" t="str">
        <x:v>05 Vendor Print 관리</x:v>
      </x:c>
      <x:c r="C29" s="7" t="str">
        <x:v>VP 2차 검토·미결사항 종료</x:v>
      </x:c>
      <x:c r="D29" s="10" t="str">
        <x:f>'상세일정'!AJ29</x:f>
      </x:c>
      <x:c r="E29" s="10" t="str">
        <x:f>'상세일정'!AK29</x:f>
      </x:c>
      <x:c r="F29" s="7" t="str">
        <x:f>IF(OR($D29="",F$5="",'상세일정'!AM29="제외"),"",IF($D29=$E29,IF(AND($D29&gt;=F$5,$D29&lt;F$5+7),"◆",""),IF(AND($D29&lt;F$5+7,$E29&gt;F$5),"■","")))</x:f>
      </x:c>
      <x:c r="G29" s="7" t="str">
        <x:f>IF(OR($D29="",G$5="",'상세일정'!AM29="제외"),"",IF($D29=$E29,IF(AND($D29&gt;=G$5,$D29&lt;G$5+7),"◆",""),IF(AND($D29&lt;G$5+7,$E29&gt;G$5),"■","")))</x:f>
      </x:c>
      <x:c r="H29" s="7" t="str">
        <x:f>IF(OR($D29="",H$5="",'상세일정'!AM29="제외"),"",IF($D29=$E29,IF(AND($D29&gt;=H$5,$D29&lt;H$5+7),"◆",""),IF(AND($D29&lt;H$5+7,$E29&gt;H$5),"■","")))</x:f>
      </x:c>
      <x:c r="I29" s="7" t="str">
        <x:f>IF(OR($D29="",I$5="",'상세일정'!AM29="제외"),"",IF($D29=$E29,IF(AND($D29&gt;=I$5,$D29&lt;I$5+7),"◆",""),IF(AND($D29&lt;I$5+7,$E29&gt;I$5),"■","")))</x:f>
      </x:c>
      <x:c r="J29" s="7" t="str">
        <x:f>IF(OR($D29="",J$5="",'상세일정'!AM29="제외"),"",IF($D29=$E29,IF(AND($D29&gt;=J$5,$D29&lt;J$5+7),"◆",""),IF(AND($D29&lt;J$5+7,$E29&gt;J$5),"■","")))</x:f>
      </x:c>
      <x:c r="K29" s="7" t="str">
        <x:f>IF(OR($D29="",K$5="",'상세일정'!AM29="제외"),"",IF($D29=$E29,IF(AND($D29&gt;=K$5,$D29&lt;K$5+7),"◆",""),IF(AND($D29&lt;K$5+7,$E29&gt;K$5),"■","")))</x:f>
      </x:c>
      <x:c r="L29" s="7" t="str">
        <x:f>IF(OR($D29="",L$5="",'상세일정'!AM29="제외"),"",IF($D29=$E29,IF(AND($D29&gt;=L$5,$D29&lt;L$5+7),"◆",""),IF(AND($D29&lt;L$5+7,$E29&gt;L$5),"■","")))</x:f>
      </x:c>
      <x:c r="M29" s="7" t="str">
        <x:f>IF(OR($D29="",M$5="",'상세일정'!AM29="제외"),"",IF($D29=$E29,IF(AND($D29&gt;=M$5,$D29&lt;M$5+7),"◆",""),IF(AND($D29&lt;M$5+7,$E29&gt;M$5),"■","")))</x:f>
      </x:c>
      <x:c r="N29" s="7" t="str">
        <x:f>IF(OR($D29="",N$5="",'상세일정'!AM29="제외"),"",IF($D29=$E29,IF(AND($D29&gt;=N$5,$D29&lt;N$5+7),"◆",""),IF(AND($D29&lt;N$5+7,$E29&gt;N$5),"■","")))</x:f>
      </x:c>
      <x:c r="O29" s="7" t="str">
        <x:f>IF(OR($D29="",O$5="",'상세일정'!AM29="제외"),"",IF($D29=$E29,IF(AND($D29&gt;=O$5,$D29&lt;O$5+7),"◆",""),IF(AND($D29&lt;O$5+7,$E29&gt;O$5),"■","")))</x:f>
      </x:c>
      <x:c r="P29" s="7" t="str">
        <x:f>IF(OR($D29="",P$5="",'상세일정'!AM29="제외"),"",IF($D29=$E29,IF(AND($D29&gt;=P$5,$D29&lt;P$5+7),"◆",""),IF(AND($D29&lt;P$5+7,$E29&gt;P$5),"■","")))</x:f>
      </x:c>
      <x:c r="Q29" s="7" t="str">
        <x:f>IF(OR($D29="",Q$5="",'상세일정'!AM29="제외"),"",IF($D29=$E29,IF(AND($D29&gt;=Q$5,$D29&lt;Q$5+7),"◆",""),IF(AND($D29&lt;Q$5+7,$E29&gt;Q$5),"■","")))</x:f>
      </x:c>
      <x:c r="R29" s="7" t="str">
        <x:f>IF(OR($D29="",R$5="",'상세일정'!AM29="제외"),"",IF($D29=$E29,IF(AND($D29&gt;=R$5,$D29&lt;R$5+7),"◆",""),IF(AND($D29&lt;R$5+7,$E29&gt;R$5),"■","")))</x:f>
      </x:c>
      <x:c r="S29" s="7" t="str">
        <x:f>IF(OR($D29="",S$5="",'상세일정'!AM29="제외"),"",IF($D29=$E29,IF(AND($D29&gt;=S$5,$D29&lt;S$5+7),"◆",""),IF(AND($D29&lt;S$5+7,$E29&gt;S$5),"■","")))</x:f>
      </x:c>
      <x:c r="T29" s="7" t="str">
        <x:f>IF(OR($D29="",T$5="",'상세일정'!AM29="제외"),"",IF($D29=$E29,IF(AND($D29&gt;=T$5,$D29&lt;T$5+7),"◆",""),IF(AND($D29&lt;T$5+7,$E29&gt;T$5),"■","")))</x:f>
      </x:c>
      <x:c r="U29" s="7" t="str">
        <x:f>IF(OR($D29="",U$5="",'상세일정'!AM29="제외"),"",IF($D29=$E29,IF(AND($D29&gt;=U$5,$D29&lt;U$5+7),"◆",""),IF(AND($D29&lt;U$5+7,$E29&gt;U$5),"■","")))</x:f>
      </x:c>
      <x:c r="V29" s="7" t="str">
        <x:f>IF(OR($D29="",V$5="",'상세일정'!AM29="제외"),"",IF($D29=$E29,IF(AND($D29&gt;=V$5,$D29&lt;V$5+7),"◆",""),IF(AND($D29&lt;V$5+7,$E29&gt;V$5),"■","")))</x:f>
      </x:c>
      <x:c r="W29" s="7" t="str">
        <x:f>IF(OR($D29="",W$5="",'상세일정'!AM29="제외"),"",IF($D29=$E29,IF(AND($D29&gt;=W$5,$D29&lt;W$5+7),"◆",""),IF(AND($D29&lt;W$5+7,$E29&gt;W$5),"■","")))</x:f>
      </x:c>
      <x:c r="X29" s="7" t="str">
        <x:f>IF(OR($D29="",X$5="",'상세일정'!AM29="제외"),"",IF($D29=$E29,IF(AND($D29&gt;=X$5,$D29&lt;X$5+7),"◆",""),IF(AND($D29&lt;X$5+7,$E29&gt;X$5),"■","")))</x:f>
      </x:c>
      <x:c r="Y29" s="7" t="str">
        <x:f>IF(OR($D29="",Y$5="",'상세일정'!AM29="제외"),"",IF($D29=$E29,IF(AND($D29&gt;=Y$5,$D29&lt;Y$5+7),"◆",""),IF(AND($D29&lt;Y$5+7,$E29&gt;Y$5),"■","")))</x:f>
      </x:c>
      <x:c r="Z29" s="7" t="str">
        <x:f>IF(OR($D29="",Z$5="",'상세일정'!AM29="제외"),"",IF($D29=$E29,IF(AND($D29&gt;=Z$5,$D29&lt;Z$5+7),"◆",""),IF(AND($D29&lt;Z$5+7,$E29&gt;Z$5),"■","")))</x:f>
      </x:c>
      <x:c r="AA29" s="7" t="str">
        <x:f>IF(OR($D29="",AA$5="",'상세일정'!AM29="제외"),"",IF($D29=$E29,IF(AND($D29&gt;=AA$5,$D29&lt;AA$5+7),"◆",""),IF(AND($D29&lt;AA$5+7,$E29&gt;AA$5),"■","")))</x:f>
      </x:c>
      <x:c r="AB29" s="7" t="str">
        <x:f>IF(OR($D29="",AB$5="",'상세일정'!AM29="제외"),"",IF($D29=$E29,IF(AND($D29&gt;=AB$5,$D29&lt;AB$5+7),"◆",""),IF(AND($D29&lt;AB$5+7,$E29&gt;AB$5),"■","")))</x:f>
      </x:c>
      <x:c r="AC29" s="7" t="str">
        <x:f>IF(OR($D29="",AC$5="",'상세일정'!AM29="제외"),"",IF($D29=$E29,IF(AND($D29&gt;=AC$5,$D29&lt;AC$5+7),"◆",""),IF(AND($D29&lt;AC$5+7,$E29&gt;AC$5),"■","")))</x:f>
      </x:c>
      <x:c r="AD29" s="7" t="str">
        <x:f>IF(OR($D29="",AD$5="",'상세일정'!AM29="제외"),"",IF($D29=$E29,IF(AND($D29&gt;=AD$5,$D29&lt;AD$5+7),"◆",""),IF(AND($D29&lt;AD$5+7,$E29&gt;AD$5),"■","")))</x:f>
      </x:c>
      <x:c r="AE29" s="7" t="str">
        <x:f>IF(OR($D29="",AE$5="",'상세일정'!AM29="제외"),"",IF($D29=$E29,IF(AND($D29&gt;=AE$5,$D29&lt;AE$5+7),"◆",""),IF(AND($D29&lt;AE$5+7,$E29&gt;AE$5),"■","")))</x:f>
      </x:c>
      <x:c r="AF29" s="7" t="str">
        <x:f>IF(OR($D29="",AF$5="",'상세일정'!AM29="제외"),"",IF($D29=$E29,IF(AND($D29&gt;=AF$5,$D29&lt;AF$5+7),"◆",""),IF(AND($D29&lt;AF$5+7,$E29&gt;AF$5),"■","")))</x:f>
      </x:c>
      <x:c r="AG29" s="7" t="str">
        <x:f>IF(OR($D29="",AG$5="",'상세일정'!AM29="제외"),"",IF($D29=$E29,IF(AND($D29&gt;=AG$5,$D29&lt;AG$5+7),"◆",""),IF(AND($D29&lt;AG$5+7,$E29&gt;AG$5),"■","")))</x:f>
      </x:c>
      <x:c r="AH29" s="7" t="str">
        <x:f>IF(OR($D29="",AH$5="",'상세일정'!AM29="제외"),"",IF($D29=$E29,IF(AND($D29&gt;=AH$5,$D29&lt;AH$5+7),"◆",""),IF(AND($D29&lt;AH$5+7,$E29&gt;AH$5),"■","")))</x:f>
      </x:c>
      <x:c r="AI29" s="7" t="str">
        <x:f>IF(OR($D29="",AI$5="",'상세일정'!AM29="제외"),"",IF($D29=$E29,IF(AND($D29&gt;=AI$5,$D29&lt;AI$5+7),"◆",""),IF(AND($D29&lt;AI$5+7,$E29&gt;AI$5),"■","")))</x:f>
      </x:c>
      <x:c r="AJ29" s="7" t="str">
        <x:f>IF(OR($D29="",AJ$5="",'상세일정'!AM29="제외"),"",IF($D29=$E29,IF(AND($D29&gt;=AJ$5,$D29&lt;AJ$5+7),"◆",""),IF(AND($D29&lt;AJ$5+7,$E29&gt;AJ$5),"■","")))</x:f>
      </x:c>
      <x:c r="AK29" s="7" t="str">
        <x:f>IF(OR($D29="",AK$5="",'상세일정'!AM29="제외"),"",IF($D29=$E29,IF(AND($D29&gt;=AK$5,$D29&lt;AK$5+7),"◆",""),IF(AND($D29&lt;AK$5+7,$E29&gt;AK$5),"■","")))</x:f>
      </x:c>
      <x:c r="AL29" s="7" t="str">
        <x:f>IF(OR($D29="",AL$5="",'상세일정'!AM29="제외"),"",IF($D29=$E29,IF(AND($D29&gt;=AL$5,$D29&lt;AL$5+7),"◆",""),IF(AND($D29&lt;AL$5+7,$E29&gt;AL$5),"■","")))</x:f>
      </x:c>
      <x:c r="AM29" s="7" t="str">
        <x:f>IF(OR($D29="",AM$5="",'상세일정'!AM29="제외"),"",IF($D29=$E29,IF(AND($D29&gt;=AM$5,$D29&lt;AM$5+7),"◆",""),IF(AND($D29&lt;AM$5+7,$E29&gt;AM$5),"■","")))</x:f>
      </x:c>
      <x:c r="AN29" s="7" t="str">
        <x:f>IF(OR($D29="",AN$5="",'상세일정'!AM29="제외"),"",IF($D29=$E29,IF(AND($D29&gt;=AN$5,$D29&lt;AN$5+7),"◆",""),IF(AND($D29&lt;AN$5+7,$E29&gt;AN$5),"■","")))</x:f>
      </x:c>
      <x:c r="AO29" s="7" t="str">
        <x:f>IF(OR($D29="",AO$5="",'상세일정'!AM29="제외"),"",IF($D29=$E29,IF(AND($D29&gt;=AO$5,$D29&lt;AO$5+7),"◆",""),IF(AND($D29&lt;AO$5+7,$E29&gt;AO$5),"■","")))</x:f>
      </x:c>
      <x:c r="AP29" s="7" t="str">
        <x:f>IF(OR($D29="",AP$5="",'상세일정'!AM29="제외"),"",IF($D29=$E29,IF(AND($D29&gt;=AP$5,$D29&lt;AP$5+7),"◆",""),IF(AND($D29&lt;AP$5+7,$E29&gt;AP$5),"■","")))</x:f>
      </x:c>
      <x:c r="AQ29" s="7" t="str">
        <x:f>IF(OR($D29="",AQ$5="",'상세일정'!AM29="제외"),"",IF($D29=$E29,IF(AND($D29&gt;=AQ$5,$D29&lt;AQ$5+7),"◆",""),IF(AND($D29&lt;AQ$5+7,$E29&gt;AQ$5),"■","")))</x:f>
      </x:c>
      <x:c r="AR29" s="7" t="str">
        <x:f>IF(OR($D29="",AR$5="",'상세일정'!AM29="제외"),"",IF($D29=$E29,IF(AND($D29&gt;=AR$5,$D29&lt;AR$5+7),"◆",""),IF(AND($D29&lt;AR$5+7,$E29&gt;AR$5),"■","")))</x:f>
      </x:c>
      <x:c r="AS29" s="7" t="str">
        <x:f>IF(OR($D29="",AS$5="",'상세일정'!AM29="제외"),"",IF($D29=$E29,IF(AND($D29&gt;=AS$5,$D29&lt;AS$5+7),"◆",""),IF(AND($D29&lt;AS$5+7,$E29&gt;AS$5),"■","")))</x:f>
      </x:c>
      <x:c r="AT29" s="7" t="str">
        <x:f>IF(OR($D29="",AT$5="",'상세일정'!AM29="제외"),"",IF($D29=$E29,IF(AND($D29&gt;=AT$5,$D29&lt;AT$5+7),"◆",""),IF(AND($D29&lt;AT$5+7,$E29&gt;AT$5),"■","")))</x:f>
      </x:c>
      <x:c r="AU29" s="7" t="str">
        <x:f>IF(OR($D29="",AU$5="",'상세일정'!AM29="제외"),"",IF($D29=$E29,IF(AND($D29&gt;=AU$5,$D29&lt;AU$5+7),"◆",""),IF(AND($D29&lt;AU$5+7,$E29&gt;AU$5),"■","")))</x:f>
      </x:c>
      <x:c r="AV29" s="7" t="str">
        <x:f>IF(OR($D29="",AV$5="",'상세일정'!AM29="제외"),"",IF($D29=$E29,IF(AND($D29&gt;=AV$5,$D29&lt;AV$5+7),"◆",""),IF(AND($D29&lt;AV$5+7,$E29&gt;AV$5),"■","")))</x:f>
      </x:c>
      <x:c r="AW29" s="7" t="str">
        <x:f>IF(OR($D29="",AW$5="",'상세일정'!AM29="제외"),"",IF($D29=$E29,IF(AND($D29&gt;=AW$5,$D29&lt;AW$5+7),"◆",""),IF(AND($D29&lt;AW$5+7,$E29&gt;AW$5),"■","")))</x:f>
      </x:c>
      <x:c r="AX29" s="7" t="str">
        <x:f>IF(OR($D29="",AX$5="",'상세일정'!AM29="제외"),"",IF($D29=$E29,IF(AND($D29&gt;=AX$5,$D29&lt;AX$5+7),"◆",""),IF(AND($D29&lt;AX$5+7,$E29&gt;AX$5),"■","")))</x:f>
      </x:c>
      <x:c r="AY29" s="7" t="str">
        <x:f>IF(OR($D29="",AY$5="",'상세일정'!AM29="제외"),"",IF($D29=$E29,IF(AND($D29&gt;=AY$5,$D29&lt;AY$5+7),"◆",""),IF(AND($D29&lt;AY$5+7,$E29&gt;AY$5),"■","")))</x:f>
      </x:c>
      <x:c r="AZ29" s="7" t="str">
        <x:f>IF(OR($D29="",AZ$5="",'상세일정'!AM29="제외"),"",IF($D29=$E29,IF(AND($D29&gt;=AZ$5,$D29&lt;AZ$5+7),"◆",""),IF(AND($D29&lt;AZ$5+7,$E29&gt;AZ$5),"■","")))</x:f>
      </x:c>
      <x:c r="BA29" s="7" t="str">
        <x:f>IF(OR($D29="",BA$5="",'상세일정'!AM29="제외"),"",IF($D29=$E29,IF(AND($D29&gt;=BA$5,$D29&lt;BA$5+7),"◆",""),IF(AND($D29&lt;BA$5+7,$E29&gt;BA$5),"■","")))</x:f>
      </x:c>
      <x:c r="BB29" s="7" t="str">
        <x:f>IF(OR($D29="",BB$5="",'상세일정'!AM29="제외"),"",IF($D29=$E29,IF(AND($D29&gt;=BB$5,$D29&lt;BB$5+7),"◆",""),IF(AND($D29&lt;BB$5+7,$E29&gt;BB$5),"■","")))</x:f>
      </x:c>
      <x:c r="BC29" s="7" t="str">
        <x:f>IF(OR($D29="",BC$5="",'상세일정'!AM29="제외"),"",IF($D29=$E29,IF(AND($D29&gt;=BC$5,$D29&lt;BC$5+7),"◆",""),IF(AND($D29&lt;BC$5+7,$E29&gt;BC$5),"■","")))</x:f>
      </x:c>
      <x:c r="BD29" s="7" t="str">
        <x:f>IF(OR($D29="",BD$5="",'상세일정'!AM29="제외"),"",IF($D29=$E29,IF(AND($D29&gt;=BD$5,$D29&lt;BD$5+7),"◆",""),IF(AND($D29&lt;BD$5+7,$E29&gt;BD$5),"■","")))</x:f>
      </x:c>
      <x:c r="BE29" s="7" t="str">
        <x:f>IF(OR($D29="",BE$5="",'상세일정'!AM29="제외"),"",IF($D29=$E29,IF(AND($D29&gt;=BE$5,$D29&lt;BE$5+7),"◆",""),IF(AND($D29&lt;BE$5+7,$E29&gt;BE$5),"■","")))</x:f>
      </x:c>
      <x:c r="BF29" s="7" t="str">
        <x:f>IF(OR($D29="",BF$5="",'상세일정'!AM29="제외"),"",IF($D29=$E29,IF(AND($D29&gt;=BF$5,$D29&lt;BF$5+7),"◆",""),IF(AND($D29&lt;BF$5+7,$E29&gt;BF$5),"■","")))</x:f>
      </x:c>
      <x:c r="BG29" s="7" t="str">
        <x:f>IF(OR($D29="",BG$5="",'상세일정'!AM29="제외"),"",IF($D29=$E29,IF(AND($D29&gt;=BG$5,$D29&lt;BG$5+7),"◆",""),IF(AND($D29&lt;BG$5+7,$E29&gt;BG$5),"■","")))</x:f>
      </x:c>
      <x:c r="BH29" s="7" t="str">
        <x:f>IF(OR($D29="",BH$5="",'상세일정'!AM29="제외"),"",IF($D29=$E29,IF(AND($D29&gt;=BH$5,$D29&lt;BH$5+7),"◆",""),IF(AND($D29&lt;BH$5+7,$E29&gt;BH$5),"■","")))</x:f>
      </x:c>
      <x:c r="BI29" s="7" t="str">
        <x:f>IF(OR($D29="",BI$5="",'상세일정'!AM29="제외"),"",IF($D29=$E29,IF(AND($D29&gt;=BI$5,$D29&lt;BI$5+7),"◆",""),IF(AND($D29&lt;BI$5+7,$E29&gt;BI$5),"■","")))</x:f>
      </x:c>
      <x:c r="BJ29" s="7" t="str">
        <x:f>IF(OR($D29="",BJ$5="",'상세일정'!AM29="제외"),"",IF($D29=$E29,IF(AND($D29&gt;=BJ$5,$D29&lt;BJ$5+7),"◆",""),IF(AND($D29&lt;BJ$5+7,$E29&gt;BJ$5),"■","")))</x:f>
      </x:c>
      <x:c r="BK29" s="7" t="str">
        <x:f>IF(OR($D29="",BK$5="",'상세일정'!AM29="제외"),"",IF($D29=$E29,IF(AND($D29&gt;=BK$5,$D29&lt;BK$5+7),"◆",""),IF(AND($D29&lt;BK$5+7,$E29&gt;BK$5),"■","")))</x:f>
      </x:c>
      <x:c r="BL29" s="7" t="str">
        <x:f>IF(OR($D29="",BL$5="",'상세일정'!AM29="제외"),"",IF($D29=$E29,IF(AND($D29&gt;=BL$5,$D29&lt;BL$5+7),"◆",""),IF(AND($D29&lt;BL$5+7,$E29&gt;BL$5),"■","")))</x:f>
      </x:c>
      <x:c r="BM29" s="7" t="str">
        <x:f>IF(OR($D29="",BM$5="",'상세일정'!AM29="제외"),"",IF($D29=$E29,IF(AND($D29&gt;=BM$5,$D29&lt;BM$5+7),"◆",""),IF(AND($D29&lt;BM$5+7,$E29&gt;BM$5),"■","")))</x:f>
      </x:c>
      <x:c r="BN29" s="7" t="str">
        <x:f>IF(OR($D29="",BN$5="",'상세일정'!AM29="제외"),"",IF($D29=$E29,IF(AND($D29&gt;=BN$5,$D29&lt;BN$5+7),"◆",""),IF(AND($D29&lt;BN$5+7,$E29&gt;BN$5),"■","")))</x:f>
      </x:c>
      <x:c r="BO29" s="7" t="str">
        <x:f>IF(OR($D29="",BO$5="",'상세일정'!AM29="제외"),"",IF($D29=$E29,IF(AND($D29&gt;=BO$5,$D29&lt;BO$5+7),"◆",""),IF(AND($D29&lt;BO$5+7,$E29&gt;BO$5),"■","")))</x:f>
      </x:c>
      <x:c r="BP29" s="7" t="str">
        <x:f>IF(OR($D29="",BP$5="",'상세일정'!AM29="제외"),"",IF($D29=$E29,IF(AND($D29&gt;=BP$5,$D29&lt;BP$5+7),"◆",""),IF(AND($D29&lt;BP$5+7,$E29&gt;BP$5),"■","")))</x:f>
      </x:c>
      <x:c r="BQ29" s="7" t="str">
        <x:f>IF(OR($D29="",BQ$5="",'상세일정'!AM29="제외"),"",IF($D29=$E29,IF(AND($D29&gt;=BQ$5,$D29&lt;BQ$5+7),"◆",""),IF(AND($D29&lt;BQ$5+7,$E29&gt;BQ$5),"■","")))</x:f>
      </x:c>
      <x:c r="BR29" s="7" t="str">
        <x:f>IF(OR($D29="",BR$5="",'상세일정'!AM29="제외"),"",IF($D29=$E29,IF(AND($D29&gt;=BR$5,$D29&lt;BR$5+7),"◆",""),IF(AND($D29&lt;BR$5+7,$E29&gt;BR$5),"■","")))</x:f>
      </x:c>
      <x:c r="BS29" s="7" t="str">
        <x:f>IF(OR($D29="",BS$5="",'상세일정'!AM29="제외"),"",IF($D29=$E29,IF(AND($D29&gt;=BS$5,$D29&lt;BS$5+7),"◆",""),IF(AND($D29&lt;BS$5+7,$E29&gt;BS$5),"■","")))</x:f>
      </x:c>
      <x:c r="BT29" s="7" t="str">
        <x:f>IF(OR($D29="",BT$5="",'상세일정'!AM29="제외"),"",IF($D29=$E29,IF(AND($D29&gt;=BT$5,$D29&lt;BT$5+7),"◆",""),IF(AND($D29&lt;BT$5+7,$E29&gt;BT$5),"■","")))</x:f>
      </x:c>
      <x:c r="BU29" s="7" t="str">
        <x:f>IF(OR($D29="",BU$5="",'상세일정'!AM29="제외"),"",IF($D29=$E29,IF(AND($D29&gt;=BU$5,$D29&lt;BU$5+7),"◆",""),IF(AND($D29&lt;BU$5+7,$E29&gt;BU$5),"■","")))</x:f>
      </x:c>
      <x:c r="BV29" s="7" t="str">
        <x:f>IF(OR($D29="",BV$5="",'상세일정'!AM29="제외"),"",IF($D29=$E29,IF(AND($D29&gt;=BV$5,$D29&lt;BV$5+7),"◆",""),IF(AND($D29&lt;BV$5+7,$E29&gt;BV$5),"■","")))</x:f>
      </x:c>
      <x:c r="BW29" s="7" t="str">
        <x:f>IF(OR($D29="",BW$5="",'상세일정'!AM29="제외"),"",IF($D29=$E29,IF(AND($D29&gt;=BW$5,$D29&lt;BW$5+7),"◆",""),IF(AND($D29&lt;BW$5+7,$E29&gt;BW$5),"■","")))</x:f>
      </x:c>
      <x:c r="BX29" s="7" t="str">
        <x:f>IF(OR($D29="",BX$5="",'상세일정'!AM29="제외"),"",IF($D29=$E29,IF(AND($D29&gt;=BX$5,$D29&lt;BX$5+7),"◆",""),IF(AND($D29&lt;BX$5+7,$E29&gt;BX$5),"■","")))</x:f>
      </x:c>
      <x:c r="BY29" s="7" t="str">
        <x:f>IF(OR($D29="",BY$5="",'상세일정'!AM29="제외"),"",IF($D29=$E29,IF(AND($D29&gt;=BY$5,$D29&lt;BY$5+7),"◆",""),IF(AND($D29&lt;BY$5+7,$E29&gt;BY$5),"■","")))</x:f>
      </x:c>
      <x:c r="BZ29" s="7" t="str">
        <x:f>IF(OR($D29="",BZ$5="",'상세일정'!AM29="제외"),"",IF($D29=$E29,IF(AND($D29&gt;=BZ$5,$D29&lt;BZ$5+7),"◆",""),IF(AND($D29&lt;BZ$5+7,$E29&gt;BZ$5),"■","")))</x:f>
      </x:c>
      <x:c r="CA29" s="7" t="str">
        <x:f>IF(OR($D29="",CA$5="",'상세일정'!AM29="제외"),"",IF($D29=$E29,IF(AND($D29&gt;=CA$5,$D29&lt;CA$5+7),"◆",""),IF(AND($D29&lt;CA$5+7,$E29&gt;CA$5),"■","")))</x:f>
      </x:c>
      <x:c r="CB29" s="7" t="str">
        <x:f>IF(OR($D29="",CB$5="",'상세일정'!AM29="제외"),"",IF($D29=$E29,IF(AND($D29&gt;=CB$5,$D29&lt;CB$5+7),"◆",""),IF(AND($D29&lt;CB$5+7,$E29&gt;CB$5),"■","")))</x:f>
      </x:c>
      <x:c r="CC29" s="7" t="str">
        <x:f>IF(OR($D29="",CC$5="",'상세일정'!AM29="제외"),"",IF($D29=$E29,IF(AND($D29&gt;=CC$5,$D29&lt;CC$5+7),"◆",""),IF(AND($D29&lt;CC$5+7,$E29&gt;CC$5),"■","")))</x:f>
      </x:c>
      <x:c r="CD29" s="7" t="str">
        <x:f>IF(OR($D29="",CD$5="",'상세일정'!AM29="제외"),"",IF($D29=$E29,IF(AND($D29&gt;=CD$5,$D29&lt;CD$5+7),"◆",""),IF(AND($D29&lt;CD$5+7,$E29&gt;CD$5),"■","")))</x:f>
      </x:c>
      <x:c r="CE29" s="7" t="str">
        <x:f>IF(OR($D29="",CE$5="",'상세일정'!AM29="제외"),"",IF($D29=$E29,IF(AND($D29&gt;=CE$5,$D29&lt;CE$5+7),"◆",""),IF(AND($D29&lt;CE$5+7,$E29&gt;CE$5),"■","")))</x:f>
      </x:c>
      <x:c r="CF29" s="7" t="str">
        <x:f>IF(OR($D29="",CF$5="",'상세일정'!AM29="제외"),"",IF($D29=$E29,IF(AND($D29&gt;=CF$5,$D29&lt;CF$5+7),"◆",""),IF(AND($D29&lt;CF$5+7,$E29&gt;CF$5),"■","")))</x:f>
      </x:c>
      <x:c r="CG29" s="7" t="str">
        <x:f>IF(OR($D29="",CG$5="",'상세일정'!AM29="제외"),"",IF($D29=$E29,IF(AND($D29&gt;=CG$5,$D29&lt;CG$5+7),"◆",""),IF(AND($D29&lt;CG$5+7,$E29&gt;CG$5),"■","")))</x:f>
      </x:c>
      <x:c r="CH29" s="7" t="str">
        <x:f>IF(OR($D29="",CH$5="",'상세일정'!AM29="제외"),"",IF($D29=$E29,IF(AND($D29&gt;=CH$5,$D29&lt;CH$5+7),"◆",""),IF(AND($D29&lt;CH$5+7,$E29&gt;CH$5),"■","")))</x:f>
      </x:c>
      <x:c r="CI29" s="7" t="str">
        <x:f>IF(OR($D29="",CI$5="",'상세일정'!AM29="제외"),"",IF($D29=$E29,IF(AND($D29&gt;=CI$5,$D29&lt;CI$5+7),"◆",""),IF(AND($D29&lt;CI$5+7,$E29&gt;CI$5),"■","")))</x:f>
      </x:c>
      <x:c r="CJ29" s="7" t="str">
        <x:f>IF(OR($D29="",CJ$5="",'상세일정'!AM29="제외"),"",IF($D29=$E29,IF(AND($D29&gt;=CJ$5,$D29&lt;CJ$5+7),"◆",""),IF(AND($D29&lt;CJ$5+7,$E29&gt;CJ$5),"■","")))</x:f>
      </x:c>
      <x:c r="CK29" s="7" t="str">
        <x:f>IF(OR($D29="",CK$5="",'상세일정'!AM29="제외"),"",IF($D29=$E29,IF(AND($D29&gt;=CK$5,$D29&lt;CK$5+7),"◆",""),IF(AND($D29&lt;CK$5+7,$E29&gt;CK$5),"■","")))</x:f>
      </x:c>
      <x:c r="CL29" s="7" t="str">
        <x:f>IF(OR($D29="",CL$5="",'상세일정'!AM29="제외"),"",IF($D29=$E29,IF(AND($D29&gt;=CL$5,$D29&lt;CL$5+7),"◆",""),IF(AND($D29&lt;CL$5+7,$E29&gt;CL$5),"■","")))</x:f>
      </x:c>
      <x:c r="CM29" s="7" t="str">
        <x:f>IF(OR($D29="",CM$5="",'상세일정'!AM29="제외"),"",IF($D29=$E29,IF(AND($D29&gt;=CM$5,$D29&lt;CM$5+7),"◆",""),IF(AND($D29&lt;CM$5+7,$E29&gt;CM$5),"■","")))</x:f>
      </x:c>
      <x:c r="CN29" s="7" t="str">
        <x:f>IF(OR($D29="",CN$5="",'상세일정'!AM29="제외"),"",IF($D29=$E29,IF(AND($D29&gt;=CN$5,$D29&lt;CN$5+7),"◆",""),IF(AND($D29&lt;CN$5+7,$E29&gt;CN$5),"■","")))</x:f>
      </x:c>
      <x:c r="CO29" s="7" t="str">
        <x:f>IF(OR($D29="",CO$5="",'상세일정'!AM29="제외"),"",IF($D29=$E29,IF(AND($D29&gt;=CO$5,$D29&lt;CO$5+7),"◆",""),IF(AND($D29&lt;CO$5+7,$E29&gt;CO$5),"■","")))</x:f>
      </x:c>
      <x:c r="CP29" s="7" t="str">
        <x:f>IF(OR($D29="",CP$5="",'상세일정'!AM29="제외"),"",IF($D29=$E29,IF(AND($D29&gt;=CP$5,$D29&lt;CP$5+7),"◆",""),IF(AND($D29&lt;CP$5+7,$E29&gt;CP$5),"■","")))</x:f>
      </x:c>
      <x:c r="CQ29" s="7" t="str">
        <x:f>IF(OR($D29="",CQ$5="",'상세일정'!AM29="제외"),"",IF($D29=$E29,IF(AND($D29&gt;=CQ$5,$D29&lt;CQ$5+7),"◆",""),IF(AND($D29&lt;CQ$5+7,$E29&gt;CQ$5),"■","")))</x:f>
      </x:c>
      <x:c r="CR29" s="7" t="str">
        <x:f>IF(OR($D29="",CR$5="",'상세일정'!AM29="제외"),"",IF($D29=$E29,IF(AND($D29&gt;=CR$5,$D29&lt;CR$5+7),"◆",""),IF(AND($D29&lt;CR$5+7,$E29&gt;CR$5),"■","")))</x:f>
      </x:c>
      <x:c r="CS29" s="7" t="str">
        <x:f>IF(OR($D29="",CS$5="",'상세일정'!AM29="제외"),"",IF($D29=$E29,IF(AND($D29&gt;=CS$5,$D29&lt;CS$5+7),"◆",""),IF(AND($D29&lt;CS$5+7,$E29&gt;CS$5),"■","")))</x:f>
      </x:c>
      <x:c r="CT29" s="7" t="str">
        <x:f>IF(OR($D29="",CT$5="",'상세일정'!AM29="제외"),"",IF($D29=$E29,IF(AND($D29&gt;=CT$5,$D29&lt;CT$5+7),"◆",""),IF(AND($D29&lt;CT$5+7,$E29&gt;CT$5),"■","")))</x:f>
      </x:c>
      <x:c r="CU29" s="7" t="str">
        <x:f>IF(OR($D29="",CU$5="",'상세일정'!AM29="제외"),"",IF($D29=$E29,IF(AND($D29&gt;=CU$5,$D29&lt;CU$5+7),"◆",""),IF(AND($D29&lt;CU$5+7,$E29&gt;CU$5),"■","")))</x:f>
      </x:c>
      <x:c r="CV29" s="7" t="str">
        <x:f>IF(OR($D29="",CV$5="",'상세일정'!AM29="제외"),"",IF($D29=$E29,IF(AND($D29&gt;=CV$5,$D29&lt;CV$5+7),"◆",""),IF(AND($D29&lt;CV$5+7,$E29&gt;CV$5),"■","")))</x:f>
      </x:c>
      <x:c r="CW29" s="7" t="str">
        <x:f>IF(OR($D29="",CW$5="",'상세일정'!AM29="제외"),"",IF($D29=$E29,IF(AND($D29&gt;=CW$5,$D29&lt;CW$5+7),"◆",""),IF(AND($D29&lt;CW$5+7,$E29&gt;CW$5),"■","")))</x:f>
      </x:c>
      <x:c r="CX29" s="7" t="str">
        <x:f>IF(OR($D29="",CX$5="",'상세일정'!AM29="제외"),"",IF($D29=$E29,IF(AND($D29&gt;=CX$5,$D29&lt;CX$5+7),"◆",""),IF(AND($D29&lt;CX$5+7,$E29&gt;CX$5),"■","")))</x:f>
      </x:c>
      <x:c r="CY29" s="7" t="str">
        <x:f>IF(OR($D29="",CY$5="",'상세일정'!AM29="제외"),"",IF($D29=$E29,IF(AND($D29&gt;=CY$5,$D29&lt;CY$5+7),"◆",""),IF(AND($D29&lt;CY$5+7,$E29&gt;CY$5),"■","")))</x:f>
      </x:c>
      <x:c r="CZ29" s="7" t="str">
        <x:f>IF(OR($D29="",CZ$5="",'상세일정'!AM29="제외"),"",IF($D29=$E29,IF(AND($D29&gt;=CZ$5,$D29&lt;CZ$5+7),"◆",""),IF(AND($D29&lt;CZ$5+7,$E29&gt;CZ$5),"■","")))</x:f>
      </x:c>
      <x:c r="DA29" s="7" t="str">
        <x:f>IF(OR($D29="",DA$5="",'상세일정'!AM29="제외"),"",IF($D29=$E29,IF(AND($D29&gt;=DA$5,$D29&lt;DA$5+7),"◆",""),IF(AND($D29&lt;DA$5+7,$E29&gt;DA$5),"■","")))</x:f>
      </x:c>
      <x:c r="DB29" s="7" t="str">
        <x:f>IF(OR($D29="",DB$5="",'상세일정'!AM29="제외"),"",IF($D29=$E29,IF(AND($D29&gt;=DB$5,$D29&lt;DB$5+7),"◆",""),IF(AND($D29&lt;DB$5+7,$E29&gt;DB$5),"■","")))</x:f>
      </x:c>
      <x:c r="DC29" s="7" t="str">
        <x:f>IF(OR($D29="",DC$5="",'상세일정'!AM29="제외"),"",IF($D29=$E29,IF(AND($D29&gt;=DC$5,$D29&lt;DC$5+7),"◆",""),IF(AND($D29&lt;DC$5+7,$E29&gt;DC$5),"■","")))</x:f>
      </x:c>
      <x:c r="DD29" s="7" t="str">
        <x:f>IF(OR($D29="",DD$5="",'상세일정'!AM29="제외"),"",IF($D29=$E29,IF(AND($D29&gt;=DD$5,$D29&lt;DD$5+7),"◆",""),IF(AND($D29&lt;DD$5+7,$E29&gt;DD$5),"■","")))</x:f>
      </x:c>
      <x:c r="DE29" s="7" t="str">
        <x:f>IF(OR($D29="",DE$5="",'상세일정'!AM29="제외"),"",IF($D29=$E29,IF(AND($D29&gt;=DE$5,$D29&lt;DE$5+7),"◆",""),IF(AND($D29&lt;DE$5+7,$E29&gt;DE$5),"■","")))</x:f>
      </x:c>
    </x:row>
    <x:row r="30" ht="34" customHeight="1">
      <x:c r="A30" s="7" t="str">
        <x:v>VP06</x:v>
      </x:c>
      <x:c r="B30" s="7" t="str">
        <x:v>05 Vendor Print 관리</x:v>
      </x:c>
      <x:c r="C30" s="7" t="str">
        <x:v>설계 반영용 VP 승인·배포</x:v>
      </x:c>
      <x:c r="D30" s="10" t="str">
        <x:f>'상세일정'!AJ30</x:f>
      </x:c>
      <x:c r="E30" s="10" t="str">
        <x:f>'상세일정'!AK30</x:f>
      </x:c>
      <x:c r="F30" s="7" t="str">
        <x:f>IF(OR($D30="",F$5="",'상세일정'!AM30="제외"),"",IF($D30=$E30,IF(AND($D30&gt;=F$5,$D30&lt;F$5+7),"◆",""),IF(AND($D30&lt;F$5+7,$E30&gt;F$5),"■","")))</x:f>
      </x:c>
      <x:c r="G30" s="7" t="str">
        <x:f>IF(OR($D30="",G$5="",'상세일정'!AM30="제외"),"",IF($D30=$E30,IF(AND($D30&gt;=G$5,$D30&lt;G$5+7),"◆",""),IF(AND($D30&lt;G$5+7,$E30&gt;G$5),"■","")))</x:f>
      </x:c>
      <x:c r="H30" s="7" t="str">
        <x:f>IF(OR($D30="",H$5="",'상세일정'!AM30="제외"),"",IF($D30=$E30,IF(AND($D30&gt;=H$5,$D30&lt;H$5+7),"◆",""),IF(AND($D30&lt;H$5+7,$E30&gt;H$5),"■","")))</x:f>
      </x:c>
      <x:c r="I30" s="7" t="str">
        <x:f>IF(OR($D30="",I$5="",'상세일정'!AM30="제외"),"",IF($D30=$E30,IF(AND($D30&gt;=I$5,$D30&lt;I$5+7),"◆",""),IF(AND($D30&lt;I$5+7,$E30&gt;I$5),"■","")))</x:f>
      </x:c>
      <x:c r="J30" s="7" t="str">
        <x:f>IF(OR($D30="",J$5="",'상세일정'!AM30="제외"),"",IF($D30=$E30,IF(AND($D30&gt;=J$5,$D30&lt;J$5+7),"◆",""),IF(AND($D30&lt;J$5+7,$E30&gt;J$5),"■","")))</x:f>
      </x:c>
      <x:c r="K30" s="7" t="str">
        <x:f>IF(OR($D30="",K$5="",'상세일정'!AM30="제외"),"",IF($D30=$E30,IF(AND($D30&gt;=K$5,$D30&lt;K$5+7),"◆",""),IF(AND($D30&lt;K$5+7,$E30&gt;K$5),"■","")))</x:f>
      </x:c>
      <x:c r="L30" s="7" t="str">
        <x:f>IF(OR($D30="",L$5="",'상세일정'!AM30="제외"),"",IF($D30=$E30,IF(AND($D30&gt;=L$5,$D30&lt;L$5+7),"◆",""),IF(AND($D30&lt;L$5+7,$E30&gt;L$5),"■","")))</x:f>
      </x:c>
      <x:c r="M30" s="7" t="str">
        <x:f>IF(OR($D30="",M$5="",'상세일정'!AM30="제외"),"",IF($D30=$E30,IF(AND($D30&gt;=M$5,$D30&lt;M$5+7),"◆",""),IF(AND($D30&lt;M$5+7,$E30&gt;M$5),"■","")))</x:f>
      </x:c>
      <x:c r="N30" s="7" t="str">
        <x:f>IF(OR($D30="",N$5="",'상세일정'!AM30="제외"),"",IF($D30=$E30,IF(AND($D30&gt;=N$5,$D30&lt;N$5+7),"◆",""),IF(AND($D30&lt;N$5+7,$E30&gt;N$5),"■","")))</x:f>
      </x:c>
      <x:c r="O30" s="7" t="str">
        <x:f>IF(OR($D30="",O$5="",'상세일정'!AM30="제외"),"",IF($D30=$E30,IF(AND($D30&gt;=O$5,$D30&lt;O$5+7),"◆",""),IF(AND($D30&lt;O$5+7,$E30&gt;O$5),"■","")))</x:f>
      </x:c>
      <x:c r="P30" s="7" t="str">
        <x:f>IF(OR($D30="",P$5="",'상세일정'!AM30="제외"),"",IF($D30=$E30,IF(AND($D30&gt;=P$5,$D30&lt;P$5+7),"◆",""),IF(AND($D30&lt;P$5+7,$E30&gt;P$5),"■","")))</x:f>
      </x:c>
      <x:c r="Q30" s="7" t="str">
        <x:f>IF(OR($D30="",Q$5="",'상세일정'!AM30="제외"),"",IF($D30=$E30,IF(AND($D30&gt;=Q$5,$D30&lt;Q$5+7),"◆",""),IF(AND($D30&lt;Q$5+7,$E30&gt;Q$5),"■","")))</x:f>
      </x:c>
      <x:c r="R30" s="7" t="str">
        <x:f>IF(OR($D30="",R$5="",'상세일정'!AM30="제외"),"",IF($D30=$E30,IF(AND($D30&gt;=R$5,$D30&lt;R$5+7),"◆",""),IF(AND($D30&lt;R$5+7,$E30&gt;R$5),"■","")))</x:f>
      </x:c>
      <x:c r="S30" s="7" t="str">
        <x:f>IF(OR($D30="",S$5="",'상세일정'!AM30="제외"),"",IF($D30=$E30,IF(AND($D30&gt;=S$5,$D30&lt;S$5+7),"◆",""),IF(AND($D30&lt;S$5+7,$E30&gt;S$5),"■","")))</x:f>
      </x:c>
      <x:c r="T30" s="7" t="str">
        <x:f>IF(OR($D30="",T$5="",'상세일정'!AM30="제외"),"",IF($D30=$E30,IF(AND($D30&gt;=T$5,$D30&lt;T$5+7),"◆",""),IF(AND($D30&lt;T$5+7,$E30&gt;T$5),"■","")))</x:f>
      </x:c>
      <x:c r="U30" s="7" t="str">
        <x:f>IF(OR($D30="",U$5="",'상세일정'!AM30="제외"),"",IF($D30=$E30,IF(AND($D30&gt;=U$5,$D30&lt;U$5+7),"◆",""),IF(AND($D30&lt;U$5+7,$E30&gt;U$5),"■","")))</x:f>
      </x:c>
      <x:c r="V30" s="7" t="str">
        <x:f>IF(OR($D30="",V$5="",'상세일정'!AM30="제외"),"",IF($D30=$E30,IF(AND($D30&gt;=V$5,$D30&lt;V$5+7),"◆",""),IF(AND($D30&lt;V$5+7,$E30&gt;V$5),"■","")))</x:f>
      </x:c>
      <x:c r="W30" s="7" t="str">
        <x:f>IF(OR($D30="",W$5="",'상세일정'!AM30="제외"),"",IF($D30=$E30,IF(AND($D30&gt;=W$5,$D30&lt;W$5+7),"◆",""),IF(AND($D30&lt;W$5+7,$E30&gt;W$5),"■","")))</x:f>
      </x:c>
      <x:c r="X30" s="7" t="str">
        <x:f>IF(OR($D30="",X$5="",'상세일정'!AM30="제외"),"",IF($D30=$E30,IF(AND($D30&gt;=X$5,$D30&lt;X$5+7),"◆",""),IF(AND($D30&lt;X$5+7,$E30&gt;X$5),"■","")))</x:f>
      </x:c>
      <x:c r="Y30" s="7" t="str">
        <x:f>IF(OR($D30="",Y$5="",'상세일정'!AM30="제외"),"",IF($D30=$E30,IF(AND($D30&gt;=Y$5,$D30&lt;Y$5+7),"◆",""),IF(AND($D30&lt;Y$5+7,$E30&gt;Y$5),"■","")))</x:f>
      </x:c>
      <x:c r="Z30" s="7" t="str">
        <x:f>IF(OR($D30="",Z$5="",'상세일정'!AM30="제외"),"",IF($D30=$E30,IF(AND($D30&gt;=Z$5,$D30&lt;Z$5+7),"◆",""),IF(AND($D30&lt;Z$5+7,$E30&gt;Z$5),"■","")))</x:f>
      </x:c>
      <x:c r="AA30" s="7" t="str">
        <x:f>IF(OR($D30="",AA$5="",'상세일정'!AM30="제외"),"",IF($D30=$E30,IF(AND($D30&gt;=AA$5,$D30&lt;AA$5+7),"◆",""),IF(AND($D30&lt;AA$5+7,$E30&gt;AA$5),"■","")))</x:f>
      </x:c>
      <x:c r="AB30" s="7" t="str">
        <x:f>IF(OR($D30="",AB$5="",'상세일정'!AM30="제외"),"",IF($D30=$E30,IF(AND($D30&gt;=AB$5,$D30&lt;AB$5+7),"◆",""),IF(AND($D30&lt;AB$5+7,$E30&gt;AB$5),"■","")))</x:f>
      </x:c>
      <x:c r="AC30" s="7" t="str">
        <x:f>IF(OR($D30="",AC$5="",'상세일정'!AM30="제외"),"",IF($D30=$E30,IF(AND($D30&gt;=AC$5,$D30&lt;AC$5+7),"◆",""),IF(AND($D30&lt;AC$5+7,$E30&gt;AC$5),"■","")))</x:f>
      </x:c>
      <x:c r="AD30" s="7" t="str">
        <x:f>IF(OR($D30="",AD$5="",'상세일정'!AM30="제외"),"",IF($D30=$E30,IF(AND($D30&gt;=AD$5,$D30&lt;AD$5+7),"◆",""),IF(AND($D30&lt;AD$5+7,$E30&gt;AD$5),"■","")))</x:f>
      </x:c>
      <x:c r="AE30" s="7" t="str">
        <x:f>IF(OR($D30="",AE$5="",'상세일정'!AM30="제외"),"",IF($D30=$E30,IF(AND($D30&gt;=AE$5,$D30&lt;AE$5+7),"◆",""),IF(AND($D30&lt;AE$5+7,$E30&gt;AE$5),"■","")))</x:f>
      </x:c>
      <x:c r="AF30" s="7" t="str">
        <x:f>IF(OR($D30="",AF$5="",'상세일정'!AM30="제외"),"",IF($D30=$E30,IF(AND($D30&gt;=AF$5,$D30&lt;AF$5+7),"◆",""),IF(AND($D30&lt;AF$5+7,$E30&gt;AF$5),"■","")))</x:f>
      </x:c>
      <x:c r="AG30" s="7" t="str">
        <x:f>IF(OR($D30="",AG$5="",'상세일정'!AM30="제외"),"",IF($D30=$E30,IF(AND($D30&gt;=AG$5,$D30&lt;AG$5+7),"◆",""),IF(AND($D30&lt;AG$5+7,$E30&gt;AG$5),"■","")))</x:f>
      </x:c>
      <x:c r="AH30" s="7" t="str">
        <x:f>IF(OR($D30="",AH$5="",'상세일정'!AM30="제외"),"",IF($D30=$E30,IF(AND($D30&gt;=AH$5,$D30&lt;AH$5+7),"◆",""),IF(AND($D30&lt;AH$5+7,$E30&gt;AH$5),"■","")))</x:f>
      </x:c>
      <x:c r="AI30" s="7" t="str">
        <x:f>IF(OR($D30="",AI$5="",'상세일정'!AM30="제외"),"",IF($D30=$E30,IF(AND($D30&gt;=AI$5,$D30&lt;AI$5+7),"◆",""),IF(AND($D30&lt;AI$5+7,$E30&gt;AI$5),"■","")))</x:f>
      </x:c>
      <x:c r="AJ30" s="7" t="str">
        <x:f>IF(OR($D30="",AJ$5="",'상세일정'!AM30="제외"),"",IF($D30=$E30,IF(AND($D30&gt;=AJ$5,$D30&lt;AJ$5+7),"◆",""),IF(AND($D30&lt;AJ$5+7,$E30&gt;AJ$5),"■","")))</x:f>
      </x:c>
      <x:c r="AK30" s="7" t="str">
        <x:f>IF(OR($D30="",AK$5="",'상세일정'!AM30="제외"),"",IF($D30=$E30,IF(AND($D30&gt;=AK$5,$D30&lt;AK$5+7),"◆",""),IF(AND($D30&lt;AK$5+7,$E30&gt;AK$5),"■","")))</x:f>
      </x:c>
      <x:c r="AL30" s="7" t="str">
        <x:f>IF(OR($D30="",AL$5="",'상세일정'!AM30="제외"),"",IF($D30=$E30,IF(AND($D30&gt;=AL$5,$D30&lt;AL$5+7),"◆",""),IF(AND($D30&lt;AL$5+7,$E30&gt;AL$5),"■","")))</x:f>
      </x:c>
      <x:c r="AM30" s="7" t="str">
        <x:f>IF(OR($D30="",AM$5="",'상세일정'!AM30="제외"),"",IF($D30=$E30,IF(AND($D30&gt;=AM$5,$D30&lt;AM$5+7),"◆",""),IF(AND($D30&lt;AM$5+7,$E30&gt;AM$5),"■","")))</x:f>
      </x:c>
      <x:c r="AN30" s="7" t="str">
        <x:f>IF(OR($D30="",AN$5="",'상세일정'!AM30="제외"),"",IF($D30=$E30,IF(AND($D30&gt;=AN$5,$D30&lt;AN$5+7),"◆",""),IF(AND($D30&lt;AN$5+7,$E30&gt;AN$5),"■","")))</x:f>
      </x:c>
      <x:c r="AO30" s="7" t="str">
        <x:f>IF(OR($D30="",AO$5="",'상세일정'!AM30="제외"),"",IF($D30=$E30,IF(AND($D30&gt;=AO$5,$D30&lt;AO$5+7),"◆",""),IF(AND($D30&lt;AO$5+7,$E30&gt;AO$5),"■","")))</x:f>
      </x:c>
      <x:c r="AP30" s="7" t="str">
        <x:f>IF(OR($D30="",AP$5="",'상세일정'!AM30="제외"),"",IF($D30=$E30,IF(AND($D30&gt;=AP$5,$D30&lt;AP$5+7),"◆",""),IF(AND($D30&lt;AP$5+7,$E30&gt;AP$5),"■","")))</x:f>
      </x:c>
      <x:c r="AQ30" s="7" t="str">
        <x:f>IF(OR($D30="",AQ$5="",'상세일정'!AM30="제외"),"",IF($D30=$E30,IF(AND($D30&gt;=AQ$5,$D30&lt;AQ$5+7),"◆",""),IF(AND($D30&lt;AQ$5+7,$E30&gt;AQ$5),"■","")))</x:f>
      </x:c>
      <x:c r="AR30" s="7" t="str">
        <x:f>IF(OR($D30="",AR$5="",'상세일정'!AM30="제외"),"",IF($D30=$E30,IF(AND($D30&gt;=AR$5,$D30&lt;AR$5+7),"◆",""),IF(AND($D30&lt;AR$5+7,$E30&gt;AR$5),"■","")))</x:f>
      </x:c>
      <x:c r="AS30" s="7" t="str">
        <x:f>IF(OR($D30="",AS$5="",'상세일정'!AM30="제외"),"",IF($D30=$E30,IF(AND($D30&gt;=AS$5,$D30&lt;AS$5+7),"◆",""),IF(AND($D30&lt;AS$5+7,$E30&gt;AS$5),"■","")))</x:f>
      </x:c>
      <x:c r="AT30" s="7" t="str">
        <x:f>IF(OR($D30="",AT$5="",'상세일정'!AM30="제외"),"",IF($D30=$E30,IF(AND($D30&gt;=AT$5,$D30&lt;AT$5+7),"◆",""),IF(AND($D30&lt;AT$5+7,$E30&gt;AT$5),"■","")))</x:f>
      </x:c>
      <x:c r="AU30" s="7" t="str">
        <x:f>IF(OR($D30="",AU$5="",'상세일정'!AM30="제외"),"",IF($D30=$E30,IF(AND($D30&gt;=AU$5,$D30&lt;AU$5+7),"◆",""),IF(AND($D30&lt;AU$5+7,$E30&gt;AU$5),"■","")))</x:f>
      </x:c>
      <x:c r="AV30" s="7" t="str">
        <x:f>IF(OR($D30="",AV$5="",'상세일정'!AM30="제외"),"",IF($D30=$E30,IF(AND($D30&gt;=AV$5,$D30&lt;AV$5+7),"◆",""),IF(AND($D30&lt;AV$5+7,$E30&gt;AV$5),"■","")))</x:f>
      </x:c>
      <x:c r="AW30" s="7" t="str">
        <x:f>IF(OR($D30="",AW$5="",'상세일정'!AM30="제외"),"",IF($D30=$E30,IF(AND($D30&gt;=AW$5,$D30&lt;AW$5+7),"◆",""),IF(AND($D30&lt;AW$5+7,$E30&gt;AW$5),"■","")))</x:f>
      </x:c>
      <x:c r="AX30" s="7" t="str">
        <x:f>IF(OR($D30="",AX$5="",'상세일정'!AM30="제외"),"",IF($D30=$E30,IF(AND($D30&gt;=AX$5,$D30&lt;AX$5+7),"◆",""),IF(AND($D30&lt;AX$5+7,$E30&gt;AX$5),"■","")))</x:f>
      </x:c>
      <x:c r="AY30" s="7" t="str">
        <x:f>IF(OR($D30="",AY$5="",'상세일정'!AM30="제외"),"",IF($D30=$E30,IF(AND($D30&gt;=AY$5,$D30&lt;AY$5+7),"◆",""),IF(AND($D30&lt;AY$5+7,$E30&gt;AY$5),"■","")))</x:f>
      </x:c>
      <x:c r="AZ30" s="7" t="str">
        <x:f>IF(OR($D30="",AZ$5="",'상세일정'!AM30="제외"),"",IF($D30=$E30,IF(AND($D30&gt;=AZ$5,$D30&lt;AZ$5+7),"◆",""),IF(AND($D30&lt;AZ$5+7,$E30&gt;AZ$5),"■","")))</x:f>
      </x:c>
      <x:c r="BA30" s="7" t="str">
        <x:f>IF(OR($D30="",BA$5="",'상세일정'!AM30="제외"),"",IF($D30=$E30,IF(AND($D30&gt;=BA$5,$D30&lt;BA$5+7),"◆",""),IF(AND($D30&lt;BA$5+7,$E30&gt;BA$5),"■","")))</x:f>
      </x:c>
      <x:c r="BB30" s="7" t="str">
        <x:f>IF(OR($D30="",BB$5="",'상세일정'!AM30="제외"),"",IF($D30=$E30,IF(AND($D30&gt;=BB$5,$D30&lt;BB$5+7),"◆",""),IF(AND($D30&lt;BB$5+7,$E30&gt;BB$5),"■","")))</x:f>
      </x:c>
      <x:c r="BC30" s="7" t="str">
        <x:f>IF(OR($D30="",BC$5="",'상세일정'!AM30="제외"),"",IF($D30=$E30,IF(AND($D30&gt;=BC$5,$D30&lt;BC$5+7),"◆",""),IF(AND($D30&lt;BC$5+7,$E30&gt;BC$5),"■","")))</x:f>
      </x:c>
      <x:c r="BD30" s="7" t="str">
        <x:f>IF(OR($D30="",BD$5="",'상세일정'!AM30="제외"),"",IF($D30=$E30,IF(AND($D30&gt;=BD$5,$D30&lt;BD$5+7),"◆",""),IF(AND($D30&lt;BD$5+7,$E30&gt;BD$5),"■","")))</x:f>
      </x:c>
      <x:c r="BE30" s="7" t="str">
        <x:f>IF(OR($D30="",BE$5="",'상세일정'!AM30="제외"),"",IF($D30=$E30,IF(AND($D30&gt;=BE$5,$D30&lt;BE$5+7),"◆",""),IF(AND($D30&lt;BE$5+7,$E30&gt;BE$5),"■","")))</x:f>
      </x:c>
      <x:c r="BF30" s="7" t="str">
        <x:f>IF(OR($D30="",BF$5="",'상세일정'!AM30="제외"),"",IF($D30=$E30,IF(AND($D30&gt;=BF$5,$D30&lt;BF$5+7),"◆",""),IF(AND($D30&lt;BF$5+7,$E30&gt;BF$5),"■","")))</x:f>
      </x:c>
      <x:c r="BG30" s="7" t="str">
        <x:f>IF(OR($D30="",BG$5="",'상세일정'!AM30="제외"),"",IF($D30=$E30,IF(AND($D30&gt;=BG$5,$D30&lt;BG$5+7),"◆",""),IF(AND($D30&lt;BG$5+7,$E30&gt;BG$5),"■","")))</x:f>
      </x:c>
      <x:c r="BH30" s="7" t="str">
        <x:f>IF(OR($D30="",BH$5="",'상세일정'!AM30="제외"),"",IF($D30=$E30,IF(AND($D30&gt;=BH$5,$D30&lt;BH$5+7),"◆",""),IF(AND($D30&lt;BH$5+7,$E30&gt;BH$5),"■","")))</x:f>
      </x:c>
      <x:c r="BI30" s="7" t="str">
        <x:f>IF(OR($D30="",BI$5="",'상세일정'!AM30="제외"),"",IF($D30=$E30,IF(AND($D30&gt;=BI$5,$D30&lt;BI$5+7),"◆",""),IF(AND($D30&lt;BI$5+7,$E30&gt;BI$5),"■","")))</x:f>
      </x:c>
      <x:c r="BJ30" s="7" t="str">
        <x:f>IF(OR($D30="",BJ$5="",'상세일정'!AM30="제외"),"",IF($D30=$E30,IF(AND($D30&gt;=BJ$5,$D30&lt;BJ$5+7),"◆",""),IF(AND($D30&lt;BJ$5+7,$E30&gt;BJ$5),"■","")))</x:f>
      </x:c>
      <x:c r="BK30" s="7" t="str">
        <x:f>IF(OR($D30="",BK$5="",'상세일정'!AM30="제외"),"",IF($D30=$E30,IF(AND($D30&gt;=BK$5,$D30&lt;BK$5+7),"◆",""),IF(AND($D30&lt;BK$5+7,$E30&gt;BK$5),"■","")))</x:f>
      </x:c>
      <x:c r="BL30" s="7" t="str">
        <x:f>IF(OR($D30="",BL$5="",'상세일정'!AM30="제외"),"",IF($D30=$E30,IF(AND($D30&gt;=BL$5,$D30&lt;BL$5+7),"◆",""),IF(AND($D30&lt;BL$5+7,$E30&gt;BL$5),"■","")))</x:f>
      </x:c>
      <x:c r="BM30" s="7" t="str">
        <x:f>IF(OR($D30="",BM$5="",'상세일정'!AM30="제외"),"",IF($D30=$E30,IF(AND($D30&gt;=BM$5,$D30&lt;BM$5+7),"◆",""),IF(AND($D30&lt;BM$5+7,$E30&gt;BM$5),"■","")))</x:f>
      </x:c>
      <x:c r="BN30" s="7" t="str">
        <x:f>IF(OR($D30="",BN$5="",'상세일정'!AM30="제외"),"",IF($D30=$E30,IF(AND($D30&gt;=BN$5,$D30&lt;BN$5+7),"◆",""),IF(AND($D30&lt;BN$5+7,$E30&gt;BN$5),"■","")))</x:f>
      </x:c>
      <x:c r="BO30" s="7" t="str">
        <x:f>IF(OR($D30="",BO$5="",'상세일정'!AM30="제외"),"",IF($D30=$E30,IF(AND($D30&gt;=BO$5,$D30&lt;BO$5+7),"◆",""),IF(AND($D30&lt;BO$5+7,$E30&gt;BO$5),"■","")))</x:f>
      </x:c>
      <x:c r="BP30" s="7" t="str">
        <x:f>IF(OR($D30="",BP$5="",'상세일정'!AM30="제외"),"",IF($D30=$E30,IF(AND($D30&gt;=BP$5,$D30&lt;BP$5+7),"◆",""),IF(AND($D30&lt;BP$5+7,$E30&gt;BP$5),"■","")))</x:f>
      </x:c>
      <x:c r="BQ30" s="7" t="str">
        <x:f>IF(OR($D30="",BQ$5="",'상세일정'!AM30="제외"),"",IF($D30=$E30,IF(AND($D30&gt;=BQ$5,$D30&lt;BQ$5+7),"◆",""),IF(AND($D30&lt;BQ$5+7,$E30&gt;BQ$5),"■","")))</x:f>
      </x:c>
      <x:c r="BR30" s="7" t="str">
        <x:f>IF(OR($D30="",BR$5="",'상세일정'!AM30="제외"),"",IF($D30=$E30,IF(AND($D30&gt;=BR$5,$D30&lt;BR$5+7),"◆",""),IF(AND($D30&lt;BR$5+7,$E30&gt;BR$5),"■","")))</x:f>
      </x:c>
      <x:c r="BS30" s="7" t="str">
        <x:f>IF(OR($D30="",BS$5="",'상세일정'!AM30="제외"),"",IF($D30=$E30,IF(AND($D30&gt;=BS$5,$D30&lt;BS$5+7),"◆",""),IF(AND($D30&lt;BS$5+7,$E30&gt;BS$5),"■","")))</x:f>
      </x:c>
      <x:c r="BT30" s="7" t="str">
        <x:f>IF(OR($D30="",BT$5="",'상세일정'!AM30="제외"),"",IF($D30=$E30,IF(AND($D30&gt;=BT$5,$D30&lt;BT$5+7),"◆",""),IF(AND($D30&lt;BT$5+7,$E30&gt;BT$5),"■","")))</x:f>
      </x:c>
      <x:c r="BU30" s="7" t="str">
        <x:f>IF(OR($D30="",BU$5="",'상세일정'!AM30="제외"),"",IF($D30=$E30,IF(AND($D30&gt;=BU$5,$D30&lt;BU$5+7),"◆",""),IF(AND($D30&lt;BU$5+7,$E30&gt;BU$5),"■","")))</x:f>
      </x:c>
      <x:c r="BV30" s="7" t="str">
        <x:f>IF(OR($D30="",BV$5="",'상세일정'!AM30="제외"),"",IF($D30=$E30,IF(AND($D30&gt;=BV$5,$D30&lt;BV$5+7),"◆",""),IF(AND($D30&lt;BV$5+7,$E30&gt;BV$5),"■","")))</x:f>
      </x:c>
      <x:c r="BW30" s="7" t="str">
        <x:f>IF(OR($D30="",BW$5="",'상세일정'!AM30="제외"),"",IF($D30=$E30,IF(AND($D30&gt;=BW$5,$D30&lt;BW$5+7),"◆",""),IF(AND($D30&lt;BW$5+7,$E30&gt;BW$5),"■","")))</x:f>
      </x:c>
      <x:c r="BX30" s="7" t="str">
        <x:f>IF(OR($D30="",BX$5="",'상세일정'!AM30="제외"),"",IF($D30=$E30,IF(AND($D30&gt;=BX$5,$D30&lt;BX$5+7),"◆",""),IF(AND($D30&lt;BX$5+7,$E30&gt;BX$5),"■","")))</x:f>
      </x:c>
      <x:c r="BY30" s="7" t="str">
        <x:f>IF(OR($D30="",BY$5="",'상세일정'!AM30="제외"),"",IF($D30=$E30,IF(AND($D30&gt;=BY$5,$D30&lt;BY$5+7),"◆",""),IF(AND($D30&lt;BY$5+7,$E30&gt;BY$5),"■","")))</x:f>
      </x:c>
      <x:c r="BZ30" s="7" t="str">
        <x:f>IF(OR($D30="",BZ$5="",'상세일정'!AM30="제외"),"",IF($D30=$E30,IF(AND($D30&gt;=BZ$5,$D30&lt;BZ$5+7),"◆",""),IF(AND($D30&lt;BZ$5+7,$E30&gt;BZ$5),"■","")))</x:f>
      </x:c>
      <x:c r="CA30" s="7" t="str">
        <x:f>IF(OR($D30="",CA$5="",'상세일정'!AM30="제외"),"",IF($D30=$E30,IF(AND($D30&gt;=CA$5,$D30&lt;CA$5+7),"◆",""),IF(AND($D30&lt;CA$5+7,$E30&gt;CA$5),"■","")))</x:f>
      </x:c>
      <x:c r="CB30" s="7" t="str">
        <x:f>IF(OR($D30="",CB$5="",'상세일정'!AM30="제외"),"",IF($D30=$E30,IF(AND($D30&gt;=CB$5,$D30&lt;CB$5+7),"◆",""),IF(AND($D30&lt;CB$5+7,$E30&gt;CB$5),"■","")))</x:f>
      </x:c>
      <x:c r="CC30" s="7" t="str">
        <x:f>IF(OR($D30="",CC$5="",'상세일정'!AM30="제외"),"",IF($D30=$E30,IF(AND($D30&gt;=CC$5,$D30&lt;CC$5+7),"◆",""),IF(AND($D30&lt;CC$5+7,$E30&gt;CC$5),"■","")))</x:f>
      </x:c>
      <x:c r="CD30" s="7" t="str">
        <x:f>IF(OR($D30="",CD$5="",'상세일정'!AM30="제외"),"",IF($D30=$E30,IF(AND($D30&gt;=CD$5,$D30&lt;CD$5+7),"◆",""),IF(AND($D30&lt;CD$5+7,$E30&gt;CD$5),"■","")))</x:f>
      </x:c>
      <x:c r="CE30" s="7" t="str">
        <x:f>IF(OR($D30="",CE$5="",'상세일정'!AM30="제외"),"",IF($D30=$E30,IF(AND($D30&gt;=CE$5,$D30&lt;CE$5+7),"◆",""),IF(AND($D30&lt;CE$5+7,$E30&gt;CE$5),"■","")))</x:f>
      </x:c>
      <x:c r="CF30" s="7" t="str">
        <x:f>IF(OR($D30="",CF$5="",'상세일정'!AM30="제외"),"",IF($D30=$E30,IF(AND($D30&gt;=CF$5,$D30&lt;CF$5+7),"◆",""),IF(AND($D30&lt;CF$5+7,$E30&gt;CF$5),"■","")))</x:f>
      </x:c>
      <x:c r="CG30" s="7" t="str">
        <x:f>IF(OR($D30="",CG$5="",'상세일정'!AM30="제외"),"",IF($D30=$E30,IF(AND($D30&gt;=CG$5,$D30&lt;CG$5+7),"◆",""),IF(AND($D30&lt;CG$5+7,$E30&gt;CG$5),"■","")))</x:f>
      </x:c>
      <x:c r="CH30" s="7" t="str">
        <x:f>IF(OR($D30="",CH$5="",'상세일정'!AM30="제외"),"",IF($D30=$E30,IF(AND($D30&gt;=CH$5,$D30&lt;CH$5+7),"◆",""),IF(AND($D30&lt;CH$5+7,$E30&gt;CH$5),"■","")))</x:f>
      </x:c>
      <x:c r="CI30" s="7" t="str">
        <x:f>IF(OR($D30="",CI$5="",'상세일정'!AM30="제외"),"",IF($D30=$E30,IF(AND($D30&gt;=CI$5,$D30&lt;CI$5+7),"◆",""),IF(AND($D30&lt;CI$5+7,$E30&gt;CI$5),"■","")))</x:f>
      </x:c>
      <x:c r="CJ30" s="7" t="str">
        <x:f>IF(OR($D30="",CJ$5="",'상세일정'!AM30="제외"),"",IF($D30=$E30,IF(AND($D30&gt;=CJ$5,$D30&lt;CJ$5+7),"◆",""),IF(AND($D30&lt;CJ$5+7,$E30&gt;CJ$5),"■","")))</x:f>
      </x:c>
      <x:c r="CK30" s="7" t="str">
        <x:f>IF(OR($D30="",CK$5="",'상세일정'!AM30="제외"),"",IF($D30=$E30,IF(AND($D30&gt;=CK$5,$D30&lt;CK$5+7),"◆",""),IF(AND($D30&lt;CK$5+7,$E30&gt;CK$5),"■","")))</x:f>
      </x:c>
      <x:c r="CL30" s="7" t="str">
        <x:f>IF(OR($D30="",CL$5="",'상세일정'!AM30="제외"),"",IF($D30=$E30,IF(AND($D30&gt;=CL$5,$D30&lt;CL$5+7),"◆",""),IF(AND($D30&lt;CL$5+7,$E30&gt;CL$5),"■","")))</x:f>
      </x:c>
      <x:c r="CM30" s="7" t="str">
        <x:f>IF(OR($D30="",CM$5="",'상세일정'!AM30="제외"),"",IF($D30=$E30,IF(AND($D30&gt;=CM$5,$D30&lt;CM$5+7),"◆",""),IF(AND($D30&lt;CM$5+7,$E30&gt;CM$5),"■","")))</x:f>
      </x:c>
      <x:c r="CN30" s="7" t="str">
        <x:f>IF(OR($D30="",CN$5="",'상세일정'!AM30="제외"),"",IF($D30=$E30,IF(AND($D30&gt;=CN$5,$D30&lt;CN$5+7),"◆",""),IF(AND($D30&lt;CN$5+7,$E30&gt;CN$5),"■","")))</x:f>
      </x:c>
      <x:c r="CO30" s="7" t="str">
        <x:f>IF(OR($D30="",CO$5="",'상세일정'!AM30="제외"),"",IF($D30=$E30,IF(AND($D30&gt;=CO$5,$D30&lt;CO$5+7),"◆",""),IF(AND($D30&lt;CO$5+7,$E30&gt;CO$5),"■","")))</x:f>
      </x:c>
      <x:c r="CP30" s="7" t="str">
        <x:f>IF(OR($D30="",CP$5="",'상세일정'!AM30="제외"),"",IF($D30=$E30,IF(AND($D30&gt;=CP$5,$D30&lt;CP$5+7),"◆",""),IF(AND($D30&lt;CP$5+7,$E30&gt;CP$5),"■","")))</x:f>
      </x:c>
      <x:c r="CQ30" s="7" t="str">
        <x:f>IF(OR($D30="",CQ$5="",'상세일정'!AM30="제외"),"",IF($D30=$E30,IF(AND($D30&gt;=CQ$5,$D30&lt;CQ$5+7),"◆",""),IF(AND($D30&lt;CQ$5+7,$E30&gt;CQ$5),"■","")))</x:f>
      </x:c>
      <x:c r="CR30" s="7" t="str">
        <x:f>IF(OR($D30="",CR$5="",'상세일정'!AM30="제외"),"",IF($D30=$E30,IF(AND($D30&gt;=CR$5,$D30&lt;CR$5+7),"◆",""),IF(AND($D30&lt;CR$5+7,$E30&gt;CR$5),"■","")))</x:f>
      </x:c>
      <x:c r="CS30" s="7" t="str">
        <x:f>IF(OR($D30="",CS$5="",'상세일정'!AM30="제외"),"",IF($D30=$E30,IF(AND($D30&gt;=CS$5,$D30&lt;CS$5+7),"◆",""),IF(AND($D30&lt;CS$5+7,$E30&gt;CS$5),"■","")))</x:f>
      </x:c>
      <x:c r="CT30" s="7" t="str">
        <x:f>IF(OR($D30="",CT$5="",'상세일정'!AM30="제외"),"",IF($D30=$E30,IF(AND($D30&gt;=CT$5,$D30&lt;CT$5+7),"◆",""),IF(AND($D30&lt;CT$5+7,$E30&gt;CT$5),"■","")))</x:f>
      </x:c>
      <x:c r="CU30" s="7" t="str">
        <x:f>IF(OR($D30="",CU$5="",'상세일정'!AM30="제외"),"",IF($D30=$E30,IF(AND($D30&gt;=CU$5,$D30&lt;CU$5+7),"◆",""),IF(AND($D30&lt;CU$5+7,$E30&gt;CU$5),"■","")))</x:f>
      </x:c>
      <x:c r="CV30" s="7" t="str">
        <x:f>IF(OR($D30="",CV$5="",'상세일정'!AM30="제외"),"",IF($D30=$E30,IF(AND($D30&gt;=CV$5,$D30&lt;CV$5+7),"◆",""),IF(AND($D30&lt;CV$5+7,$E30&gt;CV$5),"■","")))</x:f>
      </x:c>
      <x:c r="CW30" s="7" t="str">
        <x:f>IF(OR($D30="",CW$5="",'상세일정'!AM30="제외"),"",IF($D30=$E30,IF(AND($D30&gt;=CW$5,$D30&lt;CW$5+7),"◆",""),IF(AND($D30&lt;CW$5+7,$E30&gt;CW$5),"■","")))</x:f>
      </x:c>
      <x:c r="CX30" s="7" t="str">
        <x:f>IF(OR($D30="",CX$5="",'상세일정'!AM30="제외"),"",IF($D30=$E30,IF(AND($D30&gt;=CX$5,$D30&lt;CX$5+7),"◆",""),IF(AND($D30&lt;CX$5+7,$E30&gt;CX$5),"■","")))</x:f>
      </x:c>
      <x:c r="CY30" s="7" t="str">
        <x:f>IF(OR($D30="",CY$5="",'상세일정'!AM30="제외"),"",IF($D30=$E30,IF(AND($D30&gt;=CY$5,$D30&lt;CY$5+7),"◆",""),IF(AND($D30&lt;CY$5+7,$E30&gt;CY$5),"■","")))</x:f>
      </x:c>
      <x:c r="CZ30" s="7" t="str">
        <x:f>IF(OR($D30="",CZ$5="",'상세일정'!AM30="제외"),"",IF($D30=$E30,IF(AND($D30&gt;=CZ$5,$D30&lt;CZ$5+7),"◆",""),IF(AND($D30&lt;CZ$5+7,$E30&gt;CZ$5),"■","")))</x:f>
      </x:c>
      <x:c r="DA30" s="7" t="str">
        <x:f>IF(OR($D30="",DA$5="",'상세일정'!AM30="제외"),"",IF($D30=$E30,IF(AND($D30&gt;=DA$5,$D30&lt;DA$5+7),"◆",""),IF(AND($D30&lt;DA$5+7,$E30&gt;DA$5),"■","")))</x:f>
      </x:c>
      <x:c r="DB30" s="7" t="str">
        <x:f>IF(OR($D30="",DB$5="",'상세일정'!AM30="제외"),"",IF($D30=$E30,IF(AND($D30&gt;=DB$5,$D30&lt;DB$5+7),"◆",""),IF(AND($D30&lt;DB$5+7,$E30&gt;DB$5),"■","")))</x:f>
      </x:c>
      <x:c r="DC30" s="7" t="str">
        <x:f>IF(OR($D30="",DC$5="",'상세일정'!AM30="제외"),"",IF($D30=$E30,IF(AND($D30&gt;=DC$5,$D30&lt;DC$5+7),"◆",""),IF(AND($D30&lt;DC$5+7,$E30&gt;DC$5),"■","")))</x:f>
      </x:c>
      <x:c r="DD30" s="7" t="str">
        <x:f>IF(OR($D30="",DD$5="",'상세일정'!AM30="제외"),"",IF($D30=$E30,IF(AND($D30&gt;=DD$5,$D30&lt;DD$5+7),"◆",""),IF(AND($D30&lt;DD$5+7,$E30&gt;DD$5),"■","")))</x:f>
      </x:c>
      <x:c r="DE30" s="7" t="str">
        <x:f>IF(OR($D30="",DE$5="",'상세일정'!AM30="제외"),"",IF($D30=$E30,IF(AND($D30&gt;=DE$5,$D30&lt;DE$5+7),"◆",""),IF(AND($D30&lt;DE$5+7,$E30&gt;DE$5),"■","")))</x:f>
      </x:c>
    </x:row>
    <x:row r="31" ht="34" customHeight="1">
      <x:c r="A31" s="7" t="str">
        <x:v>PD01</x:v>
      </x:c>
      <x:c r="B31" s="7" t="str">
        <x:v>06 공정·배관 상세설계</x:v>
      </x:c>
      <x:c r="C31" s="7" t="str">
        <x:v>P&amp;ID·장비 Tag·Line no. 정합성 검토</x:v>
      </x:c>
      <x:c r="D31" s="10" t="str">
        <x:f>'상세일정'!AJ31</x:f>
      </x:c>
      <x:c r="E31" s="10" t="str">
        <x:f>'상세일정'!AK31</x:f>
      </x:c>
      <x:c r="F31" s="7" t="str">
        <x:f>IF(OR($D31="",F$5="",'상세일정'!AM31="제외"),"",IF($D31=$E31,IF(AND($D31&gt;=F$5,$D31&lt;F$5+7),"◆",""),IF(AND($D31&lt;F$5+7,$E31&gt;F$5),"■","")))</x:f>
      </x:c>
      <x:c r="G31" s="7" t="str">
        <x:f>IF(OR($D31="",G$5="",'상세일정'!AM31="제외"),"",IF($D31=$E31,IF(AND($D31&gt;=G$5,$D31&lt;G$5+7),"◆",""),IF(AND($D31&lt;G$5+7,$E31&gt;G$5),"■","")))</x:f>
      </x:c>
      <x:c r="H31" s="7" t="str">
        <x:f>IF(OR($D31="",H$5="",'상세일정'!AM31="제외"),"",IF($D31=$E31,IF(AND($D31&gt;=H$5,$D31&lt;H$5+7),"◆",""),IF(AND($D31&lt;H$5+7,$E31&gt;H$5),"■","")))</x:f>
      </x:c>
      <x:c r="I31" s="7" t="str">
        <x:f>IF(OR($D31="",I$5="",'상세일정'!AM31="제외"),"",IF($D31=$E31,IF(AND($D31&gt;=I$5,$D31&lt;I$5+7),"◆",""),IF(AND($D31&lt;I$5+7,$E31&gt;I$5),"■","")))</x:f>
      </x:c>
      <x:c r="J31" s="7" t="str">
        <x:f>IF(OR($D31="",J$5="",'상세일정'!AM31="제외"),"",IF($D31=$E31,IF(AND($D31&gt;=J$5,$D31&lt;J$5+7),"◆",""),IF(AND($D31&lt;J$5+7,$E31&gt;J$5),"■","")))</x:f>
      </x:c>
      <x:c r="K31" s="7" t="str">
        <x:f>IF(OR($D31="",K$5="",'상세일정'!AM31="제외"),"",IF($D31=$E31,IF(AND($D31&gt;=K$5,$D31&lt;K$5+7),"◆",""),IF(AND($D31&lt;K$5+7,$E31&gt;K$5),"■","")))</x:f>
      </x:c>
      <x:c r="L31" s="7" t="str">
        <x:f>IF(OR($D31="",L$5="",'상세일정'!AM31="제외"),"",IF($D31=$E31,IF(AND($D31&gt;=L$5,$D31&lt;L$5+7),"◆",""),IF(AND($D31&lt;L$5+7,$E31&gt;L$5),"■","")))</x:f>
      </x:c>
      <x:c r="M31" s="7" t="str">
        <x:f>IF(OR($D31="",M$5="",'상세일정'!AM31="제외"),"",IF($D31=$E31,IF(AND($D31&gt;=M$5,$D31&lt;M$5+7),"◆",""),IF(AND($D31&lt;M$5+7,$E31&gt;M$5),"■","")))</x:f>
      </x:c>
      <x:c r="N31" s="7" t="str">
        <x:f>IF(OR($D31="",N$5="",'상세일정'!AM31="제외"),"",IF($D31=$E31,IF(AND($D31&gt;=N$5,$D31&lt;N$5+7),"◆",""),IF(AND($D31&lt;N$5+7,$E31&gt;N$5),"■","")))</x:f>
      </x:c>
      <x:c r="O31" s="7" t="str">
        <x:f>IF(OR($D31="",O$5="",'상세일정'!AM31="제외"),"",IF($D31=$E31,IF(AND($D31&gt;=O$5,$D31&lt;O$5+7),"◆",""),IF(AND($D31&lt;O$5+7,$E31&gt;O$5),"■","")))</x:f>
      </x:c>
      <x:c r="P31" s="7" t="str">
        <x:f>IF(OR($D31="",P$5="",'상세일정'!AM31="제외"),"",IF($D31=$E31,IF(AND($D31&gt;=P$5,$D31&lt;P$5+7),"◆",""),IF(AND($D31&lt;P$5+7,$E31&gt;P$5),"■","")))</x:f>
      </x:c>
      <x:c r="Q31" s="7" t="str">
        <x:f>IF(OR($D31="",Q$5="",'상세일정'!AM31="제외"),"",IF($D31=$E31,IF(AND($D31&gt;=Q$5,$D31&lt;Q$5+7),"◆",""),IF(AND($D31&lt;Q$5+7,$E31&gt;Q$5),"■","")))</x:f>
      </x:c>
      <x:c r="R31" s="7" t="str">
        <x:f>IF(OR($D31="",R$5="",'상세일정'!AM31="제외"),"",IF($D31=$E31,IF(AND($D31&gt;=R$5,$D31&lt;R$5+7),"◆",""),IF(AND($D31&lt;R$5+7,$E31&gt;R$5),"■","")))</x:f>
      </x:c>
      <x:c r="S31" s="7" t="str">
        <x:f>IF(OR($D31="",S$5="",'상세일정'!AM31="제외"),"",IF($D31=$E31,IF(AND($D31&gt;=S$5,$D31&lt;S$5+7),"◆",""),IF(AND($D31&lt;S$5+7,$E31&gt;S$5),"■","")))</x:f>
      </x:c>
      <x:c r="T31" s="7" t="str">
        <x:f>IF(OR($D31="",T$5="",'상세일정'!AM31="제외"),"",IF($D31=$E31,IF(AND($D31&gt;=T$5,$D31&lt;T$5+7),"◆",""),IF(AND($D31&lt;T$5+7,$E31&gt;T$5),"■","")))</x:f>
      </x:c>
      <x:c r="U31" s="7" t="str">
        <x:f>IF(OR($D31="",U$5="",'상세일정'!AM31="제외"),"",IF($D31=$E31,IF(AND($D31&gt;=U$5,$D31&lt;U$5+7),"◆",""),IF(AND($D31&lt;U$5+7,$E31&gt;U$5),"■","")))</x:f>
      </x:c>
      <x:c r="V31" s="7" t="str">
        <x:f>IF(OR($D31="",V$5="",'상세일정'!AM31="제외"),"",IF($D31=$E31,IF(AND($D31&gt;=V$5,$D31&lt;V$5+7),"◆",""),IF(AND($D31&lt;V$5+7,$E31&gt;V$5),"■","")))</x:f>
      </x:c>
      <x:c r="W31" s="7" t="str">
        <x:f>IF(OR($D31="",W$5="",'상세일정'!AM31="제외"),"",IF($D31=$E31,IF(AND($D31&gt;=W$5,$D31&lt;W$5+7),"◆",""),IF(AND($D31&lt;W$5+7,$E31&gt;W$5),"■","")))</x:f>
      </x:c>
      <x:c r="X31" s="7" t="str">
        <x:f>IF(OR($D31="",X$5="",'상세일정'!AM31="제외"),"",IF($D31=$E31,IF(AND($D31&gt;=X$5,$D31&lt;X$5+7),"◆",""),IF(AND($D31&lt;X$5+7,$E31&gt;X$5),"■","")))</x:f>
      </x:c>
      <x:c r="Y31" s="7" t="str">
        <x:f>IF(OR($D31="",Y$5="",'상세일정'!AM31="제외"),"",IF($D31=$E31,IF(AND($D31&gt;=Y$5,$D31&lt;Y$5+7),"◆",""),IF(AND($D31&lt;Y$5+7,$E31&gt;Y$5),"■","")))</x:f>
      </x:c>
      <x:c r="Z31" s="7" t="str">
        <x:f>IF(OR($D31="",Z$5="",'상세일정'!AM31="제외"),"",IF($D31=$E31,IF(AND($D31&gt;=Z$5,$D31&lt;Z$5+7),"◆",""),IF(AND($D31&lt;Z$5+7,$E31&gt;Z$5),"■","")))</x:f>
      </x:c>
      <x:c r="AA31" s="7" t="str">
        <x:f>IF(OR($D31="",AA$5="",'상세일정'!AM31="제외"),"",IF($D31=$E31,IF(AND($D31&gt;=AA$5,$D31&lt;AA$5+7),"◆",""),IF(AND($D31&lt;AA$5+7,$E31&gt;AA$5),"■","")))</x:f>
      </x:c>
      <x:c r="AB31" s="7" t="str">
        <x:f>IF(OR($D31="",AB$5="",'상세일정'!AM31="제외"),"",IF($D31=$E31,IF(AND($D31&gt;=AB$5,$D31&lt;AB$5+7),"◆",""),IF(AND($D31&lt;AB$5+7,$E31&gt;AB$5),"■","")))</x:f>
      </x:c>
      <x:c r="AC31" s="7" t="str">
        <x:f>IF(OR($D31="",AC$5="",'상세일정'!AM31="제외"),"",IF($D31=$E31,IF(AND($D31&gt;=AC$5,$D31&lt;AC$5+7),"◆",""),IF(AND($D31&lt;AC$5+7,$E31&gt;AC$5),"■","")))</x:f>
      </x:c>
      <x:c r="AD31" s="7" t="str">
        <x:f>IF(OR($D31="",AD$5="",'상세일정'!AM31="제외"),"",IF($D31=$E31,IF(AND($D31&gt;=AD$5,$D31&lt;AD$5+7),"◆",""),IF(AND($D31&lt;AD$5+7,$E31&gt;AD$5),"■","")))</x:f>
      </x:c>
      <x:c r="AE31" s="7" t="str">
        <x:f>IF(OR($D31="",AE$5="",'상세일정'!AM31="제외"),"",IF($D31=$E31,IF(AND($D31&gt;=AE$5,$D31&lt;AE$5+7),"◆",""),IF(AND($D31&lt;AE$5+7,$E31&gt;AE$5),"■","")))</x:f>
      </x:c>
      <x:c r="AF31" s="7" t="str">
        <x:f>IF(OR($D31="",AF$5="",'상세일정'!AM31="제외"),"",IF($D31=$E31,IF(AND($D31&gt;=AF$5,$D31&lt;AF$5+7),"◆",""),IF(AND($D31&lt;AF$5+7,$E31&gt;AF$5),"■","")))</x:f>
      </x:c>
      <x:c r="AG31" s="7" t="str">
        <x:f>IF(OR($D31="",AG$5="",'상세일정'!AM31="제외"),"",IF($D31=$E31,IF(AND($D31&gt;=AG$5,$D31&lt;AG$5+7),"◆",""),IF(AND($D31&lt;AG$5+7,$E31&gt;AG$5),"■","")))</x:f>
      </x:c>
      <x:c r="AH31" s="7" t="str">
        <x:f>IF(OR($D31="",AH$5="",'상세일정'!AM31="제외"),"",IF($D31=$E31,IF(AND($D31&gt;=AH$5,$D31&lt;AH$5+7),"◆",""),IF(AND($D31&lt;AH$5+7,$E31&gt;AH$5),"■","")))</x:f>
      </x:c>
      <x:c r="AI31" s="7" t="str">
        <x:f>IF(OR($D31="",AI$5="",'상세일정'!AM31="제외"),"",IF($D31=$E31,IF(AND($D31&gt;=AI$5,$D31&lt;AI$5+7),"◆",""),IF(AND($D31&lt;AI$5+7,$E31&gt;AI$5),"■","")))</x:f>
      </x:c>
      <x:c r="AJ31" s="7" t="str">
        <x:f>IF(OR($D31="",AJ$5="",'상세일정'!AM31="제외"),"",IF($D31=$E31,IF(AND($D31&gt;=AJ$5,$D31&lt;AJ$5+7),"◆",""),IF(AND($D31&lt;AJ$5+7,$E31&gt;AJ$5),"■","")))</x:f>
      </x:c>
      <x:c r="AK31" s="7" t="str">
        <x:f>IF(OR($D31="",AK$5="",'상세일정'!AM31="제외"),"",IF($D31=$E31,IF(AND($D31&gt;=AK$5,$D31&lt;AK$5+7),"◆",""),IF(AND($D31&lt;AK$5+7,$E31&gt;AK$5),"■","")))</x:f>
      </x:c>
      <x:c r="AL31" s="7" t="str">
        <x:f>IF(OR($D31="",AL$5="",'상세일정'!AM31="제외"),"",IF($D31=$E31,IF(AND($D31&gt;=AL$5,$D31&lt;AL$5+7),"◆",""),IF(AND($D31&lt;AL$5+7,$E31&gt;AL$5),"■","")))</x:f>
      </x:c>
      <x:c r="AM31" s="7" t="str">
        <x:f>IF(OR($D31="",AM$5="",'상세일정'!AM31="제외"),"",IF($D31=$E31,IF(AND($D31&gt;=AM$5,$D31&lt;AM$5+7),"◆",""),IF(AND($D31&lt;AM$5+7,$E31&gt;AM$5),"■","")))</x:f>
      </x:c>
      <x:c r="AN31" s="7" t="str">
        <x:f>IF(OR($D31="",AN$5="",'상세일정'!AM31="제외"),"",IF($D31=$E31,IF(AND($D31&gt;=AN$5,$D31&lt;AN$5+7),"◆",""),IF(AND($D31&lt;AN$5+7,$E31&gt;AN$5),"■","")))</x:f>
      </x:c>
      <x:c r="AO31" s="7" t="str">
        <x:f>IF(OR($D31="",AO$5="",'상세일정'!AM31="제외"),"",IF($D31=$E31,IF(AND($D31&gt;=AO$5,$D31&lt;AO$5+7),"◆",""),IF(AND($D31&lt;AO$5+7,$E31&gt;AO$5),"■","")))</x:f>
      </x:c>
      <x:c r="AP31" s="7" t="str">
        <x:f>IF(OR($D31="",AP$5="",'상세일정'!AM31="제외"),"",IF($D31=$E31,IF(AND($D31&gt;=AP$5,$D31&lt;AP$5+7),"◆",""),IF(AND($D31&lt;AP$5+7,$E31&gt;AP$5),"■","")))</x:f>
      </x:c>
      <x:c r="AQ31" s="7" t="str">
        <x:f>IF(OR($D31="",AQ$5="",'상세일정'!AM31="제외"),"",IF($D31=$E31,IF(AND($D31&gt;=AQ$5,$D31&lt;AQ$5+7),"◆",""),IF(AND($D31&lt;AQ$5+7,$E31&gt;AQ$5),"■","")))</x:f>
      </x:c>
      <x:c r="AR31" s="7" t="str">
        <x:f>IF(OR($D31="",AR$5="",'상세일정'!AM31="제외"),"",IF($D31=$E31,IF(AND($D31&gt;=AR$5,$D31&lt;AR$5+7),"◆",""),IF(AND($D31&lt;AR$5+7,$E31&gt;AR$5),"■","")))</x:f>
      </x:c>
      <x:c r="AS31" s="7" t="str">
        <x:f>IF(OR($D31="",AS$5="",'상세일정'!AM31="제외"),"",IF($D31=$E31,IF(AND($D31&gt;=AS$5,$D31&lt;AS$5+7),"◆",""),IF(AND($D31&lt;AS$5+7,$E31&gt;AS$5),"■","")))</x:f>
      </x:c>
      <x:c r="AT31" s="7" t="str">
        <x:f>IF(OR($D31="",AT$5="",'상세일정'!AM31="제외"),"",IF($D31=$E31,IF(AND($D31&gt;=AT$5,$D31&lt;AT$5+7),"◆",""),IF(AND($D31&lt;AT$5+7,$E31&gt;AT$5),"■","")))</x:f>
      </x:c>
      <x:c r="AU31" s="7" t="str">
        <x:f>IF(OR($D31="",AU$5="",'상세일정'!AM31="제외"),"",IF($D31=$E31,IF(AND($D31&gt;=AU$5,$D31&lt;AU$5+7),"◆",""),IF(AND($D31&lt;AU$5+7,$E31&gt;AU$5),"■","")))</x:f>
      </x:c>
      <x:c r="AV31" s="7" t="str">
        <x:f>IF(OR($D31="",AV$5="",'상세일정'!AM31="제외"),"",IF($D31=$E31,IF(AND($D31&gt;=AV$5,$D31&lt;AV$5+7),"◆",""),IF(AND($D31&lt;AV$5+7,$E31&gt;AV$5),"■","")))</x:f>
      </x:c>
      <x:c r="AW31" s="7" t="str">
        <x:f>IF(OR($D31="",AW$5="",'상세일정'!AM31="제외"),"",IF($D31=$E31,IF(AND($D31&gt;=AW$5,$D31&lt;AW$5+7),"◆",""),IF(AND($D31&lt;AW$5+7,$E31&gt;AW$5),"■","")))</x:f>
      </x:c>
      <x:c r="AX31" s="7" t="str">
        <x:f>IF(OR($D31="",AX$5="",'상세일정'!AM31="제외"),"",IF($D31=$E31,IF(AND($D31&gt;=AX$5,$D31&lt;AX$5+7),"◆",""),IF(AND($D31&lt;AX$5+7,$E31&gt;AX$5),"■","")))</x:f>
      </x:c>
      <x:c r="AY31" s="7" t="str">
        <x:f>IF(OR($D31="",AY$5="",'상세일정'!AM31="제외"),"",IF($D31=$E31,IF(AND($D31&gt;=AY$5,$D31&lt;AY$5+7),"◆",""),IF(AND($D31&lt;AY$5+7,$E31&gt;AY$5),"■","")))</x:f>
      </x:c>
      <x:c r="AZ31" s="7" t="str">
        <x:f>IF(OR($D31="",AZ$5="",'상세일정'!AM31="제외"),"",IF($D31=$E31,IF(AND($D31&gt;=AZ$5,$D31&lt;AZ$5+7),"◆",""),IF(AND($D31&lt;AZ$5+7,$E31&gt;AZ$5),"■","")))</x:f>
      </x:c>
      <x:c r="BA31" s="7" t="str">
        <x:f>IF(OR($D31="",BA$5="",'상세일정'!AM31="제외"),"",IF($D31=$E31,IF(AND($D31&gt;=BA$5,$D31&lt;BA$5+7),"◆",""),IF(AND($D31&lt;BA$5+7,$E31&gt;BA$5),"■","")))</x:f>
      </x:c>
      <x:c r="BB31" s="7" t="str">
        <x:f>IF(OR($D31="",BB$5="",'상세일정'!AM31="제외"),"",IF($D31=$E31,IF(AND($D31&gt;=BB$5,$D31&lt;BB$5+7),"◆",""),IF(AND($D31&lt;BB$5+7,$E31&gt;BB$5),"■","")))</x:f>
      </x:c>
      <x:c r="BC31" s="7" t="str">
        <x:f>IF(OR($D31="",BC$5="",'상세일정'!AM31="제외"),"",IF($D31=$E31,IF(AND($D31&gt;=BC$5,$D31&lt;BC$5+7),"◆",""),IF(AND($D31&lt;BC$5+7,$E31&gt;BC$5),"■","")))</x:f>
      </x:c>
      <x:c r="BD31" s="7" t="str">
        <x:f>IF(OR($D31="",BD$5="",'상세일정'!AM31="제외"),"",IF($D31=$E31,IF(AND($D31&gt;=BD$5,$D31&lt;BD$5+7),"◆",""),IF(AND($D31&lt;BD$5+7,$E31&gt;BD$5),"■","")))</x:f>
      </x:c>
      <x:c r="BE31" s="7" t="str">
        <x:f>IF(OR($D31="",BE$5="",'상세일정'!AM31="제외"),"",IF($D31=$E31,IF(AND($D31&gt;=BE$5,$D31&lt;BE$5+7),"◆",""),IF(AND($D31&lt;BE$5+7,$E31&gt;BE$5),"■","")))</x:f>
      </x:c>
      <x:c r="BF31" s="7" t="str">
        <x:f>IF(OR($D31="",BF$5="",'상세일정'!AM31="제외"),"",IF($D31=$E31,IF(AND($D31&gt;=BF$5,$D31&lt;BF$5+7),"◆",""),IF(AND($D31&lt;BF$5+7,$E31&gt;BF$5),"■","")))</x:f>
      </x:c>
      <x:c r="BG31" s="7" t="str">
        <x:f>IF(OR($D31="",BG$5="",'상세일정'!AM31="제외"),"",IF($D31=$E31,IF(AND($D31&gt;=BG$5,$D31&lt;BG$5+7),"◆",""),IF(AND($D31&lt;BG$5+7,$E31&gt;BG$5),"■","")))</x:f>
      </x:c>
      <x:c r="BH31" s="7" t="str">
        <x:f>IF(OR($D31="",BH$5="",'상세일정'!AM31="제외"),"",IF($D31=$E31,IF(AND($D31&gt;=BH$5,$D31&lt;BH$5+7),"◆",""),IF(AND($D31&lt;BH$5+7,$E31&gt;BH$5),"■","")))</x:f>
      </x:c>
      <x:c r="BI31" s="7" t="str">
        <x:f>IF(OR($D31="",BI$5="",'상세일정'!AM31="제외"),"",IF($D31=$E31,IF(AND($D31&gt;=BI$5,$D31&lt;BI$5+7),"◆",""),IF(AND($D31&lt;BI$5+7,$E31&gt;BI$5),"■","")))</x:f>
      </x:c>
      <x:c r="BJ31" s="7" t="str">
        <x:f>IF(OR($D31="",BJ$5="",'상세일정'!AM31="제외"),"",IF($D31=$E31,IF(AND($D31&gt;=BJ$5,$D31&lt;BJ$5+7),"◆",""),IF(AND($D31&lt;BJ$5+7,$E31&gt;BJ$5),"■","")))</x:f>
      </x:c>
      <x:c r="BK31" s="7" t="str">
        <x:f>IF(OR($D31="",BK$5="",'상세일정'!AM31="제외"),"",IF($D31=$E31,IF(AND($D31&gt;=BK$5,$D31&lt;BK$5+7),"◆",""),IF(AND($D31&lt;BK$5+7,$E31&gt;BK$5),"■","")))</x:f>
      </x:c>
      <x:c r="BL31" s="7" t="str">
        <x:f>IF(OR($D31="",BL$5="",'상세일정'!AM31="제외"),"",IF($D31=$E31,IF(AND($D31&gt;=BL$5,$D31&lt;BL$5+7),"◆",""),IF(AND($D31&lt;BL$5+7,$E31&gt;BL$5),"■","")))</x:f>
      </x:c>
      <x:c r="BM31" s="7" t="str">
        <x:f>IF(OR($D31="",BM$5="",'상세일정'!AM31="제외"),"",IF($D31=$E31,IF(AND($D31&gt;=BM$5,$D31&lt;BM$5+7),"◆",""),IF(AND($D31&lt;BM$5+7,$E31&gt;BM$5),"■","")))</x:f>
      </x:c>
      <x:c r="BN31" s="7" t="str">
        <x:f>IF(OR($D31="",BN$5="",'상세일정'!AM31="제외"),"",IF($D31=$E31,IF(AND($D31&gt;=BN$5,$D31&lt;BN$5+7),"◆",""),IF(AND($D31&lt;BN$5+7,$E31&gt;BN$5),"■","")))</x:f>
      </x:c>
      <x:c r="BO31" s="7" t="str">
        <x:f>IF(OR($D31="",BO$5="",'상세일정'!AM31="제외"),"",IF($D31=$E31,IF(AND($D31&gt;=BO$5,$D31&lt;BO$5+7),"◆",""),IF(AND($D31&lt;BO$5+7,$E31&gt;BO$5),"■","")))</x:f>
      </x:c>
      <x:c r="BP31" s="7" t="str">
        <x:f>IF(OR($D31="",BP$5="",'상세일정'!AM31="제외"),"",IF($D31=$E31,IF(AND($D31&gt;=BP$5,$D31&lt;BP$5+7),"◆",""),IF(AND($D31&lt;BP$5+7,$E31&gt;BP$5),"■","")))</x:f>
      </x:c>
      <x:c r="BQ31" s="7" t="str">
        <x:f>IF(OR($D31="",BQ$5="",'상세일정'!AM31="제외"),"",IF($D31=$E31,IF(AND($D31&gt;=BQ$5,$D31&lt;BQ$5+7),"◆",""),IF(AND($D31&lt;BQ$5+7,$E31&gt;BQ$5),"■","")))</x:f>
      </x:c>
      <x:c r="BR31" s="7" t="str">
        <x:f>IF(OR($D31="",BR$5="",'상세일정'!AM31="제외"),"",IF($D31=$E31,IF(AND($D31&gt;=BR$5,$D31&lt;BR$5+7),"◆",""),IF(AND($D31&lt;BR$5+7,$E31&gt;BR$5),"■","")))</x:f>
      </x:c>
      <x:c r="BS31" s="7" t="str">
        <x:f>IF(OR($D31="",BS$5="",'상세일정'!AM31="제외"),"",IF($D31=$E31,IF(AND($D31&gt;=BS$5,$D31&lt;BS$5+7),"◆",""),IF(AND($D31&lt;BS$5+7,$E31&gt;BS$5),"■","")))</x:f>
      </x:c>
      <x:c r="BT31" s="7" t="str">
        <x:f>IF(OR($D31="",BT$5="",'상세일정'!AM31="제외"),"",IF($D31=$E31,IF(AND($D31&gt;=BT$5,$D31&lt;BT$5+7),"◆",""),IF(AND($D31&lt;BT$5+7,$E31&gt;BT$5),"■","")))</x:f>
      </x:c>
      <x:c r="BU31" s="7" t="str">
        <x:f>IF(OR($D31="",BU$5="",'상세일정'!AM31="제외"),"",IF($D31=$E31,IF(AND($D31&gt;=BU$5,$D31&lt;BU$5+7),"◆",""),IF(AND($D31&lt;BU$5+7,$E31&gt;BU$5),"■","")))</x:f>
      </x:c>
      <x:c r="BV31" s="7" t="str">
        <x:f>IF(OR($D31="",BV$5="",'상세일정'!AM31="제외"),"",IF($D31=$E31,IF(AND($D31&gt;=BV$5,$D31&lt;BV$5+7),"◆",""),IF(AND($D31&lt;BV$5+7,$E31&gt;BV$5),"■","")))</x:f>
      </x:c>
      <x:c r="BW31" s="7" t="str">
        <x:f>IF(OR($D31="",BW$5="",'상세일정'!AM31="제외"),"",IF($D31=$E31,IF(AND($D31&gt;=BW$5,$D31&lt;BW$5+7),"◆",""),IF(AND($D31&lt;BW$5+7,$E31&gt;BW$5),"■","")))</x:f>
      </x:c>
      <x:c r="BX31" s="7" t="str">
        <x:f>IF(OR($D31="",BX$5="",'상세일정'!AM31="제외"),"",IF($D31=$E31,IF(AND($D31&gt;=BX$5,$D31&lt;BX$5+7),"◆",""),IF(AND($D31&lt;BX$5+7,$E31&gt;BX$5),"■","")))</x:f>
      </x:c>
      <x:c r="BY31" s="7" t="str">
        <x:f>IF(OR($D31="",BY$5="",'상세일정'!AM31="제외"),"",IF($D31=$E31,IF(AND($D31&gt;=BY$5,$D31&lt;BY$5+7),"◆",""),IF(AND($D31&lt;BY$5+7,$E31&gt;BY$5),"■","")))</x:f>
      </x:c>
      <x:c r="BZ31" s="7" t="str">
        <x:f>IF(OR($D31="",BZ$5="",'상세일정'!AM31="제외"),"",IF($D31=$E31,IF(AND($D31&gt;=BZ$5,$D31&lt;BZ$5+7),"◆",""),IF(AND($D31&lt;BZ$5+7,$E31&gt;BZ$5),"■","")))</x:f>
      </x:c>
      <x:c r="CA31" s="7" t="str">
        <x:f>IF(OR($D31="",CA$5="",'상세일정'!AM31="제외"),"",IF($D31=$E31,IF(AND($D31&gt;=CA$5,$D31&lt;CA$5+7),"◆",""),IF(AND($D31&lt;CA$5+7,$E31&gt;CA$5),"■","")))</x:f>
      </x:c>
      <x:c r="CB31" s="7" t="str">
        <x:f>IF(OR($D31="",CB$5="",'상세일정'!AM31="제외"),"",IF($D31=$E31,IF(AND($D31&gt;=CB$5,$D31&lt;CB$5+7),"◆",""),IF(AND($D31&lt;CB$5+7,$E31&gt;CB$5),"■","")))</x:f>
      </x:c>
      <x:c r="CC31" s="7" t="str">
        <x:f>IF(OR($D31="",CC$5="",'상세일정'!AM31="제외"),"",IF($D31=$E31,IF(AND($D31&gt;=CC$5,$D31&lt;CC$5+7),"◆",""),IF(AND($D31&lt;CC$5+7,$E31&gt;CC$5),"■","")))</x:f>
      </x:c>
      <x:c r="CD31" s="7" t="str">
        <x:f>IF(OR($D31="",CD$5="",'상세일정'!AM31="제외"),"",IF($D31=$E31,IF(AND($D31&gt;=CD$5,$D31&lt;CD$5+7),"◆",""),IF(AND($D31&lt;CD$5+7,$E31&gt;CD$5),"■","")))</x:f>
      </x:c>
      <x:c r="CE31" s="7" t="str">
        <x:f>IF(OR($D31="",CE$5="",'상세일정'!AM31="제외"),"",IF($D31=$E31,IF(AND($D31&gt;=CE$5,$D31&lt;CE$5+7),"◆",""),IF(AND($D31&lt;CE$5+7,$E31&gt;CE$5),"■","")))</x:f>
      </x:c>
      <x:c r="CF31" s="7" t="str">
        <x:f>IF(OR($D31="",CF$5="",'상세일정'!AM31="제외"),"",IF($D31=$E31,IF(AND($D31&gt;=CF$5,$D31&lt;CF$5+7),"◆",""),IF(AND($D31&lt;CF$5+7,$E31&gt;CF$5),"■","")))</x:f>
      </x:c>
      <x:c r="CG31" s="7" t="str">
        <x:f>IF(OR($D31="",CG$5="",'상세일정'!AM31="제외"),"",IF($D31=$E31,IF(AND($D31&gt;=CG$5,$D31&lt;CG$5+7),"◆",""),IF(AND($D31&lt;CG$5+7,$E31&gt;CG$5),"■","")))</x:f>
      </x:c>
      <x:c r="CH31" s="7" t="str">
        <x:f>IF(OR($D31="",CH$5="",'상세일정'!AM31="제외"),"",IF($D31=$E31,IF(AND($D31&gt;=CH$5,$D31&lt;CH$5+7),"◆",""),IF(AND($D31&lt;CH$5+7,$E31&gt;CH$5),"■","")))</x:f>
      </x:c>
      <x:c r="CI31" s="7" t="str">
        <x:f>IF(OR($D31="",CI$5="",'상세일정'!AM31="제외"),"",IF($D31=$E31,IF(AND($D31&gt;=CI$5,$D31&lt;CI$5+7),"◆",""),IF(AND($D31&lt;CI$5+7,$E31&gt;CI$5),"■","")))</x:f>
      </x:c>
      <x:c r="CJ31" s="7" t="str">
        <x:f>IF(OR($D31="",CJ$5="",'상세일정'!AM31="제외"),"",IF($D31=$E31,IF(AND($D31&gt;=CJ$5,$D31&lt;CJ$5+7),"◆",""),IF(AND($D31&lt;CJ$5+7,$E31&gt;CJ$5),"■","")))</x:f>
      </x:c>
      <x:c r="CK31" s="7" t="str">
        <x:f>IF(OR($D31="",CK$5="",'상세일정'!AM31="제외"),"",IF($D31=$E31,IF(AND($D31&gt;=CK$5,$D31&lt;CK$5+7),"◆",""),IF(AND($D31&lt;CK$5+7,$E31&gt;CK$5),"■","")))</x:f>
      </x:c>
      <x:c r="CL31" s="7" t="str">
        <x:f>IF(OR($D31="",CL$5="",'상세일정'!AM31="제외"),"",IF($D31=$E31,IF(AND($D31&gt;=CL$5,$D31&lt;CL$5+7),"◆",""),IF(AND($D31&lt;CL$5+7,$E31&gt;CL$5),"■","")))</x:f>
      </x:c>
      <x:c r="CM31" s="7" t="str">
        <x:f>IF(OR($D31="",CM$5="",'상세일정'!AM31="제외"),"",IF($D31=$E31,IF(AND($D31&gt;=CM$5,$D31&lt;CM$5+7),"◆",""),IF(AND($D31&lt;CM$5+7,$E31&gt;CM$5),"■","")))</x:f>
      </x:c>
      <x:c r="CN31" s="7" t="str">
        <x:f>IF(OR($D31="",CN$5="",'상세일정'!AM31="제외"),"",IF($D31=$E31,IF(AND($D31&gt;=CN$5,$D31&lt;CN$5+7),"◆",""),IF(AND($D31&lt;CN$5+7,$E31&gt;CN$5),"■","")))</x:f>
      </x:c>
      <x:c r="CO31" s="7" t="str">
        <x:f>IF(OR($D31="",CO$5="",'상세일정'!AM31="제외"),"",IF($D31=$E31,IF(AND($D31&gt;=CO$5,$D31&lt;CO$5+7),"◆",""),IF(AND($D31&lt;CO$5+7,$E31&gt;CO$5),"■","")))</x:f>
      </x:c>
      <x:c r="CP31" s="7" t="str">
        <x:f>IF(OR($D31="",CP$5="",'상세일정'!AM31="제외"),"",IF($D31=$E31,IF(AND($D31&gt;=CP$5,$D31&lt;CP$5+7),"◆",""),IF(AND($D31&lt;CP$5+7,$E31&gt;CP$5),"■","")))</x:f>
      </x:c>
      <x:c r="CQ31" s="7" t="str">
        <x:f>IF(OR($D31="",CQ$5="",'상세일정'!AM31="제외"),"",IF($D31=$E31,IF(AND($D31&gt;=CQ$5,$D31&lt;CQ$5+7),"◆",""),IF(AND($D31&lt;CQ$5+7,$E31&gt;CQ$5),"■","")))</x:f>
      </x:c>
      <x:c r="CR31" s="7" t="str">
        <x:f>IF(OR($D31="",CR$5="",'상세일정'!AM31="제외"),"",IF($D31=$E31,IF(AND($D31&gt;=CR$5,$D31&lt;CR$5+7),"◆",""),IF(AND($D31&lt;CR$5+7,$E31&gt;CR$5),"■","")))</x:f>
      </x:c>
      <x:c r="CS31" s="7" t="str">
        <x:f>IF(OR($D31="",CS$5="",'상세일정'!AM31="제외"),"",IF($D31=$E31,IF(AND($D31&gt;=CS$5,$D31&lt;CS$5+7),"◆",""),IF(AND($D31&lt;CS$5+7,$E31&gt;CS$5),"■","")))</x:f>
      </x:c>
      <x:c r="CT31" s="7" t="str">
        <x:f>IF(OR($D31="",CT$5="",'상세일정'!AM31="제외"),"",IF($D31=$E31,IF(AND($D31&gt;=CT$5,$D31&lt;CT$5+7),"◆",""),IF(AND($D31&lt;CT$5+7,$E31&gt;CT$5),"■","")))</x:f>
      </x:c>
      <x:c r="CU31" s="7" t="str">
        <x:f>IF(OR($D31="",CU$5="",'상세일정'!AM31="제외"),"",IF($D31=$E31,IF(AND($D31&gt;=CU$5,$D31&lt;CU$5+7),"◆",""),IF(AND($D31&lt;CU$5+7,$E31&gt;CU$5),"■","")))</x:f>
      </x:c>
      <x:c r="CV31" s="7" t="str">
        <x:f>IF(OR($D31="",CV$5="",'상세일정'!AM31="제외"),"",IF($D31=$E31,IF(AND($D31&gt;=CV$5,$D31&lt;CV$5+7),"◆",""),IF(AND($D31&lt;CV$5+7,$E31&gt;CV$5),"■","")))</x:f>
      </x:c>
      <x:c r="CW31" s="7" t="str">
        <x:f>IF(OR($D31="",CW$5="",'상세일정'!AM31="제외"),"",IF($D31=$E31,IF(AND($D31&gt;=CW$5,$D31&lt;CW$5+7),"◆",""),IF(AND($D31&lt;CW$5+7,$E31&gt;CW$5),"■","")))</x:f>
      </x:c>
      <x:c r="CX31" s="7" t="str">
        <x:f>IF(OR($D31="",CX$5="",'상세일정'!AM31="제외"),"",IF($D31=$E31,IF(AND($D31&gt;=CX$5,$D31&lt;CX$5+7),"◆",""),IF(AND($D31&lt;CX$5+7,$E31&gt;CX$5),"■","")))</x:f>
      </x:c>
      <x:c r="CY31" s="7" t="str">
        <x:f>IF(OR($D31="",CY$5="",'상세일정'!AM31="제외"),"",IF($D31=$E31,IF(AND($D31&gt;=CY$5,$D31&lt;CY$5+7),"◆",""),IF(AND($D31&lt;CY$5+7,$E31&gt;CY$5),"■","")))</x:f>
      </x:c>
      <x:c r="CZ31" s="7" t="str">
        <x:f>IF(OR($D31="",CZ$5="",'상세일정'!AM31="제외"),"",IF($D31=$E31,IF(AND($D31&gt;=CZ$5,$D31&lt;CZ$5+7),"◆",""),IF(AND($D31&lt;CZ$5+7,$E31&gt;CZ$5),"■","")))</x:f>
      </x:c>
      <x:c r="DA31" s="7" t="str">
        <x:f>IF(OR($D31="",DA$5="",'상세일정'!AM31="제외"),"",IF($D31=$E31,IF(AND($D31&gt;=DA$5,$D31&lt;DA$5+7),"◆",""),IF(AND($D31&lt;DA$5+7,$E31&gt;DA$5),"■","")))</x:f>
      </x:c>
      <x:c r="DB31" s="7" t="str">
        <x:f>IF(OR($D31="",DB$5="",'상세일정'!AM31="제외"),"",IF($D31=$E31,IF(AND($D31&gt;=DB$5,$D31&lt;DB$5+7),"◆",""),IF(AND($D31&lt;DB$5+7,$E31&gt;DB$5),"■","")))</x:f>
      </x:c>
      <x:c r="DC31" s="7" t="str">
        <x:f>IF(OR($D31="",DC$5="",'상세일정'!AM31="제외"),"",IF($D31=$E31,IF(AND($D31&gt;=DC$5,$D31&lt;DC$5+7),"◆",""),IF(AND($D31&lt;DC$5+7,$E31&gt;DC$5),"■","")))</x:f>
      </x:c>
      <x:c r="DD31" s="7" t="str">
        <x:f>IF(OR($D31="",DD$5="",'상세일정'!AM31="제외"),"",IF($D31=$E31,IF(AND($D31&gt;=DD$5,$D31&lt;DD$5+7),"◆",""),IF(AND($D31&lt;DD$5+7,$E31&gt;DD$5),"■","")))</x:f>
      </x:c>
      <x:c r="DE31" s="7" t="str">
        <x:f>IF(OR($D31="",DE$5="",'상세일정'!AM31="제외"),"",IF($D31=$E31,IF(AND($D31&gt;=DE$5,$D31&lt;DE$5+7),"◆",""),IF(AND($D31&lt;DE$5+7,$E31&gt;DE$5),"■","")))</x:f>
      </x:c>
    </x:row>
    <x:row r="32" ht="34" customHeight="1">
      <x:c r="A32" s="7" t="str">
        <x:v>PD02</x:v>
      </x:c>
      <x:c r="B32" s="7" t="str">
        <x:v>06 공정·배관 상세설계</x:v>
      </x:c>
      <x:c r="C32" s="7" t="str">
        <x:v>Line list 운전·설계 P/T 및 유체 검증</x:v>
      </x:c>
      <x:c r="D32" s="10" t="str">
        <x:f>'상세일정'!AJ32</x:f>
      </x:c>
      <x:c r="E32" s="10" t="str">
        <x:f>'상세일정'!AK32</x:f>
      </x:c>
      <x:c r="F32" s="7" t="str">
        <x:f>IF(OR($D32="",F$5="",'상세일정'!AM32="제외"),"",IF($D32=$E32,IF(AND($D32&gt;=F$5,$D32&lt;F$5+7),"◆",""),IF(AND($D32&lt;F$5+7,$E32&gt;F$5),"■","")))</x:f>
      </x:c>
      <x:c r="G32" s="7" t="str">
        <x:f>IF(OR($D32="",G$5="",'상세일정'!AM32="제외"),"",IF($D32=$E32,IF(AND($D32&gt;=G$5,$D32&lt;G$5+7),"◆",""),IF(AND($D32&lt;G$5+7,$E32&gt;G$5),"■","")))</x:f>
      </x:c>
      <x:c r="H32" s="7" t="str">
        <x:f>IF(OR($D32="",H$5="",'상세일정'!AM32="제외"),"",IF($D32=$E32,IF(AND($D32&gt;=H$5,$D32&lt;H$5+7),"◆",""),IF(AND($D32&lt;H$5+7,$E32&gt;H$5),"■","")))</x:f>
      </x:c>
      <x:c r="I32" s="7" t="str">
        <x:f>IF(OR($D32="",I$5="",'상세일정'!AM32="제외"),"",IF($D32=$E32,IF(AND($D32&gt;=I$5,$D32&lt;I$5+7),"◆",""),IF(AND($D32&lt;I$5+7,$E32&gt;I$5),"■","")))</x:f>
      </x:c>
      <x:c r="J32" s="7" t="str">
        <x:f>IF(OR($D32="",J$5="",'상세일정'!AM32="제외"),"",IF($D32=$E32,IF(AND($D32&gt;=J$5,$D32&lt;J$5+7),"◆",""),IF(AND($D32&lt;J$5+7,$E32&gt;J$5),"■","")))</x:f>
      </x:c>
      <x:c r="K32" s="7" t="str">
        <x:f>IF(OR($D32="",K$5="",'상세일정'!AM32="제외"),"",IF($D32=$E32,IF(AND($D32&gt;=K$5,$D32&lt;K$5+7),"◆",""),IF(AND($D32&lt;K$5+7,$E32&gt;K$5),"■","")))</x:f>
      </x:c>
      <x:c r="L32" s="7" t="str">
        <x:f>IF(OR($D32="",L$5="",'상세일정'!AM32="제외"),"",IF($D32=$E32,IF(AND($D32&gt;=L$5,$D32&lt;L$5+7),"◆",""),IF(AND($D32&lt;L$5+7,$E32&gt;L$5),"■","")))</x:f>
      </x:c>
      <x:c r="M32" s="7" t="str">
        <x:f>IF(OR($D32="",M$5="",'상세일정'!AM32="제외"),"",IF($D32=$E32,IF(AND($D32&gt;=M$5,$D32&lt;M$5+7),"◆",""),IF(AND($D32&lt;M$5+7,$E32&gt;M$5),"■","")))</x:f>
      </x:c>
      <x:c r="N32" s="7" t="str">
        <x:f>IF(OR($D32="",N$5="",'상세일정'!AM32="제외"),"",IF($D32=$E32,IF(AND($D32&gt;=N$5,$D32&lt;N$5+7),"◆",""),IF(AND($D32&lt;N$5+7,$E32&gt;N$5),"■","")))</x:f>
      </x:c>
      <x:c r="O32" s="7" t="str">
        <x:f>IF(OR($D32="",O$5="",'상세일정'!AM32="제외"),"",IF($D32=$E32,IF(AND($D32&gt;=O$5,$D32&lt;O$5+7),"◆",""),IF(AND($D32&lt;O$5+7,$E32&gt;O$5),"■","")))</x:f>
      </x:c>
      <x:c r="P32" s="7" t="str">
        <x:f>IF(OR($D32="",P$5="",'상세일정'!AM32="제외"),"",IF($D32=$E32,IF(AND($D32&gt;=P$5,$D32&lt;P$5+7),"◆",""),IF(AND($D32&lt;P$5+7,$E32&gt;P$5),"■","")))</x:f>
      </x:c>
      <x:c r="Q32" s="7" t="str">
        <x:f>IF(OR($D32="",Q$5="",'상세일정'!AM32="제외"),"",IF($D32=$E32,IF(AND($D32&gt;=Q$5,$D32&lt;Q$5+7),"◆",""),IF(AND($D32&lt;Q$5+7,$E32&gt;Q$5),"■","")))</x:f>
      </x:c>
      <x:c r="R32" s="7" t="str">
        <x:f>IF(OR($D32="",R$5="",'상세일정'!AM32="제외"),"",IF($D32=$E32,IF(AND($D32&gt;=R$5,$D32&lt;R$5+7),"◆",""),IF(AND($D32&lt;R$5+7,$E32&gt;R$5),"■","")))</x:f>
      </x:c>
      <x:c r="S32" s="7" t="str">
        <x:f>IF(OR($D32="",S$5="",'상세일정'!AM32="제외"),"",IF($D32=$E32,IF(AND($D32&gt;=S$5,$D32&lt;S$5+7),"◆",""),IF(AND($D32&lt;S$5+7,$E32&gt;S$5),"■","")))</x:f>
      </x:c>
      <x:c r="T32" s="7" t="str">
        <x:f>IF(OR($D32="",T$5="",'상세일정'!AM32="제외"),"",IF($D32=$E32,IF(AND($D32&gt;=T$5,$D32&lt;T$5+7),"◆",""),IF(AND($D32&lt;T$5+7,$E32&gt;T$5),"■","")))</x:f>
      </x:c>
      <x:c r="U32" s="7" t="str">
        <x:f>IF(OR($D32="",U$5="",'상세일정'!AM32="제외"),"",IF($D32=$E32,IF(AND($D32&gt;=U$5,$D32&lt;U$5+7),"◆",""),IF(AND($D32&lt;U$5+7,$E32&gt;U$5),"■","")))</x:f>
      </x:c>
      <x:c r="V32" s="7" t="str">
        <x:f>IF(OR($D32="",V$5="",'상세일정'!AM32="제외"),"",IF($D32=$E32,IF(AND($D32&gt;=V$5,$D32&lt;V$5+7),"◆",""),IF(AND($D32&lt;V$5+7,$E32&gt;V$5),"■","")))</x:f>
      </x:c>
      <x:c r="W32" s="7" t="str">
        <x:f>IF(OR($D32="",W$5="",'상세일정'!AM32="제외"),"",IF($D32=$E32,IF(AND($D32&gt;=W$5,$D32&lt;W$5+7),"◆",""),IF(AND($D32&lt;W$5+7,$E32&gt;W$5),"■","")))</x:f>
      </x:c>
      <x:c r="X32" s="7" t="str">
        <x:f>IF(OR($D32="",X$5="",'상세일정'!AM32="제외"),"",IF($D32=$E32,IF(AND($D32&gt;=X$5,$D32&lt;X$5+7),"◆",""),IF(AND($D32&lt;X$5+7,$E32&gt;X$5),"■","")))</x:f>
      </x:c>
      <x:c r="Y32" s="7" t="str">
        <x:f>IF(OR($D32="",Y$5="",'상세일정'!AM32="제외"),"",IF($D32=$E32,IF(AND($D32&gt;=Y$5,$D32&lt;Y$5+7),"◆",""),IF(AND($D32&lt;Y$5+7,$E32&gt;Y$5),"■","")))</x:f>
      </x:c>
      <x:c r="Z32" s="7" t="str">
        <x:f>IF(OR($D32="",Z$5="",'상세일정'!AM32="제외"),"",IF($D32=$E32,IF(AND($D32&gt;=Z$5,$D32&lt;Z$5+7),"◆",""),IF(AND($D32&lt;Z$5+7,$E32&gt;Z$5),"■","")))</x:f>
      </x:c>
      <x:c r="AA32" s="7" t="str">
        <x:f>IF(OR($D32="",AA$5="",'상세일정'!AM32="제외"),"",IF($D32=$E32,IF(AND($D32&gt;=AA$5,$D32&lt;AA$5+7),"◆",""),IF(AND($D32&lt;AA$5+7,$E32&gt;AA$5),"■","")))</x:f>
      </x:c>
      <x:c r="AB32" s="7" t="str">
        <x:f>IF(OR($D32="",AB$5="",'상세일정'!AM32="제외"),"",IF($D32=$E32,IF(AND($D32&gt;=AB$5,$D32&lt;AB$5+7),"◆",""),IF(AND($D32&lt;AB$5+7,$E32&gt;AB$5),"■","")))</x:f>
      </x:c>
      <x:c r="AC32" s="7" t="str">
        <x:f>IF(OR($D32="",AC$5="",'상세일정'!AM32="제외"),"",IF($D32=$E32,IF(AND($D32&gt;=AC$5,$D32&lt;AC$5+7),"◆",""),IF(AND($D32&lt;AC$5+7,$E32&gt;AC$5),"■","")))</x:f>
      </x:c>
      <x:c r="AD32" s="7" t="str">
        <x:f>IF(OR($D32="",AD$5="",'상세일정'!AM32="제외"),"",IF($D32=$E32,IF(AND($D32&gt;=AD$5,$D32&lt;AD$5+7),"◆",""),IF(AND($D32&lt;AD$5+7,$E32&gt;AD$5),"■","")))</x:f>
      </x:c>
      <x:c r="AE32" s="7" t="str">
        <x:f>IF(OR($D32="",AE$5="",'상세일정'!AM32="제외"),"",IF($D32=$E32,IF(AND($D32&gt;=AE$5,$D32&lt;AE$5+7),"◆",""),IF(AND($D32&lt;AE$5+7,$E32&gt;AE$5),"■","")))</x:f>
      </x:c>
      <x:c r="AF32" s="7" t="str">
        <x:f>IF(OR($D32="",AF$5="",'상세일정'!AM32="제외"),"",IF($D32=$E32,IF(AND($D32&gt;=AF$5,$D32&lt;AF$5+7),"◆",""),IF(AND($D32&lt;AF$5+7,$E32&gt;AF$5),"■","")))</x:f>
      </x:c>
      <x:c r="AG32" s="7" t="str">
        <x:f>IF(OR($D32="",AG$5="",'상세일정'!AM32="제외"),"",IF($D32=$E32,IF(AND($D32&gt;=AG$5,$D32&lt;AG$5+7),"◆",""),IF(AND($D32&lt;AG$5+7,$E32&gt;AG$5),"■","")))</x:f>
      </x:c>
      <x:c r="AH32" s="7" t="str">
        <x:f>IF(OR($D32="",AH$5="",'상세일정'!AM32="제외"),"",IF($D32=$E32,IF(AND($D32&gt;=AH$5,$D32&lt;AH$5+7),"◆",""),IF(AND($D32&lt;AH$5+7,$E32&gt;AH$5),"■","")))</x:f>
      </x:c>
      <x:c r="AI32" s="7" t="str">
        <x:f>IF(OR($D32="",AI$5="",'상세일정'!AM32="제외"),"",IF($D32=$E32,IF(AND($D32&gt;=AI$5,$D32&lt;AI$5+7),"◆",""),IF(AND($D32&lt;AI$5+7,$E32&gt;AI$5),"■","")))</x:f>
      </x:c>
      <x:c r="AJ32" s="7" t="str">
        <x:f>IF(OR($D32="",AJ$5="",'상세일정'!AM32="제외"),"",IF($D32=$E32,IF(AND($D32&gt;=AJ$5,$D32&lt;AJ$5+7),"◆",""),IF(AND($D32&lt;AJ$5+7,$E32&gt;AJ$5),"■","")))</x:f>
      </x:c>
      <x:c r="AK32" s="7" t="str">
        <x:f>IF(OR($D32="",AK$5="",'상세일정'!AM32="제외"),"",IF($D32=$E32,IF(AND($D32&gt;=AK$5,$D32&lt;AK$5+7),"◆",""),IF(AND($D32&lt;AK$5+7,$E32&gt;AK$5),"■","")))</x:f>
      </x:c>
      <x:c r="AL32" s="7" t="str">
        <x:f>IF(OR($D32="",AL$5="",'상세일정'!AM32="제외"),"",IF($D32=$E32,IF(AND($D32&gt;=AL$5,$D32&lt;AL$5+7),"◆",""),IF(AND($D32&lt;AL$5+7,$E32&gt;AL$5),"■","")))</x:f>
      </x:c>
      <x:c r="AM32" s="7" t="str">
        <x:f>IF(OR($D32="",AM$5="",'상세일정'!AM32="제외"),"",IF($D32=$E32,IF(AND($D32&gt;=AM$5,$D32&lt;AM$5+7),"◆",""),IF(AND($D32&lt;AM$5+7,$E32&gt;AM$5),"■","")))</x:f>
      </x:c>
      <x:c r="AN32" s="7" t="str">
        <x:f>IF(OR($D32="",AN$5="",'상세일정'!AM32="제외"),"",IF($D32=$E32,IF(AND($D32&gt;=AN$5,$D32&lt;AN$5+7),"◆",""),IF(AND($D32&lt;AN$5+7,$E32&gt;AN$5),"■","")))</x:f>
      </x:c>
      <x:c r="AO32" s="7" t="str">
        <x:f>IF(OR($D32="",AO$5="",'상세일정'!AM32="제외"),"",IF($D32=$E32,IF(AND($D32&gt;=AO$5,$D32&lt;AO$5+7),"◆",""),IF(AND($D32&lt;AO$5+7,$E32&gt;AO$5),"■","")))</x:f>
      </x:c>
      <x:c r="AP32" s="7" t="str">
        <x:f>IF(OR($D32="",AP$5="",'상세일정'!AM32="제외"),"",IF($D32=$E32,IF(AND($D32&gt;=AP$5,$D32&lt;AP$5+7),"◆",""),IF(AND($D32&lt;AP$5+7,$E32&gt;AP$5),"■","")))</x:f>
      </x:c>
      <x:c r="AQ32" s="7" t="str">
        <x:f>IF(OR($D32="",AQ$5="",'상세일정'!AM32="제외"),"",IF($D32=$E32,IF(AND($D32&gt;=AQ$5,$D32&lt;AQ$5+7),"◆",""),IF(AND($D32&lt;AQ$5+7,$E32&gt;AQ$5),"■","")))</x:f>
      </x:c>
      <x:c r="AR32" s="7" t="str">
        <x:f>IF(OR($D32="",AR$5="",'상세일정'!AM32="제외"),"",IF($D32=$E32,IF(AND($D32&gt;=AR$5,$D32&lt;AR$5+7),"◆",""),IF(AND($D32&lt;AR$5+7,$E32&gt;AR$5),"■","")))</x:f>
      </x:c>
      <x:c r="AS32" s="7" t="str">
        <x:f>IF(OR($D32="",AS$5="",'상세일정'!AM32="제외"),"",IF($D32=$E32,IF(AND($D32&gt;=AS$5,$D32&lt;AS$5+7),"◆",""),IF(AND($D32&lt;AS$5+7,$E32&gt;AS$5),"■","")))</x:f>
      </x:c>
      <x:c r="AT32" s="7" t="str">
        <x:f>IF(OR($D32="",AT$5="",'상세일정'!AM32="제외"),"",IF($D32=$E32,IF(AND($D32&gt;=AT$5,$D32&lt;AT$5+7),"◆",""),IF(AND($D32&lt;AT$5+7,$E32&gt;AT$5),"■","")))</x:f>
      </x:c>
      <x:c r="AU32" s="7" t="str">
        <x:f>IF(OR($D32="",AU$5="",'상세일정'!AM32="제외"),"",IF($D32=$E32,IF(AND($D32&gt;=AU$5,$D32&lt;AU$5+7),"◆",""),IF(AND($D32&lt;AU$5+7,$E32&gt;AU$5),"■","")))</x:f>
      </x:c>
      <x:c r="AV32" s="7" t="str">
        <x:f>IF(OR($D32="",AV$5="",'상세일정'!AM32="제외"),"",IF($D32=$E32,IF(AND($D32&gt;=AV$5,$D32&lt;AV$5+7),"◆",""),IF(AND($D32&lt;AV$5+7,$E32&gt;AV$5),"■","")))</x:f>
      </x:c>
      <x:c r="AW32" s="7" t="str">
        <x:f>IF(OR($D32="",AW$5="",'상세일정'!AM32="제외"),"",IF($D32=$E32,IF(AND($D32&gt;=AW$5,$D32&lt;AW$5+7),"◆",""),IF(AND($D32&lt;AW$5+7,$E32&gt;AW$5),"■","")))</x:f>
      </x:c>
      <x:c r="AX32" s="7" t="str">
        <x:f>IF(OR($D32="",AX$5="",'상세일정'!AM32="제외"),"",IF($D32=$E32,IF(AND($D32&gt;=AX$5,$D32&lt;AX$5+7),"◆",""),IF(AND($D32&lt;AX$5+7,$E32&gt;AX$5),"■","")))</x:f>
      </x:c>
      <x:c r="AY32" s="7" t="str">
        <x:f>IF(OR($D32="",AY$5="",'상세일정'!AM32="제외"),"",IF($D32=$E32,IF(AND($D32&gt;=AY$5,$D32&lt;AY$5+7),"◆",""),IF(AND($D32&lt;AY$5+7,$E32&gt;AY$5),"■","")))</x:f>
      </x:c>
      <x:c r="AZ32" s="7" t="str">
        <x:f>IF(OR($D32="",AZ$5="",'상세일정'!AM32="제외"),"",IF($D32=$E32,IF(AND($D32&gt;=AZ$5,$D32&lt;AZ$5+7),"◆",""),IF(AND($D32&lt;AZ$5+7,$E32&gt;AZ$5),"■","")))</x:f>
      </x:c>
      <x:c r="BA32" s="7" t="str">
        <x:f>IF(OR($D32="",BA$5="",'상세일정'!AM32="제외"),"",IF($D32=$E32,IF(AND($D32&gt;=BA$5,$D32&lt;BA$5+7),"◆",""),IF(AND($D32&lt;BA$5+7,$E32&gt;BA$5),"■","")))</x:f>
      </x:c>
      <x:c r="BB32" s="7" t="str">
        <x:f>IF(OR($D32="",BB$5="",'상세일정'!AM32="제외"),"",IF($D32=$E32,IF(AND($D32&gt;=BB$5,$D32&lt;BB$5+7),"◆",""),IF(AND($D32&lt;BB$5+7,$E32&gt;BB$5),"■","")))</x:f>
      </x:c>
      <x:c r="BC32" s="7" t="str">
        <x:f>IF(OR($D32="",BC$5="",'상세일정'!AM32="제외"),"",IF($D32=$E32,IF(AND($D32&gt;=BC$5,$D32&lt;BC$5+7),"◆",""),IF(AND($D32&lt;BC$5+7,$E32&gt;BC$5),"■","")))</x:f>
      </x:c>
      <x:c r="BD32" s="7" t="str">
        <x:f>IF(OR($D32="",BD$5="",'상세일정'!AM32="제외"),"",IF($D32=$E32,IF(AND($D32&gt;=BD$5,$D32&lt;BD$5+7),"◆",""),IF(AND($D32&lt;BD$5+7,$E32&gt;BD$5),"■","")))</x:f>
      </x:c>
      <x:c r="BE32" s="7" t="str">
        <x:f>IF(OR($D32="",BE$5="",'상세일정'!AM32="제외"),"",IF($D32=$E32,IF(AND($D32&gt;=BE$5,$D32&lt;BE$5+7),"◆",""),IF(AND($D32&lt;BE$5+7,$E32&gt;BE$5),"■","")))</x:f>
      </x:c>
      <x:c r="BF32" s="7" t="str">
        <x:f>IF(OR($D32="",BF$5="",'상세일정'!AM32="제외"),"",IF($D32=$E32,IF(AND($D32&gt;=BF$5,$D32&lt;BF$5+7),"◆",""),IF(AND($D32&lt;BF$5+7,$E32&gt;BF$5),"■","")))</x:f>
      </x:c>
      <x:c r="BG32" s="7" t="str">
        <x:f>IF(OR($D32="",BG$5="",'상세일정'!AM32="제외"),"",IF($D32=$E32,IF(AND($D32&gt;=BG$5,$D32&lt;BG$5+7),"◆",""),IF(AND($D32&lt;BG$5+7,$E32&gt;BG$5),"■","")))</x:f>
      </x:c>
      <x:c r="BH32" s="7" t="str">
        <x:f>IF(OR($D32="",BH$5="",'상세일정'!AM32="제외"),"",IF($D32=$E32,IF(AND($D32&gt;=BH$5,$D32&lt;BH$5+7),"◆",""),IF(AND($D32&lt;BH$5+7,$E32&gt;BH$5),"■","")))</x:f>
      </x:c>
      <x:c r="BI32" s="7" t="str">
        <x:f>IF(OR($D32="",BI$5="",'상세일정'!AM32="제외"),"",IF($D32=$E32,IF(AND($D32&gt;=BI$5,$D32&lt;BI$5+7),"◆",""),IF(AND($D32&lt;BI$5+7,$E32&gt;BI$5),"■","")))</x:f>
      </x:c>
      <x:c r="BJ32" s="7" t="str">
        <x:f>IF(OR($D32="",BJ$5="",'상세일정'!AM32="제외"),"",IF($D32=$E32,IF(AND($D32&gt;=BJ$5,$D32&lt;BJ$5+7),"◆",""),IF(AND($D32&lt;BJ$5+7,$E32&gt;BJ$5),"■","")))</x:f>
      </x:c>
      <x:c r="BK32" s="7" t="str">
        <x:f>IF(OR($D32="",BK$5="",'상세일정'!AM32="제외"),"",IF($D32=$E32,IF(AND($D32&gt;=BK$5,$D32&lt;BK$5+7),"◆",""),IF(AND($D32&lt;BK$5+7,$E32&gt;BK$5),"■","")))</x:f>
      </x:c>
      <x:c r="BL32" s="7" t="str">
        <x:f>IF(OR($D32="",BL$5="",'상세일정'!AM32="제외"),"",IF($D32=$E32,IF(AND($D32&gt;=BL$5,$D32&lt;BL$5+7),"◆",""),IF(AND($D32&lt;BL$5+7,$E32&gt;BL$5),"■","")))</x:f>
      </x:c>
      <x:c r="BM32" s="7" t="str">
        <x:f>IF(OR($D32="",BM$5="",'상세일정'!AM32="제외"),"",IF($D32=$E32,IF(AND($D32&gt;=BM$5,$D32&lt;BM$5+7),"◆",""),IF(AND($D32&lt;BM$5+7,$E32&gt;BM$5),"■","")))</x:f>
      </x:c>
      <x:c r="BN32" s="7" t="str">
        <x:f>IF(OR($D32="",BN$5="",'상세일정'!AM32="제외"),"",IF($D32=$E32,IF(AND($D32&gt;=BN$5,$D32&lt;BN$5+7),"◆",""),IF(AND($D32&lt;BN$5+7,$E32&gt;BN$5),"■","")))</x:f>
      </x:c>
      <x:c r="BO32" s="7" t="str">
        <x:f>IF(OR($D32="",BO$5="",'상세일정'!AM32="제외"),"",IF($D32=$E32,IF(AND($D32&gt;=BO$5,$D32&lt;BO$5+7),"◆",""),IF(AND($D32&lt;BO$5+7,$E32&gt;BO$5),"■","")))</x:f>
      </x:c>
      <x:c r="BP32" s="7" t="str">
        <x:f>IF(OR($D32="",BP$5="",'상세일정'!AM32="제외"),"",IF($D32=$E32,IF(AND($D32&gt;=BP$5,$D32&lt;BP$5+7),"◆",""),IF(AND($D32&lt;BP$5+7,$E32&gt;BP$5),"■","")))</x:f>
      </x:c>
      <x:c r="BQ32" s="7" t="str">
        <x:f>IF(OR($D32="",BQ$5="",'상세일정'!AM32="제외"),"",IF($D32=$E32,IF(AND($D32&gt;=BQ$5,$D32&lt;BQ$5+7),"◆",""),IF(AND($D32&lt;BQ$5+7,$E32&gt;BQ$5),"■","")))</x:f>
      </x:c>
      <x:c r="BR32" s="7" t="str">
        <x:f>IF(OR($D32="",BR$5="",'상세일정'!AM32="제외"),"",IF($D32=$E32,IF(AND($D32&gt;=BR$5,$D32&lt;BR$5+7),"◆",""),IF(AND($D32&lt;BR$5+7,$E32&gt;BR$5),"■","")))</x:f>
      </x:c>
      <x:c r="BS32" s="7" t="str">
        <x:f>IF(OR($D32="",BS$5="",'상세일정'!AM32="제외"),"",IF($D32=$E32,IF(AND($D32&gt;=BS$5,$D32&lt;BS$5+7),"◆",""),IF(AND($D32&lt;BS$5+7,$E32&gt;BS$5),"■","")))</x:f>
      </x:c>
      <x:c r="BT32" s="7" t="str">
        <x:f>IF(OR($D32="",BT$5="",'상세일정'!AM32="제외"),"",IF($D32=$E32,IF(AND($D32&gt;=BT$5,$D32&lt;BT$5+7),"◆",""),IF(AND($D32&lt;BT$5+7,$E32&gt;BT$5),"■","")))</x:f>
      </x:c>
      <x:c r="BU32" s="7" t="str">
        <x:f>IF(OR($D32="",BU$5="",'상세일정'!AM32="제외"),"",IF($D32=$E32,IF(AND($D32&gt;=BU$5,$D32&lt;BU$5+7),"◆",""),IF(AND($D32&lt;BU$5+7,$E32&gt;BU$5),"■","")))</x:f>
      </x:c>
      <x:c r="BV32" s="7" t="str">
        <x:f>IF(OR($D32="",BV$5="",'상세일정'!AM32="제외"),"",IF($D32=$E32,IF(AND($D32&gt;=BV$5,$D32&lt;BV$5+7),"◆",""),IF(AND($D32&lt;BV$5+7,$E32&gt;BV$5),"■","")))</x:f>
      </x:c>
      <x:c r="BW32" s="7" t="str">
        <x:f>IF(OR($D32="",BW$5="",'상세일정'!AM32="제외"),"",IF($D32=$E32,IF(AND($D32&gt;=BW$5,$D32&lt;BW$5+7),"◆",""),IF(AND($D32&lt;BW$5+7,$E32&gt;BW$5),"■","")))</x:f>
      </x:c>
      <x:c r="BX32" s="7" t="str">
        <x:f>IF(OR($D32="",BX$5="",'상세일정'!AM32="제외"),"",IF($D32=$E32,IF(AND($D32&gt;=BX$5,$D32&lt;BX$5+7),"◆",""),IF(AND($D32&lt;BX$5+7,$E32&gt;BX$5),"■","")))</x:f>
      </x:c>
      <x:c r="BY32" s="7" t="str">
        <x:f>IF(OR($D32="",BY$5="",'상세일정'!AM32="제외"),"",IF($D32=$E32,IF(AND($D32&gt;=BY$5,$D32&lt;BY$5+7),"◆",""),IF(AND($D32&lt;BY$5+7,$E32&gt;BY$5),"■","")))</x:f>
      </x:c>
      <x:c r="BZ32" s="7" t="str">
        <x:f>IF(OR($D32="",BZ$5="",'상세일정'!AM32="제외"),"",IF($D32=$E32,IF(AND($D32&gt;=BZ$5,$D32&lt;BZ$5+7),"◆",""),IF(AND($D32&lt;BZ$5+7,$E32&gt;BZ$5),"■","")))</x:f>
      </x:c>
      <x:c r="CA32" s="7" t="str">
        <x:f>IF(OR($D32="",CA$5="",'상세일정'!AM32="제외"),"",IF($D32=$E32,IF(AND($D32&gt;=CA$5,$D32&lt;CA$5+7),"◆",""),IF(AND($D32&lt;CA$5+7,$E32&gt;CA$5),"■","")))</x:f>
      </x:c>
      <x:c r="CB32" s="7" t="str">
        <x:f>IF(OR($D32="",CB$5="",'상세일정'!AM32="제외"),"",IF($D32=$E32,IF(AND($D32&gt;=CB$5,$D32&lt;CB$5+7),"◆",""),IF(AND($D32&lt;CB$5+7,$E32&gt;CB$5),"■","")))</x:f>
      </x:c>
      <x:c r="CC32" s="7" t="str">
        <x:f>IF(OR($D32="",CC$5="",'상세일정'!AM32="제외"),"",IF($D32=$E32,IF(AND($D32&gt;=CC$5,$D32&lt;CC$5+7),"◆",""),IF(AND($D32&lt;CC$5+7,$E32&gt;CC$5),"■","")))</x:f>
      </x:c>
      <x:c r="CD32" s="7" t="str">
        <x:f>IF(OR($D32="",CD$5="",'상세일정'!AM32="제외"),"",IF($D32=$E32,IF(AND($D32&gt;=CD$5,$D32&lt;CD$5+7),"◆",""),IF(AND($D32&lt;CD$5+7,$E32&gt;CD$5),"■","")))</x:f>
      </x:c>
      <x:c r="CE32" s="7" t="str">
        <x:f>IF(OR($D32="",CE$5="",'상세일정'!AM32="제외"),"",IF($D32=$E32,IF(AND($D32&gt;=CE$5,$D32&lt;CE$5+7),"◆",""),IF(AND($D32&lt;CE$5+7,$E32&gt;CE$5),"■","")))</x:f>
      </x:c>
      <x:c r="CF32" s="7" t="str">
        <x:f>IF(OR($D32="",CF$5="",'상세일정'!AM32="제외"),"",IF($D32=$E32,IF(AND($D32&gt;=CF$5,$D32&lt;CF$5+7),"◆",""),IF(AND($D32&lt;CF$5+7,$E32&gt;CF$5),"■","")))</x:f>
      </x:c>
      <x:c r="CG32" s="7" t="str">
        <x:f>IF(OR($D32="",CG$5="",'상세일정'!AM32="제외"),"",IF($D32=$E32,IF(AND($D32&gt;=CG$5,$D32&lt;CG$5+7),"◆",""),IF(AND($D32&lt;CG$5+7,$E32&gt;CG$5),"■","")))</x:f>
      </x:c>
      <x:c r="CH32" s="7" t="str">
        <x:f>IF(OR($D32="",CH$5="",'상세일정'!AM32="제외"),"",IF($D32=$E32,IF(AND($D32&gt;=CH$5,$D32&lt;CH$5+7),"◆",""),IF(AND($D32&lt;CH$5+7,$E32&gt;CH$5),"■","")))</x:f>
      </x:c>
      <x:c r="CI32" s="7" t="str">
        <x:f>IF(OR($D32="",CI$5="",'상세일정'!AM32="제외"),"",IF($D32=$E32,IF(AND($D32&gt;=CI$5,$D32&lt;CI$5+7),"◆",""),IF(AND($D32&lt;CI$5+7,$E32&gt;CI$5),"■","")))</x:f>
      </x:c>
      <x:c r="CJ32" s="7" t="str">
        <x:f>IF(OR($D32="",CJ$5="",'상세일정'!AM32="제외"),"",IF($D32=$E32,IF(AND($D32&gt;=CJ$5,$D32&lt;CJ$5+7),"◆",""),IF(AND($D32&lt;CJ$5+7,$E32&gt;CJ$5),"■","")))</x:f>
      </x:c>
      <x:c r="CK32" s="7" t="str">
        <x:f>IF(OR($D32="",CK$5="",'상세일정'!AM32="제외"),"",IF($D32=$E32,IF(AND($D32&gt;=CK$5,$D32&lt;CK$5+7),"◆",""),IF(AND($D32&lt;CK$5+7,$E32&gt;CK$5),"■","")))</x:f>
      </x:c>
      <x:c r="CL32" s="7" t="str">
        <x:f>IF(OR($D32="",CL$5="",'상세일정'!AM32="제외"),"",IF($D32=$E32,IF(AND($D32&gt;=CL$5,$D32&lt;CL$5+7),"◆",""),IF(AND($D32&lt;CL$5+7,$E32&gt;CL$5),"■","")))</x:f>
      </x:c>
      <x:c r="CM32" s="7" t="str">
        <x:f>IF(OR($D32="",CM$5="",'상세일정'!AM32="제외"),"",IF($D32=$E32,IF(AND($D32&gt;=CM$5,$D32&lt;CM$5+7),"◆",""),IF(AND($D32&lt;CM$5+7,$E32&gt;CM$5),"■","")))</x:f>
      </x:c>
      <x:c r="CN32" s="7" t="str">
        <x:f>IF(OR($D32="",CN$5="",'상세일정'!AM32="제외"),"",IF($D32=$E32,IF(AND($D32&gt;=CN$5,$D32&lt;CN$5+7),"◆",""),IF(AND($D32&lt;CN$5+7,$E32&gt;CN$5),"■","")))</x:f>
      </x:c>
      <x:c r="CO32" s="7" t="str">
        <x:f>IF(OR($D32="",CO$5="",'상세일정'!AM32="제외"),"",IF($D32=$E32,IF(AND($D32&gt;=CO$5,$D32&lt;CO$5+7),"◆",""),IF(AND($D32&lt;CO$5+7,$E32&gt;CO$5),"■","")))</x:f>
      </x:c>
      <x:c r="CP32" s="7" t="str">
        <x:f>IF(OR($D32="",CP$5="",'상세일정'!AM32="제외"),"",IF($D32=$E32,IF(AND($D32&gt;=CP$5,$D32&lt;CP$5+7),"◆",""),IF(AND($D32&lt;CP$5+7,$E32&gt;CP$5),"■","")))</x:f>
      </x:c>
      <x:c r="CQ32" s="7" t="str">
        <x:f>IF(OR($D32="",CQ$5="",'상세일정'!AM32="제외"),"",IF($D32=$E32,IF(AND($D32&gt;=CQ$5,$D32&lt;CQ$5+7),"◆",""),IF(AND($D32&lt;CQ$5+7,$E32&gt;CQ$5),"■","")))</x:f>
      </x:c>
      <x:c r="CR32" s="7" t="str">
        <x:f>IF(OR($D32="",CR$5="",'상세일정'!AM32="제외"),"",IF($D32=$E32,IF(AND($D32&gt;=CR$5,$D32&lt;CR$5+7),"◆",""),IF(AND($D32&lt;CR$5+7,$E32&gt;CR$5),"■","")))</x:f>
      </x:c>
      <x:c r="CS32" s="7" t="str">
        <x:f>IF(OR($D32="",CS$5="",'상세일정'!AM32="제외"),"",IF($D32=$E32,IF(AND($D32&gt;=CS$5,$D32&lt;CS$5+7),"◆",""),IF(AND($D32&lt;CS$5+7,$E32&gt;CS$5),"■","")))</x:f>
      </x:c>
      <x:c r="CT32" s="7" t="str">
        <x:f>IF(OR($D32="",CT$5="",'상세일정'!AM32="제외"),"",IF($D32=$E32,IF(AND($D32&gt;=CT$5,$D32&lt;CT$5+7),"◆",""),IF(AND($D32&lt;CT$5+7,$E32&gt;CT$5),"■","")))</x:f>
      </x:c>
      <x:c r="CU32" s="7" t="str">
        <x:f>IF(OR($D32="",CU$5="",'상세일정'!AM32="제외"),"",IF($D32=$E32,IF(AND($D32&gt;=CU$5,$D32&lt;CU$5+7),"◆",""),IF(AND($D32&lt;CU$5+7,$E32&gt;CU$5),"■","")))</x:f>
      </x:c>
      <x:c r="CV32" s="7" t="str">
        <x:f>IF(OR($D32="",CV$5="",'상세일정'!AM32="제외"),"",IF($D32=$E32,IF(AND($D32&gt;=CV$5,$D32&lt;CV$5+7),"◆",""),IF(AND($D32&lt;CV$5+7,$E32&gt;CV$5),"■","")))</x:f>
      </x:c>
      <x:c r="CW32" s="7" t="str">
        <x:f>IF(OR($D32="",CW$5="",'상세일정'!AM32="제외"),"",IF($D32=$E32,IF(AND($D32&gt;=CW$5,$D32&lt;CW$5+7),"◆",""),IF(AND($D32&lt;CW$5+7,$E32&gt;CW$5),"■","")))</x:f>
      </x:c>
      <x:c r="CX32" s="7" t="str">
        <x:f>IF(OR($D32="",CX$5="",'상세일정'!AM32="제외"),"",IF($D32=$E32,IF(AND($D32&gt;=CX$5,$D32&lt;CX$5+7),"◆",""),IF(AND($D32&lt;CX$5+7,$E32&gt;CX$5),"■","")))</x:f>
      </x:c>
      <x:c r="CY32" s="7" t="str">
        <x:f>IF(OR($D32="",CY$5="",'상세일정'!AM32="제외"),"",IF($D32=$E32,IF(AND($D32&gt;=CY$5,$D32&lt;CY$5+7),"◆",""),IF(AND($D32&lt;CY$5+7,$E32&gt;CY$5),"■","")))</x:f>
      </x:c>
      <x:c r="CZ32" s="7" t="str">
        <x:f>IF(OR($D32="",CZ$5="",'상세일정'!AM32="제외"),"",IF($D32=$E32,IF(AND($D32&gt;=CZ$5,$D32&lt;CZ$5+7),"◆",""),IF(AND($D32&lt;CZ$5+7,$E32&gt;CZ$5),"■","")))</x:f>
      </x:c>
      <x:c r="DA32" s="7" t="str">
        <x:f>IF(OR($D32="",DA$5="",'상세일정'!AM32="제외"),"",IF($D32=$E32,IF(AND($D32&gt;=DA$5,$D32&lt;DA$5+7),"◆",""),IF(AND($D32&lt;DA$5+7,$E32&gt;DA$5),"■","")))</x:f>
      </x:c>
      <x:c r="DB32" s="7" t="str">
        <x:f>IF(OR($D32="",DB$5="",'상세일정'!AM32="제외"),"",IF($D32=$E32,IF(AND($D32&gt;=DB$5,$D32&lt;DB$5+7),"◆",""),IF(AND($D32&lt;DB$5+7,$E32&gt;DB$5),"■","")))</x:f>
      </x:c>
      <x:c r="DC32" s="7" t="str">
        <x:f>IF(OR($D32="",DC$5="",'상세일정'!AM32="제외"),"",IF($D32=$E32,IF(AND($D32&gt;=DC$5,$D32&lt;DC$5+7),"◆",""),IF(AND($D32&lt;DC$5+7,$E32&gt;DC$5),"■","")))</x:f>
      </x:c>
      <x:c r="DD32" s="7" t="str">
        <x:f>IF(OR($D32="",DD$5="",'상세일정'!AM32="제외"),"",IF($D32=$E32,IF(AND($D32&gt;=DD$5,$D32&lt;DD$5+7),"◆",""),IF(AND($D32&lt;DD$5+7,$E32&gt;DD$5),"■","")))</x:f>
      </x:c>
      <x:c r="DE32" s="7" t="str">
        <x:f>IF(OR($D32="",DE$5="",'상세일정'!AM32="제외"),"",IF($D32=$E32,IF(AND($D32&gt;=DE$5,$D32&lt;DE$5+7),"◆",""),IF(AND($D32&lt;DE$5+7,$E32&gt;DE$5),"■","")))</x:f>
      </x:c>
    </x:row>
    <x:row r="33" ht="34" customHeight="1">
      <x:c r="A33" s="7" t="str">
        <x:v>PD03</x:v>
      </x:c>
      <x:c r="B33" s="7" t="str">
        <x:v>06 공정·배관 상세설계</x:v>
      </x:c>
      <x:c r="C33" s="7" t="str">
        <x:v>PMS·배관재질·압력등급 확정</x:v>
      </x:c>
      <x:c r="D33" s="10" t="str">
        <x:f>'상세일정'!AJ33</x:f>
      </x:c>
      <x:c r="E33" s="10" t="str">
        <x:f>'상세일정'!AK33</x:f>
      </x:c>
      <x:c r="F33" s="7" t="str">
        <x:f>IF(OR($D33="",F$5="",'상세일정'!AM33="제외"),"",IF($D33=$E33,IF(AND($D33&gt;=F$5,$D33&lt;F$5+7),"◆",""),IF(AND($D33&lt;F$5+7,$E33&gt;F$5),"■","")))</x:f>
      </x:c>
      <x:c r="G33" s="7" t="str">
        <x:f>IF(OR($D33="",G$5="",'상세일정'!AM33="제외"),"",IF($D33=$E33,IF(AND($D33&gt;=G$5,$D33&lt;G$5+7),"◆",""),IF(AND($D33&lt;G$5+7,$E33&gt;G$5),"■","")))</x:f>
      </x:c>
      <x:c r="H33" s="7" t="str">
        <x:f>IF(OR($D33="",H$5="",'상세일정'!AM33="제외"),"",IF($D33=$E33,IF(AND($D33&gt;=H$5,$D33&lt;H$5+7),"◆",""),IF(AND($D33&lt;H$5+7,$E33&gt;H$5),"■","")))</x:f>
      </x:c>
      <x:c r="I33" s="7" t="str">
        <x:f>IF(OR($D33="",I$5="",'상세일정'!AM33="제외"),"",IF($D33=$E33,IF(AND($D33&gt;=I$5,$D33&lt;I$5+7),"◆",""),IF(AND($D33&lt;I$5+7,$E33&gt;I$5),"■","")))</x:f>
      </x:c>
      <x:c r="J33" s="7" t="str">
        <x:f>IF(OR($D33="",J$5="",'상세일정'!AM33="제외"),"",IF($D33=$E33,IF(AND($D33&gt;=J$5,$D33&lt;J$5+7),"◆",""),IF(AND($D33&lt;J$5+7,$E33&gt;J$5),"■","")))</x:f>
      </x:c>
      <x:c r="K33" s="7" t="str">
        <x:f>IF(OR($D33="",K$5="",'상세일정'!AM33="제외"),"",IF($D33=$E33,IF(AND($D33&gt;=K$5,$D33&lt;K$5+7),"◆",""),IF(AND($D33&lt;K$5+7,$E33&gt;K$5),"■","")))</x:f>
      </x:c>
      <x:c r="L33" s="7" t="str">
        <x:f>IF(OR($D33="",L$5="",'상세일정'!AM33="제외"),"",IF($D33=$E33,IF(AND($D33&gt;=L$5,$D33&lt;L$5+7),"◆",""),IF(AND($D33&lt;L$5+7,$E33&gt;L$5),"■","")))</x:f>
      </x:c>
      <x:c r="M33" s="7" t="str">
        <x:f>IF(OR($D33="",M$5="",'상세일정'!AM33="제외"),"",IF($D33=$E33,IF(AND($D33&gt;=M$5,$D33&lt;M$5+7),"◆",""),IF(AND($D33&lt;M$5+7,$E33&gt;M$5),"■","")))</x:f>
      </x:c>
      <x:c r="N33" s="7" t="str">
        <x:f>IF(OR($D33="",N$5="",'상세일정'!AM33="제외"),"",IF($D33=$E33,IF(AND($D33&gt;=N$5,$D33&lt;N$5+7),"◆",""),IF(AND($D33&lt;N$5+7,$E33&gt;N$5),"■","")))</x:f>
      </x:c>
      <x:c r="O33" s="7" t="str">
        <x:f>IF(OR($D33="",O$5="",'상세일정'!AM33="제외"),"",IF($D33=$E33,IF(AND($D33&gt;=O$5,$D33&lt;O$5+7),"◆",""),IF(AND($D33&lt;O$5+7,$E33&gt;O$5),"■","")))</x:f>
      </x:c>
      <x:c r="P33" s="7" t="str">
        <x:f>IF(OR($D33="",P$5="",'상세일정'!AM33="제외"),"",IF($D33=$E33,IF(AND($D33&gt;=P$5,$D33&lt;P$5+7),"◆",""),IF(AND($D33&lt;P$5+7,$E33&gt;P$5),"■","")))</x:f>
      </x:c>
      <x:c r="Q33" s="7" t="str">
        <x:f>IF(OR($D33="",Q$5="",'상세일정'!AM33="제외"),"",IF($D33=$E33,IF(AND($D33&gt;=Q$5,$D33&lt;Q$5+7),"◆",""),IF(AND($D33&lt;Q$5+7,$E33&gt;Q$5),"■","")))</x:f>
      </x:c>
      <x:c r="R33" s="7" t="str">
        <x:f>IF(OR($D33="",R$5="",'상세일정'!AM33="제외"),"",IF($D33=$E33,IF(AND($D33&gt;=R$5,$D33&lt;R$5+7),"◆",""),IF(AND($D33&lt;R$5+7,$E33&gt;R$5),"■","")))</x:f>
      </x:c>
      <x:c r="S33" s="7" t="str">
        <x:f>IF(OR($D33="",S$5="",'상세일정'!AM33="제외"),"",IF($D33=$E33,IF(AND($D33&gt;=S$5,$D33&lt;S$5+7),"◆",""),IF(AND($D33&lt;S$5+7,$E33&gt;S$5),"■","")))</x:f>
      </x:c>
      <x:c r="T33" s="7" t="str">
        <x:f>IF(OR($D33="",T$5="",'상세일정'!AM33="제외"),"",IF($D33=$E33,IF(AND($D33&gt;=T$5,$D33&lt;T$5+7),"◆",""),IF(AND($D33&lt;T$5+7,$E33&gt;T$5),"■","")))</x:f>
      </x:c>
      <x:c r="U33" s="7" t="str">
        <x:f>IF(OR($D33="",U$5="",'상세일정'!AM33="제외"),"",IF($D33=$E33,IF(AND($D33&gt;=U$5,$D33&lt;U$5+7),"◆",""),IF(AND($D33&lt;U$5+7,$E33&gt;U$5),"■","")))</x:f>
      </x:c>
      <x:c r="V33" s="7" t="str">
        <x:f>IF(OR($D33="",V$5="",'상세일정'!AM33="제외"),"",IF($D33=$E33,IF(AND($D33&gt;=V$5,$D33&lt;V$5+7),"◆",""),IF(AND($D33&lt;V$5+7,$E33&gt;V$5),"■","")))</x:f>
      </x:c>
      <x:c r="W33" s="7" t="str">
        <x:f>IF(OR($D33="",W$5="",'상세일정'!AM33="제외"),"",IF($D33=$E33,IF(AND($D33&gt;=W$5,$D33&lt;W$5+7),"◆",""),IF(AND($D33&lt;W$5+7,$E33&gt;W$5),"■","")))</x:f>
      </x:c>
      <x:c r="X33" s="7" t="str">
        <x:f>IF(OR($D33="",X$5="",'상세일정'!AM33="제외"),"",IF($D33=$E33,IF(AND($D33&gt;=X$5,$D33&lt;X$5+7),"◆",""),IF(AND($D33&lt;X$5+7,$E33&gt;X$5),"■","")))</x:f>
      </x:c>
      <x:c r="Y33" s="7" t="str">
        <x:f>IF(OR($D33="",Y$5="",'상세일정'!AM33="제외"),"",IF($D33=$E33,IF(AND($D33&gt;=Y$5,$D33&lt;Y$5+7),"◆",""),IF(AND($D33&lt;Y$5+7,$E33&gt;Y$5),"■","")))</x:f>
      </x:c>
      <x:c r="Z33" s="7" t="str">
        <x:f>IF(OR($D33="",Z$5="",'상세일정'!AM33="제외"),"",IF($D33=$E33,IF(AND($D33&gt;=Z$5,$D33&lt;Z$5+7),"◆",""),IF(AND($D33&lt;Z$5+7,$E33&gt;Z$5),"■","")))</x:f>
      </x:c>
      <x:c r="AA33" s="7" t="str">
        <x:f>IF(OR($D33="",AA$5="",'상세일정'!AM33="제외"),"",IF($D33=$E33,IF(AND($D33&gt;=AA$5,$D33&lt;AA$5+7),"◆",""),IF(AND($D33&lt;AA$5+7,$E33&gt;AA$5),"■","")))</x:f>
      </x:c>
      <x:c r="AB33" s="7" t="str">
        <x:f>IF(OR($D33="",AB$5="",'상세일정'!AM33="제외"),"",IF($D33=$E33,IF(AND($D33&gt;=AB$5,$D33&lt;AB$5+7),"◆",""),IF(AND($D33&lt;AB$5+7,$E33&gt;AB$5),"■","")))</x:f>
      </x:c>
      <x:c r="AC33" s="7" t="str">
        <x:f>IF(OR($D33="",AC$5="",'상세일정'!AM33="제외"),"",IF($D33=$E33,IF(AND($D33&gt;=AC$5,$D33&lt;AC$5+7),"◆",""),IF(AND($D33&lt;AC$5+7,$E33&gt;AC$5),"■","")))</x:f>
      </x:c>
      <x:c r="AD33" s="7" t="str">
        <x:f>IF(OR($D33="",AD$5="",'상세일정'!AM33="제외"),"",IF($D33=$E33,IF(AND($D33&gt;=AD$5,$D33&lt;AD$5+7),"◆",""),IF(AND($D33&lt;AD$5+7,$E33&gt;AD$5),"■","")))</x:f>
      </x:c>
      <x:c r="AE33" s="7" t="str">
        <x:f>IF(OR($D33="",AE$5="",'상세일정'!AM33="제외"),"",IF($D33=$E33,IF(AND($D33&gt;=AE$5,$D33&lt;AE$5+7),"◆",""),IF(AND($D33&lt;AE$5+7,$E33&gt;AE$5),"■","")))</x:f>
      </x:c>
      <x:c r="AF33" s="7" t="str">
        <x:f>IF(OR($D33="",AF$5="",'상세일정'!AM33="제외"),"",IF($D33=$E33,IF(AND($D33&gt;=AF$5,$D33&lt;AF$5+7),"◆",""),IF(AND($D33&lt;AF$5+7,$E33&gt;AF$5),"■","")))</x:f>
      </x:c>
      <x:c r="AG33" s="7" t="str">
        <x:f>IF(OR($D33="",AG$5="",'상세일정'!AM33="제외"),"",IF($D33=$E33,IF(AND($D33&gt;=AG$5,$D33&lt;AG$5+7),"◆",""),IF(AND($D33&lt;AG$5+7,$E33&gt;AG$5),"■","")))</x:f>
      </x:c>
      <x:c r="AH33" s="7" t="str">
        <x:f>IF(OR($D33="",AH$5="",'상세일정'!AM33="제외"),"",IF($D33=$E33,IF(AND($D33&gt;=AH$5,$D33&lt;AH$5+7),"◆",""),IF(AND($D33&lt;AH$5+7,$E33&gt;AH$5),"■","")))</x:f>
      </x:c>
      <x:c r="AI33" s="7" t="str">
        <x:f>IF(OR($D33="",AI$5="",'상세일정'!AM33="제외"),"",IF($D33=$E33,IF(AND($D33&gt;=AI$5,$D33&lt;AI$5+7),"◆",""),IF(AND($D33&lt;AI$5+7,$E33&gt;AI$5),"■","")))</x:f>
      </x:c>
      <x:c r="AJ33" s="7" t="str">
        <x:f>IF(OR($D33="",AJ$5="",'상세일정'!AM33="제외"),"",IF($D33=$E33,IF(AND($D33&gt;=AJ$5,$D33&lt;AJ$5+7),"◆",""),IF(AND($D33&lt;AJ$5+7,$E33&gt;AJ$5),"■","")))</x:f>
      </x:c>
      <x:c r="AK33" s="7" t="str">
        <x:f>IF(OR($D33="",AK$5="",'상세일정'!AM33="제외"),"",IF($D33=$E33,IF(AND($D33&gt;=AK$5,$D33&lt;AK$5+7),"◆",""),IF(AND($D33&lt;AK$5+7,$E33&gt;AK$5),"■","")))</x:f>
      </x:c>
      <x:c r="AL33" s="7" t="str">
        <x:f>IF(OR($D33="",AL$5="",'상세일정'!AM33="제외"),"",IF($D33=$E33,IF(AND($D33&gt;=AL$5,$D33&lt;AL$5+7),"◆",""),IF(AND($D33&lt;AL$5+7,$E33&gt;AL$5),"■","")))</x:f>
      </x:c>
      <x:c r="AM33" s="7" t="str">
        <x:f>IF(OR($D33="",AM$5="",'상세일정'!AM33="제외"),"",IF($D33=$E33,IF(AND($D33&gt;=AM$5,$D33&lt;AM$5+7),"◆",""),IF(AND($D33&lt;AM$5+7,$E33&gt;AM$5),"■","")))</x:f>
      </x:c>
      <x:c r="AN33" s="7" t="str">
        <x:f>IF(OR($D33="",AN$5="",'상세일정'!AM33="제외"),"",IF($D33=$E33,IF(AND($D33&gt;=AN$5,$D33&lt;AN$5+7),"◆",""),IF(AND($D33&lt;AN$5+7,$E33&gt;AN$5),"■","")))</x:f>
      </x:c>
      <x:c r="AO33" s="7" t="str">
        <x:f>IF(OR($D33="",AO$5="",'상세일정'!AM33="제외"),"",IF($D33=$E33,IF(AND($D33&gt;=AO$5,$D33&lt;AO$5+7),"◆",""),IF(AND($D33&lt;AO$5+7,$E33&gt;AO$5),"■","")))</x:f>
      </x:c>
      <x:c r="AP33" s="7" t="str">
        <x:f>IF(OR($D33="",AP$5="",'상세일정'!AM33="제외"),"",IF($D33=$E33,IF(AND($D33&gt;=AP$5,$D33&lt;AP$5+7),"◆",""),IF(AND($D33&lt;AP$5+7,$E33&gt;AP$5),"■","")))</x:f>
      </x:c>
      <x:c r="AQ33" s="7" t="str">
        <x:f>IF(OR($D33="",AQ$5="",'상세일정'!AM33="제외"),"",IF($D33=$E33,IF(AND($D33&gt;=AQ$5,$D33&lt;AQ$5+7),"◆",""),IF(AND($D33&lt;AQ$5+7,$E33&gt;AQ$5),"■","")))</x:f>
      </x:c>
      <x:c r="AR33" s="7" t="str">
        <x:f>IF(OR($D33="",AR$5="",'상세일정'!AM33="제외"),"",IF($D33=$E33,IF(AND($D33&gt;=AR$5,$D33&lt;AR$5+7),"◆",""),IF(AND($D33&lt;AR$5+7,$E33&gt;AR$5),"■","")))</x:f>
      </x:c>
      <x:c r="AS33" s="7" t="str">
        <x:f>IF(OR($D33="",AS$5="",'상세일정'!AM33="제외"),"",IF($D33=$E33,IF(AND($D33&gt;=AS$5,$D33&lt;AS$5+7),"◆",""),IF(AND($D33&lt;AS$5+7,$E33&gt;AS$5),"■","")))</x:f>
      </x:c>
      <x:c r="AT33" s="7" t="str">
        <x:f>IF(OR($D33="",AT$5="",'상세일정'!AM33="제외"),"",IF($D33=$E33,IF(AND($D33&gt;=AT$5,$D33&lt;AT$5+7),"◆",""),IF(AND($D33&lt;AT$5+7,$E33&gt;AT$5),"■","")))</x:f>
      </x:c>
      <x:c r="AU33" s="7" t="str">
        <x:f>IF(OR($D33="",AU$5="",'상세일정'!AM33="제외"),"",IF($D33=$E33,IF(AND($D33&gt;=AU$5,$D33&lt;AU$5+7),"◆",""),IF(AND($D33&lt;AU$5+7,$E33&gt;AU$5),"■","")))</x:f>
      </x:c>
      <x:c r="AV33" s="7" t="str">
        <x:f>IF(OR($D33="",AV$5="",'상세일정'!AM33="제외"),"",IF($D33=$E33,IF(AND($D33&gt;=AV$5,$D33&lt;AV$5+7),"◆",""),IF(AND($D33&lt;AV$5+7,$E33&gt;AV$5),"■","")))</x:f>
      </x:c>
      <x:c r="AW33" s="7" t="str">
        <x:f>IF(OR($D33="",AW$5="",'상세일정'!AM33="제외"),"",IF($D33=$E33,IF(AND($D33&gt;=AW$5,$D33&lt;AW$5+7),"◆",""),IF(AND($D33&lt;AW$5+7,$E33&gt;AW$5),"■","")))</x:f>
      </x:c>
      <x:c r="AX33" s="7" t="str">
        <x:f>IF(OR($D33="",AX$5="",'상세일정'!AM33="제외"),"",IF($D33=$E33,IF(AND($D33&gt;=AX$5,$D33&lt;AX$5+7),"◆",""),IF(AND($D33&lt;AX$5+7,$E33&gt;AX$5),"■","")))</x:f>
      </x:c>
      <x:c r="AY33" s="7" t="str">
        <x:f>IF(OR($D33="",AY$5="",'상세일정'!AM33="제외"),"",IF($D33=$E33,IF(AND($D33&gt;=AY$5,$D33&lt;AY$5+7),"◆",""),IF(AND($D33&lt;AY$5+7,$E33&gt;AY$5),"■","")))</x:f>
      </x:c>
      <x:c r="AZ33" s="7" t="str">
        <x:f>IF(OR($D33="",AZ$5="",'상세일정'!AM33="제외"),"",IF($D33=$E33,IF(AND($D33&gt;=AZ$5,$D33&lt;AZ$5+7),"◆",""),IF(AND($D33&lt;AZ$5+7,$E33&gt;AZ$5),"■","")))</x:f>
      </x:c>
      <x:c r="BA33" s="7" t="str">
        <x:f>IF(OR($D33="",BA$5="",'상세일정'!AM33="제외"),"",IF($D33=$E33,IF(AND($D33&gt;=BA$5,$D33&lt;BA$5+7),"◆",""),IF(AND($D33&lt;BA$5+7,$E33&gt;BA$5),"■","")))</x:f>
      </x:c>
      <x:c r="BB33" s="7" t="str">
        <x:f>IF(OR($D33="",BB$5="",'상세일정'!AM33="제외"),"",IF($D33=$E33,IF(AND($D33&gt;=BB$5,$D33&lt;BB$5+7),"◆",""),IF(AND($D33&lt;BB$5+7,$E33&gt;BB$5),"■","")))</x:f>
      </x:c>
      <x:c r="BC33" s="7" t="str">
        <x:f>IF(OR($D33="",BC$5="",'상세일정'!AM33="제외"),"",IF($D33=$E33,IF(AND($D33&gt;=BC$5,$D33&lt;BC$5+7),"◆",""),IF(AND($D33&lt;BC$5+7,$E33&gt;BC$5),"■","")))</x:f>
      </x:c>
      <x:c r="BD33" s="7" t="str">
        <x:f>IF(OR($D33="",BD$5="",'상세일정'!AM33="제외"),"",IF($D33=$E33,IF(AND($D33&gt;=BD$5,$D33&lt;BD$5+7),"◆",""),IF(AND($D33&lt;BD$5+7,$E33&gt;BD$5),"■","")))</x:f>
      </x:c>
      <x:c r="BE33" s="7" t="str">
        <x:f>IF(OR($D33="",BE$5="",'상세일정'!AM33="제외"),"",IF($D33=$E33,IF(AND($D33&gt;=BE$5,$D33&lt;BE$5+7),"◆",""),IF(AND($D33&lt;BE$5+7,$E33&gt;BE$5),"■","")))</x:f>
      </x:c>
      <x:c r="BF33" s="7" t="str">
        <x:f>IF(OR($D33="",BF$5="",'상세일정'!AM33="제외"),"",IF($D33=$E33,IF(AND($D33&gt;=BF$5,$D33&lt;BF$5+7),"◆",""),IF(AND($D33&lt;BF$5+7,$E33&gt;BF$5),"■","")))</x:f>
      </x:c>
      <x:c r="BG33" s="7" t="str">
        <x:f>IF(OR($D33="",BG$5="",'상세일정'!AM33="제외"),"",IF($D33=$E33,IF(AND($D33&gt;=BG$5,$D33&lt;BG$5+7),"◆",""),IF(AND($D33&lt;BG$5+7,$E33&gt;BG$5),"■","")))</x:f>
      </x:c>
      <x:c r="BH33" s="7" t="str">
        <x:f>IF(OR($D33="",BH$5="",'상세일정'!AM33="제외"),"",IF($D33=$E33,IF(AND($D33&gt;=BH$5,$D33&lt;BH$5+7),"◆",""),IF(AND($D33&lt;BH$5+7,$E33&gt;BH$5),"■","")))</x:f>
      </x:c>
      <x:c r="BI33" s="7" t="str">
        <x:f>IF(OR($D33="",BI$5="",'상세일정'!AM33="제외"),"",IF($D33=$E33,IF(AND($D33&gt;=BI$5,$D33&lt;BI$5+7),"◆",""),IF(AND($D33&lt;BI$5+7,$E33&gt;BI$5),"■","")))</x:f>
      </x:c>
      <x:c r="BJ33" s="7" t="str">
        <x:f>IF(OR($D33="",BJ$5="",'상세일정'!AM33="제외"),"",IF($D33=$E33,IF(AND($D33&gt;=BJ$5,$D33&lt;BJ$5+7),"◆",""),IF(AND($D33&lt;BJ$5+7,$E33&gt;BJ$5),"■","")))</x:f>
      </x:c>
      <x:c r="BK33" s="7" t="str">
        <x:f>IF(OR($D33="",BK$5="",'상세일정'!AM33="제외"),"",IF($D33=$E33,IF(AND($D33&gt;=BK$5,$D33&lt;BK$5+7),"◆",""),IF(AND($D33&lt;BK$5+7,$E33&gt;BK$5),"■","")))</x:f>
      </x:c>
      <x:c r="BL33" s="7" t="str">
        <x:f>IF(OR($D33="",BL$5="",'상세일정'!AM33="제외"),"",IF($D33=$E33,IF(AND($D33&gt;=BL$5,$D33&lt;BL$5+7),"◆",""),IF(AND($D33&lt;BL$5+7,$E33&gt;BL$5),"■","")))</x:f>
      </x:c>
      <x:c r="BM33" s="7" t="str">
        <x:f>IF(OR($D33="",BM$5="",'상세일정'!AM33="제외"),"",IF($D33=$E33,IF(AND($D33&gt;=BM$5,$D33&lt;BM$5+7),"◆",""),IF(AND($D33&lt;BM$5+7,$E33&gt;BM$5),"■","")))</x:f>
      </x:c>
      <x:c r="BN33" s="7" t="str">
        <x:f>IF(OR($D33="",BN$5="",'상세일정'!AM33="제외"),"",IF($D33=$E33,IF(AND($D33&gt;=BN$5,$D33&lt;BN$5+7),"◆",""),IF(AND($D33&lt;BN$5+7,$E33&gt;BN$5),"■","")))</x:f>
      </x:c>
      <x:c r="BO33" s="7" t="str">
        <x:f>IF(OR($D33="",BO$5="",'상세일정'!AM33="제외"),"",IF($D33=$E33,IF(AND($D33&gt;=BO$5,$D33&lt;BO$5+7),"◆",""),IF(AND($D33&lt;BO$5+7,$E33&gt;BO$5),"■","")))</x:f>
      </x:c>
      <x:c r="BP33" s="7" t="str">
        <x:f>IF(OR($D33="",BP$5="",'상세일정'!AM33="제외"),"",IF($D33=$E33,IF(AND($D33&gt;=BP$5,$D33&lt;BP$5+7),"◆",""),IF(AND($D33&lt;BP$5+7,$E33&gt;BP$5),"■","")))</x:f>
      </x:c>
      <x:c r="BQ33" s="7" t="str">
        <x:f>IF(OR($D33="",BQ$5="",'상세일정'!AM33="제외"),"",IF($D33=$E33,IF(AND($D33&gt;=BQ$5,$D33&lt;BQ$5+7),"◆",""),IF(AND($D33&lt;BQ$5+7,$E33&gt;BQ$5),"■","")))</x:f>
      </x:c>
      <x:c r="BR33" s="7" t="str">
        <x:f>IF(OR($D33="",BR$5="",'상세일정'!AM33="제외"),"",IF($D33=$E33,IF(AND($D33&gt;=BR$5,$D33&lt;BR$5+7),"◆",""),IF(AND($D33&lt;BR$5+7,$E33&gt;BR$5),"■","")))</x:f>
      </x:c>
      <x:c r="BS33" s="7" t="str">
        <x:f>IF(OR($D33="",BS$5="",'상세일정'!AM33="제외"),"",IF($D33=$E33,IF(AND($D33&gt;=BS$5,$D33&lt;BS$5+7),"◆",""),IF(AND($D33&lt;BS$5+7,$E33&gt;BS$5),"■","")))</x:f>
      </x:c>
      <x:c r="BT33" s="7" t="str">
        <x:f>IF(OR($D33="",BT$5="",'상세일정'!AM33="제외"),"",IF($D33=$E33,IF(AND($D33&gt;=BT$5,$D33&lt;BT$5+7),"◆",""),IF(AND($D33&lt;BT$5+7,$E33&gt;BT$5),"■","")))</x:f>
      </x:c>
      <x:c r="BU33" s="7" t="str">
        <x:f>IF(OR($D33="",BU$5="",'상세일정'!AM33="제외"),"",IF($D33=$E33,IF(AND($D33&gt;=BU$5,$D33&lt;BU$5+7),"◆",""),IF(AND($D33&lt;BU$5+7,$E33&gt;BU$5),"■","")))</x:f>
      </x:c>
      <x:c r="BV33" s="7" t="str">
        <x:f>IF(OR($D33="",BV$5="",'상세일정'!AM33="제외"),"",IF($D33=$E33,IF(AND($D33&gt;=BV$5,$D33&lt;BV$5+7),"◆",""),IF(AND($D33&lt;BV$5+7,$E33&gt;BV$5),"■","")))</x:f>
      </x:c>
      <x:c r="BW33" s="7" t="str">
        <x:f>IF(OR($D33="",BW$5="",'상세일정'!AM33="제외"),"",IF($D33=$E33,IF(AND($D33&gt;=BW$5,$D33&lt;BW$5+7),"◆",""),IF(AND($D33&lt;BW$5+7,$E33&gt;BW$5),"■","")))</x:f>
      </x:c>
      <x:c r="BX33" s="7" t="str">
        <x:f>IF(OR($D33="",BX$5="",'상세일정'!AM33="제외"),"",IF($D33=$E33,IF(AND($D33&gt;=BX$5,$D33&lt;BX$5+7),"◆",""),IF(AND($D33&lt;BX$5+7,$E33&gt;BX$5),"■","")))</x:f>
      </x:c>
      <x:c r="BY33" s="7" t="str">
        <x:f>IF(OR($D33="",BY$5="",'상세일정'!AM33="제외"),"",IF($D33=$E33,IF(AND($D33&gt;=BY$5,$D33&lt;BY$5+7),"◆",""),IF(AND($D33&lt;BY$5+7,$E33&gt;BY$5),"■","")))</x:f>
      </x:c>
      <x:c r="BZ33" s="7" t="str">
        <x:f>IF(OR($D33="",BZ$5="",'상세일정'!AM33="제외"),"",IF($D33=$E33,IF(AND($D33&gt;=BZ$5,$D33&lt;BZ$5+7),"◆",""),IF(AND($D33&lt;BZ$5+7,$E33&gt;BZ$5),"■","")))</x:f>
      </x:c>
      <x:c r="CA33" s="7" t="str">
        <x:f>IF(OR($D33="",CA$5="",'상세일정'!AM33="제외"),"",IF($D33=$E33,IF(AND($D33&gt;=CA$5,$D33&lt;CA$5+7),"◆",""),IF(AND($D33&lt;CA$5+7,$E33&gt;CA$5),"■","")))</x:f>
      </x:c>
      <x:c r="CB33" s="7" t="str">
        <x:f>IF(OR($D33="",CB$5="",'상세일정'!AM33="제외"),"",IF($D33=$E33,IF(AND($D33&gt;=CB$5,$D33&lt;CB$5+7),"◆",""),IF(AND($D33&lt;CB$5+7,$E33&gt;CB$5),"■","")))</x:f>
      </x:c>
      <x:c r="CC33" s="7" t="str">
        <x:f>IF(OR($D33="",CC$5="",'상세일정'!AM33="제외"),"",IF($D33=$E33,IF(AND($D33&gt;=CC$5,$D33&lt;CC$5+7),"◆",""),IF(AND($D33&lt;CC$5+7,$E33&gt;CC$5),"■","")))</x:f>
      </x:c>
      <x:c r="CD33" s="7" t="str">
        <x:f>IF(OR($D33="",CD$5="",'상세일정'!AM33="제외"),"",IF($D33=$E33,IF(AND($D33&gt;=CD$5,$D33&lt;CD$5+7),"◆",""),IF(AND($D33&lt;CD$5+7,$E33&gt;CD$5),"■","")))</x:f>
      </x:c>
      <x:c r="CE33" s="7" t="str">
        <x:f>IF(OR($D33="",CE$5="",'상세일정'!AM33="제외"),"",IF($D33=$E33,IF(AND($D33&gt;=CE$5,$D33&lt;CE$5+7),"◆",""),IF(AND($D33&lt;CE$5+7,$E33&gt;CE$5),"■","")))</x:f>
      </x:c>
      <x:c r="CF33" s="7" t="str">
        <x:f>IF(OR($D33="",CF$5="",'상세일정'!AM33="제외"),"",IF($D33=$E33,IF(AND($D33&gt;=CF$5,$D33&lt;CF$5+7),"◆",""),IF(AND($D33&lt;CF$5+7,$E33&gt;CF$5),"■","")))</x:f>
      </x:c>
      <x:c r="CG33" s="7" t="str">
        <x:f>IF(OR($D33="",CG$5="",'상세일정'!AM33="제외"),"",IF($D33=$E33,IF(AND($D33&gt;=CG$5,$D33&lt;CG$5+7),"◆",""),IF(AND($D33&lt;CG$5+7,$E33&gt;CG$5),"■","")))</x:f>
      </x:c>
      <x:c r="CH33" s="7" t="str">
        <x:f>IF(OR($D33="",CH$5="",'상세일정'!AM33="제외"),"",IF($D33=$E33,IF(AND($D33&gt;=CH$5,$D33&lt;CH$5+7),"◆",""),IF(AND($D33&lt;CH$5+7,$E33&gt;CH$5),"■","")))</x:f>
      </x:c>
      <x:c r="CI33" s="7" t="str">
        <x:f>IF(OR($D33="",CI$5="",'상세일정'!AM33="제외"),"",IF($D33=$E33,IF(AND($D33&gt;=CI$5,$D33&lt;CI$5+7),"◆",""),IF(AND($D33&lt;CI$5+7,$E33&gt;CI$5),"■","")))</x:f>
      </x:c>
      <x:c r="CJ33" s="7" t="str">
        <x:f>IF(OR($D33="",CJ$5="",'상세일정'!AM33="제외"),"",IF($D33=$E33,IF(AND($D33&gt;=CJ$5,$D33&lt;CJ$5+7),"◆",""),IF(AND($D33&lt;CJ$5+7,$E33&gt;CJ$5),"■","")))</x:f>
      </x:c>
      <x:c r="CK33" s="7" t="str">
        <x:f>IF(OR($D33="",CK$5="",'상세일정'!AM33="제외"),"",IF($D33=$E33,IF(AND($D33&gt;=CK$5,$D33&lt;CK$5+7),"◆",""),IF(AND($D33&lt;CK$5+7,$E33&gt;CK$5),"■","")))</x:f>
      </x:c>
      <x:c r="CL33" s="7" t="str">
        <x:f>IF(OR($D33="",CL$5="",'상세일정'!AM33="제외"),"",IF($D33=$E33,IF(AND($D33&gt;=CL$5,$D33&lt;CL$5+7),"◆",""),IF(AND($D33&lt;CL$5+7,$E33&gt;CL$5),"■","")))</x:f>
      </x:c>
      <x:c r="CM33" s="7" t="str">
        <x:f>IF(OR($D33="",CM$5="",'상세일정'!AM33="제외"),"",IF($D33=$E33,IF(AND($D33&gt;=CM$5,$D33&lt;CM$5+7),"◆",""),IF(AND($D33&lt;CM$5+7,$E33&gt;CM$5),"■","")))</x:f>
      </x:c>
      <x:c r="CN33" s="7" t="str">
        <x:f>IF(OR($D33="",CN$5="",'상세일정'!AM33="제외"),"",IF($D33=$E33,IF(AND($D33&gt;=CN$5,$D33&lt;CN$5+7),"◆",""),IF(AND($D33&lt;CN$5+7,$E33&gt;CN$5),"■","")))</x:f>
      </x:c>
      <x:c r="CO33" s="7" t="str">
        <x:f>IF(OR($D33="",CO$5="",'상세일정'!AM33="제외"),"",IF($D33=$E33,IF(AND($D33&gt;=CO$5,$D33&lt;CO$5+7),"◆",""),IF(AND($D33&lt;CO$5+7,$E33&gt;CO$5),"■","")))</x:f>
      </x:c>
      <x:c r="CP33" s="7" t="str">
        <x:f>IF(OR($D33="",CP$5="",'상세일정'!AM33="제외"),"",IF($D33=$E33,IF(AND($D33&gt;=CP$5,$D33&lt;CP$5+7),"◆",""),IF(AND($D33&lt;CP$5+7,$E33&gt;CP$5),"■","")))</x:f>
      </x:c>
      <x:c r="CQ33" s="7" t="str">
        <x:f>IF(OR($D33="",CQ$5="",'상세일정'!AM33="제외"),"",IF($D33=$E33,IF(AND($D33&gt;=CQ$5,$D33&lt;CQ$5+7),"◆",""),IF(AND($D33&lt;CQ$5+7,$E33&gt;CQ$5),"■","")))</x:f>
      </x:c>
      <x:c r="CR33" s="7" t="str">
        <x:f>IF(OR($D33="",CR$5="",'상세일정'!AM33="제외"),"",IF($D33=$E33,IF(AND($D33&gt;=CR$5,$D33&lt;CR$5+7),"◆",""),IF(AND($D33&lt;CR$5+7,$E33&gt;CR$5),"■","")))</x:f>
      </x:c>
      <x:c r="CS33" s="7" t="str">
        <x:f>IF(OR($D33="",CS$5="",'상세일정'!AM33="제외"),"",IF($D33=$E33,IF(AND($D33&gt;=CS$5,$D33&lt;CS$5+7),"◆",""),IF(AND($D33&lt;CS$5+7,$E33&gt;CS$5),"■","")))</x:f>
      </x:c>
      <x:c r="CT33" s="7" t="str">
        <x:f>IF(OR($D33="",CT$5="",'상세일정'!AM33="제외"),"",IF($D33=$E33,IF(AND($D33&gt;=CT$5,$D33&lt;CT$5+7),"◆",""),IF(AND($D33&lt;CT$5+7,$E33&gt;CT$5),"■","")))</x:f>
      </x:c>
      <x:c r="CU33" s="7" t="str">
        <x:f>IF(OR($D33="",CU$5="",'상세일정'!AM33="제외"),"",IF($D33=$E33,IF(AND($D33&gt;=CU$5,$D33&lt;CU$5+7),"◆",""),IF(AND($D33&lt;CU$5+7,$E33&gt;CU$5),"■","")))</x:f>
      </x:c>
      <x:c r="CV33" s="7" t="str">
        <x:f>IF(OR($D33="",CV$5="",'상세일정'!AM33="제외"),"",IF($D33=$E33,IF(AND($D33&gt;=CV$5,$D33&lt;CV$5+7),"◆",""),IF(AND($D33&lt;CV$5+7,$E33&gt;CV$5),"■","")))</x:f>
      </x:c>
      <x:c r="CW33" s="7" t="str">
        <x:f>IF(OR($D33="",CW$5="",'상세일정'!AM33="제외"),"",IF($D33=$E33,IF(AND($D33&gt;=CW$5,$D33&lt;CW$5+7),"◆",""),IF(AND($D33&lt;CW$5+7,$E33&gt;CW$5),"■","")))</x:f>
      </x:c>
      <x:c r="CX33" s="7" t="str">
        <x:f>IF(OR($D33="",CX$5="",'상세일정'!AM33="제외"),"",IF($D33=$E33,IF(AND($D33&gt;=CX$5,$D33&lt;CX$5+7),"◆",""),IF(AND($D33&lt;CX$5+7,$E33&gt;CX$5),"■","")))</x:f>
      </x:c>
      <x:c r="CY33" s="7" t="str">
        <x:f>IF(OR($D33="",CY$5="",'상세일정'!AM33="제외"),"",IF($D33=$E33,IF(AND($D33&gt;=CY$5,$D33&lt;CY$5+7),"◆",""),IF(AND($D33&lt;CY$5+7,$E33&gt;CY$5),"■","")))</x:f>
      </x:c>
      <x:c r="CZ33" s="7" t="str">
        <x:f>IF(OR($D33="",CZ$5="",'상세일정'!AM33="제외"),"",IF($D33=$E33,IF(AND($D33&gt;=CZ$5,$D33&lt;CZ$5+7),"◆",""),IF(AND($D33&lt;CZ$5+7,$E33&gt;CZ$5),"■","")))</x:f>
      </x:c>
      <x:c r="DA33" s="7" t="str">
        <x:f>IF(OR($D33="",DA$5="",'상세일정'!AM33="제외"),"",IF($D33=$E33,IF(AND($D33&gt;=DA$5,$D33&lt;DA$5+7),"◆",""),IF(AND($D33&lt;DA$5+7,$E33&gt;DA$5),"■","")))</x:f>
      </x:c>
      <x:c r="DB33" s="7" t="str">
        <x:f>IF(OR($D33="",DB$5="",'상세일정'!AM33="제외"),"",IF($D33=$E33,IF(AND($D33&gt;=DB$5,$D33&lt;DB$5+7),"◆",""),IF(AND($D33&lt;DB$5+7,$E33&gt;DB$5),"■","")))</x:f>
      </x:c>
      <x:c r="DC33" s="7" t="str">
        <x:f>IF(OR($D33="",DC$5="",'상세일정'!AM33="제외"),"",IF($D33=$E33,IF(AND($D33&gt;=DC$5,$D33&lt;DC$5+7),"◆",""),IF(AND($D33&lt;DC$5+7,$E33&gt;DC$5),"■","")))</x:f>
      </x:c>
      <x:c r="DD33" s="7" t="str">
        <x:f>IF(OR($D33="",DD$5="",'상세일정'!AM33="제외"),"",IF($D33=$E33,IF(AND($D33&gt;=DD$5,$D33&lt;DD$5+7),"◆",""),IF(AND($D33&lt;DD$5+7,$E33&gt;DD$5),"■","")))</x:f>
      </x:c>
      <x:c r="DE33" s="7" t="str">
        <x:f>IF(OR($D33="",DE$5="",'상세일정'!AM33="제외"),"",IF($D33=$E33,IF(AND($D33&gt;=DE$5,$D33&lt;DE$5+7),"◆",""),IF(AND($D33&lt;DE$5+7,$E33&gt;DE$5),"■","")))</x:f>
      </x:c>
    </x:row>
    <x:row r="34" ht="34" customHeight="1">
      <x:c r="A34" s="7" t="str">
        <x:v>PD04</x:v>
      </x:c>
      <x:c r="B34" s="7" t="str">
        <x:v>06 공정·배관 상세설계</x:v>
      </x:c>
      <x:c r="C34" s="7" t="str">
        <x:v>배관경·압력손실·설계두께 계산</x:v>
      </x:c>
      <x:c r="D34" s="10" t="str">
        <x:f>'상세일정'!AJ34</x:f>
      </x:c>
      <x:c r="E34" s="10" t="str">
        <x:f>'상세일정'!AK34</x:f>
      </x:c>
      <x:c r="F34" s="7" t="str">
        <x:f>IF(OR($D34="",F$5="",'상세일정'!AM34="제외"),"",IF($D34=$E34,IF(AND($D34&gt;=F$5,$D34&lt;F$5+7),"◆",""),IF(AND($D34&lt;F$5+7,$E34&gt;F$5),"■","")))</x:f>
      </x:c>
      <x:c r="G34" s="7" t="str">
        <x:f>IF(OR($D34="",G$5="",'상세일정'!AM34="제외"),"",IF($D34=$E34,IF(AND($D34&gt;=G$5,$D34&lt;G$5+7),"◆",""),IF(AND($D34&lt;G$5+7,$E34&gt;G$5),"■","")))</x:f>
      </x:c>
      <x:c r="H34" s="7" t="str">
        <x:f>IF(OR($D34="",H$5="",'상세일정'!AM34="제외"),"",IF($D34=$E34,IF(AND($D34&gt;=H$5,$D34&lt;H$5+7),"◆",""),IF(AND($D34&lt;H$5+7,$E34&gt;H$5),"■","")))</x:f>
      </x:c>
      <x:c r="I34" s="7" t="str">
        <x:f>IF(OR($D34="",I$5="",'상세일정'!AM34="제외"),"",IF($D34=$E34,IF(AND($D34&gt;=I$5,$D34&lt;I$5+7),"◆",""),IF(AND($D34&lt;I$5+7,$E34&gt;I$5),"■","")))</x:f>
      </x:c>
      <x:c r="J34" s="7" t="str">
        <x:f>IF(OR($D34="",J$5="",'상세일정'!AM34="제외"),"",IF($D34=$E34,IF(AND($D34&gt;=J$5,$D34&lt;J$5+7),"◆",""),IF(AND($D34&lt;J$5+7,$E34&gt;J$5),"■","")))</x:f>
      </x:c>
      <x:c r="K34" s="7" t="str">
        <x:f>IF(OR($D34="",K$5="",'상세일정'!AM34="제외"),"",IF($D34=$E34,IF(AND($D34&gt;=K$5,$D34&lt;K$5+7),"◆",""),IF(AND($D34&lt;K$5+7,$E34&gt;K$5),"■","")))</x:f>
      </x:c>
      <x:c r="L34" s="7" t="str">
        <x:f>IF(OR($D34="",L$5="",'상세일정'!AM34="제외"),"",IF($D34=$E34,IF(AND($D34&gt;=L$5,$D34&lt;L$5+7),"◆",""),IF(AND($D34&lt;L$5+7,$E34&gt;L$5),"■","")))</x:f>
      </x:c>
      <x:c r="M34" s="7" t="str">
        <x:f>IF(OR($D34="",M$5="",'상세일정'!AM34="제외"),"",IF($D34=$E34,IF(AND($D34&gt;=M$5,$D34&lt;M$5+7),"◆",""),IF(AND($D34&lt;M$5+7,$E34&gt;M$5),"■","")))</x:f>
      </x:c>
      <x:c r="N34" s="7" t="str">
        <x:f>IF(OR($D34="",N$5="",'상세일정'!AM34="제외"),"",IF($D34=$E34,IF(AND($D34&gt;=N$5,$D34&lt;N$5+7),"◆",""),IF(AND($D34&lt;N$5+7,$E34&gt;N$5),"■","")))</x:f>
      </x:c>
      <x:c r="O34" s="7" t="str">
        <x:f>IF(OR($D34="",O$5="",'상세일정'!AM34="제외"),"",IF($D34=$E34,IF(AND($D34&gt;=O$5,$D34&lt;O$5+7),"◆",""),IF(AND($D34&lt;O$5+7,$E34&gt;O$5),"■","")))</x:f>
      </x:c>
      <x:c r="P34" s="7" t="str">
        <x:f>IF(OR($D34="",P$5="",'상세일정'!AM34="제외"),"",IF($D34=$E34,IF(AND($D34&gt;=P$5,$D34&lt;P$5+7),"◆",""),IF(AND($D34&lt;P$5+7,$E34&gt;P$5),"■","")))</x:f>
      </x:c>
      <x:c r="Q34" s="7" t="str">
        <x:f>IF(OR($D34="",Q$5="",'상세일정'!AM34="제외"),"",IF($D34=$E34,IF(AND($D34&gt;=Q$5,$D34&lt;Q$5+7),"◆",""),IF(AND($D34&lt;Q$5+7,$E34&gt;Q$5),"■","")))</x:f>
      </x:c>
      <x:c r="R34" s="7" t="str">
        <x:f>IF(OR($D34="",R$5="",'상세일정'!AM34="제외"),"",IF($D34=$E34,IF(AND($D34&gt;=R$5,$D34&lt;R$5+7),"◆",""),IF(AND($D34&lt;R$5+7,$E34&gt;R$5),"■","")))</x:f>
      </x:c>
      <x:c r="S34" s="7" t="str">
        <x:f>IF(OR($D34="",S$5="",'상세일정'!AM34="제외"),"",IF($D34=$E34,IF(AND($D34&gt;=S$5,$D34&lt;S$5+7),"◆",""),IF(AND($D34&lt;S$5+7,$E34&gt;S$5),"■","")))</x:f>
      </x:c>
      <x:c r="T34" s="7" t="str">
        <x:f>IF(OR($D34="",T$5="",'상세일정'!AM34="제외"),"",IF($D34=$E34,IF(AND($D34&gt;=T$5,$D34&lt;T$5+7),"◆",""),IF(AND($D34&lt;T$5+7,$E34&gt;T$5),"■","")))</x:f>
      </x:c>
      <x:c r="U34" s="7" t="str">
        <x:f>IF(OR($D34="",U$5="",'상세일정'!AM34="제외"),"",IF($D34=$E34,IF(AND($D34&gt;=U$5,$D34&lt;U$5+7),"◆",""),IF(AND($D34&lt;U$5+7,$E34&gt;U$5),"■","")))</x:f>
      </x:c>
      <x:c r="V34" s="7" t="str">
        <x:f>IF(OR($D34="",V$5="",'상세일정'!AM34="제외"),"",IF($D34=$E34,IF(AND($D34&gt;=V$5,$D34&lt;V$5+7),"◆",""),IF(AND($D34&lt;V$5+7,$E34&gt;V$5),"■","")))</x:f>
      </x:c>
      <x:c r="W34" s="7" t="str">
        <x:f>IF(OR($D34="",W$5="",'상세일정'!AM34="제외"),"",IF($D34=$E34,IF(AND($D34&gt;=W$5,$D34&lt;W$5+7),"◆",""),IF(AND($D34&lt;W$5+7,$E34&gt;W$5),"■","")))</x:f>
      </x:c>
      <x:c r="X34" s="7" t="str">
        <x:f>IF(OR($D34="",X$5="",'상세일정'!AM34="제외"),"",IF($D34=$E34,IF(AND($D34&gt;=X$5,$D34&lt;X$5+7),"◆",""),IF(AND($D34&lt;X$5+7,$E34&gt;X$5),"■","")))</x:f>
      </x:c>
      <x:c r="Y34" s="7" t="str">
        <x:f>IF(OR($D34="",Y$5="",'상세일정'!AM34="제외"),"",IF($D34=$E34,IF(AND($D34&gt;=Y$5,$D34&lt;Y$5+7),"◆",""),IF(AND($D34&lt;Y$5+7,$E34&gt;Y$5),"■","")))</x:f>
      </x:c>
      <x:c r="Z34" s="7" t="str">
        <x:f>IF(OR($D34="",Z$5="",'상세일정'!AM34="제외"),"",IF($D34=$E34,IF(AND($D34&gt;=Z$5,$D34&lt;Z$5+7),"◆",""),IF(AND($D34&lt;Z$5+7,$E34&gt;Z$5),"■","")))</x:f>
      </x:c>
      <x:c r="AA34" s="7" t="str">
        <x:f>IF(OR($D34="",AA$5="",'상세일정'!AM34="제외"),"",IF($D34=$E34,IF(AND($D34&gt;=AA$5,$D34&lt;AA$5+7),"◆",""),IF(AND($D34&lt;AA$5+7,$E34&gt;AA$5),"■","")))</x:f>
      </x:c>
      <x:c r="AB34" s="7" t="str">
        <x:f>IF(OR($D34="",AB$5="",'상세일정'!AM34="제외"),"",IF($D34=$E34,IF(AND($D34&gt;=AB$5,$D34&lt;AB$5+7),"◆",""),IF(AND($D34&lt;AB$5+7,$E34&gt;AB$5),"■","")))</x:f>
      </x:c>
      <x:c r="AC34" s="7" t="str">
        <x:f>IF(OR($D34="",AC$5="",'상세일정'!AM34="제외"),"",IF($D34=$E34,IF(AND($D34&gt;=AC$5,$D34&lt;AC$5+7),"◆",""),IF(AND($D34&lt;AC$5+7,$E34&gt;AC$5),"■","")))</x:f>
      </x:c>
      <x:c r="AD34" s="7" t="str">
        <x:f>IF(OR($D34="",AD$5="",'상세일정'!AM34="제외"),"",IF($D34=$E34,IF(AND($D34&gt;=AD$5,$D34&lt;AD$5+7),"◆",""),IF(AND($D34&lt;AD$5+7,$E34&gt;AD$5),"■","")))</x:f>
      </x:c>
      <x:c r="AE34" s="7" t="str">
        <x:f>IF(OR($D34="",AE$5="",'상세일정'!AM34="제외"),"",IF($D34=$E34,IF(AND($D34&gt;=AE$5,$D34&lt;AE$5+7),"◆",""),IF(AND($D34&lt;AE$5+7,$E34&gt;AE$5),"■","")))</x:f>
      </x:c>
      <x:c r="AF34" s="7" t="str">
        <x:f>IF(OR($D34="",AF$5="",'상세일정'!AM34="제외"),"",IF($D34=$E34,IF(AND($D34&gt;=AF$5,$D34&lt;AF$5+7),"◆",""),IF(AND($D34&lt;AF$5+7,$E34&gt;AF$5),"■","")))</x:f>
      </x:c>
      <x:c r="AG34" s="7" t="str">
        <x:f>IF(OR($D34="",AG$5="",'상세일정'!AM34="제외"),"",IF($D34=$E34,IF(AND($D34&gt;=AG$5,$D34&lt;AG$5+7),"◆",""),IF(AND($D34&lt;AG$5+7,$E34&gt;AG$5),"■","")))</x:f>
      </x:c>
      <x:c r="AH34" s="7" t="str">
        <x:f>IF(OR($D34="",AH$5="",'상세일정'!AM34="제외"),"",IF($D34=$E34,IF(AND($D34&gt;=AH$5,$D34&lt;AH$5+7),"◆",""),IF(AND($D34&lt;AH$5+7,$E34&gt;AH$5),"■","")))</x:f>
      </x:c>
      <x:c r="AI34" s="7" t="str">
        <x:f>IF(OR($D34="",AI$5="",'상세일정'!AM34="제외"),"",IF($D34=$E34,IF(AND($D34&gt;=AI$5,$D34&lt;AI$5+7),"◆",""),IF(AND($D34&lt;AI$5+7,$E34&gt;AI$5),"■","")))</x:f>
      </x:c>
      <x:c r="AJ34" s="7" t="str">
        <x:f>IF(OR($D34="",AJ$5="",'상세일정'!AM34="제외"),"",IF($D34=$E34,IF(AND($D34&gt;=AJ$5,$D34&lt;AJ$5+7),"◆",""),IF(AND($D34&lt;AJ$5+7,$E34&gt;AJ$5),"■","")))</x:f>
      </x:c>
      <x:c r="AK34" s="7" t="str">
        <x:f>IF(OR($D34="",AK$5="",'상세일정'!AM34="제외"),"",IF($D34=$E34,IF(AND($D34&gt;=AK$5,$D34&lt;AK$5+7),"◆",""),IF(AND($D34&lt;AK$5+7,$E34&gt;AK$5),"■","")))</x:f>
      </x:c>
      <x:c r="AL34" s="7" t="str">
        <x:f>IF(OR($D34="",AL$5="",'상세일정'!AM34="제외"),"",IF($D34=$E34,IF(AND($D34&gt;=AL$5,$D34&lt;AL$5+7),"◆",""),IF(AND($D34&lt;AL$5+7,$E34&gt;AL$5),"■","")))</x:f>
      </x:c>
      <x:c r="AM34" s="7" t="str">
        <x:f>IF(OR($D34="",AM$5="",'상세일정'!AM34="제외"),"",IF($D34=$E34,IF(AND($D34&gt;=AM$5,$D34&lt;AM$5+7),"◆",""),IF(AND($D34&lt;AM$5+7,$E34&gt;AM$5),"■","")))</x:f>
      </x:c>
      <x:c r="AN34" s="7" t="str">
        <x:f>IF(OR($D34="",AN$5="",'상세일정'!AM34="제외"),"",IF($D34=$E34,IF(AND($D34&gt;=AN$5,$D34&lt;AN$5+7),"◆",""),IF(AND($D34&lt;AN$5+7,$E34&gt;AN$5),"■","")))</x:f>
      </x:c>
      <x:c r="AO34" s="7" t="str">
        <x:f>IF(OR($D34="",AO$5="",'상세일정'!AM34="제외"),"",IF($D34=$E34,IF(AND($D34&gt;=AO$5,$D34&lt;AO$5+7),"◆",""),IF(AND($D34&lt;AO$5+7,$E34&gt;AO$5),"■","")))</x:f>
      </x:c>
      <x:c r="AP34" s="7" t="str">
        <x:f>IF(OR($D34="",AP$5="",'상세일정'!AM34="제외"),"",IF($D34=$E34,IF(AND($D34&gt;=AP$5,$D34&lt;AP$5+7),"◆",""),IF(AND($D34&lt;AP$5+7,$E34&gt;AP$5),"■","")))</x:f>
      </x:c>
      <x:c r="AQ34" s="7" t="str">
        <x:f>IF(OR($D34="",AQ$5="",'상세일정'!AM34="제외"),"",IF($D34=$E34,IF(AND($D34&gt;=AQ$5,$D34&lt;AQ$5+7),"◆",""),IF(AND($D34&lt;AQ$5+7,$E34&gt;AQ$5),"■","")))</x:f>
      </x:c>
      <x:c r="AR34" s="7" t="str">
        <x:f>IF(OR($D34="",AR$5="",'상세일정'!AM34="제외"),"",IF($D34=$E34,IF(AND($D34&gt;=AR$5,$D34&lt;AR$5+7),"◆",""),IF(AND($D34&lt;AR$5+7,$E34&gt;AR$5),"■","")))</x:f>
      </x:c>
      <x:c r="AS34" s="7" t="str">
        <x:f>IF(OR($D34="",AS$5="",'상세일정'!AM34="제외"),"",IF($D34=$E34,IF(AND($D34&gt;=AS$5,$D34&lt;AS$5+7),"◆",""),IF(AND($D34&lt;AS$5+7,$E34&gt;AS$5),"■","")))</x:f>
      </x:c>
      <x:c r="AT34" s="7" t="str">
        <x:f>IF(OR($D34="",AT$5="",'상세일정'!AM34="제외"),"",IF($D34=$E34,IF(AND($D34&gt;=AT$5,$D34&lt;AT$5+7),"◆",""),IF(AND($D34&lt;AT$5+7,$E34&gt;AT$5),"■","")))</x:f>
      </x:c>
      <x:c r="AU34" s="7" t="str">
        <x:f>IF(OR($D34="",AU$5="",'상세일정'!AM34="제외"),"",IF($D34=$E34,IF(AND($D34&gt;=AU$5,$D34&lt;AU$5+7),"◆",""),IF(AND($D34&lt;AU$5+7,$E34&gt;AU$5),"■","")))</x:f>
      </x:c>
      <x:c r="AV34" s="7" t="str">
        <x:f>IF(OR($D34="",AV$5="",'상세일정'!AM34="제외"),"",IF($D34=$E34,IF(AND($D34&gt;=AV$5,$D34&lt;AV$5+7),"◆",""),IF(AND($D34&lt;AV$5+7,$E34&gt;AV$5),"■","")))</x:f>
      </x:c>
      <x:c r="AW34" s="7" t="str">
        <x:f>IF(OR($D34="",AW$5="",'상세일정'!AM34="제외"),"",IF($D34=$E34,IF(AND($D34&gt;=AW$5,$D34&lt;AW$5+7),"◆",""),IF(AND($D34&lt;AW$5+7,$E34&gt;AW$5),"■","")))</x:f>
      </x:c>
      <x:c r="AX34" s="7" t="str">
        <x:f>IF(OR($D34="",AX$5="",'상세일정'!AM34="제외"),"",IF($D34=$E34,IF(AND($D34&gt;=AX$5,$D34&lt;AX$5+7),"◆",""),IF(AND($D34&lt;AX$5+7,$E34&gt;AX$5),"■","")))</x:f>
      </x:c>
      <x:c r="AY34" s="7" t="str">
        <x:f>IF(OR($D34="",AY$5="",'상세일정'!AM34="제외"),"",IF($D34=$E34,IF(AND($D34&gt;=AY$5,$D34&lt;AY$5+7),"◆",""),IF(AND($D34&lt;AY$5+7,$E34&gt;AY$5),"■","")))</x:f>
      </x:c>
      <x:c r="AZ34" s="7" t="str">
        <x:f>IF(OR($D34="",AZ$5="",'상세일정'!AM34="제외"),"",IF($D34=$E34,IF(AND($D34&gt;=AZ$5,$D34&lt;AZ$5+7),"◆",""),IF(AND($D34&lt;AZ$5+7,$E34&gt;AZ$5),"■","")))</x:f>
      </x:c>
      <x:c r="BA34" s="7" t="str">
        <x:f>IF(OR($D34="",BA$5="",'상세일정'!AM34="제외"),"",IF($D34=$E34,IF(AND($D34&gt;=BA$5,$D34&lt;BA$5+7),"◆",""),IF(AND($D34&lt;BA$5+7,$E34&gt;BA$5),"■","")))</x:f>
      </x:c>
      <x:c r="BB34" s="7" t="str">
        <x:f>IF(OR($D34="",BB$5="",'상세일정'!AM34="제외"),"",IF($D34=$E34,IF(AND($D34&gt;=BB$5,$D34&lt;BB$5+7),"◆",""),IF(AND($D34&lt;BB$5+7,$E34&gt;BB$5),"■","")))</x:f>
      </x:c>
      <x:c r="BC34" s="7" t="str">
        <x:f>IF(OR($D34="",BC$5="",'상세일정'!AM34="제외"),"",IF($D34=$E34,IF(AND($D34&gt;=BC$5,$D34&lt;BC$5+7),"◆",""),IF(AND($D34&lt;BC$5+7,$E34&gt;BC$5),"■","")))</x:f>
      </x:c>
      <x:c r="BD34" s="7" t="str">
        <x:f>IF(OR($D34="",BD$5="",'상세일정'!AM34="제외"),"",IF($D34=$E34,IF(AND($D34&gt;=BD$5,$D34&lt;BD$5+7),"◆",""),IF(AND($D34&lt;BD$5+7,$E34&gt;BD$5),"■","")))</x:f>
      </x:c>
      <x:c r="BE34" s="7" t="str">
        <x:f>IF(OR($D34="",BE$5="",'상세일정'!AM34="제외"),"",IF($D34=$E34,IF(AND($D34&gt;=BE$5,$D34&lt;BE$5+7),"◆",""),IF(AND($D34&lt;BE$5+7,$E34&gt;BE$5),"■","")))</x:f>
      </x:c>
      <x:c r="BF34" s="7" t="str">
        <x:f>IF(OR($D34="",BF$5="",'상세일정'!AM34="제외"),"",IF($D34=$E34,IF(AND($D34&gt;=BF$5,$D34&lt;BF$5+7),"◆",""),IF(AND($D34&lt;BF$5+7,$E34&gt;BF$5),"■","")))</x:f>
      </x:c>
      <x:c r="BG34" s="7" t="str">
        <x:f>IF(OR($D34="",BG$5="",'상세일정'!AM34="제외"),"",IF($D34=$E34,IF(AND($D34&gt;=BG$5,$D34&lt;BG$5+7),"◆",""),IF(AND($D34&lt;BG$5+7,$E34&gt;BG$5),"■","")))</x:f>
      </x:c>
      <x:c r="BH34" s="7" t="str">
        <x:f>IF(OR($D34="",BH$5="",'상세일정'!AM34="제외"),"",IF($D34=$E34,IF(AND($D34&gt;=BH$5,$D34&lt;BH$5+7),"◆",""),IF(AND($D34&lt;BH$5+7,$E34&gt;BH$5),"■","")))</x:f>
      </x:c>
      <x:c r="BI34" s="7" t="str">
        <x:f>IF(OR($D34="",BI$5="",'상세일정'!AM34="제외"),"",IF($D34=$E34,IF(AND($D34&gt;=BI$5,$D34&lt;BI$5+7),"◆",""),IF(AND($D34&lt;BI$5+7,$E34&gt;BI$5),"■","")))</x:f>
      </x:c>
      <x:c r="BJ34" s="7" t="str">
        <x:f>IF(OR($D34="",BJ$5="",'상세일정'!AM34="제외"),"",IF($D34=$E34,IF(AND($D34&gt;=BJ$5,$D34&lt;BJ$5+7),"◆",""),IF(AND($D34&lt;BJ$5+7,$E34&gt;BJ$5),"■","")))</x:f>
      </x:c>
      <x:c r="BK34" s="7" t="str">
        <x:f>IF(OR($D34="",BK$5="",'상세일정'!AM34="제외"),"",IF($D34=$E34,IF(AND($D34&gt;=BK$5,$D34&lt;BK$5+7),"◆",""),IF(AND($D34&lt;BK$5+7,$E34&gt;BK$5),"■","")))</x:f>
      </x:c>
      <x:c r="BL34" s="7" t="str">
        <x:f>IF(OR($D34="",BL$5="",'상세일정'!AM34="제외"),"",IF($D34=$E34,IF(AND($D34&gt;=BL$5,$D34&lt;BL$5+7),"◆",""),IF(AND($D34&lt;BL$5+7,$E34&gt;BL$5),"■","")))</x:f>
      </x:c>
      <x:c r="BM34" s="7" t="str">
        <x:f>IF(OR($D34="",BM$5="",'상세일정'!AM34="제외"),"",IF($D34=$E34,IF(AND($D34&gt;=BM$5,$D34&lt;BM$5+7),"◆",""),IF(AND($D34&lt;BM$5+7,$E34&gt;BM$5),"■","")))</x:f>
      </x:c>
      <x:c r="BN34" s="7" t="str">
        <x:f>IF(OR($D34="",BN$5="",'상세일정'!AM34="제외"),"",IF($D34=$E34,IF(AND($D34&gt;=BN$5,$D34&lt;BN$5+7),"◆",""),IF(AND($D34&lt;BN$5+7,$E34&gt;BN$5),"■","")))</x:f>
      </x:c>
      <x:c r="BO34" s="7" t="str">
        <x:f>IF(OR($D34="",BO$5="",'상세일정'!AM34="제외"),"",IF($D34=$E34,IF(AND($D34&gt;=BO$5,$D34&lt;BO$5+7),"◆",""),IF(AND($D34&lt;BO$5+7,$E34&gt;BO$5),"■","")))</x:f>
      </x:c>
      <x:c r="BP34" s="7" t="str">
        <x:f>IF(OR($D34="",BP$5="",'상세일정'!AM34="제외"),"",IF($D34=$E34,IF(AND($D34&gt;=BP$5,$D34&lt;BP$5+7),"◆",""),IF(AND($D34&lt;BP$5+7,$E34&gt;BP$5),"■","")))</x:f>
      </x:c>
      <x:c r="BQ34" s="7" t="str">
        <x:f>IF(OR($D34="",BQ$5="",'상세일정'!AM34="제외"),"",IF($D34=$E34,IF(AND($D34&gt;=BQ$5,$D34&lt;BQ$5+7),"◆",""),IF(AND($D34&lt;BQ$5+7,$E34&gt;BQ$5),"■","")))</x:f>
      </x:c>
      <x:c r="BR34" s="7" t="str">
        <x:f>IF(OR($D34="",BR$5="",'상세일정'!AM34="제외"),"",IF($D34=$E34,IF(AND($D34&gt;=BR$5,$D34&lt;BR$5+7),"◆",""),IF(AND($D34&lt;BR$5+7,$E34&gt;BR$5),"■","")))</x:f>
      </x:c>
      <x:c r="BS34" s="7" t="str">
        <x:f>IF(OR($D34="",BS$5="",'상세일정'!AM34="제외"),"",IF($D34=$E34,IF(AND($D34&gt;=BS$5,$D34&lt;BS$5+7),"◆",""),IF(AND($D34&lt;BS$5+7,$E34&gt;BS$5),"■","")))</x:f>
      </x:c>
      <x:c r="BT34" s="7" t="str">
        <x:f>IF(OR($D34="",BT$5="",'상세일정'!AM34="제외"),"",IF($D34=$E34,IF(AND($D34&gt;=BT$5,$D34&lt;BT$5+7),"◆",""),IF(AND($D34&lt;BT$5+7,$E34&gt;BT$5),"■","")))</x:f>
      </x:c>
      <x:c r="BU34" s="7" t="str">
        <x:f>IF(OR($D34="",BU$5="",'상세일정'!AM34="제외"),"",IF($D34=$E34,IF(AND($D34&gt;=BU$5,$D34&lt;BU$5+7),"◆",""),IF(AND($D34&lt;BU$5+7,$E34&gt;BU$5),"■","")))</x:f>
      </x:c>
      <x:c r="BV34" s="7" t="str">
        <x:f>IF(OR($D34="",BV$5="",'상세일정'!AM34="제외"),"",IF($D34=$E34,IF(AND($D34&gt;=BV$5,$D34&lt;BV$5+7),"◆",""),IF(AND($D34&lt;BV$5+7,$E34&gt;BV$5),"■","")))</x:f>
      </x:c>
      <x:c r="BW34" s="7" t="str">
        <x:f>IF(OR($D34="",BW$5="",'상세일정'!AM34="제외"),"",IF($D34=$E34,IF(AND($D34&gt;=BW$5,$D34&lt;BW$5+7),"◆",""),IF(AND($D34&lt;BW$5+7,$E34&gt;BW$5),"■","")))</x:f>
      </x:c>
      <x:c r="BX34" s="7" t="str">
        <x:f>IF(OR($D34="",BX$5="",'상세일정'!AM34="제외"),"",IF($D34=$E34,IF(AND($D34&gt;=BX$5,$D34&lt;BX$5+7),"◆",""),IF(AND($D34&lt;BX$5+7,$E34&gt;BX$5),"■","")))</x:f>
      </x:c>
      <x:c r="BY34" s="7" t="str">
        <x:f>IF(OR($D34="",BY$5="",'상세일정'!AM34="제외"),"",IF($D34=$E34,IF(AND($D34&gt;=BY$5,$D34&lt;BY$5+7),"◆",""),IF(AND($D34&lt;BY$5+7,$E34&gt;BY$5),"■","")))</x:f>
      </x:c>
      <x:c r="BZ34" s="7" t="str">
        <x:f>IF(OR($D34="",BZ$5="",'상세일정'!AM34="제외"),"",IF($D34=$E34,IF(AND($D34&gt;=BZ$5,$D34&lt;BZ$5+7),"◆",""),IF(AND($D34&lt;BZ$5+7,$E34&gt;BZ$5),"■","")))</x:f>
      </x:c>
      <x:c r="CA34" s="7" t="str">
        <x:f>IF(OR($D34="",CA$5="",'상세일정'!AM34="제외"),"",IF($D34=$E34,IF(AND($D34&gt;=CA$5,$D34&lt;CA$5+7),"◆",""),IF(AND($D34&lt;CA$5+7,$E34&gt;CA$5),"■","")))</x:f>
      </x:c>
      <x:c r="CB34" s="7" t="str">
        <x:f>IF(OR($D34="",CB$5="",'상세일정'!AM34="제외"),"",IF($D34=$E34,IF(AND($D34&gt;=CB$5,$D34&lt;CB$5+7),"◆",""),IF(AND($D34&lt;CB$5+7,$E34&gt;CB$5),"■","")))</x:f>
      </x:c>
      <x:c r="CC34" s="7" t="str">
        <x:f>IF(OR($D34="",CC$5="",'상세일정'!AM34="제외"),"",IF($D34=$E34,IF(AND($D34&gt;=CC$5,$D34&lt;CC$5+7),"◆",""),IF(AND($D34&lt;CC$5+7,$E34&gt;CC$5),"■","")))</x:f>
      </x:c>
      <x:c r="CD34" s="7" t="str">
        <x:f>IF(OR($D34="",CD$5="",'상세일정'!AM34="제외"),"",IF($D34=$E34,IF(AND($D34&gt;=CD$5,$D34&lt;CD$5+7),"◆",""),IF(AND($D34&lt;CD$5+7,$E34&gt;CD$5),"■","")))</x:f>
      </x:c>
      <x:c r="CE34" s="7" t="str">
        <x:f>IF(OR($D34="",CE$5="",'상세일정'!AM34="제외"),"",IF($D34=$E34,IF(AND($D34&gt;=CE$5,$D34&lt;CE$5+7),"◆",""),IF(AND($D34&lt;CE$5+7,$E34&gt;CE$5),"■","")))</x:f>
      </x:c>
      <x:c r="CF34" s="7" t="str">
        <x:f>IF(OR($D34="",CF$5="",'상세일정'!AM34="제외"),"",IF($D34=$E34,IF(AND($D34&gt;=CF$5,$D34&lt;CF$5+7),"◆",""),IF(AND($D34&lt;CF$5+7,$E34&gt;CF$5),"■","")))</x:f>
      </x:c>
      <x:c r="CG34" s="7" t="str">
        <x:f>IF(OR($D34="",CG$5="",'상세일정'!AM34="제외"),"",IF($D34=$E34,IF(AND($D34&gt;=CG$5,$D34&lt;CG$5+7),"◆",""),IF(AND($D34&lt;CG$5+7,$E34&gt;CG$5),"■","")))</x:f>
      </x:c>
      <x:c r="CH34" s="7" t="str">
        <x:f>IF(OR($D34="",CH$5="",'상세일정'!AM34="제외"),"",IF($D34=$E34,IF(AND($D34&gt;=CH$5,$D34&lt;CH$5+7),"◆",""),IF(AND($D34&lt;CH$5+7,$E34&gt;CH$5),"■","")))</x:f>
      </x:c>
      <x:c r="CI34" s="7" t="str">
        <x:f>IF(OR($D34="",CI$5="",'상세일정'!AM34="제외"),"",IF($D34=$E34,IF(AND($D34&gt;=CI$5,$D34&lt;CI$5+7),"◆",""),IF(AND($D34&lt;CI$5+7,$E34&gt;CI$5),"■","")))</x:f>
      </x:c>
      <x:c r="CJ34" s="7" t="str">
        <x:f>IF(OR($D34="",CJ$5="",'상세일정'!AM34="제외"),"",IF($D34=$E34,IF(AND($D34&gt;=CJ$5,$D34&lt;CJ$5+7),"◆",""),IF(AND($D34&lt;CJ$5+7,$E34&gt;CJ$5),"■","")))</x:f>
      </x:c>
      <x:c r="CK34" s="7" t="str">
        <x:f>IF(OR($D34="",CK$5="",'상세일정'!AM34="제외"),"",IF($D34=$E34,IF(AND($D34&gt;=CK$5,$D34&lt;CK$5+7),"◆",""),IF(AND($D34&lt;CK$5+7,$E34&gt;CK$5),"■","")))</x:f>
      </x:c>
      <x:c r="CL34" s="7" t="str">
        <x:f>IF(OR($D34="",CL$5="",'상세일정'!AM34="제외"),"",IF($D34=$E34,IF(AND($D34&gt;=CL$5,$D34&lt;CL$5+7),"◆",""),IF(AND($D34&lt;CL$5+7,$E34&gt;CL$5),"■","")))</x:f>
      </x:c>
      <x:c r="CM34" s="7" t="str">
        <x:f>IF(OR($D34="",CM$5="",'상세일정'!AM34="제외"),"",IF($D34=$E34,IF(AND($D34&gt;=CM$5,$D34&lt;CM$5+7),"◆",""),IF(AND($D34&lt;CM$5+7,$E34&gt;CM$5),"■","")))</x:f>
      </x:c>
      <x:c r="CN34" s="7" t="str">
        <x:f>IF(OR($D34="",CN$5="",'상세일정'!AM34="제외"),"",IF($D34=$E34,IF(AND($D34&gt;=CN$5,$D34&lt;CN$5+7),"◆",""),IF(AND($D34&lt;CN$5+7,$E34&gt;CN$5),"■","")))</x:f>
      </x:c>
      <x:c r="CO34" s="7" t="str">
        <x:f>IF(OR($D34="",CO$5="",'상세일정'!AM34="제외"),"",IF($D34=$E34,IF(AND($D34&gt;=CO$5,$D34&lt;CO$5+7),"◆",""),IF(AND($D34&lt;CO$5+7,$E34&gt;CO$5),"■","")))</x:f>
      </x:c>
      <x:c r="CP34" s="7" t="str">
        <x:f>IF(OR($D34="",CP$5="",'상세일정'!AM34="제외"),"",IF($D34=$E34,IF(AND($D34&gt;=CP$5,$D34&lt;CP$5+7),"◆",""),IF(AND($D34&lt;CP$5+7,$E34&gt;CP$5),"■","")))</x:f>
      </x:c>
      <x:c r="CQ34" s="7" t="str">
        <x:f>IF(OR($D34="",CQ$5="",'상세일정'!AM34="제외"),"",IF($D34=$E34,IF(AND($D34&gt;=CQ$5,$D34&lt;CQ$5+7),"◆",""),IF(AND($D34&lt;CQ$5+7,$E34&gt;CQ$5),"■","")))</x:f>
      </x:c>
      <x:c r="CR34" s="7" t="str">
        <x:f>IF(OR($D34="",CR$5="",'상세일정'!AM34="제외"),"",IF($D34=$E34,IF(AND($D34&gt;=CR$5,$D34&lt;CR$5+7),"◆",""),IF(AND($D34&lt;CR$5+7,$E34&gt;CR$5),"■","")))</x:f>
      </x:c>
      <x:c r="CS34" s="7" t="str">
        <x:f>IF(OR($D34="",CS$5="",'상세일정'!AM34="제외"),"",IF($D34=$E34,IF(AND($D34&gt;=CS$5,$D34&lt;CS$5+7),"◆",""),IF(AND($D34&lt;CS$5+7,$E34&gt;CS$5),"■","")))</x:f>
      </x:c>
      <x:c r="CT34" s="7" t="str">
        <x:f>IF(OR($D34="",CT$5="",'상세일정'!AM34="제외"),"",IF($D34=$E34,IF(AND($D34&gt;=CT$5,$D34&lt;CT$5+7),"◆",""),IF(AND($D34&lt;CT$5+7,$E34&gt;CT$5),"■","")))</x:f>
      </x:c>
      <x:c r="CU34" s="7" t="str">
        <x:f>IF(OR($D34="",CU$5="",'상세일정'!AM34="제외"),"",IF($D34=$E34,IF(AND($D34&gt;=CU$5,$D34&lt;CU$5+7),"◆",""),IF(AND($D34&lt;CU$5+7,$E34&gt;CU$5),"■","")))</x:f>
      </x:c>
      <x:c r="CV34" s="7" t="str">
        <x:f>IF(OR($D34="",CV$5="",'상세일정'!AM34="제외"),"",IF($D34=$E34,IF(AND($D34&gt;=CV$5,$D34&lt;CV$5+7),"◆",""),IF(AND($D34&lt;CV$5+7,$E34&gt;CV$5),"■","")))</x:f>
      </x:c>
      <x:c r="CW34" s="7" t="str">
        <x:f>IF(OR($D34="",CW$5="",'상세일정'!AM34="제외"),"",IF($D34=$E34,IF(AND($D34&gt;=CW$5,$D34&lt;CW$5+7),"◆",""),IF(AND($D34&lt;CW$5+7,$E34&gt;CW$5),"■","")))</x:f>
      </x:c>
      <x:c r="CX34" s="7" t="str">
        <x:f>IF(OR($D34="",CX$5="",'상세일정'!AM34="제외"),"",IF($D34=$E34,IF(AND($D34&gt;=CX$5,$D34&lt;CX$5+7),"◆",""),IF(AND($D34&lt;CX$5+7,$E34&gt;CX$5),"■","")))</x:f>
      </x:c>
      <x:c r="CY34" s="7" t="str">
        <x:f>IF(OR($D34="",CY$5="",'상세일정'!AM34="제외"),"",IF($D34=$E34,IF(AND($D34&gt;=CY$5,$D34&lt;CY$5+7),"◆",""),IF(AND($D34&lt;CY$5+7,$E34&gt;CY$5),"■","")))</x:f>
      </x:c>
      <x:c r="CZ34" s="7" t="str">
        <x:f>IF(OR($D34="",CZ$5="",'상세일정'!AM34="제외"),"",IF($D34=$E34,IF(AND($D34&gt;=CZ$5,$D34&lt;CZ$5+7),"◆",""),IF(AND($D34&lt;CZ$5+7,$E34&gt;CZ$5),"■","")))</x:f>
      </x:c>
      <x:c r="DA34" s="7" t="str">
        <x:f>IF(OR($D34="",DA$5="",'상세일정'!AM34="제외"),"",IF($D34=$E34,IF(AND($D34&gt;=DA$5,$D34&lt;DA$5+7),"◆",""),IF(AND($D34&lt;DA$5+7,$E34&gt;DA$5),"■","")))</x:f>
      </x:c>
      <x:c r="DB34" s="7" t="str">
        <x:f>IF(OR($D34="",DB$5="",'상세일정'!AM34="제외"),"",IF($D34=$E34,IF(AND($D34&gt;=DB$5,$D34&lt;DB$5+7),"◆",""),IF(AND($D34&lt;DB$5+7,$E34&gt;DB$5),"■","")))</x:f>
      </x:c>
      <x:c r="DC34" s="7" t="str">
        <x:f>IF(OR($D34="",DC$5="",'상세일정'!AM34="제외"),"",IF($D34=$E34,IF(AND($D34&gt;=DC$5,$D34&lt;DC$5+7),"◆",""),IF(AND($D34&lt;DC$5+7,$E34&gt;DC$5),"■","")))</x:f>
      </x:c>
      <x:c r="DD34" s="7" t="str">
        <x:f>IF(OR($D34="",DD$5="",'상세일정'!AM34="제외"),"",IF($D34=$E34,IF(AND($D34&gt;=DD$5,$D34&lt;DD$5+7),"◆",""),IF(AND($D34&lt;DD$5+7,$E34&gt;DD$5),"■","")))</x:f>
      </x:c>
      <x:c r="DE34" s="7" t="str">
        <x:f>IF(OR($D34="",DE$5="",'상세일정'!AM34="제외"),"",IF($D34=$E34,IF(AND($D34&gt;=DE$5,$D34&lt;DE$5+7),"◆",""),IF(AND($D34&lt;DE$5+7,$E34&gt;DE$5),"■","")))</x:f>
      </x:c>
    </x:row>
    <x:row r="35" ht="34" customHeight="1">
      <x:c r="A35" s="7" t="str">
        <x:v>PD05</x:v>
      </x:c>
      <x:c r="B35" s="7" t="str">
        <x:v>06 공정·배관 상세설계</x:v>
      </x:c>
      <x:c r="C35" s="7" t="str">
        <x:v>배관 배치·지지대·노즐하중 인터페이스 작성</x:v>
      </x:c>
      <x:c r="D35" s="10" t="str">
        <x:f>'상세일정'!AJ35</x:f>
      </x:c>
      <x:c r="E35" s="10" t="str">
        <x:f>'상세일정'!AK35</x:f>
      </x:c>
      <x:c r="F35" s="7" t="str">
        <x:f>IF(OR($D35="",F$5="",'상세일정'!AM35="제외"),"",IF($D35=$E35,IF(AND($D35&gt;=F$5,$D35&lt;F$5+7),"◆",""),IF(AND($D35&lt;F$5+7,$E35&gt;F$5),"■","")))</x:f>
      </x:c>
      <x:c r="G35" s="7" t="str">
        <x:f>IF(OR($D35="",G$5="",'상세일정'!AM35="제외"),"",IF($D35=$E35,IF(AND($D35&gt;=G$5,$D35&lt;G$5+7),"◆",""),IF(AND($D35&lt;G$5+7,$E35&gt;G$5),"■","")))</x:f>
      </x:c>
      <x:c r="H35" s="7" t="str">
        <x:f>IF(OR($D35="",H$5="",'상세일정'!AM35="제외"),"",IF($D35=$E35,IF(AND($D35&gt;=H$5,$D35&lt;H$5+7),"◆",""),IF(AND($D35&lt;H$5+7,$E35&gt;H$5),"■","")))</x:f>
      </x:c>
      <x:c r="I35" s="7" t="str">
        <x:f>IF(OR($D35="",I$5="",'상세일정'!AM35="제외"),"",IF($D35=$E35,IF(AND($D35&gt;=I$5,$D35&lt;I$5+7),"◆",""),IF(AND($D35&lt;I$5+7,$E35&gt;I$5),"■","")))</x:f>
      </x:c>
      <x:c r="J35" s="7" t="str">
        <x:f>IF(OR($D35="",J$5="",'상세일정'!AM35="제외"),"",IF($D35=$E35,IF(AND($D35&gt;=J$5,$D35&lt;J$5+7),"◆",""),IF(AND($D35&lt;J$5+7,$E35&gt;J$5),"■","")))</x:f>
      </x:c>
      <x:c r="K35" s="7" t="str">
        <x:f>IF(OR($D35="",K$5="",'상세일정'!AM35="제외"),"",IF($D35=$E35,IF(AND($D35&gt;=K$5,$D35&lt;K$5+7),"◆",""),IF(AND($D35&lt;K$5+7,$E35&gt;K$5),"■","")))</x:f>
      </x:c>
      <x:c r="L35" s="7" t="str">
        <x:f>IF(OR($D35="",L$5="",'상세일정'!AM35="제외"),"",IF($D35=$E35,IF(AND($D35&gt;=L$5,$D35&lt;L$5+7),"◆",""),IF(AND($D35&lt;L$5+7,$E35&gt;L$5),"■","")))</x:f>
      </x:c>
      <x:c r="M35" s="7" t="str">
        <x:f>IF(OR($D35="",M$5="",'상세일정'!AM35="제외"),"",IF($D35=$E35,IF(AND($D35&gt;=M$5,$D35&lt;M$5+7),"◆",""),IF(AND($D35&lt;M$5+7,$E35&gt;M$5),"■","")))</x:f>
      </x:c>
      <x:c r="N35" s="7" t="str">
        <x:f>IF(OR($D35="",N$5="",'상세일정'!AM35="제외"),"",IF($D35=$E35,IF(AND($D35&gt;=N$5,$D35&lt;N$5+7),"◆",""),IF(AND($D35&lt;N$5+7,$E35&gt;N$5),"■","")))</x:f>
      </x:c>
      <x:c r="O35" s="7" t="str">
        <x:f>IF(OR($D35="",O$5="",'상세일정'!AM35="제외"),"",IF($D35=$E35,IF(AND($D35&gt;=O$5,$D35&lt;O$5+7),"◆",""),IF(AND($D35&lt;O$5+7,$E35&gt;O$5),"■","")))</x:f>
      </x:c>
      <x:c r="P35" s="7" t="str">
        <x:f>IF(OR($D35="",P$5="",'상세일정'!AM35="제외"),"",IF($D35=$E35,IF(AND($D35&gt;=P$5,$D35&lt;P$5+7),"◆",""),IF(AND($D35&lt;P$5+7,$E35&gt;P$5),"■","")))</x:f>
      </x:c>
      <x:c r="Q35" s="7" t="str">
        <x:f>IF(OR($D35="",Q$5="",'상세일정'!AM35="제외"),"",IF($D35=$E35,IF(AND($D35&gt;=Q$5,$D35&lt;Q$5+7),"◆",""),IF(AND($D35&lt;Q$5+7,$E35&gt;Q$5),"■","")))</x:f>
      </x:c>
      <x:c r="R35" s="7" t="str">
        <x:f>IF(OR($D35="",R$5="",'상세일정'!AM35="제외"),"",IF($D35=$E35,IF(AND($D35&gt;=R$5,$D35&lt;R$5+7),"◆",""),IF(AND($D35&lt;R$5+7,$E35&gt;R$5),"■","")))</x:f>
      </x:c>
      <x:c r="S35" s="7" t="str">
        <x:f>IF(OR($D35="",S$5="",'상세일정'!AM35="제외"),"",IF($D35=$E35,IF(AND($D35&gt;=S$5,$D35&lt;S$5+7),"◆",""),IF(AND($D35&lt;S$5+7,$E35&gt;S$5),"■","")))</x:f>
      </x:c>
      <x:c r="T35" s="7" t="str">
        <x:f>IF(OR($D35="",T$5="",'상세일정'!AM35="제외"),"",IF($D35=$E35,IF(AND($D35&gt;=T$5,$D35&lt;T$5+7),"◆",""),IF(AND($D35&lt;T$5+7,$E35&gt;T$5),"■","")))</x:f>
      </x:c>
      <x:c r="U35" s="7" t="str">
        <x:f>IF(OR($D35="",U$5="",'상세일정'!AM35="제외"),"",IF($D35=$E35,IF(AND($D35&gt;=U$5,$D35&lt;U$5+7),"◆",""),IF(AND($D35&lt;U$5+7,$E35&gt;U$5),"■","")))</x:f>
      </x:c>
      <x:c r="V35" s="7" t="str">
        <x:f>IF(OR($D35="",V$5="",'상세일정'!AM35="제외"),"",IF($D35=$E35,IF(AND($D35&gt;=V$5,$D35&lt;V$5+7),"◆",""),IF(AND($D35&lt;V$5+7,$E35&gt;V$5),"■","")))</x:f>
      </x:c>
      <x:c r="W35" s="7" t="str">
        <x:f>IF(OR($D35="",W$5="",'상세일정'!AM35="제외"),"",IF($D35=$E35,IF(AND($D35&gt;=W$5,$D35&lt;W$5+7),"◆",""),IF(AND($D35&lt;W$5+7,$E35&gt;W$5),"■","")))</x:f>
      </x:c>
      <x:c r="X35" s="7" t="str">
        <x:f>IF(OR($D35="",X$5="",'상세일정'!AM35="제외"),"",IF($D35=$E35,IF(AND($D35&gt;=X$5,$D35&lt;X$5+7),"◆",""),IF(AND($D35&lt;X$5+7,$E35&gt;X$5),"■","")))</x:f>
      </x:c>
      <x:c r="Y35" s="7" t="str">
        <x:f>IF(OR($D35="",Y$5="",'상세일정'!AM35="제외"),"",IF($D35=$E35,IF(AND($D35&gt;=Y$5,$D35&lt;Y$5+7),"◆",""),IF(AND($D35&lt;Y$5+7,$E35&gt;Y$5),"■","")))</x:f>
      </x:c>
      <x:c r="Z35" s="7" t="str">
        <x:f>IF(OR($D35="",Z$5="",'상세일정'!AM35="제외"),"",IF($D35=$E35,IF(AND($D35&gt;=Z$5,$D35&lt;Z$5+7),"◆",""),IF(AND($D35&lt;Z$5+7,$E35&gt;Z$5),"■","")))</x:f>
      </x:c>
      <x:c r="AA35" s="7" t="str">
        <x:f>IF(OR($D35="",AA$5="",'상세일정'!AM35="제외"),"",IF($D35=$E35,IF(AND($D35&gt;=AA$5,$D35&lt;AA$5+7),"◆",""),IF(AND($D35&lt;AA$5+7,$E35&gt;AA$5),"■","")))</x:f>
      </x:c>
      <x:c r="AB35" s="7" t="str">
        <x:f>IF(OR($D35="",AB$5="",'상세일정'!AM35="제외"),"",IF($D35=$E35,IF(AND($D35&gt;=AB$5,$D35&lt;AB$5+7),"◆",""),IF(AND($D35&lt;AB$5+7,$E35&gt;AB$5),"■","")))</x:f>
      </x:c>
      <x:c r="AC35" s="7" t="str">
        <x:f>IF(OR($D35="",AC$5="",'상세일정'!AM35="제외"),"",IF($D35=$E35,IF(AND($D35&gt;=AC$5,$D35&lt;AC$5+7),"◆",""),IF(AND($D35&lt;AC$5+7,$E35&gt;AC$5),"■","")))</x:f>
      </x:c>
      <x:c r="AD35" s="7" t="str">
        <x:f>IF(OR($D35="",AD$5="",'상세일정'!AM35="제외"),"",IF($D35=$E35,IF(AND($D35&gt;=AD$5,$D35&lt;AD$5+7),"◆",""),IF(AND($D35&lt;AD$5+7,$E35&gt;AD$5),"■","")))</x:f>
      </x:c>
      <x:c r="AE35" s="7" t="str">
        <x:f>IF(OR($D35="",AE$5="",'상세일정'!AM35="제외"),"",IF($D35=$E35,IF(AND($D35&gt;=AE$5,$D35&lt;AE$5+7),"◆",""),IF(AND($D35&lt;AE$5+7,$E35&gt;AE$5),"■","")))</x:f>
      </x:c>
      <x:c r="AF35" s="7" t="str">
        <x:f>IF(OR($D35="",AF$5="",'상세일정'!AM35="제외"),"",IF($D35=$E35,IF(AND($D35&gt;=AF$5,$D35&lt;AF$5+7),"◆",""),IF(AND($D35&lt;AF$5+7,$E35&gt;AF$5),"■","")))</x:f>
      </x:c>
      <x:c r="AG35" s="7" t="str">
        <x:f>IF(OR($D35="",AG$5="",'상세일정'!AM35="제외"),"",IF($D35=$E35,IF(AND($D35&gt;=AG$5,$D35&lt;AG$5+7),"◆",""),IF(AND($D35&lt;AG$5+7,$E35&gt;AG$5),"■","")))</x:f>
      </x:c>
      <x:c r="AH35" s="7" t="str">
        <x:f>IF(OR($D35="",AH$5="",'상세일정'!AM35="제외"),"",IF($D35=$E35,IF(AND($D35&gt;=AH$5,$D35&lt;AH$5+7),"◆",""),IF(AND($D35&lt;AH$5+7,$E35&gt;AH$5),"■","")))</x:f>
      </x:c>
      <x:c r="AI35" s="7" t="str">
        <x:f>IF(OR($D35="",AI$5="",'상세일정'!AM35="제외"),"",IF($D35=$E35,IF(AND($D35&gt;=AI$5,$D35&lt;AI$5+7),"◆",""),IF(AND($D35&lt;AI$5+7,$E35&gt;AI$5),"■","")))</x:f>
      </x:c>
      <x:c r="AJ35" s="7" t="str">
        <x:f>IF(OR($D35="",AJ$5="",'상세일정'!AM35="제외"),"",IF($D35=$E35,IF(AND($D35&gt;=AJ$5,$D35&lt;AJ$5+7),"◆",""),IF(AND($D35&lt;AJ$5+7,$E35&gt;AJ$5),"■","")))</x:f>
      </x:c>
      <x:c r="AK35" s="7" t="str">
        <x:f>IF(OR($D35="",AK$5="",'상세일정'!AM35="제외"),"",IF($D35=$E35,IF(AND($D35&gt;=AK$5,$D35&lt;AK$5+7),"◆",""),IF(AND($D35&lt;AK$5+7,$E35&gt;AK$5),"■","")))</x:f>
      </x:c>
      <x:c r="AL35" s="7" t="str">
        <x:f>IF(OR($D35="",AL$5="",'상세일정'!AM35="제외"),"",IF($D35=$E35,IF(AND($D35&gt;=AL$5,$D35&lt;AL$5+7),"◆",""),IF(AND($D35&lt;AL$5+7,$E35&gt;AL$5),"■","")))</x:f>
      </x:c>
      <x:c r="AM35" s="7" t="str">
        <x:f>IF(OR($D35="",AM$5="",'상세일정'!AM35="제외"),"",IF($D35=$E35,IF(AND($D35&gt;=AM$5,$D35&lt;AM$5+7),"◆",""),IF(AND($D35&lt;AM$5+7,$E35&gt;AM$5),"■","")))</x:f>
      </x:c>
      <x:c r="AN35" s="7" t="str">
        <x:f>IF(OR($D35="",AN$5="",'상세일정'!AM35="제외"),"",IF($D35=$E35,IF(AND($D35&gt;=AN$5,$D35&lt;AN$5+7),"◆",""),IF(AND($D35&lt;AN$5+7,$E35&gt;AN$5),"■","")))</x:f>
      </x:c>
      <x:c r="AO35" s="7" t="str">
        <x:f>IF(OR($D35="",AO$5="",'상세일정'!AM35="제외"),"",IF($D35=$E35,IF(AND($D35&gt;=AO$5,$D35&lt;AO$5+7),"◆",""),IF(AND($D35&lt;AO$5+7,$E35&gt;AO$5),"■","")))</x:f>
      </x:c>
      <x:c r="AP35" s="7" t="str">
        <x:f>IF(OR($D35="",AP$5="",'상세일정'!AM35="제외"),"",IF($D35=$E35,IF(AND($D35&gt;=AP$5,$D35&lt;AP$5+7),"◆",""),IF(AND($D35&lt;AP$5+7,$E35&gt;AP$5),"■","")))</x:f>
      </x:c>
      <x:c r="AQ35" s="7" t="str">
        <x:f>IF(OR($D35="",AQ$5="",'상세일정'!AM35="제외"),"",IF($D35=$E35,IF(AND($D35&gt;=AQ$5,$D35&lt;AQ$5+7),"◆",""),IF(AND($D35&lt;AQ$5+7,$E35&gt;AQ$5),"■","")))</x:f>
      </x:c>
      <x:c r="AR35" s="7" t="str">
        <x:f>IF(OR($D35="",AR$5="",'상세일정'!AM35="제외"),"",IF($D35=$E35,IF(AND($D35&gt;=AR$5,$D35&lt;AR$5+7),"◆",""),IF(AND($D35&lt;AR$5+7,$E35&gt;AR$5),"■","")))</x:f>
      </x:c>
      <x:c r="AS35" s="7" t="str">
        <x:f>IF(OR($D35="",AS$5="",'상세일정'!AM35="제외"),"",IF($D35=$E35,IF(AND($D35&gt;=AS$5,$D35&lt;AS$5+7),"◆",""),IF(AND($D35&lt;AS$5+7,$E35&gt;AS$5),"■","")))</x:f>
      </x:c>
      <x:c r="AT35" s="7" t="str">
        <x:f>IF(OR($D35="",AT$5="",'상세일정'!AM35="제외"),"",IF($D35=$E35,IF(AND($D35&gt;=AT$5,$D35&lt;AT$5+7),"◆",""),IF(AND($D35&lt;AT$5+7,$E35&gt;AT$5),"■","")))</x:f>
      </x:c>
      <x:c r="AU35" s="7" t="str">
        <x:f>IF(OR($D35="",AU$5="",'상세일정'!AM35="제외"),"",IF($D35=$E35,IF(AND($D35&gt;=AU$5,$D35&lt;AU$5+7),"◆",""),IF(AND($D35&lt;AU$5+7,$E35&gt;AU$5),"■","")))</x:f>
      </x:c>
      <x:c r="AV35" s="7" t="str">
        <x:f>IF(OR($D35="",AV$5="",'상세일정'!AM35="제외"),"",IF($D35=$E35,IF(AND($D35&gt;=AV$5,$D35&lt;AV$5+7),"◆",""),IF(AND($D35&lt;AV$5+7,$E35&gt;AV$5),"■","")))</x:f>
      </x:c>
      <x:c r="AW35" s="7" t="str">
        <x:f>IF(OR($D35="",AW$5="",'상세일정'!AM35="제외"),"",IF($D35=$E35,IF(AND($D35&gt;=AW$5,$D35&lt;AW$5+7),"◆",""),IF(AND($D35&lt;AW$5+7,$E35&gt;AW$5),"■","")))</x:f>
      </x:c>
      <x:c r="AX35" s="7" t="str">
        <x:f>IF(OR($D35="",AX$5="",'상세일정'!AM35="제외"),"",IF($D35=$E35,IF(AND($D35&gt;=AX$5,$D35&lt;AX$5+7),"◆",""),IF(AND($D35&lt;AX$5+7,$E35&gt;AX$5),"■","")))</x:f>
      </x:c>
      <x:c r="AY35" s="7" t="str">
        <x:f>IF(OR($D35="",AY$5="",'상세일정'!AM35="제외"),"",IF($D35=$E35,IF(AND($D35&gt;=AY$5,$D35&lt;AY$5+7),"◆",""),IF(AND($D35&lt;AY$5+7,$E35&gt;AY$5),"■","")))</x:f>
      </x:c>
      <x:c r="AZ35" s="7" t="str">
        <x:f>IF(OR($D35="",AZ$5="",'상세일정'!AM35="제외"),"",IF($D35=$E35,IF(AND($D35&gt;=AZ$5,$D35&lt;AZ$5+7),"◆",""),IF(AND($D35&lt;AZ$5+7,$E35&gt;AZ$5),"■","")))</x:f>
      </x:c>
      <x:c r="BA35" s="7" t="str">
        <x:f>IF(OR($D35="",BA$5="",'상세일정'!AM35="제외"),"",IF($D35=$E35,IF(AND($D35&gt;=BA$5,$D35&lt;BA$5+7),"◆",""),IF(AND($D35&lt;BA$5+7,$E35&gt;BA$5),"■","")))</x:f>
      </x:c>
      <x:c r="BB35" s="7" t="str">
        <x:f>IF(OR($D35="",BB$5="",'상세일정'!AM35="제외"),"",IF($D35=$E35,IF(AND($D35&gt;=BB$5,$D35&lt;BB$5+7),"◆",""),IF(AND($D35&lt;BB$5+7,$E35&gt;BB$5),"■","")))</x:f>
      </x:c>
      <x:c r="BC35" s="7" t="str">
        <x:f>IF(OR($D35="",BC$5="",'상세일정'!AM35="제외"),"",IF($D35=$E35,IF(AND($D35&gt;=BC$5,$D35&lt;BC$5+7),"◆",""),IF(AND($D35&lt;BC$5+7,$E35&gt;BC$5),"■","")))</x:f>
      </x:c>
      <x:c r="BD35" s="7" t="str">
        <x:f>IF(OR($D35="",BD$5="",'상세일정'!AM35="제외"),"",IF($D35=$E35,IF(AND($D35&gt;=BD$5,$D35&lt;BD$5+7),"◆",""),IF(AND($D35&lt;BD$5+7,$E35&gt;BD$5),"■","")))</x:f>
      </x:c>
      <x:c r="BE35" s="7" t="str">
        <x:f>IF(OR($D35="",BE$5="",'상세일정'!AM35="제외"),"",IF($D35=$E35,IF(AND($D35&gt;=BE$5,$D35&lt;BE$5+7),"◆",""),IF(AND($D35&lt;BE$5+7,$E35&gt;BE$5),"■","")))</x:f>
      </x:c>
      <x:c r="BF35" s="7" t="str">
        <x:f>IF(OR($D35="",BF$5="",'상세일정'!AM35="제외"),"",IF($D35=$E35,IF(AND($D35&gt;=BF$5,$D35&lt;BF$5+7),"◆",""),IF(AND($D35&lt;BF$5+7,$E35&gt;BF$5),"■","")))</x:f>
      </x:c>
      <x:c r="BG35" s="7" t="str">
        <x:f>IF(OR($D35="",BG$5="",'상세일정'!AM35="제외"),"",IF($D35=$E35,IF(AND($D35&gt;=BG$5,$D35&lt;BG$5+7),"◆",""),IF(AND($D35&lt;BG$5+7,$E35&gt;BG$5),"■","")))</x:f>
      </x:c>
      <x:c r="BH35" s="7" t="str">
        <x:f>IF(OR($D35="",BH$5="",'상세일정'!AM35="제외"),"",IF($D35=$E35,IF(AND($D35&gt;=BH$5,$D35&lt;BH$5+7),"◆",""),IF(AND($D35&lt;BH$5+7,$E35&gt;BH$5),"■","")))</x:f>
      </x:c>
      <x:c r="BI35" s="7" t="str">
        <x:f>IF(OR($D35="",BI$5="",'상세일정'!AM35="제외"),"",IF($D35=$E35,IF(AND($D35&gt;=BI$5,$D35&lt;BI$5+7),"◆",""),IF(AND($D35&lt;BI$5+7,$E35&gt;BI$5),"■","")))</x:f>
      </x:c>
      <x:c r="BJ35" s="7" t="str">
        <x:f>IF(OR($D35="",BJ$5="",'상세일정'!AM35="제외"),"",IF($D35=$E35,IF(AND($D35&gt;=BJ$5,$D35&lt;BJ$5+7),"◆",""),IF(AND($D35&lt;BJ$5+7,$E35&gt;BJ$5),"■","")))</x:f>
      </x:c>
      <x:c r="BK35" s="7" t="str">
        <x:f>IF(OR($D35="",BK$5="",'상세일정'!AM35="제외"),"",IF($D35=$E35,IF(AND($D35&gt;=BK$5,$D35&lt;BK$5+7),"◆",""),IF(AND($D35&lt;BK$5+7,$E35&gt;BK$5),"■","")))</x:f>
      </x:c>
      <x:c r="BL35" s="7" t="str">
        <x:f>IF(OR($D35="",BL$5="",'상세일정'!AM35="제외"),"",IF($D35=$E35,IF(AND($D35&gt;=BL$5,$D35&lt;BL$5+7),"◆",""),IF(AND($D35&lt;BL$5+7,$E35&gt;BL$5),"■","")))</x:f>
      </x:c>
      <x:c r="BM35" s="7" t="str">
        <x:f>IF(OR($D35="",BM$5="",'상세일정'!AM35="제외"),"",IF($D35=$E35,IF(AND($D35&gt;=BM$5,$D35&lt;BM$5+7),"◆",""),IF(AND($D35&lt;BM$5+7,$E35&gt;BM$5),"■","")))</x:f>
      </x:c>
      <x:c r="BN35" s="7" t="str">
        <x:f>IF(OR($D35="",BN$5="",'상세일정'!AM35="제외"),"",IF($D35=$E35,IF(AND($D35&gt;=BN$5,$D35&lt;BN$5+7),"◆",""),IF(AND($D35&lt;BN$5+7,$E35&gt;BN$5),"■","")))</x:f>
      </x:c>
      <x:c r="BO35" s="7" t="str">
        <x:f>IF(OR($D35="",BO$5="",'상세일정'!AM35="제외"),"",IF($D35=$E35,IF(AND($D35&gt;=BO$5,$D35&lt;BO$5+7),"◆",""),IF(AND($D35&lt;BO$5+7,$E35&gt;BO$5),"■","")))</x:f>
      </x:c>
      <x:c r="BP35" s="7" t="str">
        <x:f>IF(OR($D35="",BP$5="",'상세일정'!AM35="제외"),"",IF($D35=$E35,IF(AND($D35&gt;=BP$5,$D35&lt;BP$5+7),"◆",""),IF(AND($D35&lt;BP$5+7,$E35&gt;BP$5),"■","")))</x:f>
      </x:c>
      <x:c r="BQ35" s="7" t="str">
        <x:f>IF(OR($D35="",BQ$5="",'상세일정'!AM35="제외"),"",IF($D35=$E35,IF(AND($D35&gt;=BQ$5,$D35&lt;BQ$5+7),"◆",""),IF(AND($D35&lt;BQ$5+7,$E35&gt;BQ$5),"■","")))</x:f>
      </x:c>
      <x:c r="BR35" s="7" t="str">
        <x:f>IF(OR($D35="",BR$5="",'상세일정'!AM35="제외"),"",IF($D35=$E35,IF(AND($D35&gt;=BR$5,$D35&lt;BR$5+7),"◆",""),IF(AND($D35&lt;BR$5+7,$E35&gt;BR$5),"■","")))</x:f>
      </x:c>
      <x:c r="BS35" s="7" t="str">
        <x:f>IF(OR($D35="",BS$5="",'상세일정'!AM35="제외"),"",IF($D35=$E35,IF(AND($D35&gt;=BS$5,$D35&lt;BS$5+7),"◆",""),IF(AND($D35&lt;BS$5+7,$E35&gt;BS$5),"■","")))</x:f>
      </x:c>
      <x:c r="BT35" s="7" t="str">
        <x:f>IF(OR($D35="",BT$5="",'상세일정'!AM35="제외"),"",IF($D35=$E35,IF(AND($D35&gt;=BT$5,$D35&lt;BT$5+7),"◆",""),IF(AND($D35&lt;BT$5+7,$E35&gt;BT$5),"■","")))</x:f>
      </x:c>
      <x:c r="BU35" s="7" t="str">
        <x:f>IF(OR($D35="",BU$5="",'상세일정'!AM35="제외"),"",IF($D35=$E35,IF(AND($D35&gt;=BU$5,$D35&lt;BU$5+7),"◆",""),IF(AND($D35&lt;BU$5+7,$E35&gt;BU$5),"■","")))</x:f>
      </x:c>
      <x:c r="BV35" s="7" t="str">
        <x:f>IF(OR($D35="",BV$5="",'상세일정'!AM35="제외"),"",IF($D35=$E35,IF(AND($D35&gt;=BV$5,$D35&lt;BV$5+7),"◆",""),IF(AND($D35&lt;BV$5+7,$E35&gt;BV$5),"■","")))</x:f>
      </x:c>
      <x:c r="BW35" s="7" t="str">
        <x:f>IF(OR($D35="",BW$5="",'상세일정'!AM35="제외"),"",IF($D35=$E35,IF(AND($D35&gt;=BW$5,$D35&lt;BW$5+7),"◆",""),IF(AND($D35&lt;BW$5+7,$E35&gt;BW$5),"■","")))</x:f>
      </x:c>
      <x:c r="BX35" s="7" t="str">
        <x:f>IF(OR($D35="",BX$5="",'상세일정'!AM35="제외"),"",IF($D35=$E35,IF(AND($D35&gt;=BX$5,$D35&lt;BX$5+7),"◆",""),IF(AND($D35&lt;BX$5+7,$E35&gt;BX$5),"■","")))</x:f>
      </x:c>
      <x:c r="BY35" s="7" t="str">
        <x:f>IF(OR($D35="",BY$5="",'상세일정'!AM35="제외"),"",IF($D35=$E35,IF(AND($D35&gt;=BY$5,$D35&lt;BY$5+7),"◆",""),IF(AND($D35&lt;BY$5+7,$E35&gt;BY$5),"■","")))</x:f>
      </x:c>
      <x:c r="BZ35" s="7" t="str">
        <x:f>IF(OR($D35="",BZ$5="",'상세일정'!AM35="제외"),"",IF($D35=$E35,IF(AND($D35&gt;=BZ$5,$D35&lt;BZ$5+7),"◆",""),IF(AND($D35&lt;BZ$5+7,$E35&gt;BZ$5),"■","")))</x:f>
      </x:c>
      <x:c r="CA35" s="7" t="str">
        <x:f>IF(OR($D35="",CA$5="",'상세일정'!AM35="제외"),"",IF($D35=$E35,IF(AND($D35&gt;=CA$5,$D35&lt;CA$5+7),"◆",""),IF(AND($D35&lt;CA$5+7,$E35&gt;CA$5),"■","")))</x:f>
      </x:c>
      <x:c r="CB35" s="7" t="str">
        <x:f>IF(OR($D35="",CB$5="",'상세일정'!AM35="제외"),"",IF($D35=$E35,IF(AND($D35&gt;=CB$5,$D35&lt;CB$5+7),"◆",""),IF(AND($D35&lt;CB$5+7,$E35&gt;CB$5),"■","")))</x:f>
      </x:c>
      <x:c r="CC35" s="7" t="str">
        <x:f>IF(OR($D35="",CC$5="",'상세일정'!AM35="제외"),"",IF($D35=$E35,IF(AND($D35&gt;=CC$5,$D35&lt;CC$5+7),"◆",""),IF(AND($D35&lt;CC$5+7,$E35&gt;CC$5),"■","")))</x:f>
      </x:c>
      <x:c r="CD35" s="7" t="str">
        <x:f>IF(OR($D35="",CD$5="",'상세일정'!AM35="제외"),"",IF($D35=$E35,IF(AND($D35&gt;=CD$5,$D35&lt;CD$5+7),"◆",""),IF(AND($D35&lt;CD$5+7,$E35&gt;CD$5),"■","")))</x:f>
      </x:c>
      <x:c r="CE35" s="7" t="str">
        <x:f>IF(OR($D35="",CE$5="",'상세일정'!AM35="제외"),"",IF($D35=$E35,IF(AND($D35&gt;=CE$5,$D35&lt;CE$5+7),"◆",""),IF(AND($D35&lt;CE$5+7,$E35&gt;CE$5),"■","")))</x:f>
      </x:c>
      <x:c r="CF35" s="7" t="str">
        <x:f>IF(OR($D35="",CF$5="",'상세일정'!AM35="제외"),"",IF($D35=$E35,IF(AND($D35&gt;=CF$5,$D35&lt;CF$5+7),"◆",""),IF(AND($D35&lt;CF$5+7,$E35&gt;CF$5),"■","")))</x:f>
      </x:c>
      <x:c r="CG35" s="7" t="str">
        <x:f>IF(OR($D35="",CG$5="",'상세일정'!AM35="제외"),"",IF($D35=$E35,IF(AND($D35&gt;=CG$5,$D35&lt;CG$5+7),"◆",""),IF(AND($D35&lt;CG$5+7,$E35&gt;CG$5),"■","")))</x:f>
      </x:c>
      <x:c r="CH35" s="7" t="str">
        <x:f>IF(OR($D35="",CH$5="",'상세일정'!AM35="제외"),"",IF($D35=$E35,IF(AND($D35&gt;=CH$5,$D35&lt;CH$5+7),"◆",""),IF(AND($D35&lt;CH$5+7,$E35&gt;CH$5),"■","")))</x:f>
      </x:c>
      <x:c r="CI35" s="7" t="str">
        <x:f>IF(OR($D35="",CI$5="",'상세일정'!AM35="제외"),"",IF($D35=$E35,IF(AND($D35&gt;=CI$5,$D35&lt;CI$5+7),"◆",""),IF(AND($D35&lt;CI$5+7,$E35&gt;CI$5),"■","")))</x:f>
      </x:c>
      <x:c r="CJ35" s="7" t="str">
        <x:f>IF(OR($D35="",CJ$5="",'상세일정'!AM35="제외"),"",IF($D35=$E35,IF(AND($D35&gt;=CJ$5,$D35&lt;CJ$5+7),"◆",""),IF(AND($D35&lt;CJ$5+7,$E35&gt;CJ$5),"■","")))</x:f>
      </x:c>
      <x:c r="CK35" s="7" t="str">
        <x:f>IF(OR($D35="",CK$5="",'상세일정'!AM35="제외"),"",IF($D35=$E35,IF(AND($D35&gt;=CK$5,$D35&lt;CK$5+7),"◆",""),IF(AND($D35&lt;CK$5+7,$E35&gt;CK$5),"■","")))</x:f>
      </x:c>
      <x:c r="CL35" s="7" t="str">
        <x:f>IF(OR($D35="",CL$5="",'상세일정'!AM35="제외"),"",IF($D35=$E35,IF(AND($D35&gt;=CL$5,$D35&lt;CL$5+7),"◆",""),IF(AND($D35&lt;CL$5+7,$E35&gt;CL$5),"■","")))</x:f>
      </x:c>
      <x:c r="CM35" s="7" t="str">
        <x:f>IF(OR($D35="",CM$5="",'상세일정'!AM35="제외"),"",IF($D35=$E35,IF(AND($D35&gt;=CM$5,$D35&lt;CM$5+7),"◆",""),IF(AND($D35&lt;CM$5+7,$E35&gt;CM$5),"■","")))</x:f>
      </x:c>
      <x:c r="CN35" s="7" t="str">
        <x:f>IF(OR($D35="",CN$5="",'상세일정'!AM35="제외"),"",IF($D35=$E35,IF(AND($D35&gt;=CN$5,$D35&lt;CN$5+7),"◆",""),IF(AND($D35&lt;CN$5+7,$E35&gt;CN$5),"■","")))</x:f>
      </x:c>
      <x:c r="CO35" s="7" t="str">
        <x:f>IF(OR($D35="",CO$5="",'상세일정'!AM35="제외"),"",IF($D35=$E35,IF(AND($D35&gt;=CO$5,$D35&lt;CO$5+7),"◆",""),IF(AND($D35&lt;CO$5+7,$E35&gt;CO$5),"■","")))</x:f>
      </x:c>
      <x:c r="CP35" s="7" t="str">
        <x:f>IF(OR($D35="",CP$5="",'상세일정'!AM35="제외"),"",IF($D35=$E35,IF(AND($D35&gt;=CP$5,$D35&lt;CP$5+7),"◆",""),IF(AND($D35&lt;CP$5+7,$E35&gt;CP$5),"■","")))</x:f>
      </x:c>
      <x:c r="CQ35" s="7" t="str">
        <x:f>IF(OR($D35="",CQ$5="",'상세일정'!AM35="제외"),"",IF($D35=$E35,IF(AND($D35&gt;=CQ$5,$D35&lt;CQ$5+7),"◆",""),IF(AND($D35&lt;CQ$5+7,$E35&gt;CQ$5),"■","")))</x:f>
      </x:c>
      <x:c r="CR35" s="7" t="str">
        <x:f>IF(OR($D35="",CR$5="",'상세일정'!AM35="제외"),"",IF($D35=$E35,IF(AND($D35&gt;=CR$5,$D35&lt;CR$5+7),"◆",""),IF(AND($D35&lt;CR$5+7,$E35&gt;CR$5),"■","")))</x:f>
      </x:c>
      <x:c r="CS35" s="7" t="str">
        <x:f>IF(OR($D35="",CS$5="",'상세일정'!AM35="제외"),"",IF($D35=$E35,IF(AND($D35&gt;=CS$5,$D35&lt;CS$5+7),"◆",""),IF(AND($D35&lt;CS$5+7,$E35&gt;CS$5),"■","")))</x:f>
      </x:c>
      <x:c r="CT35" s="7" t="str">
        <x:f>IF(OR($D35="",CT$5="",'상세일정'!AM35="제외"),"",IF($D35=$E35,IF(AND($D35&gt;=CT$5,$D35&lt;CT$5+7),"◆",""),IF(AND($D35&lt;CT$5+7,$E35&gt;CT$5),"■","")))</x:f>
      </x:c>
      <x:c r="CU35" s="7" t="str">
        <x:f>IF(OR($D35="",CU$5="",'상세일정'!AM35="제외"),"",IF($D35=$E35,IF(AND($D35&gt;=CU$5,$D35&lt;CU$5+7),"◆",""),IF(AND($D35&lt;CU$5+7,$E35&gt;CU$5),"■","")))</x:f>
      </x:c>
      <x:c r="CV35" s="7" t="str">
        <x:f>IF(OR($D35="",CV$5="",'상세일정'!AM35="제외"),"",IF($D35=$E35,IF(AND($D35&gt;=CV$5,$D35&lt;CV$5+7),"◆",""),IF(AND($D35&lt;CV$5+7,$E35&gt;CV$5),"■","")))</x:f>
      </x:c>
      <x:c r="CW35" s="7" t="str">
        <x:f>IF(OR($D35="",CW$5="",'상세일정'!AM35="제외"),"",IF($D35=$E35,IF(AND($D35&gt;=CW$5,$D35&lt;CW$5+7),"◆",""),IF(AND($D35&lt;CW$5+7,$E35&gt;CW$5),"■","")))</x:f>
      </x:c>
      <x:c r="CX35" s="7" t="str">
        <x:f>IF(OR($D35="",CX$5="",'상세일정'!AM35="제외"),"",IF($D35=$E35,IF(AND($D35&gt;=CX$5,$D35&lt;CX$5+7),"◆",""),IF(AND($D35&lt;CX$5+7,$E35&gt;CX$5),"■","")))</x:f>
      </x:c>
      <x:c r="CY35" s="7" t="str">
        <x:f>IF(OR($D35="",CY$5="",'상세일정'!AM35="제외"),"",IF($D35=$E35,IF(AND($D35&gt;=CY$5,$D35&lt;CY$5+7),"◆",""),IF(AND($D35&lt;CY$5+7,$E35&gt;CY$5),"■","")))</x:f>
      </x:c>
      <x:c r="CZ35" s="7" t="str">
        <x:f>IF(OR($D35="",CZ$5="",'상세일정'!AM35="제외"),"",IF($D35=$E35,IF(AND($D35&gt;=CZ$5,$D35&lt;CZ$5+7),"◆",""),IF(AND($D35&lt;CZ$5+7,$E35&gt;CZ$5),"■","")))</x:f>
      </x:c>
      <x:c r="DA35" s="7" t="str">
        <x:f>IF(OR($D35="",DA$5="",'상세일정'!AM35="제외"),"",IF($D35=$E35,IF(AND($D35&gt;=DA$5,$D35&lt;DA$5+7),"◆",""),IF(AND($D35&lt;DA$5+7,$E35&gt;DA$5),"■","")))</x:f>
      </x:c>
      <x:c r="DB35" s="7" t="str">
        <x:f>IF(OR($D35="",DB$5="",'상세일정'!AM35="제외"),"",IF($D35=$E35,IF(AND($D35&gt;=DB$5,$D35&lt;DB$5+7),"◆",""),IF(AND($D35&lt;DB$5+7,$E35&gt;DB$5),"■","")))</x:f>
      </x:c>
      <x:c r="DC35" s="7" t="str">
        <x:f>IF(OR($D35="",DC$5="",'상세일정'!AM35="제외"),"",IF($D35=$E35,IF(AND($D35&gt;=DC$5,$D35&lt;DC$5+7),"◆",""),IF(AND($D35&lt;DC$5+7,$E35&gt;DC$5),"■","")))</x:f>
      </x:c>
      <x:c r="DD35" s="7" t="str">
        <x:f>IF(OR($D35="",DD$5="",'상세일정'!AM35="제외"),"",IF($D35=$E35,IF(AND($D35&gt;=DD$5,$D35&lt;DD$5+7),"◆",""),IF(AND($D35&lt;DD$5+7,$E35&gt;DD$5),"■","")))</x:f>
      </x:c>
      <x:c r="DE35" s="7" t="str">
        <x:f>IF(OR($D35="",DE$5="",'상세일정'!AM35="제외"),"",IF($D35=$E35,IF(AND($D35&gt;=DE$5,$D35&lt;DE$5+7),"◆",""),IF(AND($D35&lt;DE$5+7,$E35&gt;DE$5),"■","")))</x:f>
      </x:c>
    </x:row>
    <x:row r="36" ht="34" customHeight="1">
      <x:c r="A36" s="7" t="str">
        <x:v>PD06</x:v>
      </x:c>
      <x:c r="B36" s="7" t="str">
        <x:v>06 공정·배관 상세설계</x:v>
      </x:c>
      <x:c r="C36" s="7" t="str">
        <x:v>ISO·BOM·밸브리스트·내역서 작성</x:v>
      </x:c>
      <x:c r="D36" s="10" t="str">
        <x:f>'상세일정'!AJ36</x:f>
      </x:c>
      <x:c r="E36" s="10" t="str">
        <x:f>'상세일정'!AK36</x:f>
      </x:c>
      <x:c r="F36" s="7" t="str">
        <x:f>IF(OR($D36="",F$5="",'상세일정'!AM36="제외"),"",IF($D36=$E36,IF(AND($D36&gt;=F$5,$D36&lt;F$5+7),"◆",""),IF(AND($D36&lt;F$5+7,$E36&gt;F$5),"■","")))</x:f>
      </x:c>
      <x:c r="G36" s="7" t="str">
        <x:f>IF(OR($D36="",G$5="",'상세일정'!AM36="제외"),"",IF($D36=$E36,IF(AND($D36&gt;=G$5,$D36&lt;G$5+7),"◆",""),IF(AND($D36&lt;G$5+7,$E36&gt;G$5),"■","")))</x:f>
      </x:c>
      <x:c r="H36" s="7" t="str">
        <x:f>IF(OR($D36="",H$5="",'상세일정'!AM36="제외"),"",IF($D36=$E36,IF(AND($D36&gt;=H$5,$D36&lt;H$5+7),"◆",""),IF(AND($D36&lt;H$5+7,$E36&gt;H$5),"■","")))</x:f>
      </x:c>
      <x:c r="I36" s="7" t="str">
        <x:f>IF(OR($D36="",I$5="",'상세일정'!AM36="제외"),"",IF($D36=$E36,IF(AND($D36&gt;=I$5,$D36&lt;I$5+7),"◆",""),IF(AND($D36&lt;I$5+7,$E36&gt;I$5),"■","")))</x:f>
      </x:c>
      <x:c r="J36" s="7" t="str">
        <x:f>IF(OR($D36="",J$5="",'상세일정'!AM36="제외"),"",IF($D36=$E36,IF(AND($D36&gt;=J$5,$D36&lt;J$5+7),"◆",""),IF(AND($D36&lt;J$5+7,$E36&gt;J$5),"■","")))</x:f>
      </x:c>
      <x:c r="K36" s="7" t="str">
        <x:f>IF(OR($D36="",K$5="",'상세일정'!AM36="제외"),"",IF($D36=$E36,IF(AND($D36&gt;=K$5,$D36&lt;K$5+7),"◆",""),IF(AND($D36&lt;K$5+7,$E36&gt;K$5),"■","")))</x:f>
      </x:c>
      <x:c r="L36" s="7" t="str">
        <x:f>IF(OR($D36="",L$5="",'상세일정'!AM36="제외"),"",IF($D36=$E36,IF(AND($D36&gt;=L$5,$D36&lt;L$5+7),"◆",""),IF(AND($D36&lt;L$5+7,$E36&gt;L$5),"■","")))</x:f>
      </x:c>
      <x:c r="M36" s="7" t="str">
        <x:f>IF(OR($D36="",M$5="",'상세일정'!AM36="제외"),"",IF($D36=$E36,IF(AND($D36&gt;=M$5,$D36&lt;M$5+7),"◆",""),IF(AND($D36&lt;M$5+7,$E36&gt;M$5),"■","")))</x:f>
      </x:c>
      <x:c r="N36" s="7" t="str">
        <x:f>IF(OR($D36="",N$5="",'상세일정'!AM36="제외"),"",IF($D36=$E36,IF(AND($D36&gt;=N$5,$D36&lt;N$5+7),"◆",""),IF(AND($D36&lt;N$5+7,$E36&gt;N$5),"■","")))</x:f>
      </x:c>
      <x:c r="O36" s="7" t="str">
        <x:f>IF(OR($D36="",O$5="",'상세일정'!AM36="제외"),"",IF($D36=$E36,IF(AND($D36&gt;=O$5,$D36&lt;O$5+7),"◆",""),IF(AND($D36&lt;O$5+7,$E36&gt;O$5),"■","")))</x:f>
      </x:c>
      <x:c r="P36" s="7" t="str">
        <x:f>IF(OR($D36="",P$5="",'상세일정'!AM36="제외"),"",IF($D36=$E36,IF(AND($D36&gt;=P$5,$D36&lt;P$5+7),"◆",""),IF(AND($D36&lt;P$5+7,$E36&gt;P$5),"■","")))</x:f>
      </x:c>
      <x:c r="Q36" s="7" t="str">
        <x:f>IF(OR($D36="",Q$5="",'상세일정'!AM36="제외"),"",IF($D36=$E36,IF(AND($D36&gt;=Q$5,$D36&lt;Q$5+7),"◆",""),IF(AND($D36&lt;Q$5+7,$E36&gt;Q$5),"■","")))</x:f>
      </x:c>
      <x:c r="R36" s="7" t="str">
        <x:f>IF(OR($D36="",R$5="",'상세일정'!AM36="제외"),"",IF($D36=$E36,IF(AND($D36&gt;=R$5,$D36&lt;R$5+7),"◆",""),IF(AND($D36&lt;R$5+7,$E36&gt;R$5),"■","")))</x:f>
      </x:c>
      <x:c r="S36" s="7" t="str">
        <x:f>IF(OR($D36="",S$5="",'상세일정'!AM36="제외"),"",IF($D36=$E36,IF(AND($D36&gt;=S$5,$D36&lt;S$5+7),"◆",""),IF(AND($D36&lt;S$5+7,$E36&gt;S$5),"■","")))</x:f>
      </x:c>
      <x:c r="T36" s="7" t="str">
        <x:f>IF(OR($D36="",T$5="",'상세일정'!AM36="제외"),"",IF($D36=$E36,IF(AND($D36&gt;=T$5,$D36&lt;T$5+7),"◆",""),IF(AND($D36&lt;T$5+7,$E36&gt;T$5),"■","")))</x:f>
      </x:c>
      <x:c r="U36" s="7" t="str">
        <x:f>IF(OR($D36="",U$5="",'상세일정'!AM36="제외"),"",IF($D36=$E36,IF(AND($D36&gt;=U$5,$D36&lt;U$5+7),"◆",""),IF(AND($D36&lt;U$5+7,$E36&gt;U$5),"■","")))</x:f>
      </x:c>
      <x:c r="V36" s="7" t="str">
        <x:f>IF(OR($D36="",V$5="",'상세일정'!AM36="제외"),"",IF($D36=$E36,IF(AND($D36&gt;=V$5,$D36&lt;V$5+7),"◆",""),IF(AND($D36&lt;V$5+7,$E36&gt;V$5),"■","")))</x:f>
      </x:c>
      <x:c r="W36" s="7" t="str">
        <x:f>IF(OR($D36="",W$5="",'상세일정'!AM36="제외"),"",IF($D36=$E36,IF(AND($D36&gt;=W$5,$D36&lt;W$5+7),"◆",""),IF(AND($D36&lt;W$5+7,$E36&gt;W$5),"■","")))</x:f>
      </x:c>
      <x:c r="X36" s="7" t="str">
        <x:f>IF(OR($D36="",X$5="",'상세일정'!AM36="제외"),"",IF($D36=$E36,IF(AND($D36&gt;=X$5,$D36&lt;X$5+7),"◆",""),IF(AND($D36&lt;X$5+7,$E36&gt;X$5),"■","")))</x:f>
      </x:c>
      <x:c r="Y36" s="7" t="str">
        <x:f>IF(OR($D36="",Y$5="",'상세일정'!AM36="제외"),"",IF($D36=$E36,IF(AND($D36&gt;=Y$5,$D36&lt;Y$5+7),"◆",""),IF(AND($D36&lt;Y$5+7,$E36&gt;Y$5),"■","")))</x:f>
      </x:c>
      <x:c r="Z36" s="7" t="str">
        <x:f>IF(OR($D36="",Z$5="",'상세일정'!AM36="제외"),"",IF($D36=$E36,IF(AND($D36&gt;=Z$5,$D36&lt;Z$5+7),"◆",""),IF(AND($D36&lt;Z$5+7,$E36&gt;Z$5),"■","")))</x:f>
      </x:c>
      <x:c r="AA36" s="7" t="str">
        <x:f>IF(OR($D36="",AA$5="",'상세일정'!AM36="제외"),"",IF($D36=$E36,IF(AND($D36&gt;=AA$5,$D36&lt;AA$5+7),"◆",""),IF(AND($D36&lt;AA$5+7,$E36&gt;AA$5),"■","")))</x:f>
      </x:c>
      <x:c r="AB36" s="7" t="str">
        <x:f>IF(OR($D36="",AB$5="",'상세일정'!AM36="제외"),"",IF($D36=$E36,IF(AND($D36&gt;=AB$5,$D36&lt;AB$5+7),"◆",""),IF(AND($D36&lt;AB$5+7,$E36&gt;AB$5),"■","")))</x:f>
      </x:c>
      <x:c r="AC36" s="7" t="str">
        <x:f>IF(OR($D36="",AC$5="",'상세일정'!AM36="제외"),"",IF($D36=$E36,IF(AND($D36&gt;=AC$5,$D36&lt;AC$5+7),"◆",""),IF(AND($D36&lt;AC$5+7,$E36&gt;AC$5),"■","")))</x:f>
      </x:c>
      <x:c r="AD36" s="7" t="str">
        <x:f>IF(OR($D36="",AD$5="",'상세일정'!AM36="제외"),"",IF($D36=$E36,IF(AND($D36&gt;=AD$5,$D36&lt;AD$5+7),"◆",""),IF(AND($D36&lt;AD$5+7,$E36&gt;AD$5),"■","")))</x:f>
      </x:c>
      <x:c r="AE36" s="7" t="str">
        <x:f>IF(OR($D36="",AE$5="",'상세일정'!AM36="제외"),"",IF($D36=$E36,IF(AND($D36&gt;=AE$5,$D36&lt;AE$5+7),"◆",""),IF(AND($D36&lt;AE$5+7,$E36&gt;AE$5),"■","")))</x:f>
      </x:c>
      <x:c r="AF36" s="7" t="str">
        <x:f>IF(OR($D36="",AF$5="",'상세일정'!AM36="제외"),"",IF($D36=$E36,IF(AND($D36&gt;=AF$5,$D36&lt;AF$5+7),"◆",""),IF(AND($D36&lt;AF$5+7,$E36&gt;AF$5),"■","")))</x:f>
      </x:c>
      <x:c r="AG36" s="7" t="str">
        <x:f>IF(OR($D36="",AG$5="",'상세일정'!AM36="제외"),"",IF($D36=$E36,IF(AND($D36&gt;=AG$5,$D36&lt;AG$5+7),"◆",""),IF(AND($D36&lt;AG$5+7,$E36&gt;AG$5),"■","")))</x:f>
      </x:c>
      <x:c r="AH36" s="7" t="str">
        <x:f>IF(OR($D36="",AH$5="",'상세일정'!AM36="제외"),"",IF($D36=$E36,IF(AND($D36&gt;=AH$5,$D36&lt;AH$5+7),"◆",""),IF(AND($D36&lt;AH$5+7,$E36&gt;AH$5),"■","")))</x:f>
      </x:c>
      <x:c r="AI36" s="7" t="str">
        <x:f>IF(OR($D36="",AI$5="",'상세일정'!AM36="제외"),"",IF($D36=$E36,IF(AND($D36&gt;=AI$5,$D36&lt;AI$5+7),"◆",""),IF(AND($D36&lt;AI$5+7,$E36&gt;AI$5),"■","")))</x:f>
      </x:c>
      <x:c r="AJ36" s="7" t="str">
        <x:f>IF(OR($D36="",AJ$5="",'상세일정'!AM36="제외"),"",IF($D36=$E36,IF(AND($D36&gt;=AJ$5,$D36&lt;AJ$5+7),"◆",""),IF(AND($D36&lt;AJ$5+7,$E36&gt;AJ$5),"■","")))</x:f>
      </x:c>
      <x:c r="AK36" s="7" t="str">
        <x:f>IF(OR($D36="",AK$5="",'상세일정'!AM36="제외"),"",IF($D36=$E36,IF(AND($D36&gt;=AK$5,$D36&lt;AK$5+7),"◆",""),IF(AND($D36&lt;AK$5+7,$E36&gt;AK$5),"■","")))</x:f>
      </x:c>
      <x:c r="AL36" s="7" t="str">
        <x:f>IF(OR($D36="",AL$5="",'상세일정'!AM36="제외"),"",IF($D36=$E36,IF(AND($D36&gt;=AL$5,$D36&lt;AL$5+7),"◆",""),IF(AND($D36&lt;AL$5+7,$E36&gt;AL$5),"■","")))</x:f>
      </x:c>
      <x:c r="AM36" s="7" t="str">
        <x:f>IF(OR($D36="",AM$5="",'상세일정'!AM36="제외"),"",IF($D36=$E36,IF(AND($D36&gt;=AM$5,$D36&lt;AM$5+7),"◆",""),IF(AND($D36&lt;AM$5+7,$E36&gt;AM$5),"■","")))</x:f>
      </x:c>
      <x:c r="AN36" s="7" t="str">
        <x:f>IF(OR($D36="",AN$5="",'상세일정'!AM36="제외"),"",IF($D36=$E36,IF(AND($D36&gt;=AN$5,$D36&lt;AN$5+7),"◆",""),IF(AND($D36&lt;AN$5+7,$E36&gt;AN$5),"■","")))</x:f>
      </x:c>
      <x:c r="AO36" s="7" t="str">
        <x:f>IF(OR($D36="",AO$5="",'상세일정'!AM36="제외"),"",IF($D36=$E36,IF(AND($D36&gt;=AO$5,$D36&lt;AO$5+7),"◆",""),IF(AND($D36&lt;AO$5+7,$E36&gt;AO$5),"■","")))</x:f>
      </x:c>
      <x:c r="AP36" s="7" t="str">
        <x:f>IF(OR($D36="",AP$5="",'상세일정'!AM36="제외"),"",IF($D36=$E36,IF(AND($D36&gt;=AP$5,$D36&lt;AP$5+7),"◆",""),IF(AND($D36&lt;AP$5+7,$E36&gt;AP$5),"■","")))</x:f>
      </x:c>
      <x:c r="AQ36" s="7" t="str">
        <x:f>IF(OR($D36="",AQ$5="",'상세일정'!AM36="제외"),"",IF($D36=$E36,IF(AND($D36&gt;=AQ$5,$D36&lt;AQ$5+7),"◆",""),IF(AND($D36&lt;AQ$5+7,$E36&gt;AQ$5),"■","")))</x:f>
      </x:c>
      <x:c r="AR36" s="7" t="str">
        <x:f>IF(OR($D36="",AR$5="",'상세일정'!AM36="제외"),"",IF($D36=$E36,IF(AND($D36&gt;=AR$5,$D36&lt;AR$5+7),"◆",""),IF(AND($D36&lt;AR$5+7,$E36&gt;AR$5),"■","")))</x:f>
      </x:c>
      <x:c r="AS36" s="7" t="str">
        <x:f>IF(OR($D36="",AS$5="",'상세일정'!AM36="제외"),"",IF($D36=$E36,IF(AND($D36&gt;=AS$5,$D36&lt;AS$5+7),"◆",""),IF(AND($D36&lt;AS$5+7,$E36&gt;AS$5),"■","")))</x:f>
      </x:c>
      <x:c r="AT36" s="7" t="str">
        <x:f>IF(OR($D36="",AT$5="",'상세일정'!AM36="제외"),"",IF($D36=$E36,IF(AND($D36&gt;=AT$5,$D36&lt;AT$5+7),"◆",""),IF(AND($D36&lt;AT$5+7,$E36&gt;AT$5),"■","")))</x:f>
      </x:c>
      <x:c r="AU36" s="7" t="str">
        <x:f>IF(OR($D36="",AU$5="",'상세일정'!AM36="제외"),"",IF($D36=$E36,IF(AND($D36&gt;=AU$5,$D36&lt;AU$5+7),"◆",""),IF(AND($D36&lt;AU$5+7,$E36&gt;AU$5),"■","")))</x:f>
      </x:c>
      <x:c r="AV36" s="7" t="str">
        <x:f>IF(OR($D36="",AV$5="",'상세일정'!AM36="제외"),"",IF($D36=$E36,IF(AND($D36&gt;=AV$5,$D36&lt;AV$5+7),"◆",""),IF(AND($D36&lt;AV$5+7,$E36&gt;AV$5),"■","")))</x:f>
      </x:c>
      <x:c r="AW36" s="7" t="str">
        <x:f>IF(OR($D36="",AW$5="",'상세일정'!AM36="제외"),"",IF($D36=$E36,IF(AND($D36&gt;=AW$5,$D36&lt;AW$5+7),"◆",""),IF(AND($D36&lt;AW$5+7,$E36&gt;AW$5),"■","")))</x:f>
      </x:c>
      <x:c r="AX36" s="7" t="str">
        <x:f>IF(OR($D36="",AX$5="",'상세일정'!AM36="제외"),"",IF($D36=$E36,IF(AND($D36&gt;=AX$5,$D36&lt;AX$5+7),"◆",""),IF(AND($D36&lt;AX$5+7,$E36&gt;AX$5),"■","")))</x:f>
      </x:c>
      <x:c r="AY36" s="7" t="str">
        <x:f>IF(OR($D36="",AY$5="",'상세일정'!AM36="제외"),"",IF($D36=$E36,IF(AND($D36&gt;=AY$5,$D36&lt;AY$5+7),"◆",""),IF(AND($D36&lt;AY$5+7,$E36&gt;AY$5),"■","")))</x:f>
      </x:c>
      <x:c r="AZ36" s="7" t="str">
        <x:f>IF(OR($D36="",AZ$5="",'상세일정'!AM36="제외"),"",IF($D36=$E36,IF(AND($D36&gt;=AZ$5,$D36&lt;AZ$5+7),"◆",""),IF(AND($D36&lt;AZ$5+7,$E36&gt;AZ$5),"■","")))</x:f>
      </x:c>
      <x:c r="BA36" s="7" t="str">
        <x:f>IF(OR($D36="",BA$5="",'상세일정'!AM36="제외"),"",IF($D36=$E36,IF(AND($D36&gt;=BA$5,$D36&lt;BA$5+7),"◆",""),IF(AND($D36&lt;BA$5+7,$E36&gt;BA$5),"■","")))</x:f>
      </x:c>
      <x:c r="BB36" s="7" t="str">
        <x:f>IF(OR($D36="",BB$5="",'상세일정'!AM36="제외"),"",IF($D36=$E36,IF(AND($D36&gt;=BB$5,$D36&lt;BB$5+7),"◆",""),IF(AND($D36&lt;BB$5+7,$E36&gt;BB$5),"■","")))</x:f>
      </x:c>
      <x:c r="BC36" s="7" t="str">
        <x:f>IF(OR($D36="",BC$5="",'상세일정'!AM36="제외"),"",IF($D36=$E36,IF(AND($D36&gt;=BC$5,$D36&lt;BC$5+7),"◆",""),IF(AND($D36&lt;BC$5+7,$E36&gt;BC$5),"■","")))</x:f>
      </x:c>
      <x:c r="BD36" s="7" t="str">
        <x:f>IF(OR($D36="",BD$5="",'상세일정'!AM36="제외"),"",IF($D36=$E36,IF(AND($D36&gt;=BD$5,$D36&lt;BD$5+7),"◆",""),IF(AND($D36&lt;BD$5+7,$E36&gt;BD$5),"■","")))</x:f>
      </x:c>
      <x:c r="BE36" s="7" t="str">
        <x:f>IF(OR($D36="",BE$5="",'상세일정'!AM36="제외"),"",IF($D36=$E36,IF(AND($D36&gt;=BE$5,$D36&lt;BE$5+7),"◆",""),IF(AND($D36&lt;BE$5+7,$E36&gt;BE$5),"■","")))</x:f>
      </x:c>
      <x:c r="BF36" s="7" t="str">
        <x:f>IF(OR($D36="",BF$5="",'상세일정'!AM36="제외"),"",IF($D36=$E36,IF(AND($D36&gt;=BF$5,$D36&lt;BF$5+7),"◆",""),IF(AND($D36&lt;BF$5+7,$E36&gt;BF$5),"■","")))</x:f>
      </x:c>
      <x:c r="BG36" s="7" t="str">
        <x:f>IF(OR($D36="",BG$5="",'상세일정'!AM36="제외"),"",IF($D36=$E36,IF(AND($D36&gt;=BG$5,$D36&lt;BG$5+7),"◆",""),IF(AND($D36&lt;BG$5+7,$E36&gt;BG$5),"■","")))</x:f>
      </x:c>
      <x:c r="BH36" s="7" t="str">
        <x:f>IF(OR($D36="",BH$5="",'상세일정'!AM36="제외"),"",IF($D36=$E36,IF(AND($D36&gt;=BH$5,$D36&lt;BH$5+7),"◆",""),IF(AND($D36&lt;BH$5+7,$E36&gt;BH$5),"■","")))</x:f>
      </x:c>
      <x:c r="BI36" s="7" t="str">
        <x:f>IF(OR($D36="",BI$5="",'상세일정'!AM36="제외"),"",IF($D36=$E36,IF(AND($D36&gt;=BI$5,$D36&lt;BI$5+7),"◆",""),IF(AND($D36&lt;BI$5+7,$E36&gt;BI$5),"■","")))</x:f>
      </x:c>
      <x:c r="BJ36" s="7" t="str">
        <x:f>IF(OR($D36="",BJ$5="",'상세일정'!AM36="제외"),"",IF($D36=$E36,IF(AND($D36&gt;=BJ$5,$D36&lt;BJ$5+7),"◆",""),IF(AND($D36&lt;BJ$5+7,$E36&gt;BJ$5),"■","")))</x:f>
      </x:c>
      <x:c r="BK36" s="7" t="str">
        <x:f>IF(OR($D36="",BK$5="",'상세일정'!AM36="제외"),"",IF($D36=$E36,IF(AND($D36&gt;=BK$5,$D36&lt;BK$5+7),"◆",""),IF(AND($D36&lt;BK$5+7,$E36&gt;BK$5),"■","")))</x:f>
      </x:c>
      <x:c r="BL36" s="7" t="str">
        <x:f>IF(OR($D36="",BL$5="",'상세일정'!AM36="제외"),"",IF($D36=$E36,IF(AND($D36&gt;=BL$5,$D36&lt;BL$5+7),"◆",""),IF(AND($D36&lt;BL$5+7,$E36&gt;BL$5),"■","")))</x:f>
      </x:c>
      <x:c r="BM36" s="7" t="str">
        <x:f>IF(OR($D36="",BM$5="",'상세일정'!AM36="제외"),"",IF($D36=$E36,IF(AND($D36&gt;=BM$5,$D36&lt;BM$5+7),"◆",""),IF(AND($D36&lt;BM$5+7,$E36&gt;BM$5),"■","")))</x:f>
      </x:c>
      <x:c r="BN36" s="7" t="str">
        <x:f>IF(OR($D36="",BN$5="",'상세일정'!AM36="제외"),"",IF($D36=$E36,IF(AND($D36&gt;=BN$5,$D36&lt;BN$5+7),"◆",""),IF(AND($D36&lt;BN$5+7,$E36&gt;BN$5),"■","")))</x:f>
      </x:c>
      <x:c r="BO36" s="7" t="str">
        <x:f>IF(OR($D36="",BO$5="",'상세일정'!AM36="제외"),"",IF($D36=$E36,IF(AND($D36&gt;=BO$5,$D36&lt;BO$5+7),"◆",""),IF(AND($D36&lt;BO$5+7,$E36&gt;BO$5),"■","")))</x:f>
      </x:c>
      <x:c r="BP36" s="7" t="str">
        <x:f>IF(OR($D36="",BP$5="",'상세일정'!AM36="제외"),"",IF($D36=$E36,IF(AND($D36&gt;=BP$5,$D36&lt;BP$5+7),"◆",""),IF(AND($D36&lt;BP$5+7,$E36&gt;BP$5),"■","")))</x:f>
      </x:c>
      <x:c r="BQ36" s="7" t="str">
        <x:f>IF(OR($D36="",BQ$5="",'상세일정'!AM36="제외"),"",IF($D36=$E36,IF(AND($D36&gt;=BQ$5,$D36&lt;BQ$5+7),"◆",""),IF(AND($D36&lt;BQ$5+7,$E36&gt;BQ$5),"■","")))</x:f>
      </x:c>
      <x:c r="BR36" s="7" t="str">
        <x:f>IF(OR($D36="",BR$5="",'상세일정'!AM36="제외"),"",IF($D36=$E36,IF(AND($D36&gt;=BR$5,$D36&lt;BR$5+7),"◆",""),IF(AND($D36&lt;BR$5+7,$E36&gt;BR$5),"■","")))</x:f>
      </x:c>
      <x:c r="BS36" s="7" t="str">
        <x:f>IF(OR($D36="",BS$5="",'상세일정'!AM36="제외"),"",IF($D36=$E36,IF(AND($D36&gt;=BS$5,$D36&lt;BS$5+7),"◆",""),IF(AND($D36&lt;BS$5+7,$E36&gt;BS$5),"■","")))</x:f>
      </x:c>
      <x:c r="BT36" s="7" t="str">
        <x:f>IF(OR($D36="",BT$5="",'상세일정'!AM36="제외"),"",IF($D36=$E36,IF(AND($D36&gt;=BT$5,$D36&lt;BT$5+7),"◆",""),IF(AND($D36&lt;BT$5+7,$E36&gt;BT$5),"■","")))</x:f>
      </x:c>
      <x:c r="BU36" s="7" t="str">
        <x:f>IF(OR($D36="",BU$5="",'상세일정'!AM36="제외"),"",IF($D36=$E36,IF(AND($D36&gt;=BU$5,$D36&lt;BU$5+7),"◆",""),IF(AND($D36&lt;BU$5+7,$E36&gt;BU$5),"■","")))</x:f>
      </x:c>
      <x:c r="BV36" s="7" t="str">
        <x:f>IF(OR($D36="",BV$5="",'상세일정'!AM36="제외"),"",IF($D36=$E36,IF(AND($D36&gt;=BV$5,$D36&lt;BV$5+7),"◆",""),IF(AND($D36&lt;BV$5+7,$E36&gt;BV$5),"■","")))</x:f>
      </x:c>
      <x:c r="BW36" s="7" t="str">
        <x:f>IF(OR($D36="",BW$5="",'상세일정'!AM36="제외"),"",IF($D36=$E36,IF(AND($D36&gt;=BW$5,$D36&lt;BW$5+7),"◆",""),IF(AND($D36&lt;BW$5+7,$E36&gt;BW$5),"■","")))</x:f>
      </x:c>
      <x:c r="BX36" s="7" t="str">
        <x:f>IF(OR($D36="",BX$5="",'상세일정'!AM36="제외"),"",IF($D36=$E36,IF(AND($D36&gt;=BX$5,$D36&lt;BX$5+7),"◆",""),IF(AND($D36&lt;BX$5+7,$E36&gt;BX$5),"■","")))</x:f>
      </x:c>
      <x:c r="BY36" s="7" t="str">
        <x:f>IF(OR($D36="",BY$5="",'상세일정'!AM36="제외"),"",IF($D36=$E36,IF(AND($D36&gt;=BY$5,$D36&lt;BY$5+7),"◆",""),IF(AND($D36&lt;BY$5+7,$E36&gt;BY$5),"■","")))</x:f>
      </x:c>
      <x:c r="BZ36" s="7" t="str">
        <x:f>IF(OR($D36="",BZ$5="",'상세일정'!AM36="제외"),"",IF($D36=$E36,IF(AND($D36&gt;=BZ$5,$D36&lt;BZ$5+7),"◆",""),IF(AND($D36&lt;BZ$5+7,$E36&gt;BZ$5),"■","")))</x:f>
      </x:c>
      <x:c r="CA36" s="7" t="str">
        <x:f>IF(OR($D36="",CA$5="",'상세일정'!AM36="제외"),"",IF($D36=$E36,IF(AND($D36&gt;=CA$5,$D36&lt;CA$5+7),"◆",""),IF(AND($D36&lt;CA$5+7,$E36&gt;CA$5),"■","")))</x:f>
      </x:c>
      <x:c r="CB36" s="7" t="str">
        <x:f>IF(OR($D36="",CB$5="",'상세일정'!AM36="제외"),"",IF($D36=$E36,IF(AND($D36&gt;=CB$5,$D36&lt;CB$5+7),"◆",""),IF(AND($D36&lt;CB$5+7,$E36&gt;CB$5),"■","")))</x:f>
      </x:c>
      <x:c r="CC36" s="7" t="str">
        <x:f>IF(OR($D36="",CC$5="",'상세일정'!AM36="제외"),"",IF($D36=$E36,IF(AND($D36&gt;=CC$5,$D36&lt;CC$5+7),"◆",""),IF(AND($D36&lt;CC$5+7,$E36&gt;CC$5),"■","")))</x:f>
      </x:c>
      <x:c r="CD36" s="7" t="str">
        <x:f>IF(OR($D36="",CD$5="",'상세일정'!AM36="제외"),"",IF($D36=$E36,IF(AND($D36&gt;=CD$5,$D36&lt;CD$5+7),"◆",""),IF(AND($D36&lt;CD$5+7,$E36&gt;CD$5),"■","")))</x:f>
      </x:c>
      <x:c r="CE36" s="7" t="str">
        <x:f>IF(OR($D36="",CE$5="",'상세일정'!AM36="제외"),"",IF($D36=$E36,IF(AND($D36&gt;=CE$5,$D36&lt;CE$5+7),"◆",""),IF(AND($D36&lt;CE$5+7,$E36&gt;CE$5),"■","")))</x:f>
      </x:c>
      <x:c r="CF36" s="7" t="str">
        <x:f>IF(OR($D36="",CF$5="",'상세일정'!AM36="제외"),"",IF($D36=$E36,IF(AND($D36&gt;=CF$5,$D36&lt;CF$5+7),"◆",""),IF(AND($D36&lt;CF$5+7,$E36&gt;CF$5),"■","")))</x:f>
      </x:c>
      <x:c r="CG36" s="7" t="str">
        <x:f>IF(OR($D36="",CG$5="",'상세일정'!AM36="제외"),"",IF($D36=$E36,IF(AND($D36&gt;=CG$5,$D36&lt;CG$5+7),"◆",""),IF(AND($D36&lt;CG$5+7,$E36&gt;CG$5),"■","")))</x:f>
      </x:c>
      <x:c r="CH36" s="7" t="str">
        <x:f>IF(OR($D36="",CH$5="",'상세일정'!AM36="제외"),"",IF($D36=$E36,IF(AND($D36&gt;=CH$5,$D36&lt;CH$5+7),"◆",""),IF(AND($D36&lt;CH$5+7,$E36&gt;CH$5),"■","")))</x:f>
      </x:c>
      <x:c r="CI36" s="7" t="str">
        <x:f>IF(OR($D36="",CI$5="",'상세일정'!AM36="제외"),"",IF($D36=$E36,IF(AND($D36&gt;=CI$5,$D36&lt;CI$5+7),"◆",""),IF(AND($D36&lt;CI$5+7,$E36&gt;CI$5),"■","")))</x:f>
      </x:c>
      <x:c r="CJ36" s="7" t="str">
        <x:f>IF(OR($D36="",CJ$5="",'상세일정'!AM36="제외"),"",IF($D36=$E36,IF(AND($D36&gt;=CJ$5,$D36&lt;CJ$5+7),"◆",""),IF(AND($D36&lt;CJ$5+7,$E36&gt;CJ$5),"■","")))</x:f>
      </x:c>
      <x:c r="CK36" s="7" t="str">
        <x:f>IF(OR($D36="",CK$5="",'상세일정'!AM36="제외"),"",IF($D36=$E36,IF(AND($D36&gt;=CK$5,$D36&lt;CK$5+7),"◆",""),IF(AND($D36&lt;CK$5+7,$E36&gt;CK$5),"■","")))</x:f>
      </x:c>
      <x:c r="CL36" s="7" t="str">
        <x:f>IF(OR($D36="",CL$5="",'상세일정'!AM36="제외"),"",IF($D36=$E36,IF(AND($D36&gt;=CL$5,$D36&lt;CL$5+7),"◆",""),IF(AND($D36&lt;CL$5+7,$E36&gt;CL$5),"■","")))</x:f>
      </x:c>
      <x:c r="CM36" s="7" t="str">
        <x:f>IF(OR($D36="",CM$5="",'상세일정'!AM36="제외"),"",IF($D36=$E36,IF(AND($D36&gt;=CM$5,$D36&lt;CM$5+7),"◆",""),IF(AND($D36&lt;CM$5+7,$E36&gt;CM$5),"■","")))</x:f>
      </x:c>
      <x:c r="CN36" s="7" t="str">
        <x:f>IF(OR($D36="",CN$5="",'상세일정'!AM36="제외"),"",IF($D36=$E36,IF(AND($D36&gt;=CN$5,$D36&lt;CN$5+7),"◆",""),IF(AND($D36&lt;CN$5+7,$E36&gt;CN$5),"■","")))</x:f>
      </x:c>
      <x:c r="CO36" s="7" t="str">
        <x:f>IF(OR($D36="",CO$5="",'상세일정'!AM36="제외"),"",IF($D36=$E36,IF(AND($D36&gt;=CO$5,$D36&lt;CO$5+7),"◆",""),IF(AND($D36&lt;CO$5+7,$E36&gt;CO$5),"■","")))</x:f>
      </x:c>
      <x:c r="CP36" s="7" t="str">
        <x:f>IF(OR($D36="",CP$5="",'상세일정'!AM36="제외"),"",IF($D36=$E36,IF(AND($D36&gt;=CP$5,$D36&lt;CP$5+7),"◆",""),IF(AND($D36&lt;CP$5+7,$E36&gt;CP$5),"■","")))</x:f>
      </x:c>
      <x:c r="CQ36" s="7" t="str">
        <x:f>IF(OR($D36="",CQ$5="",'상세일정'!AM36="제외"),"",IF($D36=$E36,IF(AND($D36&gt;=CQ$5,$D36&lt;CQ$5+7),"◆",""),IF(AND($D36&lt;CQ$5+7,$E36&gt;CQ$5),"■","")))</x:f>
      </x:c>
      <x:c r="CR36" s="7" t="str">
        <x:f>IF(OR($D36="",CR$5="",'상세일정'!AM36="제외"),"",IF($D36=$E36,IF(AND($D36&gt;=CR$5,$D36&lt;CR$5+7),"◆",""),IF(AND($D36&lt;CR$5+7,$E36&gt;CR$5),"■","")))</x:f>
      </x:c>
      <x:c r="CS36" s="7" t="str">
        <x:f>IF(OR($D36="",CS$5="",'상세일정'!AM36="제외"),"",IF($D36=$E36,IF(AND($D36&gt;=CS$5,$D36&lt;CS$5+7),"◆",""),IF(AND($D36&lt;CS$5+7,$E36&gt;CS$5),"■","")))</x:f>
      </x:c>
      <x:c r="CT36" s="7" t="str">
        <x:f>IF(OR($D36="",CT$5="",'상세일정'!AM36="제외"),"",IF($D36=$E36,IF(AND($D36&gt;=CT$5,$D36&lt;CT$5+7),"◆",""),IF(AND($D36&lt;CT$5+7,$E36&gt;CT$5),"■","")))</x:f>
      </x:c>
      <x:c r="CU36" s="7" t="str">
        <x:f>IF(OR($D36="",CU$5="",'상세일정'!AM36="제외"),"",IF($D36=$E36,IF(AND($D36&gt;=CU$5,$D36&lt;CU$5+7),"◆",""),IF(AND($D36&lt;CU$5+7,$E36&gt;CU$5),"■","")))</x:f>
      </x:c>
      <x:c r="CV36" s="7" t="str">
        <x:f>IF(OR($D36="",CV$5="",'상세일정'!AM36="제외"),"",IF($D36=$E36,IF(AND($D36&gt;=CV$5,$D36&lt;CV$5+7),"◆",""),IF(AND($D36&lt;CV$5+7,$E36&gt;CV$5),"■","")))</x:f>
      </x:c>
      <x:c r="CW36" s="7" t="str">
        <x:f>IF(OR($D36="",CW$5="",'상세일정'!AM36="제외"),"",IF($D36=$E36,IF(AND($D36&gt;=CW$5,$D36&lt;CW$5+7),"◆",""),IF(AND($D36&lt;CW$5+7,$E36&gt;CW$5),"■","")))</x:f>
      </x:c>
      <x:c r="CX36" s="7" t="str">
        <x:f>IF(OR($D36="",CX$5="",'상세일정'!AM36="제외"),"",IF($D36=$E36,IF(AND($D36&gt;=CX$5,$D36&lt;CX$5+7),"◆",""),IF(AND($D36&lt;CX$5+7,$E36&gt;CX$5),"■","")))</x:f>
      </x:c>
      <x:c r="CY36" s="7" t="str">
        <x:f>IF(OR($D36="",CY$5="",'상세일정'!AM36="제외"),"",IF($D36=$E36,IF(AND($D36&gt;=CY$5,$D36&lt;CY$5+7),"◆",""),IF(AND($D36&lt;CY$5+7,$E36&gt;CY$5),"■","")))</x:f>
      </x:c>
      <x:c r="CZ36" s="7" t="str">
        <x:f>IF(OR($D36="",CZ$5="",'상세일정'!AM36="제외"),"",IF($D36=$E36,IF(AND($D36&gt;=CZ$5,$D36&lt;CZ$5+7),"◆",""),IF(AND($D36&lt;CZ$5+7,$E36&gt;CZ$5),"■","")))</x:f>
      </x:c>
      <x:c r="DA36" s="7" t="str">
        <x:f>IF(OR($D36="",DA$5="",'상세일정'!AM36="제외"),"",IF($D36=$E36,IF(AND($D36&gt;=DA$5,$D36&lt;DA$5+7),"◆",""),IF(AND($D36&lt;DA$5+7,$E36&gt;DA$5),"■","")))</x:f>
      </x:c>
      <x:c r="DB36" s="7" t="str">
        <x:f>IF(OR($D36="",DB$5="",'상세일정'!AM36="제외"),"",IF($D36=$E36,IF(AND($D36&gt;=DB$5,$D36&lt;DB$5+7),"◆",""),IF(AND($D36&lt;DB$5+7,$E36&gt;DB$5),"■","")))</x:f>
      </x:c>
      <x:c r="DC36" s="7" t="str">
        <x:f>IF(OR($D36="",DC$5="",'상세일정'!AM36="제외"),"",IF($D36=$E36,IF(AND($D36&gt;=DC$5,$D36&lt;DC$5+7),"◆",""),IF(AND($D36&lt;DC$5+7,$E36&gt;DC$5),"■","")))</x:f>
      </x:c>
      <x:c r="DD36" s="7" t="str">
        <x:f>IF(OR($D36="",DD$5="",'상세일정'!AM36="제외"),"",IF($D36=$E36,IF(AND($D36&gt;=DD$5,$D36&lt;DD$5+7),"◆",""),IF(AND($D36&lt;DD$5+7,$E36&gt;DD$5),"■","")))</x:f>
      </x:c>
      <x:c r="DE36" s="7" t="str">
        <x:f>IF(OR($D36="",DE$5="",'상세일정'!AM36="제외"),"",IF($D36=$E36,IF(AND($D36&gt;=DE$5,$D36&lt;DE$5+7),"◆",""),IF(AND($D36&lt;DE$5+7,$E36&gt;DE$5),"■","")))</x:f>
      </x:c>
    </x:row>
    <x:row r="37" ht="34" customHeight="1">
      <x:c r="A37" s="7" t="str">
        <x:v>PD07</x:v>
      </x:c>
      <x:c r="B37" s="7" t="str">
        <x:v>06 공정·배관 상세설계</x:v>
      </x:c>
      <x:c r="C37" s="7" t="str">
        <x:v>설계사 자기검토 및 PM / 오너 검토 코멘트 반영</x:v>
      </x:c>
      <x:c r="D37" s="10" t="str">
        <x:f>'상세일정'!AJ37</x:f>
      </x:c>
      <x:c r="E37" s="10" t="str">
        <x:f>'상세일정'!AK37</x:f>
      </x:c>
      <x:c r="F37" s="7" t="str">
        <x:f>IF(OR($D37="",F$5="",'상세일정'!AM37="제외"),"",IF($D37=$E37,IF(AND($D37&gt;=F$5,$D37&lt;F$5+7),"◆",""),IF(AND($D37&lt;F$5+7,$E37&gt;F$5),"■","")))</x:f>
      </x:c>
      <x:c r="G37" s="7" t="str">
        <x:f>IF(OR($D37="",G$5="",'상세일정'!AM37="제외"),"",IF($D37=$E37,IF(AND($D37&gt;=G$5,$D37&lt;G$5+7),"◆",""),IF(AND($D37&lt;G$5+7,$E37&gt;G$5),"■","")))</x:f>
      </x:c>
      <x:c r="H37" s="7" t="str">
        <x:f>IF(OR($D37="",H$5="",'상세일정'!AM37="제외"),"",IF($D37=$E37,IF(AND($D37&gt;=H$5,$D37&lt;H$5+7),"◆",""),IF(AND($D37&lt;H$5+7,$E37&gt;H$5),"■","")))</x:f>
      </x:c>
      <x:c r="I37" s="7" t="str">
        <x:f>IF(OR($D37="",I$5="",'상세일정'!AM37="제외"),"",IF($D37=$E37,IF(AND($D37&gt;=I$5,$D37&lt;I$5+7),"◆",""),IF(AND($D37&lt;I$5+7,$E37&gt;I$5),"■","")))</x:f>
      </x:c>
      <x:c r="J37" s="7" t="str">
        <x:f>IF(OR($D37="",J$5="",'상세일정'!AM37="제외"),"",IF($D37=$E37,IF(AND($D37&gt;=J$5,$D37&lt;J$5+7),"◆",""),IF(AND($D37&lt;J$5+7,$E37&gt;J$5),"■","")))</x:f>
      </x:c>
      <x:c r="K37" s="7" t="str">
        <x:f>IF(OR($D37="",K$5="",'상세일정'!AM37="제외"),"",IF($D37=$E37,IF(AND($D37&gt;=K$5,$D37&lt;K$5+7),"◆",""),IF(AND($D37&lt;K$5+7,$E37&gt;K$5),"■","")))</x:f>
      </x:c>
      <x:c r="L37" s="7" t="str">
        <x:f>IF(OR($D37="",L$5="",'상세일정'!AM37="제외"),"",IF($D37=$E37,IF(AND($D37&gt;=L$5,$D37&lt;L$5+7),"◆",""),IF(AND($D37&lt;L$5+7,$E37&gt;L$5),"■","")))</x:f>
      </x:c>
      <x:c r="M37" s="7" t="str">
        <x:f>IF(OR($D37="",M$5="",'상세일정'!AM37="제외"),"",IF($D37=$E37,IF(AND($D37&gt;=M$5,$D37&lt;M$5+7),"◆",""),IF(AND($D37&lt;M$5+7,$E37&gt;M$5),"■","")))</x:f>
      </x:c>
      <x:c r="N37" s="7" t="str">
        <x:f>IF(OR($D37="",N$5="",'상세일정'!AM37="제외"),"",IF($D37=$E37,IF(AND($D37&gt;=N$5,$D37&lt;N$5+7),"◆",""),IF(AND($D37&lt;N$5+7,$E37&gt;N$5),"■","")))</x:f>
      </x:c>
      <x:c r="O37" s="7" t="str">
        <x:f>IF(OR($D37="",O$5="",'상세일정'!AM37="제외"),"",IF($D37=$E37,IF(AND($D37&gt;=O$5,$D37&lt;O$5+7),"◆",""),IF(AND($D37&lt;O$5+7,$E37&gt;O$5),"■","")))</x:f>
      </x:c>
      <x:c r="P37" s="7" t="str">
        <x:f>IF(OR($D37="",P$5="",'상세일정'!AM37="제외"),"",IF($D37=$E37,IF(AND($D37&gt;=P$5,$D37&lt;P$5+7),"◆",""),IF(AND($D37&lt;P$5+7,$E37&gt;P$5),"■","")))</x:f>
      </x:c>
      <x:c r="Q37" s="7" t="str">
        <x:f>IF(OR($D37="",Q$5="",'상세일정'!AM37="제외"),"",IF($D37=$E37,IF(AND($D37&gt;=Q$5,$D37&lt;Q$5+7),"◆",""),IF(AND($D37&lt;Q$5+7,$E37&gt;Q$5),"■","")))</x:f>
      </x:c>
      <x:c r="R37" s="7" t="str">
        <x:f>IF(OR($D37="",R$5="",'상세일정'!AM37="제외"),"",IF($D37=$E37,IF(AND($D37&gt;=R$5,$D37&lt;R$5+7),"◆",""),IF(AND($D37&lt;R$5+7,$E37&gt;R$5),"■","")))</x:f>
      </x:c>
      <x:c r="S37" s="7" t="str">
        <x:f>IF(OR($D37="",S$5="",'상세일정'!AM37="제외"),"",IF($D37=$E37,IF(AND($D37&gt;=S$5,$D37&lt;S$5+7),"◆",""),IF(AND($D37&lt;S$5+7,$E37&gt;S$5),"■","")))</x:f>
      </x:c>
      <x:c r="T37" s="7" t="str">
        <x:f>IF(OR($D37="",T$5="",'상세일정'!AM37="제외"),"",IF($D37=$E37,IF(AND($D37&gt;=T$5,$D37&lt;T$5+7),"◆",""),IF(AND($D37&lt;T$5+7,$E37&gt;T$5),"■","")))</x:f>
      </x:c>
      <x:c r="U37" s="7" t="str">
        <x:f>IF(OR($D37="",U$5="",'상세일정'!AM37="제외"),"",IF($D37=$E37,IF(AND($D37&gt;=U$5,$D37&lt;U$5+7),"◆",""),IF(AND($D37&lt;U$5+7,$E37&gt;U$5),"■","")))</x:f>
      </x:c>
      <x:c r="V37" s="7" t="str">
        <x:f>IF(OR($D37="",V$5="",'상세일정'!AM37="제외"),"",IF($D37=$E37,IF(AND($D37&gt;=V$5,$D37&lt;V$5+7),"◆",""),IF(AND($D37&lt;V$5+7,$E37&gt;V$5),"■","")))</x:f>
      </x:c>
      <x:c r="W37" s="7" t="str">
        <x:f>IF(OR($D37="",W$5="",'상세일정'!AM37="제외"),"",IF($D37=$E37,IF(AND($D37&gt;=W$5,$D37&lt;W$5+7),"◆",""),IF(AND($D37&lt;W$5+7,$E37&gt;W$5),"■","")))</x:f>
      </x:c>
      <x:c r="X37" s="7" t="str">
        <x:f>IF(OR($D37="",X$5="",'상세일정'!AM37="제외"),"",IF($D37=$E37,IF(AND($D37&gt;=X$5,$D37&lt;X$5+7),"◆",""),IF(AND($D37&lt;X$5+7,$E37&gt;X$5),"■","")))</x:f>
      </x:c>
      <x:c r="Y37" s="7" t="str">
        <x:f>IF(OR($D37="",Y$5="",'상세일정'!AM37="제외"),"",IF($D37=$E37,IF(AND($D37&gt;=Y$5,$D37&lt;Y$5+7),"◆",""),IF(AND($D37&lt;Y$5+7,$E37&gt;Y$5),"■","")))</x:f>
      </x:c>
      <x:c r="Z37" s="7" t="str">
        <x:f>IF(OR($D37="",Z$5="",'상세일정'!AM37="제외"),"",IF($D37=$E37,IF(AND($D37&gt;=Z$5,$D37&lt;Z$5+7),"◆",""),IF(AND($D37&lt;Z$5+7,$E37&gt;Z$5),"■","")))</x:f>
      </x:c>
      <x:c r="AA37" s="7" t="str">
        <x:f>IF(OR($D37="",AA$5="",'상세일정'!AM37="제외"),"",IF($D37=$E37,IF(AND($D37&gt;=AA$5,$D37&lt;AA$5+7),"◆",""),IF(AND($D37&lt;AA$5+7,$E37&gt;AA$5),"■","")))</x:f>
      </x:c>
      <x:c r="AB37" s="7" t="str">
        <x:f>IF(OR($D37="",AB$5="",'상세일정'!AM37="제외"),"",IF($D37=$E37,IF(AND($D37&gt;=AB$5,$D37&lt;AB$5+7),"◆",""),IF(AND($D37&lt;AB$5+7,$E37&gt;AB$5),"■","")))</x:f>
      </x:c>
      <x:c r="AC37" s="7" t="str">
        <x:f>IF(OR($D37="",AC$5="",'상세일정'!AM37="제외"),"",IF($D37=$E37,IF(AND($D37&gt;=AC$5,$D37&lt;AC$5+7),"◆",""),IF(AND($D37&lt;AC$5+7,$E37&gt;AC$5),"■","")))</x:f>
      </x:c>
      <x:c r="AD37" s="7" t="str">
        <x:f>IF(OR($D37="",AD$5="",'상세일정'!AM37="제외"),"",IF($D37=$E37,IF(AND($D37&gt;=AD$5,$D37&lt;AD$5+7),"◆",""),IF(AND($D37&lt;AD$5+7,$E37&gt;AD$5),"■","")))</x:f>
      </x:c>
      <x:c r="AE37" s="7" t="str">
        <x:f>IF(OR($D37="",AE$5="",'상세일정'!AM37="제외"),"",IF($D37=$E37,IF(AND($D37&gt;=AE$5,$D37&lt;AE$5+7),"◆",""),IF(AND($D37&lt;AE$5+7,$E37&gt;AE$5),"■","")))</x:f>
      </x:c>
      <x:c r="AF37" s="7" t="str">
        <x:f>IF(OR($D37="",AF$5="",'상세일정'!AM37="제외"),"",IF($D37=$E37,IF(AND($D37&gt;=AF$5,$D37&lt;AF$5+7),"◆",""),IF(AND($D37&lt;AF$5+7,$E37&gt;AF$5),"■","")))</x:f>
      </x:c>
      <x:c r="AG37" s="7" t="str">
        <x:f>IF(OR($D37="",AG$5="",'상세일정'!AM37="제외"),"",IF($D37=$E37,IF(AND($D37&gt;=AG$5,$D37&lt;AG$5+7),"◆",""),IF(AND($D37&lt;AG$5+7,$E37&gt;AG$5),"■","")))</x:f>
      </x:c>
      <x:c r="AH37" s="7" t="str">
        <x:f>IF(OR($D37="",AH$5="",'상세일정'!AM37="제외"),"",IF($D37=$E37,IF(AND($D37&gt;=AH$5,$D37&lt;AH$5+7),"◆",""),IF(AND($D37&lt;AH$5+7,$E37&gt;AH$5),"■","")))</x:f>
      </x:c>
      <x:c r="AI37" s="7" t="str">
        <x:f>IF(OR($D37="",AI$5="",'상세일정'!AM37="제외"),"",IF($D37=$E37,IF(AND($D37&gt;=AI$5,$D37&lt;AI$5+7),"◆",""),IF(AND($D37&lt;AI$5+7,$E37&gt;AI$5),"■","")))</x:f>
      </x:c>
      <x:c r="AJ37" s="7" t="str">
        <x:f>IF(OR($D37="",AJ$5="",'상세일정'!AM37="제외"),"",IF($D37=$E37,IF(AND($D37&gt;=AJ$5,$D37&lt;AJ$5+7),"◆",""),IF(AND($D37&lt;AJ$5+7,$E37&gt;AJ$5),"■","")))</x:f>
      </x:c>
      <x:c r="AK37" s="7" t="str">
        <x:f>IF(OR($D37="",AK$5="",'상세일정'!AM37="제외"),"",IF($D37=$E37,IF(AND($D37&gt;=AK$5,$D37&lt;AK$5+7),"◆",""),IF(AND($D37&lt;AK$5+7,$E37&gt;AK$5),"■","")))</x:f>
      </x:c>
      <x:c r="AL37" s="7" t="str">
        <x:f>IF(OR($D37="",AL$5="",'상세일정'!AM37="제외"),"",IF($D37=$E37,IF(AND($D37&gt;=AL$5,$D37&lt;AL$5+7),"◆",""),IF(AND($D37&lt;AL$5+7,$E37&gt;AL$5),"■","")))</x:f>
      </x:c>
      <x:c r="AM37" s="7" t="str">
        <x:f>IF(OR($D37="",AM$5="",'상세일정'!AM37="제외"),"",IF($D37=$E37,IF(AND($D37&gt;=AM$5,$D37&lt;AM$5+7),"◆",""),IF(AND($D37&lt;AM$5+7,$E37&gt;AM$5),"■","")))</x:f>
      </x:c>
      <x:c r="AN37" s="7" t="str">
        <x:f>IF(OR($D37="",AN$5="",'상세일정'!AM37="제외"),"",IF($D37=$E37,IF(AND($D37&gt;=AN$5,$D37&lt;AN$5+7),"◆",""),IF(AND($D37&lt;AN$5+7,$E37&gt;AN$5),"■","")))</x:f>
      </x:c>
      <x:c r="AO37" s="7" t="str">
        <x:f>IF(OR($D37="",AO$5="",'상세일정'!AM37="제외"),"",IF($D37=$E37,IF(AND($D37&gt;=AO$5,$D37&lt;AO$5+7),"◆",""),IF(AND($D37&lt;AO$5+7,$E37&gt;AO$5),"■","")))</x:f>
      </x:c>
      <x:c r="AP37" s="7" t="str">
        <x:f>IF(OR($D37="",AP$5="",'상세일정'!AM37="제외"),"",IF($D37=$E37,IF(AND($D37&gt;=AP$5,$D37&lt;AP$5+7),"◆",""),IF(AND($D37&lt;AP$5+7,$E37&gt;AP$5),"■","")))</x:f>
      </x:c>
      <x:c r="AQ37" s="7" t="str">
        <x:f>IF(OR($D37="",AQ$5="",'상세일정'!AM37="제외"),"",IF($D37=$E37,IF(AND($D37&gt;=AQ$5,$D37&lt;AQ$5+7),"◆",""),IF(AND($D37&lt;AQ$5+7,$E37&gt;AQ$5),"■","")))</x:f>
      </x:c>
      <x:c r="AR37" s="7" t="str">
        <x:f>IF(OR($D37="",AR$5="",'상세일정'!AM37="제외"),"",IF($D37=$E37,IF(AND($D37&gt;=AR$5,$D37&lt;AR$5+7),"◆",""),IF(AND($D37&lt;AR$5+7,$E37&gt;AR$5),"■","")))</x:f>
      </x:c>
      <x:c r="AS37" s="7" t="str">
        <x:f>IF(OR($D37="",AS$5="",'상세일정'!AM37="제외"),"",IF($D37=$E37,IF(AND($D37&gt;=AS$5,$D37&lt;AS$5+7),"◆",""),IF(AND($D37&lt;AS$5+7,$E37&gt;AS$5),"■","")))</x:f>
      </x:c>
      <x:c r="AT37" s="7" t="str">
        <x:f>IF(OR($D37="",AT$5="",'상세일정'!AM37="제외"),"",IF($D37=$E37,IF(AND($D37&gt;=AT$5,$D37&lt;AT$5+7),"◆",""),IF(AND($D37&lt;AT$5+7,$E37&gt;AT$5),"■","")))</x:f>
      </x:c>
      <x:c r="AU37" s="7" t="str">
        <x:f>IF(OR($D37="",AU$5="",'상세일정'!AM37="제외"),"",IF($D37=$E37,IF(AND($D37&gt;=AU$5,$D37&lt;AU$5+7),"◆",""),IF(AND($D37&lt;AU$5+7,$E37&gt;AU$5),"■","")))</x:f>
      </x:c>
      <x:c r="AV37" s="7" t="str">
        <x:f>IF(OR($D37="",AV$5="",'상세일정'!AM37="제외"),"",IF($D37=$E37,IF(AND($D37&gt;=AV$5,$D37&lt;AV$5+7),"◆",""),IF(AND($D37&lt;AV$5+7,$E37&gt;AV$5),"■","")))</x:f>
      </x:c>
      <x:c r="AW37" s="7" t="str">
        <x:f>IF(OR($D37="",AW$5="",'상세일정'!AM37="제외"),"",IF($D37=$E37,IF(AND($D37&gt;=AW$5,$D37&lt;AW$5+7),"◆",""),IF(AND($D37&lt;AW$5+7,$E37&gt;AW$5),"■","")))</x:f>
      </x:c>
      <x:c r="AX37" s="7" t="str">
        <x:f>IF(OR($D37="",AX$5="",'상세일정'!AM37="제외"),"",IF($D37=$E37,IF(AND($D37&gt;=AX$5,$D37&lt;AX$5+7),"◆",""),IF(AND($D37&lt;AX$5+7,$E37&gt;AX$5),"■","")))</x:f>
      </x:c>
      <x:c r="AY37" s="7" t="str">
        <x:f>IF(OR($D37="",AY$5="",'상세일정'!AM37="제외"),"",IF($D37=$E37,IF(AND($D37&gt;=AY$5,$D37&lt;AY$5+7),"◆",""),IF(AND($D37&lt;AY$5+7,$E37&gt;AY$5),"■","")))</x:f>
      </x:c>
      <x:c r="AZ37" s="7" t="str">
        <x:f>IF(OR($D37="",AZ$5="",'상세일정'!AM37="제외"),"",IF($D37=$E37,IF(AND($D37&gt;=AZ$5,$D37&lt;AZ$5+7),"◆",""),IF(AND($D37&lt;AZ$5+7,$E37&gt;AZ$5),"■","")))</x:f>
      </x:c>
      <x:c r="BA37" s="7" t="str">
        <x:f>IF(OR($D37="",BA$5="",'상세일정'!AM37="제외"),"",IF($D37=$E37,IF(AND($D37&gt;=BA$5,$D37&lt;BA$5+7),"◆",""),IF(AND($D37&lt;BA$5+7,$E37&gt;BA$5),"■","")))</x:f>
      </x:c>
      <x:c r="BB37" s="7" t="str">
        <x:f>IF(OR($D37="",BB$5="",'상세일정'!AM37="제외"),"",IF($D37=$E37,IF(AND($D37&gt;=BB$5,$D37&lt;BB$5+7),"◆",""),IF(AND($D37&lt;BB$5+7,$E37&gt;BB$5),"■","")))</x:f>
      </x:c>
      <x:c r="BC37" s="7" t="str">
        <x:f>IF(OR($D37="",BC$5="",'상세일정'!AM37="제외"),"",IF($D37=$E37,IF(AND($D37&gt;=BC$5,$D37&lt;BC$5+7),"◆",""),IF(AND($D37&lt;BC$5+7,$E37&gt;BC$5),"■","")))</x:f>
      </x:c>
      <x:c r="BD37" s="7" t="str">
        <x:f>IF(OR($D37="",BD$5="",'상세일정'!AM37="제외"),"",IF($D37=$E37,IF(AND($D37&gt;=BD$5,$D37&lt;BD$5+7),"◆",""),IF(AND($D37&lt;BD$5+7,$E37&gt;BD$5),"■","")))</x:f>
      </x:c>
      <x:c r="BE37" s="7" t="str">
        <x:f>IF(OR($D37="",BE$5="",'상세일정'!AM37="제외"),"",IF($D37=$E37,IF(AND($D37&gt;=BE$5,$D37&lt;BE$5+7),"◆",""),IF(AND($D37&lt;BE$5+7,$E37&gt;BE$5),"■","")))</x:f>
      </x:c>
      <x:c r="BF37" s="7" t="str">
        <x:f>IF(OR($D37="",BF$5="",'상세일정'!AM37="제외"),"",IF($D37=$E37,IF(AND($D37&gt;=BF$5,$D37&lt;BF$5+7),"◆",""),IF(AND($D37&lt;BF$5+7,$E37&gt;BF$5),"■","")))</x:f>
      </x:c>
      <x:c r="BG37" s="7" t="str">
        <x:f>IF(OR($D37="",BG$5="",'상세일정'!AM37="제외"),"",IF($D37=$E37,IF(AND($D37&gt;=BG$5,$D37&lt;BG$5+7),"◆",""),IF(AND($D37&lt;BG$5+7,$E37&gt;BG$5),"■","")))</x:f>
      </x:c>
      <x:c r="BH37" s="7" t="str">
        <x:f>IF(OR($D37="",BH$5="",'상세일정'!AM37="제외"),"",IF($D37=$E37,IF(AND($D37&gt;=BH$5,$D37&lt;BH$5+7),"◆",""),IF(AND($D37&lt;BH$5+7,$E37&gt;BH$5),"■","")))</x:f>
      </x:c>
      <x:c r="BI37" s="7" t="str">
        <x:f>IF(OR($D37="",BI$5="",'상세일정'!AM37="제외"),"",IF($D37=$E37,IF(AND($D37&gt;=BI$5,$D37&lt;BI$5+7),"◆",""),IF(AND($D37&lt;BI$5+7,$E37&gt;BI$5),"■","")))</x:f>
      </x:c>
      <x:c r="BJ37" s="7" t="str">
        <x:f>IF(OR($D37="",BJ$5="",'상세일정'!AM37="제외"),"",IF($D37=$E37,IF(AND($D37&gt;=BJ$5,$D37&lt;BJ$5+7),"◆",""),IF(AND($D37&lt;BJ$5+7,$E37&gt;BJ$5),"■","")))</x:f>
      </x:c>
      <x:c r="BK37" s="7" t="str">
        <x:f>IF(OR($D37="",BK$5="",'상세일정'!AM37="제외"),"",IF($D37=$E37,IF(AND($D37&gt;=BK$5,$D37&lt;BK$5+7),"◆",""),IF(AND($D37&lt;BK$5+7,$E37&gt;BK$5),"■","")))</x:f>
      </x:c>
      <x:c r="BL37" s="7" t="str">
        <x:f>IF(OR($D37="",BL$5="",'상세일정'!AM37="제외"),"",IF($D37=$E37,IF(AND($D37&gt;=BL$5,$D37&lt;BL$5+7),"◆",""),IF(AND($D37&lt;BL$5+7,$E37&gt;BL$5),"■","")))</x:f>
      </x:c>
      <x:c r="BM37" s="7" t="str">
        <x:f>IF(OR($D37="",BM$5="",'상세일정'!AM37="제외"),"",IF($D37=$E37,IF(AND($D37&gt;=BM$5,$D37&lt;BM$5+7),"◆",""),IF(AND($D37&lt;BM$5+7,$E37&gt;BM$5),"■","")))</x:f>
      </x:c>
      <x:c r="BN37" s="7" t="str">
        <x:f>IF(OR($D37="",BN$5="",'상세일정'!AM37="제외"),"",IF($D37=$E37,IF(AND($D37&gt;=BN$5,$D37&lt;BN$5+7),"◆",""),IF(AND($D37&lt;BN$5+7,$E37&gt;BN$5),"■","")))</x:f>
      </x:c>
      <x:c r="BO37" s="7" t="str">
        <x:f>IF(OR($D37="",BO$5="",'상세일정'!AM37="제외"),"",IF($D37=$E37,IF(AND($D37&gt;=BO$5,$D37&lt;BO$5+7),"◆",""),IF(AND($D37&lt;BO$5+7,$E37&gt;BO$5),"■","")))</x:f>
      </x:c>
      <x:c r="BP37" s="7" t="str">
        <x:f>IF(OR($D37="",BP$5="",'상세일정'!AM37="제외"),"",IF($D37=$E37,IF(AND($D37&gt;=BP$5,$D37&lt;BP$5+7),"◆",""),IF(AND($D37&lt;BP$5+7,$E37&gt;BP$5),"■","")))</x:f>
      </x:c>
      <x:c r="BQ37" s="7" t="str">
        <x:f>IF(OR($D37="",BQ$5="",'상세일정'!AM37="제외"),"",IF($D37=$E37,IF(AND($D37&gt;=BQ$5,$D37&lt;BQ$5+7),"◆",""),IF(AND($D37&lt;BQ$5+7,$E37&gt;BQ$5),"■","")))</x:f>
      </x:c>
      <x:c r="BR37" s="7" t="str">
        <x:f>IF(OR($D37="",BR$5="",'상세일정'!AM37="제외"),"",IF($D37=$E37,IF(AND($D37&gt;=BR$5,$D37&lt;BR$5+7),"◆",""),IF(AND($D37&lt;BR$5+7,$E37&gt;BR$5),"■","")))</x:f>
      </x:c>
      <x:c r="BS37" s="7" t="str">
        <x:f>IF(OR($D37="",BS$5="",'상세일정'!AM37="제외"),"",IF($D37=$E37,IF(AND($D37&gt;=BS$5,$D37&lt;BS$5+7),"◆",""),IF(AND($D37&lt;BS$5+7,$E37&gt;BS$5),"■","")))</x:f>
      </x:c>
      <x:c r="BT37" s="7" t="str">
        <x:f>IF(OR($D37="",BT$5="",'상세일정'!AM37="제외"),"",IF($D37=$E37,IF(AND($D37&gt;=BT$5,$D37&lt;BT$5+7),"◆",""),IF(AND($D37&lt;BT$5+7,$E37&gt;BT$5),"■","")))</x:f>
      </x:c>
      <x:c r="BU37" s="7" t="str">
        <x:f>IF(OR($D37="",BU$5="",'상세일정'!AM37="제외"),"",IF($D37=$E37,IF(AND($D37&gt;=BU$5,$D37&lt;BU$5+7),"◆",""),IF(AND($D37&lt;BU$5+7,$E37&gt;BU$5),"■","")))</x:f>
      </x:c>
      <x:c r="BV37" s="7" t="str">
        <x:f>IF(OR($D37="",BV$5="",'상세일정'!AM37="제외"),"",IF($D37=$E37,IF(AND($D37&gt;=BV$5,$D37&lt;BV$5+7),"◆",""),IF(AND($D37&lt;BV$5+7,$E37&gt;BV$5),"■","")))</x:f>
      </x:c>
      <x:c r="BW37" s="7" t="str">
        <x:f>IF(OR($D37="",BW$5="",'상세일정'!AM37="제외"),"",IF($D37=$E37,IF(AND($D37&gt;=BW$5,$D37&lt;BW$5+7),"◆",""),IF(AND($D37&lt;BW$5+7,$E37&gt;BW$5),"■","")))</x:f>
      </x:c>
      <x:c r="BX37" s="7" t="str">
        <x:f>IF(OR($D37="",BX$5="",'상세일정'!AM37="제외"),"",IF($D37=$E37,IF(AND($D37&gt;=BX$5,$D37&lt;BX$5+7),"◆",""),IF(AND($D37&lt;BX$5+7,$E37&gt;BX$5),"■","")))</x:f>
      </x:c>
      <x:c r="BY37" s="7" t="str">
        <x:f>IF(OR($D37="",BY$5="",'상세일정'!AM37="제외"),"",IF($D37=$E37,IF(AND($D37&gt;=BY$5,$D37&lt;BY$5+7),"◆",""),IF(AND($D37&lt;BY$5+7,$E37&gt;BY$5),"■","")))</x:f>
      </x:c>
      <x:c r="BZ37" s="7" t="str">
        <x:f>IF(OR($D37="",BZ$5="",'상세일정'!AM37="제외"),"",IF($D37=$E37,IF(AND($D37&gt;=BZ$5,$D37&lt;BZ$5+7),"◆",""),IF(AND($D37&lt;BZ$5+7,$E37&gt;BZ$5),"■","")))</x:f>
      </x:c>
      <x:c r="CA37" s="7" t="str">
        <x:f>IF(OR($D37="",CA$5="",'상세일정'!AM37="제외"),"",IF($D37=$E37,IF(AND($D37&gt;=CA$5,$D37&lt;CA$5+7),"◆",""),IF(AND($D37&lt;CA$5+7,$E37&gt;CA$5),"■","")))</x:f>
      </x:c>
      <x:c r="CB37" s="7" t="str">
        <x:f>IF(OR($D37="",CB$5="",'상세일정'!AM37="제외"),"",IF($D37=$E37,IF(AND($D37&gt;=CB$5,$D37&lt;CB$5+7),"◆",""),IF(AND($D37&lt;CB$5+7,$E37&gt;CB$5),"■","")))</x:f>
      </x:c>
      <x:c r="CC37" s="7" t="str">
        <x:f>IF(OR($D37="",CC$5="",'상세일정'!AM37="제외"),"",IF($D37=$E37,IF(AND($D37&gt;=CC$5,$D37&lt;CC$5+7),"◆",""),IF(AND($D37&lt;CC$5+7,$E37&gt;CC$5),"■","")))</x:f>
      </x:c>
      <x:c r="CD37" s="7" t="str">
        <x:f>IF(OR($D37="",CD$5="",'상세일정'!AM37="제외"),"",IF($D37=$E37,IF(AND($D37&gt;=CD$5,$D37&lt;CD$5+7),"◆",""),IF(AND($D37&lt;CD$5+7,$E37&gt;CD$5),"■","")))</x:f>
      </x:c>
      <x:c r="CE37" s="7" t="str">
        <x:f>IF(OR($D37="",CE$5="",'상세일정'!AM37="제외"),"",IF($D37=$E37,IF(AND($D37&gt;=CE$5,$D37&lt;CE$5+7),"◆",""),IF(AND($D37&lt;CE$5+7,$E37&gt;CE$5),"■","")))</x:f>
      </x:c>
      <x:c r="CF37" s="7" t="str">
        <x:f>IF(OR($D37="",CF$5="",'상세일정'!AM37="제외"),"",IF($D37=$E37,IF(AND($D37&gt;=CF$5,$D37&lt;CF$5+7),"◆",""),IF(AND($D37&lt;CF$5+7,$E37&gt;CF$5),"■","")))</x:f>
      </x:c>
      <x:c r="CG37" s="7" t="str">
        <x:f>IF(OR($D37="",CG$5="",'상세일정'!AM37="제외"),"",IF($D37=$E37,IF(AND($D37&gt;=CG$5,$D37&lt;CG$5+7),"◆",""),IF(AND($D37&lt;CG$5+7,$E37&gt;CG$5),"■","")))</x:f>
      </x:c>
      <x:c r="CH37" s="7" t="str">
        <x:f>IF(OR($D37="",CH$5="",'상세일정'!AM37="제외"),"",IF($D37=$E37,IF(AND($D37&gt;=CH$5,$D37&lt;CH$5+7),"◆",""),IF(AND($D37&lt;CH$5+7,$E37&gt;CH$5),"■","")))</x:f>
      </x:c>
      <x:c r="CI37" s="7" t="str">
        <x:f>IF(OR($D37="",CI$5="",'상세일정'!AM37="제외"),"",IF($D37=$E37,IF(AND($D37&gt;=CI$5,$D37&lt;CI$5+7),"◆",""),IF(AND($D37&lt;CI$5+7,$E37&gt;CI$5),"■","")))</x:f>
      </x:c>
      <x:c r="CJ37" s="7" t="str">
        <x:f>IF(OR($D37="",CJ$5="",'상세일정'!AM37="제외"),"",IF($D37=$E37,IF(AND($D37&gt;=CJ$5,$D37&lt;CJ$5+7),"◆",""),IF(AND($D37&lt;CJ$5+7,$E37&gt;CJ$5),"■","")))</x:f>
      </x:c>
      <x:c r="CK37" s="7" t="str">
        <x:f>IF(OR($D37="",CK$5="",'상세일정'!AM37="제외"),"",IF($D37=$E37,IF(AND($D37&gt;=CK$5,$D37&lt;CK$5+7),"◆",""),IF(AND($D37&lt;CK$5+7,$E37&gt;CK$5),"■","")))</x:f>
      </x:c>
      <x:c r="CL37" s="7" t="str">
        <x:f>IF(OR($D37="",CL$5="",'상세일정'!AM37="제외"),"",IF($D37=$E37,IF(AND($D37&gt;=CL$5,$D37&lt;CL$5+7),"◆",""),IF(AND($D37&lt;CL$5+7,$E37&gt;CL$5),"■","")))</x:f>
      </x:c>
      <x:c r="CM37" s="7" t="str">
        <x:f>IF(OR($D37="",CM$5="",'상세일정'!AM37="제외"),"",IF($D37=$E37,IF(AND($D37&gt;=CM$5,$D37&lt;CM$5+7),"◆",""),IF(AND($D37&lt;CM$5+7,$E37&gt;CM$5),"■","")))</x:f>
      </x:c>
      <x:c r="CN37" s="7" t="str">
        <x:f>IF(OR($D37="",CN$5="",'상세일정'!AM37="제외"),"",IF($D37=$E37,IF(AND($D37&gt;=CN$5,$D37&lt;CN$5+7),"◆",""),IF(AND($D37&lt;CN$5+7,$E37&gt;CN$5),"■","")))</x:f>
      </x:c>
      <x:c r="CO37" s="7" t="str">
        <x:f>IF(OR($D37="",CO$5="",'상세일정'!AM37="제외"),"",IF($D37=$E37,IF(AND($D37&gt;=CO$5,$D37&lt;CO$5+7),"◆",""),IF(AND($D37&lt;CO$5+7,$E37&gt;CO$5),"■","")))</x:f>
      </x:c>
      <x:c r="CP37" s="7" t="str">
        <x:f>IF(OR($D37="",CP$5="",'상세일정'!AM37="제외"),"",IF($D37=$E37,IF(AND($D37&gt;=CP$5,$D37&lt;CP$5+7),"◆",""),IF(AND($D37&lt;CP$5+7,$E37&gt;CP$5),"■","")))</x:f>
      </x:c>
      <x:c r="CQ37" s="7" t="str">
        <x:f>IF(OR($D37="",CQ$5="",'상세일정'!AM37="제외"),"",IF($D37=$E37,IF(AND($D37&gt;=CQ$5,$D37&lt;CQ$5+7),"◆",""),IF(AND($D37&lt;CQ$5+7,$E37&gt;CQ$5),"■","")))</x:f>
      </x:c>
      <x:c r="CR37" s="7" t="str">
        <x:f>IF(OR($D37="",CR$5="",'상세일정'!AM37="제외"),"",IF($D37=$E37,IF(AND($D37&gt;=CR$5,$D37&lt;CR$5+7),"◆",""),IF(AND($D37&lt;CR$5+7,$E37&gt;CR$5),"■","")))</x:f>
      </x:c>
      <x:c r="CS37" s="7" t="str">
        <x:f>IF(OR($D37="",CS$5="",'상세일정'!AM37="제외"),"",IF($D37=$E37,IF(AND($D37&gt;=CS$5,$D37&lt;CS$5+7),"◆",""),IF(AND($D37&lt;CS$5+7,$E37&gt;CS$5),"■","")))</x:f>
      </x:c>
      <x:c r="CT37" s="7" t="str">
        <x:f>IF(OR($D37="",CT$5="",'상세일정'!AM37="제외"),"",IF($D37=$E37,IF(AND($D37&gt;=CT$5,$D37&lt;CT$5+7),"◆",""),IF(AND($D37&lt;CT$5+7,$E37&gt;CT$5),"■","")))</x:f>
      </x:c>
      <x:c r="CU37" s="7" t="str">
        <x:f>IF(OR($D37="",CU$5="",'상세일정'!AM37="제외"),"",IF($D37=$E37,IF(AND($D37&gt;=CU$5,$D37&lt;CU$5+7),"◆",""),IF(AND($D37&lt;CU$5+7,$E37&gt;CU$5),"■","")))</x:f>
      </x:c>
      <x:c r="CV37" s="7" t="str">
        <x:f>IF(OR($D37="",CV$5="",'상세일정'!AM37="제외"),"",IF($D37=$E37,IF(AND($D37&gt;=CV$5,$D37&lt;CV$5+7),"◆",""),IF(AND($D37&lt;CV$5+7,$E37&gt;CV$5),"■","")))</x:f>
      </x:c>
      <x:c r="CW37" s="7" t="str">
        <x:f>IF(OR($D37="",CW$5="",'상세일정'!AM37="제외"),"",IF($D37=$E37,IF(AND($D37&gt;=CW$5,$D37&lt;CW$5+7),"◆",""),IF(AND($D37&lt;CW$5+7,$E37&gt;CW$5),"■","")))</x:f>
      </x:c>
      <x:c r="CX37" s="7" t="str">
        <x:f>IF(OR($D37="",CX$5="",'상세일정'!AM37="제외"),"",IF($D37=$E37,IF(AND($D37&gt;=CX$5,$D37&lt;CX$5+7),"◆",""),IF(AND($D37&lt;CX$5+7,$E37&gt;CX$5),"■","")))</x:f>
      </x:c>
      <x:c r="CY37" s="7" t="str">
        <x:f>IF(OR($D37="",CY$5="",'상세일정'!AM37="제외"),"",IF($D37=$E37,IF(AND($D37&gt;=CY$5,$D37&lt;CY$5+7),"◆",""),IF(AND($D37&lt;CY$5+7,$E37&gt;CY$5),"■","")))</x:f>
      </x:c>
      <x:c r="CZ37" s="7" t="str">
        <x:f>IF(OR($D37="",CZ$5="",'상세일정'!AM37="제외"),"",IF($D37=$E37,IF(AND($D37&gt;=CZ$5,$D37&lt;CZ$5+7),"◆",""),IF(AND($D37&lt;CZ$5+7,$E37&gt;CZ$5),"■","")))</x:f>
      </x:c>
      <x:c r="DA37" s="7" t="str">
        <x:f>IF(OR($D37="",DA$5="",'상세일정'!AM37="제외"),"",IF($D37=$E37,IF(AND($D37&gt;=DA$5,$D37&lt;DA$5+7),"◆",""),IF(AND($D37&lt;DA$5+7,$E37&gt;DA$5),"■","")))</x:f>
      </x:c>
      <x:c r="DB37" s="7" t="str">
        <x:f>IF(OR($D37="",DB$5="",'상세일정'!AM37="제외"),"",IF($D37=$E37,IF(AND($D37&gt;=DB$5,$D37&lt;DB$5+7),"◆",""),IF(AND($D37&lt;DB$5+7,$E37&gt;DB$5),"■","")))</x:f>
      </x:c>
      <x:c r="DC37" s="7" t="str">
        <x:f>IF(OR($D37="",DC$5="",'상세일정'!AM37="제외"),"",IF($D37=$E37,IF(AND($D37&gt;=DC$5,$D37&lt;DC$5+7),"◆",""),IF(AND($D37&lt;DC$5+7,$E37&gt;DC$5),"■","")))</x:f>
      </x:c>
      <x:c r="DD37" s="7" t="str">
        <x:f>IF(OR($D37="",DD$5="",'상세일정'!AM37="제외"),"",IF($D37=$E37,IF(AND($D37&gt;=DD$5,$D37&lt;DD$5+7),"◆",""),IF(AND($D37&lt;DD$5+7,$E37&gt;DD$5),"■","")))</x:f>
      </x:c>
      <x:c r="DE37" s="7" t="str">
        <x:f>IF(OR($D37="",DE$5="",'상세일정'!AM37="제외"),"",IF($D37=$E37,IF(AND($D37&gt;=DE$5,$D37&lt;DE$5+7),"◆",""),IF(AND($D37&lt;DE$5+7,$E37&gt;DE$5),"■","")))</x:f>
      </x:c>
    </x:row>
    <x:row r="38" ht="34" customHeight="1">
      <x:c r="A38" s="7" t="str">
        <x:v>PD08</x:v>
      </x:c>
      <x:c r="B38" s="7" t="str">
        <x:v>06 공정·배관 상세설계</x:v>
      </x:c>
      <x:c r="C38" s="7" t="str">
        <x:v>배관 IFC 발행 및 시공용 물량 동결</x:v>
      </x:c>
      <x:c r="D38" s="10" t="str">
        <x:f>'상세일정'!AJ38</x:f>
      </x:c>
      <x:c r="E38" s="10" t="str">
        <x:f>'상세일정'!AK38</x:f>
      </x:c>
      <x:c r="F38" s="7" t="str">
        <x:f>IF(OR($D38="",F$5="",'상세일정'!AM38="제외"),"",IF($D38=$E38,IF(AND($D38&gt;=F$5,$D38&lt;F$5+7),"◆",""),IF(AND($D38&lt;F$5+7,$E38&gt;F$5),"■","")))</x:f>
      </x:c>
      <x:c r="G38" s="7" t="str">
        <x:f>IF(OR($D38="",G$5="",'상세일정'!AM38="제외"),"",IF($D38=$E38,IF(AND($D38&gt;=G$5,$D38&lt;G$5+7),"◆",""),IF(AND($D38&lt;G$5+7,$E38&gt;G$5),"■","")))</x:f>
      </x:c>
      <x:c r="H38" s="7" t="str">
        <x:f>IF(OR($D38="",H$5="",'상세일정'!AM38="제외"),"",IF($D38=$E38,IF(AND($D38&gt;=H$5,$D38&lt;H$5+7),"◆",""),IF(AND($D38&lt;H$5+7,$E38&gt;H$5),"■","")))</x:f>
      </x:c>
      <x:c r="I38" s="7" t="str">
        <x:f>IF(OR($D38="",I$5="",'상세일정'!AM38="제외"),"",IF($D38=$E38,IF(AND($D38&gt;=I$5,$D38&lt;I$5+7),"◆",""),IF(AND($D38&lt;I$5+7,$E38&gt;I$5),"■","")))</x:f>
      </x:c>
      <x:c r="J38" s="7" t="str">
        <x:f>IF(OR($D38="",J$5="",'상세일정'!AM38="제외"),"",IF($D38=$E38,IF(AND($D38&gt;=J$5,$D38&lt;J$5+7),"◆",""),IF(AND($D38&lt;J$5+7,$E38&gt;J$5),"■","")))</x:f>
      </x:c>
      <x:c r="K38" s="7" t="str">
        <x:f>IF(OR($D38="",K$5="",'상세일정'!AM38="제외"),"",IF($D38=$E38,IF(AND($D38&gt;=K$5,$D38&lt;K$5+7),"◆",""),IF(AND($D38&lt;K$5+7,$E38&gt;K$5),"■","")))</x:f>
      </x:c>
      <x:c r="L38" s="7" t="str">
        <x:f>IF(OR($D38="",L$5="",'상세일정'!AM38="제외"),"",IF($D38=$E38,IF(AND($D38&gt;=L$5,$D38&lt;L$5+7),"◆",""),IF(AND($D38&lt;L$5+7,$E38&gt;L$5),"■","")))</x:f>
      </x:c>
      <x:c r="M38" s="7" t="str">
        <x:f>IF(OR($D38="",M$5="",'상세일정'!AM38="제외"),"",IF($D38=$E38,IF(AND($D38&gt;=M$5,$D38&lt;M$5+7),"◆",""),IF(AND($D38&lt;M$5+7,$E38&gt;M$5),"■","")))</x:f>
      </x:c>
      <x:c r="N38" s="7" t="str">
        <x:f>IF(OR($D38="",N$5="",'상세일정'!AM38="제외"),"",IF($D38=$E38,IF(AND($D38&gt;=N$5,$D38&lt;N$5+7),"◆",""),IF(AND($D38&lt;N$5+7,$E38&gt;N$5),"■","")))</x:f>
      </x:c>
      <x:c r="O38" s="7" t="str">
        <x:f>IF(OR($D38="",O$5="",'상세일정'!AM38="제외"),"",IF($D38=$E38,IF(AND($D38&gt;=O$5,$D38&lt;O$5+7),"◆",""),IF(AND($D38&lt;O$5+7,$E38&gt;O$5),"■","")))</x:f>
      </x:c>
      <x:c r="P38" s="7" t="str">
        <x:f>IF(OR($D38="",P$5="",'상세일정'!AM38="제외"),"",IF($D38=$E38,IF(AND($D38&gt;=P$5,$D38&lt;P$5+7),"◆",""),IF(AND($D38&lt;P$5+7,$E38&gt;P$5),"■","")))</x:f>
      </x:c>
      <x:c r="Q38" s="7" t="str">
        <x:f>IF(OR($D38="",Q$5="",'상세일정'!AM38="제외"),"",IF($D38=$E38,IF(AND($D38&gt;=Q$5,$D38&lt;Q$5+7),"◆",""),IF(AND($D38&lt;Q$5+7,$E38&gt;Q$5),"■","")))</x:f>
      </x:c>
      <x:c r="R38" s="7" t="str">
        <x:f>IF(OR($D38="",R$5="",'상세일정'!AM38="제외"),"",IF($D38=$E38,IF(AND($D38&gt;=R$5,$D38&lt;R$5+7),"◆",""),IF(AND($D38&lt;R$5+7,$E38&gt;R$5),"■","")))</x:f>
      </x:c>
      <x:c r="S38" s="7" t="str">
        <x:f>IF(OR($D38="",S$5="",'상세일정'!AM38="제외"),"",IF($D38=$E38,IF(AND($D38&gt;=S$5,$D38&lt;S$5+7),"◆",""),IF(AND($D38&lt;S$5+7,$E38&gt;S$5),"■","")))</x:f>
      </x:c>
      <x:c r="T38" s="7" t="str">
        <x:f>IF(OR($D38="",T$5="",'상세일정'!AM38="제외"),"",IF($D38=$E38,IF(AND($D38&gt;=T$5,$D38&lt;T$5+7),"◆",""),IF(AND($D38&lt;T$5+7,$E38&gt;T$5),"■","")))</x:f>
      </x:c>
      <x:c r="U38" s="7" t="str">
        <x:f>IF(OR($D38="",U$5="",'상세일정'!AM38="제외"),"",IF($D38=$E38,IF(AND($D38&gt;=U$5,$D38&lt;U$5+7),"◆",""),IF(AND($D38&lt;U$5+7,$E38&gt;U$5),"■","")))</x:f>
      </x:c>
      <x:c r="V38" s="7" t="str">
        <x:f>IF(OR($D38="",V$5="",'상세일정'!AM38="제외"),"",IF($D38=$E38,IF(AND($D38&gt;=V$5,$D38&lt;V$5+7),"◆",""),IF(AND($D38&lt;V$5+7,$E38&gt;V$5),"■","")))</x:f>
      </x:c>
      <x:c r="W38" s="7" t="str">
        <x:f>IF(OR($D38="",W$5="",'상세일정'!AM38="제외"),"",IF($D38=$E38,IF(AND($D38&gt;=W$5,$D38&lt;W$5+7),"◆",""),IF(AND($D38&lt;W$5+7,$E38&gt;W$5),"■","")))</x:f>
      </x:c>
      <x:c r="X38" s="7" t="str">
        <x:f>IF(OR($D38="",X$5="",'상세일정'!AM38="제외"),"",IF($D38=$E38,IF(AND($D38&gt;=X$5,$D38&lt;X$5+7),"◆",""),IF(AND($D38&lt;X$5+7,$E38&gt;X$5),"■","")))</x:f>
      </x:c>
      <x:c r="Y38" s="7" t="str">
        <x:f>IF(OR($D38="",Y$5="",'상세일정'!AM38="제외"),"",IF($D38=$E38,IF(AND($D38&gt;=Y$5,$D38&lt;Y$5+7),"◆",""),IF(AND($D38&lt;Y$5+7,$E38&gt;Y$5),"■","")))</x:f>
      </x:c>
      <x:c r="Z38" s="7" t="str">
        <x:f>IF(OR($D38="",Z$5="",'상세일정'!AM38="제외"),"",IF($D38=$E38,IF(AND($D38&gt;=Z$5,$D38&lt;Z$5+7),"◆",""),IF(AND($D38&lt;Z$5+7,$E38&gt;Z$5),"■","")))</x:f>
      </x:c>
      <x:c r="AA38" s="7" t="str">
        <x:f>IF(OR($D38="",AA$5="",'상세일정'!AM38="제외"),"",IF($D38=$E38,IF(AND($D38&gt;=AA$5,$D38&lt;AA$5+7),"◆",""),IF(AND($D38&lt;AA$5+7,$E38&gt;AA$5),"■","")))</x:f>
      </x:c>
      <x:c r="AB38" s="7" t="str">
        <x:f>IF(OR($D38="",AB$5="",'상세일정'!AM38="제외"),"",IF($D38=$E38,IF(AND($D38&gt;=AB$5,$D38&lt;AB$5+7),"◆",""),IF(AND($D38&lt;AB$5+7,$E38&gt;AB$5),"■","")))</x:f>
      </x:c>
      <x:c r="AC38" s="7" t="str">
        <x:f>IF(OR($D38="",AC$5="",'상세일정'!AM38="제외"),"",IF($D38=$E38,IF(AND($D38&gt;=AC$5,$D38&lt;AC$5+7),"◆",""),IF(AND($D38&lt;AC$5+7,$E38&gt;AC$5),"■","")))</x:f>
      </x:c>
      <x:c r="AD38" s="7" t="str">
        <x:f>IF(OR($D38="",AD$5="",'상세일정'!AM38="제외"),"",IF($D38=$E38,IF(AND($D38&gt;=AD$5,$D38&lt;AD$5+7),"◆",""),IF(AND($D38&lt;AD$5+7,$E38&gt;AD$5),"■","")))</x:f>
      </x:c>
      <x:c r="AE38" s="7" t="str">
        <x:f>IF(OR($D38="",AE$5="",'상세일정'!AM38="제외"),"",IF($D38=$E38,IF(AND($D38&gt;=AE$5,$D38&lt;AE$5+7),"◆",""),IF(AND($D38&lt;AE$5+7,$E38&gt;AE$5),"■","")))</x:f>
      </x:c>
      <x:c r="AF38" s="7" t="str">
        <x:f>IF(OR($D38="",AF$5="",'상세일정'!AM38="제외"),"",IF($D38=$E38,IF(AND($D38&gt;=AF$5,$D38&lt;AF$5+7),"◆",""),IF(AND($D38&lt;AF$5+7,$E38&gt;AF$5),"■","")))</x:f>
      </x:c>
      <x:c r="AG38" s="7" t="str">
        <x:f>IF(OR($D38="",AG$5="",'상세일정'!AM38="제외"),"",IF($D38=$E38,IF(AND($D38&gt;=AG$5,$D38&lt;AG$5+7),"◆",""),IF(AND($D38&lt;AG$5+7,$E38&gt;AG$5),"■","")))</x:f>
      </x:c>
      <x:c r="AH38" s="7" t="str">
        <x:f>IF(OR($D38="",AH$5="",'상세일정'!AM38="제외"),"",IF($D38=$E38,IF(AND($D38&gt;=AH$5,$D38&lt;AH$5+7),"◆",""),IF(AND($D38&lt;AH$5+7,$E38&gt;AH$5),"■","")))</x:f>
      </x:c>
      <x:c r="AI38" s="7" t="str">
        <x:f>IF(OR($D38="",AI$5="",'상세일정'!AM38="제외"),"",IF($D38=$E38,IF(AND($D38&gt;=AI$5,$D38&lt;AI$5+7),"◆",""),IF(AND($D38&lt;AI$5+7,$E38&gt;AI$5),"■","")))</x:f>
      </x:c>
      <x:c r="AJ38" s="7" t="str">
        <x:f>IF(OR($D38="",AJ$5="",'상세일정'!AM38="제외"),"",IF($D38=$E38,IF(AND($D38&gt;=AJ$5,$D38&lt;AJ$5+7),"◆",""),IF(AND($D38&lt;AJ$5+7,$E38&gt;AJ$5),"■","")))</x:f>
      </x:c>
      <x:c r="AK38" s="7" t="str">
        <x:f>IF(OR($D38="",AK$5="",'상세일정'!AM38="제외"),"",IF($D38=$E38,IF(AND($D38&gt;=AK$5,$D38&lt;AK$5+7),"◆",""),IF(AND($D38&lt;AK$5+7,$E38&gt;AK$5),"■","")))</x:f>
      </x:c>
      <x:c r="AL38" s="7" t="str">
        <x:f>IF(OR($D38="",AL$5="",'상세일정'!AM38="제외"),"",IF($D38=$E38,IF(AND($D38&gt;=AL$5,$D38&lt;AL$5+7),"◆",""),IF(AND($D38&lt;AL$5+7,$E38&gt;AL$5),"■","")))</x:f>
      </x:c>
      <x:c r="AM38" s="7" t="str">
        <x:f>IF(OR($D38="",AM$5="",'상세일정'!AM38="제외"),"",IF($D38=$E38,IF(AND($D38&gt;=AM$5,$D38&lt;AM$5+7),"◆",""),IF(AND($D38&lt;AM$5+7,$E38&gt;AM$5),"■","")))</x:f>
      </x:c>
      <x:c r="AN38" s="7" t="str">
        <x:f>IF(OR($D38="",AN$5="",'상세일정'!AM38="제외"),"",IF($D38=$E38,IF(AND($D38&gt;=AN$5,$D38&lt;AN$5+7),"◆",""),IF(AND($D38&lt;AN$5+7,$E38&gt;AN$5),"■","")))</x:f>
      </x:c>
      <x:c r="AO38" s="7" t="str">
        <x:f>IF(OR($D38="",AO$5="",'상세일정'!AM38="제외"),"",IF($D38=$E38,IF(AND($D38&gt;=AO$5,$D38&lt;AO$5+7),"◆",""),IF(AND($D38&lt;AO$5+7,$E38&gt;AO$5),"■","")))</x:f>
      </x:c>
      <x:c r="AP38" s="7" t="str">
        <x:f>IF(OR($D38="",AP$5="",'상세일정'!AM38="제외"),"",IF($D38=$E38,IF(AND($D38&gt;=AP$5,$D38&lt;AP$5+7),"◆",""),IF(AND($D38&lt;AP$5+7,$E38&gt;AP$5),"■","")))</x:f>
      </x:c>
      <x:c r="AQ38" s="7" t="str">
        <x:f>IF(OR($D38="",AQ$5="",'상세일정'!AM38="제외"),"",IF($D38=$E38,IF(AND($D38&gt;=AQ$5,$D38&lt;AQ$5+7),"◆",""),IF(AND($D38&lt;AQ$5+7,$E38&gt;AQ$5),"■","")))</x:f>
      </x:c>
      <x:c r="AR38" s="7" t="str">
        <x:f>IF(OR($D38="",AR$5="",'상세일정'!AM38="제외"),"",IF($D38=$E38,IF(AND($D38&gt;=AR$5,$D38&lt;AR$5+7),"◆",""),IF(AND($D38&lt;AR$5+7,$E38&gt;AR$5),"■","")))</x:f>
      </x:c>
      <x:c r="AS38" s="7" t="str">
        <x:f>IF(OR($D38="",AS$5="",'상세일정'!AM38="제외"),"",IF($D38=$E38,IF(AND($D38&gt;=AS$5,$D38&lt;AS$5+7),"◆",""),IF(AND($D38&lt;AS$5+7,$E38&gt;AS$5),"■","")))</x:f>
      </x:c>
      <x:c r="AT38" s="7" t="str">
        <x:f>IF(OR($D38="",AT$5="",'상세일정'!AM38="제외"),"",IF($D38=$E38,IF(AND($D38&gt;=AT$5,$D38&lt;AT$5+7),"◆",""),IF(AND($D38&lt;AT$5+7,$E38&gt;AT$5),"■","")))</x:f>
      </x:c>
      <x:c r="AU38" s="7" t="str">
        <x:f>IF(OR($D38="",AU$5="",'상세일정'!AM38="제외"),"",IF($D38=$E38,IF(AND($D38&gt;=AU$5,$D38&lt;AU$5+7),"◆",""),IF(AND($D38&lt;AU$5+7,$E38&gt;AU$5),"■","")))</x:f>
      </x:c>
      <x:c r="AV38" s="7" t="str">
        <x:f>IF(OR($D38="",AV$5="",'상세일정'!AM38="제외"),"",IF($D38=$E38,IF(AND($D38&gt;=AV$5,$D38&lt;AV$5+7),"◆",""),IF(AND($D38&lt;AV$5+7,$E38&gt;AV$5),"■","")))</x:f>
      </x:c>
      <x:c r="AW38" s="7" t="str">
        <x:f>IF(OR($D38="",AW$5="",'상세일정'!AM38="제외"),"",IF($D38=$E38,IF(AND($D38&gt;=AW$5,$D38&lt;AW$5+7),"◆",""),IF(AND($D38&lt;AW$5+7,$E38&gt;AW$5),"■","")))</x:f>
      </x:c>
      <x:c r="AX38" s="7" t="str">
        <x:f>IF(OR($D38="",AX$5="",'상세일정'!AM38="제외"),"",IF($D38=$E38,IF(AND($D38&gt;=AX$5,$D38&lt;AX$5+7),"◆",""),IF(AND($D38&lt;AX$5+7,$E38&gt;AX$5),"■","")))</x:f>
      </x:c>
      <x:c r="AY38" s="7" t="str">
        <x:f>IF(OR($D38="",AY$5="",'상세일정'!AM38="제외"),"",IF($D38=$E38,IF(AND($D38&gt;=AY$5,$D38&lt;AY$5+7),"◆",""),IF(AND($D38&lt;AY$5+7,$E38&gt;AY$5),"■","")))</x:f>
      </x:c>
      <x:c r="AZ38" s="7" t="str">
        <x:f>IF(OR($D38="",AZ$5="",'상세일정'!AM38="제외"),"",IF($D38=$E38,IF(AND($D38&gt;=AZ$5,$D38&lt;AZ$5+7),"◆",""),IF(AND($D38&lt;AZ$5+7,$E38&gt;AZ$5),"■","")))</x:f>
      </x:c>
      <x:c r="BA38" s="7" t="str">
        <x:f>IF(OR($D38="",BA$5="",'상세일정'!AM38="제외"),"",IF($D38=$E38,IF(AND($D38&gt;=BA$5,$D38&lt;BA$5+7),"◆",""),IF(AND($D38&lt;BA$5+7,$E38&gt;BA$5),"■","")))</x:f>
      </x:c>
      <x:c r="BB38" s="7" t="str">
        <x:f>IF(OR($D38="",BB$5="",'상세일정'!AM38="제외"),"",IF($D38=$E38,IF(AND($D38&gt;=BB$5,$D38&lt;BB$5+7),"◆",""),IF(AND($D38&lt;BB$5+7,$E38&gt;BB$5),"■","")))</x:f>
      </x:c>
      <x:c r="BC38" s="7" t="str">
        <x:f>IF(OR($D38="",BC$5="",'상세일정'!AM38="제외"),"",IF($D38=$E38,IF(AND($D38&gt;=BC$5,$D38&lt;BC$5+7),"◆",""),IF(AND($D38&lt;BC$5+7,$E38&gt;BC$5),"■","")))</x:f>
      </x:c>
      <x:c r="BD38" s="7" t="str">
        <x:f>IF(OR($D38="",BD$5="",'상세일정'!AM38="제외"),"",IF($D38=$E38,IF(AND($D38&gt;=BD$5,$D38&lt;BD$5+7),"◆",""),IF(AND($D38&lt;BD$5+7,$E38&gt;BD$5),"■","")))</x:f>
      </x:c>
      <x:c r="BE38" s="7" t="str">
        <x:f>IF(OR($D38="",BE$5="",'상세일정'!AM38="제외"),"",IF($D38=$E38,IF(AND($D38&gt;=BE$5,$D38&lt;BE$5+7),"◆",""),IF(AND($D38&lt;BE$5+7,$E38&gt;BE$5),"■","")))</x:f>
      </x:c>
      <x:c r="BF38" s="7" t="str">
        <x:f>IF(OR($D38="",BF$5="",'상세일정'!AM38="제외"),"",IF($D38=$E38,IF(AND($D38&gt;=BF$5,$D38&lt;BF$5+7),"◆",""),IF(AND($D38&lt;BF$5+7,$E38&gt;BF$5),"■","")))</x:f>
      </x:c>
      <x:c r="BG38" s="7" t="str">
        <x:f>IF(OR($D38="",BG$5="",'상세일정'!AM38="제외"),"",IF($D38=$E38,IF(AND($D38&gt;=BG$5,$D38&lt;BG$5+7),"◆",""),IF(AND($D38&lt;BG$5+7,$E38&gt;BG$5),"■","")))</x:f>
      </x:c>
      <x:c r="BH38" s="7" t="str">
        <x:f>IF(OR($D38="",BH$5="",'상세일정'!AM38="제외"),"",IF($D38=$E38,IF(AND($D38&gt;=BH$5,$D38&lt;BH$5+7),"◆",""),IF(AND($D38&lt;BH$5+7,$E38&gt;BH$5),"■","")))</x:f>
      </x:c>
      <x:c r="BI38" s="7" t="str">
        <x:f>IF(OR($D38="",BI$5="",'상세일정'!AM38="제외"),"",IF($D38=$E38,IF(AND($D38&gt;=BI$5,$D38&lt;BI$5+7),"◆",""),IF(AND($D38&lt;BI$5+7,$E38&gt;BI$5),"■","")))</x:f>
      </x:c>
      <x:c r="BJ38" s="7" t="str">
        <x:f>IF(OR($D38="",BJ$5="",'상세일정'!AM38="제외"),"",IF($D38=$E38,IF(AND($D38&gt;=BJ$5,$D38&lt;BJ$5+7),"◆",""),IF(AND($D38&lt;BJ$5+7,$E38&gt;BJ$5),"■","")))</x:f>
      </x:c>
      <x:c r="BK38" s="7" t="str">
        <x:f>IF(OR($D38="",BK$5="",'상세일정'!AM38="제외"),"",IF($D38=$E38,IF(AND($D38&gt;=BK$5,$D38&lt;BK$5+7),"◆",""),IF(AND($D38&lt;BK$5+7,$E38&gt;BK$5),"■","")))</x:f>
      </x:c>
      <x:c r="BL38" s="7" t="str">
        <x:f>IF(OR($D38="",BL$5="",'상세일정'!AM38="제외"),"",IF($D38=$E38,IF(AND($D38&gt;=BL$5,$D38&lt;BL$5+7),"◆",""),IF(AND($D38&lt;BL$5+7,$E38&gt;BL$5),"■","")))</x:f>
      </x:c>
      <x:c r="BM38" s="7" t="str">
        <x:f>IF(OR($D38="",BM$5="",'상세일정'!AM38="제외"),"",IF($D38=$E38,IF(AND($D38&gt;=BM$5,$D38&lt;BM$5+7),"◆",""),IF(AND($D38&lt;BM$5+7,$E38&gt;BM$5),"■","")))</x:f>
      </x:c>
      <x:c r="BN38" s="7" t="str">
        <x:f>IF(OR($D38="",BN$5="",'상세일정'!AM38="제외"),"",IF($D38=$E38,IF(AND($D38&gt;=BN$5,$D38&lt;BN$5+7),"◆",""),IF(AND($D38&lt;BN$5+7,$E38&gt;BN$5),"■","")))</x:f>
      </x:c>
      <x:c r="BO38" s="7" t="str">
        <x:f>IF(OR($D38="",BO$5="",'상세일정'!AM38="제외"),"",IF($D38=$E38,IF(AND($D38&gt;=BO$5,$D38&lt;BO$5+7),"◆",""),IF(AND($D38&lt;BO$5+7,$E38&gt;BO$5),"■","")))</x:f>
      </x:c>
      <x:c r="BP38" s="7" t="str">
        <x:f>IF(OR($D38="",BP$5="",'상세일정'!AM38="제외"),"",IF($D38=$E38,IF(AND($D38&gt;=BP$5,$D38&lt;BP$5+7),"◆",""),IF(AND($D38&lt;BP$5+7,$E38&gt;BP$5),"■","")))</x:f>
      </x:c>
      <x:c r="BQ38" s="7" t="str">
        <x:f>IF(OR($D38="",BQ$5="",'상세일정'!AM38="제외"),"",IF($D38=$E38,IF(AND($D38&gt;=BQ$5,$D38&lt;BQ$5+7),"◆",""),IF(AND($D38&lt;BQ$5+7,$E38&gt;BQ$5),"■","")))</x:f>
      </x:c>
      <x:c r="BR38" s="7" t="str">
        <x:f>IF(OR($D38="",BR$5="",'상세일정'!AM38="제외"),"",IF($D38=$E38,IF(AND($D38&gt;=BR$5,$D38&lt;BR$5+7),"◆",""),IF(AND($D38&lt;BR$5+7,$E38&gt;BR$5),"■","")))</x:f>
      </x:c>
      <x:c r="BS38" s="7" t="str">
        <x:f>IF(OR($D38="",BS$5="",'상세일정'!AM38="제외"),"",IF($D38=$E38,IF(AND($D38&gt;=BS$5,$D38&lt;BS$5+7),"◆",""),IF(AND($D38&lt;BS$5+7,$E38&gt;BS$5),"■","")))</x:f>
      </x:c>
      <x:c r="BT38" s="7" t="str">
        <x:f>IF(OR($D38="",BT$5="",'상세일정'!AM38="제외"),"",IF($D38=$E38,IF(AND($D38&gt;=BT$5,$D38&lt;BT$5+7),"◆",""),IF(AND($D38&lt;BT$5+7,$E38&gt;BT$5),"■","")))</x:f>
      </x:c>
      <x:c r="BU38" s="7" t="str">
        <x:f>IF(OR($D38="",BU$5="",'상세일정'!AM38="제외"),"",IF($D38=$E38,IF(AND($D38&gt;=BU$5,$D38&lt;BU$5+7),"◆",""),IF(AND($D38&lt;BU$5+7,$E38&gt;BU$5),"■","")))</x:f>
      </x:c>
      <x:c r="BV38" s="7" t="str">
        <x:f>IF(OR($D38="",BV$5="",'상세일정'!AM38="제외"),"",IF($D38=$E38,IF(AND($D38&gt;=BV$5,$D38&lt;BV$5+7),"◆",""),IF(AND($D38&lt;BV$5+7,$E38&gt;BV$5),"■","")))</x:f>
      </x:c>
      <x:c r="BW38" s="7" t="str">
        <x:f>IF(OR($D38="",BW$5="",'상세일정'!AM38="제외"),"",IF($D38=$E38,IF(AND($D38&gt;=BW$5,$D38&lt;BW$5+7),"◆",""),IF(AND($D38&lt;BW$5+7,$E38&gt;BW$5),"■","")))</x:f>
      </x:c>
      <x:c r="BX38" s="7" t="str">
        <x:f>IF(OR($D38="",BX$5="",'상세일정'!AM38="제외"),"",IF($D38=$E38,IF(AND($D38&gt;=BX$5,$D38&lt;BX$5+7),"◆",""),IF(AND($D38&lt;BX$5+7,$E38&gt;BX$5),"■","")))</x:f>
      </x:c>
      <x:c r="BY38" s="7" t="str">
        <x:f>IF(OR($D38="",BY$5="",'상세일정'!AM38="제외"),"",IF($D38=$E38,IF(AND($D38&gt;=BY$5,$D38&lt;BY$5+7),"◆",""),IF(AND($D38&lt;BY$5+7,$E38&gt;BY$5),"■","")))</x:f>
      </x:c>
      <x:c r="BZ38" s="7" t="str">
        <x:f>IF(OR($D38="",BZ$5="",'상세일정'!AM38="제외"),"",IF($D38=$E38,IF(AND($D38&gt;=BZ$5,$D38&lt;BZ$5+7),"◆",""),IF(AND($D38&lt;BZ$5+7,$E38&gt;BZ$5),"■","")))</x:f>
      </x:c>
      <x:c r="CA38" s="7" t="str">
        <x:f>IF(OR($D38="",CA$5="",'상세일정'!AM38="제외"),"",IF($D38=$E38,IF(AND($D38&gt;=CA$5,$D38&lt;CA$5+7),"◆",""),IF(AND($D38&lt;CA$5+7,$E38&gt;CA$5),"■","")))</x:f>
      </x:c>
      <x:c r="CB38" s="7" t="str">
        <x:f>IF(OR($D38="",CB$5="",'상세일정'!AM38="제외"),"",IF($D38=$E38,IF(AND($D38&gt;=CB$5,$D38&lt;CB$5+7),"◆",""),IF(AND($D38&lt;CB$5+7,$E38&gt;CB$5),"■","")))</x:f>
      </x:c>
      <x:c r="CC38" s="7" t="str">
        <x:f>IF(OR($D38="",CC$5="",'상세일정'!AM38="제외"),"",IF($D38=$E38,IF(AND($D38&gt;=CC$5,$D38&lt;CC$5+7),"◆",""),IF(AND($D38&lt;CC$5+7,$E38&gt;CC$5),"■","")))</x:f>
      </x:c>
      <x:c r="CD38" s="7" t="str">
        <x:f>IF(OR($D38="",CD$5="",'상세일정'!AM38="제외"),"",IF($D38=$E38,IF(AND($D38&gt;=CD$5,$D38&lt;CD$5+7),"◆",""),IF(AND($D38&lt;CD$5+7,$E38&gt;CD$5),"■","")))</x:f>
      </x:c>
      <x:c r="CE38" s="7" t="str">
        <x:f>IF(OR($D38="",CE$5="",'상세일정'!AM38="제외"),"",IF($D38=$E38,IF(AND($D38&gt;=CE$5,$D38&lt;CE$5+7),"◆",""),IF(AND($D38&lt;CE$5+7,$E38&gt;CE$5),"■","")))</x:f>
      </x:c>
      <x:c r="CF38" s="7" t="str">
        <x:f>IF(OR($D38="",CF$5="",'상세일정'!AM38="제외"),"",IF($D38=$E38,IF(AND($D38&gt;=CF$5,$D38&lt;CF$5+7),"◆",""),IF(AND($D38&lt;CF$5+7,$E38&gt;CF$5),"■","")))</x:f>
      </x:c>
      <x:c r="CG38" s="7" t="str">
        <x:f>IF(OR($D38="",CG$5="",'상세일정'!AM38="제외"),"",IF($D38=$E38,IF(AND($D38&gt;=CG$5,$D38&lt;CG$5+7),"◆",""),IF(AND($D38&lt;CG$5+7,$E38&gt;CG$5),"■","")))</x:f>
      </x:c>
      <x:c r="CH38" s="7" t="str">
        <x:f>IF(OR($D38="",CH$5="",'상세일정'!AM38="제외"),"",IF($D38=$E38,IF(AND($D38&gt;=CH$5,$D38&lt;CH$5+7),"◆",""),IF(AND($D38&lt;CH$5+7,$E38&gt;CH$5),"■","")))</x:f>
      </x:c>
      <x:c r="CI38" s="7" t="str">
        <x:f>IF(OR($D38="",CI$5="",'상세일정'!AM38="제외"),"",IF($D38=$E38,IF(AND($D38&gt;=CI$5,$D38&lt;CI$5+7),"◆",""),IF(AND($D38&lt;CI$5+7,$E38&gt;CI$5),"■","")))</x:f>
      </x:c>
      <x:c r="CJ38" s="7" t="str">
        <x:f>IF(OR($D38="",CJ$5="",'상세일정'!AM38="제외"),"",IF($D38=$E38,IF(AND($D38&gt;=CJ$5,$D38&lt;CJ$5+7),"◆",""),IF(AND($D38&lt;CJ$5+7,$E38&gt;CJ$5),"■","")))</x:f>
      </x:c>
      <x:c r="CK38" s="7" t="str">
        <x:f>IF(OR($D38="",CK$5="",'상세일정'!AM38="제외"),"",IF($D38=$E38,IF(AND($D38&gt;=CK$5,$D38&lt;CK$5+7),"◆",""),IF(AND($D38&lt;CK$5+7,$E38&gt;CK$5),"■","")))</x:f>
      </x:c>
      <x:c r="CL38" s="7" t="str">
        <x:f>IF(OR($D38="",CL$5="",'상세일정'!AM38="제외"),"",IF($D38=$E38,IF(AND($D38&gt;=CL$5,$D38&lt;CL$5+7),"◆",""),IF(AND($D38&lt;CL$5+7,$E38&gt;CL$5),"■","")))</x:f>
      </x:c>
      <x:c r="CM38" s="7" t="str">
        <x:f>IF(OR($D38="",CM$5="",'상세일정'!AM38="제외"),"",IF($D38=$E38,IF(AND($D38&gt;=CM$5,$D38&lt;CM$5+7),"◆",""),IF(AND($D38&lt;CM$5+7,$E38&gt;CM$5),"■","")))</x:f>
      </x:c>
      <x:c r="CN38" s="7" t="str">
        <x:f>IF(OR($D38="",CN$5="",'상세일정'!AM38="제외"),"",IF($D38=$E38,IF(AND($D38&gt;=CN$5,$D38&lt;CN$5+7),"◆",""),IF(AND($D38&lt;CN$5+7,$E38&gt;CN$5),"■","")))</x:f>
      </x:c>
      <x:c r="CO38" s="7" t="str">
        <x:f>IF(OR($D38="",CO$5="",'상세일정'!AM38="제외"),"",IF($D38=$E38,IF(AND($D38&gt;=CO$5,$D38&lt;CO$5+7),"◆",""),IF(AND($D38&lt;CO$5+7,$E38&gt;CO$5),"■","")))</x:f>
      </x:c>
      <x:c r="CP38" s="7" t="str">
        <x:f>IF(OR($D38="",CP$5="",'상세일정'!AM38="제외"),"",IF($D38=$E38,IF(AND($D38&gt;=CP$5,$D38&lt;CP$5+7),"◆",""),IF(AND($D38&lt;CP$5+7,$E38&gt;CP$5),"■","")))</x:f>
      </x:c>
      <x:c r="CQ38" s="7" t="str">
        <x:f>IF(OR($D38="",CQ$5="",'상세일정'!AM38="제외"),"",IF($D38=$E38,IF(AND($D38&gt;=CQ$5,$D38&lt;CQ$5+7),"◆",""),IF(AND($D38&lt;CQ$5+7,$E38&gt;CQ$5),"■","")))</x:f>
      </x:c>
      <x:c r="CR38" s="7" t="str">
        <x:f>IF(OR($D38="",CR$5="",'상세일정'!AM38="제외"),"",IF($D38=$E38,IF(AND($D38&gt;=CR$5,$D38&lt;CR$5+7),"◆",""),IF(AND($D38&lt;CR$5+7,$E38&gt;CR$5),"■","")))</x:f>
      </x:c>
      <x:c r="CS38" s="7" t="str">
        <x:f>IF(OR($D38="",CS$5="",'상세일정'!AM38="제외"),"",IF($D38=$E38,IF(AND($D38&gt;=CS$5,$D38&lt;CS$5+7),"◆",""),IF(AND($D38&lt;CS$5+7,$E38&gt;CS$5),"■","")))</x:f>
      </x:c>
      <x:c r="CT38" s="7" t="str">
        <x:f>IF(OR($D38="",CT$5="",'상세일정'!AM38="제외"),"",IF($D38=$E38,IF(AND($D38&gt;=CT$5,$D38&lt;CT$5+7),"◆",""),IF(AND($D38&lt;CT$5+7,$E38&gt;CT$5),"■","")))</x:f>
      </x:c>
      <x:c r="CU38" s="7" t="str">
        <x:f>IF(OR($D38="",CU$5="",'상세일정'!AM38="제외"),"",IF($D38=$E38,IF(AND($D38&gt;=CU$5,$D38&lt;CU$5+7),"◆",""),IF(AND($D38&lt;CU$5+7,$E38&gt;CU$5),"■","")))</x:f>
      </x:c>
      <x:c r="CV38" s="7" t="str">
        <x:f>IF(OR($D38="",CV$5="",'상세일정'!AM38="제외"),"",IF($D38=$E38,IF(AND($D38&gt;=CV$5,$D38&lt;CV$5+7),"◆",""),IF(AND($D38&lt;CV$5+7,$E38&gt;CV$5),"■","")))</x:f>
      </x:c>
      <x:c r="CW38" s="7" t="str">
        <x:f>IF(OR($D38="",CW$5="",'상세일정'!AM38="제외"),"",IF($D38=$E38,IF(AND($D38&gt;=CW$5,$D38&lt;CW$5+7),"◆",""),IF(AND($D38&lt;CW$5+7,$E38&gt;CW$5),"■","")))</x:f>
      </x:c>
      <x:c r="CX38" s="7" t="str">
        <x:f>IF(OR($D38="",CX$5="",'상세일정'!AM38="제외"),"",IF($D38=$E38,IF(AND($D38&gt;=CX$5,$D38&lt;CX$5+7),"◆",""),IF(AND($D38&lt;CX$5+7,$E38&gt;CX$5),"■","")))</x:f>
      </x:c>
      <x:c r="CY38" s="7" t="str">
        <x:f>IF(OR($D38="",CY$5="",'상세일정'!AM38="제외"),"",IF($D38=$E38,IF(AND($D38&gt;=CY$5,$D38&lt;CY$5+7),"◆",""),IF(AND($D38&lt;CY$5+7,$E38&gt;CY$5),"■","")))</x:f>
      </x:c>
      <x:c r="CZ38" s="7" t="str">
        <x:f>IF(OR($D38="",CZ$5="",'상세일정'!AM38="제외"),"",IF($D38=$E38,IF(AND($D38&gt;=CZ$5,$D38&lt;CZ$5+7),"◆",""),IF(AND($D38&lt;CZ$5+7,$E38&gt;CZ$5),"■","")))</x:f>
      </x:c>
      <x:c r="DA38" s="7" t="str">
        <x:f>IF(OR($D38="",DA$5="",'상세일정'!AM38="제외"),"",IF($D38=$E38,IF(AND($D38&gt;=DA$5,$D38&lt;DA$5+7),"◆",""),IF(AND($D38&lt;DA$5+7,$E38&gt;DA$5),"■","")))</x:f>
      </x:c>
      <x:c r="DB38" s="7" t="str">
        <x:f>IF(OR($D38="",DB$5="",'상세일정'!AM38="제외"),"",IF($D38=$E38,IF(AND($D38&gt;=DB$5,$D38&lt;DB$5+7),"◆",""),IF(AND($D38&lt;DB$5+7,$E38&gt;DB$5),"■","")))</x:f>
      </x:c>
      <x:c r="DC38" s="7" t="str">
        <x:f>IF(OR($D38="",DC$5="",'상세일정'!AM38="제외"),"",IF($D38=$E38,IF(AND($D38&gt;=DC$5,$D38&lt;DC$5+7),"◆",""),IF(AND($D38&lt;DC$5+7,$E38&gt;DC$5),"■","")))</x:f>
      </x:c>
      <x:c r="DD38" s="7" t="str">
        <x:f>IF(OR($D38="",DD$5="",'상세일정'!AM38="제외"),"",IF($D38=$E38,IF(AND($D38&gt;=DD$5,$D38&lt;DD$5+7),"◆",""),IF(AND($D38&lt;DD$5+7,$E38&gt;DD$5),"■","")))</x:f>
      </x:c>
      <x:c r="DE38" s="7" t="str">
        <x:f>IF(OR($D38="",DE$5="",'상세일정'!AM38="제외"),"",IF($D38=$E38,IF(AND($D38&gt;=DE$5,$D38&lt;DE$5+7),"◆",""),IF(AND($D38&lt;DE$5+7,$E38&gt;DE$5),"■","")))</x:f>
      </x:c>
    </x:row>
    <x:row r="39" ht="34" customHeight="1">
      <x:c r="A39" s="7" t="str">
        <x:v>IC01</x:v>
      </x:c>
      <x:c r="B39" s="7" t="str">
        <x:v>07 계장·제어 상세설계</x:v>
      </x:c>
      <x:c r="C39" s="7" t="str">
        <x:v>Control architecture·PLC 경계 확정</x:v>
      </x:c>
      <x:c r="D39" s="10" t="str">
        <x:f>'상세일정'!AJ39</x:f>
      </x:c>
      <x:c r="E39" s="10" t="str">
        <x:f>'상세일정'!AK39</x:f>
      </x:c>
      <x:c r="F39" s="7" t="str">
        <x:f>IF(OR($D39="",F$5="",'상세일정'!AM39="제외"),"",IF($D39=$E39,IF(AND($D39&gt;=F$5,$D39&lt;F$5+7),"◆",""),IF(AND($D39&lt;F$5+7,$E39&gt;F$5),"■","")))</x:f>
      </x:c>
      <x:c r="G39" s="7" t="str">
        <x:f>IF(OR($D39="",G$5="",'상세일정'!AM39="제외"),"",IF($D39=$E39,IF(AND($D39&gt;=G$5,$D39&lt;G$5+7),"◆",""),IF(AND($D39&lt;G$5+7,$E39&gt;G$5),"■","")))</x:f>
      </x:c>
      <x:c r="H39" s="7" t="str">
        <x:f>IF(OR($D39="",H$5="",'상세일정'!AM39="제외"),"",IF($D39=$E39,IF(AND($D39&gt;=H$5,$D39&lt;H$5+7),"◆",""),IF(AND($D39&lt;H$5+7,$E39&gt;H$5),"■","")))</x:f>
      </x:c>
      <x:c r="I39" s="7" t="str">
        <x:f>IF(OR($D39="",I$5="",'상세일정'!AM39="제외"),"",IF($D39=$E39,IF(AND($D39&gt;=I$5,$D39&lt;I$5+7),"◆",""),IF(AND($D39&lt;I$5+7,$E39&gt;I$5),"■","")))</x:f>
      </x:c>
      <x:c r="J39" s="7" t="str">
        <x:f>IF(OR($D39="",J$5="",'상세일정'!AM39="제외"),"",IF($D39=$E39,IF(AND($D39&gt;=J$5,$D39&lt;J$5+7),"◆",""),IF(AND($D39&lt;J$5+7,$E39&gt;J$5),"■","")))</x:f>
      </x:c>
      <x:c r="K39" s="7" t="str">
        <x:f>IF(OR($D39="",K$5="",'상세일정'!AM39="제외"),"",IF($D39=$E39,IF(AND($D39&gt;=K$5,$D39&lt;K$5+7),"◆",""),IF(AND($D39&lt;K$5+7,$E39&gt;K$5),"■","")))</x:f>
      </x:c>
      <x:c r="L39" s="7" t="str">
        <x:f>IF(OR($D39="",L$5="",'상세일정'!AM39="제외"),"",IF($D39=$E39,IF(AND($D39&gt;=L$5,$D39&lt;L$5+7),"◆",""),IF(AND($D39&lt;L$5+7,$E39&gt;L$5),"■","")))</x:f>
      </x:c>
      <x:c r="M39" s="7" t="str">
        <x:f>IF(OR($D39="",M$5="",'상세일정'!AM39="제외"),"",IF($D39=$E39,IF(AND($D39&gt;=M$5,$D39&lt;M$5+7),"◆",""),IF(AND($D39&lt;M$5+7,$E39&gt;M$5),"■","")))</x:f>
      </x:c>
      <x:c r="N39" s="7" t="str">
        <x:f>IF(OR($D39="",N$5="",'상세일정'!AM39="제외"),"",IF($D39=$E39,IF(AND($D39&gt;=N$5,$D39&lt;N$5+7),"◆",""),IF(AND($D39&lt;N$5+7,$E39&gt;N$5),"■","")))</x:f>
      </x:c>
      <x:c r="O39" s="7" t="str">
        <x:f>IF(OR($D39="",O$5="",'상세일정'!AM39="제외"),"",IF($D39=$E39,IF(AND($D39&gt;=O$5,$D39&lt;O$5+7),"◆",""),IF(AND($D39&lt;O$5+7,$E39&gt;O$5),"■","")))</x:f>
      </x:c>
      <x:c r="P39" s="7" t="str">
        <x:f>IF(OR($D39="",P$5="",'상세일정'!AM39="제외"),"",IF($D39=$E39,IF(AND($D39&gt;=P$5,$D39&lt;P$5+7),"◆",""),IF(AND($D39&lt;P$5+7,$E39&gt;P$5),"■","")))</x:f>
      </x:c>
      <x:c r="Q39" s="7" t="str">
        <x:f>IF(OR($D39="",Q$5="",'상세일정'!AM39="제외"),"",IF($D39=$E39,IF(AND($D39&gt;=Q$5,$D39&lt;Q$5+7),"◆",""),IF(AND($D39&lt;Q$5+7,$E39&gt;Q$5),"■","")))</x:f>
      </x:c>
      <x:c r="R39" s="7" t="str">
        <x:f>IF(OR($D39="",R$5="",'상세일정'!AM39="제외"),"",IF($D39=$E39,IF(AND($D39&gt;=R$5,$D39&lt;R$5+7),"◆",""),IF(AND($D39&lt;R$5+7,$E39&gt;R$5),"■","")))</x:f>
      </x:c>
      <x:c r="S39" s="7" t="str">
        <x:f>IF(OR($D39="",S$5="",'상세일정'!AM39="제외"),"",IF($D39=$E39,IF(AND($D39&gt;=S$5,$D39&lt;S$5+7),"◆",""),IF(AND($D39&lt;S$5+7,$E39&gt;S$5),"■","")))</x:f>
      </x:c>
      <x:c r="T39" s="7" t="str">
        <x:f>IF(OR($D39="",T$5="",'상세일정'!AM39="제외"),"",IF($D39=$E39,IF(AND($D39&gt;=T$5,$D39&lt;T$5+7),"◆",""),IF(AND($D39&lt;T$5+7,$E39&gt;T$5),"■","")))</x:f>
      </x:c>
      <x:c r="U39" s="7" t="str">
        <x:f>IF(OR($D39="",U$5="",'상세일정'!AM39="제외"),"",IF($D39=$E39,IF(AND($D39&gt;=U$5,$D39&lt;U$5+7),"◆",""),IF(AND($D39&lt;U$5+7,$E39&gt;U$5),"■","")))</x:f>
      </x:c>
      <x:c r="V39" s="7" t="str">
        <x:f>IF(OR($D39="",V$5="",'상세일정'!AM39="제외"),"",IF($D39=$E39,IF(AND($D39&gt;=V$5,$D39&lt;V$5+7),"◆",""),IF(AND($D39&lt;V$5+7,$E39&gt;V$5),"■","")))</x:f>
      </x:c>
      <x:c r="W39" s="7" t="str">
        <x:f>IF(OR($D39="",W$5="",'상세일정'!AM39="제외"),"",IF($D39=$E39,IF(AND($D39&gt;=W$5,$D39&lt;W$5+7),"◆",""),IF(AND($D39&lt;W$5+7,$E39&gt;W$5),"■","")))</x:f>
      </x:c>
      <x:c r="X39" s="7" t="str">
        <x:f>IF(OR($D39="",X$5="",'상세일정'!AM39="제외"),"",IF($D39=$E39,IF(AND($D39&gt;=X$5,$D39&lt;X$5+7),"◆",""),IF(AND($D39&lt;X$5+7,$E39&gt;X$5),"■","")))</x:f>
      </x:c>
      <x:c r="Y39" s="7" t="str">
        <x:f>IF(OR($D39="",Y$5="",'상세일정'!AM39="제외"),"",IF($D39=$E39,IF(AND($D39&gt;=Y$5,$D39&lt;Y$5+7),"◆",""),IF(AND($D39&lt;Y$5+7,$E39&gt;Y$5),"■","")))</x:f>
      </x:c>
      <x:c r="Z39" s="7" t="str">
        <x:f>IF(OR($D39="",Z$5="",'상세일정'!AM39="제외"),"",IF($D39=$E39,IF(AND($D39&gt;=Z$5,$D39&lt;Z$5+7),"◆",""),IF(AND($D39&lt;Z$5+7,$E39&gt;Z$5),"■","")))</x:f>
      </x:c>
      <x:c r="AA39" s="7" t="str">
        <x:f>IF(OR($D39="",AA$5="",'상세일정'!AM39="제외"),"",IF($D39=$E39,IF(AND($D39&gt;=AA$5,$D39&lt;AA$5+7),"◆",""),IF(AND($D39&lt;AA$5+7,$E39&gt;AA$5),"■","")))</x:f>
      </x:c>
      <x:c r="AB39" s="7" t="str">
        <x:f>IF(OR($D39="",AB$5="",'상세일정'!AM39="제외"),"",IF($D39=$E39,IF(AND($D39&gt;=AB$5,$D39&lt;AB$5+7),"◆",""),IF(AND($D39&lt;AB$5+7,$E39&gt;AB$5),"■","")))</x:f>
      </x:c>
      <x:c r="AC39" s="7" t="str">
        <x:f>IF(OR($D39="",AC$5="",'상세일정'!AM39="제외"),"",IF($D39=$E39,IF(AND($D39&gt;=AC$5,$D39&lt;AC$5+7),"◆",""),IF(AND($D39&lt;AC$5+7,$E39&gt;AC$5),"■","")))</x:f>
      </x:c>
      <x:c r="AD39" s="7" t="str">
        <x:f>IF(OR($D39="",AD$5="",'상세일정'!AM39="제외"),"",IF($D39=$E39,IF(AND($D39&gt;=AD$5,$D39&lt;AD$5+7),"◆",""),IF(AND($D39&lt;AD$5+7,$E39&gt;AD$5),"■","")))</x:f>
      </x:c>
      <x:c r="AE39" s="7" t="str">
        <x:f>IF(OR($D39="",AE$5="",'상세일정'!AM39="제외"),"",IF($D39=$E39,IF(AND($D39&gt;=AE$5,$D39&lt;AE$5+7),"◆",""),IF(AND($D39&lt;AE$5+7,$E39&gt;AE$5),"■","")))</x:f>
      </x:c>
      <x:c r="AF39" s="7" t="str">
        <x:f>IF(OR($D39="",AF$5="",'상세일정'!AM39="제외"),"",IF($D39=$E39,IF(AND($D39&gt;=AF$5,$D39&lt;AF$5+7),"◆",""),IF(AND($D39&lt;AF$5+7,$E39&gt;AF$5),"■","")))</x:f>
      </x:c>
      <x:c r="AG39" s="7" t="str">
        <x:f>IF(OR($D39="",AG$5="",'상세일정'!AM39="제외"),"",IF($D39=$E39,IF(AND($D39&gt;=AG$5,$D39&lt;AG$5+7),"◆",""),IF(AND($D39&lt;AG$5+7,$E39&gt;AG$5),"■","")))</x:f>
      </x:c>
      <x:c r="AH39" s="7" t="str">
        <x:f>IF(OR($D39="",AH$5="",'상세일정'!AM39="제외"),"",IF($D39=$E39,IF(AND($D39&gt;=AH$5,$D39&lt;AH$5+7),"◆",""),IF(AND($D39&lt;AH$5+7,$E39&gt;AH$5),"■","")))</x:f>
      </x:c>
      <x:c r="AI39" s="7" t="str">
        <x:f>IF(OR($D39="",AI$5="",'상세일정'!AM39="제외"),"",IF($D39=$E39,IF(AND($D39&gt;=AI$5,$D39&lt;AI$5+7),"◆",""),IF(AND($D39&lt;AI$5+7,$E39&gt;AI$5),"■","")))</x:f>
      </x:c>
      <x:c r="AJ39" s="7" t="str">
        <x:f>IF(OR($D39="",AJ$5="",'상세일정'!AM39="제외"),"",IF($D39=$E39,IF(AND($D39&gt;=AJ$5,$D39&lt;AJ$5+7),"◆",""),IF(AND($D39&lt;AJ$5+7,$E39&gt;AJ$5),"■","")))</x:f>
      </x:c>
      <x:c r="AK39" s="7" t="str">
        <x:f>IF(OR($D39="",AK$5="",'상세일정'!AM39="제외"),"",IF($D39=$E39,IF(AND($D39&gt;=AK$5,$D39&lt;AK$5+7),"◆",""),IF(AND($D39&lt;AK$5+7,$E39&gt;AK$5),"■","")))</x:f>
      </x:c>
      <x:c r="AL39" s="7" t="str">
        <x:f>IF(OR($D39="",AL$5="",'상세일정'!AM39="제외"),"",IF($D39=$E39,IF(AND($D39&gt;=AL$5,$D39&lt;AL$5+7),"◆",""),IF(AND($D39&lt;AL$5+7,$E39&gt;AL$5),"■","")))</x:f>
      </x:c>
      <x:c r="AM39" s="7" t="str">
        <x:f>IF(OR($D39="",AM$5="",'상세일정'!AM39="제외"),"",IF($D39=$E39,IF(AND($D39&gt;=AM$5,$D39&lt;AM$5+7),"◆",""),IF(AND($D39&lt;AM$5+7,$E39&gt;AM$5),"■","")))</x:f>
      </x:c>
      <x:c r="AN39" s="7" t="str">
        <x:f>IF(OR($D39="",AN$5="",'상세일정'!AM39="제외"),"",IF($D39=$E39,IF(AND($D39&gt;=AN$5,$D39&lt;AN$5+7),"◆",""),IF(AND($D39&lt;AN$5+7,$E39&gt;AN$5),"■","")))</x:f>
      </x:c>
      <x:c r="AO39" s="7" t="str">
        <x:f>IF(OR($D39="",AO$5="",'상세일정'!AM39="제외"),"",IF($D39=$E39,IF(AND($D39&gt;=AO$5,$D39&lt;AO$5+7),"◆",""),IF(AND($D39&lt;AO$5+7,$E39&gt;AO$5),"■","")))</x:f>
      </x:c>
      <x:c r="AP39" s="7" t="str">
        <x:f>IF(OR($D39="",AP$5="",'상세일정'!AM39="제외"),"",IF($D39=$E39,IF(AND($D39&gt;=AP$5,$D39&lt;AP$5+7),"◆",""),IF(AND($D39&lt;AP$5+7,$E39&gt;AP$5),"■","")))</x:f>
      </x:c>
      <x:c r="AQ39" s="7" t="str">
        <x:f>IF(OR($D39="",AQ$5="",'상세일정'!AM39="제외"),"",IF($D39=$E39,IF(AND($D39&gt;=AQ$5,$D39&lt;AQ$5+7),"◆",""),IF(AND($D39&lt;AQ$5+7,$E39&gt;AQ$5),"■","")))</x:f>
      </x:c>
      <x:c r="AR39" s="7" t="str">
        <x:f>IF(OR($D39="",AR$5="",'상세일정'!AM39="제외"),"",IF($D39=$E39,IF(AND($D39&gt;=AR$5,$D39&lt;AR$5+7),"◆",""),IF(AND($D39&lt;AR$5+7,$E39&gt;AR$5),"■","")))</x:f>
      </x:c>
      <x:c r="AS39" s="7" t="str">
        <x:f>IF(OR($D39="",AS$5="",'상세일정'!AM39="제외"),"",IF($D39=$E39,IF(AND($D39&gt;=AS$5,$D39&lt;AS$5+7),"◆",""),IF(AND($D39&lt;AS$5+7,$E39&gt;AS$5),"■","")))</x:f>
      </x:c>
      <x:c r="AT39" s="7" t="str">
        <x:f>IF(OR($D39="",AT$5="",'상세일정'!AM39="제외"),"",IF($D39=$E39,IF(AND($D39&gt;=AT$5,$D39&lt;AT$5+7),"◆",""),IF(AND($D39&lt;AT$5+7,$E39&gt;AT$5),"■","")))</x:f>
      </x:c>
      <x:c r="AU39" s="7" t="str">
        <x:f>IF(OR($D39="",AU$5="",'상세일정'!AM39="제외"),"",IF($D39=$E39,IF(AND($D39&gt;=AU$5,$D39&lt;AU$5+7),"◆",""),IF(AND($D39&lt;AU$5+7,$E39&gt;AU$5),"■","")))</x:f>
      </x:c>
      <x:c r="AV39" s="7" t="str">
        <x:f>IF(OR($D39="",AV$5="",'상세일정'!AM39="제외"),"",IF($D39=$E39,IF(AND($D39&gt;=AV$5,$D39&lt;AV$5+7),"◆",""),IF(AND($D39&lt;AV$5+7,$E39&gt;AV$5),"■","")))</x:f>
      </x:c>
      <x:c r="AW39" s="7" t="str">
        <x:f>IF(OR($D39="",AW$5="",'상세일정'!AM39="제외"),"",IF($D39=$E39,IF(AND($D39&gt;=AW$5,$D39&lt;AW$5+7),"◆",""),IF(AND($D39&lt;AW$5+7,$E39&gt;AW$5),"■","")))</x:f>
      </x:c>
      <x:c r="AX39" s="7" t="str">
        <x:f>IF(OR($D39="",AX$5="",'상세일정'!AM39="제외"),"",IF($D39=$E39,IF(AND($D39&gt;=AX$5,$D39&lt;AX$5+7),"◆",""),IF(AND($D39&lt;AX$5+7,$E39&gt;AX$5),"■","")))</x:f>
      </x:c>
      <x:c r="AY39" s="7" t="str">
        <x:f>IF(OR($D39="",AY$5="",'상세일정'!AM39="제외"),"",IF($D39=$E39,IF(AND($D39&gt;=AY$5,$D39&lt;AY$5+7),"◆",""),IF(AND($D39&lt;AY$5+7,$E39&gt;AY$5),"■","")))</x:f>
      </x:c>
      <x:c r="AZ39" s="7" t="str">
        <x:f>IF(OR($D39="",AZ$5="",'상세일정'!AM39="제외"),"",IF($D39=$E39,IF(AND($D39&gt;=AZ$5,$D39&lt;AZ$5+7),"◆",""),IF(AND($D39&lt;AZ$5+7,$E39&gt;AZ$5),"■","")))</x:f>
      </x:c>
      <x:c r="BA39" s="7" t="str">
        <x:f>IF(OR($D39="",BA$5="",'상세일정'!AM39="제외"),"",IF($D39=$E39,IF(AND($D39&gt;=BA$5,$D39&lt;BA$5+7),"◆",""),IF(AND($D39&lt;BA$5+7,$E39&gt;BA$5),"■","")))</x:f>
      </x:c>
      <x:c r="BB39" s="7" t="str">
        <x:f>IF(OR($D39="",BB$5="",'상세일정'!AM39="제외"),"",IF($D39=$E39,IF(AND($D39&gt;=BB$5,$D39&lt;BB$5+7),"◆",""),IF(AND($D39&lt;BB$5+7,$E39&gt;BB$5),"■","")))</x:f>
      </x:c>
      <x:c r="BC39" s="7" t="str">
        <x:f>IF(OR($D39="",BC$5="",'상세일정'!AM39="제외"),"",IF($D39=$E39,IF(AND($D39&gt;=BC$5,$D39&lt;BC$5+7),"◆",""),IF(AND($D39&lt;BC$5+7,$E39&gt;BC$5),"■","")))</x:f>
      </x:c>
      <x:c r="BD39" s="7" t="str">
        <x:f>IF(OR($D39="",BD$5="",'상세일정'!AM39="제외"),"",IF($D39=$E39,IF(AND($D39&gt;=BD$5,$D39&lt;BD$5+7),"◆",""),IF(AND($D39&lt;BD$5+7,$E39&gt;BD$5),"■","")))</x:f>
      </x:c>
      <x:c r="BE39" s="7" t="str">
        <x:f>IF(OR($D39="",BE$5="",'상세일정'!AM39="제외"),"",IF($D39=$E39,IF(AND($D39&gt;=BE$5,$D39&lt;BE$5+7),"◆",""),IF(AND($D39&lt;BE$5+7,$E39&gt;BE$5),"■","")))</x:f>
      </x:c>
      <x:c r="BF39" s="7" t="str">
        <x:f>IF(OR($D39="",BF$5="",'상세일정'!AM39="제외"),"",IF($D39=$E39,IF(AND($D39&gt;=BF$5,$D39&lt;BF$5+7),"◆",""),IF(AND($D39&lt;BF$5+7,$E39&gt;BF$5),"■","")))</x:f>
      </x:c>
      <x:c r="BG39" s="7" t="str">
        <x:f>IF(OR($D39="",BG$5="",'상세일정'!AM39="제외"),"",IF($D39=$E39,IF(AND($D39&gt;=BG$5,$D39&lt;BG$5+7),"◆",""),IF(AND($D39&lt;BG$5+7,$E39&gt;BG$5),"■","")))</x:f>
      </x:c>
      <x:c r="BH39" s="7" t="str">
        <x:f>IF(OR($D39="",BH$5="",'상세일정'!AM39="제외"),"",IF($D39=$E39,IF(AND($D39&gt;=BH$5,$D39&lt;BH$5+7),"◆",""),IF(AND($D39&lt;BH$5+7,$E39&gt;BH$5),"■","")))</x:f>
      </x:c>
      <x:c r="BI39" s="7" t="str">
        <x:f>IF(OR($D39="",BI$5="",'상세일정'!AM39="제외"),"",IF($D39=$E39,IF(AND($D39&gt;=BI$5,$D39&lt;BI$5+7),"◆",""),IF(AND($D39&lt;BI$5+7,$E39&gt;BI$5),"■","")))</x:f>
      </x:c>
      <x:c r="BJ39" s="7" t="str">
        <x:f>IF(OR($D39="",BJ$5="",'상세일정'!AM39="제외"),"",IF($D39=$E39,IF(AND($D39&gt;=BJ$5,$D39&lt;BJ$5+7),"◆",""),IF(AND($D39&lt;BJ$5+7,$E39&gt;BJ$5),"■","")))</x:f>
      </x:c>
      <x:c r="BK39" s="7" t="str">
        <x:f>IF(OR($D39="",BK$5="",'상세일정'!AM39="제외"),"",IF($D39=$E39,IF(AND($D39&gt;=BK$5,$D39&lt;BK$5+7),"◆",""),IF(AND($D39&lt;BK$5+7,$E39&gt;BK$5),"■","")))</x:f>
      </x:c>
      <x:c r="BL39" s="7" t="str">
        <x:f>IF(OR($D39="",BL$5="",'상세일정'!AM39="제외"),"",IF($D39=$E39,IF(AND($D39&gt;=BL$5,$D39&lt;BL$5+7),"◆",""),IF(AND($D39&lt;BL$5+7,$E39&gt;BL$5),"■","")))</x:f>
      </x:c>
      <x:c r="BM39" s="7" t="str">
        <x:f>IF(OR($D39="",BM$5="",'상세일정'!AM39="제외"),"",IF($D39=$E39,IF(AND($D39&gt;=BM$5,$D39&lt;BM$5+7),"◆",""),IF(AND($D39&lt;BM$5+7,$E39&gt;BM$5),"■","")))</x:f>
      </x:c>
      <x:c r="BN39" s="7" t="str">
        <x:f>IF(OR($D39="",BN$5="",'상세일정'!AM39="제외"),"",IF($D39=$E39,IF(AND($D39&gt;=BN$5,$D39&lt;BN$5+7),"◆",""),IF(AND($D39&lt;BN$5+7,$E39&gt;BN$5),"■","")))</x:f>
      </x:c>
      <x:c r="BO39" s="7" t="str">
        <x:f>IF(OR($D39="",BO$5="",'상세일정'!AM39="제외"),"",IF($D39=$E39,IF(AND($D39&gt;=BO$5,$D39&lt;BO$5+7),"◆",""),IF(AND($D39&lt;BO$5+7,$E39&gt;BO$5),"■","")))</x:f>
      </x:c>
      <x:c r="BP39" s="7" t="str">
        <x:f>IF(OR($D39="",BP$5="",'상세일정'!AM39="제외"),"",IF($D39=$E39,IF(AND($D39&gt;=BP$5,$D39&lt;BP$5+7),"◆",""),IF(AND($D39&lt;BP$5+7,$E39&gt;BP$5),"■","")))</x:f>
      </x:c>
      <x:c r="BQ39" s="7" t="str">
        <x:f>IF(OR($D39="",BQ$5="",'상세일정'!AM39="제외"),"",IF($D39=$E39,IF(AND($D39&gt;=BQ$5,$D39&lt;BQ$5+7),"◆",""),IF(AND($D39&lt;BQ$5+7,$E39&gt;BQ$5),"■","")))</x:f>
      </x:c>
      <x:c r="BR39" s="7" t="str">
        <x:f>IF(OR($D39="",BR$5="",'상세일정'!AM39="제외"),"",IF($D39=$E39,IF(AND($D39&gt;=BR$5,$D39&lt;BR$5+7),"◆",""),IF(AND($D39&lt;BR$5+7,$E39&gt;BR$5),"■","")))</x:f>
      </x:c>
      <x:c r="BS39" s="7" t="str">
        <x:f>IF(OR($D39="",BS$5="",'상세일정'!AM39="제외"),"",IF($D39=$E39,IF(AND($D39&gt;=BS$5,$D39&lt;BS$5+7),"◆",""),IF(AND($D39&lt;BS$5+7,$E39&gt;BS$5),"■","")))</x:f>
      </x:c>
      <x:c r="BT39" s="7" t="str">
        <x:f>IF(OR($D39="",BT$5="",'상세일정'!AM39="제외"),"",IF($D39=$E39,IF(AND($D39&gt;=BT$5,$D39&lt;BT$5+7),"◆",""),IF(AND($D39&lt;BT$5+7,$E39&gt;BT$5),"■","")))</x:f>
      </x:c>
      <x:c r="BU39" s="7" t="str">
        <x:f>IF(OR($D39="",BU$5="",'상세일정'!AM39="제외"),"",IF($D39=$E39,IF(AND($D39&gt;=BU$5,$D39&lt;BU$5+7),"◆",""),IF(AND($D39&lt;BU$5+7,$E39&gt;BU$5),"■","")))</x:f>
      </x:c>
      <x:c r="BV39" s="7" t="str">
        <x:f>IF(OR($D39="",BV$5="",'상세일정'!AM39="제외"),"",IF($D39=$E39,IF(AND($D39&gt;=BV$5,$D39&lt;BV$5+7),"◆",""),IF(AND($D39&lt;BV$5+7,$E39&gt;BV$5),"■","")))</x:f>
      </x:c>
      <x:c r="BW39" s="7" t="str">
        <x:f>IF(OR($D39="",BW$5="",'상세일정'!AM39="제외"),"",IF($D39=$E39,IF(AND($D39&gt;=BW$5,$D39&lt;BW$5+7),"◆",""),IF(AND($D39&lt;BW$5+7,$E39&gt;BW$5),"■","")))</x:f>
      </x:c>
      <x:c r="BX39" s="7" t="str">
        <x:f>IF(OR($D39="",BX$5="",'상세일정'!AM39="제외"),"",IF($D39=$E39,IF(AND($D39&gt;=BX$5,$D39&lt;BX$5+7),"◆",""),IF(AND($D39&lt;BX$5+7,$E39&gt;BX$5),"■","")))</x:f>
      </x:c>
      <x:c r="BY39" s="7" t="str">
        <x:f>IF(OR($D39="",BY$5="",'상세일정'!AM39="제외"),"",IF($D39=$E39,IF(AND($D39&gt;=BY$5,$D39&lt;BY$5+7),"◆",""),IF(AND($D39&lt;BY$5+7,$E39&gt;BY$5),"■","")))</x:f>
      </x:c>
      <x:c r="BZ39" s="7" t="str">
        <x:f>IF(OR($D39="",BZ$5="",'상세일정'!AM39="제외"),"",IF($D39=$E39,IF(AND($D39&gt;=BZ$5,$D39&lt;BZ$5+7),"◆",""),IF(AND($D39&lt;BZ$5+7,$E39&gt;BZ$5),"■","")))</x:f>
      </x:c>
      <x:c r="CA39" s="7" t="str">
        <x:f>IF(OR($D39="",CA$5="",'상세일정'!AM39="제외"),"",IF($D39=$E39,IF(AND($D39&gt;=CA$5,$D39&lt;CA$5+7),"◆",""),IF(AND($D39&lt;CA$5+7,$E39&gt;CA$5),"■","")))</x:f>
      </x:c>
      <x:c r="CB39" s="7" t="str">
        <x:f>IF(OR($D39="",CB$5="",'상세일정'!AM39="제외"),"",IF($D39=$E39,IF(AND($D39&gt;=CB$5,$D39&lt;CB$5+7),"◆",""),IF(AND($D39&lt;CB$5+7,$E39&gt;CB$5),"■","")))</x:f>
      </x:c>
      <x:c r="CC39" s="7" t="str">
        <x:f>IF(OR($D39="",CC$5="",'상세일정'!AM39="제외"),"",IF($D39=$E39,IF(AND($D39&gt;=CC$5,$D39&lt;CC$5+7),"◆",""),IF(AND($D39&lt;CC$5+7,$E39&gt;CC$5),"■","")))</x:f>
      </x:c>
      <x:c r="CD39" s="7" t="str">
        <x:f>IF(OR($D39="",CD$5="",'상세일정'!AM39="제외"),"",IF($D39=$E39,IF(AND($D39&gt;=CD$5,$D39&lt;CD$5+7),"◆",""),IF(AND($D39&lt;CD$5+7,$E39&gt;CD$5),"■","")))</x:f>
      </x:c>
      <x:c r="CE39" s="7" t="str">
        <x:f>IF(OR($D39="",CE$5="",'상세일정'!AM39="제외"),"",IF($D39=$E39,IF(AND($D39&gt;=CE$5,$D39&lt;CE$5+7),"◆",""),IF(AND($D39&lt;CE$5+7,$E39&gt;CE$5),"■","")))</x:f>
      </x:c>
      <x:c r="CF39" s="7" t="str">
        <x:f>IF(OR($D39="",CF$5="",'상세일정'!AM39="제외"),"",IF($D39=$E39,IF(AND($D39&gt;=CF$5,$D39&lt;CF$5+7),"◆",""),IF(AND($D39&lt;CF$5+7,$E39&gt;CF$5),"■","")))</x:f>
      </x:c>
      <x:c r="CG39" s="7" t="str">
        <x:f>IF(OR($D39="",CG$5="",'상세일정'!AM39="제외"),"",IF($D39=$E39,IF(AND($D39&gt;=CG$5,$D39&lt;CG$5+7),"◆",""),IF(AND($D39&lt;CG$5+7,$E39&gt;CG$5),"■","")))</x:f>
      </x:c>
      <x:c r="CH39" s="7" t="str">
        <x:f>IF(OR($D39="",CH$5="",'상세일정'!AM39="제외"),"",IF($D39=$E39,IF(AND($D39&gt;=CH$5,$D39&lt;CH$5+7),"◆",""),IF(AND($D39&lt;CH$5+7,$E39&gt;CH$5),"■","")))</x:f>
      </x:c>
      <x:c r="CI39" s="7" t="str">
        <x:f>IF(OR($D39="",CI$5="",'상세일정'!AM39="제외"),"",IF($D39=$E39,IF(AND($D39&gt;=CI$5,$D39&lt;CI$5+7),"◆",""),IF(AND($D39&lt;CI$5+7,$E39&gt;CI$5),"■","")))</x:f>
      </x:c>
      <x:c r="CJ39" s="7" t="str">
        <x:f>IF(OR($D39="",CJ$5="",'상세일정'!AM39="제외"),"",IF($D39=$E39,IF(AND($D39&gt;=CJ$5,$D39&lt;CJ$5+7),"◆",""),IF(AND($D39&lt;CJ$5+7,$E39&gt;CJ$5),"■","")))</x:f>
      </x:c>
      <x:c r="CK39" s="7" t="str">
        <x:f>IF(OR($D39="",CK$5="",'상세일정'!AM39="제외"),"",IF($D39=$E39,IF(AND($D39&gt;=CK$5,$D39&lt;CK$5+7),"◆",""),IF(AND($D39&lt;CK$5+7,$E39&gt;CK$5),"■","")))</x:f>
      </x:c>
      <x:c r="CL39" s="7" t="str">
        <x:f>IF(OR($D39="",CL$5="",'상세일정'!AM39="제외"),"",IF($D39=$E39,IF(AND($D39&gt;=CL$5,$D39&lt;CL$5+7),"◆",""),IF(AND($D39&lt;CL$5+7,$E39&gt;CL$5),"■","")))</x:f>
      </x:c>
      <x:c r="CM39" s="7" t="str">
        <x:f>IF(OR($D39="",CM$5="",'상세일정'!AM39="제외"),"",IF($D39=$E39,IF(AND($D39&gt;=CM$5,$D39&lt;CM$5+7),"◆",""),IF(AND($D39&lt;CM$5+7,$E39&gt;CM$5),"■","")))</x:f>
      </x:c>
      <x:c r="CN39" s="7" t="str">
        <x:f>IF(OR($D39="",CN$5="",'상세일정'!AM39="제외"),"",IF($D39=$E39,IF(AND($D39&gt;=CN$5,$D39&lt;CN$5+7),"◆",""),IF(AND($D39&lt;CN$5+7,$E39&gt;CN$5),"■","")))</x:f>
      </x:c>
      <x:c r="CO39" s="7" t="str">
        <x:f>IF(OR($D39="",CO$5="",'상세일정'!AM39="제외"),"",IF($D39=$E39,IF(AND($D39&gt;=CO$5,$D39&lt;CO$5+7),"◆",""),IF(AND($D39&lt;CO$5+7,$E39&gt;CO$5),"■","")))</x:f>
      </x:c>
      <x:c r="CP39" s="7" t="str">
        <x:f>IF(OR($D39="",CP$5="",'상세일정'!AM39="제외"),"",IF($D39=$E39,IF(AND($D39&gt;=CP$5,$D39&lt;CP$5+7),"◆",""),IF(AND($D39&lt;CP$5+7,$E39&gt;CP$5),"■","")))</x:f>
      </x:c>
      <x:c r="CQ39" s="7" t="str">
        <x:f>IF(OR($D39="",CQ$5="",'상세일정'!AM39="제외"),"",IF($D39=$E39,IF(AND($D39&gt;=CQ$5,$D39&lt;CQ$5+7),"◆",""),IF(AND($D39&lt;CQ$5+7,$E39&gt;CQ$5),"■","")))</x:f>
      </x:c>
      <x:c r="CR39" s="7" t="str">
        <x:f>IF(OR($D39="",CR$5="",'상세일정'!AM39="제외"),"",IF($D39=$E39,IF(AND($D39&gt;=CR$5,$D39&lt;CR$5+7),"◆",""),IF(AND($D39&lt;CR$5+7,$E39&gt;CR$5),"■","")))</x:f>
      </x:c>
      <x:c r="CS39" s="7" t="str">
        <x:f>IF(OR($D39="",CS$5="",'상세일정'!AM39="제외"),"",IF($D39=$E39,IF(AND($D39&gt;=CS$5,$D39&lt;CS$5+7),"◆",""),IF(AND($D39&lt;CS$5+7,$E39&gt;CS$5),"■","")))</x:f>
      </x:c>
      <x:c r="CT39" s="7" t="str">
        <x:f>IF(OR($D39="",CT$5="",'상세일정'!AM39="제외"),"",IF($D39=$E39,IF(AND($D39&gt;=CT$5,$D39&lt;CT$5+7),"◆",""),IF(AND($D39&lt;CT$5+7,$E39&gt;CT$5),"■","")))</x:f>
      </x:c>
      <x:c r="CU39" s="7" t="str">
        <x:f>IF(OR($D39="",CU$5="",'상세일정'!AM39="제외"),"",IF($D39=$E39,IF(AND($D39&gt;=CU$5,$D39&lt;CU$5+7),"◆",""),IF(AND($D39&lt;CU$5+7,$E39&gt;CU$5),"■","")))</x:f>
      </x:c>
      <x:c r="CV39" s="7" t="str">
        <x:f>IF(OR($D39="",CV$5="",'상세일정'!AM39="제외"),"",IF($D39=$E39,IF(AND($D39&gt;=CV$5,$D39&lt;CV$5+7),"◆",""),IF(AND($D39&lt;CV$5+7,$E39&gt;CV$5),"■","")))</x:f>
      </x:c>
      <x:c r="CW39" s="7" t="str">
        <x:f>IF(OR($D39="",CW$5="",'상세일정'!AM39="제외"),"",IF($D39=$E39,IF(AND($D39&gt;=CW$5,$D39&lt;CW$5+7),"◆",""),IF(AND($D39&lt;CW$5+7,$E39&gt;CW$5),"■","")))</x:f>
      </x:c>
      <x:c r="CX39" s="7" t="str">
        <x:f>IF(OR($D39="",CX$5="",'상세일정'!AM39="제외"),"",IF($D39=$E39,IF(AND($D39&gt;=CX$5,$D39&lt;CX$5+7),"◆",""),IF(AND($D39&lt;CX$5+7,$E39&gt;CX$5),"■","")))</x:f>
      </x:c>
      <x:c r="CY39" s="7" t="str">
        <x:f>IF(OR($D39="",CY$5="",'상세일정'!AM39="제외"),"",IF($D39=$E39,IF(AND($D39&gt;=CY$5,$D39&lt;CY$5+7),"◆",""),IF(AND($D39&lt;CY$5+7,$E39&gt;CY$5),"■","")))</x:f>
      </x:c>
      <x:c r="CZ39" s="7" t="str">
        <x:f>IF(OR($D39="",CZ$5="",'상세일정'!AM39="제외"),"",IF($D39=$E39,IF(AND($D39&gt;=CZ$5,$D39&lt;CZ$5+7),"◆",""),IF(AND($D39&lt;CZ$5+7,$E39&gt;CZ$5),"■","")))</x:f>
      </x:c>
      <x:c r="DA39" s="7" t="str">
        <x:f>IF(OR($D39="",DA$5="",'상세일정'!AM39="제외"),"",IF($D39=$E39,IF(AND($D39&gt;=DA$5,$D39&lt;DA$5+7),"◆",""),IF(AND($D39&lt;DA$5+7,$E39&gt;DA$5),"■","")))</x:f>
      </x:c>
      <x:c r="DB39" s="7" t="str">
        <x:f>IF(OR($D39="",DB$5="",'상세일정'!AM39="제외"),"",IF($D39=$E39,IF(AND($D39&gt;=DB$5,$D39&lt;DB$5+7),"◆",""),IF(AND($D39&lt;DB$5+7,$E39&gt;DB$5),"■","")))</x:f>
      </x:c>
      <x:c r="DC39" s="7" t="str">
        <x:f>IF(OR($D39="",DC$5="",'상세일정'!AM39="제외"),"",IF($D39=$E39,IF(AND($D39&gt;=DC$5,$D39&lt;DC$5+7),"◆",""),IF(AND($D39&lt;DC$5+7,$E39&gt;DC$5),"■","")))</x:f>
      </x:c>
      <x:c r="DD39" s="7" t="str">
        <x:f>IF(OR($D39="",DD$5="",'상세일정'!AM39="제외"),"",IF($D39=$E39,IF(AND($D39&gt;=DD$5,$D39&lt;DD$5+7),"◆",""),IF(AND($D39&lt;DD$5+7,$E39&gt;DD$5),"■","")))</x:f>
      </x:c>
      <x:c r="DE39" s="7" t="str">
        <x:f>IF(OR($D39="",DE$5="",'상세일정'!AM39="제외"),"",IF($D39=$E39,IF(AND($D39&gt;=DE$5,$D39&lt;DE$5+7),"◆",""),IF(AND($D39&lt;DE$5+7,$E39&gt;DE$5),"■","")))</x:f>
      </x:c>
    </x:row>
    <x:row r="40" ht="34" customHeight="1">
      <x:c r="A40" s="7" t="str">
        <x:v>IC02</x:v>
      </x:c>
      <x:c r="B40" s="7" t="str">
        <x:v>07 계장·제어 상세설계</x:v>
      </x:c>
      <x:c r="C40" s="7" t="str">
        <x:v>I/O list·계기 index·통신 interface 작성</x:v>
      </x:c>
      <x:c r="D40" s="10" t="str">
        <x:f>'상세일정'!AJ40</x:f>
      </x:c>
      <x:c r="E40" s="10" t="str">
        <x:f>'상세일정'!AK40</x:f>
      </x:c>
      <x:c r="F40" s="7" t="str">
        <x:f>IF(OR($D40="",F$5="",'상세일정'!AM40="제외"),"",IF($D40=$E40,IF(AND($D40&gt;=F$5,$D40&lt;F$5+7),"◆",""),IF(AND($D40&lt;F$5+7,$E40&gt;F$5),"■","")))</x:f>
      </x:c>
      <x:c r="G40" s="7" t="str">
        <x:f>IF(OR($D40="",G$5="",'상세일정'!AM40="제외"),"",IF($D40=$E40,IF(AND($D40&gt;=G$5,$D40&lt;G$5+7),"◆",""),IF(AND($D40&lt;G$5+7,$E40&gt;G$5),"■","")))</x:f>
      </x:c>
      <x:c r="H40" s="7" t="str">
        <x:f>IF(OR($D40="",H$5="",'상세일정'!AM40="제외"),"",IF($D40=$E40,IF(AND($D40&gt;=H$5,$D40&lt;H$5+7),"◆",""),IF(AND($D40&lt;H$5+7,$E40&gt;H$5),"■","")))</x:f>
      </x:c>
      <x:c r="I40" s="7" t="str">
        <x:f>IF(OR($D40="",I$5="",'상세일정'!AM40="제외"),"",IF($D40=$E40,IF(AND($D40&gt;=I$5,$D40&lt;I$5+7),"◆",""),IF(AND($D40&lt;I$5+7,$E40&gt;I$5),"■","")))</x:f>
      </x:c>
      <x:c r="J40" s="7" t="str">
        <x:f>IF(OR($D40="",J$5="",'상세일정'!AM40="제외"),"",IF($D40=$E40,IF(AND($D40&gt;=J$5,$D40&lt;J$5+7),"◆",""),IF(AND($D40&lt;J$5+7,$E40&gt;J$5),"■","")))</x:f>
      </x:c>
      <x:c r="K40" s="7" t="str">
        <x:f>IF(OR($D40="",K$5="",'상세일정'!AM40="제외"),"",IF($D40=$E40,IF(AND($D40&gt;=K$5,$D40&lt;K$5+7),"◆",""),IF(AND($D40&lt;K$5+7,$E40&gt;K$5),"■","")))</x:f>
      </x:c>
      <x:c r="L40" s="7" t="str">
        <x:f>IF(OR($D40="",L$5="",'상세일정'!AM40="제외"),"",IF($D40=$E40,IF(AND($D40&gt;=L$5,$D40&lt;L$5+7),"◆",""),IF(AND($D40&lt;L$5+7,$E40&gt;L$5),"■","")))</x:f>
      </x:c>
      <x:c r="M40" s="7" t="str">
        <x:f>IF(OR($D40="",M$5="",'상세일정'!AM40="제외"),"",IF($D40=$E40,IF(AND($D40&gt;=M$5,$D40&lt;M$5+7),"◆",""),IF(AND($D40&lt;M$5+7,$E40&gt;M$5),"■","")))</x:f>
      </x:c>
      <x:c r="N40" s="7" t="str">
        <x:f>IF(OR($D40="",N$5="",'상세일정'!AM40="제외"),"",IF($D40=$E40,IF(AND($D40&gt;=N$5,$D40&lt;N$5+7),"◆",""),IF(AND($D40&lt;N$5+7,$E40&gt;N$5),"■","")))</x:f>
      </x:c>
      <x:c r="O40" s="7" t="str">
        <x:f>IF(OR($D40="",O$5="",'상세일정'!AM40="제외"),"",IF($D40=$E40,IF(AND($D40&gt;=O$5,$D40&lt;O$5+7),"◆",""),IF(AND($D40&lt;O$5+7,$E40&gt;O$5),"■","")))</x:f>
      </x:c>
      <x:c r="P40" s="7" t="str">
        <x:f>IF(OR($D40="",P$5="",'상세일정'!AM40="제외"),"",IF($D40=$E40,IF(AND($D40&gt;=P$5,$D40&lt;P$5+7),"◆",""),IF(AND($D40&lt;P$5+7,$E40&gt;P$5),"■","")))</x:f>
      </x:c>
      <x:c r="Q40" s="7" t="str">
        <x:f>IF(OR($D40="",Q$5="",'상세일정'!AM40="제외"),"",IF($D40=$E40,IF(AND($D40&gt;=Q$5,$D40&lt;Q$5+7),"◆",""),IF(AND($D40&lt;Q$5+7,$E40&gt;Q$5),"■","")))</x:f>
      </x:c>
      <x:c r="R40" s="7" t="str">
        <x:f>IF(OR($D40="",R$5="",'상세일정'!AM40="제외"),"",IF($D40=$E40,IF(AND($D40&gt;=R$5,$D40&lt;R$5+7),"◆",""),IF(AND($D40&lt;R$5+7,$E40&gt;R$5),"■","")))</x:f>
      </x:c>
      <x:c r="S40" s="7" t="str">
        <x:f>IF(OR($D40="",S$5="",'상세일정'!AM40="제외"),"",IF($D40=$E40,IF(AND($D40&gt;=S$5,$D40&lt;S$5+7),"◆",""),IF(AND($D40&lt;S$5+7,$E40&gt;S$5),"■","")))</x:f>
      </x:c>
      <x:c r="T40" s="7" t="str">
        <x:f>IF(OR($D40="",T$5="",'상세일정'!AM40="제외"),"",IF($D40=$E40,IF(AND($D40&gt;=T$5,$D40&lt;T$5+7),"◆",""),IF(AND($D40&lt;T$5+7,$E40&gt;T$5),"■","")))</x:f>
      </x:c>
      <x:c r="U40" s="7" t="str">
        <x:f>IF(OR($D40="",U$5="",'상세일정'!AM40="제외"),"",IF($D40=$E40,IF(AND($D40&gt;=U$5,$D40&lt;U$5+7),"◆",""),IF(AND($D40&lt;U$5+7,$E40&gt;U$5),"■","")))</x:f>
      </x:c>
      <x:c r="V40" s="7" t="str">
        <x:f>IF(OR($D40="",V$5="",'상세일정'!AM40="제외"),"",IF($D40=$E40,IF(AND($D40&gt;=V$5,$D40&lt;V$5+7),"◆",""),IF(AND($D40&lt;V$5+7,$E40&gt;V$5),"■","")))</x:f>
      </x:c>
      <x:c r="W40" s="7" t="str">
        <x:f>IF(OR($D40="",W$5="",'상세일정'!AM40="제외"),"",IF($D40=$E40,IF(AND($D40&gt;=W$5,$D40&lt;W$5+7),"◆",""),IF(AND($D40&lt;W$5+7,$E40&gt;W$5),"■","")))</x:f>
      </x:c>
      <x:c r="X40" s="7" t="str">
        <x:f>IF(OR($D40="",X$5="",'상세일정'!AM40="제외"),"",IF($D40=$E40,IF(AND($D40&gt;=X$5,$D40&lt;X$5+7),"◆",""),IF(AND($D40&lt;X$5+7,$E40&gt;X$5),"■","")))</x:f>
      </x:c>
      <x:c r="Y40" s="7" t="str">
        <x:f>IF(OR($D40="",Y$5="",'상세일정'!AM40="제외"),"",IF($D40=$E40,IF(AND($D40&gt;=Y$5,$D40&lt;Y$5+7),"◆",""),IF(AND($D40&lt;Y$5+7,$E40&gt;Y$5),"■","")))</x:f>
      </x:c>
      <x:c r="Z40" s="7" t="str">
        <x:f>IF(OR($D40="",Z$5="",'상세일정'!AM40="제외"),"",IF($D40=$E40,IF(AND($D40&gt;=Z$5,$D40&lt;Z$5+7),"◆",""),IF(AND($D40&lt;Z$5+7,$E40&gt;Z$5),"■","")))</x:f>
      </x:c>
      <x:c r="AA40" s="7" t="str">
        <x:f>IF(OR($D40="",AA$5="",'상세일정'!AM40="제외"),"",IF($D40=$E40,IF(AND($D40&gt;=AA$5,$D40&lt;AA$5+7),"◆",""),IF(AND($D40&lt;AA$5+7,$E40&gt;AA$5),"■","")))</x:f>
      </x:c>
      <x:c r="AB40" s="7" t="str">
        <x:f>IF(OR($D40="",AB$5="",'상세일정'!AM40="제외"),"",IF($D40=$E40,IF(AND($D40&gt;=AB$5,$D40&lt;AB$5+7),"◆",""),IF(AND($D40&lt;AB$5+7,$E40&gt;AB$5),"■","")))</x:f>
      </x:c>
      <x:c r="AC40" s="7" t="str">
        <x:f>IF(OR($D40="",AC$5="",'상세일정'!AM40="제외"),"",IF($D40=$E40,IF(AND($D40&gt;=AC$5,$D40&lt;AC$5+7),"◆",""),IF(AND($D40&lt;AC$5+7,$E40&gt;AC$5),"■","")))</x:f>
      </x:c>
      <x:c r="AD40" s="7" t="str">
        <x:f>IF(OR($D40="",AD$5="",'상세일정'!AM40="제외"),"",IF($D40=$E40,IF(AND($D40&gt;=AD$5,$D40&lt;AD$5+7),"◆",""),IF(AND($D40&lt;AD$5+7,$E40&gt;AD$5),"■","")))</x:f>
      </x:c>
      <x:c r="AE40" s="7" t="str">
        <x:f>IF(OR($D40="",AE$5="",'상세일정'!AM40="제외"),"",IF($D40=$E40,IF(AND($D40&gt;=AE$5,$D40&lt;AE$5+7),"◆",""),IF(AND($D40&lt;AE$5+7,$E40&gt;AE$5),"■","")))</x:f>
      </x:c>
      <x:c r="AF40" s="7" t="str">
        <x:f>IF(OR($D40="",AF$5="",'상세일정'!AM40="제외"),"",IF($D40=$E40,IF(AND($D40&gt;=AF$5,$D40&lt;AF$5+7),"◆",""),IF(AND($D40&lt;AF$5+7,$E40&gt;AF$5),"■","")))</x:f>
      </x:c>
      <x:c r="AG40" s="7" t="str">
        <x:f>IF(OR($D40="",AG$5="",'상세일정'!AM40="제외"),"",IF($D40=$E40,IF(AND($D40&gt;=AG$5,$D40&lt;AG$5+7),"◆",""),IF(AND($D40&lt;AG$5+7,$E40&gt;AG$5),"■","")))</x:f>
      </x:c>
      <x:c r="AH40" s="7" t="str">
        <x:f>IF(OR($D40="",AH$5="",'상세일정'!AM40="제외"),"",IF($D40=$E40,IF(AND($D40&gt;=AH$5,$D40&lt;AH$5+7),"◆",""),IF(AND($D40&lt;AH$5+7,$E40&gt;AH$5),"■","")))</x:f>
      </x:c>
      <x:c r="AI40" s="7" t="str">
        <x:f>IF(OR($D40="",AI$5="",'상세일정'!AM40="제외"),"",IF($D40=$E40,IF(AND($D40&gt;=AI$5,$D40&lt;AI$5+7),"◆",""),IF(AND($D40&lt;AI$5+7,$E40&gt;AI$5),"■","")))</x:f>
      </x:c>
      <x:c r="AJ40" s="7" t="str">
        <x:f>IF(OR($D40="",AJ$5="",'상세일정'!AM40="제외"),"",IF($D40=$E40,IF(AND($D40&gt;=AJ$5,$D40&lt;AJ$5+7),"◆",""),IF(AND($D40&lt;AJ$5+7,$E40&gt;AJ$5),"■","")))</x:f>
      </x:c>
      <x:c r="AK40" s="7" t="str">
        <x:f>IF(OR($D40="",AK$5="",'상세일정'!AM40="제외"),"",IF($D40=$E40,IF(AND($D40&gt;=AK$5,$D40&lt;AK$5+7),"◆",""),IF(AND($D40&lt;AK$5+7,$E40&gt;AK$5),"■","")))</x:f>
      </x:c>
      <x:c r="AL40" s="7" t="str">
        <x:f>IF(OR($D40="",AL$5="",'상세일정'!AM40="제외"),"",IF($D40=$E40,IF(AND($D40&gt;=AL$5,$D40&lt;AL$5+7),"◆",""),IF(AND($D40&lt;AL$5+7,$E40&gt;AL$5),"■","")))</x:f>
      </x:c>
      <x:c r="AM40" s="7" t="str">
        <x:f>IF(OR($D40="",AM$5="",'상세일정'!AM40="제외"),"",IF($D40=$E40,IF(AND($D40&gt;=AM$5,$D40&lt;AM$5+7),"◆",""),IF(AND($D40&lt;AM$5+7,$E40&gt;AM$5),"■","")))</x:f>
      </x:c>
      <x:c r="AN40" s="7" t="str">
        <x:f>IF(OR($D40="",AN$5="",'상세일정'!AM40="제외"),"",IF($D40=$E40,IF(AND($D40&gt;=AN$5,$D40&lt;AN$5+7),"◆",""),IF(AND($D40&lt;AN$5+7,$E40&gt;AN$5),"■","")))</x:f>
      </x:c>
      <x:c r="AO40" s="7" t="str">
        <x:f>IF(OR($D40="",AO$5="",'상세일정'!AM40="제외"),"",IF($D40=$E40,IF(AND($D40&gt;=AO$5,$D40&lt;AO$5+7),"◆",""),IF(AND($D40&lt;AO$5+7,$E40&gt;AO$5),"■","")))</x:f>
      </x:c>
      <x:c r="AP40" s="7" t="str">
        <x:f>IF(OR($D40="",AP$5="",'상세일정'!AM40="제외"),"",IF($D40=$E40,IF(AND($D40&gt;=AP$5,$D40&lt;AP$5+7),"◆",""),IF(AND($D40&lt;AP$5+7,$E40&gt;AP$5),"■","")))</x:f>
      </x:c>
      <x:c r="AQ40" s="7" t="str">
        <x:f>IF(OR($D40="",AQ$5="",'상세일정'!AM40="제외"),"",IF($D40=$E40,IF(AND($D40&gt;=AQ$5,$D40&lt;AQ$5+7),"◆",""),IF(AND($D40&lt;AQ$5+7,$E40&gt;AQ$5),"■","")))</x:f>
      </x:c>
      <x:c r="AR40" s="7" t="str">
        <x:f>IF(OR($D40="",AR$5="",'상세일정'!AM40="제외"),"",IF($D40=$E40,IF(AND($D40&gt;=AR$5,$D40&lt;AR$5+7),"◆",""),IF(AND($D40&lt;AR$5+7,$E40&gt;AR$5),"■","")))</x:f>
      </x:c>
      <x:c r="AS40" s="7" t="str">
        <x:f>IF(OR($D40="",AS$5="",'상세일정'!AM40="제외"),"",IF($D40=$E40,IF(AND($D40&gt;=AS$5,$D40&lt;AS$5+7),"◆",""),IF(AND($D40&lt;AS$5+7,$E40&gt;AS$5),"■","")))</x:f>
      </x:c>
      <x:c r="AT40" s="7" t="str">
        <x:f>IF(OR($D40="",AT$5="",'상세일정'!AM40="제외"),"",IF($D40=$E40,IF(AND($D40&gt;=AT$5,$D40&lt;AT$5+7),"◆",""),IF(AND($D40&lt;AT$5+7,$E40&gt;AT$5),"■","")))</x:f>
      </x:c>
      <x:c r="AU40" s="7" t="str">
        <x:f>IF(OR($D40="",AU$5="",'상세일정'!AM40="제외"),"",IF($D40=$E40,IF(AND($D40&gt;=AU$5,$D40&lt;AU$5+7),"◆",""),IF(AND($D40&lt;AU$5+7,$E40&gt;AU$5),"■","")))</x:f>
      </x:c>
      <x:c r="AV40" s="7" t="str">
        <x:f>IF(OR($D40="",AV$5="",'상세일정'!AM40="제외"),"",IF($D40=$E40,IF(AND($D40&gt;=AV$5,$D40&lt;AV$5+7),"◆",""),IF(AND($D40&lt;AV$5+7,$E40&gt;AV$5),"■","")))</x:f>
      </x:c>
      <x:c r="AW40" s="7" t="str">
        <x:f>IF(OR($D40="",AW$5="",'상세일정'!AM40="제외"),"",IF($D40=$E40,IF(AND($D40&gt;=AW$5,$D40&lt;AW$5+7),"◆",""),IF(AND($D40&lt;AW$5+7,$E40&gt;AW$5),"■","")))</x:f>
      </x:c>
      <x:c r="AX40" s="7" t="str">
        <x:f>IF(OR($D40="",AX$5="",'상세일정'!AM40="제외"),"",IF($D40=$E40,IF(AND($D40&gt;=AX$5,$D40&lt;AX$5+7),"◆",""),IF(AND($D40&lt;AX$5+7,$E40&gt;AX$5),"■","")))</x:f>
      </x:c>
      <x:c r="AY40" s="7" t="str">
        <x:f>IF(OR($D40="",AY$5="",'상세일정'!AM40="제외"),"",IF($D40=$E40,IF(AND($D40&gt;=AY$5,$D40&lt;AY$5+7),"◆",""),IF(AND($D40&lt;AY$5+7,$E40&gt;AY$5),"■","")))</x:f>
      </x:c>
      <x:c r="AZ40" s="7" t="str">
        <x:f>IF(OR($D40="",AZ$5="",'상세일정'!AM40="제외"),"",IF($D40=$E40,IF(AND($D40&gt;=AZ$5,$D40&lt;AZ$5+7),"◆",""),IF(AND($D40&lt;AZ$5+7,$E40&gt;AZ$5),"■","")))</x:f>
      </x:c>
      <x:c r="BA40" s="7" t="str">
        <x:f>IF(OR($D40="",BA$5="",'상세일정'!AM40="제외"),"",IF($D40=$E40,IF(AND($D40&gt;=BA$5,$D40&lt;BA$5+7),"◆",""),IF(AND($D40&lt;BA$5+7,$E40&gt;BA$5),"■","")))</x:f>
      </x:c>
      <x:c r="BB40" s="7" t="str">
        <x:f>IF(OR($D40="",BB$5="",'상세일정'!AM40="제외"),"",IF($D40=$E40,IF(AND($D40&gt;=BB$5,$D40&lt;BB$5+7),"◆",""),IF(AND($D40&lt;BB$5+7,$E40&gt;BB$5),"■","")))</x:f>
      </x:c>
      <x:c r="BC40" s="7" t="str">
        <x:f>IF(OR($D40="",BC$5="",'상세일정'!AM40="제외"),"",IF($D40=$E40,IF(AND($D40&gt;=BC$5,$D40&lt;BC$5+7),"◆",""),IF(AND($D40&lt;BC$5+7,$E40&gt;BC$5),"■","")))</x:f>
      </x:c>
      <x:c r="BD40" s="7" t="str">
        <x:f>IF(OR($D40="",BD$5="",'상세일정'!AM40="제외"),"",IF($D40=$E40,IF(AND($D40&gt;=BD$5,$D40&lt;BD$5+7),"◆",""),IF(AND($D40&lt;BD$5+7,$E40&gt;BD$5),"■","")))</x:f>
      </x:c>
      <x:c r="BE40" s="7" t="str">
        <x:f>IF(OR($D40="",BE$5="",'상세일정'!AM40="제외"),"",IF($D40=$E40,IF(AND($D40&gt;=BE$5,$D40&lt;BE$5+7),"◆",""),IF(AND($D40&lt;BE$5+7,$E40&gt;BE$5),"■","")))</x:f>
      </x:c>
      <x:c r="BF40" s="7" t="str">
        <x:f>IF(OR($D40="",BF$5="",'상세일정'!AM40="제외"),"",IF($D40=$E40,IF(AND($D40&gt;=BF$5,$D40&lt;BF$5+7),"◆",""),IF(AND($D40&lt;BF$5+7,$E40&gt;BF$5),"■","")))</x:f>
      </x:c>
      <x:c r="BG40" s="7" t="str">
        <x:f>IF(OR($D40="",BG$5="",'상세일정'!AM40="제외"),"",IF($D40=$E40,IF(AND($D40&gt;=BG$5,$D40&lt;BG$5+7),"◆",""),IF(AND($D40&lt;BG$5+7,$E40&gt;BG$5),"■","")))</x:f>
      </x:c>
      <x:c r="BH40" s="7" t="str">
        <x:f>IF(OR($D40="",BH$5="",'상세일정'!AM40="제외"),"",IF($D40=$E40,IF(AND($D40&gt;=BH$5,$D40&lt;BH$5+7),"◆",""),IF(AND($D40&lt;BH$5+7,$E40&gt;BH$5),"■","")))</x:f>
      </x:c>
      <x:c r="BI40" s="7" t="str">
        <x:f>IF(OR($D40="",BI$5="",'상세일정'!AM40="제외"),"",IF($D40=$E40,IF(AND($D40&gt;=BI$5,$D40&lt;BI$5+7),"◆",""),IF(AND($D40&lt;BI$5+7,$E40&gt;BI$5),"■","")))</x:f>
      </x:c>
      <x:c r="BJ40" s="7" t="str">
        <x:f>IF(OR($D40="",BJ$5="",'상세일정'!AM40="제외"),"",IF($D40=$E40,IF(AND($D40&gt;=BJ$5,$D40&lt;BJ$5+7),"◆",""),IF(AND($D40&lt;BJ$5+7,$E40&gt;BJ$5),"■","")))</x:f>
      </x:c>
      <x:c r="BK40" s="7" t="str">
        <x:f>IF(OR($D40="",BK$5="",'상세일정'!AM40="제외"),"",IF($D40=$E40,IF(AND($D40&gt;=BK$5,$D40&lt;BK$5+7),"◆",""),IF(AND($D40&lt;BK$5+7,$E40&gt;BK$5),"■","")))</x:f>
      </x:c>
      <x:c r="BL40" s="7" t="str">
        <x:f>IF(OR($D40="",BL$5="",'상세일정'!AM40="제외"),"",IF($D40=$E40,IF(AND($D40&gt;=BL$5,$D40&lt;BL$5+7),"◆",""),IF(AND($D40&lt;BL$5+7,$E40&gt;BL$5),"■","")))</x:f>
      </x:c>
      <x:c r="BM40" s="7" t="str">
        <x:f>IF(OR($D40="",BM$5="",'상세일정'!AM40="제외"),"",IF($D40=$E40,IF(AND($D40&gt;=BM$5,$D40&lt;BM$5+7),"◆",""),IF(AND($D40&lt;BM$5+7,$E40&gt;BM$5),"■","")))</x:f>
      </x:c>
      <x:c r="BN40" s="7" t="str">
        <x:f>IF(OR($D40="",BN$5="",'상세일정'!AM40="제외"),"",IF($D40=$E40,IF(AND($D40&gt;=BN$5,$D40&lt;BN$5+7),"◆",""),IF(AND($D40&lt;BN$5+7,$E40&gt;BN$5),"■","")))</x:f>
      </x:c>
      <x:c r="BO40" s="7" t="str">
        <x:f>IF(OR($D40="",BO$5="",'상세일정'!AM40="제외"),"",IF($D40=$E40,IF(AND($D40&gt;=BO$5,$D40&lt;BO$5+7),"◆",""),IF(AND($D40&lt;BO$5+7,$E40&gt;BO$5),"■","")))</x:f>
      </x:c>
      <x:c r="BP40" s="7" t="str">
        <x:f>IF(OR($D40="",BP$5="",'상세일정'!AM40="제외"),"",IF($D40=$E40,IF(AND($D40&gt;=BP$5,$D40&lt;BP$5+7),"◆",""),IF(AND($D40&lt;BP$5+7,$E40&gt;BP$5),"■","")))</x:f>
      </x:c>
      <x:c r="BQ40" s="7" t="str">
        <x:f>IF(OR($D40="",BQ$5="",'상세일정'!AM40="제외"),"",IF($D40=$E40,IF(AND($D40&gt;=BQ$5,$D40&lt;BQ$5+7),"◆",""),IF(AND($D40&lt;BQ$5+7,$E40&gt;BQ$5),"■","")))</x:f>
      </x:c>
      <x:c r="BR40" s="7" t="str">
        <x:f>IF(OR($D40="",BR$5="",'상세일정'!AM40="제외"),"",IF($D40=$E40,IF(AND($D40&gt;=BR$5,$D40&lt;BR$5+7),"◆",""),IF(AND($D40&lt;BR$5+7,$E40&gt;BR$5),"■","")))</x:f>
      </x:c>
      <x:c r="BS40" s="7" t="str">
        <x:f>IF(OR($D40="",BS$5="",'상세일정'!AM40="제외"),"",IF($D40=$E40,IF(AND($D40&gt;=BS$5,$D40&lt;BS$5+7),"◆",""),IF(AND($D40&lt;BS$5+7,$E40&gt;BS$5),"■","")))</x:f>
      </x:c>
      <x:c r="BT40" s="7" t="str">
        <x:f>IF(OR($D40="",BT$5="",'상세일정'!AM40="제외"),"",IF($D40=$E40,IF(AND($D40&gt;=BT$5,$D40&lt;BT$5+7),"◆",""),IF(AND($D40&lt;BT$5+7,$E40&gt;BT$5),"■","")))</x:f>
      </x:c>
      <x:c r="BU40" s="7" t="str">
        <x:f>IF(OR($D40="",BU$5="",'상세일정'!AM40="제외"),"",IF($D40=$E40,IF(AND($D40&gt;=BU$5,$D40&lt;BU$5+7),"◆",""),IF(AND($D40&lt;BU$5+7,$E40&gt;BU$5),"■","")))</x:f>
      </x:c>
      <x:c r="BV40" s="7" t="str">
        <x:f>IF(OR($D40="",BV$5="",'상세일정'!AM40="제외"),"",IF($D40=$E40,IF(AND($D40&gt;=BV$5,$D40&lt;BV$5+7),"◆",""),IF(AND($D40&lt;BV$5+7,$E40&gt;BV$5),"■","")))</x:f>
      </x:c>
      <x:c r="BW40" s="7" t="str">
        <x:f>IF(OR($D40="",BW$5="",'상세일정'!AM40="제외"),"",IF($D40=$E40,IF(AND($D40&gt;=BW$5,$D40&lt;BW$5+7),"◆",""),IF(AND($D40&lt;BW$5+7,$E40&gt;BW$5),"■","")))</x:f>
      </x:c>
      <x:c r="BX40" s="7" t="str">
        <x:f>IF(OR($D40="",BX$5="",'상세일정'!AM40="제외"),"",IF($D40=$E40,IF(AND($D40&gt;=BX$5,$D40&lt;BX$5+7),"◆",""),IF(AND($D40&lt;BX$5+7,$E40&gt;BX$5),"■","")))</x:f>
      </x:c>
      <x:c r="BY40" s="7" t="str">
        <x:f>IF(OR($D40="",BY$5="",'상세일정'!AM40="제외"),"",IF($D40=$E40,IF(AND($D40&gt;=BY$5,$D40&lt;BY$5+7),"◆",""),IF(AND($D40&lt;BY$5+7,$E40&gt;BY$5),"■","")))</x:f>
      </x:c>
      <x:c r="BZ40" s="7" t="str">
        <x:f>IF(OR($D40="",BZ$5="",'상세일정'!AM40="제외"),"",IF($D40=$E40,IF(AND($D40&gt;=BZ$5,$D40&lt;BZ$5+7),"◆",""),IF(AND($D40&lt;BZ$5+7,$E40&gt;BZ$5),"■","")))</x:f>
      </x:c>
      <x:c r="CA40" s="7" t="str">
        <x:f>IF(OR($D40="",CA$5="",'상세일정'!AM40="제외"),"",IF($D40=$E40,IF(AND($D40&gt;=CA$5,$D40&lt;CA$5+7),"◆",""),IF(AND($D40&lt;CA$5+7,$E40&gt;CA$5),"■","")))</x:f>
      </x:c>
      <x:c r="CB40" s="7" t="str">
        <x:f>IF(OR($D40="",CB$5="",'상세일정'!AM40="제외"),"",IF($D40=$E40,IF(AND($D40&gt;=CB$5,$D40&lt;CB$5+7),"◆",""),IF(AND($D40&lt;CB$5+7,$E40&gt;CB$5),"■","")))</x:f>
      </x:c>
      <x:c r="CC40" s="7" t="str">
        <x:f>IF(OR($D40="",CC$5="",'상세일정'!AM40="제외"),"",IF($D40=$E40,IF(AND($D40&gt;=CC$5,$D40&lt;CC$5+7),"◆",""),IF(AND($D40&lt;CC$5+7,$E40&gt;CC$5),"■","")))</x:f>
      </x:c>
      <x:c r="CD40" s="7" t="str">
        <x:f>IF(OR($D40="",CD$5="",'상세일정'!AM40="제외"),"",IF($D40=$E40,IF(AND($D40&gt;=CD$5,$D40&lt;CD$5+7),"◆",""),IF(AND($D40&lt;CD$5+7,$E40&gt;CD$5),"■","")))</x:f>
      </x:c>
      <x:c r="CE40" s="7" t="str">
        <x:f>IF(OR($D40="",CE$5="",'상세일정'!AM40="제외"),"",IF($D40=$E40,IF(AND($D40&gt;=CE$5,$D40&lt;CE$5+7),"◆",""),IF(AND($D40&lt;CE$5+7,$E40&gt;CE$5),"■","")))</x:f>
      </x:c>
      <x:c r="CF40" s="7" t="str">
        <x:f>IF(OR($D40="",CF$5="",'상세일정'!AM40="제외"),"",IF($D40=$E40,IF(AND($D40&gt;=CF$5,$D40&lt;CF$5+7),"◆",""),IF(AND($D40&lt;CF$5+7,$E40&gt;CF$5),"■","")))</x:f>
      </x:c>
      <x:c r="CG40" s="7" t="str">
        <x:f>IF(OR($D40="",CG$5="",'상세일정'!AM40="제외"),"",IF($D40=$E40,IF(AND($D40&gt;=CG$5,$D40&lt;CG$5+7),"◆",""),IF(AND($D40&lt;CG$5+7,$E40&gt;CG$5),"■","")))</x:f>
      </x:c>
      <x:c r="CH40" s="7" t="str">
        <x:f>IF(OR($D40="",CH$5="",'상세일정'!AM40="제외"),"",IF($D40=$E40,IF(AND($D40&gt;=CH$5,$D40&lt;CH$5+7),"◆",""),IF(AND($D40&lt;CH$5+7,$E40&gt;CH$5),"■","")))</x:f>
      </x:c>
      <x:c r="CI40" s="7" t="str">
        <x:f>IF(OR($D40="",CI$5="",'상세일정'!AM40="제외"),"",IF($D40=$E40,IF(AND($D40&gt;=CI$5,$D40&lt;CI$5+7),"◆",""),IF(AND($D40&lt;CI$5+7,$E40&gt;CI$5),"■","")))</x:f>
      </x:c>
      <x:c r="CJ40" s="7" t="str">
        <x:f>IF(OR($D40="",CJ$5="",'상세일정'!AM40="제외"),"",IF($D40=$E40,IF(AND($D40&gt;=CJ$5,$D40&lt;CJ$5+7),"◆",""),IF(AND($D40&lt;CJ$5+7,$E40&gt;CJ$5),"■","")))</x:f>
      </x:c>
      <x:c r="CK40" s="7" t="str">
        <x:f>IF(OR($D40="",CK$5="",'상세일정'!AM40="제외"),"",IF($D40=$E40,IF(AND($D40&gt;=CK$5,$D40&lt;CK$5+7),"◆",""),IF(AND($D40&lt;CK$5+7,$E40&gt;CK$5),"■","")))</x:f>
      </x:c>
      <x:c r="CL40" s="7" t="str">
        <x:f>IF(OR($D40="",CL$5="",'상세일정'!AM40="제외"),"",IF($D40=$E40,IF(AND($D40&gt;=CL$5,$D40&lt;CL$5+7),"◆",""),IF(AND($D40&lt;CL$5+7,$E40&gt;CL$5),"■","")))</x:f>
      </x:c>
      <x:c r="CM40" s="7" t="str">
        <x:f>IF(OR($D40="",CM$5="",'상세일정'!AM40="제외"),"",IF($D40=$E40,IF(AND($D40&gt;=CM$5,$D40&lt;CM$5+7),"◆",""),IF(AND($D40&lt;CM$5+7,$E40&gt;CM$5),"■","")))</x:f>
      </x:c>
      <x:c r="CN40" s="7" t="str">
        <x:f>IF(OR($D40="",CN$5="",'상세일정'!AM40="제외"),"",IF($D40=$E40,IF(AND($D40&gt;=CN$5,$D40&lt;CN$5+7),"◆",""),IF(AND($D40&lt;CN$5+7,$E40&gt;CN$5),"■","")))</x:f>
      </x:c>
      <x:c r="CO40" s="7" t="str">
        <x:f>IF(OR($D40="",CO$5="",'상세일정'!AM40="제외"),"",IF($D40=$E40,IF(AND($D40&gt;=CO$5,$D40&lt;CO$5+7),"◆",""),IF(AND($D40&lt;CO$5+7,$E40&gt;CO$5),"■","")))</x:f>
      </x:c>
      <x:c r="CP40" s="7" t="str">
        <x:f>IF(OR($D40="",CP$5="",'상세일정'!AM40="제외"),"",IF($D40=$E40,IF(AND($D40&gt;=CP$5,$D40&lt;CP$5+7),"◆",""),IF(AND($D40&lt;CP$5+7,$E40&gt;CP$5),"■","")))</x:f>
      </x:c>
      <x:c r="CQ40" s="7" t="str">
        <x:f>IF(OR($D40="",CQ$5="",'상세일정'!AM40="제외"),"",IF($D40=$E40,IF(AND($D40&gt;=CQ$5,$D40&lt;CQ$5+7),"◆",""),IF(AND($D40&lt;CQ$5+7,$E40&gt;CQ$5),"■","")))</x:f>
      </x:c>
      <x:c r="CR40" s="7" t="str">
        <x:f>IF(OR($D40="",CR$5="",'상세일정'!AM40="제외"),"",IF($D40=$E40,IF(AND($D40&gt;=CR$5,$D40&lt;CR$5+7),"◆",""),IF(AND($D40&lt;CR$5+7,$E40&gt;CR$5),"■","")))</x:f>
      </x:c>
      <x:c r="CS40" s="7" t="str">
        <x:f>IF(OR($D40="",CS$5="",'상세일정'!AM40="제외"),"",IF($D40=$E40,IF(AND($D40&gt;=CS$5,$D40&lt;CS$5+7),"◆",""),IF(AND($D40&lt;CS$5+7,$E40&gt;CS$5),"■","")))</x:f>
      </x:c>
      <x:c r="CT40" s="7" t="str">
        <x:f>IF(OR($D40="",CT$5="",'상세일정'!AM40="제외"),"",IF($D40=$E40,IF(AND($D40&gt;=CT$5,$D40&lt;CT$5+7),"◆",""),IF(AND($D40&lt;CT$5+7,$E40&gt;CT$5),"■","")))</x:f>
      </x:c>
      <x:c r="CU40" s="7" t="str">
        <x:f>IF(OR($D40="",CU$5="",'상세일정'!AM40="제외"),"",IF($D40=$E40,IF(AND($D40&gt;=CU$5,$D40&lt;CU$5+7),"◆",""),IF(AND($D40&lt;CU$5+7,$E40&gt;CU$5),"■","")))</x:f>
      </x:c>
      <x:c r="CV40" s="7" t="str">
        <x:f>IF(OR($D40="",CV$5="",'상세일정'!AM40="제외"),"",IF($D40=$E40,IF(AND($D40&gt;=CV$5,$D40&lt;CV$5+7),"◆",""),IF(AND($D40&lt;CV$5+7,$E40&gt;CV$5),"■","")))</x:f>
      </x:c>
      <x:c r="CW40" s="7" t="str">
        <x:f>IF(OR($D40="",CW$5="",'상세일정'!AM40="제외"),"",IF($D40=$E40,IF(AND($D40&gt;=CW$5,$D40&lt;CW$5+7),"◆",""),IF(AND($D40&lt;CW$5+7,$E40&gt;CW$5),"■","")))</x:f>
      </x:c>
      <x:c r="CX40" s="7" t="str">
        <x:f>IF(OR($D40="",CX$5="",'상세일정'!AM40="제외"),"",IF($D40=$E40,IF(AND($D40&gt;=CX$5,$D40&lt;CX$5+7),"◆",""),IF(AND($D40&lt;CX$5+7,$E40&gt;CX$5),"■","")))</x:f>
      </x:c>
      <x:c r="CY40" s="7" t="str">
        <x:f>IF(OR($D40="",CY$5="",'상세일정'!AM40="제외"),"",IF($D40=$E40,IF(AND($D40&gt;=CY$5,$D40&lt;CY$5+7),"◆",""),IF(AND($D40&lt;CY$5+7,$E40&gt;CY$5),"■","")))</x:f>
      </x:c>
      <x:c r="CZ40" s="7" t="str">
        <x:f>IF(OR($D40="",CZ$5="",'상세일정'!AM40="제외"),"",IF($D40=$E40,IF(AND($D40&gt;=CZ$5,$D40&lt;CZ$5+7),"◆",""),IF(AND($D40&lt;CZ$5+7,$E40&gt;CZ$5),"■","")))</x:f>
      </x:c>
      <x:c r="DA40" s="7" t="str">
        <x:f>IF(OR($D40="",DA$5="",'상세일정'!AM40="제외"),"",IF($D40=$E40,IF(AND($D40&gt;=DA$5,$D40&lt;DA$5+7),"◆",""),IF(AND($D40&lt;DA$5+7,$E40&gt;DA$5),"■","")))</x:f>
      </x:c>
      <x:c r="DB40" s="7" t="str">
        <x:f>IF(OR($D40="",DB$5="",'상세일정'!AM40="제외"),"",IF($D40=$E40,IF(AND($D40&gt;=DB$5,$D40&lt;DB$5+7),"◆",""),IF(AND($D40&lt;DB$5+7,$E40&gt;DB$5),"■","")))</x:f>
      </x:c>
      <x:c r="DC40" s="7" t="str">
        <x:f>IF(OR($D40="",DC$5="",'상세일정'!AM40="제외"),"",IF($D40=$E40,IF(AND($D40&gt;=DC$5,$D40&lt;DC$5+7),"◆",""),IF(AND($D40&lt;DC$5+7,$E40&gt;DC$5),"■","")))</x:f>
      </x:c>
      <x:c r="DD40" s="7" t="str">
        <x:f>IF(OR($D40="",DD$5="",'상세일정'!AM40="제외"),"",IF($D40=$E40,IF(AND($D40&gt;=DD$5,$D40&lt;DD$5+7),"◆",""),IF(AND($D40&lt;DD$5+7,$E40&gt;DD$5),"■","")))</x:f>
      </x:c>
      <x:c r="DE40" s="7" t="str">
        <x:f>IF(OR($D40="",DE$5="",'상세일정'!AM40="제외"),"",IF($D40=$E40,IF(AND($D40&gt;=DE$5,$D40&lt;DE$5+7),"◆",""),IF(AND($D40&lt;DE$5+7,$E40&gt;DE$5),"■","")))</x:f>
      </x:c>
    </x:row>
    <x:row r="41" ht="34" customHeight="1">
      <x:c r="A41" s="7" t="str">
        <x:v>IC03</x:v>
      </x:c>
      <x:c r="B41" s="7" t="str">
        <x:v>07 계장·제어 상세설계</x:v>
      </x:c>
      <x:c r="C41" s="7" t="str">
        <x:v>C&amp;E·인터록·Alarm/Set point 정합성 확인</x:v>
      </x:c>
      <x:c r="D41" s="10" t="str">
        <x:f>'상세일정'!AJ41</x:f>
      </x:c>
      <x:c r="E41" s="10" t="str">
        <x:f>'상세일정'!AK41</x:f>
      </x:c>
      <x:c r="F41" s="7" t="str">
        <x:f>IF(OR($D41="",F$5="",'상세일정'!AM41="제외"),"",IF($D41=$E41,IF(AND($D41&gt;=F$5,$D41&lt;F$5+7),"◆",""),IF(AND($D41&lt;F$5+7,$E41&gt;F$5),"■","")))</x:f>
      </x:c>
      <x:c r="G41" s="7" t="str">
        <x:f>IF(OR($D41="",G$5="",'상세일정'!AM41="제외"),"",IF($D41=$E41,IF(AND($D41&gt;=G$5,$D41&lt;G$5+7),"◆",""),IF(AND($D41&lt;G$5+7,$E41&gt;G$5),"■","")))</x:f>
      </x:c>
      <x:c r="H41" s="7" t="str">
        <x:f>IF(OR($D41="",H$5="",'상세일정'!AM41="제외"),"",IF($D41=$E41,IF(AND($D41&gt;=H$5,$D41&lt;H$5+7),"◆",""),IF(AND($D41&lt;H$5+7,$E41&gt;H$5),"■","")))</x:f>
      </x:c>
      <x:c r="I41" s="7" t="str">
        <x:f>IF(OR($D41="",I$5="",'상세일정'!AM41="제외"),"",IF($D41=$E41,IF(AND($D41&gt;=I$5,$D41&lt;I$5+7),"◆",""),IF(AND($D41&lt;I$5+7,$E41&gt;I$5),"■","")))</x:f>
      </x:c>
      <x:c r="J41" s="7" t="str">
        <x:f>IF(OR($D41="",J$5="",'상세일정'!AM41="제외"),"",IF($D41=$E41,IF(AND($D41&gt;=J$5,$D41&lt;J$5+7),"◆",""),IF(AND($D41&lt;J$5+7,$E41&gt;J$5),"■","")))</x:f>
      </x:c>
      <x:c r="K41" s="7" t="str">
        <x:f>IF(OR($D41="",K$5="",'상세일정'!AM41="제외"),"",IF($D41=$E41,IF(AND($D41&gt;=K$5,$D41&lt;K$5+7),"◆",""),IF(AND($D41&lt;K$5+7,$E41&gt;K$5),"■","")))</x:f>
      </x:c>
      <x:c r="L41" s="7" t="str">
        <x:f>IF(OR($D41="",L$5="",'상세일정'!AM41="제외"),"",IF($D41=$E41,IF(AND($D41&gt;=L$5,$D41&lt;L$5+7),"◆",""),IF(AND($D41&lt;L$5+7,$E41&gt;L$5),"■","")))</x:f>
      </x:c>
      <x:c r="M41" s="7" t="str">
        <x:f>IF(OR($D41="",M$5="",'상세일정'!AM41="제외"),"",IF($D41=$E41,IF(AND($D41&gt;=M$5,$D41&lt;M$5+7),"◆",""),IF(AND($D41&lt;M$5+7,$E41&gt;M$5),"■","")))</x:f>
      </x:c>
      <x:c r="N41" s="7" t="str">
        <x:f>IF(OR($D41="",N$5="",'상세일정'!AM41="제외"),"",IF($D41=$E41,IF(AND($D41&gt;=N$5,$D41&lt;N$5+7),"◆",""),IF(AND($D41&lt;N$5+7,$E41&gt;N$5),"■","")))</x:f>
      </x:c>
      <x:c r="O41" s="7" t="str">
        <x:f>IF(OR($D41="",O$5="",'상세일정'!AM41="제외"),"",IF($D41=$E41,IF(AND($D41&gt;=O$5,$D41&lt;O$5+7),"◆",""),IF(AND($D41&lt;O$5+7,$E41&gt;O$5),"■","")))</x:f>
      </x:c>
      <x:c r="P41" s="7" t="str">
        <x:f>IF(OR($D41="",P$5="",'상세일정'!AM41="제외"),"",IF($D41=$E41,IF(AND($D41&gt;=P$5,$D41&lt;P$5+7),"◆",""),IF(AND($D41&lt;P$5+7,$E41&gt;P$5),"■","")))</x:f>
      </x:c>
      <x:c r="Q41" s="7" t="str">
        <x:f>IF(OR($D41="",Q$5="",'상세일정'!AM41="제외"),"",IF($D41=$E41,IF(AND($D41&gt;=Q$5,$D41&lt;Q$5+7),"◆",""),IF(AND($D41&lt;Q$5+7,$E41&gt;Q$5),"■","")))</x:f>
      </x:c>
      <x:c r="R41" s="7" t="str">
        <x:f>IF(OR($D41="",R$5="",'상세일정'!AM41="제외"),"",IF($D41=$E41,IF(AND($D41&gt;=R$5,$D41&lt;R$5+7),"◆",""),IF(AND($D41&lt;R$5+7,$E41&gt;R$5),"■","")))</x:f>
      </x:c>
      <x:c r="S41" s="7" t="str">
        <x:f>IF(OR($D41="",S$5="",'상세일정'!AM41="제외"),"",IF($D41=$E41,IF(AND($D41&gt;=S$5,$D41&lt;S$5+7),"◆",""),IF(AND($D41&lt;S$5+7,$E41&gt;S$5),"■","")))</x:f>
      </x:c>
      <x:c r="T41" s="7" t="str">
        <x:f>IF(OR($D41="",T$5="",'상세일정'!AM41="제외"),"",IF($D41=$E41,IF(AND($D41&gt;=T$5,$D41&lt;T$5+7),"◆",""),IF(AND($D41&lt;T$5+7,$E41&gt;T$5),"■","")))</x:f>
      </x:c>
      <x:c r="U41" s="7" t="str">
        <x:f>IF(OR($D41="",U$5="",'상세일정'!AM41="제외"),"",IF($D41=$E41,IF(AND($D41&gt;=U$5,$D41&lt;U$5+7),"◆",""),IF(AND($D41&lt;U$5+7,$E41&gt;U$5),"■","")))</x:f>
      </x:c>
      <x:c r="V41" s="7" t="str">
        <x:f>IF(OR($D41="",V$5="",'상세일정'!AM41="제외"),"",IF($D41=$E41,IF(AND($D41&gt;=V$5,$D41&lt;V$5+7),"◆",""),IF(AND($D41&lt;V$5+7,$E41&gt;V$5),"■","")))</x:f>
      </x:c>
      <x:c r="W41" s="7" t="str">
        <x:f>IF(OR($D41="",W$5="",'상세일정'!AM41="제외"),"",IF($D41=$E41,IF(AND($D41&gt;=W$5,$D41&lt;W$5+7),"◆",""),IF(AND($D41&lt;W$5+7,$E41&gt;W$5),"■","")))</x:f>
      </x:c>
      <x:c r="X41" s="7" t="str">
        <x:f>IF(OR($D41="",X$5="",'상세일정'!AM41="제외"),"",IF($D41=$E41,IF(AND($D41&gt;=X$5,$D41&lt;X$5+7),"◆",""),IF(AND($D41&lt;X$5+7,$E41&gt;X$5),"■","")))</x:f>
      </x:c>
      <x:c r="Y41" s="7" t="str">
        <x:f>IF(OR($D41="",Y$5="",'상세일정'!AM41="제외"),"",IF($D41=$E41,IF(AND($D41&gt;=Y$5,$D41&lt;Y$5+7),"◆",""),IF(AND($D41&lt;Y$5+7,$E41&gt;Y$5),"■","")))</x:f>
      </x:c>
      <x:c r="Z41" s="7" t="str">
        <x:f>IF(OR($D41="",Z$5="",'상세일정'!AM41="제외"),"",IF($D41=$E41,IF(AND($D41&gt;=Z$5,$D41&lt;Z$5+7),"◆",""),IF(AND($D41&lt;Z$5+7,$E41&gt;Z$5),"■","")))</x:f>
      </x:c>
      <x:c r="AA41" s="7" t="str">
        <x:f>IF(OR($D41="",AA$5="",'상세일정'!AM41="제외"),"",IF($D41=$E41,IF(AND($D41&gt;=AA$5,$D41&lt;AA$5+7),"◆",""),IF(AND($D41&lt;AA$5+7,$E41&gt;AA$5),"■","")))</x:f>
      </x:c>
      <x:c r="AB41" s="7" t="str">
        <x:f>IF(OR($D41="",AB$5="",'상세일정'!AM41="제외"),"",IF($D41=$E41,IF(AND($D41&gt;=AB$5,$D41&lt;AB$5+7),"◆",""),IF(AND($D41&lt;AB$5+7,$E41&gt;AB$5),"■","")))</x:f>
      </x:c>
      <x:c r="AC41" s="7" t="str">
        <x:f>IF(OR($D41="",AC$5="",'상세일정'!AM41="제외"),"",IF($D41=$E41,IF(AND($D41&gt;=AC$5,$D41&lt;AC$5+7),"◆",""),IF(AND($D41&lt;AC$5+7,$E41&gt;AC$5),"■","")))</x:f>
      </x:c>
      <x:c r="AD41" s="7" t="str">
        <x:f>IF(OR($D41="",AD$5="",'상세일정'!AM41="제외"),"",IF($D41=$E41,IF(AND($D41&gt;=AD$5,$D41&lt;AD$5+7),"◆",""),IF(AND($D41&lt;AD$5+7,$E41&gt;AD$5),"■","")))</x:f>
      </x:c>
      <x:c r="AE41" s="7" t="str">
        <x:f>IF(OR($D41="",AE$5="",'상세일정'!AM41="제외"),"",IF($D41=$E41,IF(AND($D41&gt;=AE$5,$D41&lt;AE$5+7),"◆",""),IF(AND($D41&lt;AE$5+7,$E41&gt;AE$5),"■","")))</x:f>
      </x:c>
      <x:c r="AF41" s="7" t="str">
        <x:f>IF(OR($D41="",AF$5="",'상세일정'!AM41="제외"),"",IF($D41=$E41,IF(AND($D41&gt;=AF$5,$D41&lt;AF$5+7),"◆",""),IF(AND($D41&lt;AF$5+7,$E41&gt;AF$5),"■","")))</x:f>
      </x:c>
      <x:c r="AG41" s="7" t="str">
        <x:f>IF(OR($D41="",AG$5="",'상세일정'!AM41="제외"),"",IF($D41=$E41,IF(AND($D41&gt;=AG$5,$D41&lt;AG$5+7),"◆",""),IF(AND($D41&lt;AG$5+7,$E41&gt;AG$5),"■","")))</x:f>
      </x:c>
      <x:c r="AH41" s="7" t="str">
        <x:f>IF(OR($D41="",AH$5="",'상세일정'!AM41="제외"),"",IF($D41=$E41,IF(AND($D41&gt;=AH$5,$D41&lt;AH$5+7),"◆",""),IF(AND($D41&lt;AH$5+7,$E41&gt;AH$5),"■","")))</x:f>
      </x:c>
      <x:c r="AI41" s="7" t="str">
        <x:f>IF(OR($D41="",AI$5="",'상세일정'!AM41="제외"),"",IF($D41=$E41,IF(AND($D41&gt;=AI$5,$D41&lt;AI$5+7),"◆",""),IF(AND($D41&lt;AI$5+7,$E41&gt;AI$5),"■","")))</x:f>
      </x:c>
      <x:c r="AJ41" s="7" t="str">
        <x:f>IF(OR($D41="",AJ$5="",'상세일정'!AM41="제외"),"",IF($D41=$E41,IF(AND($D41&gt;=AJ$5,$D41&lt;AJ$5+7),"◆",""),IF(AND($D41&lt;AJ$5+7,$E41&gt;AJ$5),"■","")))</x:f>
      </x:c>
      <x:c r="AK41" s="7" t="str">
        <x:f>IF(OR($D41="",AK$5="",'상세일정'!AM41="제외"),"",IF($D41=$E41,IF(AND($D41&gt;=AK$5,$D41&lt;AK$5+7),"◆",""),IF(AND($D41&lt;AK$5+7,$E41&gt;AK$5),"■","")))</x:f>
      </x:c>
      <x:c r="AL41" s="7" t="str">
        <x:f>IF(OR($D41="",AL$5="",'상세일정'!AM41="제외"),"",IF($D41=$E41,IF(AND($D41&gt;=AL$5,$D41&lt;AL$5+7),"◆",""),IF(AND($D41&lt;AL$5+7,$E41&gt;AL$5),"■","")))</x:f>
      </x:c>
      <x:c r="AM41" s="7" t="str">
        <x:f>IF(OR($D41="",AM$5="",'상세일정'!AM41="제외"),"",IF($D41=$E41,IF(AND($D41&gt;=AM$5,$D41&lt;AM$5+7),"◆",""),IF(AND($D41&lt;AM$5+7,$E41&gt;AM$5),"■","")))</x:f>
      </x:c>
      <x:c r="AN41" s="7" t="str">
        <x:f>IF(OR($D41="",AN$5="",'상세일정'!AM41="제외"),"",IF($D41=$E41,IF(AND($D41&gt;=AN$5,$D41&lt;AN$5+7),"◆",""),IF(AND($D41&lt;AN$5+7,$E41&gt;AN$5),"■","")))</x:f>
      </x:c>
      <x:c r="AO41" s="7" t="str">
        <x:f>IF(OR($D41="",AO$5="",'상세일정'!AM41="제외"),"",IF($D41=$E41,IF(AND($D41&gt;=AO$5,$D41&lt;AO$5+7),"◆",""),IF(AND($D41&lt;AO$5+7,$E41&gt;AO$5),"■","")))</x:f>
      </x:c>
      <x:c r="AP41" s="7" t="str">
        <x:f>IF(OR($D41="",AP$5="",'상세일정'!AM41="제외"),"",IF($D41=$E41,IF(AND($D41&gt;=AP$5,$D41&lt;AP$5+7),"◆",""),IF(AND($D41&lt;AP$5+7,$E41&gt;AP$5),"■","")))</x:f>
      </x:c>
      <x:c r="AQ41" s="7" t="str">
        <x:f>IF(OR($D41="",AQ$5="",'상세일정'!AM41="제외"),"",IF($D41=$E41,IF(AND($D41&gt;=AQ$5,$D41&lt;AQ$5+7),"◆",""),IF(AND($D41&lt;AQ$5+7,$E41&gt;AQ$5),"■","")))</x:f>
      </x:c>
      <x:c r="AR41" s="7" t="str">
        <x:f>IF(OR($D41="",AR$5="",'상세일정'!AM41="제외"),"",IF($D41=$E41,IF(AND($D41&gt;=AR$5,$D41&lt;AR$5+7),"◆",""),IF(AND($D41&lt;AR$5+7,$E41&gt;AR$5),"■","")))</x:f>
      </x:c>
      <x:c r="AS41" s="7" t="str">
        <x:f>IF(OR($D41="",AS$5="",'상세일정'!AM41="제외"),"",IF($D41=$E41,IF(AND($D41&gt;=AS$5,$D41&lt;AS$5+7),"◆",""),IF(AND($D41&lt;AS$5+7,$E41&gt;AS$5),"■","")))</x:f>
      </x:c>
      <x:c r="AT41" s="7" t="str">
        <x:f>IF(OR($D41="",AT$5="",'상세일정'!AM41="제외"),"",IF($D41=$E41,IF(AND($D41&gt;=AT$5,$D41&lt;AT$5+7),"◆",""),IF(AND($D41&lt;AT$5+7,$E41&gt;AT$5),"■","")))</x:f>
      </x:c>
      <x:c r="AU41" s="7" t="str">
        <x:f>IF(OR($D41="",AU$5="",'상세일정'!AM41="제외"),"",IF($D41=$E41,IF(AND($D41&gt;=AU$5,$D41&lt;AU$5+7),"◆",""),IF(AND($D41&lt;AU$5+7,$E41&gt;AU$5),"■","")))</x:f>
      </x:c>
      <x:c r="AV41" s="7" t="str">
        <x:f>IF(OR($D41="",AV$5="",'상세일정'!AM41="제외"),"",IF($D41=$E41,IF(AND($D41&gt;=AV$5,$D41&lt;AV$5+7),"◆",""),IF(AND($D41&lt;AV$5+7,$E41&gt;AV$5),"■","")))</x:f>
      </x:c>
      <x:c r="AW41" s="7" t="str">
        <x:f>IF(OR($D41="",AW$5="",'상세일정'!AM41="제외"),"",IF($D41=$E41,IF(AND($D41&gt;=AW$5,$D41&lt;AW$5+7),"◆",""),IF(AND($D41&lt;AW$5+7,$E41&gt;AW$5),"■","")))</x:f>
      </x:c>
      <x:c r="AX41" s="7" t="str">
        <x:f>IF(OR($D41="",AX$5="",'상세일정'!AM41="제외"),"",IF($D41=$E41,IF(AND($D41&gt;=AX$5,$D41&lt;AX$5+7),"◆",""),IF(AND($D41&lt;AX$5+7,$E41&gt;AX$5),"■","")))</x:f>
      </x:c>
      <x:c r="AY41" s="7" t="str">
        <x:f>IF(OR($D41="",AY$5="",'상세일정'!AM41="제외"),"",IF($D41=$E41,IF(AND($D41&gt;=AY$5,$D41&lt;AY$5+7),"◆",""),IF(AND($D41&lt;AY$5+7,$E41&gt;AY$5),"■","")))</x:f>
      </x:c>
      <x:c r="AZ41" s="7" t="str">
        <x:f>IF(OR($D41="",AZ$5="",'상세일정'!AM41="제외"),"",IF($D41=$E41,IF(AND($D41&gt;=AZ$5,$D41&lt;AZ$5+7),"◆",""),IF(AND($D41&lt;AZ$5+7,$E41&gt;AZ$5),"■","")))</x:f>
      </x:c>
      <x:c r="BA41" s="7" t="str">
        <x:f>IF(OR($D41="",BA$5="",'상세일정'!AM41="제외"),"",IF($D41=$E41,IF(AND($D41&gt;=BA$5,$D41&lt;BA$5+7),"◆",""),IF(AND($D41&lt;BA$5+7,$E41&gt;BA$5),"■","")))</x:f>
      </x:c>
      <x:c r="BB41" s="7" t="str">
        <x:f>IF(OR($D41="",BB$5="",'상세일정'!AM41="제외"),"",IF($D41=$E41,IF(AND($D41&gt;=BB$5,$D41&lt;BB$5+7),"◆",""),IF(AND($D41&lt;BB$5+7,$E41&gt;BB$5),"■","")))</x:f>
      </x:c>
      <x:c r="BC41" s="7" t="str">
        <x:f>IF(OR($D41="",BC$5="",'상세일정'!AM41="제외"),"",IF($D41=$E41,IF(AND($D41&gt;=BC$5,$D41&lt;BC$5+7),"◆",""),IF(AND($D41&lt;BC$5+7,$E41&gt;BC$5),"■","")))</x:f>
      </x:c>
      <x:c r="BD41" s="7" t="str">
        <x:f>IF(OR($D41="",BD$5="",'상세일정'!AM41="제외"),"",IF($D41=$E41,IF(AND($D41&gt;=BD$5,$D41&lt;BD$5+7),"◆",""),IF(AND($D41&lt;BD$5+7,$E41&gt;BD$5),"■","")))</x:f>
      </x:c>
      <x:c r="BE41" s="7" t="str">
        <x:f>IF(OR($D41="",BE$5="",'상세일정'!AM41="제외"),"",IF($D41=$E41,IF(AND($D41&gt;=BE$5,$D41&lt;BE$5+7),"◆",""),IF(AND($D41&lt;BE$5+7,$E41&gt;BE$5),"■","")))</x:f>
      </x:c>
      <x:c r="BF41" s="7" t="str">
        <x:f>IF(OR($D41="",BF$5="",'상세일정'!AM41="제외"),"",IF($D41=$E41,IF(AND($D41&gt;=BF$5,$D41&lt;BF$5+7),"◆",""),IF(AND($D41&lt;BF$5+7,$E41&gt;BF$5),"■","")))</x:f>
      </x:c>
      <x:c r="BG41" s="7" t="str">
        <x:f>IF(OR($D41="",BG$5="",'상세일정'!AM41="제외"),"",IF($D41=$E41,IF(AND($D41&gt;=BG$5,$D41&lt;BG$5+7),"◆",""),IF(AND($D41&lt;BG$5+7,$E41&gt;BG$5),"■","")))</x:f>
      </x:c>
      <x:c r="BH41" s="7" t="str">
        <x:f>IF(OR($D41="",BH$5="",'상세일정'!AM41="제외"),"",IF($D41=$E41,IF(AND($D41&gt;=BH$5,$D41&lt;BH$5+7),"◆",""),IF(AND($D41&lt;BH$5+7,$E41&gt;BH$5),"■","")))</x:f>
      </x:c>
      <x:c r="BI41" s="7" t="str">
        <x:f>IF(OR($D41="",BI$5="",'상세일정'!AM41="제외"),"",IF($D41=$E41,IF(AND($D41&gt;=BI$5,$D41&lt;BI$5+7),"◆",""),IF(AND($D41&lt;BI$5+7,$E41&gt;BI$5),"■","")))</x:f>
      </x:c>
      <x:c r="BJ41" s="7" t="str">
        <x:f>IF(OR($D41="",BJ$5="",'상세일정'!AM41="제외"),"",IF($D41=$E41,IF(AND($D41&gt;=BJ$5,$D41&lt;BJ$5+7),"◆",""),IF(AND($D41&lt;BJ$5+7,$E41&gt;BJ$5),"■","")))</x:f>
      </x:c>
      <x:c r="BK41" s="7" t="str">
        <x:f>IF(OR($D41="",BK$5="",'상세일정'!AM41="제외"),"",IF($D41=$E41,IF(AND($D41&gt;=BK$5,$D41&lt;BK$5+7),"◆",""),IF(AND($D41&lt;BK$5+7,$E41&gt;BK$5),"■","")))</x:f>
      </x:c>
      <x:c r="BL41" s="7" t="str">
        <x:f>IF(OR($D41="",BL$5="",'상세일정'!AM41="제외"),"",IF($D41=$E41,IF(AND($D41&gt;=BL$5,$D41&lt;BL$5+7),"◆",""),IF(AND($D41&lt;BL$5+7,$E41&gt;BL$5),"■","")))</x:f>
      </x:c>
      <x:c r="BM41" s="7" t="str">
        <x:f>IF(OR($D41="",BM$5="",'상세일정'!AM41="제외"),"",IF($D41=$E41,IF(AND($D41&gt;=BM$5,$D41&lt;BM$5+7),"◆",""),IF(AND($D41&lt;BM$5+7,$E41&gt;BM$5),"■","")))</x:f>
      </x:c>
      <x:c r="BN41" s="7" t="str">
        <x:f>IF(OR($D41="",BN$5="",'상세일정'!AM41="제외"),"",IF($D41=$E41,IF(AND($D41&gt;=BN$5,$D41&lt;BN$5+7),"◆",""),IF(AND($D41&lt;BN$5+7,$E41&gt;BN$5),"■","")))</x:f>
      </x:c>
      <x:c r="BO41" s="7" t="str">
        <x:f>IF(OR($D41="",BO$5="",'상세일정'!AM41="제외"),"",IF($D41=$E41,IF(AND($D41&gt;=BO$5,$D41&lt;BO$5+7),"◆",""),IF(AND($D41&lt;BO$5+7,$E41&gt;BO$5),"■","")))</x:f>
      </x:c>
      <x:c r="BP41" s="7" t="str">
        <x:f>IF(OR($D41="",BP$5="",'상세일정'!AM41="제외"),"",IF($D41=$E41,IF(AND($D41&gt;=BP$5,$D41&lt;BP$5+7),"◆",""),IF(AND($D41&lt;BP$5+7,$E41&gt;BP$5),"■","")))</x:f>
      </x:c>
      <x:c r="BQ41" s="7" t="str">
        <x:f>IF(OR($D41="",BQ$5="",'상세일정'!AM41="제외"),"",IF($D41=$E41,IF(AND($D41&gt;=BQ$5,$D41&lt;BQ$5+7),"◆",""),IF(AND($D41&lt;BQ$5+7,$E41&gt;BQ$5),"■","")))</x:f>
      </x:c>
      <x:c r="BR41" s="7" t="str">
        <x:f>IF(OR($D41="",BR$5="",'상세일정'!AM41="제외"),"",IF($D41=$E41,IF(AND($D41&gt;=BR$5,$D41&lt;BR$5+7),"◆",""),IF(AND($D41&lt;BR$5+7,$E41&gt;BR$5),"■","")))</x:f>
      </x:c>
      <x:c r="BS41" s="7" t="str">
        <x:f>IF(OR($D41="",BS$5="",'상세일정'!AM41="제외"),"",IF($D41=$E41,IF(AND($D41&gt;=BS$5,$D41&lt;BS$5+7),"◆",""),IF(AND($D41&lt;BS$5+7,$E41&gt;BS$5),"■","")))</x:f>
      </x:c>
      <x:c r="BT41" s="7" t="str">
        <x:f>IF(OR($D41="",BT$5="",'상세일정'!AM41="제외"),"",IF($D41=$E41,IF(AND($D41&gt;=BT$5,$D41&lt;BT$5+7),"◆",""),IF(AND($D41&lt;BT$5+7,$E41&gt;BT$5),"■","")))</x:f>
      </x:c>
      <x:c r="BU41" s="7" t="str">
        <x:f>IF(OR($D41="",BU$5="",'상세일정'!AM41="제외"),"",IF($D41=$E41,IF(AND($D41&gt;=BU$5,$D41&lt;BU$5+7),"◆",""),IF(AND($D41&lt;BU$5+7,$E41&gt;BU$5),"■","")))</x:f>
      </x:c>
      <x:c r="BV41" s="7" t="str">
        <x:f>IF(OR($D41="",BV$5="",'상세일정'!AM41="제외"),"",IF($D41=$E41,IF(AND($D41&gt;=BV$5,$D41&lt;BV$5+7),"◆",""),IF(AND($D41&lt;BV$5+7,$E41&gt;BV$5),"■","")))</x:f>
      </x:c>
      <x:c r="BW41" s="7" t="str">
        <x:f>IF(OR($D41="",BW$5="",'상세일정'!AM41="제외"),"",IF($D41=$E41,IF(AND($D41&gt;=BW$5,$D41&lt;BW$5+7),"◆",""),IF(AND($D41&lt;BW$5+7,$E41&gt;BW$5),"■","")))</x:f>
      </x:c>
      <x:c r="BX41" s="7" t="str">
        <x:f>IF(OR($D41="",BX$5="",'상세일정'!AM41="제외"),"",IF($D41=$E41,IF(AND($D41&gt;=BX$5,$D41&lt;BX$5+7),"◆",""),IF(AND($D41&lt;BX$5+7,$E41&gt;BX$5),"■","")))</x:f>
      </x:c>
      <x:c r="BY41" s="7" t="str">
        <x:f>IF(OR($D41="",BY$5="",'상세일정'!AM41="제외"),"",IF($D41=$E41,IF(AND($D41&gt;=BY$5,$D41&lt;BY$5+7),"◆",""),IF(AND($D41&lt;BY$5+7,$E41&gt;BY$5),"■","")))</x:f>
      </x:c>
      <x:c r="BZ41" s="7" t="str">
        <x:f>IF(OR($D41="",BZ$5="",'상세일정'!AM41="제외"),"",IF($D41=$E41,IF(AND($D41&gt;=BZ$5,$D41&lt;BZ$5+7),"◆",""),IF(AND($D41&lt;BZ$5+7,$E41&gt;BZ$5),"■","")))</x:f>
      </x:c>
      <x:c r="CA41" s="7" t="str">
        <x:f>IF(OR($D41="",CA$5="",'상세일정'!AM41="제외"),"",IF($D41=$E41,IF(AND($D41&gt;=CA$5,$D41&lt;CA$5+7),"◆",""),IF(AND($D41&lt;CA$5+7,$E41&gt;CA$5),"■","")))</x:f>
      </x:c>
      <x:c r="CB41" s="7" t="str">
        <x:f>IF(OR($D41="",CB$5="",'상세일정'!AM41="제외"),"",IF($D41=$E41,IF(AND($D41&gt;=CB$5,$D41&lt;CB$5+7),"◆",""),IF(AND($D41&lt;CB$5+7,$E41&gt;CB$5),"■","")))</x:f>
      </x:c>
      <x:c r="CC41" s="7" t="str">
        <x:f>IF(OR($D41="",CC$5="",'상세일정'!AM41="제외"),"",IF($D41=$E41,IF(AND($D41&gt;=CC$5,$D41&lt;CC$5+7),"◆",""),IF(AND($D41&lt;CC$5+7,$E41&gt;CC$5),"■","")))</x:f>
      </x:c>
      <x:c r="CD41" s="7" t="str">
        <x:f>IF(OR($D41="",CD$5="",'상세일정'!AM41="제외"),"",IF($D41=$E41,IF(AND($D41&gt;=CD$5,$D41&lt;CD$5+7),"◆",""),IF(AND($D41&lt;CD$5+7,$E41&gt;CD$5),"■","")))</x:f>
      </x:c>
      <x:c r="CE41" s="7" t="str">
        <x:f>IF(OR($D41="",CE$5="",'상세일정'!AM41="제외"),"",IF($D41=$E41,IF(AND($D41&gt;=CE$5,$D41&lt;CE$5+7),"◆",""),IF(AND($D41&lt;CE$5+7,$E41&gt;CE$5),"■","")))</x:f>
      </x:c>
      <x:c r="CF41" s="7" t="str">
        <x:f>IF(OR($D41="",CF$5="",'상세일정'!AM41="제외"),"",IF($D41=$E41,IF(AND($D41&gt;=CF$5,$D41&lt;CF$5+7),"◆",""),IF(AND($D41&lt;CF$5+7,$E41&gt;CF$5),"■","")))</x:f>
      </x:c>
      <x:c r="CG41" s="7" t="str">
        <x:f>IF(OR($D41="",CG$5="",'상세일정'!AM41="제외"),"",IF($D41=$E41,IF(AND($D41&gt;=CG$5,$D41&lt;CG$5+7),"◆",""),IF(AND($D41&lt;CG$5+7,$E41&gt;CG$5),"■","")))</x:f>
      </x:c>
      <x:c r="CH41" s="7" t="str">
        <x:f>IF(OR($D41="",CH$5="",'상세일정'!AM41="제외"),"",IF($D41=$E41,IF(AND($D41&gt;=CH$5,$D41&lt;CH$5+7),"◆",""),IF(AND($D41&lt;CH$5+7,$E41&gt;CH$5),"■","")))</x:f>
      </x:c>
      <x:c r="CI41" s="7" t="str">
        <x:f>IF(OR($D41="",CI$5="",'상세일정'!AM41="제외"),"",IF($D41=$E41,IF(AND($D41&gt;=CI$5,$D41&lt;CI$5+7),"◆",""),IF(AND($D41&lt;CI$5+7,$E41&gt;CI$5),"■","")))</x:f>
      </x:c>
      <x:c r="CJ41" s="7" t="str">
        <x:f>IF(OR($D41="",CJ$5="",'상세일정'!AM41="제외"),"",IF($D41=$E41,IF(AND($D41&gt;=CJ$5,$D41&lt;CJ$5+7),"◆",""),IF(AND($D41&lt;CJ$5+7,$E41&gt;CJ$5),"■","")))</x:f>
      </x:c>
      <x:c r="CK41" s="7" t="str">
        <x:f>IF(OR($D41="",CK$5="",'상세일정'!AM41="제외"),"",IF($D41=$E41,IF(AND($D41&gt;=CK$5,$D41&lt;CK$5+7),"◆",""),IF(AND($D41&lt;CK$5+7,$E41&gt;CK$5),"■","")))</x:f>
      </x:c>
      <x:c r="CL41" s="7" t="str">
        <x:f>IF(OR($D41="",CL$5="",'상세일정'!AM41="제외"),"",IF($D41=$E41,IF(AND($D41&gt;=CL$5,$D41&lt;CL$5+7),"◆",""),IF(AND($D41&lt;CL$5+7,$E41&gt;CL$5),"■","")))</x:f>
      </x:c>
      <x:c r="CM41" s="7" t="str">
        <x:f>IF(OR($D41="",CM$5="",'상세일정'!AM41="제외"),"",IF($D41=$E41,IF(AND($D41&gt;=CM$5,$D41&lt;CM$5+7),"◆",""),IF(AND($D41&lt;CM$5+7,$E41&gt;CM$5),"■","")))</x:f>
      </x:c>
      <x:c r="CN41" s="7" t="str">
        <x:f>IF(OR($D41="",CN$5="",'상세일정'!AM41="제외"),"",IF($D41=$E41,IF(AND($D41&gt;=CN$5,$D41&lt;CN$5+7),"◆",""),IF(AND($D41&lt;CN$5+7,$E41&gt;CN$5),"■","")))</x:f>
      </x:c>
      <x:c r="CO41" s="7" t="str">
        <x:f>IF(OR($D41="",CO$5="",'상세일정'!AM41="제외"),"",IF($D41=$E41,IF(AND($D41&gt;=CO$5,$D41&lt;CO$5+7),"◆",""),IF(AND($D41&lt;CO$5+7,$E41&gt;CO$5),"■","")))</x:f>
      </x:c>
      <x:c r="CP41" s="7" t="str">
        <x:f>IF(OR($D41="",CP$5="",'상세일정'!AM41="제외"),"",IF($D41=$E41,IF(AND($D41&gt;=CP$5,$D41&lt;CP$5+7),"◆",""),IF(AND($D41&lt;CP$5+7,$E41&gt;CP$5),"■","")))</x:f>
      </x:c>
      <x:c r="CQ41" s="7" t="str">
        <x:f>IF(OR($D41="",CQ$5="",'상세일정'!AM41="제외"),"",IF($D41=$E41,IF(AND($D41&gt;=CQ$5,$D41&lt;CQ$5+7),"◆",""),IF(AND($D41&lt;CQ$5+7,$E41&gt;CQ$5),"■","")))</x:f>
      </x:c>
      <x:c r="CR41" s="7" t="str">
        <x:f>IF(OR($D41="",CR$5="",'상세일정'!AM41="제외"),"",IF($D41=$E41,IF(AND($D41&gt;=CR$5,$D41&lt;CR$5+7),"◆",""),IF(AND($D41&lt;CR$5+7,$E41&gt;CR$5),"■","")))</x:f>
      </x:c>
      <x:c r="CS41" s="7" t="str">
        <x:f>IF(OR($D41="",CS$5="",'상세일정'!AM41="제외"),"",IF($D41=$E41,IF(AND($D41&gt;=CS$5,$D41&lt;CS$5+7),"◆",""),IF(AND($D41&lt;CS$5+7,$E41&gt;CS$5),"■","")))</x:f>
      </x:c>
      <x:c r="CT41" s="7" t="str">
        <x:f>IF(OR($D41="",CT$5="",'상세일정'!AM41="제외"),"",IF($D41=$E41,IF(AND($D41&gt;=CT$5,$D41&lt;CT$5+7),"◆",""),IF(AND($D41&lt;CT$5+7,$E41&gt;CT$5),"■","")))</x:f>
      </x:c>
      <x:c r="CU41" s="7" t="str">
        <x:f>IF(OR($D41="",CU$5="",'상세일정'!AM41="제외"),"",IF($D41=$E41,IF(AND($D41&gt;=CU$5,$D41&lt;CU$5+7),"◆",""),IF(AND($D41&lt;CU$5+7,$E41&gt;CU$5),"■","")))</x:f>
      </x:c>
      <x:c r="CV41" s="7" t="str">
        <x:f>IF(OR($D41="",CV$5="",'상세일정'!AM41="제외"),"",IF($D41=$E41,IF(AND($D41&gt;=CV$5,$D41&lt;CV$5+7),"◆",""),IF(AND($D41&lt;CV$5+7,$E41&gt;CV$5),"■","")))</x:f>
      </x:c>
      <x:c r="CW41" s="7" t="str">
        <x:f>IF(OR($D41="",CW$5="",'상세일정'!AM41="제외"),"",IF($D41=$E41,IF(AND($D41&gt;=CW$5,$D41&lt;CW$5+7),"◆",""),IF(AND($D41&lt;CW$5+7,$E41&gt;CW$5),"■","")))</x:f>
      </x:c>
      <x:c r="CX41" s="7" t="str">
        <x:f>IF(OR($D41="",CX$5="",'상세일정'!AM41="제외"),"",IF($D41=$E41,IF(AND($D41&gt;=CX$5,$D41&lt;CX$5+7),"◆",""),IF(AND($D41&lt;CX$5+7,$E41&gt;CX$5),"■","")))</x:f>
      </x:c>
      <x:c r="CY41" s="7" t="str">
        <x:f>IF(OR($D41="",CY$5="",'상세일정'!AM41="제외"),"",IF($D41=$E41,IF(AND($D41&gt;=CY$5,$D41&lt;CY$5+7),"◆",""),IF(AND($D41&lt;CY$5+7,$E41&gt;CY$5),"■","")))</x:f>
      </x:c>
      <x:c r="CZ41" s="7" t="str">
        <x:f>IF(OR($D41="",CZ$5="",'상세일정'!AM41="제외"),"",IF($D41=$E41,IF(AND($D41&gt;=CZ$5,$D41&lt;CZ$5+7),"◆",""),IF(AND($D41&lt;CZ$5+7,$E41&gt;CZ$5),"■","")))</x:f>
      </x:c>
      <x:c r="DA41" s="7" t="str">
        <x:f>IF(OR($D41="",DA$5="",'상세일정'!AM41="제외"),"",IF($D41=$E41,IF(AND($D41&gt;=DA$5,$D41&lt;DA$5+7),"◆",""),IF(AND($D41&lt;DA$5+7,$E41&gt;DA$5),"■","")))</x:f>
      </x:c>
      <x:c r="DB41" s="7" t="str">
        <x:f>IF(OR($D41="",DB$5="",'상세일정'!AM41="제외"),"",IF($D41=$E41,IF(AND($D41&gt;=DB$5,$D41&lt;DB$5+7),"◆",""),IF(AND($D41&lt;DB$5+7,$E41&gt;DB$5),"■","")))</x:f>
      </x:c>
      <x:c r="DC41" s="7" t="str">
        <x:f>IF(OR($D41="",DC$5="",'상세일정'!AM41="제외"),"",IF($D41=$E41,IF(AND($D41&gt;=DC$5,$D41&lt;DC$5+7),"◆",""),IF(AND($D41&lt;DC$5+7,$E41&gt;DC$5),"■","")))</x:f>
      </x:c>
      <x:c r="DD41" s="7" t="str">
        <x:f>IF(OR($D41="",DD$5="",'상세일정'!AM41="제외"),"",IF($D41=$E41,IF(AND($D41&gt;=DD$5,$D41&lt;DD$5+7),"◆",""),IF(AND($D41&lt;DD$5+7,$E41&gt;DD$5),"■","")))</x:f>
      </x:c>
      <x:c r="DE41" s="7" t="str">
        <x:f>IF(OR($D41="",DE$5="",'상세일정'!AM41="제외"),"",IF($D41=$E41,IF(AND($D41&gt;=DE$5,$D41&lt;DE$5+7),"◆",""),IF(AND($D41&lt;DE$5+7,$E41&gt;DE$5),"■","")))</x:f>
      </x:c>
    </x:row>
    <x:row r="42" ht="34" customHeight="1">
      <x:c r="A42" s="7" t="str">
        <x:v>IC04</x:v>
      </x:c>
      <x:c r="B42" s="7" t="str">
        <x:v>07 계장·제어 상세설계</x:v>
      </x:c>
      <x:c r="C42" s="7" t="str">
        <x:v>Loop·wiring·panel GA·cable schedule 작성</x:v>
      </x:c>
      <x:c r="D42" s="10" t="str">
        <x:f>'상세일정'!AJ42</x:f>
      </x:c>
      <x:c r="E42" s="10" t="str">
        <x:f>'상세일정'!AK42</x:f>
      </x:c>
      <x:c r="F42" s="7" t="str">
        <x:f>IF(OR($D42="",F$5="",'상세일정'!AM42="제외"),"",IF($D42=$E42,IF(AND($D42&gt;=F$5,$D42&lt;F$5+7),"◆",""),IF(AND($D42&lt;F$5+7,$E42&gt;F$5),"■","")))</x:f>
      </x:c>
      <x:c r="G42" s="7" t="str">
        <x:f>IF(OR($D42="",G$5="",'상세일정'!AM42="제외"),"",IF($D42=$E42,IF(AND($D42&gt;=G$5,$D42&lt;G$5+7),"◆",""),IF(AND($D42&lt;G$5+7,$E42&gt;G$5),"■","")))</x:f>
      </x:c>
      <x:c r="H42" s="7" t="str">
        <x:f>IF(OR($D42="",H$5="",'상세일정'!AM42="제외"),"",IF($D42=$E42,IF(AND($D42&gt;=H$5,$D42&lt;H$5+7),"◆",""),IF(AND($D42&lt;H$5+7,$E42&gt;H$5),"■","")))</x:f>
      </x:c>
      <x:c r="I42" s="7" t="str">
        <x:f>IF(OR($D42="",I$5="",'상세일정'!AM42="제외"),"",IF($D42=$E42,IF(AND($D42&gt;=I$5,$D42&lt;I$5+7),"◆",""),IF(AND($D42&lt;I$5+7,$E42&gt;I$5),"■","")))</x:f>
      </x:c>
      <x:c r="J42" s="7" t="str">
        <x:f>IF(OR($D42="",J$5="",'상세일정'!AM42="제외"),"",IF($D42=$E42,IF(AND($D42&gt;=J$5,$D42&lt;J$5+7),"◆",""),IF(AND($D42&lt;J$5+7,$E42&gt;J$5),"■","")))</x:f>
      </x:c>
      <x:c r="K42" s="7" t="str">
        <x:f>IF(OR($D42="",K$5="",'상세일정'!AM42="제외"),"",IF($D42=$E42,IF(AND($D42&gt;=K$5,$D42&lt;K$5+7),"◆",""),IF(AND($D42&lt;K$5+7,$E42&gt;K$5),"■","")))</x:f>
      </x:c>
      <x:c r="L42" s="7" t="str">
        <x:f>IF(OR($D42="",L$5="",'상세일정'!AM42="제외"),"",IF($D42=$E42,IF(AND($D42&gt;=L$5,$D42&lt;L$5+7),"◆",""),IF(AND($D42&lt;L$5+7,$E42&gt;L$5),"■","")))</x:f>
      </x:c>
      <x:c r="M42" s="7" t="str">
        <x:f>IF(OR($D42="",M$5="",'상세일정'!AM42="제외"),"",IF($D42=$E42,IF(AND($D42&gt;=M$5,$D42&lt;M$5+7),"◆",""),IF(AND($D42&lt;M$5+7,$E42&gt;M$5),"■","")))</x:f>
      </x:c>
      <x:c r="N42" s="7" t="str">
        <x:f>IF(OR($D42="",N$5="",'상세일정'!AM42="제외"),"",IF($D42=$E42,IF(AND($D42&gt;=N$5,$D42&lt;N$5+7),"◆",""),IF(AND($D42&lt;N$5+7,$E42&gt;N$5),"■","")))</x:f>
      </x:c>
      <x:c r="O42" s="7" t="str">
        <x:f>IF(OR($D42="",O$5="",'상세일정'!AM42="제외"),"",IF($D42=$E42,IF(AND($D42&gt;=O$5,$D42&lt;O$5+7),"◆",""),IF(AND($D42&lt;O$5+7,$E42&gt;O$5),"■","")))</x:f>
      </x:c>
      <x:c r="P42" s="7" t="str">
        <x:f>IF(OR($D42="",P$5="",'상세일정'!AM42="제외"),"",IF($D42=$E42,IF(AND($D42&gt;=P$5,$D42&lt;P$5+7),"◆",""),IF(AND($D42&lt;P$5+7,$E42&gt;P$5),"■","")))</x:f>
      </x:c>
      <x:c r="Q42" s="7" t="str">
        <x:f>IF(OR($D42="",Q$5="",'상세일정'!AM42="제외"),"",IF($D42=$E42,IF(AND($D42&gt;=Q$5,$D42&lt;Q$5+7),"◆",""),IF(AND($D42&lt;Q$5+7,$E42&gt;Q$5),"■","")))</x:f>
      </x:c>
      <x:c r="R42" s="7" t="str">
        <x:f>IF(OR($D42="",R$5="",'상세일정'!AM42="제외"),"",IF($D42=$E42,IF(AND($D42&gt;=R$5,$D42&lt;R$5+7),"◆",""),IF(AND($D42&lt;R$5+7,$E42&gt;R$5),"■","")))</x:f>
      </x:c>
      <x:c r="S42" s="7" t="str">
        <x:f>IF(OR($D42="",S$5="",'상세일정'!AM42="제외"),"",IF($D42=$E42,IF(AND($D42&gt;=S$5,$D42&lt;S$5+7),"◆",""),IF(AND($D42&lt;S$5+7,$E42&gt;S$5),"■","")))</x:f>
      </x:c>
      <x:c r="T42" s="7" t="str">
        <x:f>IF(OR($D42="",T$5="",'상세일정'!AM42="제외"),"",IF($D42=$E42,IF(AND($D42&gt;=T$5,$D42&lt;T$5+7),"◆",""),IF(AND($D42&lt;T$5+7,$E42&gt;T$5),"■","")))</x:f>
      </x:c>
      <x:c r="U42" s="7" t="str">
        <x:f>IF(OR($D42="",U$5="",'상세일정'!AM42="제외"),"",IF($D42=$E42,IF(AND($D42&gt;=U$5,$D42&lt;U$5+7),"◆",""),IF(AND($D42&lt;U$5+7,$E42&gt;U$5),"■","")))</x:f>
      </x:c>
      <x:c r="V42" s="7" t="str">
        <x:f>IF(OR($D42="",V$5="",'상세일정'!AM42="제외"),"",IF($D42=$E42,IF(AND($D42&gt;=V$5,$D42&lt;V$5+7),"◆",""),IF(AND($D42&lt;V$5+7,$E42&gt;V$5),"■","")))</x:f>
      </x:c>
      <x:c r="W42" s="7" t="str">
        <x:f>IF(OR($D42="",W$5="",'상세일정'!AM42="제외"),"",IF($D42=$E42,IF(AND($D42&gt;=W$5,$D42&lt;W$5+7),"◆",""),IF(AND($D42&lt;W$5+7,$E42&gt;W$5),"■","")))</x:f>
      </x:c>
      <x:c r="X42" s="7" t="str">
        <x:f>IF(OR($D42="",X$5="",'상세일정'!AM42="제외"),"",IF($D42=$E42,IF(AND($D42&gt;=X$5,$D42&lt;X$5+7),"◆",""),IF(AND($D42&lt;X$5+7,$E42&gt;X$5),"■","")))</x:f>
      </x:c>
      <x:c r="Y42" s="7" t="str">
        <x:f>IF(OR($D42="",Y$5="",'상세일정'!AM42="제외"),"",IF($D42=$E42,IF(AND($D42&gt;=Y$5,$D42&lt;Y$5+7),"◆",""),IF(AND($D42&lt;Y$5+7,$E42&gt;Y$5),"■","")))</x:f>
      </x:c>
      <x:c r="Z42" s="7" t="str">
        <x:f>IF(OR($D42="",Z$5="",'상세일정'!AM42="제외"),"",IF($D42=$E42,IF(AND($D42&gt;=Z$5,$D42&lt;Z$5+7),"◆",""),IF(AND($D42&lt;Z$5+7,$E42&gt;Z$5),"■","")))</x:f>
      </x:c>
      <x:c r="AA42" s="7" t="str">
        <x:f>IF(OR($D42="",AA$5="",'상세일정'!AM42="제외"),"",IF($D42=$E42,IF(AND($D42&gt;=AA$5,$D42&lt;AA$5+7),"◆",""),IF(AND($D42&lt;AA$5+7,$E42&gt;AA$5),"■","")))</x:f>
      </x:c>
      <x:c r="AB42" s="7" t="str">
        <x:f>IF(OR($D42="",AB$5="",'상세일정'!AM42="제외"),"",IF($D42=$E42,IF(AND($D42&gt;=AB$5,$D42&lt;AB$5+7),"◆",""),IF(AND($D42&lt;AB$5+7,$E42&gt;AB$5),"■","")))</x:f>
      </x:c>
      <x:c r="AC42" s="7" t="str">
        <x:f>IF(OR($D42="",AC$5="",'상세일정'!AM42="제외"),"",IF($D42=$E42,IF(AND($D42&gt;=AC$5,$D42&lt;AC$5+7),"◆",""),IF(AND($D42&lt;AC$5+7,$E42&gt;AC$5),"■","")))</x:f>
      </x:c>
      <x:c r="AD42" s="7" t="str">
        <x:f>IF(OR($D42="",AD$5="",'상세일정'!AM42="제외"),"",IF($D42=$E42,IF(AND($D42&gt;=AD$5,$D42&lt;AD$5+7),"◆",""),IF(AND($D42&lt;AD$5+7,$E42&gt;AD$5),"■","")))</x:f>
      </x:c>
      <x:c r="AE42" s="7" t="str">
        <x:f>IF(OR($D42="",AE$5="",'상세일정'!AM42="제외"),"",IF($D42=$E42,IF(AND($D42&gt;=AE$5,$D42&lt;AE$5+7),"◆",""),IF(AND($D42&lt;AE$5+7,$E42&gt;AE$5),"■","")))</x:f>
      </x:c>
      <x:c r="AF42" s="7" t="str">
        <x:f>IF(OR($D42="",AF$5="",'상세일정'!AM42="제외"),"",IF($D42=$E42,IF(AND($D42&gt;=AF$5,$D42&lt;AF$5+7),"◆",""),IF(AND($D42&lt;AF$5+7,$E42&gt;AF$5),"■","")))</x:f>
      </x:c>
      <x:c r="AG42" s="7" t="str">
        <x:f>IF(OR($D42="",AG$5="",'상세일정'!AM42="제외"),"",IF($D42=$E42,IF(AND($D42&gt;=AG$5,$D42&lt;AG$5+7),"◆",""),IF(AND($D42&lt;AG$5+7,$E42&gt;AG$5),"■","")))</x:f>
      </x:c>
      <x:c r="AH42" s="7" t="str">
        <x:f>IF(OR($D42="",AH$5="",'상세일정'!AM42="제외"),"",IF($D42=$E42,IF(AND($D42&gt;=AH$5,$D42&lt;AH$5+7),"◆",""),IF(AND($D42&lt;AH$5+7,$E42&gt;AH$5),"■","")))</x:f>
      </x:c>
      <x:c r="AI42" s="7" t="str">
        <x:f>IF(OR($D42="",AI$5="",'상세일정'!AM42="제외"),"",IF($D42=$E42,IF(AND($D42&gt;=AI$5,$D42&lt;AI$5+7),"◆",""),IF(AND($D42&lt;AI$5+7,$E42&gt;AI$5),"■","")))</x:f>
      </x:c>
      <x:c r="AJ42" s="7" t="str">
        <x:f>IF(OR($D42="",AJ$5="",'상세일정'!AM42="제외"),"",IF($D42=$E42,IF(AND($D42&gt;=AJ$5,$D42&lt;AJ$5+7),"◆",""),IF(AND($D42&lt;AJ$5+7,$E42&gt;AJ$5),"■","")))</x:f>
      </x:c>
      <x:c r="AK42" s="7" t="str">
        <x:f>IF(OR($D42="",AK$5="",'상세일정'!AM42="제외"),"",IF($D42=$E42,IF(AND($D42&gt;=AK$5,$D42&lt;AK$5+7),"◆",""),IF(AND($D42&lt;AK$5+7,$E42&gt;AK$5),"■","")))</x:f>
      </x:c>
      <x:c r="AL42" s="7" t="str">
        <x:f>IF(OR($D42="",AL$5="",'상세일정'!AM42="제외"),"",IF($D42=$E42,IF(AND($D42&gt;=AL$5,$D42&lt;AL$5+7),"◆",""),IF(AND($D42&lt;AL$5+7,$E42&gt;AL$5),"■","")))</x:f>
      </x:c>
      <x:c r="AM42" s="7" t="str">
        <x:f>IF(OR($D42="",AM$5="",'상세일정'!AM42="제외"),"",IF($D42=$E42,IF(AND($D42&gt;=AM$5,$D42&lt;AM$5+7),"◆",""),IF(AND($D42&lt;AM$5+7,$E42&gt;AM$5),"■","")))</x:f>
      </x:c>
      <x:c r="AN42" s="7" t="str">
        <x:f>IF(OR($D42="",AN$5="",'상세일정'!AM42="제외"),"",IF($D42=$E42,IF(AND($D42&gt;=AN$5,$D42&lt;AN$5+7),"◆",""),IF(AND($D42&lt;AN$5+7,$E42&gt;AN$5),"■","")))</x:f>
      </x:c>
      <x:c r="AO42" s="7" t="str">
        <x:f>IF(OR($D42="",AO$5="",'상세일정'!AM42="제외"),"",IF($D42=$E42,IF(AND($D42&gt;=AO$5,$D42&lt;AO$5+7),"◆",""),IF(AND($D42&lt;AO$5+7,$E42&gt;AO$5),"■","")))</x:f>
      </x:c>
      <x:c r="AP42" s="7" t="str">
        <x:f>IF(OR($D42="",AP$5="",'상세일정'!AM42="제외"),"",IF($D42=$E42,IF(AND($D42&gt;=AP$5,$D42&lt;AP$5+7),"◆",""),IF(AND($D42&lt;AP$5+7,$E42&gt;AP$5),"■","")))</x:f>
      </x:c>
      <x:c r="AQ42" s="7" t="str">
        <x:f>IF(OR($D42="",AQ$5="",'상세일정'!AM42="제외"),"",IF($D42=$E42,IF(AND($D42&gt;=AQ$5,$D42&lt;AQ$5+7),"◆",""),IF(AND($D42&lt;AQ$5+7,$E42&gt;AQ$5),"■","")))</x:f>
      </x:c>
      <x:c r="AR42" s="7" t="str">
        <x:f>IF(OR($D42="",AR$5="",'상세일정'!AM42="제외"),"",IF($D42=$E42,IF(AND($D42&gt;=AR$5,$D42&lt;AR$5+7),"◆",""),IF(AND($D42&lt;AR$5+7,$E42&gt;AR$5),"■","")))</x:f>
      </x:c>
      <x:c r="AS42" s="7" t="str">
        <x:f>IF(OR($D42="",AS$5="",'상세일정'!AM42="제외"),"",IF($D42=$E42,IF(AND($D42&gt;=AS$5,$D42&lt;AS$5+7),"◆",""),IF(AND($D42&lt;AS$5+7,$E42&gt;AS$5),"■","")))</x:f>
      </x:c>
      <x:c r="AT42" s="7" t="str">
        <x:f>IF(OR($D42="",AT$5="",'상세일정'!AM42="제외"),"",IF($D42=$E42,IF(AND($D42&gt;=AT$5,$D42&lt;AT$5+7),"◆",""),IF(AND($D42&lt;AT$5+7,$E42&gt;AT$5),"■","")))</x:f>
      </x:c>
      <x:c r="AU42" s="7" t="str">
        <x:f>IF(OR($D42="",AU$5="",'상세일정'!AM42="제외"),"",IF($D42=$E42,IF(AND($D42&gt;=AU$5,$D42&lt;AU$5+7),"◆",""),IF(AND($D42&lt;AU$5+7,$E42&gt;AU$5),"■","")))</x:f>
      </x:c>
      <x:c r="AV42" s="7" t="str">
        <x:f>IF(OR($D42="",AV$5="",'상세일정'!AM42="제외"),"",IF($D42=$E42,IF(AND($D42&gt;=AV$5,$D42&lt;AV$5+7),"◆",""),IF(AND($D42&lt;AV$5+7,$E42&gt;AV$5),"■","")))</x:f>
      </x:c>
      <x:c r="AW42" s="7" t="str">
        <x:f>IF(OR($D42="",AW$5="",'상세일정'!AM42="제외"),"",IF($D42=$E42,IF(AND($D42&gt;=AW$5,$D42&lt;AW$5+7),"◆",""),IF(AND($D42&lt;AW$5+7,$E42&gt;AW$5),"■","")))</x:f>
      </x:c>
      <x:c r="AX42" s="7" t="str">
        <x:f>IF(OR($D42="",AX$5="",'상세일정'!AM42="제외"),"",IF($D42=$E42,IF(AND($D42&gt;=AX$5,$D42&lt;AX$5+7),"◆",""),IF(AND($D42&lt;AX$5+7,$E42&gt;AX$5),"■","")))</x:f>
      </x:c>
      <x:c r="AY42" s="7" t="str">
        <x:f>IF(OR($D42="",AY$5="",'상세일정'!AM42="제외"),"",IF($D42=$E42,IF(AND($D42&gt;=AY$5,$D42&lt;AY$5+7),"◆",""),IF(AND($D42&lt;AY$5+7,$E42&gt;AY$5),"■","")))</x:f>
      </x:c>
      <x:c r="AZ42" s="7" t="str">
        <x:f>IF(OR($D42="",AZ$5="",'상세일정'!AM42="제외"),"",IF($D42=$E42,IF(AND($D42&gt;=AZ$5,$D42&lt;AZ$5+7),"◆",""),IF(AND($D42&lt;AZ$5+7,$E42&gt;AZ$5),"■","")))</x:f>
      </x:c>
      <x:c r="BA42" s="7" t="str">
        <x:f>IF(OR($D42="",BA$5="",'상세일정'!AM42="제외"),"",IF($D42=$E42,IF(AND($D42&gt;=BA$5,$D42&lt;BA$5+7),"◆",""),IF(AND($D42&lt;BA$5+7,$E42&gt;BA$5),"■","")))</x:f>
      </x:c>
      <x:c r="BB42" s="7" t="str">
        <x:f>IF(OR($D42="",BB$5="",'상세일정'!AM42="제외"),"",IF($D42=$E42,IF(AND($D42&gt;=BB$5,$D42&lt;BB$5+7),"◆",""),IF(AND($D42&lt;BB$5+7,$E42&gt;BB$5),"■","")))</x:f>
      </x:c>
      <x:c r="BC42" s="7" t="str">
        <x:f>IF(OR($D42="",BC$5="",'상세일정'!AM42="제외"),"",IF($D42=$E42,IF(AND($D42&gt;=BC$5,$D42&lt;BC$5+7),"◆",""),IF(AND($D42&lt;BC$5+7,$E42&gt;BC$5),"■","")))</x:f>
      </x:c>
      <x:c r="BD42" s="7" t="str">
        <x:f>IF(OR($D42="",BD$5="",'상세일정'!AM42="제외"),"",IF($D42=$E42,IF(AND($D42&gt;=BD$5,$D42&lt;BD$5+7),"◆",""),IF(AND($D42&lt;BD$5+7,$E42&gt;BD$5),"■","")))</x:f>
      </x:c>
      <x:c r="BE42" s="7" t="str">
        <x:f>IF(OR($D42="",BE$5="",'상세일정'!AM42="제외"),"",IF($D42=$E42,IF(AND($D42&gt;=BE$5,$D42&lt;BE$5+7),"◆",""),IF(AND($D42&lt;BE$5+7,$E42&gt;BE$5),"■","")))</x:f>
      </x:c>
      <x:c r="BF42" s="7" t="str">
        <x:f>IF(OR($D42="",BF$5="",'상세일정'!AM42="제외"),"",IF($D42=$E42,IF(AND($D42&gt;=BF$5,$D42&lt;BF$5+7),"◆",""),IF(AND($D42&lt;BF$5+7,$E42&gt;BF$5),"■","")))</x:f>
      </x:c>
      <x:c r="BG42" s="7" t="str">
        <x:f>IF(OR($D42="",BG$5="",'상세일정'!AM42="제외"),"",IF($D42=$E42,IF(AND($D42&gt;=BG$5,$D42&lt;BG$5+7),"◆",""),IF(AND($D42&lt;BG$5+7,$E42&gt;BG$5),"■","")))</x:f>
      </x:c>
      <x:c r="BH42" s="7" t="str">
        <x:f>IF(OR($D42="",BH$5="",'상세일정'!AM42="제외"),"",IF($D42=$E42,IF(AND($D42&gt;=BH$5,$D42&lt;BH$5+7),"◆",""),IF(AND($D42&lt;BH$5+7,$E42&gt;BH$5),"■","")))</x:f>
      </x:c>
      <x:c r="BI42" s="7" t="str">
        <x:f>IF(OR($D42="",BI$5="",'상세일정'!AM42="제외"),"",IF($D42=$E42,IF(AND($D42&gt;=BI$5,$D42&lt;BI$5+7),"◆",""),IF(AND($D42&lt;BI$5+7,$E42&gt;BI$5),"■","")))</x:f>
      </x:c>
      <x:c r="BJ42" s="7" t="str">
        <x:f>IF(OR($D42="",BJ$5="",'상세일정'!AM42="제외"),"",IF($D42=$E42,IF(AND($D42&gt;=BJ$5,$D42&lt;BJ$5+7),"◆",""),IF(AND($D42&lt;BJ$5+7,$E42&gt;BJ$5),"■","")))</x:f>
      </x:c>
      <x:c r="BK42" s="7" t="str">
        <x:f>IF(OR($D42="",BK$5="",'상세일정'!AM42="제외"),"",IF($D42=$E42,IF(AND($D42&gt;=BK$5,$D42&lt;BK$5+7),"◆",""),IF(AND($D42&lt;BK$5+7,$E42&gt;BK$5),"■","")))</x:f>
      </x:c>
      <x:c r="BL42" s="7" t="str">
        <x:f>IF(OR($D42="",BL$5="",'상세일정'!AM42="제외"),"",IF($D42=$E42,IF(AND($D42&gt;=BL$5,$D42&lt;BL$5+7),"◆",""),IF(AND($D42&lt;BL$5+7,$E42&gt;BL$5),"■","")))</x:f>
      </x:c>
      <x:c r="BM42" s="7" t="str">
        <x:f>IF(OR($D42="",BM$5="",'상세일정'!AM42="제외"),"",IF($D42=$E42,IF(AND($D42&gt;=BM$5,$D42&lt;BM$5+7),"◆",""),IF(AND($D42&lt;BM$5+7,$E42&gt;BM$5),"■","")))</x:f>
      </x:c>
      <x:c r="BN42" s="7" t="str">
        <x:f>IF(OR($D42="",BN$5="",'상세일정'!AM42="제외"),"",IF($D42=$E42,IF(AND($D42&gt;=BN$5,$D42&lt;BN$5+7),"◆",""),IF(AND($D42&lt;BN$5+7,$E42&gt;BN$5),"■","")))</x:f>
      </x:c>
      <x:c r="BO42" s="7" t="str">
        <x:f>IF(OR($D42="",BO$5="",'상세일정'!AM42="제외"),"",IF($D42=$E42,IF(AND($D42&gt;=BO$5,$D42&lt;BO$5+7),"◆",""),IF(AND($D42&lt;BO$5+7,$E42&gt;BO$5),"■","")))</x:f>
      </x:c>
      <x:c r="BP42" s="7" t="str">
        <x:f>IF(OR($D42="",BP$5="",'상세일정'!AM42="제외"),"",IF($D42=$E42,IF(AND($D42&gt;=BP$5,$D42&lt;BP$5+7),"◆",""),IF(AND($D42&lt;BP$5+7,$E42&gt;BP$5),"■","")))</x:f>
      </x:c>
      <x:c r="BQ42" s="7" t="str">
        <x:f>IF(OR($D42="",BQ$5="",'상세일정'!AM42="제외"),"",IF($D42=$E42,IF(AND($D42&gt;=BQ$5,$D42&lt;BQ$5+7),"◆",""),IF(AND($D42&lt;BQ$5+7,$E42&gt;BQ$5),"■","")))</x:f>
      </x:c>
      <x:c r="BR42" s="7" t="str">
        <x:f>IF(OR($D42="",BR$5="",'상세일정'!AM42="제외"),"",IF($D42=$E42,IF(AND($D42&gt;=BR$5,$D42&lt;BR$5+7),"◆",""),IF(AND($D42&lt;BR$5+7,$E42&gt;BR$5),"■","")))</x:f>
      </x:c>
      <x:c r="BS42" s="7" t="str">
        <x:f>IF(OR($D42="",BS$5="",'상세일정'!AM42="제외"),"",IF($D42=$E42,IF(AND($D42&gt;=BS$5,$D42&lt;BS$5+7),"◆",""),IF(AND($D42&lt;BS$5+7,$E42&gt;BS$5),"■","")))</x:f>
      </x:c>
      <x:c r="BT42" s="7" t="str">
        <x:f>IF(OR($D42="",BT$5="",'상세일정'!AM42="제외"),"",IF($D42=$E42,IF(AND($D42&gt;=BT$5,$D42&lt;BT$5+7),"◆",""),IF(AND($D42&lt;BT$5+7,$E42&gt;BT$5),"■","")))</x:f>
      </x:c>
      <x:c r="BU42" s="7" t="str">
        <x:f>IF(OR($D42="",BU$5="",'상세일정'!AM42="제외"),"",IF($D42=$E42,IF(AND($D42&gt;=BU$5,$D42&lt;BU$5+7),"◆",""),IF(AND($D42&lt;BU$5+7,$E42&gt;BU$5),"■","")))</x:f>
      </x:c>
      <x:c r="BV42" s="7" t="str">
        <x:f>IF(OR($D42="",BV$5="",'상세일정'!AM42="제외"),"",IF($D42=$E42,IF(AND($D42&gt;=BV$5,$D42&lt;BV$5+7),"◆",""),IF(AND($D42&lt;BV$5+7,$E42&gt;BV$5),"■","")))</x:f>
      </x:c>
      <x:c r="BW42" s="7" t="str">
        <x:f>IF(OR($D42="",BW$5="",'상세일정'!AM42="제외"),"",IF($D42=$E42,IF(AND($D42&gt;=BW$5,$D42&lt;BW$5+7),"◆",""),IF(AND($D42&lt;BW$5+7,$E42&gt;BW$5),"■","")))</x:f>
      </x:c>
      <x:c r="BX42" s="7" t="str">
        <x:f>IF(OR($D42="",BX$5="",'상세일정'!AM42="제외"),"",IF($D42=$E42,IF(AND($D42&gt;=BX$5,$D42&lt;BX$5+7),"◆",""),IF(AND($D42&lt;BX$5+7,$E42&gt;BX$5),"■","")))</x:f>
      </x:c>
      <x:c r="BY42" s="7" t="str">
        <x:f>IF(OR($D42="",BY$5="",'상세일정'!AM42="제외"),"",IF($D42=$E42,IF(AND($D42&gt;=BY$5,$D42&lt;BY$5+7),"◆",""),IF(AND($D42&lt;BY$5+7,$E42&gt;BY$5),"■","")))</x:f>
      </x:c>
      <x:c r="BZ42" s="7" t="str">
        <x:f>IF(OR($D42="",BZ$5="",'상세일정'!AM42="제외"),"",IF($D42=$E42,IF(AND($D42&gt;=BZ$5,$D42&lt;BZ$5+7),"◆",""),IF(AND($D42&lt;BZ$5+7,$E42&gt;BZ$5),"■","")))</x:f>
      </x:c>
      <x:c r="CA42" s="7" t="str">
        <x:f>IF(OR($D42="",CA$5="",'상세일정'!AM42="제외"),"",IF($D42=$E42,IF(AND($D42&gt;=CA$5,$D42&lt;CA$5+7),"◆",""),IF(AND($D42&lt;CA$5+7,$E42&gt;CA$5),"■","")))</x:f>
      </x:c>
      <x:c r="CB42" s="7" t="str">
        <x:f>IF(OR($D42="",CB$5="",'상세일정'!AM42="제외"),"",IF($D42=$E42,IF(AND($D42&gt;=CB$5,$D42&lt;CB$5+7),"◆",""),IF(AND($D42&lt;CB$5+7,$E42&gt;CB$5),"■","")))</x:f>
      </x:c>
      <x:c r="CC42" s="7" t="str">
        <x:f>IF(OR($D42="",CC$5="",'상세일정'!AM42="제외"),"",IF($D42=$E42,IF(AND($D42&gt;=CC$5,$D42&lt;CC$5+7),"◆",""),IF(AND($D42&lt;CC$5+7,$E42&gt;CC$5),"■","")))</x:f>
      </x:c>
      <x:c r="CD42" s="7" t="str">
        <x:f>IF(OR($D42="",CD$5="",'상세일정'!AM42="제외"),"",IF($D42=$E42,IF(AND($D42&gt;=CD$5,$D42&lt;CD$5+7),"◆",""),IF(AND($D42&lt;CD$5+7,$E42&gt;CD$5),"■","")))</x:f>
      </x:c>
      <x:c r="CE42" s="7" t="str">
        <x:f>IF(OR($D42="",CE$5="",'상세일정'!AM42="제외"),"",IF($D42=$E42,IF(AND($D42&gt;=CE$5,$D42&lt;CE$5+7),"◆",""),IF(AND($D42&lt;CE$5+7,$E42&gt;CE$5),"■","")))</x:f>
      </x:c>
      <x:c r="CF42" s="7" t="str">
        <x:f>IF(OR($D42="",CF$5="",'상세일정'!AM42="제외"),"",IF($D42=$E42,IF(AND($D42&gt;=CF$5,$D42&lt;CF$5+7),"◆",""),IF(AND($D42&lt;CF$5+7,$E42&gt;CF$5),"■","")))</x:f>
      </x:c>
      <x:c r="CG42" s="7" t="str">
        <x:f>IF(OR($D42="",CG$5="",'상세일정'!AM42="제외"),"",IF($D42=$E42,IF(AND($D42&gt;=CG$5,$D42&lt;CG$5+7),"◆",""),IF(AND($D42&lt;CG$5+7,$E42&gt;CG$5),"■","")))</x:f>
      </x:c>
      <x:c r="CH42" s="7" t="str">
        <x:f>IF(OR($D42="",CH$5="",'상세일정'!AM42="제외"),"",IF($D42=$E42,IF(AND($D42&gt;=CH$5,$D42&lt;CH$5+7),"◆",""),IF(AND($D42&lt;CH$5+7,$E42&gt;CH$5),"■","")))</x:f>
      </x:c>
      <x:c r="CI42" s="7" t="str">
        <x:f>IF(OR($D42="",CI$5="",'상세일정'!AM42="제외"),"",IF($D42=$E42,IF(AND($D42&gt;=CI$5,$D42&lt;CI$5+7),"◆",""),IF(AND($D42&lt;CI$5+7,$E42&gt;CI$5),"■","")))</x:f>
      </x:c>
      <x:c r="CJ42" s="7" t="str">
        <x:f>IF(OR($D42="",CJ$5="",'상세일정'!AM42="제외"),"",IF($D42=$E42,IF(AND($D42&gt;=CJ$5,$D42&lt;CJ$5+7),"◆",""),IF(AND($D42&lt;CJ$5+7,$E42&gt;CJ$5),"■","")))</x:f>
      </x:c>
      <x:c r="CK42" s="7" t="str">
        <x:f>IF(OR($D42="",CK$5="",'상세일정'!AM42="제외"),"",IF($D42=$E42,IF(AND($D42&gt;=CK$5,$D42&lt;CK$5+7),"◆",""),IF(AND($D42&lt;CK$5+7,$E42&gt;CK$5),"■","")))</x:f>
      </x:c>
      <x:c r="CL42" s="7" t="str">
        <x:f>IF(OR($D42="",CL$5="",'상세일정'!AM42="제외"),"",IF($D42=$E42,IF(AND($D42&gt;=CL$5,$D42&lt;CL$5+7),"◆",""),IF(AND($D42&lt;CL$5+7,$E42&gt;CL$5),"■","")))</x:f>
      </x:c>
      <x:c r="CM42" s="7" t="str">
        <x:f>IF(OR($D42="",CM$5="",'상세일정'!AM42="제외"),"",IF($D42=$E42,IF(AND($D42&gt;=CM$5,$D42&lt;CM$5+7),"◆",""),IF(AND($D42&lt;CM$5+7,$E42&gt;CM$5),"■","")))</x:f>
      </x:c>
      <x:c r="CN42" s="7" t="str">
        <x:f>IF(OR($D42="",CN$5="",'상세일정'!AM42="제외"),"",IF($D42=$E42,IF(AND($D42&gt;=CN$5,$D42&lt;CN$5+7),"◆",""),IF(AND($D42&lt;CN$5+7,$E42&gt;CN$5),"■","")))</x:f>
      </x:c>
      <x:c r="CO42" s="7" t="str">
        <x:f>IF(OR($D42="",CO$5="",'상세일정'!AM42="제외"),"",IF($D42=$E42,IF(AND($D42&gt;=CO$5,$D42&lt;CO$5+7),"◆",""),IF(AND($D42&lt;CO$5+7,$E42&gt;CO$5),"■","")))</x:f>
      </x:c>
      <x:c r="CP42" s="7" t="str">
        <x:f>IF(OR($D42="",CP$5="",'상세일정'!AM42="제외"),"",IF($D42=$E42,IF(AND($D42&gt;=CP$5,$D42&lt;CP$5+7),"◆",""),IF(AND($D42&lt;CP$5+7,$E42&gt;CP$5),"■","")))</x:f>
      </x:c>
      <x:c r="CQ42" s="7" t="str">
        <x:f>IF(OR($D42="",CQ$5="",'상세일정'!AM42="제외"),"",IF($D42=$E42,IF(AND($D42&gt;=CQ$5,$D42&lt;CQ$5+7),"◆",""),IF(AND($D42&lt;CQ$5+7,$E42&gt;CQ$5),"■","")))</x:f>
      </x:c>
      <x:c r="CR42" s="7" t="str">
        <x:f>IF(OR($D42="",CR$5="",'상세일정'!AM42="제외"),"",IF($D42=$E42,IF(AND($D42&gt;=CR$5,$D42&lt;CR$5+7),"◆",""),IF(AND($D42&lt;CR$5+7,$E42&gt;CR$5),"■","")))</x:f>
      </x:c>
      <x:c r="CS42" s="7" t="str">
        <x:f>IF(OR($D42="",CS$5="",'상세일정'!AM42="제외"),"",IF($D42=$E42,IF(AND($D42&gt;=CS$5,$D42&lt;CS$5+7),"◆",""),IF(AND($D42&lt;CS$5+7,$E42&gt;CS$5),"■","")))</x:f>
      </x:c>
      <x:c r="CT42" s="7" t="str">
        <x:f>IF(OR($D42="",CT$5="",'상세일정'!AM42="제외"),"",IF($D42=$E42,IF(AND($D42&gt;=CT$5,$D42&lt;CT$5+7),"◆",""),IF(AND($D42&lt;CT$5+7,$E42&gt;CT$5),"■","")))</x:f>
      </x:c>
      <x:c r="CU42" s="7" t="str">
        <x:f>IF(OR($D42="",CU$5="",'상세일정'!AM42="제외"),"",IF($D42=$E42,IF(AND($D42&gt;=CU$5,$D42&lt;CU$5+7),"◆",""),IF(AND($D42&lt;CU$5+7,$E42&gt;CU$5),"■","")))</x:f>
      </x:c>
      <x:c r="CV42" s="7" t="str">
        <x:f>IF(OR($D42="",CV$5="",'상세일정'!AM42="제외"),"",IF($D42=$E42,IF(AND($D42&gt;=CV$5,$D42&lt;CV$5+7),"◆",""),IF(AND($D42&lt;CV$5+7,$E42&gt;CV$5),"■","")))</x:f>
      </x:c>
      <x:c r="CW42" s="7" t="str">
        <x:f>IF(OR($D42="",CW$5="",'상세일정'!AM42="제외"),"",IF($D42=$E42,IF(AND($D42&gt;=CW$5,$D42&lt;CW$5+7),"◆",""),IF(AND($D42&lt;CW$5+7,$E42&gt;CW$5),"■","")))</x:f>
      </x:c>
      <x:c r="CX42" s="7" t="str">
        <x:f>IF(OR($D42="",CX$5="",'상세일정'!AM42="제외"),"",IF($D42=$E42,IF(AND($D42&gt;=CX$5,$D42&lt;CX$5+7),"◆",""),IF(AND($D42&lt;CX$5+7,$E42&gt;CX$5),"■","")))</x:f>
      </x:c>
      <x:c r="CY42" s="7" t="str">
        <x:f>IF(OR($D42="",CY$5="",'상세일정'!AM42="제외"),"",IF($D42=$E42,IF(AND($D42&gt;=CY$5,$D42&lt;CY$5+7),"◆",""),IF(AND($D42&lt;CY$5+7,$E42&gt;CY$5),"■","")))</x:f>
      </x:c>
      <x:c r="CZ42" s="7" t="str">
        <x:f>IF(OR($D42="",CZ$5="",'상세일정'!AM42="제외"),"",IF($D42=$E42,IF(AND($D42&gt;=CZ$5,$D42&lt;CZ$5+7),"◆",""),IF(AND($D42&lt;CZ$5+7,$E42&gt;CZ$5),"■","")))</x:f>
      </x:c>
      <x:c r="DA42" s="7" t="str">
        <x:f>IF(OR($D42="",DA$5="",'상세일정'!AM42="제외"),"",IF($D42=$E42,IF(AND($D42&gt;=DA$5,$D42&lt;DA$5+7),"◆",""),IF(AND($D42&lt;DA$5+7,$E42&gt;DA$5),"■","")))</x:f>
      </x:c>
      <x:c r="DB42" s="7" t="str">
        <x:f>IF(OR($D42="",DB$5="",'상세일정'!AM42="제외"),"",IF($D42=$E42,IF(AND($D42&gt;=DB$5,$D42&lt;DB$5+7),"◆",""),IF(AND($D42&lt;DB$5+7,$E42&gt;DB$5),"■","")))</x:f>
      </x:c>
      <x:c r="DC42" s="7" t="str">
        <x:f>IF(OR($D42="",DC$5="",'상세일정'!AM42="제외"),"",IF($D42=$E42,IF(AND($D42&gt;=DC$5,$D42&lt;DC$5+7),"◆",""),IF(AND($D42&lt;DC$5+7,$E42&gt;DC$5),"■","")))</x:f>
      </x:c>
      <x:c r="DD42" s="7" t="str">
        <x:f>IF(OR($D42="",DD$5="",'상세일정'!AM42="제외"),"",IF($D42=$E42,IF(AND($D42&gt;=DD$5,$D42&lt;DD$5+7),"◆",""),IF(AND($D42&lt;DD$5+7,$E42&gt;DD$5),"■","")))</x:f>
      </x:c>
      <x:c r="DE42" s="7" t="str">
        <x:f>IF(OR($D42="",DE$5="",'상세일정'!AM42="제외"),"",IF($D42=$E42,IF(AND($D42&gt;=DE$5,$D42&lt;DE$5+7),"◆",""),IF(AND($D42&lt;DE$5+7,$E42&gt;DE$5),"■","")))</x:f>
      </x:c>
    </x:row>
    <x:row r="43" ht="34" customHeight="1">
      <x:c r="A43" s="7" t="str">
        <x:v>IC05</x:v>
      </x:c>
      <x:c r="B43" s="7" t="str">
        <x:v>07 계장·제어 상세설계</x:v>
      </x:c>
      <x:c r="C43" s="7" t="str">
        <x:v>방폭기기 사양·인증서·접지 연계 확인</x:v>
      </x:c>
      <x:c r="D43" s="10" t="str">
        <x:f>'상세일정'!AJ43</x:f>
      </x:c>
      <x:c r="E43" s="10" t="str">
        <x:f>'상세일정'!AK43</x:f>
      </x:c>
      <x:c r="F43" s="7" t="str">
        <x:f>IF(OR($D43="",F$5="",'상세일정'!AM43="제외"),"",IF($D43=$E43,IF(AND($D43&gt;=F$5,$D43&lt;F$5+7),"◆",""),IF(AND($D43&lt;F$5+7,$E43&gt;F$5),"■","")))</x:f>
      </x:c>
      <x:c r="G43" s="7" t="str">
        <x:f>IF(OR($D43="",G$5="",'상세일정'!AM43="제외"),"",IF($D43=$E43,IF(AND($D43&gt;=G$5,$D43&lt;G$5+7),"◆",""),IF(AND($D43&lt;G$5+7,$E43&gt;G$5),"■","")))</x:f>
      </x:c>
      <x:c r="H43" s="7" t="str">
        <x:f>IF(OR($D43="",H$5="",'상세일정'!AM43="제외"),"",IF($D43=$E43,IF(AND($D43&gt;=H$5,$D43&lt;H$5+7),"◆",""),IF(AND($D43&lt;H$5+7,$E43&gt;H$5),"■","")))</x:f>
      </x:c>
      <x:c r="I43" s="7" t="str">
        <x:f>IF(OR($D43="",I$5="",'상세일정'!AM43="제외"),"",IF($D43=$E43,IF(AND($D43&gt;=I$5,$D43&lt;I$5+7),"◆",""),IF(AND($D43&lt;I$5+7,$E43&gt;I$5),"■","")))</x:f>
      </x:c>
      <x:c r="J43" s="7" t="str">
        <x:f>IF(OR($D43="",J$5="",'상세일정'!AM43="제외"),"",IF($D43=$E43,IF(AND($D43&gt;=J$5,$D43&lt;J$5+7),"◆",""),IF(AND($D43&lt;J$5+7,$E43&gt;J$5),"■","")))</x:f>
      </x:c>
      <x:c r="K43" s="7" t="str">
        <x:f>IF(OR($D43="",K$5="",'상세일정'!AM43="제외"),"",IF($D43=$E43,IF(AND($D43&gt;=K$5,$D43&lt;K$5+7),"◆",""),IF(AND($D43&lt;K$5+7,$E43&gt;K$5),"■","")))</x:f>
      </x:c>
      <x:c r="L43" s="7" t="str">
        <x:f>IF(OR($D43="",L$5="",'상세일정'!AM43="제외"),"",IF($D43=$E43,IF(AND($D43&gt;=L$5,$D43&lt;L$5+7),"◆",""),IF(AND($D43&lt;L$5+7,$E43&gt;L$5),"■","")))</x:f>
      </x:c>
      <x:c r="M43" s="7" t="str">
        <x:f>IF(OR($D43="",M$5="",'상세일정'!AM43="제외"),"",IF($D43=$E43,IF(AND($D43&gt;=M$5,$D43&lt;M$5+7),"◆",""),IF(AND($D43&lt;M$5+7,$E43&gt;M$5),"■","")))</x:f>
      </x:c>
      <x:c r="N43" s="7" t="str">
        <x:f>IF(OR($D43="",N$5="",'상세일정'!AM43="제외"),"",IF($D43=$E43,IF(AND($D43&gt;=N$5,$D43&lt;N$5+7),"◆",""),IF(AND($D43&lt;N$5+7,$E43&gt;N$5),"■","")))</x:f>
      </x:c>
      <x:c r="O43" s="7" t="str">
        <x:f>IF(OR($D43="",O$5="",'상세일정'!AM43="제외"),"",IF($D43=$E43,IF(AND($D43&gt;=O$5,$D43&lt;O$5+7),"◆",""),IF(AND($D43&lt;O$5+7,$E43&gt;O$5),"■","")))</x:f>
      </x:c>
      <x:c r="P43" s="7" t="str">
        <x:f>IF(OR($D43="",P$5="",'상세일정'!AM43="제외"),"",IF($D43=$E43,IF(AND($D43&gt;=P$5,$D43&lt;P$5+7),"◆",""),IF(AND($D43&lt;P$5+7,$E43&gt;P$5),"■","")))</x:f>
      </x:c>
      <x:c r="Q43" s="7" t="str">
        <x:f>IF(OR($D43="",Q$5="",'상세일정'!AM43="제외"),"",IF($D43=$E43,IF(AND($D43&gt;=Q$5,$D43&lt;Q$5+7),"◆",""),IF(AND($D43&lt;Q$5+7,$E43&gt;Q$5),"■","")))</x:f>
      </x:c>
      <x:c r="R43" s="7" t="str">
        <x:f>IF(OR($D43="",R$5="",'상세일정'!AM43="제외"),"",IF($D43=$E43,IF(AND($D43&gt;=R$5,$D43&lt;R$5+7),"◆",""),IF(AND($D43&lt;R$5+7,$E43&gt;R$5),"■","")))</x:f>
      </x:c>
      <x:c r="S43" s="7" t="str">
        <x:f>IF(OR($D43="",S$5="",'상세일정'!AM43="제외"),"",IF($D43=$E43,IF(AND($D43&gt;=S$5,$D43&lt;S$5+7),"◆",""),IF(AND($D43&lt;S$5+7,$E43&gt;S$5),"■","")))</x:f>
      </x:c>
      <x:c r="T43" s="7" t="str">
        <x:f>IF(OR($D43="",T$5="",'상세일정'!AM43="제외"),"",IF($D43=$E43,IF(AND($D43&gt;=T$5,$D43&lt;T$5+7),"◆",""),IF(AND($D43&lt;T$5+7,$E43&gt;T$5),"■","")))</x:f>
      </x:c>
      <x:c r="U43" s="7" t="str">
        <x:f>IF(OR($D43="",U$5="",'상세일정'!AM43="제외"),"",IF($D43=$E43,IF(AND($D43&gt;=U$5,$D43&lt;U$5+7),"◆",""),IF(AND($D43&lt;U$5+7,$E43&gt;U$5),"■","")))</x:f>
      </x:c>
      <x:c r="V43" s="7" t="str">
        <x:f>IF(OR($D43="",V$5="",'상세일정'!AM43="제외"),"",IF($D43=$E43,IF(AND($D43&gt;=V$5,$D43&lt;V$5+7),"◆",""),IF(AND($D43&lt;V$5+7,$E43&gt;V$5),"■","")))</x:f>
      </x:c>
      <x:c r="W43" s="7" t="str">
        <x:f>IF(OR($D43="",W$5="",'상세일정'!AM43="제외"),"",IF($D43=$E43,IF(AND($D43&gt;=W$5,$D43&lt;W$5+7),"◆",""),IF(AND($D43&lt;W$5+7,$E43&gt;W$5),"■","")))</x:f>
      </x:c>
      <x:c r="X43" s="7" t="str">
        <x:f>IF(OR($D43="",X$5="",'상세일정'!AM43="제외"),"",IF($D43=$E43,IF(AND($D43&gt;=X$5,$D43&lt;X$5+7),"◆",""),IF(AND($D43&lt;X$5+7,$E43&gt;X$5),"■","")))</x:f>
      </x:c>
      <x:c r="Y43" s="7" t="str">
        <x:f>IF(OR($D43="",Y$5="",'상세일정'!AM43="제외"),"",IF($D43=$E43,IF(AND($D43&gt;=Y$5,$D43&lt;Y$5+7),"◆",""),IF(AND($D43&lt;Y$5+7,$E43&gt;Y$5),"■","")))</x:f>
      </x:c>
      <x:c r="Z43" s="7" t="str">
        <x:f>IF(OR($D43="",Z$5="",'상세일정'!AM43="제외"),"",IF($D43=$E43,IF(AND($D43&gt;=Z$5,$D43&lt;Z$5+7),"◆",""),IF(AND($D43&lt;Z$5+7,$E43&gt;Z$5),"■","")))</x:f>
      </x:c>
      <x:c r="AA43" s="7" t="str">
        <x:f>IF(OR($D43="",AA$5="",'상세일정'!AM43="제외"),"",IF($D43=$E43,IF(AND($D43&gt;=AA$5,$D43&lt;AA$5+7),"◆",""),IF(AND($D43&lt;AA$5+7,$E43&gt;AA$5),"■","")))</x:f>
      </x:c>
      <x:c r="AB43" s="7" t="str">
        <x:f>IF(OR($D43="",AB$5="",'상세일정'!AM43="제외"),"",IF($D43=$E43,IF(AND($D43&gt;=AB$5,$D43&lt;AB$5+7),"◆",""),IF(AND($D43&lt;AB$5+7,$E43&gt;AB$5),"■","")))</x:f>
      </x:c>
      <x:c r="AC43" s="7" t="str">
        <x:f>IF(OR($D43="",AC$5="",'상세일정'!AM43="제외"),"",IF($D43=$E43,IF(AND($D43&gt;=AC$5,$D43&lt;AC$5+7),"◆",""),IF(AND($D43&lt;AC$5+7,$E43&gt;AC$5),"■","")))</x:f>
      </x:c>
      <x:c r="AD43" s="7" t="str">
        <x:f>IF(OR($D43="",AD$5="",'상세일정'!AM43="제외"),"",IF($D43=$E43,IF(AND($D43&gt;=AD$5,$D43&lt;AD$5+7),"◆",""),IF(AND($D43&lt;AD$5+7,$E43&gt;AD$5),"■","")))</x:f>
      </x:c>
      <x:c r="AE43" s="7" t="str">
        <x:f>IF(OR($D43="",AE$5="",'상세일정'!AM43="제외"),"",IF($D43=$E43,IF(AND($D43&gt;=AE$5,$D43&lt;AE$5+7),"◆",""),IF(AND($D43&lt;AE$5+7,$E43&gt;AE$5),"■","")))</x:f>
      </x:c>
      <x:c r="AF43" s="7" t="str">
        <x:f>IF(OR($D43="",AF$5="",'상세일정'!AM43="제외"),"",IF($D43=$E43,IF(AND($D43&gt;=AF$5,$D43&lt;AF$5+7),"◆",""),IF(AND($D43&lt;AF$5+7,$E43&gt;AF$5),"■","")))</x:f>
      </x:c>
      <x:c r="AG43" s="7" t="str">
        <x:f>IF(OR($D43="",AG$5="",'상세일정'!AM43="제외"),"",IF($D43=$E43,IF(AND($D43&gt;=AG$5,$D43&lt;AG$5+7),"◆",""),IF(AND($D43&lt;AG$5+7,$E43&gt;AG$5),"■","")))</x:f>
      </x:c>
      <x:c r="AH43" s="7" t="str">
        <x:f>IF(OR($D43="",AH$5="",'상세일정'!AM43="제외"),"",IF($D43=$E43,IF(AND($D43&gt;=AH$5,$D43&lt;AH$5+7),"◆",""),IF(AND($D43&lt;AH$5+7,$E43&gt;AH$5),"■","")))</x:f>
      </x:c>
      <x:c r="AI43" s="7" t="str">
        <x:f>IF(OR($D43="",AI$5="",'상세일정'!AM43="제외"),"",IF($D43=$E43,IF(AND($D43&gt;=AI$5,$D43&lt;AI$5+7),"◆",""),IF(AND($D43&lt;AI$5+7,$E43&gt;AI$5),"■","")))</x:f>
      </x:c>
      <x:c r="AJ43" s="7" t="str">
        <x:f>IF(OR($D43="",AJ$5="",'상세일정'!AM43="제외"),"",IF($D43=$E43,IF(AND($D43&gt;=AJ$5,$D43&lt;AJ$5+7),"◆",""),IF(AND($D43&lt;AJ$5+7,$E43&gt;AJ$5),"■","")))</x:f>
      </x:c>
      <x:c r="AK43" s="7" t="str">
        <x:f>IF(OR($D43="",AK$5="",'상세일정'!AM43="제외"),"",IF($D43=$E43,IF(AND($D43&gt;=AK$5,$D43&lt;AK$5+7),"◆",""),IF(AND($D43&lt;AK$5+7,$E43&gt;AK$5),"■","")))</x:f>
      </x:c>
      <x:c r="AL43" s="7" t="str">
        <x:f>IF(OR($D43="",AL$5="",'상세일정'!AM43="제외"),"",IF($D43=$E43,IF(AND($D43&gt;=AL$5,$D43&lt;AL$5+7),"◆",""),IF(AND($D43&lt;AL$5+7,$E43&gt;AL$5),"■","")))</x:f>
      </x:c>
      <x:c r="AM43" s="7" t="str">
        <x:f>IF(OR($D43="",AM$5="",'상세일정'!AM43="제외"),"",IF($D43=$E43,IF(AND($D43&gt;=AM$5,$D43&lt;AM$5+7),"◆",""),IF(AND($D43&lt;AM$5+7,$E43&gt;AM$5),"■","")))</x:f>
      </x:c>
      <x:c r="AN43" s="7" t="str">
        <x:f>IF(OR($D43="",AN$5="",'상세일정'!AM43="제외"),"",IF($D43=$E43,IF(AND($D43&gt;=AN$5,$D43&lt;AN$5+7),"◆",""),IF(AND($D43&lt;AN$5+7,$E43&gt;AN$5),"■","")))</x:f>
      </x:c>
      <x:c r="AO43" s="7" t="str">
        <x:f>IF(OR($D43="",AO$5="",'상세일정'!AM43="제외"),"",IF($D43=$E43,IF(AND($D43&gt;=AO$5,$D43&lt;AO$5+7),"◆",""),IF(AND($D43&lt;AO$5+7,$E43&gt;AO$5),"■","")))</x:f>
      </x:c>
      <x:c r="AP43" s="7" t="str">
        <x:f>IF(OR($D43="",AP$5="",'상세일정'!AM43="제외"),"",IF($D43=$E43,IF(AND($D43&gt;=AP$5,$D43&lt;AP$5+7),"◆",""),IF(AND($D43&lt;AP$5+7,$E43&gt;AP$5),"■","")))</x:f>
      </x:c>
      <x:c r="AQ43" s="7" t="str">
        <x:f>IF(OR($D43="",AQ$5="",'상세일정'!AM43="제외"),"",IF($D43=$E43,IF(AND($D43&gt;=AQ$5,$D43&lt;AQ$5+7),"◆",""),IF(AND($D43&lt;AQ$5+7,$E43&gt;AQ$5),"■","")))</x:f>
      </x:c>
      <x:c r="AR43" s="7" t="str">
        <x:f>IF(OR($D43="",AR$5="",'상세일정'!AM43="제외"),"",IF($D43=$E43,IF(AND($D43&gt;=AR$5,$D43&lt;AR$5+7),"◆",""),IF(AND($D43&lt;AR$5+7,$E43&gt;AR$5),"■","")))</x:f>
      </x:c>
      <x:c r="AS43" s="7" t="str">
        <x:f>IF(OR($D43="",AS$5="",'상세일정'!AM43="제외"),"",IF($D43=$E43,IF(AND($D43&gt;=AS$5,$D43&lt;AS$5+7),"◆",""),IF(AND($D43&lt;AS$5+7,$E43&gt;AS$5),"■","")))</x:f>
      </x:c>
      <x:c r="AT43" s="7" t="str">
        <x:f>IF(OR($D43="",AT$5="",'상세일정'!AM43="제외"),"",IF($D43=$E43,IF(AND($D43&gt;=AT$5,$D43&lt;AT$5+7),"◆",""),IF(AND($D43&lt;AT$5+7,$E43&gt;AT$5),"■","")))</x:f>
      </x:c>
      <x:c r="AU43" s="7" t="str">
        <x:f>IF(OR($D43="",AU$5="",'상세일정'!AM43="제외"),"",IF($D43=$E43,IF(AND($D43&gt;=AU$5,$D43&lt;AU$5+7),"◆",""),IF(AND($D43&lt;AU$5+7,$E43&gt;AU$5),"■","")))</x:f>
      </x:c>
      <x:c r="AV43" s="7" t="str">
        <x:f>IF(OR($D43="",AV$5="",'상세일정'!AM43="제외"),"",IF($D43=$E43,IF(AND($D43&gt;=AV$5,$D43&lt;AV$5+7),"◆",""),IF(AND($D43&lt;AV$5+7,$E43&gt;AV$5),"■","")))</x:f>
      </x:c>
      <x:c r="AW43" s="7" t="str">
        <x:f>IF(OR($D43="",AW$5="",'상세일정'!AM43="제외"),"",IF($D43=$E43,IF(AND($D43&gt;=AW$5,$D43&lt;AW$5+7),"◆",""),IF(AND($D43&lt;AW$5+7,$E43&gt;AW$5),"■","")))</x:f>
      </x:c>
      <x:c r="AX43" s="7" t="str">
        <x:f>IF(OR($D43="",AX$5="",'상세일정'!AM43="제외"),"",IF($D43=$E43,IF(AND($D43&gt;=AX$5,$D43&lt;AX$5+7),"◆",""),IF(AND($D43&lt;AX$5+7,$E43&gt;AX$5),"■","")))</x:f>
      </x:c>
      <x:c r="AY43" s="7" t="str">
        <x:f>IF(OR($D43="",AY$5="",'상세일정'!AM43="제외"),"",IF($D43=$E43,IF(AND($D43&gt;=AY$5,$D43&lt;AY$5+7),"◆",""),IF(AND($D43&lt;AY$5+7,$E43&gt;AY$5),"■","")))</x:f>
      </x:c>
      <x:c r="AZ43" s="7" t="str">
        <x:f>IF(OR($D43="",AZ$5="",'상세일정'!AM43="제외"),"",IF($D43=$E43,IF(AND($D43&gt;=AZ$5,$D43&lt;AZ$5+7),"◆",""),IF(AND($D43&lt;AZ$5+7,$E43&gt;AZ$5),"■","")))</x:f>
      </x:c>
      <x:c r="BA43" s="7" t="str">
        <x:f>IF(OR($D43="",BA$5="",'상세일정'!AM43="제외"),"",IF($D43=$E43,IF(AND($D43&gt;=BA$5,$D43&lt;BA$5+7),"◆",""),IF(AND($D43&lt;BA$5+7,$E43&gt;BA$5),"■","")))</x:f>
      </x:c>
      <x:c r="BB43" s="7" t="str">
        <x:f>IF(OR($D43="",BB$5="",'상세일정'!AM43="제외"),"",IF($D43=$E43,IF(AND($D43&gt;=BB$5,$D43&lt;BB$5+7),"◆",""),IF(AND($D43&lt;BB$5+7,$E43&gt;BB$5),"■","")))</x:f>
      </x:c>
      <x:c r="BC43" s="7" t="str">
        <x:f>IF(OR($D43="",BC$5="",'상세일정'!AM43="제외"),"",IF($D43=$E43,IF(AND($D43&gt;=BC$5,$D43&lt;BC$5+7),"◆",""),IF(AND($D43&lt;BC$5+7,$E43&gt;BC$5),"■","")))</x:f>
      </x:c>
      <x:c r="BD43" s="7" t="str">
        <x:f>IF(OR($D43="",BD$5="",'상세일정'!AM43="제외"),"",IF($D43=$E43,IF(AND($D43&gt;=BD$5,$D43&lt;BD$5+7),"◆",""),IF(AND($D43&lt;BD$5+7,$E43&gt;BD$5),"■","")))</x:f>
      </x:c>
      <x:c r="BE43" s="7" t="str">
        <x:f>IF(OR($D43="",BE$5="",'상세일정'!AM43="제외"),"",IF($D43=$E43,IF(AND($D43&gt;=BE$5,$D43&lt;BE$5+7),"◆",""),IF(AND($D43&lt;BE$5+7,$E43&gt;BE$5),"■","")))</x:f>
      </x:c>
      <x:c r="BF43" s="7" t="str">
        <x:f>IF(OR($D43="",BF$5="",'상세일정'!AM43="제외"),"",IF($D43=$E43,IF(AND($D43&gt;=BF$5,$D43&lt;BF$5+7),"◆",""),IF(AND($D43&lt;BF$5+7,$E43&gt;BF$5),"■","")))</x:f>
      </x:c>
      <x:c r="BG43" s="7" t="str">
        <x:f>IF(OR($D43="",BG$5="",'상세일정'!AM43="제외"),"",IF($D43=$E43,IF(AND($D43&gt;=BG$5,$D43&lt;BG$5+7),"◆",""),IF(AND($D43&lt;BG$5+7,$E43&gt;BG$5),"■","")))</x:f>
      </x:c>
      <x:c r="BH43" s="7" t="str">
        <x:f>IF(OR($D43="",BH$5="",'상세일정'!AM43="제외"),"",IF($D43=$E43,IF(AND($D43&gt;=BH$5,$D43&lt;BH$5+7),"◆",""),IF(AND($D43&lt;BH$5+7,$E43&gt;BH$5),"■","")))</x:f>
      </x:c>
      <x:c r="BI43" s="7" t="str">
        <x:f>IF(OR($D43="",BI$5="",'상세일정'!AM43="제외"),"",IF($D43=$E43,IF(AND($D43&gt;=BI$5,$D43&lt;BI$5+7),"◆",""),IF(AND($D43&lt;BI$5+7,$E43&gt;BI$5),"■","")))</x:f>
      </x:c>
      <x:c r="BJ43" s="7" t="str">
        <x:f>IF(OR($D43="",BJ$5="",'상세일정'!AM43="제외"),"",IF($D43=$E43,IF(AND($D43&gt;=BJ$5,$D43&lt;BJ$5+7),"◆",""),IF(AND($D43&lt;BJ$5+7,$E43&gt;BJ$5),"■","")))</x:f>
      </x:c>
      <x:c r="BK43" s="7" t="str">
        <x:f>IF(OR($D43="",BK$5="",'상세일정'!AM43="제외"),"",IF($D43=$E43,IF(AND($D43&gt;=BK$5,$D43&lt;BK$5+7),"◆",""),IF(AND($D43&lt;BK$5+7,$E43&gt;BK$5),"■","")))</x:f>
      </x:c>
      <x:c r="BL43" s="7" t="str">
        <x:f>IF(OR($D43="",BL$5="",'상세일정'!AM43="제외"),"",IF($D43=$E43,IF(AND($D43&gt;=BL$5,$D43&lt;BL$5+7),"◆",""),IF(AND($D43&lt;BL$5+7,$E43&gt;BL$5),"■","")))</x:f>
      </x:c>
      <x:c r="BM43" s="7" t="str">
        <x:f>IF(OR($D43="",BM$5="",'상세일정'!AM43="제외"),"",IF($D43=$E43,IF(AND($D43&gt;=BM$5,$D43&lt;BM$5+7),"◆",""),IF(AND($D43&lt;BM$5+7,$E43&gt;BM$5),"■","")))</x:f>
      </x:c>
      <x:c r="BN43" s="7" t="str">
        <x:f>IF(OR($D43="",BN$5="",'상세일정'!AM43="제외"),"",IF($D43=$E43,IF(AND($D43&gt;=BN$5,$D43&lt;BN$5+7),"◆",""),IF(AND($D43&lt;BN$5+7,$E43&gt;BN$5),"■","")))</x:f>
      </x:c>
      <x:c r="BO43" s="7" t="str">
        <x:f>IF(OR($D43="",BO$5="",'상세일정'!AM43="제외"),"",IF($D43=$E43,IF(AND($D43&gt;=BO$5,$D43&lt;BO$5+7),"◆",""),IF(AND($D43&lt;BO$5+7,$E43&gt;BO$5),"■","")))</x:f>
      </x:c>
      <x:c r="BP43" s="7" t="str">
        <x:f>IF(OR($D43="",BP$5="",'상세일정'!AM43="제외"),"",IF($D43=$E43,IF(AND($D43&gt;=BP$5,$D43&lt;BP$5+7),"◆",""),IF(AND($D43&lt;BP$5+7,$E43&gt;BP$5),"■","")))</x:f>
      </x:c>
      <x:c r="BQ43" s="7" t="str">
        <x:f>IF(OR($D43="",BQ$5="",'상세일정'!AM43="제외"),"",IF($D43=$E43,IF(AND($D43&gt;=BQ$5,$D43&lt;BQ$5+7),"◆",""),IF(AND($D43&lt;BQ$5+7,$E43&gt;BQ$5),"■","")))</x:f>
      </x:c>
      <x:c r="BR43" s="7" t="str">
        <x:f>IF(OR($D43="",BR$5="",'상세일정'!AM43="제외"),"",IF($D43=$E43,IF(AND($D43&gt;=BR$5,$D43&lt;BR$5+7),"◆",""),IF(AND($D43&lt;BR$5+7,$E43&gt;BR$5),"■","")))</x:f>
      </x:c>
      <x:c r="BS43" s="7" t="str">
        <x:f>IF(OR($D43="",BS$5="",'상세일정'!AM43="제외"),"",IF($D43=$E43,IF(AND($D43&gt;=BS$5,$D43&lt;BS$5+7),"◆",""),IF(AND($D43&lt;BS$5+7,$E43&gt;BS$5),"■","")))</x:f>
      </x:c>
      <x:c r="BT43" s="7" t="str">
        <x:f>IF(OR($D43="",BT$5="",'상세일정'!AM43="제외"),"",IF($D43=$E43,IF(AND($D43&gt;=BT$5,$D43&lt;BT$5+7),"◆",""),IF(AND($D43&lt;BT$5+7,$E43&gt;BT$5),"■","")))</x:f>
      </x:c>
      <x:c r="BU43" s="7" t="str">
        <x:f>IF(OR($D43="",BU$5="",'상세일정'!AM43="제외"),"",IF($D43=$E43,IF(AND($D43&gt;=BU$5,$D43&lt;BU$5+7),"◆",""),IF(AND($D43&lt;BU$5+7,$E43&gt;BU$5),"■","")))</x:f>
      </x:c>
      <x:c r="BV43" s="7" t="str">
        <x:f>IF(OR($D43="",BV$5="",'상세일정'!AM43="제외"),"",IF($D43=$E43,IF(AND($D43&gt;=BV$5,$D43&lt;BV$5+7),"◆",""),IF(AND($D43&lt;BV$5+7,$E43&gt;BV$5),"■","")))</x:f>
      </x:c>
      <x:c r="BW43" s="7" t="str">
        <x:f>IF(OR($D43="",BW$5="",'상세일정'!AM43="제외"),"",IF($D43=$E43,IF(AND($D43&gt;=BW$5,$D43&lt;BW$5+7),"◆",""),IF(AND($D43&lt;BW$5+7,$E43&gt;BW$5),"■","")))</x:f>
      </x:c>
      <x:c r="BX43" s="7" t="str">
        <x:f>IF(OR($D43="",BX$5="",'상세일정'!AM43="제외"),"",IF($D43=$E43,IF(AND($D43&gt;=BX$5,$D43&lt;BX$5+7),"◆",""),IF(AND($D43&lt;BX$5+7,$E43&gt;BX$5),"■","")))</x:f>
      </x:c>
      <x:c r="BY43" s="7" t="str">
        <x:f>IF(OR($D43="",BY$5="",'상세일정'!AM43="제외"),"",IF($D43=$E43,IF(AND($D43&gt;=BY$5,$D43&lt;BY$5+7),"◆",""),IF(AND($D43&lt;BY$5+7,$E43&gt;BY$5),"■","")))</x:f>
      </x:c>
      <x:c r="BZ43" s="7" t="str">
        <x:f>IF(OR($D43="",BZ$5="",'상세일정'!AM43="제외"),"",IF($D43=$E43,IF(AND($D43&gt;=BZ$5,$D43&lt;BZ$5+7),"◆",""),IF(AND($D43&lt;BZ$5+7,$E43&gt;BZ$5),"■","")))</x:f>
      </x:c>
      <x:c r="CA43" s="7" t="str">
        <x:f>IF(OR($D43="",CA$5="",'상세일정'!AM43="제외"),"",IF($D43=$E43,IF(AND($D43&gt;=CA$5,$D43&lt;CA$5+7),"◆",""),IF(AND($D43&lt;CA$5+7,$E43&gt;CA$5),"■","")))</x:f>
      </x:c>
      <x:c r="CB43" s="7" t="str">
        <x:f>IF(OR($D43="",CB$5="",'상세일정'!AM43="제외"),"",IF($D43=$E43,IF(AND($D43&gt;=CB$5,$D43&lt;CB$5+7),"◆",""),IF(AND($D43&lt;CB$5+7,$E43&gt;CB$5),"■","")))</x:f>
      </x:c>
      <x:c r="CC43" s="7" t="str">
        <x:f>IF(OR($D43="",CC$5="",'상세일정'!AM43="제외"),"",IF($D43=$E43,IF(AND($D43&gt;=CC$5,$D43&lt;CC$5+7),"◆",""),IF(AND($D43&lt;CC$5+7,$E43&gt;CC$5),"■","")))</x:f>
      </x:c>
      <x:c r="CD43" s="7" t="str">
        <x:f>IF(OR($D43="",CD$5="",'상세일정'!AM43="제외"),"",IF($D43=$E43,IF(AND($D43&gt;=CD$5,$D43&lt;CD$5+7),"◆",""),IF(AND($D43&lt;CD$5+7,$E43&gt;CD$5),"■","")))</x:f>
      </x:c>
      <x:c r="CE43" s="7" t="str">
        <x:f>IF(OR($D43="",CE$5="",'상세일정'!AM43="제외"),"",IF($D43=$E43,IF(AND($D43&gt;=CE$5,$D43&lt;CE$5+7),"◆",""),IF(AND($D43&lt;CE$5+7,$E43&gt;CE$5),"■","")))</x:f>
      </x:c>
      <x:c r="CF43" s="7" t="str">
        <x:f>IF(OR($D43="",CF$5="",'상세일정'!AM43="제외"),"",IF($D43=$E43,IF(AND($D43&gt;=CF$5,$D43&lt;CF$5+7),"◆",""),IF(AND($D43&lt;CF$5+7,$E43&gt;CF$5),"■","")))</x:f>
      </x:c>
      <x:c r="CG43" s="7" t="str">
        <x:f>IF(OR($D43="",CG$5="",'상세일정'!AM43="제외"),"",IF($D43=$E43,IF(AND($D43&gt;=CG$5,$D43&lt;CG$5+7),"◆",""),IF(AND($D43&lt;CG$5+7,$E43&gt;CG$5),"■","")))</x:f>
      </x:c>
      <x:c r="CH43" s="7" t="str">
        <x:f>IF(OR($D43="",CH$5="",'상세일정'!AM43="제외"),"",IF($D43=$E43,IF(AND($D43&gt;=CH$5,$D43&lt;CH$5+7),"◆",""),IF(AND($D43&lt;CH$5+7,$E43&gt;CH$5),"■","")))</x:f>
      </x:c>
      <x:c r="CI43" s="7" t="str">
        <x:f>IF(OR($D43="",CI$5="",'상세일정'!AM43="제외"),"",IF($D43=$E43,IF(AND($D43&gt;=CI$5,$D43&lt;CI$5+7),"◆",""),IF(AND($D43&lt;CI$5+7,$E43&gt;CI$5),"■","")))</x:f>
      </x:c>
      <x:c r="CJ43" s="7" t="str">
        <x:f>IF(OR($D43="",CJ$5="",'상세일정'!AM43="제외"),"",IF($D43=$E43,IF(AND($D43&gt;=CJ$5,$D43&lt;CJ$5+7),"◆",""),IF(AND($D43&lt;CJ$5+7,$E43&gt;CJ$5),"■","")))</x:f>
      </x:c>
      <x:c r="CK43" s="7" t="str">
        <x:f>IF(OR($D43="",CK$5="",'상세일정'!AM43="제외"),"",IF($D43=$E43,IF(AND($D43&gt;=CK$5,$D43&lt;CK$5+7),"◆",""),IF(AND($D43&lt;CK$5+7,$E43&gt;CK$5),"■","")))</x:f>
      </x:c>
      <x:c r="CL43" s="7" t="str">
        <x:f>IF(OR($D43="",CL$5="",'상세일정'!AM43="제외"),"",IF($D43=$E43,IF(AND($D43&gt;=CL$5,$D43&lt;CL$5+7),"◆",""),IF(AND($D43&lt;CL$5+7,$E43&gt;CL$5),"■","")))</x:f>
      </x:c>
      <x:c r="CM43" s="7" t="str">
        <x:f>IF(OR($D43="",CM$5="",'상세일정'!AM43="제외"),"",IF($D43=$E43,IF(AND($D43&gt;=CM$5,$D43&lt;CM$5+7),"◆",""),IF(AND($D43&lt;CM$5+7,$E43&gt;CM$5),"■","")))</x:f>
      </x:c>
      <x:c r="CN43" s="7" t="str">
        <x:f>IF(OR($D43="",CN$5="",'상세일정'!AM43="제외"),"",IF($D43=$E43,IF(AND($D43&gt;=CN$5,$D43&lt;CN$5+7),"◆",""),IF(AND($D43&lt;CN$5+7,$E43&gt;CN$5),"■","")))</x:f>
      </x:c>
      <x:c r="CO43" s="7" t="str">
        <x:f>IF(OR($D43="",CO$5="",'상세일정'!AM43="제외"),"",IF($D43=$E43,IF(AND($D43&gt;=CO$5,$D43&lt;CO$5+7),"◆",""),IF(AND($D43&lt;CO$5+7,$E43&gt;CO$5),"■","")))</x:f>
      </x:c>
      <x:c r="CP43" s="7" t="str">
        <x:f>IF(OR($D43="",CP$5="",'상세일정'!AM43="제외"),"",IF($D43=$E43,IF(AND($D43&gt;=CP$5,$D43&lt;CP$5+7),"◆",""),IF(AND($D43&lt;CP$5+7,$E43&gt;CP$5),"■","")))</x:f>
      </x:c>
      <x:c r="CQ43" s="7" t="str">
        <x:f>IF(OR($D43="",CQ$5="",'상세일정'!AM43="제외"),"",IF($D43=$E43,IF(AND($D43&gt;=CQ$5,$D43&lt;CQ$5+7),"◆",""),IF(AND($D43&lt;CQ$5+7,$E43&gt;CQ$5),"■","")))</x:f>
      </x:c>
      <x:c r="CR43" s="7" t="str">
        <x:f>IF(OR($D43="",CR$5="",'상세일정'!AM43="제외"),"",IF($D43=$E43,IF(AND($D43&gt;=CR$5,$D43&lt;CR$5+7),"◆",""),IF(AND($D43&lt;CR$5+7,$E43&gt;CR$5),"■","")))</x:f>
      </x:c>
      <x:c r="CS43" s="7" t="str">
        <x:f>IF(OR($D43="",CS$5="",'상세일정'!AM43="제외"),"",IF($D43=$E43,IF(AND($D43&gt;=CS$5,$D43&lt;CS$5+7),"◆",""),IF(AND($D43&lt;CS$5+7,$E43&gt;CS$5),"■","")))</x:f>
      </x:c>
      <x:c r="CT43" s="7" t="str">
        <x:f>IF(OR($D43="",CT$5="",'상세일정'!AM43="제외"),"",IF($D43=$E43,IF(AND($D43&gt;=CT$5,$D43&lt;CT$5+7),"◆",""),IF(AND($D43&lt;CT$5+7,$E43&gt;CT$5),"■","")))</x:f>
      </x:c>
      <x:c r="CU43" s="7" t="str">
        <x:f>IF(OR($D43="",CU$5="",'상세일정'!AM43="제외"),"",IF($D43=$E43,IF(AND($D43&gt;=CU$5,$D43&lt;CU$5+7),"◆",""),IF(AND($D43&lt;CU$5+7,$E43&gt;CU$5),"■","")))</x:f>
      </x:c>
      <x:c r="CV43" s="7" t="str">
        <x:f>IF(OR($D43="",CV$5="",'상세일정'!AM43="제외"),"",IF($D43=$E43,IF(AND($D43&gt;=CV$5,$D43&lt;CV$5+7),"◆",""),IF(AND($D43&lt;CV$5+7,$E43&gt;CV$5),"■","")))</x:f>
      </x:c>
      <x:c r="CW43" s="7" t="str">
        <x:f>IF(OR($D43="",CW$5="",'상세일정'!AM43="제외"),"",IF($D43=$E43,IF(AND($D43&gt;=CW$5,$D43&lt;CW$5+7),"◆",""),IF(AND($D43&lt;CW$5+7,$E43&gt;CW$5),"■","")))</x:f>
      </x:c>
      <x:c r="CX43" s="7" t="str">
        <x:f>IF(OR($D43="",CX$5="",'상세일정'!AM43="제외"),"",IF($D43=$E43,IF(AND($D43&gt;=CX$5,$D43&lt;CX$5+7),"◆",""),IF(AND($D43&lt;CX$5+7,$E43&gt;CX$5),"■","")))</x:f>
      </x:c>
      <x:c r="CY43" s="7" t="str">
        <x:f>IF(OR($D43="",CY$5="",'상세일정'!AM43="제외"),"",IF($D43=$E43,IF(AND($D43&gt;=CY$5,$D43&lt;CY$5+7),"◆",""),IF(AND($D43&lt;CY$5+7,$E43&gt;CY$5),"■","")))</x:f>
      </x:c>
      <x:c r="CZ43" s="7" t="str">
        <x:f>IF(OR($D43="",CZ$5="",'상세일정'!AM43="제외"),"",IF($D43=$E43,IF(AND($D43&gt;=CZ$5,$D43&lt;CZ$5+7),"◆",""),IF(AND($D43&lt;CZ$5+7,$E43&gt;CZ$5),"■","")))</x:f>
      </x:c>
      <x:c r="DA43" s="7" t="str">
        <x:f>IF(OR($D43="",DA$5="",'상세일정'!AM43="제외"),"",IF($D43=$E43,IF(AND($D43&gt;=DA$5,$D43&lt;DA$5+7),"◆",""),IF(AND($D43&lt;DA$5+7,$E43&gt;DA$5),"■","")))</x:f>
      </x:c>
      <x:c r="DB43" s="7" t="str">
        <x:f>IF(OR($D43="",DB$5="",'상세일정'!AM43="제외"),"",IF($D43=$E43,IF(AND($D43&gt;=DB$5,$D43&lt;DB$5+7),"◆",""),IF(AND($D43&lt;DB$5+7,$E43&gt;DB$5),"■","")))</x:f>
      </x:c>
      <x:c r="DC43" s="7" t="str">
        <x:f>IF(OR($D43="",DC$5="",'상세일정'!AM43="제외"),"",IF($D43=$E43,IF(AND($D43&gt;=DC$5,$D43&lt;DC$5+7),"◆",""),IF(AND($D43&lt;DC$5+7,$E43&gt;DC$5),"■","")))</x:f>
      </x:c>
      <x:c r="DD43" s="7" t="str">
        <x:f>IF(OR($D43="",DD$5="",'상세일정'!AM43="제외"),"",IF($D43=$E43,IF(AND($D43&gt;=DD$5,$D43&lt;DD$5+7),"◆",""),IF(AND($D43&lt;DD$5+7,$E43&gt;DD$5),"■","")))</x:f>
      </x:c>
      <x:c r="DE43" s="7" t="str">
        <x:f>IF(OR($D43="",DE$5="",'상세일정'!AM43="제외"),"",IF($D43=$E43,IF(AND($D43&gt;=DE$5,$D43&lt;DE$5+7),"◆",""),IF(AND($D43&lt;DE$5+7,$E43&gt;DE$5),"■","")))</x:f>
      </x:c>
    </x:row>
    <x:row r="44" ht="34" customHeight="1">
      <x:c r="A44" s="7" t="str">
        <x:v>IC06</x:v>
      </x:c>
      <x:c r="B44" s="7" t="str">
        <x:v>07 계장·제어 상세설계</x:v>
      </x:c>
      <x:c r="C44" s="7" t="str">
        <x:v>PLC/SCADA 기능설계 검토 및 동결</x:v>
      </x:c>
      <x:c r="D44" s="10" t="str">
        <x:f>'상세일정'!AJ44</x:f>
      </x:c>
      <x:c r="E44" s="10" t="str">
        <x:f>'상세일정'!AK44</x:f>
      </x:c>
      <x:c r="F44" s="7" t="str">
        <x:f>IF(OR($D44="",F$5="",'상세일정'!AM44="제외"),"",IF($D44=$E44,IF(AND($D44&gt;=F$5,$D44&lt;F$5+7),"◆",""),IF(AND($D44&lt;F$5+7,$E44&gt;F$5),"■","")))</x:f>
      </x:c>
      <x:c r="G44" s="7" t="str">
        <x:f>IF(OR($D44="",G$5="",'상세일정'!AM44="제외"),"",IF($D44=$E44,IF(AND($D44&gt;=G$5,$D44&lt;G$5+7),"◆",""),IF(AND($D44&lt;G$5+7,$E44&gt;G$5),"■","")))</x:f>
      </x:c>
      <x:c r="H44" s="7" t="str">
        <x:f>IF(OR($D44="",H$5="",'상세일정'!AM44="제외"),"",IF($D44=$E44,IF(AND($D44&gt;=H$5,$D44&lt;H$5+7),"◆",""),IF(AND($D44&lt;H$5+7,$E44&gt;H$5),"■","")))</x:f>
      </x:c>
      <x:c r="I44" s="7" t="str">
        <x:f>IF(OR($D44="",I$5="",'상세일정'!AM44="제외"),"",IF($D44=$E44,IF(AND($D44&gt;=I$5,$D44&lt;I$5+7),"◆",""),IF(AND($D44&lt;I$5+7,$E44&gt;I$5),"■","")))</x:f>
      </x:c>
      <x:c r="J44" s="7" t="str">
        <x:f>IF(OR($D44="",J$5="",'상세일정'!AM44="제외"),"",IF($D44=$E44,IF(AND($D44&gt;=J$5,$D44&lt;J$5+7),"◆",""),IF(AND($D44&lt;J$5+7,$E44&gt;J$5),"■","")))</x:f>
      </x:c>
      <x:c r="K44" s="7" t="str">
        <x:f>IF(OR($D44="",K$5="",'상세일정'!AM44="제외"),"",IF($D44=$E44,IF(AND($D44&gt;=K$5,$D44&lt;K$5+7),"◆",""),IF(AND($D44&lt;K$5+7,$E44&gt;K$5),"■","")))</x:f>
      </x:c>
      <x:c r="L44" s="7" t="str">
        <x:f>IF(OR($D44="",L$5="",'상세일정'!AM44="제외"),"",IF($D44=$E44,IF(AND($D44&gt;=L$5,$D44&lt;L$5+7),"◆",""),IF(AND($D44&lt;L$5+7,$E44&gt;L$5),"■","")))</x:f>
      </x:c>
      <x:c r="M44" s="7" t="str">
        <x:f>IF(OR($D44="",M$5="",'상세일정'!AM44="제외"),"",IF($D44=$E44,IF(AND($D44&gt;=M$5,$D44&lt;M$5+7),"◆",""),IF(AND($D44&lt;M$5+7,$E44&gt;M$5),"■","")))</x:f>
      </x:c>
      <x:c r="N44" s="7" t="str">
        <x:f>IF(OR($D44="",N$5="",'상세일정'!AM44="제외"),"",IF($D44=$E44,IF(AND($D44&gt;=N$5,$D44&lt;N$5+7),"◆",""),IF(AND($D44&lt;N$5+7,$E44&gt;N$5),"■","")))</x:f>
      </x:c>
      <x:c r="O44" s="7" t="str">
        <x:f>IF(OR($D44="",O$5="",'상세일정'!AM44="제외"),"",IF($D44=$E44,IF(AND($D44&gt;=O$5,$D44&lt;O$5+7),"◆",""),IF(AND($D44&lt;O$5+7,$E44&gt;O$5),"■","")))</x:f>
      </x:c>
      <x:c r="P44" s="7" t="str">
        <x:f>IF(OR($D44="",P$5="",'상세일정'!AM44="제외"),"",IF($D44=$E44,IF(AND($D44&gt;=P$5,$D44&lt;P$5+7),"◆",""),IF(AND($D44&lt;P$5+7,$E44&gt;P$5),"■","")))</x:f>
      </x:c>
      <x:c r="Q44" s="7" t="str">
        <x:f>IF(OR($D44="",Q$5="",'상세일정'!AM44="제외"),"",IF($D44=$E44,IF(AND($D44&gt;=Q$5,$D44&lt;Q$5+7),"◆",""),IF(AND($D44&lt;Q$5+7,$E44&gt;Q$5),"■","")))</x:f>
      </x:c>
      <x:c r="R44" s="7" t="str">
        <x:f>IF(OR($D44="",R$5="",'상세일정'!AM44="제외"),"",IF($D44=$E44,IF(AND($D44&gt;=R$5,$D44&lt;R$5+7),"◆",""),IF(AND($D44&lt;R$5+7,$E44&gt;R$5),"■","")))</x:f>
      </x:c>
      <x:c r="S44" s="7" t="str">
        <x:f>IF(OR($D44="",S$5="",'상세일정'!AM44="제외"),"",IF($D44=$E44,IF(AND($D44&gt;=S$5,$D44&lt;S$5+7),"◆",""),IF(AND($D44&lt;S$5+7,$E44&gt;S$5),"■","")))</x:f>
      </x:c>
      <x:c r="T44" s="7" t="str">
        <x:f>IF(OR($D44="",T$5="",'상세일정'!AM44="제외"),"",IF($D44=$E44,IF(AND($D44&gt;=T$5,$D44&lt;T$5+7),"◆",""),IF(AND($D44&lt;T$5+7,$E44&gt;T$5),"■","")))</x:f>
      </x:c>
      <x:c r="U44" s="7" t="str">
        <x:f>IF(OR($D44="",U$5="",'상세일정'!AM44="제외"),"",IF($D44=$E44,IF(AND($D44&gt;=U$5,$D44&lt;U$5+7),"◆",""),IF(AND($D44&lt;U$5+7,$E44&gt;U$5),"■","")))</x:f>
      </x:c>
      <x:c r="V44" s="7" t="str">
        <x:f>IF(OR($D44="",V$5="",'상세일정'!AM44="제외"),"",IF($D44=$E44,IF(AND($D44&gt;=V$5,$D44&lt;V$5+7),"◆",""),IF(AND($D44&lt;V$5+7,$E44&gt;V$5),"■","")))</x:f>
      </x:c>
      <x:c r="W44" s="7" t="str">
        <x:f>IF(OR($D44="",W$5="",'상세일정'!AM44="제외"),"",IF($D44=$E44,IF(AND($D44&gt;=W$5,$D44&lt;W$5+7),"◆",""),IF(AND($D44&lt;W$5+7,$E44&gt;W$5),"■","")))</x:f>
      </x:c>
      <x:c r="X44" s="7" t="str">
        <x:f>IF(OR($D44="",X$5="",'상세일정'!AM44="제외"),"",IF($D44=$E44,IF(AND($D44&gt;=X$5,$D44&lt;X$5+7),"◆",""),IF(AND($D44&lt;X$5+7,$E44&gt;X$5),"■","")))</x:f>
      </x:c>
      <x:c r="Y44" s="7" t="str">
        <x:f>IF(OR($D44="",Y$5="",'상세일정'!AM44="제외"),"",IF($D44=$E44,IF(AND($D44&gt;=Y$5,$D44&lt;Y$5+7),"◆",""),IF(AND($D44&lt;Y$5+7,$E44&gt;Y$5),"■","")))</x:f>
      </x:c>
      <x:c r="Z44" s="7" t="str">
        <x:f>IF(OR($D44="",Z$5="",'상세일정'!AM44="제외"),"",IF($D44=$E44,IF(AND($D44&gt;=Z$5,$D44&lt;Z$5+7),"◆",""),IF(AND($D44&lt;Z$5+7,$E44&gt;Z$5),"■","")))</x:f>
      </x:c>
      <x:c r="AA44" s="7" t="str">
        <x:f>IF(OR($D44="",AA$5="",'상세일정'!AM44="제외"),"",IF($D44=$E44,IF(AND($D44&gt;=AA$5,$D44&lt;AA$5+7),"◆",""),IF(AND($D44&lt;AA$5+7,$E44&gt;AA$5),"■","")))</x:f>
      </x:c>
      <x:c r="AB44" s="7" t="str">
        <x:f>IF(OR($D44="",AB$5="",'상세일정'!AM44="제외"),"",IF($D44=$E44,IF(AND($D44&gt;=AB$5,$D44&lt;AB$5+7),"◆",""),IF(AND($D44&lt;AB$5+7,$E44&gt;AB$5),"■","")))</x:f>
      </x:c>
      <x:c r="AC44" s="7" t="str">
        <x:f>IF(OR($D44="",AC$5="",'상세일정'!AM44="제외"),"",IF($D44=$E44,IF(AND($D44&gt;=AC$5,$D44&lt;AC$5+7),"◆",""),IF(AND($D44&lt;AC$5+7,$E44&gt;AC$5),"■","")))</x:f>
      </x:c>
      <x:c r="AD44" s="7" t="str">
        <x:f>IF(OR($D44="",AD$5="",'상세일정'!AM44="제외"),"",IF($D44=$E44,IF(AND($D44&gt;=AD$5,$D44&lt;AD$5+7),"◆",""),IF(AND($D44&lt;AD$5+7,$E44&gt;AD$5),"■","")))</x:f>
      </x:c>
      <x:c r="AE44" s="7" t="str">
        <x:f>IF(OR($D44="",AE$5="",'상세일정'!AM44="제외"),"",IF($D44=$E44,IF(AND($D44&gt;=AE$5,$D44&lt;AE$5+7),"◆",""),IF(AND($D44&lt;AE$5+7,$E44&gt;AE$5),"■","")))</x:f>
      </x:c>
      <x:c r="AF44" s="7" t="str">
        <x:f>IF(OR($D44="",AF$5="",'상세일정'!AM44="제외"),"",IF($D44=$E44,IF(AND($D44&gt;=AF$5,$D44&lt;AF$5+7),"◆",""),IF(AND($D44&lt;AF$5+7,$E44&gt;AF$5),"■","")))</x:f>
      </x:c>
      <x:c r="AG44" s="7" t="str">
        <x:f>IF(OR($D44="",AG$5="",'상세일정'!AM44="제외"),"",IF($D44=$E44,IF(AND($D44&gt;=AG$5,$D44&lt;AG$5+7),"◆",""),IF(AND($D44&lt;AG$5+7,$E44&gt;AG$5),"■","")))</x:f>
      </x:c>
      <x:c r="AH44" s="7" t="str">
        <x:f>IF(OR($D44="",AH$5="",'상세일정'!AM44="제외"),"",IF($D44=$E44,IF(AND($D44&gt;=AH$5,$D44&lt;AH$5+7),"◆",""),IF(AND($D44&lt;AH$5+7,$E44&gt;AH$5),"■","")))</x:f>
      </x:c>
      <x:c r="AI44" s="7" t="str">
        <x:f>IF(OR($D44="",AI$5="",'상세일정'!AM44="제외"),"",IF($D44=$E44,IF(AND($D44&gt;=AI$5,$D44&lt;AI$5+7),"◆",""),IF(AND($D44&lt;AI$5+7,$E44&gt;AI$5),"■","")))</x:f>
      </x:c>
      <x:c r="AJ44" s="7" t="str">
        <x:f>IF(OR($D44="",AJ$5="",'상세일정'!AM44="제외"),"",IF($D44=$E44,IF(AND($D44&gt;=AJ$5,$D44&lt;AJ$5+7),"◆",""),IF(AND($D44&lt;AJ$5+7,$E44&gt;AJ$5),"■","")))</x:f>
      </x:c>
      <x:c r="AK44" s="7" t="str">
        <x:f>IF(OR($D44="",AK$5="",'상세일정'!AM44="제외"),"",IF($D44=$E44,IF(AND($D44&gt;=AK$5,$D44&lt;AK$5+7),"◆",""),IF(AND($D44&lt;AK$5+7,$E44&gt;AK$5),"■","")))</x:f>
      </x:c>
      <x:c r="AL44" s="7" t="str">
        <x:f>IF(OR($D44="",AL$5="",'상세일정'!AM44="제외"),"",IF($D44=$E44,IF(AND($D44&gt;=AL$5,$D44&lt;AL$5+7),"◆",""),IF(AND($D44&lt;AL$5+7,$E44&gt;AL$5),"■","")))</x:f>
      </x:c>
      <x:c r="AM44" s="7" t="str">
        <x:f>IF(OR($D44="",AM$5="",'상세일정'!AM44="제외"),"",IF($D44=$E44,IF(AND($D44&gt;=AM$5,$D44&lt;AM$5+7),"◆",""),IF(AND($D44&lt;AM$5+7,$E44&gt;AM$5),"■","")))</x:f>
      </x:c>
      <x:c r="AN44" s="7" t="str">
        <x:f>IF(OR($D44="",AN$5="",'상세일정'!AM44="제외"),"",IF($D44=$E44,IF(AND($D44&gt;=AN$5,$D44&lt;AN$5+7),"◆",""),IF(AND($D44&lt;AN$5+7,$E44&gt;AN$5),"■","")))</x:f>
      </x:c>
      <x:c r="AO44" s="7" t="str">
        <x:f>IF(OR($D44="",AO$5="",'상세일정'!AM44="제외"),"",IF($D44=$E44,IF(AND($D44&gt;=AO$5,$D44&lt;AO$5+7),"◆",""),IF(AND($D44&lt;AO$5+7,$E44&gt;AO$5),"■","")))</x:f>
      </x:c>
      <x:c r="AP44" s="7" t="str">
        <x:f>IF(OR($D44="",AP$5="",'상세일정'!AM44="제외"),"",IF($D44=$E44,IF(AND($D44&gt;=AP$5,$D44&lt;AP$5+7),"◆",""),IF(AND($D44&lt;AP$5+7,$E44&gt;AP$5),"■","")))</x:f>
      </x:c>
      <x:c r="AQ44" s="7" t="str">
        <x:f>IF(OR($D44="",AQ$5="",'상세일정'!AM44="제외"),"",IF($D44=$E44,IF(AND($D44&gt;=AQ$5,$D44&lt;AQ$5+7),"◆",""),IF(AND($D44&lt;AQ$5+7,$E44&gt;AQ$5),"■","")))</x:f>
      </x:c>
      <x:c r="AR44" s="7" t="str">
        <x:f>IF(OR($D44="",AR$5="",'상세일정'!AM44="제외"),"",IF($D44=$E44,IF(AND($D44&gt;=AR$5,$D44&lt;AR$5+7),"◆",""),IF(AND($D44&lt;AR$5+7,$E44&gt;AR$5),"■","")))</x:f>
      </x:c>
      <x:c r="AS44" s="7" t="str">
        <x:f>IF(OR($D44="",AS$5="",'상세일정'!AM44="제외"),"",IF($D44=$E44,IF(AND($D44&gt;=AS$5,$D44&lt;AS$5+7),"◆",""),IF(AND($D44&lt;AS$5+7,$E44&gt;AS$5),"■","")))</x:f>
      </x:c>
      <x:c r="AT44" s="7" t="str">
        <x:f>IF(OR($D44="",AT$5="",'상세일정'!AM44="제외"),"",IF($D44=$E44,IF(AND($D44&gt;=AT$5,$D44&lt;AT$5+7),"◆",""),IF(AND($D44&lt;AT$5+7,$E44&gt;AT$5),"■","")))</x:f>
      </x:c>
      <x:c r="AU44" s="7" t="str">
        <x:f>IF(OR($D44="",AU$5="",'상세일정'!AM44="제외"),"",IF($D44=$E44,IF(AND($D44&gt;=AU$5,$D44&lt;AU$5+7),"◆",""),IF(AND($D44&lt;AU$5+7,$E44&gt;AU$5),"■","")))</x:f>
      </x:c>
      <x:c r="AV44" s="7" t="str">
        <x:f>IF(OR($D44="",AV$5="",'상세일정'!AM44="제외"),"",IF($D44=$E44,IF(AND($D44&gt;=AV$5,$D44&lt;AV$5+7),"◆",""),IF(AND($D44&lt;AV$5+7,$E44&gt;AV$5),"■","")))</x:f>
      </x:c>
      <x:c r="AW44" s="7" t="str">
        <x:f>IF(OR($D44="",AW$5="",'상세일정'!AM44="제외"),"",IF($D44=$E44,IF(AND($D44&gt;=AW$5,$D44&lt;AW$5+7),"◆",""),IF(AND($D44&lt;AW$5+7,$E44&gt;AW$5),"■","")))</x:f>
      </x:c>
      <x:c r="AX44" s="7" t="str">
        <x:f>IF(OR($D44="",AX$5="",'상세일정'!AM44="제외"),"",IF($D44=$E44,IF(AND($D44&gt;=AX$5,$D44&lt;AX$5+7),"◆",""),IF(AND($D44&lt;AX$5+7,$E44&gt;AX$5),"■","")))</x:f>
      </x:c>
      <x:c r="AY44" s="7" t="str">
        <x:f>IF(OR($D44="",AY$5="",'상세일정'!AM44="제외"),"",IF($D44=$E44,IF(AND($D44&gt;=AY$5,$D44&lt;AY$5+7),"◆",""),IF(AND($D44&lt;AY$5+7,$E44&gt;AY$5),"■","")))</x:f>
      </x:c>
      <x:c r="AZ44" s="7" t="str">
        <x:f>IF(OR($D44="",AZ$5="",'상세일정'!AM44="제외"),"",IF($D44=$E44,IF(AND($D44&gt;=AZ$5,$D44&lt;AZ$5+7),"◆",""),IF(AND($D44&lt;AZ$5+7,$E44&gt;AZ$5),"■","")))</x:f>
      </x:c>
      <x:c r="BA44" s="7" t="str">
        <x:f>IF(OR($D44="",BA$5="",'상세일정'!AM44="제외"),"",IF($D44=$E44,IF(AND($D44&gt;=BA$5,$D44&lt;BA$5+7),"◆",""),IF(AND($D44&lt;BA$5+7,$E44&gt;BA$5),"■","")))</x:f>
      </x:c>
      <x:c r="BB44" s="7" t="str">
        <x:f>IF(OR($D44="",BB$5="",'상세일정'!AM44="제외"),"",IF($D44=$E44,IF(AND($D44&gt;=BB$5,$D44&lt;BB$5+7),"◆",""),IF(AND($D44&lt;BB$5+7,$E44&gt;BB$5),"■","")))</x:f>
      </x:c>
      <x:c r="BC44" s="7" t="str">
        <x:f>IF(OR($D44="",BC$5="",'상세일정'!AM44="제외"),"",IF($D44=$E44,IF(AND($D44&gt;=BC$5,$D44&lt;BC$5+7),"◆",""),IF(AND($D44&lt;BC$5+7,$E44&gt;BC$5),"■","")))</x:f>
      </x:c>
      <x:c r="BD44" s="7" t="str">
        <x:f>IF(OR($D44="",BD$5="",'상세일정'!AM44="제외"),"",IF($D44=$E44,IF(AND($D44&gt;=BD$5,$D44&lt;BD$5+7),"◆",""),IF(AND($D44&lt;BD$5+7,$E44&gt;BD$5),"■","")))</x:f>
      </x:c>
      <x:c r="BE44" s="7" t="str">
        <x:f>IF(OR($D44="",BE$5="",'상세일정'!AM44="제외"),"",IF($D44=$E44,IF(AND($D44&gt;=BE$5,$D44&lt;BE$5+7),"◆",""),IF(AND($D44&lt;BE$5+7,$E44&gt;BE$5),"■","")))</x:f>
      </x:c>
      <x:c r="BF44" s="7" t="str">
        <x:f>IF(OR($D44="",BF$5="",'상세일정'!AM44="제외"),"",IF($D44=$E44,IF(AND($D44&gt;=BF$5,$D44&lt;BF$5+7),"◆",""),IF(AND($D44&lt;BF$5+7,$E44&gt;BF$5),"■","")))</x:f>
      </x:c>
      <x:c r="BG44" s="7" t="str">
        <x:f>IF(OR($D44="",BG$5="",'상세일정'!AM44="제외"),"",IF($D44=$E44,IF(AND($D44&gt;=BG$5,$D44&lt;BG$5+7),"◆",""),IF(AND($D44&lt;BG$5+7,$E44&gt;BG$5),"■","")))</x:f>
      </x:c>
      <x:c r="BH44" s="7" t="str">
        <x:f>IF(OR($D44="",BH$5="",'상세일정'!AM44="제외"),"",IF($D44=$E44,IF(AND($D44&gt;=BH$5,$D44&lt;BH$5+7),"◆",""),IF(AND($D44&lt;BH$5+7,$E44&gt;BH$5),"■","")))</x:f>
      </x:c>
      <x:c r="BI44" s="7" t="str">
        <x:f>IF(OR($D44="",BI$5="",'상세일정'!AM44="제외"),"",IF($D44=$E44,IF(AND($D44&gt;=BI$5,$D44&lt;BI$5+7),"◆",""),IF(AND($D44&lt;BI$5+7,$E44&gt;BI$5),"■","")))</x:f>
      </x:c>
      <x:c r="BJ44" s="7" t="str">
        <x:f>IF(OR($D44="",BJ$5="",'상세일정'!AM44="제외"),"",IF($D44=$E44,IF(AND($D44&gt;=BJ$5,$D44&lt;BJ$5+7),"◆",""),IF(AND($D44&lt;BJ$5+7,$E44&gt;BJ$5),"■","")))</x:f>
      </x:c>
      <x:c r="BK44" s="7" t="str">
        <x:f>IF(OR($D44="",BK$5="",'상세일정'!AM44="제외"),"",IF($D44=$E44,IF(AND($D44&gt;=BK$5,$D44&lt;BK$5+7),"◆",""),IF(AND($D44&lt;BK$5+7,$E44&gt;BK$5),"■","")))</x:f>
      </x:c>
      <x:c r="BL44" s="7" t="str">
        <x:f>IF(OR($D44="",BL$5="",'상세일정'!AM44="제외"),"",IF($D44=$E44,IF(AND($D44&gt;=BL$5,$D44&lt;BL$5+7),"◆",""),IF(AND($D44&lt;BL$5+7,$E44&gt;BL$5),"■","")))</x:f>
      </x:c>
      <x:c r="BM44" s="7" t="str">
        <x:f>IF(OR($D44="",BM$5="",'상세일정'!AM44="제외"),"",IF($D44=$E44,IF(AND($D44&gt;=BM$5,$D44&lt;BM$5+7),"◆",""),IF(AND($D44&lt;BM$5+7,$E44&gt;BM$5),"■","")))</x:f>
      </x:c>
      <x:c r="BN44" s="7" t="str">
        <x:f>IF(OR($D44="",BN$5="",'상세일정'!AM44="제외"),"",IF($D44=$E44,IF(AND($D44&gt;=BN$5,$D44&lt;BN$5+7),"◆",""),IF(AND($D44&lt;BN$5+7,$E44&gt;BN$5),"■","")))</x:f>
      </x:c>
      <x:c r="BO44" s="7" t="str">
        <x:f>IF(OR($D44="",BO$5="",'상세일정'!AM44="제외"),"",IF($D44=$E44,IF(AND($D44&gt;=BO$5,$D44&lt;BO$5+7),"◆",""),IF(AND($D44&lt;BO$5+7,$E44&gt;BO$5),"■","")))</x:f>
      </x:c>
      <x:c r="BP44" s="7" t="str">
        <x:f>IF(OR($D44="",BP$5="",'상세일정'!AM44="제외"),"",IF($D44=$E44,IF(AND($D44&gt;=BP$5,$D44&lt;BP$5+7),"◆",""),IF(AND($D44&lt;BP$5+7,$E44&gt;BP$5),"■","")))</x:f>
      </x:c>
      <x:c r="BQ44" s="7" t="str">
        <x:f>IF(OR($D44="",BQ$5="",'상세일정'!AM44="제외"),"",IF($D44=$E44,IF(AND($D44&gt;=BQ$5,$D44&lt;BQ$5+7),"◆",""),IF(AND($D44&lt;BQ$5+7,$E44&gt;BQ$5),"■","")))</x:f>
      </x:c>
      <x:c r="BR44" s="7" t="str">
        <x:f>IF(OR($D44="",BR$5="",'상세일정'!AM44="제외"),"",IF($D44=$E44,IF(AND($D44&gt;=BR$5,$D44&lt;BR$5+7),"◆",""),IF(AND($D44&lt;BR$5+7,$E44&gt;BR$5),"■","")))</x:f>
      </x:c>
      <x:c r="BS44" s="7" t="str">
        <x:f>IF(OR($D44="",BS$5="",'상세일정'!AM44="제외"),"",IF($D44=$E44,IF(AND($D44&gt;=BS$5,$D44&lt;BS$5+7),"◆",""),IF(AND($D44&lt;BS$5+7,$E44&gt;BS$5),"■","")))</x:f>
      </x:c>
      <x:c r="BT44" s="7" t="str">
        <x:f>IF(OR($D44="",BT$5="",'상세일정'!AM44="제외"),"",IF($D44=$E44,IF(AND($D44&gt;=BT$5,$D44&lt;BT$5+7),"◆",""),IF(AND($D44&lt;BT$5+7,$E44&gt;BT$5),"■","")))</x:f>
      </x:c>
      <x:c r="BU44" s="7" t="str">
        <x:f>IF(OR($D44="",BU$5="",'상세일정'!AM44="제외"),"",IF($D44=$E44,IF(AND($D44&gt;=BU$5,$D44&lt;BU$5+7),"◆",""),IF(AND($D44&lt;BU$5+7,$E44&gt;BU$5),"■","")))</x:f>
      </x:c>
      <x:c r="BV44" s="7" t="str">
        <x:f>IF(OR($D44="",BV$5="",'상세일정'!AM44="제외"),"",IF($D44=$E44,IF(AND($D44&gt;=BV$5,$D44&lt;BV$5+7),"◆",""),IF(AND($D44&lt;BV$5+7,$E44&gt;BV$5),"■","")))</x:f>
      </x:c>
      <x:c r="BW44" s="7" t="str">
        <x:f>IF(OR($D44="",BW$5="",'상세일정'!AM44="제외"),"",IF($D44=$E44,IF(AND($D44&gt;=BW$5,$D44&lt;BW$5+7),"◆",""),IF(AND($D44&lt;BW$5+7,$E44&gt;BW$5),"■","")))</x:f>
      </x:c>
      <x:c r="BX44" s="7" t="str">
        <x:f>IF(OR($D44="",BX$5="",'상세일정'!AM44="제외"),"",IF($D44=$E44,IF(AND($D44&gt;=BX$5,$D44&lt;BX$5+7),"◆",""),IF(AND($D44&lt;BX$5+7,$E44&gt;BX$5),"■","")))</x:f>
      </x:c>
      <x:c r="BY44" s="7" t="str">
        <x:f>IF(OR($D44="",BY$5="",'상세일정'!AM44="제외"),"",IF($D44=$E44,IF(AND($D44&gt;=BY$5,$D44&lt;BY$5+7),"◆",""),IF(AND($D44&lt;BY$5+7,$E44&gt;BY$5),"■","")))</x:f>
      </x:c>
      <x:c r="BZ44" s="7" t="str">
        <x:f>IF(OR($D44="",BZ$5="",'상세일정'!AM44="제외"),"",IF($D44=$E44,IF(AND($D44&gt;=BZ$5,$D44&lt;BZ$5+7),"◆",""),IF(AND($D44&lt;BZ$5+7,$E44&gt;BZ$5),"■","")))</x:f>
      </x:c>
      <x:c r="CA44" s="7" t="str">
        <x:f>IF(OR($D44="",CA$5="",'상세일정'!AM44="제외"),"",IF($D44=$E44,IF(AND($D44&gt;=CA$5,$D44&lt;CA$5+7),"◆",""),IF(AND($D44&lt;CA$5+7,$E44&gt;CA$5),"■","")))</x:f>
      </x:c>
      <x:c r="CB44" s="7" t="str">
        <x:f>IF(OR($D44="",CB$5="",'상세일정'!AM44="제외"),"",IF($D44=$E44,IF(AND($D44&gt;=CB$5,$D44&lt;CB$5+7),"◆",""),IF(AND($D44&lt;CB$5+7,$E44&gt;CB$5),"■","")))</x:f>
      </x:c>
      <x:c r="CC44" s="7" t="str">
        <x:f>IF(OR($D44="",CC$5="",'상세일정'!AM44="제외"),"",IF($D44=$E44,IF(AND($D44&gt;=CC$5,$D44&lt;CC$5+7),"◆",""),IF(AND($D44&lt;CC$5+7,$E44&gt;CC$5),"■","")))</x:f>
      </x:c>
      <x:c r="CD44" s="7" t="str">
        <x:f>IF(OR($D44="",CD$5="",'상세일정'!AM44="제외"),"",IF($D44=$E44,IF(AND($D44&gt;=CD$5,$D44&lt;CD$5+7),"◆",""),IF(AND($D44&lt;CD$5+7,$E44&gt;CD$5),"■","")))</x:f>
      </x:c>
      <x:c r="CE44" s="7" t="str">
        <x:f>IF(OR($D44="",CE$5="",'상세일정'!AM44="제외"),"",IF($D44=$E44,IF(AND($D44&gt;=CE$5,$D44&lt;CE$5+7),"◆",""),IF(AND($D44&lt;CE$5+7,$E44&gt;CE$5),"■","")))</x:f>
      </x:c>
      <x:c r="CF44" s="7" t="str">
        <x:f>IF(OR($D44="",CF$5="",'상세일정'!AM44="제외"),"",IF($D44=$E44,IF(AND($D44&gt;=CF$5,$D44&lt;CF$5+7),"◆",""),IF(AND($D44&lt;CF$5+7,$E44&gt;CF$5),"■","")))</x:f>
      </x:c>
      <x:c r="CG44" s="7" t="str">
        <x:f>IF(OR($D44="",CG$5="",'상세일정'!AM44="제외"),"",IF($D44=$E44,IF(AND($D44&gt;=CG$5,$D44&lt;CG$5+7),"◆",""),IF(AND($D44&lt;CG$5+7,$E44&gt;CG$5),"■","")))</x:f>
      </x:c>
      <x:c r="CH44" s="7" t="str">
        <x:f>IF(OR($D44="",CH$5="",'상세일정'!AM44="제외"),"",IF($D44=$E44,IF(AND($D44&gt;=CH$5,$D44&lt;CH$5+7),"◆",""),IF(AND($D44&lt;CH$5+7,$E44&gt;CH$5),"■","")))</x:f>
      </x:c>
      <x:c r="CI44" s="7" t="str">
        <x:f>IF(OR($D44="",CI$5="",'상세일정'!AM44="제외"),"",IF($D44=$E44,IF(AND($D44&gt;=CI$5,$D44&lt;CI$5+7),"◆",""),IF(AND($D44&lt;CI$5+7,$E44&gt;CI$5),"■","")))</x:f>
      </x:c>
      <x:c r="CJ44" s="7" t="str">
        <x:f>IF(OR($D44="",CJ$5="",'상세일정'!AM44="제외"),"",IF($D44=$E44,IF(AND($D44&gt;=CJ$5,$D44&lt;CJ$5+7),"◆",""),IF(AND($D44&lt;CJ$5+7,$E44&gt;CJ$5),"■","")))</x:f>
      </x:c>
      <x:c r="CK44" s="7" t="str">
        <x:f>IF(OR($D44="",CK$5="",'상세일정'!AM44="제외"),"",IF($D44=$E44,IF(AND($D44&gt;=CK$5,$D44&lt;CK$5+7),"◆",""),IF(AND($D44&lt;CK$5+7,$E44&gt;CK$5),"■","")))</x:f>
      </x:c>
      <x:c r="CL44" s="7" t="str">
        <x:f>IF(OR($D44="",CL$5="",'상세일정'!AM44="제외"),"",IF($D44=$E44,IF(AND($D44&gt;=CL$5,$D44&lt;CL$5+7),"◆",""),IF(AND($D44&lt;CL$5+7,$E44&gt;CL$5),"■","")))</x:f>
      </x:c>
      <x:c r="CM44" s="7" t="str">
        <x:f>IF(OR($D44="",CM$5="",'상세일정'!AM44="제외"),"",IF($D44=$E44,IF(AND($D44&gt;=CM$5,$D44&lt;CM$5+7),"◆",""),IF(AND($D44&lt;CM$5+7,$E44&gt;CM$5),"■","")))</x:f>
      </x:c>
      <x:c r="CN44" s="7" t="str">
        <x:f>IF(OR($D44="",CN$5="",'상세일정'!AM44="제외"),"",IF($D44=$E44,IF(AND($D44&gt;=CN$5,$D44&lt;CN$5+7),"◆",""),IF(AND($D44&lt;CN$5+7,$E44&gt;CN$5),"■","")))</x:f>
      </x:c>
      <x:c r="CO44" s="7" t="str">
        <x:f>IF(OR($D44="",CO$5="",'상세일정'!AM44="제외"),"",IF($D44=$E44,IF(AND($D44&gt;=CO$5,$D44&lt;CO$5+7),"◆",""),IF(AND($D44&lt;CO$5+7,$E44&gt;CO$5),"■","")))</x:f>
      </x:c>
      <x:c r="CP44" s="7" t="str">
        <x:f>IF(OR($D44="",CP$5="",'상세일정'!AM44="제외"),"",IF($D44=$E44,IF(AND($D44&gt;=CP$5,$D44&lt;CP$5+7),"◆",""),IF(AND($D44&lt;CP$5+7,$E44&gt;CP$5),"■","")))</x:f>
      </x:c>
      <x:c r="CQ44" s="7" t="str">
        <x:f>IF(OR($D44="",CQ$5="",'상세일정'!AM44="제외"),"",IF($D44=$E44,IF(AND($D44&gt;=CQ$5,$D44&lt;CQ$5+7),"◆",""),IF(AND($D44&lt;CQ$5+7,$E44&gt;CQ$5),"■","")))</x:f>
      </x:c>
      <x:c r="CR44" s="7" t="str">
        <x:f>IF(OR($D44="",CR$5="",'상세일정'!AM44="제외"),"",IF($D44=$E44,IF(AND($D44&gt;=CR$5,$D44&lt;CR$5+7),"◆",""),IF(AND($D44&lt;CR$5+7,$E44&gt;CR$5),"■","")))</x:f>
      </x:c>
      <x:c r="CS44" s="7" t="str">
        <x:f>IF(OR($D44="",CS$5="",'상세일정'!AM44="제외"),"",IF($D44=$E44,IF(AND($D44&gt;=CS$5,$D44&lt;CS$5+7),"◆",""),IF(AND($D44&lt;CS$5+7,$E44&gt;CS$5),"■","")))</x:f>
      </x:c>
      <x:c r="CT44" s="7" t="str">
        <x:f>IF(OR($D44="",CT$5="",'상세일정'!AM44="제외"),"",IF($D44=$E44,IF(AND($D44&gt;=CT$5,$D44&lt;CT$5+7),"◆",""),IF(AND($D44&lt;CT$5+7,$E44&gt;CT$5),"■","")))</x:f>
      </x:c>
      <x:c r="CU44" s="7" t="str">
        <x:f>IF(OR($D44="",CU$5="",'상세일정'!AM44="제외"),"",IF($D44=$E44,IF(AND($D44&gt;=CU$5,$D44&lt;CU$5+7),"◆",""),IF(AND($D44&lt;CU$5+7,$E44&gt;CU$5),"■","")))</x:f>
      </x:c>
      <x:c r="CV44" s="7" t="str">
        <x:f>IF(OR($D44="",CV$5="",'상세일정'!AM44="제외"),"",IF($D44=$E44,IF(AND($D44&gt;=CV$5,$D44&lt;CV$5+7),"◆",""),IF(AND($D44&lt;CV$5+7,$E44&gt;CV$5),"■","")))</x:f>
      </x:c>
      <x:c r="CW44" s="7" t="str">
        <x:f>IF(OR($D44="",CW$5="",'상세일정'!AM44="제외"),"",IF($D44=$E44,IF(AND($D44&gt;=CW$5,$D44&lt;CW$5+7),"◆",""),IF(AND($D44&lt;CW$5+7,$E44&gt;CW$5),"■","")))</x:f>
      </x:c>
      <x:c r="CX44" s="7" t="str">
        <x:f>IF(OR($D44="",CX$5="",'상세일정'!AM44="제외"),"",IF($D44=$E44,IF(AND($D44&gt;=CX$5,$D44&lt;CX$5+7),"◆",""),IF(AND($D44&lt;CX$5+7,$E44&gt;CX$5),"■","")))</x:f>
      </x:c>
      <x:c r="CY44" s="7" t="str">
        <x:f>IF(OR($D44="",CY$5="",'상세일정'!AM44="제외"),"",IF($D44=$E44,IF(AND($D44&gt;=CY$5,$D44&lt;CY$5+7),"◆",""),IF(AND($D44&lt;CY$5+7,$E44&gt;CY$5),"■","")))</x:f>
      </x:c>
      <x:c r="CZ44" s="7" t="str">
        <x:f>IF(OR($D44="",CZ$5="",'상세일정'!AM44="제외"),"",IF($D44=$E44,IF(AND($D44&gt;=CZ$5,$D44&lt;CZ$5+7),"◆",""),IF(AND($D44&lt;CZ$5+7,$E44&gt;CZ$5),"■","")))</x:f>
      </x:c>
      <x:c r="DA44" s="7" t="str">
        <x:f>IF(OR($D44="",DA$5="",'상세일정'!AM44="제외"),"",IF($D44=$E44,IF(AND($D44&gt;=DA$5,$D44&lt;DA$5+7),"◆",""),IF(AND($D44&lt;DA$5+7,$E44&gt;DA$5),"■","")))</x:f>
      </x:c>
      <x:c r="DB44" s="7" t="str">
        <x:f>IF(OR($D44="",DB$5="",'상세일정'!AM44="제외"),"",IF($D44=$E44,IF(AND($D44&gt;=DB$5,$D44&lt;DB$5+7),"◆",""),IF(AND($D44&lt;DB$5+7,$E44&gt;DB$5),"■","")))</x:f>
      </x:c>
      <x:c r="DC44" s="7" t="str">
        <x:f>IF(OR($D44="",DC$5="",'상세일정'!AM44="제외"),"",IF($D44=$E44,IF(AND($D44&gt;=DC$5,$D44&lt;DC$5+7),"◆",""),IF(AND($D44&lt;DC$5+7,$E44&gt;DC$5),"■","")))</x:f>
      </x:c>
      <x:c r="DD44" s="7" t="str">
        <x:f>IF(OR($D44="",DD$5="",'상세일정'!AM44="제외"),"",IF($D44=$E44,IF(AND($D44&gt;=DD$5,$D44&lt;DD$5+7),"◆",""),IF(AND($D44&lt;DD$5+7,$E44&gt;DD$5),"■","")))</x:f>
      </x:c>
      <x:c r="DE44" s="7" t="str">
        <x:f>IF(OR($D44="",DE$5="",'상세일정'!AM44="제외"),"",IF($D44=$E44,IF(AND($D44&gt;=DE$5,$D44&lt;DE$5+7),"◆",""),IF(AND($D44&lt;DE$5+7,$E44&gt;DE$5),"■","")))</x:f>
      </x:c>
    </x:row>
    <x:row r="45" ht="34" customHeight="1">
      <x:c r="A45" s="7" t="str">
        <x:v>IC07</x:v>
      </x:c>
      <x:c r="B45" s="7" t="str">
        <x:v>07 계장·제어 상세설계</x:v>
      </x:c>
      <x:c r="C45" s="7" t="str">
        <x:v>계장 IFC·시공 내역서 발행</x:v>
      </x:c>
      <x:c r="D45" s="10" t="str">
        <x:f>'상세일정'!AJ45</x:f>
      </x:c>
      <x:c r="E45" s="10" t="str">
        <x:f>'상세일정'!AK45</x:f>
      </x:c>
      <x:c r="F45" s="7" t="str">
        <x:f>IF(OR($D45="",F$5="",'상세일정'!AM45="제외"),"",IF($D45=$E45,IF(AND($D45&gt;=F$5,$D45&lt;F$5+7),"◆",""),IF(AND($D45&lt;F$5+7,$E45&gt;F$5),"■","")))</x:f>
      </x:c>
      <x:c r="G45" s="7" t="str">
        <x:f>IF(OR($D45="",G$5="",'상세일정'!AM45="제외"),"",IF($D45=$E45,IF(AND($D45&gt;=G$5,$D45&lt;G$5+7),"◆",""),IF(AND($D45&lt;G$5+7,$E45&gt;G$5),"■","")))</x:f>
      </x:c>
      <x:c r="H45" s="7" t="str">
        <x:f>IF(OR($D45="",H$5="",'상세일정'!AM45="제외"),"",IF($D45=$E45,IF(AND($D45&gt;=H$5,$D45&lt;H$5+7),"◆",""),IF(AND($D45&lt;H$5+7,$E45&gt;H$5),"■","")))</x:f>
      </x:c>
      <x:c r="I45" s="7" t="str">
        <x:f>IF(OR($D45="",I$5="",'상세일정'!AM45="제외"),"",IF($D45=$E45,IF(AND($D45&gt;=I$5,$D45&lt;I$5+7),"◆",""),IF(AND($D45&lt;I$5+7,$E45&gt;I$5),"■","")))</x:f>
      </x:c>
      <x:c r="J45" s="7" t="str">
        <x:f>IF(OR($D45="",J$5="",'상세일정'!AM45="제외"),"",IF($D45=$E45,IF(AND($D45&gt;=J$5,$D45&lt;J$5+7),"◆",""),IF(AND($D45&lt;J$5+7,$E45&gt;J$5),"■","")))</x:f>
      </x:c>
      <x:c r="K45" s="7" t="str">
        <x:f>IF(OR($D45="",K$5="",'상세일정'!AM45="제외"),"",IF($D45=$E45,IF(AND($D45&gt;=K$5,$D45&lt;K$5+7),"◆",""),IF(AND($D45&lt;K$5+7,$E45&gt;K$5),"■","")))</x:f>
      </x:c>
      <x:c r="L45" s="7" t="str">
        <x:f>IF(OR($D45="",L$5="",'상세일정'!AM45="제외"),"",IF($D45=$E45,IF(AND($D45&gt;=L$5,$D45&lt;L$5+7),"◆",""),IF(AND($D45&lt;L$5+7,$E45&gt;L$5),"■","")))</x:f>
      </x:c>
      <x:c r="M45" s="7" t="str">
        <x:f>IF(OR($D45="",M$5="",'상세일정'!AM45="제외"),"",IF($D45=$E45,IF(AND($D45&gt;=M$5,$D45&lt;M$5+7),"◆",""),IF(AND($D45&lt;M$5+7,$E45&gt;M$5),"■","")))</x:f>
      </x:c>
      <x:c r="N45" s="7" t="str">
        <x:f>IF(OR($D45="",N$5="",'상세일정'!AM45="제외"),"",IF($D45=$E45,IF(AND($D45&gt;=N$5,$D45&lt;N$5+7),"◆",""),IF(AND($D45&lt;N$5+7,$E45&gt;N$5),"■","")))</x:f>
      </x:c>
      <x:c r="O45" s="7" t="str">
        <x:f>IF(OR($D45="",O$5="",'상세일정'!AM45="제외"),"",IF($D45=$E45,IF(AND($D45&gt;=O$5,$D45&lt;O$5+7),"◆",""),IF(AND($D45&lt;O$5+7,$E45&gt;O$5),"■","")))</x:f>
      </x:c>
      <x:c r="P45" s="7" t="str">
        <x:f>IF(OR($D45="",P$5="",'상세일정'!AM45="제외"),"",IF($D45=$E45,IF(AND($D45&gt;=P$5,$D45&lt;P$5+7),"◆",""),IF(AND($D45&lt;P$5+7,$E45&gt;P$5),"■","")))</x:f>
      </x:c>
      <x:c r="Q45" s="7" t="str">
        <x:f>IF(OR($D45="",Q$5="",'상세일정'!AM45="제외"),"",IF($D45=$E45,IF(AND($D45&gt;=Q$5,$D45&lt;Q$5+7),"◆",""),IF(AND($D45&lt;Q$5+7,$E45&gt;Q$5),"■","")))</x:f>
      </x:c>
      <x:c r="R45" s="7" t="str">
        <x:f>IF(OR($D45="",R$5="",'상세일정'!AM45="제외"),"",IF($D45=$E45,IF(AND($D45&gt;=R$5,$D45&lt;R$5+7),"◆",""),IF(AND($D45&lt;R$5+7,$E45&gt;R$5),"■","")))</x:f>
      </x:c>
      <x:c r="S45" s="7" t="str">
        <x:f>IF(OR($D45="",S$5="",'상세일정'!AM45="제외"),"",IF($D45=$E45,IF(AND($D45&gt;=S$5,$D45&lt;S$5+7),"◆",""),IF(AND($D45&lt;S$5+7,$E45&gt;S$5),"■","")))</x:f>
      </x:c>
      <x:c r="T45" s="7" t="str">
        <x:f>IF(OR($D45="",T$5="",'상세일정'!AM45="제외"),"",IF($D45=$E45,IF(AND($D45&gt;=T$5,$D45&lt;T$5+7),"◆",""),IF(AND($D45&lt;T$5+7,$E45&gt;T$5),"■","")))</x:f>
      </x:c>
      <x:c r="U45" s="7" t="str">
        <x:f>IF(OR($D45="",U$5="",'상세일정'!AM45="제외"),"",IF($D45=$E45,IF(AND($D45&gt;=U$5,$D45&lt;U$5+7),"◆",""),IF(AND($D45&lt;U$5+7,$E45&gt;U$5),"■","")))</x:f>
      </x:c>
      <x:c r="V45" s="7" t="str">
        <x:f>IF(OR($D45="",V$5="",'상세일정'!AM45="제외"),"",IF($D45=$E45,IF(AND($D45&gt;=V$5,$D45&lt;V$5+7),"◆",""),IF(AND($D45&lt;V$5+7,$E45&gt;V$5),"■","")))</x:f>
      </x:c>
      <x:c r="W45" s="7" t="str">
        <x:f>IF(OR($D45="",W$5="",'상세일정'!AM45="제외"),"",IF($D45=$E45,IF(AND($D45&gt;=W$5,$D45&lt;W$5+7),"◆",""),IF(AND($D45&lt;W$5+7,$E45&gt;W$5),"■","")))</x:f>
      </x:c>
      <x:c r="X45" s="7" t="str">
        <x:f>IF(OR($D45="",X$5="",'상세일정'!AM45="제외"),"",IF($D45=$E45,IF(AND($D45&gt;=X$5,$D45&lt;X$5+7),"◆",""),IF(AND($D45&lt;X$5+7,$E45&gt;X$5),"■","")))</x:f>
      </x:c>
      <x:c r="Y45" s="7" t="str">
        <x:f>IF(OR($D45="",Y$5="",'상세일정'!AM45="제외"),"",IF($D45=$E45,IF(AND($D45&gt;=Y$5,$D45&lt;Y$5+7),"◆",""),IF(AND($D45&lt;Y$5+7,$E45&gt;Y$5),"■","")))</x:f>
      </x:c>
      <x:c r="Z45" s="7" t="str">
        <x:f>IF(OR($D45="",Z$5="",'상세일정'!AM45="제외"),"",IF($D45=$E45,IF(AND($D45&gt;=Z$5,$D45&lt;Z$5+7),"◆",""),IF(AND($D45&lt;Z$5+7,$E45&gt;Z$5),"■","")))</x:f>
      </x:c>
      <x:c r="AA45" s="7" t="str">
        <x:f>IF(OR($D45="",AA$5="",'상세일정'!AM45="제외"),"",IF($D45=$E45,IF(AND($D45&gt;=AA$5,$D45&lt;AA$5+7),"◆",""),IF(AND($D45&lt;AA$5+7,$E45&gt;AA$5),"■","")))</x:f>
      </x:c>
      <x:c r="AB45" s="7" t="str">
        <x:f>IF(OR($D45="",AB$5="",'상세일정'!AM45="제외"),"",IF($D45=$E45,IF(AND($D45&gt;=AB$5,$D45&lt;AB$5+7),"◆",""),IF(AND($D45&lt;AB$5+7,$E45&gt;AB$5),"■","")))</x:f>
      </x:c>
      <x:c r="AC45" s="7" t="str">
        <x:f>IF(OR($D45="",AC$5="",'상세일정'!AM45="제외"),"",IF($D45=$E45,IF(AND($D45&gt;=AC$5,$D45&lt;AC$5+7),"◆",""),IF(AND($D45&lt;AC$5+7,$E45&gt;AC$5),"■","")))</x:f>
      </x:c>
      <x:c r="AD45" s="7" t="str">
        <x:f>IF(OR($D45="",AD$5="",'상세일정'!AM45="제외"),"",IF($D45=$E45,IF(AND($D45&gt;=AD$5,$D45&lt;AD$5+7),"◆",""),IF(AND($D45&lt;AD$5+7,$E45&gt;AD$5),"■","")))</x:f>
      </x:c>
      <x:c r="AE45" s="7" t="str">
        <x:f>IF(OR($D45="",AE$5="",'상세일정'!AM45="제외"),"",IF($D45=$E45,IF(AND($D45&gt;=AE$5,$D45&lt;AE$5+7),"◆",""),IF(AND($D45&lt;AE$5+7,$E45&gt;AE$5),"■","")))</x:f>
      </x:c>
      <x:c r="AF45" s="7" t="str">
        <x:f>IF(OR($D45="",AF$5="",'상세일정'!AM45="제외"),"",IF($D45=$E45,IF(AND($D45&gt;=AF$5,$D45&lt;AF$5+7),"◆",""),IF(AND($D45&lt;AF$5+7,$E45&gt;AF$5),"■","")))</x:f>
      </x:c>
      <x:c r="AG45" s="7" t="str">
        <x:f>IF(OR($D45="",AG$5="",'상세일정'!AM45="제외"),"",IF($D45=$E45,IF(AND($D45&gt;=AG$5,$D45&lt;AG$5+7),"◆",""),IF(AND($D45&lt;AG$5+7,$E45&gt;AG$5),"■","")))</x:f>
      </x:c>
      <x:c r="AH45" s="7" t="str">
        <x:f>IF(OR($D45="",AH$5="",'상세일정'!AM45="제외"),"",IF($D45=$E45,IF(AND($D45&gt;=AH$5,$D45&lt;AH$5+7),"◆",""),IF(AND($D45&lt;AH$5+7,$E45&gt;AH$5),"■","")))</x:f>
      </x:c>
      <x:c r="AI45" s="7" t="str">
        <x:f>IF(OR($D45="",AI$5="",'상세일정'!AM45="제외"),"",IF($D45=$E45,IF(AND($D45&gt;=AI$5,$D45&lt;AI$5+7),"◆",""),IF(AND($D45&lt;AI$5+7,$E45&gt;AI$5),"■","")))</x:f>
      </x:c>
      <x:c r="AJ45" s="7" t="str">
        <x:f>IF(OR($D45="",AJ$5="",'상세일정'!AM45="제외"),"",IF($D45=$E45,IF(AND($D45&gt;=AJ$5,$D45&lt;AJ$5+7),"◆",""),IF(AND($D45&lt;AJ$5+7,$E45&gt;AJ$5),"■","")))</x:f>
      </x:c>
      <x:c r="AK45" s="7" t="str">
        <x:f>IF(OR($D45="",AK$5="",'상세일정'!AM45="제외"),"",IF($D45=$E45,IF(AND($D45&gt;=AK$5,$D45&lt;AK$5+7),"◆",""),IF(AND($D45&lt;AK$5+7,$E45&gt;AK$5),"■","")))</x:f>
      </x:c>
      <x:c r="AL45" s="7" t="str">
        <x:f>IF(OR($D45="",AL$5="",'상세일정'!AM45="제외"),"",IF($D45=$E45,IF(AND($D45&gt;=AL$5,$D45&lt;AL$5+7),"◆",""),IF(AND($D45&lt;AL$5+7,$E45&gt;AL$5),"■","")))</x:f>
      </x:c>
      <x:c r="AM45" s="7" t="str">
        <x:f>IF(OR($D45="",AM$5="",'상세일정'!AM45="제외"),"",IF($D45=$E45,IF(AND($D45&gt;=AM$5,$D45&lt;AM$5+7),"◆",""),IF(AND($D45&lt;AM$5+7,$E45&gt;AM$5),"■","")))</x:f>
      </x:c>
      <x:c r="AN45" s="7" t="str">
        <x:f>IF(OR($D45="",AN$5="",'상세일정'!AM45="제외"),"",IF($D45=$E45,IF(AND($D45&gt;=AN$5,$D45&lt;AN$5+7),"◆",""),IF(AND($D45&lt;AN$5+7,$E45&gt;AN$5),"■","")))</x:f>
      </x:c>
      <x:c r="AO45" s="7" t="str">
        <x:f>IF(OR($D45="",AO$5="",'상세일정'!AM45="제외"),"",IF($D45=$E45,IF(AND($D45&gt;=AO$5,$D45&lt;AO$5+7),"◆",""),IF(AND($D45&lt;AO$5+7,$E45&gt;AO$5),"■","")))</x:f>
      </x:c>
      <x:c r="AP45" s="7" t="str">
        <x:f>IF(OR($D45="",AP$5="",'상세일정'!AM45="제외"),"",IF($D45=$E45,IF(AND($D45&gt;=AP$5,$D45&lt;AP$5+7),"◆",""),IF(AND($D45&lt;AP$5+7,$E45&gt;AP$5),"■","")))</x:f>
      </x:c>
      <x:c r="AQ45" s="7" t="str">
        <x:f>IF(OR($D45="",AQ$5="",'상세일정'!AM45="제외"),"",IF($D45=$E45,IF(AND($D45&gt;=AQ$5,$D45&lt;AQ$5+7),"◆",""),IF(AND($D45&lt;AQ$5+7,$E45&gt;AQ$5),"■","")))</x:f>
      </x:c>
      <x:c r="AR45" s="7" t="str">
        <x:f>IF(OR($D45="",AR$5="",'상세일정'!AM45="제외"),"",IF($D45=$E45,IF(AND($D45&gt;=AR$5,$D45&lt;AR$5+7),"◆",""),IF(AND($D45&lt;AR$5+7,$E45&gt;AR$5),"■","")))</x:f>
      </x:c>
      <x:c r="AS45" s="7" t="str">
        <x:f>IF(OR($D45="",AS$5="",'상세일정'!AM45="제외"),"",IF($D45=$E45,IF(AND($D45&gt;=AS$5,$D45&lt;AS$5+7),"◆",""),IF(AND($D45&lt;AS$5+7,$E45&gt;AS$5),"■","")))</x:f>
      </x:c>
      <x:c r="AT45" s="7" t="str">
        <x:f>IF(OR($D45="",AT$5="",'상세일정'!AM45="제외"),"",IF($D45=$E45,IF(AND($D45&gt;=AT$5,$D45&lt;AT$5+7),"◆",""),IF(AND($D45&lt;AT$5+7,$E45&gt;AT$5),"■","")))</x:f>
      </x:c>
      <x:c r="AU45" s="7" t="str">
        <x:f>IF(OR($D45="",AU$5="",'상세일정'!AM45="제외"),"",IF($D45=$E45,IF(AND($D45&gt;=AU$5,$D45&lt;AU$5+7),"◆",""),IF(AND($D45&lt;AU$5+7,$E45&gt;AU$5),"■","")))</x:f>
      </x:c>
      <x:c r="AV45" s="7" t="str">
        <x:f>IF(OR($D45="",AV$5="",'상세일정'!AM45="제외"),"",IF($D45=$E45,IF(AND($D45&gt;=AV$5,$D45&lt;AV$5+7),"◆",""),IF(AND($D45&lt;AV$5+7,$E45&gt;AV$5),"■","")))</x:f>
      </x:c>
      <x:c r="AW45" s="7" t="str">
        <x:f>IF(OR($D45="",AW$5="",'상세일정'!AM45="제외"),"",IF($D45=$E45,IF(AND($D45&gt;=AW$5,$D45&lt;AW$5+7),"◆",""),IF(AND($D45&lt;AW$5+7,$E45&gt;AW$5),"■","")))</x:f>
      </x:c>
      <x:c r="AX45" s="7" t="str">
        <x:f>IF(OR($D45="",AX$5="",'상세일정'!AM45="제외"),"",IF($D45=$E45,IF(AND($D45&gt;=AX$5,$D45&lt;AX$5+7),"◆",""),IF(AND($D45&lt;AX$5+7,$E45&gt;AX$5),"■","")))</x:f>
      </x:c>
      <x:c r="AY45" s="7" t="str">
        <x:f>IF(OR($D45="",AY$5="",'상세일정'!AM45="제외"),"",IF($D45=$E45,IF(AND($D45&gt;=AY$5,$D45&lt;AY$5+7),"◆",""),IF(AND($D45&lt;AY$5+7,$E45&gt;AY$5),"■","")))</x:f>
      </x:c>
      <x:c r="AZ45" s="7" t="str">
        <x:f>IF(OR($D45="",AZ$5="",'상세일정'!AM45="제외"),"",IF($D45=$E45,IF(AND($D45&gt;=AZ$5,$D45&lt;AZ$5+7),"◆",""),IF(AND($D45&lt;AZ$5+7,$E45&gt;AZ$5),"■","")))</x:f>
      </x:c>
      <x:c r="BA45" s="7" t="str">
        <x:f>IF(OR($D45="",BA$5="",'상세일정'!AM45="제외"),"",IF($D45=$E45,IF(AND($D45&gt;=BA$5,$D45&lt;BA$5+7),"◆",""),IF(AND($D45&lt;BA$5+7,$E45&gt;BA$5),"■","")))</x:f>
      </x:c>
      <x:c r="BB45" s="7" t="str">
        <x:f>IF(OR($D45="",BB$5="",'상세일정'!AM45="제외"),"",IF($D45=$E45,IF(AND($D45&gt;=BB$5,$D45&lt;BB$5+7),"◆",""),IF(AND($D45&lt;BB$5+7,$E45&gt;BB$5),"■","")))</x:f>
      </x:c>
      <x:c r="BC45" s="7" t="str">
        <x:f>IF(OR($D45="",BC$5="",'상세일정'!AM45="제외"),"",IF($D45=$E45,IF(AND($D45&gt;=BC$5,$D45&lt;BC$5+7),"◆",""),IF(AND($D45&lt;BC$5+7,$E45&gt;BC$5),"■","")))</x:f>
      </x:c>
      <x:c r="BD45" s="7" t="str">
        <x:f>IF(OR($D45="",BD$5="",'상세일정'!AM45="제외"),"",IF($D45=$E45,IF(AND($D45&gt;=BD$5,$D45&lt;BD$5+7),"◆",""),IF(AND($D45&lt;BD$5+7,$E45&gt;BD$5),"■","")))</x:f>
      </x:c>
      <x:c r="BE45" s="7" t="str">
        <x:f>IF(OR($D45="",BE$5="",'상세일정'!AM45="제외"),"",IF($D45=$E45,IF(AND($D45&gt;=BE$5,$D45&lt;BE$5+7),"◆",""),IF(AND($D45&lt;BE$5+7,$E45&gt;BE$5),"■","")))</x:f>
      </x:c>
      <x:c r="BF45" s="7" t="str">
        <x:f>IF(OR($D45="",BF$5="",'상세일정'!AM45="제외"),"",IF($D45=$E45,IF(AND($D45&gt;=BF$5,$D45&lt;BF$5+7),"◆",""),IF(AND($D45&lt;BF$5+7,$E45&gt;BF$5),"■","")))</x:f>
      </x:c>
      <x:c r="BG45" s="7" t="str">
        <x:f>IF(OR($D45="",BG$5="",'상세일정'!AM45="제외"),"",IF($D45=$E45,IF(AND($D45&gt;=BG$5,$D45&lt;BG$5+7),"◆",""),IF(AND($D45&lt;BG$5+7,$E45&gt;BG$5),"■","")))</x:f>
      </x:c>
      <x:c r="BH45" s="7" t="str">
        <x:f>IF(OR($D45="",BH$5="",'상세일정'!AM45="제외"),"",IF($D45=$E45,IF(AND($D45&gt;=BH$5,$D45&lt;BH$5+7),"◆",""),IF(AND($D45&lt;BH$5+7,$E45&gt;BH$5),"■","")))</x:f>
      </x:c>
      <x:c r="BI45" s="7" t="str">
        <x:f>IF(OR($D45="",BI$5="",'상세일정'!AM45="제외"),"",IF($D45=$E45,IF(AND($D45&gt;=BI$5,$D45&lt;BI$5+7),"◆",""),IF(AND($D45&lt;BI$5+7,$E45&gt;BI$5),"■","")))</x:f>
      </x:c>
      <x:c r="BJ45" s="7" t="str">
        <x:f>IF(OR($D45="",BJ$5="",'상세일정'!AM45="제외"),"",IF($D45=$E45,IF(AND($D45&gt;=BJ$5,$D45&lt;BJ$5+7),"◆",""),IF(AND($D45&lt;BJ$5+7,$E45&gt;BJ$5),"■","")))</x:f>
      </x:c>
      <x:c r="BK45" s="7" t="str">
        <x:f>IF(OR($D45="",BK$5="",'상세일정'!AM45="제외"),"",IF($D45=$E45,IF(AND($D45&gt;=BK$5,$D45&lt;BK$5+7),"◆",""),IF(AND($D45&lt;BK$5+7,$E45&gt;BK$5),"■","")))</x:f>
      </x:c>
      <x:c r="BL45" s="7" t="str">
        <x:f>IF(OR($D45="",BL$5="",'상세일정'!AM45="제외"),"",IF($D45=$E45,IF(AND($D45&gt;=BL$5,$D45&lt;BL$5+7),"◆",""),IF(AND($D45&lt;BL$5+7,$E45&gt;BL$5),"■","")))</x:f>
      </x:c>
      <x:c r="BM45" s="7" t="str">
        <x:f>IF(OR($D45="",BM$5="",'상세일정'!AM45="제외"),"",IF($D45=$E45,IF(AND($D45&gt;=BM$5,$D45&lt;BM$5+7),"◆",""),IF(AND($D45&lt;BM$5+7,$E45&gt;BM$5),"■","")))</x:f>
      </x:c>
      <x:c r="BN45" s="7" t="str">
        <x:f>IF(OR($D45="",BN$5="",'상세일정'!AM45="제외"),"",IF($D45=$E45,IF(AND($D45&gt;=BN$5,$D45&lt;BN$5+7),"◆",""),IF(AND($D45&lt;BN$5+7,$E45&gt;BN$5),"■","")))</x:f>
      </x:c>
      <x:c r="BO45" s="7" t="str">
        <x:f>IF(OR($D45="",BO$5="",'상세일정'!AM45="제외"),"",IF($D45=$E45,IF(AND($D45&gt;=BO$5,$D45&lt;BO$5+7),"◆",""),IF(AND($D45&lt;BO$5+7,$E45&gt;BO$5),"■","")))</x:f>
      </x:c>
      <x:c r="BP45" s="7" t="str">
        <x:f>IF(OR($D45="",BP$5="",'상세일정'!AM45="제외"),"",IF($D45=$E45,IF(AND($D45&gt;=BP$5,$D45&lt;BP$5+7),"◆",""),IF(AND($D45&lt;BP$5+7,$E45&gt;BP$5),"■","")))</x:f>
      </x:c>
      <x:c r="BQ45" s="7" t="str">
        <x:f>IF(OR($D45="",BQ$5="",'상세일정'!AM45="제외"),"",IF($D45=$E45,IF(AND($D45&gt;=BQ$5,$D45&lt;BQ$5+7),"◆",""),IF(AND($D45&lt;BQ$5+7,$E45&gt;BQ$5),"■","")))</x:f>
      </x:c>
      <x:c r="BR45" s="7" t="str">
        <x:f>IF(OR($D45="",BR$5="",'상세일정'!AM45="제외"),"",IF($D45=$E45,IF(AND($D45&gt;=BR$5,$D45&lt;BR$5+7),"◆",""),IF(AND($D45&lt;BR$5+7,$E45&gt;BR$5),"■","")))</x:f>
      </x:c>
      <x:c r="BS45" s="7" t="str">
        <x:f>IF(OR($D45="",BS$5="",'상세일정'!AM45="제외"),"",IF($D45=$E45,IF(AND($D45&gt;=BS$5,$D45&lt;BS$5+7),"◆",""),IF(AND($D45&lt;BS$5+7,$E45&gt;BS$5),"■","")))</x:f>
      </x:c>
      <x:c r="BT45" s="7" t="str">
        <x:f>IF(OR($D45="",BT$5="",'상세일정'!AM45="제외"),"",IF($D45=$E45,IF(AND($D45&gt;=BT$5,$D45&lt;BT$5+7),"◆",""),IF(AND($D45&lt;BT$5+7,$E45&gt;BT$5),"■","")))</x:f>
      </x:c>
      <x:c r="BU45" s="7" t="str">
        <x:f>IF(OR($D45="",BU$5="",'상세일정'!AM45="제외"),"",IF($D45=$E45,IF(AND($D45&gt;=BU$5,$D45&lt;BU$5+7),"◆",""),IF(AND($D45&lt;BU$5+7,$E45&gt;BU$5),"■","")))</x:f>
      </x:c>
      <x:c r="BV45" s="7" t="str">
        <x:f>IF(OR($D45="",BV$5="",'상세일정'!AM45="제외"),"",IF($D45=$E45,IF(AND($D45&gt;=BV$5,$D45&lt;BV$5+7),"◆",""),IF(AND($D45&lt;BV$5+7,$E45&gt;BV$5),"■","")))</x:f>
      </x:c>
      <x:c r="BW45" s="7" t="str">
        <x:f>IF(OR($D45="",BW$5="",'상세일정'!AM45="제외"),"",IF($D45=$E45,IF(AND($D45&gt;=BW$5,$D45&lt;BW$5+7),"◆",""),IF(AND($D45&lt;BW$5+7,$E45&gt;BW$5),"■","")))</x:f>
      </x:c>
      <x:c r="BX45" s="7" t="str">
        <x:f>IF(OR($D45="",BX$5="",'상세일정'!AM45="제외"),"",IF($D45=$E45,IF(AND($D45&gt;=BX$5,$D45&lt;BX$5+7),"◆",""),IF(AND($D45&lt;BX$5+7,$E45&gt;BX$5),"■","")))</x:f>
      </x:c>
      <x:c r="BY45" s="7" t="str">
        <x:f>IF(OR($D45="",BY$5="",'상세일정'!AM45="제외"),"",IF($D45=$E45,IF(AND($D45&gt;=BY$5,$D45&lt;BY$5+7),"◆",""),IF(AND($D45&lt;BY$5+7,$E45&gt;BY$5),"■","")))</x:f>
      </x:c>
      <x:c r="BZ45" s="7" t="str">
        <x:f>IF(OR($D45="",BZ$5="",'상세일정'!AM45="제외"),"",IF($D45=$E45,IF(AND($D45&gt;=BZ$5,$D45&lt;BZ$5+7),"◆",""),IF(AND($D45&lt;BZ$5+7,$E45&gt;BZ$5),"■","")))</x:f>
      </x:c>
      <x:c r="CA45" s="7" t="str">
        <x:f>IF(OR($D45="",CA$5="",'상세일정'!AM45="제외"),"",IF($D45=$E45,IF(AND($D45&gt;=CA$5,$D45&lt;CA$5+7),"◆",""),IF(AND($D45&lt;CA$5+7,$E45&gt;CA$5),"■","")))</x:f>
      </x:c>
      <x:c r="CB45" s="7" t="str">
        <x:f>IF(OR($D45="",CB$5="",'상세일정'!AM45="제외"),"",IF($D45=$E45,IF(AND($D45&gt;=CB$5,$D45&lt;CB$5+7),"◆",""),IF(AND($D45&lt;CB$5+7,$E45&gt;CB$5),"■","")))</x:f>
      </x:c>
      <x:c r="CC45" s="7" t="str">
        <x:f>IF(OR($D45="",CC$5="",'상세일정'!AM45="제외"),"",IF($D45=$E45,IF(AND($D45&gt;=CC$5,$D45&lt;CC$5+7),"◆",""),IF(AND($D45&lt;CC$5+7,$E45&gt;CC$5),"■","")))</x:f>
      </x:c>
      <x:c r="CD45" s="7" t="str">
        <x:f>IF(OR($D45="",CD$5="",'상세일정'!AM45="제외"),"",IF($D45=$E45,IF(AND($D45&gt;=CD$5,$D45&lt;CD$5+7),"◆",""),IF(AND($D45&lt;CD$5+7,$E45&gt;CD$5),"■","")))</x:f>
      </x:c>
      <x:c r="CE45" s="7" t="str">
        <x:f>IF(OR($D45="",CE$5="",'상세일정'!AM45="제외"),"",IF($D45=$E45,IF(AND($D45&gt;=CE$5,$D45&lt;CE$5+7),"◆",""),IF(AND($D45&lt;CE$5+7,$E45&gt;CE$5),"■","")))</x:f>
      </x:c>
      <x:c r="CF45" s="7" t="str">
        <x:f>IF(OR($D45="",CF$5="",'상세일정'!AM45="제외"),"",IF($D45=$E45,IF(AND($D45&gt;=CF$5,$D45&lt;CF$5+7),"◆",""),IF(AND($D45&lt;CF$5+7,$E45&gt;CF$5),"■","")))</x:f>
      </x:c>
      <x:c r="CG45" s="7" t="str">
        <x:f>IF(OR($D45="",CG$5="",'상세일정'!AM45="제외"),"",IF($D45=$E45,IF(AND($D45&gt;=CG$5,$D45&lt;CG$5+7),"◆",""),IF(AND($D45&lt;CG$5+7,$E45&gt;CG$5),"■","")))</x:f>
      </x:c>
      <x:c r="CH45" s="7" t="str">
        <x:f>IF(OR($D45="",CH$5="",'상세일정'!AM45="제외"),"",IF($D45=$E45,IF(AND($D45&gt;=CH$5,$D45&lt;CH$5+7),"◆",""),IF(AND($D45&lt;CH$5+7,$E45&gt;CH$5),"■","")))</x:f>
      </x:c>
      <x:c r="CI45" s="7" t="str">
        <x:f>IF(OR($D45="",CI$5="",'상세일정'!AM45="제외"),"",IF($D45=$E45,IF(AND($D45&gt;=CI$5,$D45&lt;CI$5+7),"◆",""),IF(AND($D45&lt;CI$5+7,$E45&gt;CI$5),"■","")))</x:f>
      </x:c>
      <x:c r="CJ45" s="7" t="str">
        <x:f>IF(OR($D45="",CJ$5="",'상세일정'!AM45="제외"),"",IF($D45=$E45,IF(AND($D45&gt;=CJ$5,$D45&lt;CJ$5+7),"◆",""),IF(AND($D45&lt;CJ$5+7,$E45&gt;CJ$5),"■","")))</x:f>
      </x:c>
      <x:c r="CK45" s="7" t="str">
        <x:f>IF(OR($D45="",CK$5="",'상세일정'!AM45="제외"),"",IF($D45=$E45,IF(AND($D45&gt;=CK$5,$D45&lt;CK$5+7),"◆",""),IF(AND($D45&lt;CK$5+7,$E45&gt;CK$5),"■","")))</x:f>
      </x:c>
      <x:c r="CL45" s="7" t="str">
        <x:f>IF(OR($D45="",CL$5="",'상세일정'!AM45="제외"),"",IF($D45=$E45,IF(AND($D45&gt;=CL$5,$D45&lt;CL$5+7),"◆",""),IF(AND($D45&lt;CL$5+7,$E45&gt;CL$5),"■","")))</x:f>
      </x:c>
      <x:c r="CM45" s="7" t="str">
        <x:f>IF(OR($D45="",CM$5="",'상세일정'!AM45="제외"),"",IF($D45=$E45,IF(AND($D45&gt;=CM$5,$D45&lt;CM$5+7),"◆",""),IF(AND($D45&lt;CM$5+7,$E45&gt;CM$5),"■","")))</x:f>
      </x:c>
      <x:c r="CN45" s="7" t="str">
        <x:f>IF(OR($D45="",CN$5="",'상세일정'!AM45="제외"),"",IF($D45=$E45,IF(AND($D45&gt;=CN$5,$D45&lt;CN$5+7),"◆",""),IF(AND($D45&lt;CN$5+7,$E45&gt;CN$5),"■","")))</x:f>
      </x:c>
      <x:c r="CO45" s="7" t="str">
        <x:f>IF(OR($D45="",CO$5="",'상세일정'!AM45="제외"),"",IF($D45=$E45,IF(AND($D45&gt;=CO$5,$D45&lt;CO$5+7),"◆",""),IF(AND($D45&lt;CO$5+7,$E45&gt;CO$5),"■","")))</x:f>
      </x:c>
      <x:c r="CP45" s="7" t="str">
        <x:f>IF(OR($D45="",CP$5="",'상세일정'!AM45="제외"),"",IF($D45=$E45,IF(AND($D45&gt;=CP$5,$D45&lt;CP$5+7),"◆",""),IF(AND($D45&lt;CP$5+7,$E45&gt;CP$5),"■","")))</x:f>
      </x:c>
      <x:c r="CQ45" s="7" t="str">
        <x:f>IF(OR($D45="",CQ$5="",'상세일정'!AM45="제외"),"",IF($D45=$E45,IF(AND($D45&gt;=CQ$5,$D45&lt;CQ$5+7),"◆",""),IF(AND($D45&lt;CQ$5+7,$E45&gt;CQ$5),"■","")))</x:f>
      </x:c>
      <x:c r="CR45" s="7" t="str">
        <x:f>IF(OR($D45="",CR$5="",'상세일정'!AM45="제외"),"",IF($D45=$E45,IF(AND($D45&gt;=CR$5,$D45&lt;CR$5+7),"◆",""),IF(AND($D45&lt;CR$5+7,$E45&gt;CR$5),"■","")))</x:f>
      </x:c>
      <x:c r="CS45" s="7" t="str">
        <x:f>IF(OR($D45="",CS$5="",'상세일정'!AM45="제외"),"",IF($D45=$E45,IF(AND($D45&gt;=CS$5,$D45&lt;CS$5+7),"◆",""),IF(AND($D45&lt;CS$5+7,$E45&gt;CS$5),"■","")))</x:f>
      </x:c>
      <x:c r="CT45" s="7" t="str">
        <x:f>IF(OR($D45="",CT$5="",'상세일정'!AM45="제외"),"",IF($D45=$E45,IF(AND($D45&gt;=CT$5,$D45&lt;CT$5+7),"◆",""),IF(AND($D45&lt;CT$5+7,$E45&gt;CT$5),"■","")))</x:f>
      </x:c>
      <x:c r="CU45" s="7" t="str">
        <x:f>IF(OR($D45="",CU$5="",'상세일정'!AM45="제외"),"",IF($D45=$E45,IF(AND($D45&gt;=CU$5,$D45&lt;CU$5+7),"◆",""),IF(AND($D45&lt;CU$5+7,$E45&gt;CU$5),"■","")))</x:f>
      </x:c>
      <x:c r="CV45" s="7" t="str">
        <x:f>IF(OR($D45="",CV$5="",'상세일정'!AM45="제외"),"",IF($D45=$E45,IF(AND($D45&gt;=CV$5,$D45&lt;CV$5+7),"◆",""),IF(AND($D45&lt;CV$5+7,$E45&gt;CV$5),"■","")))</x:f>
      </x:c>
      <x:c r="CW45" s="7" t="str">
        <x:f>IF(OR($D45="",CW$5="",'상세일정'!AM45="제외"),"",IF($D45=$E45,IF(AND($D45&gt;=CW$5,$D45&lt;CW$5+7),"◆",""),IF(AND($D45&lt;CW$5+7,$E45&gt;CW$5),"■","")))</x:f>
      </x:c>
      <x:c r="CX45" s="7" t="str">
        <x:f>IF(OR($D45="",CX$5="",'상세일정'!AM45="제외"),"",IF($D45=$E45,IF(AND($D45&gt;=CX$5,$D45&lt;CX$5+7),"◆",""),IF(AND($D45&lt;CX$5+7,$E45&gt;CX$5),"■","")))</x:f>
      </x:c>
      <x:c r="CY45" s="7" t="str">
        <x:f>IF(OR($D45="",CY$5="",'상세일정'!AM45="제외"),"",IF($D45=$E45,IF(AND($D45&gt;=CY$5,$D45&lt;CY$5+7),"◆",""),IF(AND($D45&lt;CY$5+7,$E45&gt;CY$5),"■","")))</x:f>
      </x:c>
      <x:c r="CZ45" s="7" t="str">
        <x:f>IF(OR($D45="",CZ$5="",'상세일정'!AM45="제외"),"",IF($D45=$E45,IF(AND($D45&gt;=CZ$5,$D45&lt;CZ$5+7),"◆",""),IF(AND($D45&lt;CZ$5+7,$E45&gt;CZ$5),"■","")))</x:f>
      </x:c>
      <x:c r="DA45" s="7" t="str">
        <x:f>IF(OR($D45="",DA$5="",'상세일정'!AM45="제외"),"",IF($D45=$E45,IF(AND($D45&gt;=DA$5,$D45&lt;DA$5+7),"◆",""),IF(AND($D45&lt;DA$5+7,$E45&gt;DA$5),"■","")))</x:f>
      </x:c>
      <x:c r="DB45" s="7" t="str">
        <x:f>IF(OR($D45="",DB$5="",'상세일정'!AM45="제외"),"",IF($D45=$E45,IF(AND($D45&gt;=DB$5,$D45&lt;DB$5+7),"◆",""),IF(AND($D45&lt;DB$5+7,$E45&gt;DB$5),"■","")))</x:f>
      </x:c>
      <x:c r="DC45" s="7" t="str">
        <x:f>IF(OR($D45="",DC$5="",'상세일정'!AM45="제외"),"",IF($D45=$E45,IF(AND($D45&gt;=DC$5,$D45&lt;DC$5+7),"◆",""),IF(AND($D45&lt;DC$5+7,$E45&gt;DC$5),"■","")))</x:f>
      </x:c>
      <x:c r="DD45" s="7" t="str">
        <x:f>IF(OR($D45="",DD$5="",'상세일정'!AM45="제외"),"",IF($D45=$E45,IF(AND($D45&gt;=DD$5,$D45&lt;DD$5+7),"◆",""),IF(AND($D45&lt;DD$5+7,$E45&gt;DD$5),"■","")))</x:f>
      </x:c>
      <x:c r="DE45" s="7" t="str">
        <x:f>IF(OR($D45="",DE$5="",'상세일정'!AM45="제외"),"",IF($D45=$E45,IF(AND($D45&gt;=DE$5,$D45&lt;DE$5+7),"◆",""),IF(AND($D45&lt;DE$5+7,$E45&gt;DE$5),"■","")))</x:f>
      </x:c>
    </x:row>
    <x:row r="46" ht="34" customHeight="1">
      <x:c r="A46" s="7" t="str">
        <x:v>EL01</x:v>
      </x:c>
      <x:c r="B46" s="7" t="str">
        <x:v>08 전기·통신·소방 설계</x:v>
      </x:c>
      <x:c r="C46" s="7" t="str">
        <x:v>Vendor load list 및 수전용량 검증</x:v>
      </x:c>
      <x:c r="D46" s="10" t="str">
        <x:f>'상세일정'!AJ46</x:f>
      </x:c>
      <x:c r="E46" s="10" t="str">
        <x:f>'상세일정'!AK46</x:f>
      </x:c>
      <x:c r="F46" s="7" t="str">
        <x:f>IF(OR($D46="",F$5="",'상세일정'!AM46="제외"),"",IF($D46=$E46,IF(AND($D46&gt;=F$5,$D46&lt;F$5+7),"◆",""),IF(AND($D46&lt;F$5+7,$E46&gt;F$5),"■","")))</x:f>
      </x:c>
      <x:c r="G46" s="7" t="str">
        <x:f>IF(OR($D46="",G$5="",'상세일정'!AM46="제외"),"",IF($D46=$E46,IF(AND($D46&gt;=G$5,$D46&lt;G$5+7),"◆",""),IF(AND($D46&lt;G$5+7,$E46&gt;G$5),"■","")))</x:f>
      </x:c>
      <x:c r="H46" s="7" t="str">
        <x:f>IF(OR($D46="",H$5="",'상세일정'!AM46="제외"),"",IF($D46=$E46,IF(AND($D46&gt;=H$5,$D46&lt;H$5+7),"◆",""),IF(AND($D46&lt;H$5+7,$E46&gt;H$5),"■","")))</x:f>
      </x:c>
      <x:c r="I46" s="7" t="str">
        <x:f>IF(OR($D46="",I$5="",'상세일정'!AM46="제외"),"",IF($D46=$E46,IF(AND($D46&gt;=I$5,$D46&lt;I$5+7),"◆",""),IF(AND($D46&lt;I$5+7,$E46&gt;I$5),"■","")))</x:f>
      </x:c>
      <x:c r="J46" s="7" t="str">
        <x:f>IF(OR($D46="",J$5="",'상세일정'!AM46="제외"),"",IF($D46=$E46,IF(AND($D46&gt;=J$5,$D46&lt;J$5+7),"◆",""),IF(AND($D46&lt;J$5+7,$E46&gt;J$5),"■","")))</x:f>
      </x:c>
      <x:c r="K46" s="7" t="str">
        <x:f>IF(OR($D46="",K$5="",'상세일정'!AM46="제외"),"",IF($D46=$E46,IF(AND($D46&gt;=K$5,$D46&lt;K$5+7),"◆",""),IF(AND($D46&lt;K$5+7,$E46&gt;K$5),"■","")))</x:f>
      </x:c>
      <x:c r="L46" s="7" t="str">
        <x:f>IF(OR($D46="",L$5="",'상세일정'!AM46="제외"),"",IF($D46=$E46,IF(AND($D46&gt;=L$5,$D46&lt;L$5+7),"◆",""),IF(AND($D46&lt;L$5+7,$E46&gt;L$5),"■","")))</x:f>
      </x:c>
      <x:c r="M46" s="7" t="str">
        <x:f>IF(OR($D46="",M$5="",'상세일정'!AM46="제외"),"",IF($D46=$E46,IF(AND($D46&gt;=M$5,$D46&lt;M$5+7),"◆",""),IF(AND($D46&lt;M$5+7,$E46&gt;M$5),"■","")))</x:f>
      </x:c>
      <x:c r="N46" s="7" t="str">
        <x:f>IF(OR($D46="",N$5="",'상세일정'!AM46="제외"),"",IF($D46=$E46,IF(AND($D46&gt;=N$5,$D46&lt;N$5+7),"◆",""),IF(AND($D46&lt;N$5+7,$E46&gt;N$5),"■","")))</x:f>
      </x:c>
      <x:c r="O46" s="7" t="str">
        <x:f>IF(OR($D46="",O$5="",'상세일정'!AM46="제외"),"",IF($D46=$E46,IF(AND($D46&gt;=O$5,$D46&lt;O$5+7),"◆",""),IF(AND($D46&lt;O$5+7,$E46&gt;O$5),"■","")))</x:f>
      </x:c>
      <x:c r="P46" s="7" t="str">
        <x:f>IF(OR($D46="",P$5="",'상세일정'!AM46="제외"),"",IF($D46=$E46,IF(AND($D46&gt;=P$5,$D46&lt;P$5+7),"◆",""),IF(AND($D46&lt;P$5+7,$E46&gt;P$5),"■","")))</x:f>
      </x:c>
      <x:c r="Q46" s="7" t="str">
        <x:f>IF(OR($D46="",Q$5="",'상세일정'!AM46="제외"),"",IF($D46=$E46,IF(AND($D46&gt;=Q$5,$D46&lt;Q$5+7),"◆",""),IF(AND($D46&lt;Q$5+7,$E46&gt;Q$5),"■","")))</x:f>
      </x:c>
      <x:c r="R46" s="7" t="str">
        <x:f>IF(OR($D46="",R$5="",'상세일정'!AM46="제외"),"",IF($D46=$E46,IF(AND($D46&gt;=R$5,$D46&lt;R$5+7),"◆",""),IF(AND($D46&lt;R$5+7,$E46&gt;R$5),"■","")))</x:f>
      </x:c>
      <x:c r="S46" s="7" t="str">
        <x:f>IF(OR($D46="",S$5="",'상세일정'!AM46="제외"),"",IF($D46=$E46,IF(AND($D46&gt;=S$5,$D46&lt;S$5+7),"◆",""),IF(AND($D46&lt;S$5+7,$E46&gt;S$5),"■","")))</x:f>
      </x:c>
      <x:c r="T46" s="7" t="str">
        <x:f>IF(OR($D46="",T$5="",'상세일정'!AM46="제외"),"",IF($D46=$E46,IF(AND($D46&gt;=T$5,$D46&lt;T$5+7),"◆",""),IF(AND($D46&lt;T$5+7,$E46&gt;T$5),"■","")))</x:f>
      </x:c>
      <x:c r="U46" s="7" t="str">
        <x:f>IF(OR($D46="",U$5="",'상세일정'!AM46="제외"),"",IF($D46=$E46,IF(AND($D46&gt;=U$5,$D46&lt;U$5+7),"◆",""),IF(AND($D46&lt;U$5+7,$E46&gt;U$5),"■","")))</x:f>
      </x:c>
      <x:c r="V46" s="7" t="str">
        <x:f>IF(OR($D46="",V$5="",'상세일정'!AM46="제외"),"",IF($D46=$E46,IF(AND($D46&gt;=V$5,$D46&lt;V$5+7),"◆",""),IF(AND($D46&lt;V$5+7,$E46&gt;V$5),"■","")))</x:f>
      </x:c>
      <x:c r="W46" s="7" t="str">
        <x:f>IF(OR($D46="",W$5="",'상세일정'!AM46="제외"),"",IF($D46=$E46,IF(AND($D46&gt;=W$5,$D46&lt;W$5+7),"◆",""),IF(AND($D46&lt;W$5+7,$E46&gt;W$5),"■","")))</x:f>
      </x:c>
      <x:c r="X46" s="7" t="str">
        <x:f>IF(OR($D46="",X$5="",'상세일정'!AM46="제외"),"",IF($D46=$E46,IF(AND($D46&gt;=X$5,$D46&lt;X$5+7),"◆",""),IF(AND($D46&lt;X$5+7,$E46&gt;X$5),"■","")))</x:f>
      </x:c>
      <x:c r="Y46" s="7" t="str">
        <x:f>IF(OR($D46="",Y$5="",'상세일정'!AM46="제외"),"",IF($D46=$E46,IF(AND($D46&gt;=Y$5,$D46&lt;Y$5+7),"◆",""),IF(AND($D46&lt;Y$5+7,$E46&gt;Y$5),"■","")))</x:f>
      </x:c>
      <x:c r="Z46" s="7" t="str">
        <x:f>IF(OR($D46="",Z$5="",'상세일정'!AM46="제외"),"",IF($D46=$E46,IF(AND($D46&gt;=Z$5,$D46&lt;Z$5+7),"◆",""),IF(AND($D46&lt;Z$5+7,$E46&gt;Z$5),"■","")))</x:f>
      </x:c>
      <x:c r="AA46" s="7" t="str">
        <x:f>IF(OR($D46="",AA$5="",'상세일정'!AM46="제외"),"",IF($D46=$E46,IF(AND($D46&gt;=AA$5,$D46&lt;AA$5+7),"◆",""),IF(AND($D46&lt;AA$5+7,$E46&gt;AA$5),"■","")))</x:f>
      </x:c>
      <x:c r="AB46" s="7" t="str">
        <x:f>IF(OR($D46="",AB$5="",'상세일정'!AM46="제외"),"",IF($D46=$E46,IF(AND($D46&gt;=AB$5,$D46&lt;AB$5+7),"◆",""),IF(AND($D46&lt;AB$5+7,$E46&gt;AB$5),"■","")))</x:f>
      </x:c>
      <x:c r="AC46" s="7" t="str">
        <x:f>IF(OR($D46="",AC$5="",'상세일정'!AM46="제외"),"",IF($D46=$E46,IF(AND($D46&gt;=AC$5,$D46&lt;AC$5+7),"◆",""),IF(AND($D46&lt;AC$5+7,$E46&gt;AC$5),"■","")))</x:f>
      </x:c>
      <x:c r="AD46" s="7" t="str">
        <x:f>IF(OR($D46="",AD$5="",'상세일정'!AM46="제외"),"",IF($D46=$E46,IF(AND($D46&gt;=AD$5,$D46&lt;AD$5+7),"◆",""),IF(AND($D46&lt;AD$5+7,$E46&gt;AD$5),"■","")))</x:f>
      </x:c>
      <x:c r="AE46" s="7" t="str">
        <x:f>IF(OR($D46="",AE$5="",'상세일정'!AM46="제외"),"",IF($D46=$E46,IF(AND($D46&gt;=AE$5,$D46&lt;AE$5+7),"◆",""),IF(AND($D46&lt;AE$5+7,$E46&gt;AE$5),"■","")))</x:f>
      </x:c>
      <x:c r="AF46" s="7" t="str">
        <x:f>IF(OR($D46="",AF$5="",'상세일정'!AM46="제외"),"",IF($D46=$E46,IF(AND($D46&gt;=AF$5,$D46&lt;AF$5+7),"◆",""),IF(AND($D46&lt;AF$5+7,$E46&gt;AF$5),"■","")))</x:f>
      </x:c>
      <x:c r="AG46" s="7" t="str">
        <x:f>IF(OR($D46="",AG$5="",'상세일정'!AM46="제외"),"",IF($D46=$E46,IF(AND($D46&gt;=AG$5,$D46&lt;AG$5+7),"◆",""),IF(AND($D46&lt;AG$5+7,$E46&gt;AG$5),"■","")))</x:f>
      </x:c>
      <x:c r="AH46" s="7" t="str">
        <x:f>IF(OR($D46="",AH$5="",'상세일정'!AM46="제외"),"",IF($D46=$E46,IF(AND($D46&gt;=AH$5,$D46&lt;AH$5+7),"◆",""),IF(AND($D46&lt;AH$5+7,$E46&gt;AH$5),"■","")))</x:f>
      </x:c>
      <x:c r="AI46" s="7" t="str">
        <x:f>IF(OR($D46="",AI$5="",'상세일정'!AM46="제외"),"",IF($D46=$E46,IF(AND($D46&gt;=AI$5,$D46&lt;AI$5+7),"◆",""),IF(AND($D46&lt;AI$5+7,$E46&gt;AI$5),"■","")))</x:f>
      </x:c>
      <x:c r="AJ46" s="7" t="str">
        <x:f>IF(OR($D46="",AJ$5="",'상세일정'!AM46="제외"),"",IF($D46=$E46,IF(AND($D46&gt;=AJ$5,$D46&lt;AJ$5+7),"◆",""),IF(AND($D46&lt;AJ$5+7,$E46&gt;AJ$5),"■","")))</x:f>
      </x:c>
      <x:c r="AK46" s="7" t="str">
        <x:f>IF(OR($D46="",AK$5="",'상세일정'!AM46="제외"),"",IF($D46=$E46,IF(AND($D46&gt;=AK$5,$D46&lt;AK$5+7),"◆",""),IF(AND($D46&lt;AK$5+7,$E46&gt;AK$5),"■","")))</x:f>
      </x:c>
      <x:c r="AL46" s="7" t="str">
        <x:f>IF(OR($D46="",AL$5="",'상세일정'!AM46="제외"),"",IF($D46=$E46,IF(AND($D46&gt;=AL$5,$D46&lt;AL$5+7),"◆",""),IF(AND($D46&lt;AL$5+7,$E46&gt;AL$5),"■","")))</x:f>
      </x:c>
      <x:c r="AM46" s="7" t="str">
        <x:f>IF(OR($D46="",AM$5="",'상세일정'!AM46="제외"),"",IF($D46=$E46,IF(AND($D46&gt;=AM$5,$D46&lt;AM$5+7),"◆",""),IF(AND($D46&lt;AM$5+7,$E46&gt;AM$5),"■","")))</x:f>
      </x:c>
      <x:c r="AN46" s="7" t="str">
        <x:f>IF(OR($D46="",AN$5="",'상세일정'!AM46="제외"),"",IF($D46=$E46,IF(AND($D46&gt;=AN$5,$D46&lt;AN$5+7),"◆",""),IF(AND($D46&lt;AN$5+7,$E46&gt;AN$5),"■","")))</x:f>
      </x:c>
      <x:c r="AO46" s="7" t="str">
        <x:f>IF(OR($D46="",AO$5="",'상세일정'!AM46="제외"),"",IF($D46=$E46,IF(AND($D46&gt;=AO$5,$D46&lt;AO$5+7),"◆",""),IF(AND($D46&lt;AO$5+7,$E46&gt;AO$5),"■","")))</x:f>
      </x:c>
      <x:c r="AP46" s="7" t="str">
        <x:f>IF(OR($D46="",AP$5="",'상세일정'!AM46="제외"),"",IF($D46=$E46,IF(AND($D46&gt;=AP$5,$D46&lt;AP$5+7),"◆",""),IF(AND($D46&lt;AP$5+7,$E46&gt;AP$5),"■","")))</x:f>
      </x:c>
      <x:c r="AQ46" s="7" t="str">
        <x:f>IF(OR($D46="",AQ$5="",'상세일정'!AM46="제외"),"",IF($D46=$E46,IF(AND($D46&gt;=AQ$5,$D46&lt;AQ$5+7),"◆",""),IF(AND($D46&lt;AQ$5+7,$E46&gt;AQ$5),"■","")))</x:f>
      </x:c>
      <x:c r="AR46" s="7" t="str">
        <x:f>IF(OR($D46="",AR$5="",'상세일정'!AM46="제외"),"",IF($D46=$E46,IF(AND($D46&gt;=AR$5,$D46&lt;AR$5+7),"◆",""),IF(AND($D46&lt;AR$5+7,$E46&gt;AR$5),"■","")))</x:f>
      </x:c>
      <x:c r="AS46" s="7" t="str">
        <x:f>IF(OR($D46="",AS$5="",'상세일정'!AM46="제외"),"",IF($D46=$E46,IF(AND($D46&gt;=AS$5,$D46&lt;AS$5+7),"◆",""),IF(AND($D46&lt;AS$5+7,$E46&gt;AS$5),"■","")))</x:f>
      </x:c>
      <x:c r="AT46" s="7" t="str">
        <x:f>IF(OR($D46="",AT$5="",'상세일정'!AM46="제외"),"",IF($D46=$E46,IF(AND($D46&gt;=AT$5,$D46&lt;AT$5+7),"◆",""),IF(AND($D46&lt;AT$5+7,$E46&gt;AT$5),"■","")))</x:f>
      </x:c>
      <x:c r="AU46" s="7" t="str">
        <x:f>IF(OR($D46="",AU$5="",'상세일정'!AM46="제외"),"",IF($D46=$E46,IF(AND($D46&gt;=AU$5,$D46&lt;AU$5+7),"◆",""),IF(AND($D46&lt;AU$5+7,$E46&gt;AU$5),"■","")))</x:f>
      </x:c>
      <x:c r="AV46" s="7" t="str">
        <x:f>IF(OR($D46="",AV$5="",'상세일정'!AM46="제외"),"",IF($D46=$E46,IF(AND($D46&gt;=AV$5,$D46&lt;AV$5+7),"◆",""),IF(AND($D46&lt;AV$5+7,$E46&gt;AV$5),"■","")))</x:f>
      </x:c>
      <x:c r="AW46" s="7" t="str">
        <x:f>IF(OR($D46="",AW$5="",'상세일정'!AM46="제외"),"",IF($D46=$E46,IF(AND($D46&gt;=AW$5,$D46&lt;AW$5+7),"◆",""),IF(AND($D46&lt;AW$5+7,$E46&gt;AW$5),"■","")))</x:f>
      </x:c>
      <x:c r="AX46" s="7" t="str">
        <x:f>IF(OR($D46="",AX$5="",'상세일정'!AM46="제외"),"",IF($D46=$E46,IF(AND($D46&gt;=AX$5,$D46&lt;AX$5+7),"◆",""),IF(AND($D46&lt;AX$5+7,$E46&gt;AX$5),"■","")))</x:f>
      </x:c>
      <x:c r="AY46" s="7" t="str">
        <x:f>IF(OR($D46="",AY$5="",'상세일정'!AM46="제외"),"",IF($D46=$E46,IF(AND($D46&gt;=AY$5,$D46&lt;AY$5+7),"◆",""),IF(AND($D46&lt;AY$5+7,$E46&gt;AY$5),"■","")))</x:f>
      </x:c>
      <x:c r="AZ46" s="7" t="str">
        <x:f>IF(OR($D46="",AZ$5="",'상세일정'!AM46="제외"),"",IF($D46=$E46,IF(AND($D46&gt;=AZ$5,$D46&lt;AZ$5+7),"◆",""),IF(AND($D46&lt;AZ$5+7,$E46&gt;AZ$5),"■","")))</x:f>
      </x:c>
      <x:c r="BA46" s="7" t="str">
        <x:f>IF(OR($D46="",BA$5="",'상세일정'!AM46="제외"),"",IF($D46=$E46,IF(AND($D46&gt;=BA$5,$D46&lt;BA$5+7),"◆",""),IF(AND($D46&lt;BA$5+7,$E46&gt;BA$5),"■","")))</x:f>
      </x:c>
      <x:c r="BB46" s="7" t="str">
        <x:f>IF(OR($D46="",BB$5="",'상세일정'!AM46="제외"),"",IF($D46=$E46,IF(AND($D46&gt;=BB$5,$D46&lt;BB$5+7),"◆",""),IF(AND($D46&lt;BB$5+7,$E46&gt;BB$5),"■","")))</x:f>
      </x:c>
      <x:c r="BC46" s="7" t="str">
        <x:f>IF(OR($D46="",BC$5="",'상세일정'!AM46="제외"),"",IF($D46=$E46,IF(AND($D46&gt;=BC$5,$D46&lt;BC$5+7),"◆",""),IF(AND($D46&lt;BC$5+7,$E46&gt;BC$5),"■","")))</x:f>
      </x:c>
      <x:c r="BD46" s="7" t="str">
        <x:f>IF(OR($D46="",BD$5="",'상세일정'!AM46="제외"),"",IF($D46=$E46,IF(AND($D46&gt;=BD$5,$D46&lt;BD$5+7),"◆",""),IF(AND($D46&lt;BD$5+7,$E46&gt;BD$5),"■","")))</x:f>
      </x:c>
      <x:c r="BE46" s="7" t="str">
        <x:f>IF(OR($D46="",BE$5="",'상세일정'!AM46="제외"),"",IF($D46=$E46,IF(AND($D46&gt;=BE$5,$D46&lt;BE$5+7),"◆",""),IF(AND($D46&lt;BE$5+7,$E46&gt;BE$5),"■","")))</x:f>
      </x:c>
      <x:c r="BF46" s="7" t="str">
        <x:f>IF(OR($D46="",BF$5="",'상세일정'!AM46="제외"),"",IF($D46=$E46,IF(AND($D46&gt;=BF$5,$D46&lt;BF$5+7),"◆",""),IF(AND($D46&lt;BF$5+7,$E46&gt;BF$5),"■","")))</x:f>
      </x:c>
      <x:c r="BG46" s="7" t="str">
        <x:f>IF(OR($D46="",BG$5="",'상세일정'!AM46="제외"),"",IF($D46=$E46,IF(AND($D46&gt;=BG$5,$D46&lt;BG$5+7),"◆",""),IF(AND($D46&lt;BG$5+7,$E46&gt;BG$5),"■","")))</x:f>
      </x:c>
      <x:c r="BH46" s="7" t="str">
        <x:f>IF(OR($D46="",BH$5="",'상세일정'!AM46="제외"),"",IF($D46=$E46,IF(AND($D46&gt;=BH$5,$D46&lt;BH$5+7),"◆",""),IF(AND($D46&lt;BH$5+7,$E46&gt;BH$5),"■","")))</x:f>
      </x:c>
      <x:c r="BI46" s="7" t="str">
        <x:f>IF(OR($D46="",BI$5="",'상세일정'!AM46="제외"),"",IF($D46=$E46,IF(AND($D46&gt;=BI$5,$D46&lt;BI$5+7),"◆",""),IF(AND($D46&lt;BI$5+7,$E46&gt;BI$5),"■","")))</x:f>
      </x:c>
      <x:c r="BJ46" s="7" t="str">
        <x:f>IF(OR($D46="",BJ$5="",'상세일정'!AM46="제외"),"",IF($D46=$E46,IF(AND($D46&gt;=BJ$5,$D46&lt;BJ$5+7),"◆",""),IF(AND($D46&lt;BJ$5+7,$E46&gt;BJ$5),"■","")))</x:f>
      </x:c>
      <x:c r="BK46" s="7" t="str">
        <x:f>IF(OR($D46="",BK$5="",'상세일정'!AM46="제외"),"",IF($D46=$E46,IF(AND($D46&gt;=BK$5,$D46&lt;BK$5+7),"◆",""),IF(AND($D46&lt;BK$5+7,$E46&gt;BK$5),"■","")))</x:f>
      </x:c>
      <x:c r="BL46" s="7" t="str">
        <x:f>IF(OR($D46="",BL$5="",'상세일정'!AM46="제외"),"",IF($D46=$E46,IF(AND($D46&gt;=BL$5,$D46&lt;BL$5+7),"◆",""),IF(AND($D46&lt;BL$5+7,$E46&gt;BL$5),"■","")))</x:f>
      </x:c>
      <x:c r="BM46" s="7" t="str">
        <x:f>IF(OR($D46="",BM$5="",'상세일정'!AM46="제외"),"",IF($D46=$E46,IF(AND($D46&gt;=BM$5,$D46&lt;BM$5+7),"◆",""),IF(AND($D46&lt;BM$5+7,$E46&gt;BM$5),"■","")))</x:f>
      </x:c>
      <x:c r="BN46" s="7" t="str">
        <x:f>IF(OR($D46="",BN$5="",'상세일정'!AM46="제외"),"",IF($D46=$E46,IF(AND($D46&gt;=BN$5,$D46&lt;BN$5+7),"◆",""),IF(AND($D46&lt;BN$5+7,$E46&gt;BN$5),"■","")))</x:f>
      </x:c>
      <x:c r="BO46" s="7" t="str">
        <x:f>IF(OR($D46="",BO$5="",'상세일정'!AM46="제외"),"",IF($D46=$E46,IF(AND($D46&gt;=BO$5,$D46&lt;BO$5+7),"◆",""),IF(AND($D46&lt;BO$5+7,$E46&gt;BO$5),"■","")))</x:f>
      </x:c>
      <x:c r="BP46" s="7" t="str">
        <x:f>IF(OR($D46="",BP$5="",'상세일정'!AM46="제외"),"",IF($D46=$E46,IF(AND($D46&gt;=BP$5,$D46&lt;BP$5+7),"◆",""),IF(AND($D46&lt;BP$5+7,$E46&gt;BP$5),"■","")))</x:f>
      </x:c>
      <x:c r="BQ46" s="7" t="str">
        <x:f>IF(OR($D46="",BQ$5="",'상세일정'!AM46="제외"),"",IF($D46=$E46,IF(AND($D46&gt;=BQ$5,$D46&lt;BQ$5+7),"◆",""),IF(AND($D46&lt;BQ$5+7,$E46&gt;BQ$5),"■","")))</x:f>
      </x:c>
      <x:c r="BR46" s="7" t="str">
        <x:f>IF(OR($D46="",BR$5="",'상세일정'!AM46="제외"),"",IF($D46=$E46,IF(AND($D46&gt;=BR$5,$D46&lt;BR$5+7),"◆",""),IF(AND($D46&lt;BR$5+7,$E46&gt;BR$5),"■","")))</x:f>
      </x:c>
      <x:c r="BS46" s="7" t="str">
        <x:f>IF(OR($D46="",BS$5="",'상세일정'!AM46="제외"),"",IF($D46=$E46,IF(AND($D46&gt;=BS$5,$D46&lt;BS$5+7),"◆",""),IF(AND($D46&lt;BS$5+7,$E46&gt;BS$5),"■","")))</x:f>
      </x:c>
      <x:c r="BT46" s="7" t="str">
        <x:f>IF(OR($D46="",BT$5="",'상세일정'!AM46="제외"),"",IF($D46=$E46,IF(AND($D46&gt;=BT$5,$D46&lt;BT$5+7),"◆",""),IF(AND($D46&lt;BT$5+7,$E46&gt;BT$5),"■","")))</x:f>
      </x:c>
      <x:c r="BU46" s="7" t="str">
        <x:f>IF(OR($D46="",BU$5="",'상세일정'!AM46="제외"),"",IF($D46=$E46,IF(AND($D46&gt;=BU$5,$D46&lt;BU$5+7),"◆",""),IF(AND($D46&lt;BU$5+7,$E46&gt;BU$5),"■","")))</x:f>
      </x:c>
      <x:c r="BV46" s="7" t="str">
        <x:f>IF(OR($D46="",BV$5="",'상세일정'!AM46="제외"),"",IF($D46=$E46,IF(AND($D46&gt;=BV$5,$D46&lt;BV$5+7),"◆",""),IF(AND($D46&lt;BV$5+7,$E46&gt;BV$5),"■","")))</x:f>
      </x:c>
      <x:c r="BW46" s="7" t="str">
        <x:f>IF(OR($D46="",BW$5="",'상세일정'!AM46="제외"),"",IF($D46=$E46,IF(AND($D46&gt;=BW$5,$D46&lt;BW$5+7),"◆",""),IF(AND($D46&lt;BW$5+7,$E46&gt;BW$5),"■","")))</x:f>
      </x:c>
      <x:c r="BX46" s="7" t="str">
        <x:f>IF(OR($D46="",BX$5="",'상세일정'!AM46="제외"),"",IF($D46=$E46,IF(AND($D46&gt;=BX$5,$D46&lt;BX$5+7),"◆",""),IF(AND($D46&lt;BX$5+7,$E46&gt;BX$5),"■","")))</x:f>
      </x:c>
      <x:c r="BY46" s="7" t="str">
        <x:f>IF(OR($D46="",BY$5="",'상세일정'!AM46="제외"),"",IF($D46=$E46,IF(AND($D46&gt;=BY$5,$D46&lt;BY$5+7),"◆",""),IF(AND($D46&lt;BY$5+7,$E46&gt;BY$5),"■","")))</x:f>
      </x:c>
      <x:c r="BZ46" s="7" t="str">
        <x:f>IF(OR($D46="",BZ$5="",'상세일정'!AM46="제외"),"",IF($D46=$E46,IF(AND($D46&gt;=BZ$5,$D46&lt;BZ$5+7),"◆",""),IF(AND($D46&lt;BZ$5+7,$E46&gt;BZ$5),"■","")))</x:f>
      </x:c>
      <x:c r="CA46" s="7" t="str">
        <x:f>IF(OR($D46="",CA$5="",'상세일정'!AM46="제외"),"",IF($D46=$E46,IF(AND($D46&gt;=CA$5,$D46&lt;CA$5+7),"◆",""),IF(AND($D46&lt;CA$5+7,$E46&gt;CA$5),"■","")))</x:f>
      </x:c>
      <x:c r="CB46" s="7" t="str">
        <x:f>IF(OR($D46="",CB$5="",'상세일정'!AM46="제외"),"",IF($D46=$E46,IF(AND($D46&gt;=CB$5,$D46&lt;CB$5+7),"◆",""),IF(AND($D46&lt;CB$5+7,$E46&gt;CB$5),"■","")))</x:f>
      </x:c>
      <x:c r="CC46" s="7" t="str">
        <x:f>IF(OR($D46="",CC$5="",'상세일정'!AM46="제외"),"",IF($D46=$E46,IF(AND($D46&gt;=CC$5,$D46&lt;CC$5+7),"◆",""),IF(AND($D46&lt;CC$5+7,$E46&gt;CC$5),"■","")))</x:f>
      </x:c>
      <x:c r="CD46" s="7" t="str">
        <x:f>IF(OR($D46="",CD$5="",'상세일정'!AM46="제외"),"",IF($D46=$E46,IF(AND($D46&gt;=CD$5,$D46&lt;CD$5+7),"◆",""),IF(AND($D46&lt;CD$5+7,$E46&gt;CD$5),"■","")))</x:f>
      </x:c>
      <x:c r="CE46" s="7" t="str">
        <x:f>IF(OR($D46="",CE$5="",'상세일정'!AM46="제외"),"",IF($D46=$E46,IF(AND($D46&gt;=CE$5,$D46&lt;CE$5+7),"◆",""),IF(AND($D46&lt;CE$5+7,$E46&gt;CE$5),"■","")))</x:f>
      </x:c>
      <x:c r="CF46" s="7" t="str">
        <x:f>IF(OR($D46="",CF$5="",'상세일정'!AM46="제외"),"",IF($D46=$E46,IF(AND($D46&gt;=CF$5,$D46&lt;CF$5+7),"◆",""),IF(AND($D46&lt;CF$5+7,$E46&gt;CF$5),"■","")))</x:f>
      </x:c>
      <x:c r="CG46" s="7" t="str">
        <x:f>IF(OR($D46="",CG$5="",'상세일정'!AM46="제외"),"",IF($D46=$E46,IF(AND($D46&gt;=CG$5,$D46&lt;CG$5+7),"◆",""),IF(AND($D46&lt;CG$5+7,$E46&gt;CG$5),"■","")))</x:f>
      </x:c>
      <x:c r="CH46" s="7" t="str">
        <x:f>IF(OR($D46="",CH$5="",'상세일정'!AM46="제외"),"",IF($D46=$E46,IF(AND($D46&gt;=CH$5,$D46&lt;CH$5+7),"◆",""),IF(AND($D46&lt;CH$5+7,$E46&gt;CH$5),"■","")))</x:f>
      </x:c>
      <x:c r="CI46" s="7" t="str">
        <x:f>IF(OR($D46="",CI$5="",'상세일정'!AM46="제외"),"",IF($D46=$E46,IF(AND($D46&gt;=CI$5,$D46&lt;CI$5+7),"◆",""),IF(AND($D46&lt;CI$5+7,$E46&gt;CI$5),"■","")))</x:f>
      </x:c>
      <x:c r="CJ46" s="7" t="str">
        <x:f>IF(OR($D46="",CJ$5="",'상세일정'!AM46="제외"),"",IF($D46=$E46,IF(AND($D46&gt;=CJ$5,$D46&lt;CJ$5+7),"◆",""),IF(AND($D46&lt;CJ$5+7,$E46&gt;CJ$5),"■","")))</x:f>
      </x:c>
      <x:c r="CK46" s="7" t="str">
        <x:f>IF(OR($D46="",CK$5="",'상세일정'!AM46="제외"),"",IF($D46=$E46,IF(AND($D46&gt;=CK$5,$D46&lt;CK$5+7),"◆",""),IF(AND($D46&lt;CK$5+7,$E46&gt;CK$5),"■","")))</x:f>
      </x:c>
      <x:c r="CL46" s="7" t="str">
        <x:f>IF(OR($D46="",CL$5="",'상세일정'!AM46="제외"),"",IF($D46=$E46,IF(AND($D46&gt;=CL$5,$D46&lt;CL$5+7),"◆",""),IF(AND($D46&lt;CL$5+7,$E46&gt;CL$5),"■","")))</x:f>
      </x:c>
      <x:c r="CM46" s="7" t="str">
        <x:f>IF(OR($D46="",CM$5="",'상세일정'!AM46="제외"),"",IF($D46=$E46,IF(AND($D46&gt;=CM$5,$D46&lt;CM$5+7),"◆",""),IF(AND($D46&lt;CM$5+7,$E46&gt;CM$5),"■","")))</x:f>
      </x:c>
      <x:c r="CN46" s="7" t="str">
        <x:f>IF(OR($D46="",CN$5="",'상세일정'!AM46="제외"),"",IF($D46=$E46,IF(AND($D46&gt;=CN$5,$D46&lt;CN$5+7),"◆",""),IF(AND($D46&lt;CN$5+7,$E46&gt;CN$5),"■","")))</x:f>
      </x:c>
      <x:c r="CO46" s="7" t="str">
        <x:f>IF(OR($D46="",CO$5="",'상세일정'!AM46="제외"),"",IF($D46=$E46,IF(AND($D46&gt;=CO$5,$D46&lt;CO$5+7),"◆",""),IF(AND($D46&lt;CO$5+7,$E46&gt;CO$5),"■","")))</x:f>
      </x:c>
      <x:c r="CP46" s="7" t="str">
        <x:f>IF(OR($D46="",CP$5="",'상세일정'!AM46="제외"),"",IF($D46=$E46,IF(AND($D46&gt;=CP$5,$D46&lt;CP$5+7),"◆",""),IF(AND($D46&lt;CP$5+7,$E46&gt;CP$5),"■","")))</x:f>
      </x:c>
      <x:c r="CQ46" s="7" t="str">
        <x:f>IF(OR($D46="",CQ$5="",'상세일정'!AM46="제외"),"",IF($D46=$E46,IF(AND($D46&gt;=CQ$5,$D46&lt;CQ$5+7),"◆",""),IF(AND($D46&lt;CQ$5+7,$E46&gt;CQ$5),"■","")))</x:f>
      </x:c>
      <x:c r="CR46" s="7" t="str">
        <x:f>IF(OR($D46="",CR$5="",'상세일정'!AM46="제외"),"",IF($D46=$E46,IF(AND($D46&gt;=CR$5,$D46&lt;CR$5+7),"◆",""),IF(AND($D46&lt;CR$5+7,$E46&gt;CR$5),"■","")))</x:f>
      </x:c>
      <x:c r="CS46" s="7" t="str">
        <x:f>IF(OR($D46="",CS$5="",'상세일정'!AM46="제외"),"",IF($D46=$E46,IF(AND($D46&gt;=CS$5,$D46&lt;CS$5+7),"◆",""),IF(AND($D46&lt;CS$5+7,$E46&gt;CS$5),"■","")))</x:f>
      </x:c>
      <x:c r="CT46" s="7" t="str">
        <x:f>IF(OR($D46="",CT$5="",'상세일정'!AM46="제외"),"",IF($D46=$E46,IF(AND($D46&gt;=CT$5,$D46&lt;CT$5+7),"◆",""),IF(AND($D46&lt;CT$5+7,$E46&gt;CT$5),"■","")))</x:f>
      </x:c>
      <x:c r="CU46" s="7" t="str">
        <x:f>IF(OR($D46="",CU$5="",'상세일정'!AM46="제외"),"",IF($D46=$E46,IF(AND($D46&gt;=CU$5,$D46&lt;CU$5+7),"◆",""),IF(AND($D46&lt;CU$5+7,$E46&gt;CU$5),"■","")))</x:f>
      </x:c>
      <x:c r="CV46" s="7" t="str">
        <x:f>IF(OR($D46="",CV$5="",'상세일정'!AM46="제외"),"",IF($D46=$E46,IF(AND($D46&gt;=CV$5,$D46&lt;CV$5+7),"◆",""),IF(AND($D46&lt;CV$5+7,$E46&gt;CV$5),"■","")))</x:f>
      </x:c>
      <x:c r="CW46" s="7" t="str">
        <x:f>IF(OR($D46="",CW$5="",'상세일정'!AM46="제외"),"",IF($D46=$E46,IF(AND($D46&gt;=CW$5,$D46&lt;CW$5+7),"◆",""),IF(AND($D46&lt;CW$5+7,$E46&gt;CW$5),"■","")))</x:f>
      </x:c>
      <x:c r="CX46" s="7" t="str">
        <x:f>IF(OR($D46="",CX$5="",'상세일정'!AM46="제외"),"",IF($D46=$E46,IF(AND($D46&gt;=CX$5,$D46&lt;CX$5+7),"◆",""),IF(AND($D46&lt;CX$5+7,$E46&gt;CX$5),"■","")))</x:f>
      </x:c>
      <x:c r="CY46" s="7" t="str">
        <x:f>IF(OR($D46="",CY$5="",'상세일정'!AM46="제외"),"",IF($D46=$E46,IF(AND($D46&gt;=CY$5,$D46&lt;CY$5+7),"◆",""),IF(AND($D46&lt;CY$5+7,$E46&gt;CY$5),"■","")))</x:f>
      </x:c>
      <x:c r="CZ46" s="7" t="str">
        <x:f>IF(OR($D46="",CZ$5="",'상세일정'!AM46="제외"),"",IF($D46=$E46,IF(AND($D46&gt;=CZ$5,$D46&lt;CZ$5+7),"◆",""),IF(AND($D46&lt;CZ$5+7,$E46&gt;CZ$5),"■","")))</x:f>
      </x:c>
      <x:c r="DA46" s="7" t="str">
        <x:f>IF(OR($D46="",DA$5="",'상세일정'!AM46="제외"),"",IF($D46=$E46,IF(AND($D46&gt;=DA$5,$D46&lt;DA$5+7),"◆",""),IF(AND($D46&lt;DA$5+7,$E46&gt;DA$5),"■","")))</x:f>
      </x:c>
      <x:c r="DB46" s="7" t="str">
        <x:f>IF(OR($D46="",DB$5="",'상세일정'!AM46="제외"),"",IF($D46=$E46,IF(AND($D46&gt;=DB$5,$D46&lt;DB$5+7),"◆",""),IF(AND($D46&lt;DB$5+7,$E46&gt;DB$5),"■","")))</x:f>
      </x:c>
      <x:c r="DC46" s="7" t="str">
        <x:f>IF(OR($D46="",DC$5="",'상세일정'!AM46="제외"),"",IF($D46=$E46,IF(AND($D46&gt;=DC$5,$D46&lt;DC$5+7),"◆",""),IF(AND($D46&lt;DC$5+7,$E46&gt;DC$5),"■","")))</x:f>
      </x:c>
      <x:c r="DD46" s="7" t="str">
        <x:f>IF(OR($D46="",DD$5="",'상세일정'!AM46="제외"),"",IF($D46=$E46,IF(AND($D46&gt;=DD$5,$D46&lt;DD$5+7),"◆",""),IF(AND($D46&lt;DD$5+7,$E46&gt;DD$5),"■","")))</x:f>
      </x:c>
      <x:c r="DE46" s="7" t="str">
        <x:f>IF(OR($D46="",DE$5="",'상세일정'!AM46="제외"),"",IF($D46=$E46,IF(AND($D46&gt;=DE$5,$D46&lt;DE$5+7),"◆",""),IF(AND($D46&lt;DE$5+7,$E46&gt;DE$5),"■","")))</x:f>
      </x:c>
    </x:row>
    <x:row r="47" ht="34" customHeight="1">
      <x:c r="A47" s="7" t="str">
        <x:v>EL02</x:v>
      </x:c>
      <x:c r="B47" s="7" t="str">
        <x:v>08 전기·통신·소방 설계</x:v>
      </x:c>
      <x:c r="C47" s="7" t="str">
        <x:v>한전 공급방식·인입경로·공사경계 협의</x:v>
      </x:c>
      <x:c r="D47" s="10" t="str">
        <x:f>'상세일정'!AJ47</x:f>
      </x:c>
      <x:c r="E47" s="10" t="str">
        <x:f>'상세일정'!AK47</x:f>
      </x:c>
      <x:c r="F47" s="7" t="str">
        <x:f>IF(OR($D47="",F$5="",'상세일정'!AM47="제외"),"",IF($D47=$E47,IF(AND($D47&gt;=F$5,$D47&lt;F$5+7),"◆",""),IF(AND($D47&lt;F$5+7,$E47&gt;F$5),"■","")))</x:f>
      </x:c>
      <x:c r="G47" s="7" t="str">
        <x:f>IF(OR($D47="",G$5="",'상세일정'!AM47="제외"),"",IF($D47=$E47,IF(AND($D47&gt;=G$5,$D47&lt;G$5+7),"◆",""),IF(AND($D47&lt;G$5+7,$E47&gt;G$5),"■","")))</x:f>
      </x:c>
      <x:c r="H47" s="7" t="str">
        <x:f>IF(OR($D47="",H$5="",'상세일정'!AM47="제외"),"",IF($D47=$E47,IF(AND($D47&gt;=H$5,$D47&lt;H$5+7),"◆",""),IF(AND($D47&lt;H$5+7,$E47&gt;H$5),"■","")))</x:f>
      </x:c>
      <x:c r="I47" s="7" t="str">
        <x:f>IF(OR($D47="",I$5="",'상세일정'!AM47="제외"),"",IF($D47=$E47,IF(AND($D47&gt;=I$5,$D47&lt;I$5+7),"◆",""),IF(AND($D47&lt;I$5+7,$E47&gt;I$5),"■","")))</x:f>
      </x:c>
      <x:c r="J47" s="7" t="str">
        <x:f>IF(OR($D47="",J$5="",'상세일정'!AM47="제외"),"",IF($D47=$E47,IF(AND($D47&gt;=J$5,$D47&lt;J$5+7),"◆",""),IF(AND($D47&lt;J$5+7,$E47&gt;J$5),"■","")))</x:f>
      </x:c>
      <x:c r="K47" s="7" t="str">
        <x:f>IF(OR($D47="",K$5="",'상세일정'!AM47="제외"),"",IF($D47=$E47,IF(AND($D47&gt;=K$5,$D47&lt;K$5+7),"◆",""),IF(AND($D47&lt;K$5+7,$E47&gt;K$5),"■","")))</x:f>
      </x:c>
      <x:c r="L47" s="7" t="str">
        <x:f>IF(OR($D47="",L$5="",'상세일정'!AM47="제외"),"",IF($D47=$E47,IF(AND($D47&gt;=L$5,$D47&lt;L$5+7),"◆",""),IF(AND($D47&lt;L$5+7,$E47&gt;L$5),"■","")))</x:f>
      </x:c>
      <x:c r="M47" s="7" t="str">
        <x:f>IF(OR($D47="",M$5="",'상세일정'!AM47="제외"),"",IF($D47=$E47,IF(AND($D47&gt;=M$5,$D47&lt;M$5+7),"◆",""),IF(AND($D47&lt;M$5+7,$E47&gt;M$5),"■","")))</x:f>
      </x:c>
      <x:c r="N47" s="7" t="str">
        <x:f>IF(OR($D47="",N$5="",'상세일정'!AM47="제외"),"",IF($D47=$E47,IF(AND($D47&gt;=N$5,$D47&lt;N$5+7),"◆",""),IF(AND($D47&lt;N$5+7,$E47&gt;N$5),"■","")))</x:f>
      </x:c>
      <x:c r="O47" s="7" t="str">
        <x:f>IF(OR($D47="",O$5="",'상세일정'!AM47="제외"),"",IF($D47=$E47,IF(AND($D47&gt;=O$5,$D47&lt;O$5+7),"◆",""),IF(AND($D47&lt;O$5+7,$E47&gt;O$5),"■","")))</x:f>
      </x:c>
      <x:c r="P47" s="7" t="str">
        <x:f>IF(OR($D47="",P$5="",'상세일정'!AM47="제외"),"",IF($D47=$E47,IF(AND($D47&gt;=P$5,$D47&lt;P$5+7),"◆",""),IF(AND($D47&lt;P$5+7,$E47&gt;P$5),"■","")))</x:f>
      </x:c>
      <x:c r="Q47" s="7" t="str">
        <x:f>IF(OR($D47="",Q$5="",'상세일정'!AM47="제외"),"",IF($D47=$E47,IF(AND($D47&gt;=Q$5,$D47&lt;Q$5+7),"◆",""),IF(AND($D47&lt;Q$5+7,$E47&gt;Q$5),"■","")))</x:f>
      </x:c>
      <x:c r="R47" s="7" t="str">
        <x:f>IF(OR($D47="",R$5="",'상세일정'!AM47="제외"),"",IF($D47=$E47,IF(AND($D47&gt;=R$5,$D47&lt;R$5+7),"◆",""),IF(AND($D47&lt;R$5+7,$E47&gt;R$5),"■","")))</x:f>
      </x:c>
      <x:c r="S47" s="7" t="str">
        <x:f>IF(OR($D47="",S$5="",'상세일정'!AM47="제외"),"",IF($D47=$E47,IF(AND($D47&gt;=S$5,$D47&lt;S$5+7),"◆",""),IF(AND($D47&lt;S$5+7,$E47&gt;S$5),"■","")))</x:f>
      </x:c>
      <x:c r="T47" s="7" t="str">
        <x:f>IF(OR($D47="",T$5="",'상세일정'!AM47="제외"),"",IF($D47=$E47,IF(AND($D47&gt;=T$5,$D47&lt;T$5+7),"◆",""),IF(AND($D47&lt;T$5+7,$E47&gt;T$5),"■","")))</x:f>
      </x:c>
      <x:c r="U47" s="7" t="str">
        <x:f>IF(OR($D47="",U$5="",'상세일정'!AM47="제외"),"",IF($D47=$E47,IF(AND($D47&gt;=U$5,$D47&lt;U$5+7),"◆",""),IF(AND($D47&lt;U$5+7,$E47&gt;U$5),"■","")))</x:f>
      </x:c>
      <x:c r="V47" s="7" t="str">
        <x:f>IF(OR($D47="",V$5="",'상세일정'!AM47="제외"),"",IF($D47=$E47,IF(AND($D47&gt;=V$5,$D47&lt;V$5+7),"◆",""),IF(AND($D47&lt;V$5+7,$E47&gt;V$5),"■","")))</x:f>
      </x:c>
      <x:c r="W47" s="7" t="str">
        <x:f>IF(OR($D47="",W$5="",'상세일정'!AM47="제외"),"",IF($D47=$E47,IF(AND($D47&gt;=W$5,$D47&lt;W$5+7),"◆",""),IF(AND($D47&lt;W$5+7,$E47&gt;W$5),"■","")))</x:f>
      </x:c>
      <x:c r="X47" s="7" t="str">
        <x:f>IF(OR($D47="",X$5="",'상세일정'!AM47="제외"),"",IF($D47=$E47,IF(AND($D47&gt;=X$5,$D47&lt;X$5+7),"◆",""),IF(AND($D47&lt;X$5+7,$E47&gt;X$5),"■","")))</x:f>
      </x:c>
      <x:c r="Y47" s="7" t="str">
        <x:f>IF(OR($D47="",Y$5="",'상세일정'!AM47="제외"),"",IF($D47=$E47,IF(AND($D47&gt;=Y$5,$D47&lt;Y$5+7),"◆",""),IF(AND($D47&lt;Y$5+7,$E47&gt;Y$5),"■","")))</x:f>
      </x:c>
      <x:c r="Z47" s="7" t="str">
        <x:f>IF(OR($D47="",Z$5="",'상세일정'!AM47="제외"),"",IF($D47=$E47,IF(AND($D47&gt;=Z$5,$D47&lt;Z$5+7),"◆",""),IF(AND($D47&lt;Z$5+7,$E47&gt;Z$5),"■","")))</x:f>
      </x:c>
      <x:c r="AA47" s="7" t="str">
        <x:f>IF(OR($D47="",AA$5="",'상세일정'!AM47="제외"),"",IF($D47=$E47,IF(AND($D47&gt;=AA$5,$D47&lt;AA$5+7),"◆",""),IF(AND($D47&lt;AA$5+7,$E47&gt;AA$5),"■","")))</x:f>
      </x:c>
      <x:c r="AB47" s="7" t="str">
        <x:f>IF(OR($D47="",AB$5="",'상세일정'!AM47="제외"),"",IF($D47=$E47,IF(AND($D47&gt;=AB$5,$D47&lt;AB$5+7),"◆",""),IF(AND($D47&lt;AB$5+7,$E47&gt;AB$5),"■","")))</x:f>
      </x:c>
      <x:c r="AC47" s="7" t="str">
        <x:f>IF(OR($D47="",AC$5="",'상세일정'!AM47="제외"),"",IF($D47=$E47,IF(AND($D47&gt;=AC$5,$D47&lt;AC$5+7),"◆",""),IF(AND($D47&lt;AC$5+7,$E47&gt;AC$5),"■","")))</x:f>
      </x:c>
      <x:c r="AD47" s="7" t="str">
        <x:f>IF(OR($D47="",AD$5="",'상세일정'!AM47="제외"),"",IF($D47=$E47,IF(AND($D47&gt;=AD$5,$D47&lt;AD$5+7),"◆",""),IF(AND($D47&lt;AD$5+7,$E47&gt;AD$5),"■","")))</x:f>
      </x:c>
      <x:c r="AE47" s="7" t="str">
        <x:f>IF(OR($D47="",AE$5="",'상세일정'!AM47="제외"),"",IF($D47=$E47,IF(AND($D47&gt;=AE$5,$D47&lt;AE$5+7),"◆",""),IF(AND($D47&lt;AE$5+7,$E47&gt;AE$5),"■","")))</x:f>
      </x:c>
      <x:c r="AF47" s="7" t="str">
        <x:f>IF(OR($D47="",AF$5="",'상세일정'!AM47="제외"),"",IF($D47=$E47,IF(AND($D47&gt;=AF$5,$D47&lt;AF$5+7),"◆",""),IF(AND($D47&lt;AF$5+7,$E47&gt;AF$5),"■","")))</x:f>
      </x:c>
      <x:c r="AG47" s="7" t="str">
        <x:f>IF(OR($D47="",AG$5="",'상세일정'!AM47="제외"),"",IF($D47=$E47,IF(AND($D47&gt;=AG$5,$D47&lt;AG$5+7),"◆",""),IF(AND($D47&lt;AG$5+7,$E47&gt;AG$5),"■","")))</x:f>
      </x:c>
      <x:c r="AH47" s="7" t="str">
        <x:f>IF(OR($D47="",AH$5="",'상세일정'!AM47="제외"),"",IF($D47=$E47,IF(AND($D47&gt;=AH$5,$D47&lt;AH$5+7),"◆",""),IF(AND($D47&lt;AH$5+7,$E47&gt;AH$5),"■","")))</x:f>
      </x:c>
      <x:c r="AI47" s="7" t="str">
        <x:f>IF(OR($D47="",AI$5="",'상세일정'!AM47="제외"),"",IF($D47=$E47,IF(AND($D47&gt;=AI$5,$D47&lt;AI$5+7),"◆",""),IF(AND($D47&lt;AI$5+7,$E47&gt;AI$5),"■","")))</x:f>
      </x:c>
      <x:c r="AJ47" s="7" t="str">
        <x:f>IF(OR($D47="",AJ$5="",'상세일정'!AM47="제외"),"",IF($D47=$E47,IF(AND($D47&gt;=AJ$5,$D47&lt;AJ$5+7),"◆",""),IF(AND($D47&lt;AJ$5+7,$E47&gt;AJ$5),"■","")))</x:f>
      </x:c>
      <x:c r="AK47" s="7" t="str">
        <x:f>IF(OR($D47="",AK$5="",'상세일정'!AM47="제외"),"",IF($D47=$E47,IF(AND($D47&gt;=AK$5,$D47&lt;AK$5+7),"◆",""),IF(AND($D47&lt;AK$5+7,$E47&gt;AK$5),"■","")))</x:f>
      </x:c>
      <x:c r="AL47" s="7" t="str">
        <x:f>IF(OR($D47="",AL$5="",'상세일정'!AM47="제외"),"",IF($D47=$E47,IF(AND($D47&gt;=AL$5,$D47&lt;AL$5+7),"◆",""),IF(AND($D47&lt;AL$5+7,$E47&gt;AL$5),"■","")))</x:f>
      </x:c>
      <x:c r="AM47" s="7" t="str">
        <x:f>IF(OR($D47="",AM$5="",'상세일정'!AM47="제외"),"",IF($D47=$E47,IF(AND($D47&gt;=AM$5,$D47&lt;AM$5+7),"◆",""),IF(AND($D47&lt;AM$5+7,$E47&gt;AM$5),"■","")))</x:f>
      </x:c>
      <x:c r="AN47" s="7" t="str">
        <x:f>IF(OR($D47="",AN$5="",'상세일정'!AM47="제외"),"",IF($D47=$E47,IF(AND($D47&gt;=AN$5,$D47&lt;AN$5+7),"◆",""),IF(AND($D47&lt;AN$5+7,$E47&gt;AN$5),"■","")))</x:f>
      </x:c>
      <x:c r="AO47" s="7" t="str">
        <x:f>IF(OR($D47="",AO$5="",'상세일정'!AM47="제외"),"",IF($D47=$E47,IF(AND($D47&gt;=AO$5,$D47&lt;AO$5+7),"◆",""),IF(AND($D47&lt;AO$5+7,$E47&gt;AO$5),"■","")))</x:f>
      </x:c>
      <x:c r="AP47" s="7" t="str">
        <x:f>IF(OR($D47="",AP$5="",'상세일정'!AM47="제외"),"",IF($D47=$E47,IF(AND($D47&gt;=AP$5,$D47&lt;AP$5+7),"◆",""),IF(AND($D47&lt;AP$5+7,$E47&gt;AP$5),"■","")))</x:f>
      </x:c>
      <x:c r="AQ47" s="7" t="str">
        <x:f>IF(OR($D47="",AQ$5="",'상세일정'!AM47="제외"),"",IF($D47=$E47,IF(AND($D47&gt;=AQ$5,$D47&lt;AQ$5+7),"◆",""),IF(AND($D47&lt;AQ$5+7,$E47&gt;AQ$5),"■","")))</x:f>
      </x:c>
      <x:c r="AR47" s="7" t="str">
        <x:f>IF(OR($D47="",AR$5="",'상세일정'!AM47="제외"),"",IF($D47=$E47,IF(AND($D47&gt;=AR$5,$D47&lt;AR$5+7),"◆",""),IF(AND($D47&lt;AR$5+7,$E47&gt;AR$5),"■","")))</x:f>
      </x:c>
      <x:c r="AS47" s="7" t="str">
        <x:f>IF(OR($D47="",AS$5="",'상세일정'!AM47="제외"),"",IF($D47=$E47,IF(AND($D47&gt;=AS$5,$D47&lt;AS$5+7),"◆",""),IF(AND($D47&lt;AS$5+7,$E47&gt;AS$5),"■","")))</x:f>
      </x:c>
      <x:c r="AT47" s="7" t="str">
        <x:f>IF(OR($D47="",AT$5="",'상세일정'!AM47="제외"),"",IF($D47=$E47,IF(AND($D47&gt;=AT$5,$D47&lt;AT$5+7),"◆",""),IF(AND($D47&lt;AT$5+7,$E47&gt;AT$5),"■","")))</x:f>
      </x:c>
      <x:c r="AU47" s="7" t="str">
        <x:f>IF(OR($D47="",AU$5="",'상세일정'!AM47="제외"),"",IF($D47=$E47,IF(AND($D47&gt;=AU$5,$D47&lt;AU$5+7),"◆",""),IF(AND($D47&lt;AU$5+7,$E47&gt;AU$5),"■","")))</x:f>
      </x:c>
      <x:c r="AV47" s="7" t="str">
        <x:f>IF(OR($D47="",AV$5="",'상세일정'!AM47="제외"),"",IF($D47=$E47,IF(AND($D47&gt;=AV$5,$D47&lt;AV$5+7),"◆",""),IF(AND($D47&lt;AV$5+7,$E47&gt;AV$5),"■","")))</x:f>
      </x:c>
      <x:c r="AW47" s="7" t="str">
        <x:f>IF(OR($D47="",AW$5="",'상세일정'!AM47="제외"),"",IF($D47=$E47,IF(AND($D47&gt;=AW$5,$D47&lt;AW$5+7),"◆",""),IF(AND($D47&lt;AW$5+7,$E47&gt;AW$5),"■","")))</x:f>
      </x:c>
      <x:c r="AX47" s="7" t="str">
        <x:f>IF(OR($D47="",AX$5="",'상세일정'!AM47="제외"),"",IF($D47=$E47,IF(AND($D47&gt;=AX$5,$D47&lt;AX$5+7),"◆",""),IF(AND($D47&lt;AX$5+7,$E47&gt;AX$5),"■","")))</x:f>
      </x:c>
      <x:c r="AY47" s="7" t="str">
        <x:f>IF(OR($D47="",AY$5="",'상세일정'!AM47="제외"),"",IF($D47=$E47,IF(AND($D47&gt;=AY$5,$D47&lt;AY$5+7),"◆",""),IF(AND($D47&lt;AY$5+7,$E47&gt;AY$5),"■","")))</x:f>
      </x:c>
      <x:c r="AZ47" s="7" t="str">
        <x:f>IF(OR($D47="",AZ$5="",'상세일정'!AM47="제외"),"",IF($D47=$E47,IF(AND($D47&gt;=AZ$5,$D47&lt;AZ$5+7),"◆",""),IF(AND($D47&lt;AZ$5+7,$E47&gt;AZ$5),"■","")))</x:f>
      </x:c>
      <x:c r="BA47" s="7" t="str">
        <x:f>IF(OR($D47="",BA$5="",'상세일정'!AM47="제외"),"",IF($D47=$E47,IF(AND($D47&gt;=BA$5,$D47&lt;BA$5+7),"◆",""),IF(AND($D47&lt;BA$5+7,$E47&gt;BA$5),"■","")))</x:f>
      </x:c>
      <x:c r="BB47" s="7" t="str">
        <x:f>IF(OR($D47="",BB$5="",'상세일정'!AM47="제외"),"",IF($D47=$E47,IF(AND($D47&gt;=BB$5,$D47&lt;BB$5+7),"◆",""),IF(AND($D47&lt;BB$5+7,$E47&gt;BB$5),"■","")))</x:f>
      </x:c>
      <x:c r="BC47" s="7" t="str">
        <x:f>IF(OR($D47="",BC$5="",'상세일정'!AM47="제외"),"",IF($D47=$E47,IF(AND($D47&gt;=BC$5,$D47&lt;BC$5+7),"◆",""),IF(AND($D47&lt;BC$5+7,$E47&gt;BC$5),"■","")))</x:f>
      </x:c>
      <x:c r="BD47" s="7" t="str">
        <x:f>IF(OR($D47="",BD$5="",'상세일정'!AM47="제외"),"",IF($D47=$E47,IF(AND($D47&gt;=BD$5,$D47&lt;BD$5+7),"◆",""),IF(AND($D47&lt;BD$5+7,$E47&gt;BD$5),"■","")))</x:f>
      </x:c>
      <x:c r="BE47" s="7" t="str">
        <x:f>IF(OR($D47="",BE$5="",'상세일정'!AM47="제외"),"",IF($D47=$E47,IF(AND($D47&gt;=BE$5,$D47&lt;BE$5+7),"◆",""),IF(AND($D47&lt;BE$5+7,$E47&gt;BE$5),"■","")))</x:f>
      </x:c>
      <x:c r="BF47" s="7" t="str">
        <x:f>IF(OR($D47="",BF$5="",'상세일정'!AM47="제외"),"",IF($D47=$E47,IF(AND($D47&gt;=BF$5,$D47&lt;BF$5+7),"◆",""),IF(AND($D47&lt;BF$5+7,$E47&gt;BF$5),"■","")))</x:f>
      </x:c>
      <x:c r="BG47" s="7" t="str">
        <x:f>IF(OR($D47="",BG$5="",'상세일정'!AM47="제외"),"",IF($D47=$E47,IF(AND($D47&gt;=BG$5,$D47&lt;BG$5+7),"◆",""),IF(AND($D47&lt;BG$5+7,$E47&gt;BG$5),"■","")))</x:f>
      </x:c>
      <x:c r="BH47" s="7" t="str">
        <x:f>IF(OR($D47="",BH$5="",'상세일정'!AM47="제외"),"",IF($D47=$E47,IF(AND($D47&gt;=BH$5,$D47&lt;BH$5+7),"◆",""),IF(AND($D47&lt;BH$5+7,$E47&gt;BH$5),"■","")))</x:f>
      </x:c>
      <x:c r="BI47" s="7" t="str">
        <x:f>IF(OR($D47="",BI$5="",'상세일정'!AM47="제외"),"",IF($D47=$E47,IF(AND($D47&gt;=BI$5,$D47&lt;BI$5+7),"◆",""),IF(AND($D47&lt;BI$5+7,$E47&gt;BI$5),"■","")))</x:f>
      </x:c>
      <x:c r="BJ47" s="7" t="str">
        <x:f>IF(OR($D47="",BJ$5="",'상세일정'!AM47="제외"),"",IF($D47=$E47,IF(AND($D47&gt;=BJ$5,$D47&lt;BJ$5+7),"◆",""),IF(AND($D47&lt;BJ$5+7,$E47&gt;BJ$5),"■","")))</x:f>
      </x:c>
      <x:c r="BK47" s="7" t="str">
        <x:f>IF(OR($D47="",BK$5="",'상세일정'!AM47="제외"),"",IF($D47=$E47,IF(AND($D47&gt;=BK$5,$D47&lt;BK$5+7),"◆",""),IF(AND($D47&lt;BK$5+7,$E47&gt;BK$5),"■","")))</x:f>
      </x:c>
      <x:c r="BL47" s="7" t="str">
        <x:f>IF(OR($D47="",BL$5="",'상세일정'!AM47="제외"),"",IF($D47=$E47,IF(AND($D47&gt;=BL$5,$D47&lt;BL$5+7),"◆",""),IF(AND($D47&lt;BL$5+7,$E47&gt;BL$5),"■","")))</x:f>
      </x:c>
      <x:c r="BM47" s="7" t="str">
        <x:f>IF(OR($D47="",BM$5="",'상세일정'!AM47="제외"),"",IF($D47=$E47,IF(AND($D47&gt;=BM$5,$D47&lt;BM$5+7),"◆",""),IF(AND($D47&lt;BM$5+7,$E47&gt;BM$5),"■","")))</x:f>
      </x:c>
      <x:c r="BN47" s="7" t="str">
        <x:f>IF(OR($D47="",BN$5="",'상세일정'!AM47="제외"),"",IF($D47=$E47,IF(AND($D47&gt;=BN$5,$D47&lt;BN$5+7),"◆",""),IF(AND($D47&lt;BN$5+7,$E47&gt;BN$5),"■","")))</x:f>
      </x:c>
      <x:c r="BO47" s="7" t="str">
        <x:f>IF(OR($D47="",BO$5="",'상세일정'!AM47="제외"),"",IF($D47=$E47,IF(AND($D47&gt;=BO$5,$D47&lt;BO$5+7),"◆",""),IF(AND($D47&lt;BO$5+7,$E47&gt;BO$5),"■","")))</x:f>
      </x:c>
      <x:c r="BP47" s="7" t="str">
        <x:f>IF(OR($D47="",BP$5="",'상세일정'!AM47="제외"),"",IF($D47=$E47,IF(AND($D47&gt;=BP$5,$D47&lt;BP$5+7),"◆",""),IF(AND($D47&lt;BP$5+7,$E47&gt;BP$5),"■","")))</x:f>
      </x:c>
      <x:c r="BQ47" s="7" t="str">
        <x:f>IF(OR($D47="",BQ$5="",'상세일정'!AM47="제외"),"",IF($D47=$E47,IF(AND($D47&gt;=BQ$5,$D47&lt;BQ$5+7),"◆",""),IF(AND($D47&lt;BQ$5+7,$E47&gt;BQ$5),"■","")))</x:f>
      </x:c>
      <x:c r="BR47" s="7" t="str">
        <x:f>IF(OR($D47="",BR$5="",'상세일정'!AM47="제외"),"",IF($D47=$E47,IF(AND($D47&gt;=BR$5,$D47&lt;BR$5+7),"◆",""),IF(AND($D47&lt;BR$5+7,$E47&gt;BR$5),"■","")))</x:f>
      </x:c>
      <x:c r="BS47" s="7" t="str">
        <x:f>IF(OR($D47="",BS$5="",'상세일정'!AM47="제외"),"",IF($D47=$E47,IF(AND($D47&gt;=BS$5,$D47&lt;BS$5+7),"◆",""),IF(AND($D47&lt;BS$5+7,$E47&gt;BS$5),"■","")))</x:f>
      </x:c>
      <x:c r="BT47" s="7" t="str">
        <x:f>IF(OR($D47="",BT$5="",'상세일정'!AM47="제외"),"",IF($D47=$E47,IF(AND($D47&gt;=BT$5,$D47&lt;BT$5+7),"◆",""),IF(AND($D47&lt;BT$5+7,$E47&gt;BT$5),"■","")))</x:f>
      </x:c>
      <x:c r="BU47" s="7" t="str">
        <x:f>IF(OR($D47="",BU$5="",'상세일정'!AM47="제외"),"",IF($D47=$E47,IF(AND($D47&gt;=BU$5,$D47&lt;BU$5+7),"◆",""),IF(AND($D47&lt;BU$5+7,$E47&gt;BU$5),"■","")))</x:f>
      </x:c>
      <x:c r="BV47" s="7" t="str">
        <x:f>IF(OR($D47="",BV$5="",'상세일정'!AM47="제외"),"",IF($D47=$E47,IF(AND($D47&gt;=BV$5,$D47&lt;BV$5+7),"◆",""),IF(AND($D47&lt;BV$5+7,$E47&gt;BV$5),"■","")))</x:f>
      </x:c>
      <x:c r="BW47" s="7" t="str">
        <x:f>IF(OR($D47="",BW$5="",'상세일정'!AM47="제외"),"",IF($D47=$E47,IF(AND($D47&gt;=BW$5,$D47&lt;BW$5+7),"◆",""),IF(AND($D47&lt;BW$5+7,$E47&gt;BW$5),"■","")))</x:f>
      </x:c>
      <x:c r="BX47" s="7" t="str">
        <x:f>IF(OR($D47="",BX$5="",'상세일정'!AM47="제외"),"",IF($D47=$E47,IF(AND($D47&gt;=BX$5,$D47&lt;BX$5+7),"◆",""),IF(AND($D47&lt;BX$5+7,$E47&gt;BX$5),"■","")))</x:f>
      </x:c>
      <x:c r="BY47" s="7" t="str">
        <x:f>IF(OR($D47="",BY$5="",'상세일정'!AM47="제외"),"",IF($D47=$E47,IF(AND($D47&gt;=BY$5,$D47&lt;BY$5+7),"◆",""),IF(AND($D47&lt;BY$5+7,$E47&gt;BY$5),"■","")))</x:f>
      </x:c>
      <x:c r="BZ47" s="7" t="str">
        <x:f>IF(OR($D47="",BZ$5="",'상세일정'!AM47="제외"),"",IF($D47=$E47,IF(AND($D47&gt;=BZ$5,$D47&lt;BZ$5+7),"◆",""),IF(AND($D47&lt;BZ$5+7,$E47&gt;BZ$5),"■","")))</x:f>
      </x:c>
      <x:c r="CA47" s="7" t="str">
        <x:f>IF(OR($D47="",CA$5="",'상세일정'!AM47="제외"),"",IF($D47=$E47,IF(AND($D47&gt;=CA$5,$D47&lt;CA$5+7),"◆",""),IF(AND($D47&lt;CA$5+7,$E47&gt;CA$5),"■","")))</x:f>
      </x:c>
      <x:c r="CB47" s="7" t="str">
        <x:f>IF(OR($D47="",CB$5="",'상세일정'!AM47="제외"),"",IF($D47=$E47,IF(AND($D47&gt;=CB$5,$D47&lt;CB$5+7),"◆",""),IF(AND($D47&lt;CB$5+7,$E47&gt;CB$5),"■","")))</x:f>
      </x:c>
      <x:c r="CC47" s="7" t="str">
        <x:f>IF(OR($D47="",CC$5="",'상세일정'!AM47="제외"),"",IF($D47=$E47,IF(AND($D47&gt;=CC$5,$D47&lt;CC$5+7),"◆",""),IF(AND($D47&lt;CC$5+7,$E47&gt;CC$5),"■","")))</x:f>
      </x:c>
      <x:c r="CD47" s="7" t="str">
        <x:f>IF(OR($D47="",CD$5="",'상세일정'!AM47="제외"),"",IF($D47=$E47,IF(AND($D47&gt;=CD$5,$D47&lt;CD$5+7),"◆",""),IF(AND($D47&lt;CD$5+7,$E47&gt;CD$5),"■","")))</x:f>
      </x:c>
      <x:c r="CE47" s="7" t="str">
        <x:f>IF(OR($D47="",CE$5="",'상세일정'!AM47="제외"),"",IF($D47=$E47,IF(AND($D47&gt;=CE$5,$D47&lt;CE$5+7),"◆",""),IF(AND($D47&lt;CE$5+7,$E47&gt;CE$5),"■","")))</x:f>
      </x:c>
      <x:c r="CF47" s="7" t="str">
        <x:f>IF(OR($D47="",CF$5="",'상세일정'!AM47="제외"),"",IF($D47=$E47,IF(AND($D47&gt;=CF$5,$D47&lt;CF$5+7),"◆",""),IF(AND($D47&lt;CF$5+7,$E47&gt;CF$5),"■","")))</x:f>
      </x:c>
      <x:c r="CG47" s="7" t="str">
        <x:f>IF(OR($D47="",CG$5="",'상세일정'!AM47="제외"),"",IF($D47=$E47,IF(AND($D47&gt;=CG$5,$D47&lt;CG$5+7),"◆",""),IF(AND($D47&lt;CG$5+7,$E47&gt;CG$5),"■","")))</x:f>
      </x:c>
      <x:c r="CH47" s="7" t="str">
        <x:f>IF(OR($D47="",CH$5="",'상세일정'!AM47="제외"),"",IF($D47=$E47,IF(AND($D47&gt;=CH$5,$D47&lt;CH$5+7),"◆",""),IF(AND($D47&lt;CH$5+7,$E47&gt;CH$5),"■","")))</x:f>
      </x:c>
      <x:c r="CI47" s="7" t="str">
        <x:f>IF(OR($D47="",CI$5="",'상세일정'!AM47="제외"),"",IF($D47=$E47,IF(AND($D47&gt;=CI$5,$D47&lt;CI$5+7),"◆",""),IF(AND($D47&lt;CI$5+7,$E47&gt;CI$5),"■","")))</x:f>
      </x:c>
      <x:c r="CJ47" s="7" t="str">
        <x:f>IF(OR($D47="",CJ$5="",'상세일정'!AM47="제외"),"",IF($D47=$E47,IF(AND($D47&gt;=CJ$5,$D47&lt;CJ$5+7),"◆",""),IF(AND($D47&lt;CJ$5+7,$E47&gt;CJ$5),"■","")))</x:f>
      </x:c>
      <x:c r="CK47" s="7" t="str">
        <x:f>IF(OR($D47="",CK$5="",'상세일정'!AM47="제외"),"",IF($D47=$E47,IF(AND($D47&gt;=CK$5,$D47&lt;CK$5+7),"◆",""),IF(AND($D47&lt;CK$5+7,$E47&gt;CK$5),"■","")))</x:f>
      </x:c>
      <x:c r="CL47" s="7" t="str">
        <x:f>IF(OR($D47="",CL$5="",'상세일정'!AM47="제외"),"",IF($D47=$E47,IF(AND($D47&gt;=CL$5,$D47&lt;CL$5+7),"◆",""),IF(AND($D47&lt;CL$5+7,$E47&gt;CL$5),"■","")))</x:f>
      </x:c>
      <x:c r="CM47" s="7" t="str">
        <x:f>IF(OR($D47="",CM$5="",'상세일정'!AM47="제외"),"",IF($D47=$E47,IF(AND($D47&gt;=CM$5,$D47&lt;CM$5+7),"◆",""),IF(AND($D47&lt;CM$5+7,$E47&gt;CM$5),"■","")))</x:f>
      </x:c>
      <x:c r="CN47" s="7" t="str">
        <x:f>IF(OR($D47="",CN$5="",'상세일정'!AM47="제외"),"",IF($D47=$E47,IF(AND($D47&gt;=CN$5,$D47&lt;CN$5+7),"◆",""),IF(AND($D47&lt;CN$5+7,$E47&gt;CN$5),"■","")))</x:f>
      </x:c>
      <x:c r="CO47" s="7" t="str">
        <x:f>IF(OR($D47="",CO$5="",'상세일정'!AM47="제외"),"",IF($D47=$E47,IF(AND($D47&gt;=CO$5,$D47&lt;CO$5+7),"◆",""),IF(AND($D47&lt;CO$5+7,$E47&gt;CO$5),"■","")))</x:f>
      </x:c>
      <x:c r="CP47" s="7" t="str">
        <x:f>IF(OR($D47="",CP$5="",'상세일정'!AM47="제외"),"",IF($D47=$E47,IF(AND($D47&gt;=CP$5,$D47&lt;CP$5+7),"◆",""),IF(AND($D47&lt;CP$5+7,$E47&gt;CP$5),"■","")))</x:f>
      </x:c>
      <x:c r="CQ47" s="7" t="str">
        <x:f>IF(OR($D47="",CQ$5="",'상세일정'!AM47="제외"),"",IF($D47=$E47,IF(AND($D47&gt;=CQ$5,$D47&lt;CQ$5+7),"◆",""),IF(AND($D47&lt;CQ$5+7,$E47&gt;CQ$5),"■","")))</x:f>
      </x:c>
      <x:c r="CR47" s="7" t="str">
        <x:f>IF(OR($D47="",CR$5="",'상세일정'!AM47="제외"),"",IF($D47=$E47,IF(AND($D47&gt;=CR$5,$D47&lt;CR$5+7),"◆",""),IF(AND($D47&lt;CR$5+7,$E47&gt;CR$5),"■","")))</x:f>
      </x:c>
      <x:c r="CS47" s="7" t="str">
        <x:f>IF(OR($D47="",CS$5="",'상세일정'!AM47="제외"),"",IF($D47=$E47,IF(AND($D47&gt;=CS$5,$D47&lt;CS$5+7),"◆",""),IF(AND($D47&lt;CS$5+7,$E47&gt;CS$5),"■","")))</x:f>
      </x:c>
      <x:c r="CT47" s="7" t="str">
        <x:f>IF(OR($D47="",CT$5="",'상세일정'!AM47="제외"),"",IF($D47=$E47,IF(AND($D47&gt;=CT$5,$D47&lt;CT$5+7),"◆",""),IF(AND($D47&lt;CT$5+7,$E47&gt;CT$5),"■","")))</x:f>
      </x:c>
      <x:c r="CU47" s="7" t="str">
        <x:f>IF(OR($D47="",CU$5="",'상세일정'!AM47="제외"),"",IF($D47=$E47,IF(AND($D47&gt;=CU$5,$D47&lt;CU$5+7),"◆",""),IF(AND($D47&lt;CU$5+7,$E47&gt;CU$5),"■","")))</x:f>
      </x:c>
      <x:c r="CV47" s="7" t="str">
        <x:f>IF(OR($D47="",CV$5="",'상세일정'!AM47="제외"),"",IF($D47=$E47,IF(AND($D47&gt;=CV$5,$D47&lt;CV$5+7),"◆",""),IF(AND($D47&lt;CV$5+7,$E47&gt;CV$5),"■","")))</x:f>
      </x:c>
      <x:c r="CW47" s="7" t="str">
        <x:f>IF(OR($D47="",CW$5="",'상세일정'!AM47="제외"),"",IF($D47=$E47,IF(AND($D47&gt;=CW$5,$D47&lt;CW$5+7),"◆",""),IF(AND($D47&lt;CW$5+7,$E47&gt;CW$5),"■","")))</x:f>
      </x:c>
      <x:c r="CX47" s="7" t="str">
        <x:f>IF(OR($D47="",CX$5="",'상세일정'!AM47="제외"),"",IF($D47=$E47,IF(AND($D47&gt;=CX$5,$D47&lt;CX$5+7),"◆",""),IF(AND($D47&lt;CX$5+7,$E47&gt;CX$5),"■","")))</x:f>
      </x:c>
      <x:c r="CY47" s="7" t="str">
        <x:f>IF(OR($D47="",CY$5="",'상세일정'!AM47="제외"),"",IF($D47=$E47,IF(AND($D47&gt;=CY$5,$D47&lt;CY$5+7),"◆",""),IF(AND($D47&lt;CY$5+7,$E47&gt;CY$5),"■","")))</x:f>
      </x:c>
      <x:c r="CZ47" s="7" t="str">
        <x:f>IF(OR($D47="",CZ$5="",'상세일정'!AM47="제외"),"",IF($D47=$E47,IF(AND($D47&gt;=CZ$5,$D47&lt;CZ$5+7),"◆",""),IF(AND($D47&lt;CZ$5+7,$E47&gt;CZ$5),"■","")))</x:f>
      </x:c>
      <x:c r="DA47" s="7" t="str">
        <x:f>IF(OR($D47="",DA$5="",'상세일정'!AM47="제외"),"",IF($D47=$E47,IF(AND($D47&gt;=DA$5,$D47&lt;DA$5+7),"◆",""),IF(AND($D47&lt;DA$5+7,$E47&gt;DA$5),"■","")))</x:f>
      </x:c>
      <x:c r="DB47" s="7" t="str">
        <x:f>IF(OR($D47="",DB$5="",'상세일정'!AM47="제외"),"",IF($D47=$E47,IF(AND($D47&gt;=DB$5,$D47&lt;DB$5+7),"◆",""),IF(AND($D47&lt;DB$5+7,$E47&gt;DB$5),"■","")))</x:f>
      </x:c>
      <x:c r="DC47" s="7" t="str">
        <x:f>IF(OR($D47="",DC$5="",'상세일정'!AM47="제외"),"",IF($D47=$E47,IF(AND($D47&gt;=DC$5,$D47&lt;DC$5+7),"◆",""),IF(AND($D47&lt;DC$5+7,$E47&gt;DC$5),"■","")))</x:f>
      </x:c>
      <x:c r="DD47" s="7" t="str">
        <x:f>IF(OR($D47="",DD$5="",'상세일정'!AM47="제외"),"",IF($D47=$E47,IF(AND($D47&gt;=DD$5,$D47&lt;DD$5+7),"◆",""),IF(AND($D47&lt;DD$5+7,$E47&gt;DD$5),"■","")))</x:f>
      </x:c>
      <x:c r="DE47" s="7" t="str">
        <x:f>IF(OR($D47="",DE$5="",'상세일정'!AM47="제외"),"",IF($D47=$E47,IF(AND($D47&gt;=DE$5,$D47&lt;DE$5+7),"◆",""),IF(AND($D47&lt;DE$5+7,$E47&gt;DE$5),"■","")))</x:f>
      </x:c>
    </x:row>
    <x:row r="48" ht="34" customHeight="1">
      <x:c r="A48" s="7" t="str">
        <x:v>EL03</x:v>
      </x:c>
      <x:c r="B48" s="7" t="str">
        <x:v>08 전기·통신·소방 설계</x:v>
      </x:c>
      <x:c r="C48" s="7" t="str">
        <x:v>SLD·보호협조·케이블 산정</x:v>
      </x:c>
      <x:c r="D48" s="10" t="str">
        <x:f>'상세일정'!AJ48</x:f>
      </x:c>
      <x:c r="E48" s="10" t="str">
        <x:f>'상세일정'!AK48</x:f>
      </x:c>
      <x:c r="F48" s="7" t="str">
        <x:f>IF(OR($D48="",F$5="",'상세일정'!AM48="제외"),"",IF($D48=$E48,IF(AND($D48&gt;=F$5,$D48&lt;F$5+7),"◆",""),IF(AND($D48&lt;F$5+7,$E48&gt;F$5),"■","")))</x:f>
      </x:c>
      <x:c r="G48" s="7" t="str">
        <x:f>IF(OR($D48="",G$5="",'상세일정'!AM48="제외"),"",IF($D48=$E48,IF(AND($D48&gt;=G$5,$D48&lt;G$5+7),"◆",""),IF(AND($D48&lt;G$5+7,$E48&gt;G$5),"■","")))</x:f>
      </x:c>
      <x:c r="H48" s="7" t="str">
        <x:f>IF(OR($D48="",H$5="",'상세일정'!AM48="제외"),"",IF($D48=$E48,IF(AND($D48&gt;=H$5,$D48&lt;H$5+7),"◆",""),IF(AND($D48&lt;H$5+7,$E48&gt;H$5),"■","")))</x:f>
      </x:c>
      <x:c r="I48" s="7" t="str">
        <x:f>IF(OR($D48="",I$5="",'상세일정'!AM48="제외"),"",IF($D48=$E48,IF(AND($D48&gt;=I$5,$D48&lt;I$5+7),"◆",""),IF(AND($D48&lt;I$5+7,$E48&gt;I$5),"■","")))</x:f>
      </x:c>
      <x:c r="J48" s="7" t="str">
        <x:f>IF(OR($D48="",J$5="",'상세일정'!AM48="제외"),"",IF($D48=$E48,IF(AND($D48&gt;=J$5,$D48&lt;J$5+7),"◆",""),IF(AND($D48&lt;J$5+7,$E48&gt;J$5),"■","")))</x:f>
      </x:c>
      <x:c r="K48" s="7" t="str">
        <x:f>IF(OR($D48="",K$5="",'상세일정'!AM48="제외"),"",IF($D48=$E48,IF(AND($D48&gt;=K$5,$D48&lt;K$5+7),"◆",""),IF(AND($D48&lt;K$5+7,$E48&gt;K$5),"■","")))</x:f>
      </x:c>
      <x:c r="L48" s="7" t="str">
        <x:f>IF(OR($D48="",L$5="",'상세일정'!AM48="제외"),"",IF($D48=$E48,IF(AND($D48&gt;=L$5,$D48&lt;L$5+7),"◆",""),IF(AND($D48&lt;L$5+7,$E48&gt;L$5),"■","")))</x:f>
      </x:c>
      <x:c r="M48" s="7" t="str">
        <x:f>IF(OR($D48="",M$5="",'상세일정'!AM48="제외"),"",IF($D48=$E48,IF(AND($D48&gt;=M$5,$D48&lt;M$5+7),"◆",""),IF(AND($D48&lt;M$5+7,$E48&gt;M$5),"■","")))</x:f>
      </x:c>
      <x:c r="N48" s="7" t="str">
        <x:f>IF(OR($D48="",N$5="",'상세일정'!AM48="제외"),"",IF($D48=$E48,IF(AND($D48&gt;=N$5,$D48&lt;N$5+7),"◆",""),IF(AND($D48&lt;N$5+7,$E48&gt;N$5),"■","")))</x:f>
      </x:c>
      <x:c r="O48" s="7" t="str">
        <x:f>IF(OR($D48="",O$5="",'상세일정'!AM48="제외"),"",IF($D48=$E48,IF(AND($D48&gt;=O$5,$D48&lt;O$5+7),"◆",""),IF(AND($D48&lt;O$5+7,$E48&gt;O$5),"■","")))</x:f>
      </x:c>
      <x:c r="P48" s="7" t="str">
        <x:f>IF(OR($D48="",P$5="",'상세일정'!AM48="제외"),"",IF($D48=$E48,IF(AND($D48&gt;=P$5,$D48&lt;P$5+7),"◆",""),IF(AND($D48&lt;P$5+7,$E48&gt;P$5),"■","")))</x:f>
      </x:c>
      <x:c r="Q48" s="7" t="str">
        <x:f>IF(OR($D48="",Q$5="",'상세일정'!AM48="제외"),"",IF($D48=$E48,IF(AND($D48&gt;=Q$5,$D48&lt;Q$5+7),"◆",""),IF(AND($D48&lt;Q$5+7,$E48&gt;Q$5),"■","")))</x:f>
      </x:c>
      <x:c r="R48" s="7" t="str">
        <x:f>IF(OR($D48="",R$5="",'상세일정'!AM48="제외"),"",IF($D48=$E48,IF(AND($D48&gt;=R$5,$D48&lt;R$5+7),"◆",""),IF(AND($D48&lt;R$5+7,$E48&gt;R$5),"■","")))</x:f>
      </x:c>
      <x:c r="S48" s="7" t="str">
        <x:f>IF(OR($D48="",S$5="",'상세일정'!AM48="제외"),"",IF($D48=$E48,IF(AND($D48&gt;=S$5,$D48&lt;S$5+7),"◆",""),IF(AND($D48&lt;S$5+7,$E48&gt;S$5),"■","")))</x:f>
      </x:c>
      <x:c r="T48" s="7" t="str">
        <x:f>IF(OR($D48="",T$5="",'상세일정'!AM48="제외"),"",IF($D48=$E48,IF(AND($D48&gt;=T$5,$D48&lt;T$5+7),"◆",""),IF(AND($D48&lt;T$5+7,$E48&gt;T$5),"■","")))</x:f>
      </x:c>
      <x:c r="U48" s="7" t="str">
        <x:f>IF(OR($D48="",U$5="",'상세일정'!AM48="제외"),"",IF($D48=$E48,IF(AND($D48&gt;=U$5,$D48&lt;U$5+7),"◆",""),IF(AND($D48&lt;U$5+7,$E48&gt;U$5),"■","")))</x:f>
      </x:c>
      <x:c r="V48" s="7" t="str">
        <x:f>IF(OR($D48="",V$5="",'상세일정'!AM48="제외"),"",IF($D48=$E48,IF(AND($D48&gt;=V$5,$D48&lt;V$5+7),"◆",""),IF(AND($D48&lt;V$5+7,$E48&gt;V$5),"■","")))</x:f>
      </x:c>
      <x:c r="W48" s="7" t="str">
        <x:f>IF(OR($D48="",W$5="",'상세일정'!AM48="제외"),"",IF($D48=$E48,IF(AND($D48&gt;=W$5,$D48&lt;W$5+7),"◆",""),IF(AND($D48&lt;W$5+7,$E48&gt;W$5),"■","")))</x:f>
      </x:c>
      <x:c r="X48" s="7" t="str">
        <x:f>IF(OR($D48="",X$5="",'상세일정'!AM48="제외"),"",IF($D48=$E48,IF(AND($D48&gt;=X$5,$D48&lt;X$5+7),"◆",""),IF(AND($D48&lt;X$5+7,$E48&gt;X$5),"■","")))</x:f>
      </x:c>
      <x:c r="Y48" s="7" t="str">
        <x:f>IF(OR($D48="",Y$5="",'상세일정'!AM48="제외"),"",IF($D48=$E48,IF(AND($D48&gt;=Y$5,$D48&lt;Y$5+7),"◆",""),IF(AND($D48&lt;Y$5+7,$E48&gt;Y$5),"■","")))</x:f>
      </x:c>
      <x:c r="Z48" s="7" t="str">
        <x:f>IF(OR($D48="",Z$5="",'상세일정'!AM48="제외"),"",IF($D48=$E48,IF(AND($D48&gt;=Z$5,$D48&lt;Z$5+7),"◆",""),IF(AND($D48&lt;Z$5+7,$E48&gt;Z$5),"■","")))</x:f>
      </x:c>
      <x:c r="AA48" s="7" t="str">
        <x:f>IF(OR($D48="",AA$5="",'상세일정'!AM48="제외"),"",IF($D48=$E48,IF(AND($D48&gt;=AA$5,$D48&lt;AA$5+7),"◆",""),IF(AND($D48&lt;AA$5+7,$E48&gt;AA$5),"■","")))</x:f>
      </x:c>
      <x:c r="AB48" s="7" t="str">
        <x:f>IF(OR($D48="",AB$5="",'상세일정'!AM48="제외"),"",IF($D48=$E48,IF(AND($D48&gt;=AB$5,$D48&lt;AB$5+7),"◆",""),IF(AND($D48&lt;AB$5+7,$E48&gt;AB$5),"■","")))</x:f>
      </x:c>
      <x:c r="AC48" s="7" t="str">
        <x:f>IF(OR($D48="",AC$5="",'상세일정'!AM48="제외"),"",IF($D48=$E48,IF(AND($D48&gt;=AC$5,$D48&lt;AC$5+7),"◆",""),IF(AND($D48&lt;AC$5+7,$E48&gt;AC$5),"■","")))</x:f>
      </x:c>
      <x:c r="AD48" s="7" t="str">
        <x:f>IF(OR($D48="",AD$5="",'상세일정'!AM48="제외"),"",IF($D48=$E48,IF(AND($D48&gt;=AD$5,$D48&lt;AD$5+7),"◆",""),IF(AND($D48&lt;AD$5+7,$E48&gt;AD$5),"■","")))</x:f>
      </x:c>
      <x:c r="AE48" s="7" t="str">
        <x:f>IF(OR($D48="",AE$5="",'상세일정'!AM48="제외"),"",IF($D48=$E48,IF(AND($D48&gt;=AE$5,$D48&lt;AE$5+7),"◆",""),IF(AND($D48&lt;AE$5+7,$E48&gt;AE$5),"■","")))</x:f>
      </x:c>
      <x:c r="AF48" s="7" t="str">
        <x:f>IF(OR($D48="",AF$5="",'상세일정'!AM48="제외"),"",IF($D48=$E48,IF(AND($D48&gt;=AF$5,$D48&lt;AF$5+7),"◆",""),IF(AND($D48&lt;AF$5+7,$E48&gt;AF$5),"■","")))</x:f>
      </x:c>
      <x:c r="AG48" s="7" t="str">
        <x:f>IF(OR($D48="",AG$5="",'상세일정'!AM48="제외"),"",IF($D48=$E48,IF(AND($D48&gt;=AG$5,$D48&lt;AG$5+7),"◆",""),IF(AND($D48&lt;AG$5+7,$E48&gt;AG$5),"■","")))</x:f>
      </x:c>
      <x:c r="AH48" s="7" t="str">
        <x:f>IF(OR($D48="",AH$5="",'상세일정'!AM48="제외"),"",IF($D48=$E48,IF(AND($D48&gt;=AH$5,$D48&lt;AH$5+7),"◆",""),IF(AND($D48&lt;AH$5+7,$E48&gt;AH$5),"■","")))</x:f>
      </x:c>
      <x:c r="AI48" s="7" t="str">
        <x:f>IF(OR($D48="",AI$5="",'상세일정'!AM48="제외"),"",IF($D48=$E48,IF(AND($D48&gt;=AI$5,$D48&lt;AI$5+7),"◆",""),IF(AND($D48&lt;AI$5+7,$E48&gt;AI$5),"■","")))</x:f>
      </x:c>
      <x:c r="AJ48" s="7" t="str">
        <x:f>IF(OR($D48="",AJ$5="",'상세일정'!AM48="제외"),"",IF($D48=$E48,IF(AND($D48&gt;=AJ$5,$D48&lt;AJ$5+7),"◆",""),IF(AND($D48&lt;AJ$5+7,$E48&gt;AJ$5),"■","")))</x:f>
      </x:c>
      <x:c r="AK48" s="7" t="str">
        <x:f>IF(OR($D48="",AK$5="",'상세일정'!AM48="제외"),"",IF($D48=$E48,IF(AND($D48&gt;=AK$5,$D48&lt;AK$5+7),"◆",""),IF(AND($D48&lt;AK$5+7,$E48&gt;AK$5),"■","")))</x:f>
      </x:c>
      <x:c r="AL48" s="7" t="str">
        <x:f>IF(OR($D48="",AL$5="",'상세일정'!AM48="제외"),"",IF($D48=$E48,IF(AND($D48&gt;=AL$5,$D48&lt;AL$5+7),"◆",""),IF(AND($D48&lt;AL$5+7,$E48&gt;AL$5),"■","")))</x:f>
      </x:c>
      <x:c r="AM48" s="7" t="str">
        <x:f>IF(OR($D48="",AM$5="",'상세일정'!AM48="제외"),"",IF($D48=$E48,IF(AND($D48&gt;=AM$5,$D48&lt;AM$5+7),"◆",""),IF(AND($D48&lt;AM$5+7,$E48&gt;AM$5),"■","")))</x:f>
      </x:c>
      <x:c r="AN48" s="7" t="str">
        <x:f>IF(OR($D48="",AN$5="",'상세일정'!AM48="제외"),"",IF($D48=$E48,IF(AND($D48&gt;=AN$5,$D48&lt;AN$5+7),"◆",""),IF(AND($D48&lt;AN$5+7,$E48&gt;AN$5),"■","")))</x:f>
      </x:c>
      <x:c r="AO48" s="7" t="str">
        <x:f>IF(OR($D48="",AO$5="",'상세일정'!AM48="제외"),"",IF($D48=$E48,IF(AND($D48&gt;=AO$5,$D48&lt;AO$5+7),"◆",""),IF(AND($D48&lt;AO$5+7,$E48&gt;AO$5),"■","")))</x:f>
      </x:c>
      <x:c r="AP48" s="7" t="str">
        <x:f>IF(OR($D48="",AP$5="",'상세일정'!AM48="제외"),"",IF($D48=$E48,IF(AND($D48&gt;=AP$5,$D48&lt;AP$5+7),"◆",""),IF(AND($D48&lt;AP$5+7,$E48&gt;AP$5),"■","")))</x:f>
      </x:c>
      <x:c r="AQ48" s="7" t="str">
        <x:f>IF(OR($D48="",AQ$5="",'상세일정'!AM48="제외"),"",IF($D48=$E48,IF(AND($D48&gt;=AQ$5,$D48&lt;AQ$5+7),"◆",""),IF(AND($D48&lt;AQ$5+7,$E48&gt;AQ$5),"■","")))</x:f>
      </x:c>
      <x:c r="AR48" s="7" t="str">
        <x:f>IF(OR($D48="",AR$5="",'상세일정'!AM48="제외"),"",IF($D48=$E48,IF(AND($D48&gt;=AR$5,$D48&lt;AR$5+7),"◆",""),IF(AND($D48&lt;AR$5+7,$E48&gt;AR$5),"■","")))</x:f>
      </x:c>
      <x:c r="AS48" s="7" t="str">
        <x:f>IF(OR($D48="",AS$5="",'상세일정'!AM48="제외"),"",IF($D48=$E48,IF(AND($D48&gt;=AS$5,$D48&lt;AS$5+7),"◆",""),IF(AND($D48&lt;AS$5+7,$E48&gt;AS$5),"■","")))</x:f>
      </x:c>
      <x:c r="AT48" s="7" t="str">
        <x:f>IF(OR($D48="",AT$5="",'상세일정'!AM48="제외"),"",IF($D48=$E48,IF(AND($D48&gt;=AT$5,$D48&lt;AT$5+7),"◆",""),IF(AND($D48&lt;AT$5+7,$E48&gt;AT$5),"■","")))</x:f>
      </x:c>
      <x:c r="AU48" s="7" t="str">
        <x:f>IF(OR($D48="",AU$5="",'상세일정'!AM48="제외"),"",IF($D48=$E48,IF(AND($D48&gt;=AU$5,$D48&lt;AU$5+7),"◆",""),IF(AND($D48&lt;AU$5+7,$E48&gt;AU$5),"■","")))</x:f>
      </x:c>
      <x:c r="AV48" s="7" t="str">
        <x:f>IF(OR($D48="",AV$5="",'상세일정'!AM48="제외"),"",IF($D48=$E48,IF(AND($D48&gt;=AV$5,$D48&lt;AV$5+7),"◆",""),IF(AND($D48&lt;AV$5+7,$E48&gt;AV$5),"■","")))</x:f>
      </x:c>
      <x:c r="AW48" s="7" t="str">
        <x:f>IF(OR($D48="",AW$5="",'상세일정'!AM48="제외"),"",IF($D48=$E48,IF(AND($D48&gt;=AW$5,$D48&lt;AW$5+7),"◆",""),IF(AND($D48&lt;AW$5+7,$E48&gt;AW$5),"■","")))</x:f>
      </x:c>
      <x:c r="AX48" s="7" t="str">
        <x:f>IF(OR($D48="",AX$5="",'상세일정'!AM48="제외"),"",IF($D48=$E48,IF(AND($D48&gt;=AX$5,$D48&lt;AX$5+7),"◆",""),IF(AND($D48&lt;AX$5+7,$E48&gt;AX$5),"■","")))</x:f>
      </x:c>
      <x:c r="AY48" s="7" t="str">
        <x:f>IF(OR($D48="",AY$5="",'상세일정'!AM48="제외"),"",IF($D48=$E48,IF(AND($D48&gt;=AY$5,$D48&lt;AY$5+7),"◆",""),IF(AND($D48&lt;AY$5+7,$E48&gt;AY$5),"■","")))</x:f>
      </x:c>
      <x:c r="AZ48" s="7" t="str">
        <x:f>IF(OR($D48="",AZ$5="",'상세일정'!AM48="제외"),"",IF($D48=$E48,IF(AND($D48&gt;=AZ$5,$D48&lt;AZ$5+7),"◆",""),IF(AND($D48&lt;AZ$5+7,$E48&gt;AZ$5),"■","")))</x:f>
      </x:c>
      <x:c r="BA48" s="7" t="str">
        <x:f>IF(OR($D48="",BA$5="",'상세일정'!AM48="제외"),"",IF($D48=$E48,IF(AND($D48&gt;=BA$5,$D48&lt;BA$5+7),"◆",""),IF(AND($D48&lt;BA$5+7,$E48&gt;BA$5),"■","")))</x:f>
      </x:c>
      <x:c r="BB48" s="7" t="str">
        <x:f>IF(OR($D48="",BB$5="",'상세일정'!AM48="제외"),"",IF($D48=$E48,IF(AND($D48&gt;=BB$5,$D48&lt;BB$5+7),"◆",""),IF(AND($D48&lt;BB$5+7,$E48&gt;BB$5),"■","")))</x:f>
      </x:c>
      <x:c r="BC48" s="7" t="str">
        <x:f>IF(OR($D48="",BC$5="",'상세일정'!AM48="제외"),"",IF($D48=$E48,IF(AND($D48&gt;=BC$5,$D48&lt;BC$5+7),"◆",""),IF(AND($D48&lt;BC$5+7,$E48&gt;BC$5),"■","")))</x:f>
      </x:c>
      <x:c r="BD48" s="7" t="str">
        <x:f>IF(OR($D48="",BD$5="",'상세일정'!AM48="제외"),"",IF($D48=$E48,IF(AND($D48&gt;=BD$5,$D48&lt;BD$5+7),"◆",""),IF(AND($D48&lt;BD$5+7,$E48&gt;BD$5),"■","")))</x:f>
      </x:c>
      <x:c r="BE48" s="7" t="str">
        <x:f>IF(OR($D48="",BE$5="",'상세일정'!AM48="제외"),"",IF($D48=$E48,IF(AND($D48&gt;=BE$5,$D48&lt;BE$5+7),"◆",""),IF(AND($D48&lt;BE$5+7,$E48&gt;BE$5),"■","")))</x:f>
      </x:c>
      <x:c r="BF48" s="7" t="str">
        <x:f>IF(OR($D48="",BF$5="",'상세일정'!AM48="제외"),"",IF($D48=$E48,IF(AND($D48&gt;=BF$5,$D48&lt;BF$5+7),"◆",""),IF(AND($D48&lt;BF$5+7,$E48&gt;BF$5),"■","")))</x:f>
      </x:c>
      <x:c r="BG48" s="7" t="str">
        <x:f>IF(OR($D48="",BG$5="",'상세일정'!AM48="제외"),"",IF($D48=$E48,IF(AND($D48&gt;=BG$5,$D48&lt;BG$5+7),"◆",""),IF(AND($D48&lt;BG$5+7,$E48&gt;BG$5),"■","")))</x:f>
      </x:c>
      <x:c r="BH48" s="7" t="str">
        <x:f>IF(OR($D48="",BH$5="",'상세일정'!AM48="제외"),"",IF($D48=$E48,IF(AND($D48&gt;=BH$5,$D48&lt;BH$5+7),"◆",""),IF(AND($D48&lt;BH$5+7,$E48&gt;BH$5),"■","")))</x:f>
      </x:c>
      <x:c r="BI48" s="7" t="str">
        <x:f>IF(OR($D48="",BI$5="",'상세일정'!AM48="제외"),"",IF($D48=$E48,IF(AND($D48&gt;=BI$5,$D48&lt;BI$5+7),"◆",""),IF(AND($D48&lt;BI$5+7,$E48&gt;BI$5),"■","")))</x:f>
      </x:c>
      <x:c r="BJ48" s="7" t="str">
        <x:f>IF(OR($D48="",BJ$5="",'상세일정'!AM48="제외"),"",IF($D48=$E48,IF(AND($D48&gt;=BJ$5,$D48&lt;BJ$5+7),"◆",""),IF(AND($D48&lt;BJ$5+7,$E48&gt;BJ$5),"■","")))</x:f>
      </x:c>
      <x:c r="BK48" s="7" t="str">
        <x:f>IF(OR($D48="",BK$5="",'상세일정'!AM48="제외"),"",IF($D48=$E48,IF(AND($D48&gt;=BK$5,$D48&lt;BK$5+7),"◆",""),IF(AND($D48&lt;BK$5+7,$E48&gt;BK$5),"■","")))</x:f>
      </x:c>
      <x:c r="BL48" s="7" t="str">
        <x:f>IF(OR($D48="",BL$5="",'상세일정'!AM48="제외"),"",IF($D48=$E48,IF(AND($D48&gt;=BL$5,$D48&lt;BL$5+7),"◆",""),IF(AND($D48&lt;BL$5+7,$E48&gt;BL$5),"■","")))</x:f>
      </x:c>
      <x:c r="BM48" s="7" t="str">
        <x:f>IF(OR($D48="",BM$5="",'상세일정'!AM48="제외"),"",IF($D48=$E48,IF(AND($D48&gt;=BM$5,$D48&lt;BM$5+7),"◆",""),IF(AND($D48&lt;BM$5+7,$E48&gt;BM$5),"■","")))</x:f>
      </x:c>
      <x:c r="BN48" s="7" t="str">
        <x:f>IF(OR($D48="",BN$5="",'상세일정'!AM48="제외"),"",IF($D48=$E48,IF(AND($D48&gt;=BN$5,$D48&lt;BN$5+7),"◆",""),IF(AND($D48&lt;BN$5+7,$E48&gt;BN$5),"■","")))</x:f>
      </x:c>
      <x:c r="BO48" s="7" t="str">
        <x:f>IF(OR($D48="",BO$5="",'상세일정'!AM48="제외"),"",IF($D48=$E48,IF(AND($D48&gt;=BO$5,$D48&lt;BO$5+7),"◆",""),IF(AND($D48&lt;BO$5+7,$E48&gt;BO$5),"■","")))</x:f>
      </x:c>
      <x:c r="BP48" s="7" t="str">
        <x:f>IF(OR($D48="",BP$5="",'상세일정'!AM48="제외"),"",IF($D48=$E48,IF(AND($D48&gt;=BP$5,$D48&lt;BP$5+7),"◆",""),IF(AND($D48&lt;BP$5+7,$E48&gt;BP$5),"■","")))</x:f>
      </x:c>
      <x:c r="BQ48" s="7" t="str">
        <x:f>IF(OR($D48="",BQ$5="",'상세일정'!AM48="제외"),"",IF($D48=$E48,IF(AND($D48&gt;=BQ$5,$D48&lt;BQ$5+7),"◆",""),IF(AND($D48&lt;BQ$5+7,$E48&gt;BQ$5),"■","")))</x:f>
      </x:c>
      <x:c r="BR48" s="7" t="str">
        <x:f>IF(OR($D48="",BR$5="",'상세일정'!AM48="제외"),"",IF($D48=$E48,IF(AND($D48&gt;=BR$5,$D48&lt;BR$5+7),"◆",""),IF(AND($D48&lt;BR$5+7,$E48&gt;BR$5),"■","")))</x:f>
      </x:c>
      <x:c r="BS48" s="7" t="str">
        <x:f>IF(OR($D48="",BS$5="",'상세일정'!AM48="제외"),"",IF($D48=$E48,IF(AND($D48&gt;=BS$5,$D48&lt;BS$5+7),"◆",""),IF(AND($D48&lt;BS$5+7,$E48&gt;BS$5),"■","")))</x:f>
      </x:c>
      <x:c r="BT48" s="7" t="str">
        <x:f>IF(OR($D48="",BT$5="",'상세일정'!AM48="제외"),"",IF($D48=$E48,IF(AND($D48&gt;=BT$5,$D48&lt;BT$5+7),"◆",""),IF(AND($D48&lt;BT$5+7,$E48&gt;BT$5),"■","")))</x:f>
      </x:c>
      <x:c r="BU48" s="7" t="str">
        <x:f>IF(OR($D48="",BU$5="",'상세일정'!AM48="제외"),"",IF($D48=$E48,IF(AND($D48&gt;=BU$5,$D48&lt;BU$5+7),"◆",""),IF(AND($D48&lt;BU$5+7,$E48&gt;BU$5),"■","")))</x:f>
      </x:c>
      <x:c r="BV48" s="7" t="str">
        <x:f>IF(OR($D48="",BV$5="",'상세일정'!AM48="제외"),"",IF($D48=$E48,IF(AND($D48&gt;=BV$5,$D48&lt;BV$5+7),"◆",""),IF(AND($D48&lt;BV$5+7,$E48&gt;BV$5),"■","")))</x:f>
      </x:c>
      <x:c r="BW48" s="7" t="str">
        <x:f>IF(OR($D48="",BW$5="",'상세일정'!AM48="제외"),"",IF($D48=$E48,IF(AND($D48&gt;=BW$5,$D48&lt;BW$5+7),"◆",""),IF(AND($D48&lt;BW$5+7,$E48&gt;BW$5),"■","")))</x:f>
      </x:c>
      <x:c r="BX48" s="7" t="str">
        <x:f>IF(OR($D48="",BX$5="",'상세일정'!AM48="제외"),"",IF($D48=$E48,IF(AND($D48&gt;=BX$5,$D48&lt;BX$5+7),"◆",""),IF(AND($D48&lt;BX$5+7,$E48&gt;BX$5),"■","")))</x:f>
      </x:c>
      <x:c r="BY48" s="7" t="str">
        <x:f>IF(OR($D48="",BY$5="",'상세일정'!AM48="제외"),"",IF($D48=$E48,IF(AND($D48&gt;=BY$5,$D48&lt;BY$5+7),"◆",""),IF(AND($D48&lt;BY$5+7,$E48&gt;BY$5),"■","")))</x:f>
      </x:c>
      <x:c r="BZ48" s="7" t="str">
        <x:f>IF(OR($D48="",BZ$5="",'상세일정'!AM48="제외"),"",IF($D48=$E48,IF(AND($D48&gt;=BZ$5,$D48&lt;BZ$5+7),"◆",""),IF(AND($D48&lt;BZ$5+7,$E48&gt;BZ$5),"■","")))</x:f>
      </x:c>
      <x:c r="CA48" s="7" t="str">
        <x:f>IF(OR($D48="",CA$5="",'상세일정'!AM48="제외"),"",IF($D48=$E48,IF(AND($D48&gt;=CA$5,$D48&lt;CA$5+7),"◆",""),IF(AND($D48&lt;CA$5+7,$E48&gt;CA$5),"■","")))</x:f>
      </x:c>
      <x:c r="CB48" s="7" t="str">
        <x:f>IF(OR($D48="",CB$5="",'상세일정'!AM48="제외"),"",IF($D48=$E48,IF(AND($D48&gt;=CB$5,$D48&lt;CB$5+7),"◆",""),IF(AND($D48&lt;CB$5+7,$E48&gt;CB$5),"■","")))</x:f>
      </x:c>
      <x:c r="CC48" s="7" t="str">
        <x:f>IF(OR($D48="",CC$5="",'상세일정'!AM48="제외"),"",IF($D48=$E48,IF(AND($D48&gt;=CC$5,$D48&lt;CC$5+7),"◆",""),IF(AND($D48&lt;CC$5+7,$E48&gt;CC$5),"■","")))</x:f>
      </x:c>
      <x:c r="CD48" s="7" t="str">
        <x:f>IF(OR($D48="",CD$5="",'상세일정'!AM48="제외"),"",IF($D48=$E48,IF(AND($D48&gt;=CD$5,$D48&lt;CD$5+7),"◆",""),IF(AND($D48&lt;CD$5+7,$E48&gt;CD$5),"■","")))</x:f>
      </x:c>
      <x:c r="CE48" s="7" t="str">
        <x:f>IF(OR($D48="",CE$5="",'상세일정'!AM48="제외"),"",IF($D48=$E48,IF(AND($D48&gt;=CE$5,$D48&lt;CE$5+7),"◆",""),IF(AND($D48&lt;CE$5+7,$E48&gt;CE$5),"■","")))</x:f>
      </x:c>
      <x:c r="CF48" s="7" t="str">
        <x:f>IF(OR($D48="",CF$5="",'상세일정'!AM48="제외"),"",IF($D48=$E48,IF(AND($D48&gt;=CF$5,$D48&lt;CF$5+7),"◆",""),IF(AND($D48&lt;CF$5+7,$E48&gt;CF$5),"■","")))</x:f>
      </x:c>
      <x:c r="CG48" s="7" t="str">
        <x:f>IF(OR($D48="",CG$5="",'상세일정'!AM48="제외"),"",IF($D48=$E48,IF(AND($D48&gt;=CG$5,$D48&lt;CG$5+7),"◆",""),IF(AND($D48&lt;CG$5+7,$E48&gt;CG$5),"■","")))</x:f>
      </x:c>
      <x:c r="CH48" s="7" t="str">
        <x:f>IF(OR($D48="",CH$5="",'상세일정'!AM48="제외"),"",IF($D48=$E48,IF(AND($D48&gt;=CH$5,$D48&lt;CH$5+7),"◆",""),IF(AND($D48&lt;CH$5+7,$E48&gt;CH$5),"■","")))</x:f>
      </x:c>
      <x:c r="CI48" s="7" t="str">
        <x:f>IF(OR($D48="",CI$5="",'상세일정'!AM48="제외"),"",IF($D48=$E48,IF(AND($D48&gt;=CI$5,$D48&lt;CI$5+7),"◆",""),IF(AND($D48&lt;CI$5+7,$E48&gt;CI$5),"■","")))</x:f>
      </x:c>
      <x:c r="CJ48" s="7" t="str">
        <x:f>IF(OR($D48="",CJ$5="",'상세일정'!AM48="제외"),"",IF($D48=$E48,IF(AND($D48&gt;=CJ$5,$D48&lt;CJ$5+7),"◆",""),IF(AND($D48&lt;CJ$5+7,$E48&gt;CJ$5),"■","")))</x:f>
      </x:c>
      <x:c r="CK48" s="7" t="str">
        <x:f>IF(OR($D48="",CK$5="",'상세일정'!AM48="제외"),"",IF($D48=$E48,IF(AND($D48&gt;=CK$5,$D48&lt;CK$5+7),"◆",""),IF(AND($D48&lt;CK$5+7,$E48&gt;CK$5),"■","")))</x:f>
      </x:c>
      <x:c r="CL48" s="7" t="str">
        <x:f>IF(OR($D48="",CL$5="",'상세일정'!AM48="제외"),"",IF($D48=$E48,IF(AND($D48&gt;=CL$5,$D48&lt;CL$5+7),"◆",""),IF(AND($D48&lt;CL$5+7,$E48&gt;CL$5),"■","")))</x:f>
      </x:c>
      <x:c r="CM48" s="7" t="str">
        <x:f>IF(OR($D48="",CM$5="",'상세일정'!AM48="제외"),"",IF($D48=$E48,IF(AND($D48&gt;=CM$5,$D48&lt;CM$5+7),"◆",""),IF(AND($D48&lt;CM$5+7,$E48&gt;CM$5),"■","")))</x:f>
      </x:c>
      <x:c r="CN48" s="7" t="str">
        <x:f>IF(OR($D48="",CN$5="",'상세일정'!AM48="제외"),"",IF($D48=$E48,IF(AND($D48&gt;=CN$5,$D48&lt;CN$5+7),"◆",""),IF(AND($D48&lt;CN$5+7,$E48&gt;CN$5),"■","")))</x:f>
      </x:c>
      <x:c r="CO48" s="7" t="str">
        <x:f>IF(OR($D48="",CO$5="",'상세일정'!AM48="제외"),"",IF($D48=$E48,IF(AND($D48&gt;=CO$5,$D48&lt;CO$5+7),"◆",""),IF(AND($D48&lt;CO$5+7,$E48&gt;CO$5),"■","")))</x:f>
      </x:c>
      <x:c r="CP48" s="7" t="str">
        <x:f>IF(OR($D48="",CP$5="",'상세일정'!AM48="제외"),"",IF($D48=$E48,IF(AND($D48&gt;=CP$5,$D48&lt;CP$5+7),"◆",""),IF(AND($D48&lt;CP$5+7,$E48&gt;CP$5),"■","")))</x:f>
      </x:c>
      <x:c r="CQ48" s="7" t="str">
        <x:f>IF(OR($D48="",CQ$5="",'상세일정'!AM48="제외"),"",IF($D48=$E48,IF(AND($D48&gt;=CQ$5,$D48&lt;CQ$5+7),"◆",""),IF(AND($D48&lt;CQ$5+7,$E48&gt;CQ$5),"■","")))</x:f>
      </x:c>
      <x:c r="CR48" s="7" t="str">
        <x:f>IF(OR($D48="",CR$5="",'상세일정'!AM48="제외"),"",IF($D48=$E48,IF(AND($D48&gt;=CR$5,$D48&lt;CR$5+7),"◆",""),IF(AND($D48&lt;CR$5+7,$E48&gt;CR$5),"■","")))</x:f>
      </x:c>
      <x:c r="CS48" s="7" t="str">
        <x:f>IF(OR($D48="",CS$5="",'상세일정'!AM48="제외"),"",IF($D48=$E48,IF(AND($D48&gt;=CS$5,$D48&lt;CS$5+7),"◆",""),IF(AND($D48&lt;CS$5+7,$E48&gt;CS$5),"■","")))</x:f>
      </x:c>
      <x:c r="CT48" s="7" t="str">
        <x:f>IF(OR($D48="",CT$5="",'상세일정'!AM48="제외"),"",IF($D48=$E48,IF(AND($D48&gt;=CT$5,$D48&lt;CT$5+7),"◆",""),IF(AND($D48&lt;CT$5+7,$E48&gt;CT$5),"■","")))</x:f>
      </x:c>
      <x:c r="CU48" s="7" t="str">
        <x:f>IF(OR($D48="",CU$5="",'상세일정'!AM48="제외"),"",IF($D48=$E48,IF(AND($D48&gt;=CU$5,$D48&lt;CU$5+7),"◆",""),IF(AND($D48&lt;CU$5+7,$E48&gt;CU$5),"■","")))</x:f>
      </x:c>
      <x:c r="CV48" s="7" t="str">
        <x:f>IF(OR($D48="",CV$5="",'상세일정'!AM48="제외"),"",IF($D48=$E48,IF(AND($D48&gt;=CV$5,$D48&lt;CV$5+7),"◆",""),IF(AND($D48&lt;CV$5+7,$E48&gt;CV$5),"■","")))</x:f>
      </x:c>
      <x:c r="CW48" s="7" t="str">
        <x:f>IF(OR($D48="",CW$5="",'상세일정'!AM48="제외"),"",IF($D48=$E48,IF(AND($D48&gt;=CW$5,$D48&lt;CW$5+7),"◆",""),IF(AND($D48&lt;CW$5+7,$E48&gt;CW$5),"■","")))</x:f>
      </x:c>
      <x:c r="CX48" s="7" t="str">
        <x:f>IF(OR($D48="",CX$5="",'상세일정'!AM48="제외"),"",IF($D48=$E48,IF(AND($D48&gt;=CX$5,$D48&lt;CX$5+7),"◆",""),IF(AND($D48&lt;CX$5+7,$E48&gt;CX$5),"■","")))</x:f>
      </x:c>
      <x:c r="CY48" s="7" t="str">
        <x:f>IF(OR($D48="",CY$5="",'상세일정'!AM48="제외"),"",IF($D48=$E48,IF(AND($D48&gt;=CY$5,$D48&lt;CY$5+7),"◆",""),IF(AND($D48&lt;CY$5+7,$E48&gt;CY$5),"■","")))</x:f>
      </x:c>
      <x:c r="CZ48" s="7" t="str">
        <x:f>IF(OR($D48="",CZ$5="",'상세일정'!AM48="제외"),"",IF($D48=$E48,IF(AND($D48&gt;=CZ$5,$D48&lt;CZ$5+7),"◆",""),IF(AND($D48&lt;CZ$5+7,$E48&gt;CZ$5),"■","")))</x:f>
      </x:c>
      <x:c r="DA48" s="7" t="str">
        <x:f>IF(OR($D48="",DA$5="",'상세일정'!AM48="제외"),"",IF($D48=$E48,IF(AND($D48&gt;=DA$5,$D48&lt;DA$5+7),"◆",""),IF(AND($D48&lt;DA$5+7,$E48&gt;DA$5),"■","")))</x:f>
      </x:c>
      <x:c r="DB48" s="7" t="str">
        <x:f>IF(OR($D48="",DB$5="",'상세일정'!AM48="제외"),"",IF($D48=$E48,IF(AND($D48&gt;=DB$5,$D48&lt;DB$5+7),"◆",""),IF(AND($D48&lt;DB$5+7,$E48&gt;DB$5),"■","")))</x:f>
      </x:c>
      <x:c r="DC48" s="7" t="str">
        <x:f>IF(OR($D48="",DC$5="",'상세일정'!AM48="제외"),"",IF($D48=$E48,IF(AND($D48&gt;=DC$5,$D48&lt;DC$5+7),"◆",""),IF(AND($D48&lt;DC$5+7,$E48&gt;DC$5),"■","")))</x:f>
      </x:c>
      <x:c r="DD48" s="7" t="str">
        <x:f>IF(OR($D48="",DD$5="",'상세일정'!AM48="제외"),"",IF($D48=$E48,IF(AND($D48&gt;=DD$5,$D48&lt;DD$5+7),"◆",""),IF(AND($D48&lt;DD$5+7,$E48&gt;DD$5),"■","")))</x:f>
      </x:c>
      <x:c r="DE48" s="7" t="str">
        <x:f>IF(OR($D48="",DE$5="",'상세일정'!AM48="제외"),"",IF($D48=$E48,IF(AND($D48&gt;=DE$5,$D48&lt;DE$5+7),"◆",""),IF(AND($D48&lt;DE$5+7,$E48&gt;DE$5),"■","")))</x:f>
      </x:c>
    </x:row>
    <x:row r="49" ht="34" customHeight="1">
      <x:c r="A49" s="7" t="str">
        <x:v>EL04</x:v>
      </x:c>
      <x:c r="B49" s="7" t="str">
        <x:v>08 전기·통신·소방 설계</x:v>
      </x:c>
      <x:c r="C49" s="7" t="str">
        <x:v>전기실 판넬 배치·관통부·기초자료 통보</x:v>
      </x:c>
      <x:c r="D49" s="10" t="str">
        <x:f>'상세일정'!AJ49</x:f>
      </x:c>
      <x:c r="E49" s="10" t="str">
        <x:f>'상세일정'!AK49</x:f>
      </x:c>
      <x:c r="F49" s="7" t="str">
        <x:f>IF(OR($D49="",F$5="",'상세일정'!AM49="제외"),"",IF($D49=$E49,IF(AND($D49&gt;=F$5,$D49&lt;F$5+7),"◆",""),IF(AND($D49&lt;F$5+7,$E49&gt;F$5),"■","")))</x:f>
      </x:c>
      <x:c r="G49" s="7" t="str">
        <x:f>IF(OR($D49="",G$5="",'상세일정'!AM49="제외"),"",IF($D49=$E49,IF(AND($D49&gt;=G$5,$D49&lt;G$5+7),"◆",""),IF(AND($D49&lt;G$5+7,$E49&gt;G$5),"■","")))</x:f>
      </x:c>
      <x:c r="H49" s="7" t="str">
        <x:f>IF(OR($D49="",H$5="",'상세일정'!AM49="제외"),"",IF($D49=$E49,IF(AND($D49&gt;=H$5,$D49&lt;H$5+7),"◆",""),IF(AND($D49&lt;H$5+7,$E49&gt;H$5),"■","")))</x:f>
      </x:c>
      <x:c r="I49" s="7" t="str">
        <x:f>IF(OR($D49="",I$5="",'상세일정'!AM49="제외"),"",IF($D49=$E49,IF(AND($D49&gt;=I$5,$D49&lt;I$5+7),"◆",""),IF(AND($D49&lt;I$5+7,$E49&gt;I$5),"■","")))</x:f>
      </x:c>
      <x:c r="J49" s="7" t="str">
        <x:f>IF(OR($D49="",J$5="",'상세일정'!AM49="제외"),"",IF($D49=$E49,IF(AND($D49&gt;=J$5,$D49&lt;J$5+7),"◆",""),IF(AND($D49&lt;J$5+7,$E49&gt;J$5),"■","")))</x:f>
      </x:c>
      <x:c r="K49" s="7" t="str">
        <x:f>IF(OR($D49="",K$5="",'상세일정'!AM49="제외"),"",IF($D49=$E49,IF(AND($D49&gt;=K$5,$D49&lt;K$5+7),"◆",""),IF(AND($D49&lt;K$5+7,$E49&gt;K$5),"■","")))</x:f>
      </x:c>
      <x:c r="L49" s="7" t="str">
        <x:f>IF(OR($D49="",L$5="",'상세일정'!AM49="제외"),"",IF($D49=$E49,IF(AND($D49&gt;=L$5,$D49&lt;L$5+7),"◆",""),IF(AND($D49&lt;L$5+7,$E49&gt;L$5),"■","")))</x:f>
      </x:c>
      <x:c r="M49" s="7" t="str">
        <x:f>IF(OR($D49="",M$5="",'상세일정'!AM49="제외"),"",IF($D49=$E49,IF(AND($D49&gt;=M$5,$D49&lt;M$5+7),"◆",""),IF(AND($D49&lt;M$5+7,$E49&gt;M$5),"■","")))</x:f>
      </x:c>
      <x:c r="N49" s="7" t="str">
        <x:f>IF(OR($D49="",N$5="",'상세일정'!AM49="제외"),"",IF($D49=$E49,IF(AND($D49&gt;=N$5,$D49&lt;N$5+7),"◆",""),IF(AND($D49&lt;N$5+7,$E49&gt;N$5),"■","")))</x:f>
      </x:c>
      <x:c r="O49" s="7" t="str">
        <x:f>IF(OR($D49="",O$5="",'상세일정'!AM49="제외"),"",IF($D49=$E49,IF(AND($D49&gt;=O$5,$D49&lt;O$5+7),"◆",""),IF(AND($D49&lt;O$5+7,$E49&gt;O$5),"■","")))</x:f>
      </x:c>
      <x:c r="P49" s="7" t="str">
        <x:f>IF(OR($D49="",P$5="",'상세일정'!AM49="제외"),"",IF($D49=$E49,IF(AND($D49&gt;=P$5,$D49&lt;P$5+7),"◆",""),IF(AND($D49&lt;P$5+7,$E49&gt;P$5),"■","")))</x:f>
      </x:c>
      <x:c r="Q49" s="7" t="str">
        <x:f>IF(OR($D49="",Q$5="",'상세일정'!AM49="제외"),"",IF($D49=$E49,IF(AND($D49&gt;=Q$5,$D49&lt;Q$5+7),"◆",""),IF(AND($D49&lt;Q$5+7,$E49&gt;Q$5),"■","")))</x:f>
      </x:c>
      <x:c r="R49" s="7" t="str">
        <x:f>IF(OR($D49="",R$5="",'상세일정'!AM49="제외"),"",IF($D49=$E49,IF(AND($D49&gt;=R$5,$D49&lt;R$5+7),"◆",""),IF(AND($D49&lt;R$5+7,$E49&gt;R$5),"■","")))</x:f>
      </x:c>
      <x:c r="S49" s="7" t="str">
        <x:f>IF(OR($D49="",S$5="",'상세일정'!AM49="제외"),"",IF($D49=$E49,IF(AND($D49&gt;=S$5,$D49&lt;S$5+7),"◆",""),IF(AND($D49&lt;S$5+7,$E49&gt;S$5),"■","")))</x:f>
      </x:c>
      <x:c r="T49" s="7" t="str">
        <x:f>IF(OR($D49="",T$5="",'상세일정'!AM49="제외"),"",IF($D49=$E49,IF(AND($D49&gt;=T$5,$D49&lt;T$5+7),"◆",""),IF(AND($D49&lt;T$5+7,$E49&gt;T$5),"■","")))</x:f>
      </x:c>
      <x:c r="U49" s="7" t="str">
        <x:f>IF(OR($D49="",U$5="",'상세일정'!AM49="제외"),"",IF($D49=$E49,IF(AND($D49&gt;=U$5,$D49&lt;U$5+7),"◆",""),IF(AND($D49&lt;U$5+7,$E49&gt;U$5),"■","")))</x:f>
      </x:c>
      <x:c r="V49" s="7" t="str">
        <x:f>IF(OR($D49="",V$5="",'상세일정'!AM49="제외"),"",IF($D49=$E49,IF(AND($D49&gt;=V$5,$D49&lt;V$5+7),"◆",""),IF(AND($D49&lt;V$5+7,$E49&gt;V$5),"■","")))</x:f>
      </x:c>
      <x:c r="W49" s="7" t="str">
        <x:f>IF(OR($D49="",W$5="",'상세일정'!AM49="제외"),"",IF($D49=$E49,IF(AND($D49&gt;=W$5,$D49&lt;W$5+7),"◆",""),IF(AND($D49&lt;W$5+7,$E49&gt;W$5),"■","")))</x:f>
      </x:c>
      <x:c r="X49" s="7" t="str">
        <x:f>IF(OR($D49="",X$5="",'상세일정'!AM49="제외"),"",IF($D49=$E49,IF(AND($D49&gt;=X$5,$D49&lt;X$5+7),"◆",""),IF(AND($D49&lt;X$5+7,$E49&gt;X$5),"■","")))</x:f>
      </x:c>
      <x:c r="Y49" s="7" t="str">
        <x:f>IF(OR($D49="",Y$5="",'상세일정'!AM49="제외"),"",IF($D49=$E49,IF(AND($D49&gt;=Y$5,$D49&lt;Y$5+7),"◆",""),IF(AND($D49&lt;Y$5+7,$E49&gt;Y$5),"■","")))</x:f>
      </x:c>
      <x:c r="Z49" s="7" t="str">
        <x:f>IF(OR($D49="",Z$5="",'상세일정'!AM49="제외"),"",IF($D49=$E49,IF(AND($D49&gt;=Z$5,$D49&lt;Z$5+7),"◆",""),IF(AND($D49&lt;Z$5+7,$E49&gt;Z$5),"■","")))</x:f>
      </x:c>
      <x:c r="AA49" s="7" t="str">
        <x:f>IF(OR($D49="",AA$5="",'상세일정'!AM49="제외"),"",IF($D49=$E49,IF(AND($D49&gt;=AA$5,$D49&lt;AA$5+7),"◆",""),IF(AND($D49&lt;AA$5+7,$E49&gt;AA$5),"■","")))</x:f>
      </x:c>
      <x:c r="AB49" s="7" t="str">
        <x:f>IF(OR($D49="",AB$5="",'상세일정'!AM49="제외"),"",IF($D49=$E49,IF(AND($D49&gt;=AB$5,$D49&lt;AB$5+7),"◆",""),IF(AND($D49&lt;AB$5+7,$E49&gt;AB$5),"■","")))</x:f>
      </x:c>
      <x:c r="AC49" s="7" t="str">
        <x:f>IF(OR($D49="",AC$5="",'상세일정'!AM49="제외"),"",IF($D49=$E49,IF(AND($D49&gt;=AC$5,$D49&lt;AC$5+7),"◆",""),IF(AND($D49&lt;AC$5+7,$E49&gt;AC$5),"■","")))</x:f>
      </x:c>
      <x:c r="AD49" s="7" t="str">
        <x:f>IF(OR($D49="",AD$5="",'상세일정'!AM49="제외"),"",IF($D49=$E49,IF(AND($D49&gt;=AD$5,$D49&lt;AD$5+7),"◆",""),IF(AND($D49&lt;AD$5+7,$E49&gt;AD$5),"■","")))</x:f>
      </x:c>
      <x:c r="AE49" s="7" t="str">
        <x:f>IF(OR($D49="",AE$5="",'상세일정'!AM49="제외"),"",IF($D49=$E49,IF(AND($D49&gt;=AE$5,$D49&lt;AE$5+7),"◆",""),IF(AND($D49&lt;AE$5+7,$E49&gt;AE$5),"■","")))</x:f>
      </x:c>
      <x:c r="AF49" s="7" t="str">
        <x:f>IF(OR($D49="",AF$5="",'상세일정'!AM49="제외"),"",IF($D49=$E49,IF(AND($D49&gt;=AF$5,$D49&lt;AF$5+7),"◆",""),IF(AND($D49&lt;AF$5+7,$E49&gt;AF$5),"■","")))</x:f>
      </x:c>
      <x:c r="AG49" s="7" t="str">
        <x:f>IF(OR($D49="",AG$5="",'상세일정'!AM49="제외"),"",IF($D49=$E49,IF(AND($D49&gt;=AG$5,$D49&lt;AG$5+7),"◆",""),IF(AND($D49&lt;AG$5+7,$E49&gt;AG$5),"■","")))</x:f>
      </x:c>
      <x:c r="AH49" s="7" t="str">
        <x:f>IF(OR($D49="",AH$5="",'상세일정'!AM49="제외"),"",IF($D49=$E49,IF(AND($D49&gt;=AH$5,$D49&lt;AH$5+7),"◆",""),IF(AND($D49&lt;AH$5+7,$E49&gt;AH$5),"■","")))</x:f>
      </x:c>
      <x:c r="AI49" s="7" t="str">
        <x:f>IF(OR($D49="",AI$5="",'상세일정'!AM49="제외"),"",IF($D49=$E49,IF(AND($D49&gt;=AI$5,$D49&lt;AI$5+7),"◆",""),IF(AND($D49&lt;AI$5+7,$E49&gt;AI$5),"■","")))</x:f>
      </x:c>
      <x:c r="AJ49" s="7" t="str">
        <x:f>IF(OR($D49="",AJ$5="",'상세일정'!AM49="제외"),"",IF($D49=$E49,IF(AND($D49&gt;=AJ$5,$D49&lt;AJ$5+7),"◆",""),IF(AND($D49&lt;AJ$5+7,$E49&gt;AJ$5),"■","")))</x:f>
      </x:c>
      <x:c r="AK49" s="7" t="str">
        <x:f>IF(OR($D49="",AK$5="",'상세일정'!AM49="제외"),"",IF($D49=$E49,IF(AND($D49&gt;=AK$5,$D49&lt;AK$5+7),"◆",""),IF(AND($D49&lt;AK$5+7,$E49&gt;AK$5),"■","")))</x:f>
      </x:c>
      <x:c r="AL49" s="7" t="str">
        <x:f>IF(OR($D49="",AL$5="",'상세일정'!AM49="제외"),"",IF($D49=$E49,IF(AND($D49&gt;=AL$5,$D49&lt;AL$5+7),"◆",""),IF(AND($D49&lt;AL$5+7,$E49&gt;AL$5),"■","")))</x:f>
      </x:c>
      <x:c r="AM49" s="7" t="str">
        <x:f>IF(OR($D49="",AM$5="",'상세일정'!AM49="제외"),"",IF($D49=$E49,IF(AND($D49&gt;=AM$5,$D49&lt;AM$5+7),"◆",""),IF(AND($D49&lt;AM$5+7,$E49&gt;AM$5),"■","")))</x:f>
      </x:c>
      <x:c r="AN49" s="7" t="str">
        <x:f>IF(OR($D49="",AN$5="",'상세일정'!AM49="제외"),"",IF($D49=$E49,IF(AND($D49&gt;=AN$5,$D49&lt;AN$5+7),"◆",""),IF(AND($D49&lt;AN$5+7,$E49&gt;AN$5),"■","")))</x:f>
      </x:c>
      <x:c r="AO49" s="7" t="str">
        <x:f>IF(OR($D49="",AO$5="",'상세일정'!AM49="제외"),"",IF($D49=$E49,IF(AND($D49&gt;=AO$5,$D49&lt;AO$5+7),"◆",""),IF(AND($D49&lt;AO$5+7,$E49&gt;AO$5),"■","")))</x:f>
      </x:c>
      <x:c r="AP49" s="7" t="str">
        <x:f>IF(OR($D49="",AP$5="",'상세일정'!AM49="제외"),"",IF($D49=$E49,IF(AND($D49&gt;=AP$5,$D49&lt;AP$5+7),"◆",""),IF(AND($D49&lt;AP$5+7,$E49&gt;AP$5),"■","")))</x:f>
      </x:c>
      <x:c r="AQ49" s="7" t="str">
        <x:f>IF(OR($D49="",AQ$5="",'상세일정'!AM49="제외"),"",IF($D49=$E49,IF(AND($D49&gt;=AQ$5,$D49&lt;AQ$5+7),"◆",""),IF(AND($D49&lt;AQ$5+7,$E49&gt;AQ$5),"■","")))</x:f>
      </x:c>
      <x:c r="AR49" s="7" t="str">
        <x:f>IF(OR($D49="",AR$5="",'상세일정'!AM49="제외"),"",IF($D49=$E49,IF(AND($D49&gt;=AR$5,$D49&lt;AR$5+7),"◆",""),IF(AND($D49&lt;AR$5+7,$E49&gt;AR$5),"■","")))</x:f>
      </x:c>
      <x:c r="AS49" s="7" t="str">
        <x:f>IF(OR($D49="",AS$5="",'상세일정'!AM49="제외"),"",IF($D49=$E49,IF(AND($D49&gt;=AS$5,$D49&lt;AS$5+7),"◆",""),IF(AND($D49&lt;AS$5+7,$E49&gt;AS$5),"■","")))</x:f>
      </x:c>
      <x:c r="AT49" s="7" t="str">
        <x:f>IF(OR($D49="",AT$5="",'상세일정'!AM49="제외"),"",IF($D49=$E49,IF(AND($D49&gt;=AT$5,$D49&lt;AT$5+7),"◆",""),IF(AND($D49&lt;AT$5+7,$E49&gt;AT$5),"■","")))</x:f>
      </x:c>
      <x:c r="AU49" s="7" t="str">
        <x:f>IF(OR($D49="",AU$5="",'상세일정'!AM49="제외"),"",IF($D49=$E49,IF(AND($D49&gt;=AU$5,$D49&lt;AU$5+7),"◆",""),IF(AND($D49&lt;AU$5+7,$E49&gt;AU$5),"■","")))</x:f>
      </x:c>
      <x:c r="AV49" s="7" t="str">
        <x:f>IF(OR($D49="",AV$5="",'상세일정'!AM49="제외"),"",IF($D49=$E49,IF(AND($D49&gt;=AV$5,$D49&lt;AV$5+7),"◆",""),IF(AND($D49&lt;AV$5+7,$E49&gt;AV$5),"■","")))</x:f>
      </x:c>
      <x:c r="AW49" s="7" t="str">
        <x:f>IF(OR($D49="",AW$5="",'상세일정'!AM49="제외"),"",IF($D49=$E49,IF(AND($D49&gt;=AW$5,$D49&lt;AW$5+7),"◆",""),IF(AND($D49&lt;AW$5+7,$E49&gt;AW$5),"■","")))</x:f>
      </x:c>
      <x:c r="AX49" s="7" t="str">
        <x:f>IF(OR($D49="",AX$5="",'상세일정'!AM49="제외"),"",IF($D49=$E49,IF(AND($D49&gt;=AX$5,$D49&lt;AX$5+7),"◆",""),IF(AND($D49&lt;AX$5+7,$E49&gt;AX$5),"■","")))</x:f>
      </x:c>
      <x:c r="AY49" s="7" t="str">
        <x:f>IF(OR($D49="",AY$5="",'상세일정'!AM49="제외"),"",IF($D49=$E49,IF(AND($D49&gt;=AY$5,$D49&lt;AY$5+7),"◆",""),IF(AND($D49&lt;AY$5+7,$E49&gt;AY$5),"■","")))</x:f>
      </x:c>
      <x:c r="AZ49" s="7" t="str">
        <x:f>IF(OR($D49="",AZ$5="",'상세일정'!AM49="제외"),"",IF($D49=$E49,IF(AND($D49&gt;=AZ$5,$D49&lt;AZ$5+7),"◆",""),IF(AND($D49&lt;AZ$5+7,$E49&gt;AZ$5),"■","")))</x:f>
      </x:c>
      <x:c r="BA49" s="7" t="str">
        <x:f>IF(OR($D49="",BA$5="",'상세일정'!AM49="제외"),"",IF($D49=$E49,IF(AND($D49&gt;=BA$5,$D49&lt;BA$5+7),"◆",""),IF(AND($D49&lt;BA$5+7,$E49&gt;BA$5),"■","")))</x:f>
      </x:c>
      <x:c r="BB49" s="7" t="str">
        <x:f>IF(OR($D49="",BB$5="",'상세일정'!AM49="제외"),"",IF($D49=$E49,IF(AND($D49&gt;=BB$5,$D49&lt;BB$5+7),"◆",""),IF(AND($D49&lt;BB$5+7,$E49&gt;BB$5),"■","")))</x:f>
      </x:c>
      <x:c r="BC49" s="7" t="str">
        <x:f>IF(OR($D49="",BC$5="",'상세일정'!AM49="제외"),"",IF($D49=$E49,IF(AND($D49&gt;=BC$5,$D49&lt;BC$5+7),"◆",""),IF(AND($D49&lt;BC$5+7,$E49&gt;BC$5),"■","")))</x:f>
      </x:c>
      <x:c r="BD49" s="7" t="str">
        <x:f>IF(OR($D49="",BD$5="",'상세일정'!AM49="제외"),"",IF($D49=$E49,IF(AND($D49&gt;=BD$5,$D49&lt;BD$5+7),"◆",""),IF(AND($D49&lt;BD$5+7,$E49&gt;BD$5),"■","")))</x:f>
      </x:c>
      <x:c r="BE49" s="7" t="str">
        <x:f>IF(OR($D49="",BE$5="",'상세일정'!AM49="제외"),"",IF($D49=$E49,IF(AND($D49&gt;=BE$5,$D49&lt;BE$5+7),"◆",""),IF(AND($D49&lt;BE$5+7,$E49&gt;BE$5),"■","")))</x:f>
      </x:c>
      <x:c r="BF49" s="7" t="str">
        <x:f>IF(OR($D49="",BF$5="",'상세일정'!AM49="제외"),"",IF($D49=$E49,IF(AND($D49&gt;=BF$5,$D49&lt;BF$5+7),"◆",""),IF(AND($D49&lt;BF$5+7,$E49&gt;BF$5),"■","")))</x:f>
      </x:c>
      <x:c r="BG49" s="7" t="str">
        <x:f>IF(OR($D49="",BG$5="",'상세일정'!AM49="제외"),"",IF($D49=$E49,IF(AND($D49&gt;=BG$5,$D49&lt;BG$5+7),"◆",""),IF(AND($D49&lt;BG$5+7,$E49&gt;BG$5),"■","")))</x:f>
      </x:c>
      <x:c r="BH49" s="7" t="str">
        <x:f>IF(OR($D49="",BH$5="",'상세일정'!AM49="제외"),"",IF($D49=$E49,IF(AND($D49&gt;=BH$5,$D49&lt;BH$5+7),"◆",""),IF(AND($D49&lt;BH$5+7,$E49&gt;BH$5),"■","")))</x:f>
      </x:c>
      <x:c r="BI49" s="7" t="str">
        <x:f>IF(OR($D49="",BI$5="",'상세일정'!AM49="제외"),"",IF($D49=$E49,IF(AND($D49&gt;=BI$5,$D49&lt;BI$5+7),"◆",""),IF(AND($D49&lt;BI$5+7,$E49&gt;BI$5),"■","")))</x:f>
      </x:c>
      <x:c r="BJ49" s="7" t="str">
        <x:f>IF(OR($D49="",BJ$5="",'상세일정'!AM49="제외"),"",IF($D49=$E49,IF(AND($D49&gt;=BJ$5,$D49&lt;BJ$5+7),"◆",""),IF(AND($D49&lt;BJ$5+7,$E49&gt;BJ$5),"■","")))</x:f>
      </x:c>
      <x:c r="BK49" s="7" t="str">
        <x:f>IF(OR($D49="",BK$5="",'상세일정'!AM49="제외"),"",IF($D49=$E49,IF(AND($D49&gt;=BK$5,$D49&lt;BK$5+7),"◆",""),IF(AND($D49&lt;BK$5+7,$E49&gt;BK$5),"■","")))</x:f>
      </x:c>
      <x:c r="BL49" s="7" t="str">
        <x:f>IF(OR($D49="",BL$5="",'상세일정'!AM49="제외"),"",IF($D49=$E49,IF(AND($D49&gt;=BL$5,$D49&lt;BL$5+7),"◆",""),IF(AND($D49&lt;BL$5+7,$E49&gt;BL$5),"■","")))</x:f>
      </x:c>
      <x:c r="BM49" s="7" t="str">
        <x:f>IF(OR($D49="",BM$5="",'상세일정'!AM49="제외"),"",IF($D49=$E49,IF(AND($D49&gt;=BM$5,$D49&lt;BM$5+7),"◆",""),IF(AND($D49&lt;BM$5+7,$E49&gt;BM$5),"■","")))</x:f>
      </x:c>
      <x:c r="BN49" s="7" t="str">
        <x:f>IF(OR($D49="",BN$5="",'상세일정'!AM49="제외"),"",IF($D49=$E49,IF(AND($D49&gt;=BN$5,$D49&lt;BN$5+7),"◆",""),IF(AND($D49&lt;BN$5+7,$E49&gt;BN$5),"■","")))</x:f>
      </x:c>
      <x:c r="BO49" s="7" t="str">
        <x:f>IF(OR($D49="",BO$5="",'상세일정'!AM49="제외"),"",IF($D49=$E49,IF(AND($D49&gt;=BO$5,$D49&lt;BO$5+7),"◆",""),IF(AND($D49&lt;BO$5+7,$E49&gt;BO$5),"■","")))</x:f>
      </x:c>
      <x:c r="BP49" s="7" t="str">
        <x:f>IF(OR($D49="",BP$5="",'상세일정'!AM49="제외"),"",IF($D49=$E49,IF(AND($D49&gt;=BP$5,$D49&lt;BP$5+7),"◆",""),IF(AND($D49&lt;BP$5+7,$E49&gt;BP$5),"■","")))</x:f>
      </x:c>
      <x:c r="BQ49" s="7" t="str">
        <x:f>IF(OR($D49="",BQ$5="",'상세일정'!AM49="제외"),"",IF($D49=$E49,IF(AND($D49&gt;=BQ$5,$D49&lt;BQ$5+7),"◆",""),IF(AND($D49&lt;BQ$5+7,$E49&gt;BQ$5),"■","")))</x:f>
      </x:c>
      <x:c r="BR49" s="7" t="str">
        <x:f>IF(OR($D49="",BR$5="",'상세일정'!AM49="제외"),"",IF($D49=$E49,IF(AND($D49&gt;=BR$5,$D49&lt;BR$5+7),"◆",""),IF(AND($D49&lt;BR$5+7,$E49&gt;BR$5),"■","")))</x:f>
      </x:c>
      <x:c r="BS49" s="7" t="str">
        <x:f>IF(OR($D49="",BS$5="",'상세일정'!AM49="제외"),"",IF($D49=$E49,IF(AND($D49&gt;=BS$5,$D49&lt;BS$5+7),"◆",""),IF(AND($D49&lt;BS$5+7,$E49&gt;BS$5),"■","")))</x:f>
      </x:c>
      <x:c r="BT49" s="7" t="str">
        <x:f>IF(OR($D49="",BT$5="",'상세일정'!AM49="제외"),"",IF($D49=$E49,IF(AND($D49&gt;=BT$5,$D49&lt;BT$5+7),"◆",""),IF(AND($D49&lt;BT$5+7,$E49&gt;BT$5),"■","")))</x:f>
      </x:c>
      <x:c r="BU49" s="7" t="str">
        <x:f>IF(OR($D49="",BU$5="",'상세일정'!AM49="제외"),"",IF($D49=$E49,IF(AND($D49&gt;=BU$5,$D49&lt;BU$5+7),"◆",""),IF(AND($D49&lt;BU$5+7,$E49&gt;BU$5),"■","")))</x:f>
      </x:c>
      <x:c r="BV49" s="7" t="str">
        <x:f>IF(OR($D49="",BV$5="",'상세일정'!AM49="제외"),"",IF($D49=$E49,IF(AND($D49&gt;=BV$5,$D49&lt;BV$5+7),"◆",""),IF(AND($D49&lt;BV$5+7,$E49&gt;BV$5),"■","")))</x:f>
      </x:c>
      <x:c r="BW49" s="7" t="str">
        <x:f>IF(OR($D49="",BW$5="",'상세일정'!AM49="제외"),"",IF($D49=$E49,IF(AND($D49&gt;=BW$5,$D49&lt;BW$5+7),"◆",""),IF(AND($D49&lt;BW$5+7,$E49&gt;BW$5),"■","")))</x:f>
      </x:c>
      <x:c r="BX49" s="7" t="str">
        <x:f>IF(OR($D49="",BX$5="",'상세일정'!AM49="제외"),"",IF($D49=$E49,IF(AND($D49&gt;=BX$5,$D49&lt;BX$5+7),"◆",""),IF(AND($D49&lt;BX$5+7,$E49&gt;BX$5),"■","")))</x:f>
      </x:c>
      <x:c r="BY49" s="7" t="str">
        <x:f>IF(OR($D49="",BY$5="",'상세일정'!AM49="제외"),"",IF($D49=$E49,IF(AND($D49&gt;=BY$5,$D49&lt;BY$5+7),"◆",""),IF(AND($D49&lt;BY$5+7,$E49&gt;BY$5),"■","")))</x:f>
      </x:c>
      <x:c r="BZ49" s="7" t="str">
        <x:f>IF(OR($D49="",BZ$5="",'상세일정'!AM49="제외"),"",IF($D49=$E49,IF(AND($D49&gt;=BZ$5,$D49&lt;BZ$5+7),"◆",""),IF(AND($D49&lt;BZ$5+7,$E49&gt;BZ$5),"■","")))</x:f>
      </x:c>
      <x:c r="CA49" s="7" t="str">
        <x:f>IF(OR($D49="",CA$5="",'상세일정'!AM49="제외"),"",IF($D49=$E49,IF(AND($D49&gt;=CA$5,$D49&lt;CA$5+7),"◆",""),IF(AND($D49&lt;CA$5+7,$E49&gt;CA$5),"■","")))</x:f>
      </x:c>
      <x:c r="CB49" s="7" t="str">
        <x:f>IF(OR($D49="",CB$5="",'상세일정'!AM49="제외"),"",IF($D49=$E49,IF(AND($D49&gt;=CB$5,$D49&lt;CB$5+7),"◆",""),IF(AND($D49&lt;CB$5+7,$E49&gt;CB$5),"■","")))</x:f>
      </x:c>
      <x:c r="CC49" s="7" t="str">
        <x:f>IF(OR($D49="",CC$5="",'상세일정'!AM49="제외"),"",IF($D49=$E49,IF(AND($D49&gt;=CC$5,$D49&lt;CC$5+7),"◆",""),IF(AND($D49&lt;CC$5+7,$E49&gt;CC$5),"■","")))</x:f>
      </x:c>
      <x:c r="CD49" s="7" t="str">
        <x:f>IF(OR($D49="",CD$5="",'상세일정'!AM49="제외"),"",IF($D49=$E49,IF(AND($D49&gt;=CD$5,$D49&lt;CD$5+7),"◆",""),IF(AND($D49&lt;CD$5+7,$E49&gt;CD$5),"■","")))</x:f>
      </x:c>
      <x:c r="CE49" s="7" t="str">
        <x:f>IF(OR($D49="",CE$5="",'상세일정'!AM49="제외"),"",IF($D49=$E49,IF(AND($D49&gt;=CE$5,$D49&lt;CE$5+7),"◆",""),IF(AND($D49&lt;CE$5+7,$E49&gt;CE$5),"■","")))</x:f>
      </x:c>
      <x:c r="CF49" s="7" t="str">
        <x:f>IF(OR($D49="",CF$5="",'상세일정'!AM49="제외"),"",IF($D49=$E49,IF(AND($D49&gt;=CF$5,$D49&lt;CF$5+7),"◆",""),IF(AND($D49&lt;CF$5+7,$E49&gt;CF$5),"■","")))</x:f>
      </x:c>
      <x:c r="CG49" s="7" t="str">
        <x:f>IF(OR($D49="",CG$5="",'상세일정'!AM49="제외"),"",IF($D49=$E49,IF(AND($D49&gt;=CG$5,$D49&lt;CG$5+7),"◆",""),IF(AND($D49&lt;CG$5+7,$E49&gt;CG$5),"■","")))</x:f>
      </x:c>
      <x:c r="CH49" s="7" t="str">
        <x:f>IF(OR($D49="",CH$5="",'상세일정'!AM49="제외"),"",IF($D49=$E49,IF(AND($D49&gt;=CH$5,$D49&lt;CH$5+7),"◆",""),IF(AND($D49&lt;CH$5+7,$E49&gt;CH$5),"■","")))</x:f>
      </x:c>
      <x:c r="CI49" s="7" t="str">
        <x:f>IF(OR($D49="",CI$5="",'상세일정'!AM49="제외"),"",IF($D49=$E49,IF(AND($D49&gt;=CI$5,$D49&lt;CI$5+7),"◆",""),IF(AND($D49&lt;CI$5+7,$E49&gt;CI$5),"■","")))</x:f>
      </x:c>
      <x:c r="CJ49" s="7" t="str">
        <x:f>IF(OR($D49="",CJ$5="",'상세일정'!AM49="제외"),"",IF($D49=$E49,IF(AND($D49&gt;=CJ$5,$D49&lt;CJ$5+7),"◆",""),IF(AND($D49&lt;CJ$5+7,$E49&gt;CJ$5),"■","")))</x:f>
      </x:c>
      <x:c r="CK49" s="7" t="str">
        <x:f>IF(OR($D49="",CK$5="",'상세일정'!AM49="제외"),"",IF($D49=$E49,IF(AND($D49&gt;=CK$5,$D49&lt;CK$5+7),"◆",""),IF(AND($D49&lt;CK$5+7,$E49&gt;CK$5),"■","")))</x:f>
      </x:c>
      <x:c r="CL49" s="7" t="str">
        <x:f>IF(OR($D49="",CL$5="",'상세일정'!AM49="제외"),"",IF($D49=$E49,IF(AND($D49&gt;=CL$5,$D49&lt;CL$5+7),"◆",""),IF(AND($D49&lt;CL$5+7,$E49&gt;CL$5),"■","")))</x:f>
      </x:c>
      <x:c r="CM49" s="7" t="str">
        <x:f>IF(OR($D49="",CM$5="",'상세일정'!AM49="제외"),"",IF($D49=$E49,IF(AND($D49&gt;=CM$5,$D49&lt;CM$5+7),"◆",""),IF(AND($D49&lt;CM$5+7,$E49&gt;CM$5),"■","")))</x:f>
      </x:c>
      <x:c r="CN49" s="7" t="str">
        <x:f>IF(OR($D49="",CN$5="",'상세일정'!AM49="제외"),"",IF($D49=$E49,IF(AND($D49&gt;=CN$5,$D49&lt;CN$5+7),"◆",""),IF(AND($D49&lt;CN$5+7,$E49&gt;CN$5),"■","")))</x:f>
      </x:c>
      <x:c r="CO49" s="7" t="str">
        <x:f>IF(OR($D49="",CO$5="",'상세일정'!AM49="제외"),"",IF($D49=$E49,IF(AND($D49&gt;=CO$5,$D49&lt;CO$5+7),"◆",""),IF(AND($D49&lt;CO$5+7,$E49&gt;CO$5),"■","")))</x:f>
      </x:c>
      <x:c r="CP49" s="7" t="str">
        <x:f>IF(OR($D49="",CP$5="",'상세일정'!AM49="제외"),"",IF($D49=$E49,IF(AND($D49&gt;=CP$5,$D49&lt;CP$5+7),"◆",""),IF(AND($D49&lt;CP$5+7,$E49&gt;CP$5),"■","")))</x:f>
      </x:c>
      <x:c r="CQ49" s="7" t="str">
        <x:f>IF(OR($D49="",CQ$5="",'상세일정'!AM49="제외"),"",IF($D49=$E49,IF(AND($D49&gt;=CQ$5,$D49&lt;CQ$5+7),"◆",""),IF(AND($D49&lt;CQ$5+7,$E49&gt;CQ$5),"■","")))</x:f>
      </x:c>
      <x:c r="CR49" s="7" t="str">
        <x:f>IF(OR($D49="",CR$5="",'상세일정'!AM49="제외"),"",IF($D49=$E49,IF(AND($D49&gt;=CR$5,$D49&lt;CR$5+7),"◆",""),IF(AND($D49&lt;CR$5+7,$E49&gt;CR$5),"■","")))</x:f>
      </x:c>
      <x:c r="CS49" s="7" t="str">
        <x:f>IF(OR($D49="",CS$5="",'상세일정'!AM49="제외"),"",IF($D49=$E49,IF(AND($D49&gt;=CS$5,$D49&lt;CS$5+7),"◆",""),IF(AND($D49&lt;CS$5+7,$E49&gt;CS$5),"■","")))</x:f>
      </x:c>
      <x:c r="CT49" s="7" t="str">
        <x:f>IF(OR($D49="",CT$5="",'상세일정'!AM49="제외"),"",IF($D49=$E49,IF(AND($D49&gt;=CT$5,$D49&lt;CT$5+7),"◆",""),IF(AND($D49&lt;CT$5+7,$E49&gt;CT$5),"■","")))</x:f>
      </x:c>
      <x:c r="CU49" s="7" t="str">
        <x:f>IF(OR($D49="",CU$5="",'상세일정'!AM49="제외"),"",IF($D49=$E49,IF(AND($D49&gt;=CU$5,$D49&lt;CU$5+7),"◆",""),IF(AND($D49&lt;CU$5+7,$E49&gt;CU$5),"■","")))</x:f>
      </x:c>
      <x:c r="CV49" s="7" t="str">
        <x:f>IF(OR($D49="",CV$5="",'상세일정'!AM49="제외"),"",IF($D49=$E49,IF(AND($D49&gt;=CV$5,$D49&lt;CV$5+7),"◆",""),IF(AND($D49&lt;CV$5+7,$E49&gt;CV$5),"■","")))</x:f>
      </x:c>
      <x:c r="CW49" s="7" t="str">
        <x:f>IF(OR($D49="",CW$5="",'상세일정'!AM49="제외"),"",IF($D49=$E49,IF(AND($D49&gt;=CW$5,$D49&lt;CW$5+7),"◆",""),IF(AND($D49&lt;CW$5+7,$E49&gt;CW$5),"■","")))</x:f>
      </x:c>
      <x:c r="CX49" s="7" t="str">
        <x:f>IF(OR($D49="",CX$5="",'상세일정'!AM49="제외"),"",IF($D49=$E49,IF(AND($D49&gt;=CX$5,$D49&lt;CX$5+7),"◆",""),IF(AND($D49&lt;CX$5+7,$E49&gt;CX$5),"■","")))</x:f>
      </x:c>
      <x:c r="CY49" s="7" t="str">
        <x:f>IF(OR($D49="",CY$5="",'상세일정'!AM49="제외"),"",IF($D49=$E49,IF(AND($D49&gt;=CY$5,$D49&lt;CY$5+7),"◆",""),IF(AND($D49&lt;CY$5+7,$E49&gt;CY$5),"■","")))</x:f>
      </x:c>
      <x:c r="CZ49" s="7" t="str">
        <x:f>IF(OR($D49="",CZ$5="",'상세일정'!AM49="제외"),"",IF($D49=$E49,IF(AND($D49&gt;=CZ$5,$D49&lt;CZ$5+7),"◆",""),IF(AND($D49&lt;CZ$5+7,$E49&gt;CZ$5),"■","")))</x:f>
      </x:c>
      <x:c r="DA49" s="7" t="str">
        <x:f>IF(OR($D49="",DA$5="",'상세일정'!AM49="제외"),"",IF($D49=$E49,IF(AND($D49&gt;=DA$5,$D49&lt;DA$5+7),"◆",""),IF(AND($D49&lt;DA$5+7,$E49&gt;DA$5),"■","")))</x:f>
      </x:c>
      <x:c r="DB49" s="7" t="str">
        <x:f>IF(OR($D49="",DB$5="",'상세일정'!AM49="제외"),"",IF($D49=$E49,IF(AND($D49&gt;=DB$5,$D49&lt;DB$5+7),"◆",""),IF(AND($D49&lt;DB$5+7,$E49&gt;DB$5),"■","")))</x:f>
      </x:c>
      <x:c r="DC49" s="7" t="str">
        <x:f>IF(OR($D49="",DC$5="",'상세일정'!AM49="제외"),"",IF($D49=$E49,IF(AND($D49&gt;=DC$5,$D49&lt;DC$5+7),"◆",""),IF(AND($D49&lt;DC$5+7,$E49&gt;DC$5),"■","")))</x:f>
      </x:c>
      <x:c r="DD49" s="7" t="str">
        <x:f>IF(OR($D49="",DD$5="",'상세일정'!AM49="제외"),"",IF($D49=$E49,IF(AND($D49&gt;=DD$5,$D49&lt;DD$5+7),"◆",""),IF(AND($D49&lt;DD$5+7,$E49&gt;DD$5),"■","")))</x:f>
      </x:c>
      <x:c r="DE49" s="7" t="str">
        <x:f>IF(OR($D49="",DE$5="",'상세일정'!AM49="제외"),"",IF($D49=$E49,IF(AND($D49&gt;=DE$5,$D49&lt;DE$5+7),"◆",""),IF(AND($D49&lt;DE$5+7,$E49&gt;DE$5),"■","")))</x:f>
      </x:c>
    </x:row>
    <x:row r="50" ht="34" customHeight="1">
      <x:c r="A50" s="7" t="str">
        <x:v>EL05</x:v>
      </x:c>
      <x:c r="B50" s="7" t="str">
        <x:v>08 전기·통신·소방 설계</x:v>
      </x:c>
      <x:c r="C50" s="7" t="str">
        <x:v>전력·조명·접지·피뢰 상세도 작성</x:v>
      </x:c>
      <x:c r="D50" s="10" t="str">
        <x:f>'상세일정'!AJ50</x:f>
      </x:c>
      <x:c r="E50" s="10" t="str">
        <x:f>'상세일정'!AK50</x:f>
      </x:c>
      <x:c r="F50" s="7" t="str">
        <x:f>IF(OR($D50="",F$5="",'상세일정'!AM50="제외"),"",IF($D50=$E50,IF(AND($D50&gt;=F$5,$D50&lt;F$5+7),"◆",""),IF(AND($D50&lt;F$5+7,$E50&gt;F$5),"■","")))</x:f>
      </x:c>
      <x:c r="G50" s="7" t="str">
        <x:f>IF(OR($D50="",G$5="",'상세일정'!AM50="제외"),"",IF($D50=$E50,IF(AND($D50&gt;=G$5,$D50&lt;G$5+7),"◆",""),IF(AND($D50&lt;G$5+7,$E50&gt;G$5),"■","")))</x:f>
      </x:c>
      <x:c r="H50" s="7" t="str">
        <x:f>IF(OR($D50="",H$5="",'상세일정'!AM50="제외"),"",IF($D50=$E50,IF(AND($D50&gt;=H$5,$D50&lt;H$5+7),"◆",""),IF(AND($D50&lt;H$5+7,$E50&gt;H$5),"■","")))</x:f>
      </x:c>
      <x:c r="I50" s="7" t="str">
        <x:f>IF(OR($D50="",I$5="",'상세일정'!AM50="제외"),"",IF($D50=$E50,IF(AND($D50&gt;=I$5,$D50&lt;I$5+7),"◆",""),IF(AND($D50&lt;I$5+7,$E50&gt;I$5),"■","")))</x:f>
      </x:c>
      <x:c r="J50" s="7" t="str">
        <x:f>IF(OR($D50="",J$5="",'상세일정'!AM50="제외"),"",IF($D50=$E50,IF(AND($D50&gt;=J$5,$D50&lt;J$5+7),"◆",""),IF(AND($D50&lt;J$5+7,$E50&gt;J$5),"■","")))</x:f>
      </x:c>
      <x:c r="K50" s="7" t="str">
        <x:f>IF(OR($D50="",K$5="",'상세일정'!AM50="제외"),"",IF($D50=$E50,IF(AND($D50&gt;=K$5,$D50&lt;K$5+7),"◆",""),IF(AND($D50&lt;K$5+7,$E50&gt;K$5),"■","")))</x:f>
      </x:c>
      <x:c r="L50" s="7" t="str">
        <x:f>IF(OR($D50="",L$5="",'상세일정'!AM50="제외"),"",IF($D50=$E50,IF(AND($D50&gt;=L$5,$D50&lt;L$5+7),"◆",""),IF(AND($D50&lt;L$5+7,$E50&gt;L$5),"■","")))</x:f>
      </x:c>
      <x:c r="M50" s="7" t="str">
        <x:f>IF(OR($D50="",M$5="",'상세일정'!AM50="제외"),"",IF($D50=$E50,IF(AND($D50&gt;=M$5,$D50&lt;M$5+7),"◆",""),IF(AND($D50&lt;M$5+7,$E50&gt;M$5),"■","")))</x:f>
      </x:c>
      <x:c r="N50" s="7" t="str">
        <x:f>IF(OR($D50="",N$5="",'상세일정'!AM50="제외"),"",IF($D50=$E50,IF(AND($D50&gt;=N$5,$D50&lt;N$5+7),"◆",""),IF(AND($D50&lt;N$5+7,$E50&gt;N$5),"■","")))</x:f>
      </x:c>
      <x:c r="O50" s="7" t="str">
        <x:f>IF(OR($D50="",O$5="",'상세일정'!AM50="제외"),"",IF($D50=$E50,IF(AND($D50&gt;=O$5,$D50&lt;O$5+7),"◆",""),IF(AND($D50&lt;O$5+7,$E50&gt;O$5),"■","")))</x:f>
      </x:c>
      <x:c r="P50" s="7" t="str">
        <x:f>IF(OR($D50="",P$5="",'상세일정'!AM50="제외"),"",IF($D50=$E50,IF(AND($D50&gt;=P$5,$D50&lt;P$5+7),"◆",""),IF(AND($D50&lt;P$5+7,$E50&gt;P$5),"■","")))</x:f>
      </x:c>
      <x:c r="Q50" s="7" t="str">
        <x:f>IF(OR($D50="",Q$5="",'상세일정'!AM50="제외"),"",IF($D50=$E50,IF(AND($D50&gt;=Q$5,$D50&lt;Q$5+7),"◆",""),IF(AND($D50&lt;Q$5+7,$E50&gt;Q$5),"■","")))</x:f>
      </x:c>
      <x:c r="R50" s="7" t="str">
        <x:f>IF(OR($D50="",R$5="",'상세일정'!AM50="제외"),"",IF($D50=$E50,IF(AND($D50&gt;=R$5,$D50&lt;R$5+7),"◆",""),IF(AND($D50&lt;R$5+7,$E50&gt;R$5),"■","")))</x:f>
      </x:c>
      <x:c r="S50" s="7" t="str">
        <x:f>IF(OR($D50="",S$5="",'상세일정'!AM50="제외"),"",IF($D50=$E50,IF(AND($D50&gt;=S$5,$D50&lt;S$5+7),"◆",""),IF(AND($D50&lt;S$5+7,$E50&gt;S$5),"■","")))</x:f>
      </x:c>
      <x:c r="T50" s="7" t="str">
        <x:f>IF(OR($D50="",T$5="",'상세일정'!AM50="제외"),"",IF($D50=$E50,IF(AND($D50&gt;=T$5,$D50&lt;T$5+7),"◆",""),IF(AND($D50&lt;T$5+7,$E50&gt;T$5),"■","")))</x:f>
      </x:c>
      <x:c r="U50" s="7" t="str">
        <x:f>IF(OR($D50="",U$5="",'상세일정'!AM50="제외"),"",IF($D50=$E50,IF(AND($D50&gt;=U$5,$D50&lt;U$5+7),"◆",""),IF(AND($D50&lt;U$5+7,$E50&gt;U$5),"■","")))</x:f>
      </x:c>
      <x:c r="V50" s="7" t="str">
        <x:f>IF(OR($D50="",V$5="",'상세일정'!AM50="제외"),"",IF($D50=$E50,IF(AND($D50&gt;=V$5,$D50&lt;V$5+7),"◆",""),IF(AND($D50&lt;V$5+7,$E50&gt;V$5),"■","")))</x:f>
      </x:c>
      <x:c r="W50" s="7" t="str">
        <x:f>IF(OR($D50="",W$5="",'상세일정'!AM50="제외"),"",IF($D50=$E50,IF(AND($D50&gt;=W$5,$D50&lt;W$5+7),"◆",""),IF(AND($D50&lt;W$5+7,$E50&gt;W$5),"■","")))</x:f>
      </x:c>
      <x:c r="X50" s="7" t="str">
        <x:f>IF(OR($D50="",X$5="",'상세일정'!AM50="제외"),"",IF($D50=$E50,IF(AND($D50&gt;=X$5,$D50&lt;X$5+7),"◆",""),IF(AND($D50&lt;X$5+7,$E50&gt;X$5),"■","")))</x:f>
      </x:c>
      <x:c r="Y50" s="7" t="str">
        <x:f>IF(OR($D50="",Y$5="",'상세일정'!AM50="제외"),"",IF($D50=$E50,IF(AND($D50&gt;=Y$5,$D50&lt;Y$5+7),"◆",""),IF(AND($D50&lt;Y$5+7,$E50&gt;Y$5),"■","")))</x:f>
      </x:c>
      <x:c r="Z50" s="7" t="str">
        <x:f>IF(OR($D50="",Z$5="",'상세일정'!AM50="제외"),"",IF($D50=$E50,IF(AND($D50&gt;=Z$5,$D50&lt;Z$5+7),"◆",""),IF(AND($D50&lt;Z$5+7,$E50&gt;Z$5),"■","")))</x:f>
      </x:c>
      <x:c r="AA50" s="7" t="str">
        <x:f>IF(OR($D50="",AA$5="",'상세일정'!AM50="제외"),"",IF($D50=$E50,IF(AND($D50&gt;=AA$5,$D50&lt;AA$5+7),"◆",""),IF(AND($D50&lt;AA$5+7,$E50&gt;AA$5),"■","")))</x:f>
      </x:c>
      <x:c r="AB50" s="7" t="str">
        <x:f>IF(OR($D50="",AB$5="",'상세일정'!AM50="제외"),"",IF($D50=$E50,IF(AND($D50&gt;=AB$5,$D50&lt;AB$5+7),"◆",""),IF(AND($D50&lt;AB$5+7,$E50&gt;AB$5),"■","")))</x:f>
      </x:c>
      <x:c r="AC50" s="7" t="str">
        <x:f>IF(OR($D50="",AC$5="",'상세일정'!AM50="제외"),"",IF($D50=$E50,IF(AND($D50&gt;=AC$5,$D50&lt;AC$5+7),"◆",""),IF(AND($D50&lt;AC$5+7,$E50&gt;AC$5),"■","")))</x:f>
      </x:c>
      <x:c r="AD50" s="7" t="str">
        <x:f>IF(OR($D50="",AD$5="",'상세일정'!AM50="제외"),"",IF($D50=$E50,IF(AND($D50&gt;=AD$5,$D50&lt;AD$5+7),"◆",""),IF(AND($D50&lt;AD$5+7,$E50&gt;AD$5),"■","")))</x:f>
      </x:c>
      <x:c r="AE50" s="7" t="str">
        <x:f>IF(OR($D50="",AE$5="",'상세일정'!AM50="제외"),"",IF($D50=$E50,IF(AND($D50&gt;=AE$5,$D50&lt;AE$5+7),"◆",""),IF(AND($D50&lt;AE$5+7,$E50&gt;AE$5),"■","")))</x:f>
      </x:c>
      <x:c r="AF50" s="7" t="str">
        <x:f>IF(OR($D50="",AF$5="",'상세일정'!AM50="제외"),"",IF($D50=$E50,IF(AND($D50&gt;=AF$5,$D50&lt;AF$5+7),"◆",""),IF(AND($D50&lt;AF$5+7,$E50&gt;AF$5),"■","")))</x:f>
      </x:c>
      <x:c r="AG50" s="7" t="str">
        <x:f>IF(OR($D50="",AG$5="",'상세일정'!AM50="제외"),"",IF($D50=$E50,IF(AND($D50&gt;=AG$5,$D50&lt;AG$5+7),"◆",""),IF(AND($D50&lt;AG$5+7,$E50&gt;AG$5),"■","")))</x:f>
      </x:c>
      <x:c r="AH50" s="7" t="str">
        <x:f>IF(OR($D50="",AH$5="",'상세일정'!AM50="제외"),"",IF($D50=$E50,IF(AND($D50&gt;=AH$5,$D50&lt;AH$5+7),"◆",""),IF(AND($D50&lt;AH$5+7,$E50&gt;AH$5),"■","")))</x:f>
      </x:c>
      <x:c r="AI50" s="7" t="str">
        <x:f>IF(OR($D50="",AI$5="",'상세일정'!AM50="제외"),"",IF($D50=$E50,IF(AND($D50&gt;=AI$5,$D50&lt;AI$5+7),"◆",""),IF(AND($D50&lt;AI$5+7,$E50&gt;AI$5),"■","")))</x:f>
      </x:c>
      <x:c r="AJ50" s="7" t="str">
        <x:f>IF(OR($D50="",AJ$5="",'상세일정'!AM50="제외"),"",IF($D50=$E50,IF(AND($D50&gt;=AJ$5,$D50&lt;AJ$5+7),"◆",""),IF(AND($D50&lt;AJ$5+7,$E50&gt;AJ$5),"■","")))</x:f>
      </x:c>
      <x:c r="AK50" s="7" t="str">
        <x:f>IF(OR($D50="",AK$5="",'상세일정'!AM50="제외"),"",IF($D50=$E50,IF(AND($D50&gt;=AK$5,$D50&lt;AK$5+7),"◆",""),IF(AND($D50&lt;AK$5+7,$E50&gt;AK$5),"■","")))</x:f>
      </x:c>
      <x:c r="AL50" s="7" t="str">
        <x:f>IF(OR($D50="",AL$5="",'상세일정'!AM50="제외"),"",IF($D50=$E50,IF(AND($D50&gt;=AL$5,$D50&lt;AL$5+7),"◆",""),IF(AND($D50&lt;AL$5+7,$E50&gt;AL$5),"■","")))</x:f>
      </x:c>
      <x:c r="AM50" s="7" t="str">
        <x:f>IF(OR($D50="",AM$5="",'상세일정'!AM50="제외"),"",IF($D50=$E50,IF(AND($D50&gt;=AM$5,$D50&lt;AM$5+7),"◆",""),IF(AND($D50&lt;AM$5+7,$E50&gt;AM$5),"■","")))</x:f>
      </x:c>
      <x:c r="AN50" s="7" t="str">
        <x:f>IF(OR($D50="",AN$5="",'상세일정'!AM50="제외"),"",IF($D50=$E50,IF(AND($D50&gt;=AN$5,$D50&lt;AN$5+7),"◆",""),IF(AND($D50&lt;AN$5+7,$E50&gt;AN$5),"■","")))</x:f>
      </x:c>
      <x:c r="AO50" s="7" t="str">
        <x:f>IF(OR($D50="",AO$5="",'상세일정'!AM50="제외"),"",IF($D50=$E50,IF(AND($D50&gt;=AO$5,$D50&lt;AO$5+7),"◆",""),IF(AND($D50&lt;AO$5+7,$E50&gt;AO$5),"■","")))</x:f>
      </x:c>
      <x:c r="AP50" s="7" t="str">
        <x:f>IF(OR($D50="",AP$5="",'상세일정'!AM50="제외"),"",IF($D50=$E50,IF(AND($D50&gt;=AP$5,$D50&lt;AP$5+7),"◆",""),IF(AND($D50&lt;AP$5+7,$E50&gt;AP$5),"■","")))</x:f>
      </x:c>
      <x:c r="AQ50" s="7" t="str">
        <x:f>IF(OR($D50="",AQ$5="",'상세일정'!AM50="제외"),"",IF($D50=$E50,IF(AND($D50&gt;=AQ$5,$D50&lt;AQ$5+7),"◆",""),IF(AND($D50&lt;AQ$5+7,$E50&gt;AQ$5),"■","")))</x:f>
      </x:c>
      <x:c r="AR50" s="7" t="str">
        <x:f>IF(OR($D50="",AR$5="",'상세일정'!AM50="제외"),"",IF($D50=$E50,IF(AND($D50&gt;=AR$5,$D50&lt;AR$5+7),"◆",""),IF(AND($D50&lt;AR$5+7,$E50&gt;AR$5),"■","")))</x:f>
      </x:c>
      <x:c r="AS50" s="7" t="str">
        <x:f>IF(OR($D50="",AS$5="",'상세일정'!AM50="제외"),"",IF($D50=$E50,IF(AND($D50&gt;=AS$5,$D50&lt;AS$5+7),"◆",""),IF(AND($D50&lt;AS$5+7,$E50&gt;AS$5),"■","")))</x:f>
      </x:c>
      <x:c r="AT50" s="7" t="str">
        <x:f>IF(OR($D50="",AT$5="",'상세일정'!AM50="제외"),"",IF($D50=$E50,IF(AND($D50&gt;=AT$5,$D50&lt;AT$5+7),"◆",""),IF(AND($D50&lt;AT$5+7,$E50&gt;AT$5),"■","")))</x:f>
      </x:c>
      <x:c r="AU50" s="7" t="str">
        <x:f>IF(OR($D50="",AU$5="",'상세일정'!AM50="제외"),"",IF($D50=$E50,IF(AND($D50&gt;=AU$5,$D50&lt;AU$5+7),"◆",""),IF(AND($D50&lt;AU$5+7,$E50&gt;AU$5),"■","")))</x:f>
      </x:c>
      <x:c r="AV50" s="7" t="str">
        <x:f>IF(OR($D50="",AV$5="",'상세일정'!AM50="제외"),"",IF($D50=$E50,IF(AND($D50&gt;=AV$5,$D50&lt;AV$5+7),"◆",""),IF(AND($D50&lt;AV$5+7,$E50&gt;AV$5),"■","")))</x:f>
      </x:c>
      <x:c r="AW50" s="7" t="str">
        <x:f>IF(OR($D50="",AW$5="",'상세일정'!AM50="제외"),"",IF($D50=$E50,IF(AND($D50&gt;=AW$5,$D50&lt;AW$5+7),"◆",""),IF(AND($D50&lt;AW$5+7,$E50&gt;AW$5),"■","")))</x:f>
      </x:c>
      <x:c r="AX50" s="7" t="str">
        <x:f>IF(OR($D50="",AX$5="",'상세일정'!AM50="제외"),"",IF($D50=$E50,IF(AND($D50&gt;=AX$5,$D50&lt;AX$5+7),"◆",""),IF(AND($D50&lt;AX$5+7,$E50&gt;AX$5),"■","")))</x:f>
      </x:c>
      <x:c r="AY50" s="7" t="str">
        <x:f>IF(OR($D50="",AY$5="",'상세일정'!AM50="제외"),"",IF($D50=$E50,IF(AND($D50&gt;=AY$5,$D50&lt;AY$5+7),"◆",""),IF(AND($D50&lt;AY$5+7,$E50&gt;AY$5),"■","")))</x:f>
      </x:c>
      <x:c r="AZ50" s="7" t="str">
        <x:f>IF(OR($D50="",AZ$5="",'상세일정'!AM50="제외"),"",IF($D50=$E50,IF(AND($D50&gt;=AZ$5,$D50&lt;AZ$5+7),"◆",""),IF(AND($D50&lt;AZ$5+7,$E50&gt;AZ$5),"■","")))</x:f>
      </x:c>
      <x:c r="BA50" s="7" t="str">
        <x:f>IF(OR($D50="",BA$5="",'상세일정'!AM50="제외"),"",IF($D50=$E50,IF(AND($D50&gt;=BA$5,$D50&lt;BA$5+7),"◆",""),IF(AND($D50&lt;BA$5+7,$E50&gt;BA$5),"■","")))</x:f>
      </x:c>
      <x:c r="BB50" s="7" t="str">
        <x:f>IF(OR($D50="",BB$5="",'상세일정'!AM50="제외"),"",IF($D50=$E50,IF(AND($D50&gt;=BB$5,$D50&lt;BB$5+7),"◆",""),IF(AND($D50&lt;BB$5+7,$E50&gt;BB$5),"■","")))</x:f>
      </x:c>
      <x:c r="BC50" s="7" t="str">
        <x:f>IF(OR($D50="",BC$5="",'상세일정'!AM50="제외"),"",IF($D50=$E50,IF(AND($D50&gt;=BC$5,$D50&lt;BC$5+7),"◆",""),IF(AND($D50&lt;BC$5+7,$E50&gt;BC$5),"■","")))</x:f>
      </x:c>
      <x:c r="BD50" s="7" t="str">
        <x:f>IF(OR($D50="",BD$5="",'상세일정'!AM50="제외"),"",IF($D50=$E50,IF(AND($D50&gt;=BD$5,$D50&lt;BD$5+7),"◆",""),IF(AND($D50&lt;BD$5+7,$E50&gt;BD$5),"■","")))</x:f>
      </x:c>
      <x:c r="BE50" s="7" t="str">
        <x:f>IF(OR($D50="",BE$5="",'상세일정'!AM50="제외"),"",IF($D50=$E50,IF(AND($D50&gt;=BE$5,$D50&lt;BE$5+7),"◆",""),IF(AND($D50&lt;BE$5+7,$E50&gt;BE$5),"■","")))</x:f>
      </x:c>
      <x:c r="BF50" s="7" t="str">
        <x:f>IF(OR($D50="",BF$5="",'상세일정'!AM50="제외"),"",IF($D50=$E50,IF(AND($D50&gt;=BF$5,$D50&lt;BF$5+7),"◆",""),IF(AND($D50&lt;BF$5+7,$E50&gt;BF$5),"■","")))</x:f>
      </x:c>
      <x:c r="BG50" s="7" t="str">
        <x:f>IF(OR($D50="",BG$5="",'상세일정'!AM50="제외"),"",IF($D50=$E50,IF(AND($D50&gt;=BG$5,$D50&lt;BG$5+7),"◆",""),IF(AND($D50&lt;BG$5+7,$E50&gt;BG$5),"■","")))</x:f>
      </x:c>
      <x:c r="BH50" s="7" t="str">
        <x:f>IF(OR($D50="",BH$5="",'상세일정'!AM50="제외"),"",IF($D50=$E50,IF(AND($D50&gt;=BH$5,$D50&lt;BH$5+7),"◆",""),IF(AND($D50&lt;BH$5+7,$E50&gt;BH$5),"■","")))</x:f>
      </x:c>
      <x:c r="BI50" s="7" t="str">
        <x:f>IF(OR($D50="",BI$5="",'상세일정'!AM50="제외"),"",IF($D50=$E50,IF(AND($D50&gt;=BI$5,$D50&lt;BI$5+7),"◆",""),IF(AND($D50&lt;BI$5+7,$E50&gt;BI$5),"■","")))</x:f>
      </x:c>
      <x:c r="BJ50" s="7" t="str">
        <x:f>IF(OR($D50="",BJ$5="",'상세일정'!AM50="제외"),"",IF($D50=$E50,IF(AND($D50&gt;=BJ$5,$D50&lt;BJ$5+7),"◆",""),IF(AND($D50&lt;BJ$5+7,$E50&gt;BJ$5),"■","")))</x:f>
      </x:c>
      <x:c r="BK50" s="7" t="str">
        <x:f>IF(OR($D50="",BK$5="",'상세일정'!AM50="제외"),"",IF($D50=$E50,IF(AND($D50&gt;=BK$5,$D50&lt;BK$5+7),"◆",""),IF(AND($D50&lt;BK$5+7,$E50&gt;BK$5),"■","")))</x:f>
      </x:c>
      <x:c r="BL50" s="7" t="str">
        <x:f>IF(OR($D50="",BL$5="",'상세일정'!AM50="제외"),"",IF($D50=$E50,IF(AND($D50&gt;=BL$5,$D50&lt;BL$5+7),"◆",""),IF(AND($D50&lt;BL$5+7,$E50&gt;BL$5),"■","")))</x:f>
      </x:c>
      <x:c r="BM50" s="7" t="str">
        <x:f>IF(OR($D50="",BM$5="",'상세일정'!AM50="제외"),"",IF($D50=$E50,IF(AND($D50&gt;=BM$5,$D50&lt;BM$5+7),"◆",""),IF(AND($D50&lt;BM$5+7,$E50&gt;BM$5),"■","")))</x:f>
      </x:c>
      <x:c r="BN50" s="7" t="str">
        <x:f>IF(OR($D50="",BN$5="",'상세일정'!AM50="제외"),"",IF($D50=$E50,IF(AND($D50&gt;=BN$5,$D50&lt;BN$5+7),"◆",""),IF(AND($D50&lt;BN$5+7,$E50&gt;BN$5),"■","")))</x:f>
      </x:c>
      <x:c r="BO50" s="7" t="str">
        <x:f>IF(OR($D50="",BO$5="",'상세일정'!AM50="제외"),"",IF($D50=$E50,IF(AND($D50&gt;=BO$5,$D50&lt;BO$5+7),"◆",""),IF(AND($D50&lt;BO$5+7,$E50&gt;BO$5),"■","")))</x:f>
      </x:c>
      <x:c r="BP50" s="7" t="str">
        <x:f>IF(OR($D50="",BP$5="",'상세일정'!AM50="제외"),"",IF($D50=$E50,IF(AND($D50&gt;=BP$5,$D50&lt;BP$5+7),"◆",""),IF(AND($D50&lt;BP$5+7,$E50&gt;BP$5),"■","")))</x:f>
      </x:c>
      <x:c r="BQ50" s="7" t="str">
        <x:f>IF(OR($D50="",BQ$5="",'상세일정'!AM50="제외"),"",IF($D50=$E50,IF(AND($D50&gt;=BQ$5,$D50&lt;BQ$5+7),"◆",""),IF(AND($D50&lt;BQ$5+7,$E50&gt;BQ$5),"■","")))</x:f>
      </x:c>
      <x:c r="BR50" s="7" t="str">
        <x:f>IF(OR($D50="",BR$5="",'상세일정'!AM50="제외"),"",IF($D50=$E50,IF(AND($D50&gt;=BR$5,$D50&lt;BR$5+7),"◆",""),IF(AND($D50&lt;BR$5+7,$E50&gt;BR$5),"■","")))</x:f>
      </x:c>
      <x:c r="BS50" s="7" t="str">
        <x:f>IF(OR($D50="",BS$5="",'상세일정'!AM50="제외"),"",IF($D50=$E50,IF(AND($D50&gt;=BS$5,$D50&lt;BS$5+7),"◆",""),IF(AND($D50&lt;BS$5+7,$E50&gt;BS$5),"■","")))</x:f>
      </x:c>
      <x:c r="BT50" s="7" t="str">
        <x:f>IF(OR($D50="",BT$5="",'상세일정'!AM50="제외"),"",IF($D50=$E50,IF(AND($D50&gt;=BT$5,$D50&lt;BT$5+7),"◆",""),IF(AND($D50&lt;BT$5+7,$E50&gt;BT$5),"■","")))</x:f>
      </x:c>
      <x:c r="BU50" s="7" t="str">
        <x:f>IF(OR($D50="",BU$5="",'상세일정'!AM50="제외"),"",IF($D50=$E50,IF(AND($D50&gt;=BU$5,$D50&lt;BU$5+7),"◆",""),IF(AND($D50&lt;BU$5+7,$E50&gt;BU$5),"■","")))</x:f>
      </x:c>
      <x:c r="BV50" s="7" t="str">
        <x:f>IF(OR($D50="",BV$5="",'상세일정'!AM50="제외"),"",IF($D50=$E50,IF(AND($D50&gt;=BV$5,$D50&lt;BV$5+7),"◆",""),IF(AND($D50&lt;BV$5+7,$E50&gt;BV$5),"■","")))</x:f>
      </x:c>
      <x:c r="BW50" s="7" t="str">
        <x:f>IF(OR($D50="",BW$5="",'상세일정'!AM50="제외"),"",IF($D50=$E50,IF(AND($D50&gt;=BW$5,$D50&lt;BW$5+7),"◆",""),IF(AND($D50&lt;BW$5+7,$E50&gt;BW$5),"■","")))</x:f>
      </x:c>
      <x:c r="BX50" s="7" t="str">
        <x:f>IF(OR($D50="",BX$5="",'상세일정'!AM50="제외"),"",IF($D50=$E50,IF(AND($D50&gt;=BX$5,$D50&lt;BX$5+7),"◆",""),IF(AND($D50&lt;BX$5+7,$E50&gt;BX$5),"■","")))</x:f>
      </x:c>
      <x:c r="BY50" s="7" t="str">
        <x:f>IF(OR($D50="",BY$5="",'상세일정'!AM50="제외"),"",IF($D50=$E50,IF(AND($D50&gt;=BY$5,$D50&lt;BY$5+7),"◆",""),IF(AND($D50&lt;BY$5+7,$E50&gt;BY$5),"■","")))</x:f>
      </x:c>
      <x:c r="BZ50" s="7" t="str">
        <x:f>IF(OR($D50="",BZ$5="",'상세일정'!AM50="제외"),"",IF($D50=$E50,IF(AND($D50&gt;=BZ$5,$D50&lt;BZ$5+7),"◆",""),IF(AND($D50&lt;BZ$5+7,$E50&gt;BZ$5),"■","")))</x:f>
      </x:c>
      <x:c r="CA50" s="7" t="str">
        <x:f>IF(OR($D50="",CA$5="",'상세일정'!AM50="제외"),"",IF($D50=$E50,IF(AND($D50&gt;=CA$5,$D50&lt;CA$5+7),"◆",""),IF(AND($D50&lt;CA$5+7,$E50&gt;CA$5),"■","")))</x:f>
      </x:c>
      <x:c r="CB50" s="7" t="str">
        <x:f>IF(OR($D50="",CB$5="",'상세일정'!AM50="제외"),"",IF($D50=$E50,IF(AND($D50&gt;=CB$5,$D50&lt;CB$5+7),"◆",""),IF(AND($D50&lt;CB$5+7,$E50&gt;CB$5),"■","")))</x:f>
      </x:c>
      <x:c r="CC50" s="7" t="str">
        <x:f>IF(OR($D50="",CC$5="",'상세일정'!AM50="제외"),"",IF($D50=$E50,IF(AND($D50&gt;=CC$5,$D50&lt;CC$5+7),"◆",""),IF(AND($D50&lt;CC$5+7,$E50&gt;CC$5),"■","")))</x:f>
      </x:c>
      <x:c r="CD50" s="7" t="str">
        <x:f>IF(OR($D50="",CD$5="",'상세일정'!AM50="제외"),"",IF($D50=$E50,IF(AND($D50&gt;=CD$5,$D50&lt;CD$5+7),"◆",""),IF(AND($D50&lt;CD$5+7,$E50&gt;CD$5),"■","")))</x:f>
      </x:c>
      <x:c r="CE50" s="7" t="str">
        <x:f>IF(OR($D50="",CE$5="",'상세일정'!AM50="제외"),"",IF($D50=$E50,IF(AND($D50&gt;=CE$5,$D50&lt;CE$5+7),"◆",""),IF(AND($D50&lt;CE$5+7,$E50&gt;CE$5),"■","")))</x:f>
      </x:c>
      <x:c r="CF50" s="7" t="str">
        <x:f>IF(OR($D50="",CF$5="",'상세일정'!AM50="제외"),"",IF($D50=$E50,IF(AND($D50&gt;=CF$5,$D50&lt;CF$5+7),"◆",""),IF(AND($D50&lt;CF$5+7,$E50&gt;CF$5),"■","")))</x:f>
      </x:c>
      <x:c r="CG50" s="7" t="str">
        <x:f>IF(OR($D50="",CG$5="",'상세일정'!AM50="제외"),"",IF($D50=$E50,IF(AND($D50&gt;=CG$5,$D50&lt;CG$5+7),"◆",""),IF(AND($D50&lt;CG$5+7,$E50&gt;CG$5),"■","")))</x:f>
      </x:c>
      <x:c r="CH50" s="7" t="str">
        <x:f>IF(OR($D50="",CH$5="",'상세일정'!AM50="제외"),"",IF($D50=$E50,IF(AND($D50&gt;=CH$5,$D50&lt;CH$5+7),"◆",""),IF(AND($D50&lt;CH$5+7,$E50&gt;CH$5),"■","")))</x:f>
      </x:c>
      <x:c r="CI50" s="7" t="str">
        <x:f>IF(OR($D50="",CI$5="",'상세일정'!AM50="제외"),"",IF($D50=$E50,IF(AND($D50&gt;=CI$5,$D50&lt;CI$5+7),"◆",""),IF(AND($D50&lt;CI$5+7,$E50&gt;CI$5),"■","")))</x:f>
      </x:c>
      <x:c r="CJ50" s="7" t="str">
        <x:f>IF(OR($D50="",CJ$5="",'상세일정'!AM50="제외"),"",IF($D50=$E50,IF(AND($D50&gt;=CJ$5,$D50&lt;CJ$5+7),"◆",""),IF(AND($D50&lt;CJ$5+7,$E50&gt;CJ$5),"■","")))</x:f>
      </x:c>
      <x:c r="CK50" s="7" t="str">
        <x:f>IF(OR($D50="",CK$5="",'상세일정'!AM50="제외"),"",IF($D50=$E50,IF(AND($D50&gt;=CK$5,$D50&lt;CK$5+7),"◆",""),IF(AND($D50&lt;CK$5+7,$E50&gt;CK$5),"■","")))</x:f>
      </x:c>
      <x:c r="CL50" s="7" t="str">
        <x:f>IF(OR($D50="",CL$5="",'상세일정'!AM50="제외"),"",IF($D50=$E50,IF(AND($D50&gt;=CL$5,$D50&lt;CL$5+7),"◆",""),IF(AND($D50&lt;CL$5+7,$E50&gt;CL$5),"■","")))</x:f>
      </x:c>
      <x:c r="CM50" s="7" t="str">
        <x:f>IF(OR($D50="",CM$5="",'상세일정'!AM50="제외"),"",IF($D50=$E50,IF(AND($D50&gt;=CM$5,$D50&lt;CM$5+7),"◆",""),IF(AND($D50&lt;CM$5+7,$E50&gt;CM$5),"■","")))</x:f>
      </x:c>
      <x:c r="CN50" s="7" t="str">
        <x:f>IF(OR($D50="",CN$5="",'상세일정'!AM50="제외"),"",IF($D50=$E50,IF(AND($D50&gt;=CN$5,$D50&lt;CN$5+7),"◆",""),IF(AND($D50&lt;CN$5+7,$E50&gt;CN$5),"■","")))</x:f>
      </x:c>
      <x:c r="CO50" s="7" t="str">
        <x:f>IF(OR($D50="",CO$5="",'상세일정'!AM50="제외"),"",IF($D50=$E50,IF(AND($D50&gt;=CO$5,$D50&lt;CO$5+7),"◆",""),IF(AND($D50&lt;CO$5+7,$E50&gt;CO$5),"■","")))</x:f>
      </x:c>
      <x:c r="CP50" s="7" t="str">
        <x:f>IF(OR($D50="",CP$5="",'상세일정'!AM50="제외"),"",IF($D50=$E50,IF(AND($D50&gt;=CP$5,$D50&lt;CP$5+7),"◆",""),IF(AND($D50&lt;CP$5+7,$E50&gt;CP$5),"■","")))</x:f>
      </x:c>
      <x:c r="CQ50" s="7" t="str">
        <x:f>IF(OR($D50="",CQ$5="",'상세일정'!AM50="제외"),"",IF($D50=$E50,IF(AND($D50&gt;=CQ$5,$D50&lt;CQ$5+7),"◆",""),IF(AND($D50&lt;CQ$5+7,$E50&gt;CQ$5),"■","")))</x:f>
      </x:c>
      <x:c r="CR50" s="7" t="str">
        <x:f>IF(OR($D50="",CR$5="",'상세일정'!AM50="제외"),"",IF($D50=$E50,IF(AND($D50&gt;=CR$5,$D50&lt;CR$5+7),"◆",""),IF(AND($D50&lt;CR$5+7,$E50&gt;CR$5),"■","")))</x:f>
      </x:c>
      <x:c r="CS50" s="7" t="str">
        <x:f>IF(OR($D50="",CS$5="",'상세일정'!AM50="제외"),"",IF($D50=$E50,IF(AND($D50&gt;=CS$5,$D50&lt;CS$5+7),"◆",""),IF(AND($D50&lt;CS$5+7,$E50&gt;CS$5),"■","")))</x:f>
      </x:c>
      <x:c r="CT50" s="7" t="str">
        <x:f>IF(OR($D50="",CT$5="",'상세일정'!AM50="제외"),"",IF($D50=$E50,IF(AND($D50&gt;=CT$5,$D50&lt;CT$5+7),"◆",""),IF(AND($D50&lt;CT$5+7,$E50&gt;CT$5),"■","")))</x:f>
      </x:c>
      <x:c r="CU50" s="7" t="str">
        <x:f>IF(OR($D50="",CU$5="",'상세일정'!AM50="제외"),"",IF($D50=$E50,IF(AND($D50&gt;=CU$5,$D50&lt;CU$5+7),"◆",""),IF(AND($D50&lt;CU$5+7,$E50&gt;CU$5),"■","")))</x:f>
      </x:c>
      <x:c r="CV50" s="7" t="str">
        <x:f>IF(OR($D50="",CV$5="",'상세일정'!AM50="제외"),"",IF($D50=$E50,IF(AND($D50&gt;=CV$5,$D50&lt;CV$5+7),"◆",""),IF(AND($D50&lt;CV$5+7,$E50&gt;CV$5),"■","")))</x:f>
      </x:c>
      <x:c r="CW50" s="7" t="str">
        <x:f>IF(OR($D50="",CW$5="",'상세일정'!AM50="제외"),"",IF($D50=$E50,IF(AND($D50&gt;=CW$5,$D50&lt;CW$5+7),"◆",""),IF(AND($D50&lt;CW$5+7,$E50&gt;CW$5),"■","")))</x:f>
      </x:c>
      <x:c r="CX50" s="7" t="str">
        <x:f>IF(OR($D50="",CX$5="",'상세일정'!AM50="제외"),"",IF($D50=$E50,IF(AND($D50&gt;=CX$5,$D50&lt;CX$5+7),"◆",""),IF(AND($D50&lt;CX$5+7,$E50&gt;CX$5),"■","")))</x:f>
      </x:c>
      <x:c r="CY50" s="7" t="str">
        <x:f>IF(OR($D50="",CY$5="",'상세일정'!AM50="제외"),"",IF($D50=$E50,IF(AND($D50&gt;=CY$5,$D50&lt;CY$5+7),"◆",""),IF(AND($D50&lt;CY$5+7,$E50&gt;CY$5),"■","")))</x:f>
      </x:c>
      <x:c r="CZ50" s="7" t="str">
        <x:f>IF(OR($D50="",CZ$5="",'상세일정'!AM50="제외"),"",IF($D50=$E50,IF(AND($D50&gt;=CZ$5,$D50&lt;CZ$5+7),"◆",""),IF(AND($D50&lt;CZ$5+7,$E50&gt;CZ$5),"■","")))</x:f>
      </x:c>
      <x:c r="DA50" s="7" t="str">
        <x:f>IF(OR($D50="",DA$5="",'상세일정'!AM50="제외"),"",IF($D50=$E50,IF(AND($D50&gt;=DA$5,$D50&lt;DA$5+7),"◆",""),IF(AND($D50&lt;DA$5+7,$E50&gt;DA$5),"■","")))</x:f>
      </x:c>
      <x:c r="DB50" s="7" t="str">
        <x:f>IF(OR($D50="",DB$5="",'상세일정'!AM50="제외"),"",IF($D50=$E50,IF(AND($D50&gt;=DB$5,$D50&lt;DB$5+7),"◆",""),IF(AND($D50&lt;DB$5+7,$E50&gt;DB$5),"■","")))</x:f>
      </x:c>
      <x:c r="DC50" s="7" t="str">
        <x:f>IF(OR($D50="",DC$5="",'상세일정'!AM50="제외"),"",IF($D50=$E50,IF(AND($D50&gt;=DC$5,$D50&lt;DC$5+7),"◆",""),IF(AND($D50&lt;DC$5+7,$E50&gt;DC$5),"■","")))</x:f>
      </x:c>
      <x:c r="DD50" s="7" t="str">
        <x:f>IF(OR($D50="",DD$5="",'상세일정'!AM50="제외"),"",IF($D50=$E50,IF(AND($D50&gt;=DD$5,$D50&lt;DD$5+7),"◆",""),IF(AND($D50&lt;DD$5+7,$E50&gt;DD$5),"■","")))</x:f>
      </x:c>
      <x:c r="DE50" s="7" t="str">
        <x:f>IF(OR($D50="",DE$5="",'상세일정'!AM50="제외"),"",IF($D50=$E50,IF(AND($D50&gt;=DE$5,$D50&lt;DE$5+7),"◆",""),IF(AND($D50&lt;DE$5+7,$E50&gt;DE$5),"■","")))</x:f>
      </x:c>
    </x:row>
    <x:row r="51" ht="34" customHeight="1">
      <x:c r="A51" s="7" t="str">
        <x:v>EL06</x:v>
      </x:c>
      <x:c r="B51" s="7" t="str">
        <x:v>08 전기·통신·소방 설계</x:v>
      </x:c>
      <x:c r="C51" s="7" t="str">
        <x:v>통신·소방 설계도 및 관계기관 의견 반영</x:v>
      </x:c>
      <x:c r="D51" s="10" t="str">
        <x:f>'상세일정'!AJ51</x:f>
      </x:c>
      <x:c r="E51" s="10" t="str">
        <x:f>'상세일정'!AK51</x:f>
      </x:c>
      <x:c r="F51" s="7" t="str">
        <x:f>IF(OR($D51="",F$5="",'상세일정'!AM51="제외"),"",IF($D51=$E51,IF(AND($D51&gt;=F$5,$D51&lt;F$5+7),"◆",""),IF(AND($D51&lt;F$5+7,$E51&gt;F$5),"■","")))</x:f>
      </x:c>
      <x:c r="G51" s="7" t="str">
        <x:f>IF(OR($D51="",G$5="",'상세일정'!AM51="제외"),"",IF($D51=$E51,IF(AND($D51&gt;=G$5,$D51&lt;G$5+7),"◆",""),IF(AND($D51&lt;G$5+7,$E51&gt;G$5),"■","")))</x:f>
      </x:c>
      <x:c r="H51" s="7" t="str">
        <x:f>IF(OR($D51="",H$5="",'상세일정'!AM51="제외"),"",IF($D51=$E51,IF(AND($D51&gt;=H$5,$D51&lt;H$5+7),"◆",""),IF(AND($D51&lt;H$5+7,$E51&gt;H$5),"■","")))</x:f>
      </x:c>
      <x:c r="I51" s="7" t="str">
        <x:f>IF(OR($D51="",I$5="",'상세일정'!AM51="제외"),"",IF($D51=$E51,IF(AND($D51&gt;=I$5,$D51&lt;I$5+7),"◆",""),IF(AND($D51&lt;I$5+7,$E51&gt;I$5),"■","")))</x:f>
      </x:c>
      <x:c r="J51" s="7" t="str">
        <x:f>IF(OR($D51="",J$5="",'상세일정'!AM51="제외"),"",IF($D51=$E51,IF(AND($D51&gt;=J$5,$D51&lt;J$5+7),"◆",""),IF(AND($D51&lt;J$5+7,$E51&gt;J$5),"■","")))</x:f>
      </x:c>
      <x:c r="K51" s="7" t="str">
        <x:f>IF(OR($D51="",K$5="",'상세일정'!AM51="제외"),"",IF($D51=$E51,IF(AND($D51&gt;=K$5,$D51&lt;K$5+7),"◆",""),IF(AND($D51&lt;K$5+7,$E51&gt;K$5),"■","")))</x:f>
      </x:c>
      <x:c r="L51" s="7" t="str">
        <x:f>IF(OR($D51="",L$5="",'상세일정'!AM51="제외"),"",IF($D51=$E51,IF(AND($D51&gt;=L$5,$D51&lt;L$5+7),"◆",""),IF(AND($D51&lt;L$5+7,$E51&gt;L$5),"■","")))</x:f>
      </x:c>
      <x:c r="M51" s="7" t="str">
        <x:f>IF(OR($D51="",M$5="",'상세일정'!AM51="제외"),"",IF($D51=$E51,IF(AND($D51&gt;=M$5,$D51&lt;M$5+7),"◆",""),IF(AND($D51&lt;M$5+7,$E51&gt;M$5),"■","")))</x:f>
      </x:c>
      <x:c r="N51" s="7" t="str">
        <x:f>IF(OR($D51="",N$5="",'상세일정'!AM51="제외"),"",IF($D51=$E51,IF(AND($D51&gt;=N$5,$D51&lt;N$5+7),"◆",""),IF(AND($D51&lt;N$5+7,$E51&gt;N$5),"■","")))</x:f>
      </x:c>
      <x:c r="O51" s="7" t="str">
        <x:f>IF(OR($D51="",O$5="",'상세일정'!AM51="제외"),"",IF($D51=$E51,IF(AND($D51&gt;=O$5,$D51&lt;O$5+7),"◆",""),IF(AND($D51&lt;O$5+7,$E51&gt;O$5),"■","")))</x:f>
      </x:c>
      <x:c r="P51" s="7" t="str">
        <x:f>IF(OR($D51="",P$5="",'상세일정'!AM51="제외"),"",IF($D51=$E51,IF(AND($D51&gt;=P$5,$D51&lt;P$5+7),"◆",""),IF(AND($D51&lt;P$5+7,$E51&gt;P$5),"■","")))</x:f>
      </x:c>
      <x:c r="Q51" s="7" t="str">
        <x:f>IF(OR($D51="",Q$5="",'상세일정'!AM51="제외"),"",IF($D51=$E51,IF(AND($D51&gt;=Q$5,$D51&lt;Q$5+7),"◆",""),IF(AND($D51&lt;Q$5+7,$E51&gt;Q$5),"■","")))</x:f>
      </x:c>
      <x:c r="R51" s="7" t="str">
        <x:f>IF(OR($D51="",R$5="",'상세일정'!AM51="제외"),"",IF($D51=$E51,IF(AND($D51&gt;=R$5,$D51&lt;R$5+7),"◆",""),IF(AND($D51&lt;R$5+7,$E51&gt;R$5),"■","")))</x:f>
      </x:c>
      <x:c r="S51" s="7" t="str">
        <x:f>IF(OR($D51="",S$5="",'상세일정'!AM51="제외"),"",IF($D51=$E51,IF(AND($D51&gt;=S$5,$D51&lt;S$5+7),"◆",""),IF(AND($D51&lt;S$5+7,$E51&gt;S$5),"■","")))</x:f>
      </x:c>
      <x:c r="T51" s="7" t="str">
        <x:f>IF(OR($D51="",T$5="",'상세일정'!AM51="제외"),"",IF($D51=$E51,IF(AND($D51&gt;=T$5,$D51&lt;T$5+7),"◆",""),IF(AND($D51&lt;T$5+7,$E51&gt;T$5),"■","")))</x:f>
      </x:c>
      <x:c r="U51" s="7" t="str">
        <x:f>IF(OR($D51="",U$5="",'상세일정'!AM51="제외"),"",IF($D51=$E51,IF(AND($D51&gt;=U$5,$D51&lt;U$5+7),"◆",""),IF(AND($D51&lt;U$5+7,$E51&gt;U$5),"■","")))</x:f>
      </x:c>
      <x:c r="V51" s="7" t="str">
        <x:f>IF(OR($D51="",V$5="",'상세일정'!AM51="제외"),"",IF($D51=$E51,IF(AND($D51&gt;=V$5,$D51&lt;V$5+7),"◆",""),IF(AND($D51&lt;V$5+7,$E51&gt;V$5),"■","")))</x:f>
      </x:c>
      <x:c r="W51" s="7" t="str">
        <x:f>IF(OR($D51="",W$5="",'상세일정'!AM51="제외"),"",IF($D51=$E51,IF(AND($D51&gt;=W$5,$D51&lt;W$5+7),"◆",""),IF(AND($D51&lt;W$5+7,$E51&gt;W$5),"■","")))</x:f>
      </x:c>
      <x:c r="X51" s="7" t="str">
        <x:f>IF(OR($D51="",X$5="",'상세일정'!AM51="제외"),"",IF($D51=$E51,IF(AND($D51&gt;=X$5,$D51&lt;X$5+7),"◆",""),IF(AND($D51&lt;X$5+7,$E51&gt;X$5),"■","")))</x:f>
      </x:c>
      <x:c r="Y51" s="7" t="str">
        <x:f>IF(OR($D51="",Y$5="",'상세일정'!AM51="제외"),"",IF($D51=$E51,IF(AND($D51&gt;=Y$5,$D51&lt;Y$5+7),"◆",""),IF(AND($D51&lt;Y$5+7,$E51&gt;Y$5),"■","")))</x:f>
      </x:c>
      <x:c r="Z51" s="7" t="str">
        <x:f>IF(OR($D51="",Z$5="",'상세일정'!AM51="제외"),"",IF($D51=$E51,IF(AND($D51&gt;=Z$5,$D51&lt;Z$5+7),"◆",""),IF(AND($D51&lt;Z$5+7,$E51&gt;Z$5),"■","")))</x:f>
      </x:c>
      <x:c r="AA51" s="7" t="str">
        <x:f>IF(OR($D51="",AA$5="",'상세일정'!AM51="제외"),"",IF($D51=$E51,IF(AND($D51&gt;=AA$5,$D51&lt;AA$5+7),"◆",""),IF(AND($D51&lt;AA$5+7,$E51&gt;AA$5),"■","")))</x:f>
      </x:c>
      <x:c r="AB51" s="7" t="str">
        <x:f>IF(OR($D51="",AB$5="",'상세일정'!AM51="제외"),"",IF($D51=$E51,IF(AND($D51&gt;=AB$5,$D51&lt;AB$5+7),"◆",""),IF(AND($D51&lt;AB$5+7,$E51&gt;AB$5),"■","")))</x:f>
      </x:c>
      <x:c r="AC51" s="7" t="str">
        <x:f>IF(OR($D51="",AC$5="",'상세일정'!AM51="제외"),"",IF($D51=$E51,IF(AND($D51&gt;=AC$5,$D51&lt;AC$5+7),"◆",""),IF(AND($D51&lt;AC$5+7,$E51&gt;AC$5),"■","")))</x:f>
      </x:c>
      <x:c r="AD51" s="7" t="str">
        <x:f>IF(OR($D51="",AD$5="",'상세일정'!AM51="제외"),"",IF($D51=$E51,IF(AND($D51&gt;=AD$5,$D51&lt;AD$5+7),"◆",""),IF(AND($D51&lt;AD$5+7,$E51&gt;AD$5),"■","")))</x:f>
      </x:c>
      <x:c r="AE51" s="7" t="str">
        <x:f>IF(OR($D51="",AE$5="",'상세일정'!AM51="제외"),"",IF($D51=$E51,IF(AND($D51&gt;=AE$5,$D51&lt;AE$5+7),"◆",""),IF(AND($D51&lt;AE$5+7,$E51&gt;AE$5),"■","")))</x:f>
      </x:c>
      <x:c r="AF51" s="7" t="str">
        <x:f>IF(OR($D51="",AF$5="",'상세일정'!AM51="제외"),"",IF($D51=$E51,IF(AND($D51&gt;=AF$5,$D51&lt;AF$5+7),"◆",""),IF(AND($D51&lt;AF$5+7,$E51&gt;AF$5),"■","")))</x:f>
      </x:c>
      <x:c r="AG51" s="7" t="str">
        <x:f>IF(OR($D51="",AG$5="",'상세일정'!AM51="제외"),"",IF($D51=$E51,IF(AND($D51&gt;=AG$5,$D51&lt;AG$5+7),"◆",""),IF(AND($D51&lt;AG$5+7,$E51&gt;AG$5),"■","")))</x:f>
      </x:c>
      <x:c r="AH51" s="7" t="str">
        <x:f>IF(OR($D51="",AH$5="",'상세일정'!AM51="제외"),"",IF($D51=$E51,IF(AND($D51&gt;=AH$5,$D51&lt;AH$5+7),"◆",""),IF(AND($D51&lt;AH$5+7,$E51&gt;AH$5),"■","")))</x:f>
      </x:c>
      <x:c r="AI51" s="7" t="str">
        <x:f>IF(OR($D51="",AI$5="",'상세일정'!AM51="제외"),"",IF($D51=$E51,IF(AND($D51&gt;=AI$5,$D51&lt;AI$5+7),"◆",""),IF(AND($D51&lt;AI$5+7,$E51&gt;AI$5),"■","")))</x:f>
      </x:c>
      <x:c r="AJ51" s="7" t="str">
        <x:f>IF(OR($D51="",AJ$5="",'상세일정'!AM51="제외"),"",IF($D51=$E51,IF(AND($D51&gt;=AJ$5,$D51&lt;AJ$5+7),"◆",""),IF(AND($D51&lt;AJ$5+7,$E51&gt;AJ$5),"■","")))</x:f>
      </x:c>
      <x:c r="AK51" s="7" t="str">
        <x:f>IF(OR($D51="",AK$5="",'상세일정'!AM51="제외"),"",IF($D51=$E51,IF(AND($D51&gt;=AK$5,$D51&lt;AK$5+7),"◆",""),IF(AND($D51&lt;AK$5+7,$E51&gt;AK$5),"■","")))</x:f>
      </x:c>
      <x:c r="AL51" s="7" t="str">
        <x:f>IF(OR($D51="",AL$5="",'상세일정'!AM51="제외"),"",IF($D51=$E51,IF(AND($D51&gt;=AL$5,$D51&lt;AL$5+7),"◆",""),IF(AND($D51&lt;AL$5+7,$E51&gt;AL$5),"■","")))</x:f>
      </x:c>
      <x:c r="AM51" s="7" t="str">
        <x:f>IF(OR($D51="",AM$5="",'상세일정'!AM51="제외"),"",IF($D51=$E51,IF(AND($D51&gt;=AM$5,$D51&lt;AM$5+7),"◆",""),IF(AND($D51&lt;AM$5+7,$E51&gt;AM$5),"■","")))</x:f>
      </x:c>
      <x:c r="AN51" s="7" t="str">
        <x:f>IF(OR($D51="",AN$5="",'상세일정'!AM51="제외"),"",IF($D51=$E51,IF(AND($D51&gt;=AN$5,$D51&lt;AN$5+7),"◆",""),IF(AND($D51&lt;AN$5+7,$E51&gt;AN$5),"■","")))</x:f>
      </x:c>
      <x:c r="AO51" s="7" t="str">
        <x:f>IF(OR($D51="",AO$5="",'상세일정'!AM51="제외"),"",IF($D51=$E51,IF(AND($D51&gt;=AO$5,$D51&lt;AO$5+7),"◆",""),IF(AND($D51&lt;AO$5+7,$E51&gt;AO$5),"■","")))</x:f>
      </x:c>
      <x:c r="AP51" s="7" t="str">
        <x:f>IF(OR($D51="",AP$5="",'상세일정'!AM51="제외"),"",IF($D51=$E51,IF(AND($D51&gt;=AP$5,$D51&lt;AP$5+7),"◆",""),IF(AND($D51&lt;AP$5+7,$E51&gt;AP$5),"■","")))</x:f>
      </x:c>
      <x:c r="AQ51" s="7" t="str">
        <x:f>IF(OR($D51="",AQ$5="",'상세일정'!AM51="제외"),"",IF($D51=$E51,IF(AND($D51&gt;=AQ$5,$D51&lt;AQ$5+7),"◆",""),IF(AND($D51&lt;AQ$5+7,$E51&gt;AQ$5),"■","")))</x:f>
      </x:c>
      <x:c r="AR51" s="7" t="str">
        <x:f>IF(OR($D51="",AR$5="",'상세일정'!AM51="제외"),"",IF($D51=$E51,IF(AND($D51&gt;=AR$5,$D51&lt;AR$5+7),"◆",""),IF(AND($D51&lt;AR$5+7,$E51&gt;AR$5),"■","")))</x:f>
      </x:c>
      <x:c r="AS51" s="7" t="str">
        <x:f>IF(OR($D51="",AS$5="",'상세일정'!AM51="제외"),"",IF($D51=$E51,IF(AND($D51&gt;=AS$5,$D51&lt;AS$5+7),"◆",""),IF(AND($D51&lt;AS$5+7,$E51&gt;AS$5),"■","")))</x:f>
      </x:c>
      <x:c r="AT51" s="7" t="str">
        <x:f>IF(OR($D51="",AT$5="",'상세일정'!AM51="제외"),"",IF($D51=$E51,IF(AND($D51&gt;=AT$5,$D51&lt;AT$5+7),"◆",""),IF(AND($D51&lt;AT$5+7,$E51&gt;AT$5),"■","")))</x:f>
      </x:c>
      <x:c r="AU51" s="7" t="str">
        <x:f>IF(OR($D51="",AU$5="",'상세일정'!AM51="제외"),"",IF($D51=$E51,IF(AND($D51&gt;=AU$5,$D51&lt;AU$5+7),"◆",""),IF(AND($D51&lt;AU$5+7,$E51&gt;AU$5),"■","")))</x:f>
      </x:c>
      <x:c r="AV51" s="7" t="str">
        <x:f>IF(OR($D51="",AV$5="",'상세일정'!AM51="제외"),"",IF($D51=$E51,IF(AND($D51&gt;=AV$5,$D51&lt;AV$5+7),"◆",""),IF(AND($D51&lt;AV$5+7,$E51&gt;AV$5),"■","")))</x:f>
      </x:c>
      <x:c r="AW51" s="7" t="str">
        <x:f>IF(OR($D51="",AW$5="",'상세일정'!AM51="제외"),"",IF($D51=$E51,IF(AND($D51&gt;=AW$5,$D51&lt;AW$5+7),"◆",""),IF(AND($D51&lt;AW$5+7,$E51&gt;AW$5),"■","")))</x:f>
      </x:c>
      <x:c r="AX51" s="7" t="str">
        <x:f>IF(OR($D51="",AX$5="",'상세일정'!AM51="제외"),"",IF($D51=$E51,IF(AND($D51&gt;=AX$5,$D51&lt;AX$5+7),"◆",""),IF(AND($D51&lt;AX$5+7,$E51&gt;AX$5),"■","")))</x:f>
      </x:c>
      <x:c r="AY51" s="7" t="str">
        <x:f>IF(OR($D51="",AY$5="",'상세일정'!AM51="제외"),"",IF($D51=$E51,IF(AND($D51&gt;=AY$5,$D51&lt;AY$5+7),"◆",""),IF(AND($D51&lt;AY$5+7,$E51&gt;AY$5),"■","")))</x:f>
      </x:c>
      <x:c r="AZ51" s="7" t="str">
        <x:f>IF(OR($D51="",AZ$5="",'상세일정'!AM51="제외"),"",IF($D51=$E51,IF(AND($D51&gt;=AZ$5,$D51&lt;AZ$5+7),"◆",""),IF(AND($D51&lt;AZ$5+7,$E51&gt;AZ$5),"■","")))</x:f>
      </x:c>
      <x:c r="BA51" s="7" t="str">
        <x:f>IF(OR($D51="",BA$5="",'상세일정'!AM51="제외"),"",IF($D51=$E51,IF(AND($D51&gt;=BA$5,$D51&lt;BA$5+7),"◆",""),IF(AND($D51&lt;BA$5+7,$E51&gt;BA$5),"■","")))</x:f>
      </x:c>
      <x:c r="BB51" s="7" t="str">
        <x:f>IF(OR($D51="",BB$5="",'상세일정'!AM51="제외"),"",IF($D51=$E51,IF(AND($D51&gt;=BB$5,$D51&lt;BB$5+7),"◆",""),IF(AND($D51&lt;BB$5+7,$E51&gt;BB$5),"■","")))</x:f>
      </x:c>
      <x:c r="BC51" s="7" t="str">
        <x:f>IF(OR($D51="",BC$5="",'상세일정'!AM51="제외"),"",IF($D51=$E51,IF(AND($D51&gt;=BC$5,$D51&lt;BC$5+7),"◆",""),IF(AND($D51&lt;BC$5+7,$E51&gt;BC$5),"■","")))</x:f>
      </x:c>
      <x:c r="BD51" s="7" t="str">
        <x:f>IF(OR($D51="",BD$5="",'상세일정'!AM51="제외"),"",IF($D51=$E51,IF(AND($D51&gt;=BD$5,$D51&lt;BD$5+7),"◆",""),IF(AND($D51&lt;BD$5+7,$E51&gt;BD$5),"■","")))</x:f>
      </x:c>
      <x:c r="BE51" s="7" t="str">
        <x:f>IF(OR($D51="",BE$5="",'상세일정'!AM51="제외"),"",IF($D51=$E51,IF(AND($D51&gt;=BE$5,$D51&lt;BE$5+7),"◆",""),IF(AND($D51&lt;BE$5+7,$E51&gt;BE$5),"■","")))</x:f>
      </x:c>
      <x:c r="BF51" s="7" t="str">
        <x:f>IF(OR($D51="",BF$5="",'상세일정'!AM51="제외"),"",IF($D51=$E51,IF(AND($D51&gt;=BF$5,$D51&lt;BF$5+7),"◆",""),IF(AND($D51&lt;BF$5+7,$E51&gt;BF$5),"■","")))</x:f>
      </x:c>
      <x:c r="BG51" s="7" t="str">
        <x:f>IF(OR($D51="",BG$5="",'상세일정'!AM51="제외"),"",IF($D51=$E51,IF(AND($D51&gt;=BG$5,$D51&lt;BG$5+7),"◆",""),IF(AND($D51&lt;BG$5+7,$E51&gt;BG$5),"■","")))</x:f>
      </x:c>
      <x:c r="BH51" s="7" t="str">
        <x:f>IF(OR($D51="",BH$5="",'상세일정'!AM51="제외"),"",IF($D51=$E51,IF(AND($D51&gt;=BH$5,$D51&lt;BH$5+7),"◆",""),IF(AND($D51&lt;BH$5+7,$E51&gt;BH$5),"■","")))</x:f>
      </x:c>
      <x:c r="BI51" s="7" t="str">
        <x:f>IF(OR($D51="",BI$5="",'상세일정'!AM51="제외"),"",IF($D51=$E51,IF(AND($D51&gt;=BI$5,$D51&lt;BI$5+7),"◆",""),IF(AND($D51&lt;BI$5+7,$E51&gt;BI$5),"■","")))</x:f>
      </x:c>
      <x:c r="BJ51" s="7" t="str">
        <x:f>IF(OR($D51="",BJ$5="",'상세일정'!AM51="제외"),"",IF($D51=$E51,IF(AND($D51&gt;=BJ$5,$D51&lt;BJ$5+7),"◆",""),IF(AND($D51&lt;BJ$5+7,$E51&gt;BJ$5),"■","")))</x:f>
      </x:c>
      <x:c r="BK51" s="7" t="str">
        <x:f>IF(OR($D51="",BK$5="",'상세일정'!AM51="제외"),"",IF($D51=$E51,IF(AND($D51&gt;=BK$5,$D51&lt;BK$5+7),"◆",""),IF(AND($D51&lt;BK$5+7,$E51&gt;BK$5),"■","")))</x:f>
      </x:c>
      <x:c r="BL51" s="7" t="str">
        <x:f>IF(OR($D51="",BL$5="",'상세일정'!AM51="제외"),"",IF($D51=$E51,IF(AND($D51&gt;=BL$5,$D51&lt;BL$5+7),"◆",""),IF(AND($D51&lt;BL$5+7,$E51&gt;BL$5),"■","")))</x:f>
      </x:c>
      <x:c r="BM51" s="7" t="str">
        <x:f>IF(OR($D51="",BM$5="",'상세일정'!AM51="제외"),"",IF($D51=$E51,IF(AND($D51&gt;=BM$5,$D51&lt;BM$5+7),"◆",""),IF(AND($D51&lt;BM$5+7,$E51&gt;BM$5),"■","")))</x:f>
      </x:c>
      <x:c r="BN51" s="7" t="str">
        <x:f>IF(OR($D51="",BN$5="",'상세일정'!AM51="제외"),"",IF($D51=$E51,IF(AND($D51&gt;=BN$5,$D51&lt;BN$5+7),"◆",""),IF(AND($D51&lt;BN$5+7,$E51&gt;BN$5),"■","")))</x:f>
      </x:c>
      <x:c r="BO51" s="7" t="str">
        <x:f>IF(OR($D51="",BO$5="",'상세일정'!AM51="제외"),"",IF($D51=$E51,IF(AND($D51&gt;=BO$5,$D51&lt;BO$5+7),"◆",""),IF(AND($D51&lt;BO$5+7,$E51&gt;BO$5),"■","")))</x:f>
      </x:c>
      <x:c r="BP51" s="7" t="str">
        <x:f>IF(OR($D51="",BP$5="",'상세일정'!AM51="제외"),"",IF($D51=$E51,IF(AND($D51&gt;=BP$5,$D51&lt;BP$5+7),"◆",""),IF(AND($D51&lt;BP$5+7,$E51&gt;BP$5),"■","")))</x:f>
      </x:c>
      <x:c r="BQ51" s="7" t="str">
        <x:f>IF(OR($D51="",BQ$5="",'상세일정'!AM51="제외"),"",IF($D51=$E51,IF(AND($D51&gt;=BQ$5,$D51&lt;BQ$5+7),"◆",""),IF(AND($D51&lt;BQ$5+7,$E51&gt;BQ$5),"■","")))</x:f>
      </x:c>
      <x:c r="BR51" s="7" t="str">
        <x:f>IF(OR($D51="",BR$5="",'상세일정'!AM51="제외"),"",IF($D51=$E51,IF(AND($D51&gt;=BR$5,$D51&lt;BR$5+7),"◆",""),IF(AND($D51&lt;BR$5+7,$E51&gt;BR$5),"■","")))</x:f>
      </x:c>
      <x:c r="BS51" s="7" t="str">
        <x:f>IF(OR($D51="",BS$5="",'상세일정'!AM51="제외"),"",IF($D51=$E51,IF(AND($D51&gt;=BS$5,$D51&lt;BS$5+7),"◆",""),IF(AND($D51&lt;BS$5+7,$E51&gt;BS$5),"■","")))</x:f>
      </x:c>
      <x:c r="BT51" s="7" t="str">
        <x:f>IF(OR($D51="",BT$5="",'상세일정'!AM51="제외"),"",IF($D51=$E51,IF(AND($D51&gt;=BT$5,$D51&lt;BT$5+7),"◆",""),IF(AND($D51&lt;BT$5+7,$E51&gt;BT$5),"■","")))</x:f>
      </x:c>
      <x:c r="BU51" s="7" t="str">
        <x:f>IF(OR($D51="",BU$5="",'상세일정'!AM51="제외"),"",IF($D51=$E51,IF(AND($D51&gt;=BU$5,$D51&lt;BU$5+7),"◆",""),IF(AND($D51&lt;BU$5+7,$E51&gt;BU$5),"■","")))</x:f>
      </x:c>
      <x:c r="BV51" s="7" t="str">
        <x:f>IF(OR($D51="",BV$5="",'상세일정'!AM51="제외"),"",IF($D51=$E51,IF(AND($D51&gt;=BV$5,$D51&lt;BV$5+7),"◆",""),IF(AND($D51&lt;BV$5+7,$E51&gt;BV$5),"■","")))</x:f>
      </x:c>
      <x:c r="BW51" s="7" t="str">
        <x:f>IF(OR($D51="",BW$5="",'상세일정'!AM51="제외"),"",IF($D51=$E51,IF(AND($D51&gt;=BW$5,$D51&lt;BW$5+7),"◆",""),IF(AND($D51&lt;BW$5+7,$E51&gt;BW$5),"■","")))</x:f>
      </x:c>
      <x:c r="BX51" s="7" t="str">
        <x:f>IF(OR($D51="",BX$5="",'상세일정'!AM51="제외"),"",IF($D51=$E51,IF(AND($D51&gt;=BX$5,$D51&lt;BX$5+7),"◆",""),IF(AND($D51&lt;BX$5+7,$E51&gt;BX$5),"■","")))</x:f>
      </x:c>
      <x:c r="BY51" s="7" t="str">
        <x:f>IF(OR($D51="",BY$5="",'상세일정'!AM51="제외"),"",IF($D51=$E51,IF(AND($D51&gt;=BY$5,$D51&lt;BY$5+7),"◆",""),IF(AND($D51&lt;BY$5+7,$E51&gt;BY$5),"■","")))</x:f>
      </x:c>
      <x:c r="BZ51" s="7" t="str">
        <x:f>IF(OR($D51="",BZ$5="",'상세일정'!AM51="제외"),"",IF($D51=$E51,IF(AND($D51&gt;=BZ$5,$D51&lt;BZ$5+7),"◆",""),IF(AND($D51&lt;BZ$5+7,$E51&gt;BZ$5),"■","")))</x:f>
      </x:c>
      <x:c r="CA51" s="7" t="str">
        <x:f>IF(OR($D51="",CA$5="",'상세일정'!AM51="제외"),"",IF($D51=$E51,IF(AND($D51&gt;=CA$5,$D51&lt;CA$5+7),"◆",""),IF(AND($D51&lt;CA$5+7,$E51&gt;CA$5),"■","")))</x:f>
      </x:c>
      <x:c r="CB51" s="7" t="str">
        <x:f>IF(OR($D51="",CB$5="",'상세일정'!AM51="제외"),"",IF($D51=$E51,IF(AND($D51&gt;=CB$5,$D51&lt;CB$5+7),"◆",""),IF(AND($D51&lt;CB$5+7,$E51&gt;CB$5),"■","")))</x:f>
      </x:c>
      <x:c r="CC51" s="7" t="str">
        <x:f>IF(OR($D51="",CC$5="",'상세일정'!AM51="제외"),"",IF($D51=$E51,IF(AND($D51&gt;=CC$5,$D51&lt;CC$5+7),"◆",""),IF(AND($D51&lt;CC$5+7,$E51&gt;CC$5),"■","")))</x:f>
      </x:c>
      <x:c r="CD51" s="7" t="str">
        <x:f>IF(OR($D51="",CD$5="",'상세일정'!AM51="제외"),"",IF($D51=$E51,IF(AND($D51&gt;=CD$5,$D51&lt;CD$5+7),"◆",""),IF(AND($D51&lt;CD$5+7,$E51&gt;CD$5),"■","")))</x:f>
      </x:c>
      <x:c r="CE51" s="7" t="str">
        <x:f>IF(OR($D51="",CE$5="",'상세일정'!AM51="제외"),"",IF($D51=$E51,IF(AND($D51&gt;=CE$5,$D51&lt;CE$5+7),"◆",""),IF(AND($D51&lt;CE$5+7,$E51&gt;CE$5),"■","")))</x:f>
      </x:c>
      <x:c r="CF51" s="7" t="str">
        <x:f>IF(OR($D51="",CF$5="",'상세일정'!AM51="제외"),"",IF($D51=$E51,IF(AND($D51&gt;=CF$5,$D51&lt;CF$5+7),"◆",""),IF(AND($D51&lt;CF$5+7,$E51&gt;CF$5),"■","")))</x:f>
      </x:c>
      <x:c r="CG51" s="7" t="str">
        <x:f>IF(OR($D51="",CG$5="",'상세일정'!AM51="제외"),"",IF($D51=$E51,IF(AND($D51&gt;=CG$5,$D51&lt;CG$5+7),"◆",""),IF(AND($D51&lt;CG$5+7,$E51&gt;CG$5),"■","")))</x:f>
      </x:c>
      <x:c r="CH51" s="7" t="str">
        <x:f>IF(OR($D51="",CH$5="",'상세일정'!AM51="제외"),"",IF($D51=$E51,IF(AND($D51&gt;=CH$5,$D51&lt;CH$5+7),"◆",""),IF(AND($D51&lt;CH$5+7,$E51&gt;CH$5),"■","")))</x:f>
      </x:c>
      <x:c r="CI51" s="7" t="str">
        <x:f>IF(OR($D51="",CI$5="",'상세일정'!AM51="제외"),"",IF($D51=$E51,IF(AND($D51&gt;=CI$5,$D51&lt;CI$5+7),"◆",""),IF(AND($D51&lt;CI$5+7,$E51&gt;CI$5),"■","")))</x:f>
      </x:c>
      <x:c r="CJ51" s="7" t="str">
        <x:f>IF(OR($D51="",CJ$5="",'상세일정'!AM51="제외"),"",IF($D51=$E51,IF(AND($D51&gt;=CJ$5,$D51&lt;CJ$5+7),"◆",""),IF(AND($D51&lt;CJ$5+7,$E51&gt;CJ$5),"■","")))</x:f>
      </x:c>
      <x:c r="CK51" s="7" t="str">
        <x:f>IF(OR($D51="",CK$5="",'상세일정'!AM51="제외"),"",IF($D51=$E51,IF(AND($D51&gt;=CK$5,$D51&lt;CK$5+7),"◆",""),IF(AND($D51&lt;CK$5+7,$E51&gt;CK$5),"■","")))</x:f>
      </x:c>
      <x:c r="CL51" s="7" t="str">
        <x:f>IF(OR($D51="",CL$5="",'상세일정'!AM51="제외"),"",IF($D51=$E51,IF(AND($D51&gt;=CL$5,$D51&lt;CL$5+7),"◆",""),IF(AND($D51&lt;CL$5+7,$E51&gt;CL$5),"■","")))</x:f>
      </x:c>
      <x:c r="CM51" s="7" t="str">
        <x:f>IF(OR($D51="",CM$5="",'상세일정'!AM51="제외"),"",IF($D51=$E51,IF(AND($D51&gt;=CM$5,$D51&lt;CM$5+7),"◆",""),IF(AND($D51&lt;CM$5+7,$E51&gt;CM$5),"■","")))</x:f>
      </x:c>
      <x:c r="CN51" s="7" t="str">
        <x:f>IF(OR($D51="",CN$5="",'상세일정'!AM51="제외"),"",IF($D51=$E51,IF(AND($D51&gt;=CN$5,$D51&lt;CN$5+7),"◆",""),IF(AND($D51&lt;CN$5+7,$E51&gt;CN$5),"■","")))</x:f>
      </x:c>
      <x:c r="CO51" s="7" t="str">
        <x:f>IF(OR($D51="",CO$5="",'상세일정'!AM51="제외"),"",IF($D51=$E51,IF(AND($D51&gt;=CO$5,$D51&lt;CO$5+7),"◆",""),IF(AND($D51&lt;CO$5+7,$E51&gt;CO$5),"■","")))</x:f>
      </x:c>
      <x:c r="CP51" s="7" t="str">
        <x:f>IF(OR($D51="",CP$5="",'상세일정'!AM51="제외"),"",IF($D51=$E51,IF(AND($D51&gt;=CP$5,$D51&lt;CP$5+7),"◆",""),IF(AND($D51&lt;CP$5+7,$E51&gt;CP$5),"■","")))</x:f>
      </x:c>
      <x:c r="CQ51" s="7" t="str">
        <x:f>IF(OR($D51="",CQ$5="",'상세일정'!AM51="제외"),"",IF($D51=$E51,IF(AND($D51&gt;=CQ$5,$D51&lt;CQ$5+7),"◆",""),IF(AND($D51&lt;CQ$5+7,$E51&gt;CQ$5),"■","")))</x:f>
      </x:c>
      <x:c r="CR51" s="7" t="str">
        <x:f>IF(OR($D51="",CR$5="",'상세일정'!AM51="제외"),"",IF($D51=$E51,IF(AND($D51&gt;=CR$5,$D51&lt;CR$5+7),"◆",""),IF(AND($D51&lt;CR$5+7,$E51&gt;CR$5),"■","")))</x:f>
      </x:c>
      <x:c r="CS51" s="7" t="str">
        <x:f>IF(OR($D51="",CS$5="",'상세일정'!AM51="제외"),"",IF($D51=$E51,IF(AND($D51&gt;=CS$5,$D51&lt;CS$5+7),"◆",""),IF(AND($D51&lt;CS$5+7,$E51&gt;CS$5),"■","")))</x:f>
      </x:c>
      <x:c r="CT51" s="7" t="str">
        <x:f>IF(OR($D51="",CT$5="",'상세일정'!AM51="제외"),"",IF($D51=$E51,IF(AND($D51&gt;=CT$5,$D51&lt;CT$5+7),"◆",""),IF(AND($D51&lt;CT$5+7,$E51&gt;CT$5),"■","")))</x:f>
      </x:c>
      <x:c r="CU51" s="7" t="str">
        <x:f>IF(OR($D51="",CU$5="",'상세일정'!AM51="제외"),"",IF($D51=$E51,IF(AND($D51&gt;=CU$5,$D51&lt;CU$5+7),"◆",""),IF(AND($D51&lt;CU$5+7,$E51&gt;CU$5),"■","")))</x:f>
      </x:c>
      <x:c r="CV51" s="7" t="str">
        <x:f>IF(OR($D51="",CV$5="",'상세일정'!AM51="제외"),"",IF($D51=$E51,IF(AND($D51&gt;=CV$5,$D51&lt;CV$5+7),"◆",""),IF(AND($D51&lt;CV$5+7,$E51&gt;CV$5),"■","")))</x:f>
      </x:c>
      <x:c r="CW51" s="7" t="str">
        <x:f>IF(OR($D51="",CW$5="",'상세일정'!AM51="제외"),"",IF($D51=$E51,IF(AND($D51&gt;=CW$5,$D51&lt;CW$5+7),"◆",""),IF(AND($D51&lt;CW$5+7,$E51&gt;CW$5),"■","")))</x:f>
      </x:c>
      <x:c r="CX51" s="7" t="str">
        <x:f>IF(OR($D51="",CX$5="",'상세일정'!AM51="제외"),"",IF($D51=$E51,IF(AND($D51&gt;=CX$5,$D51&lt;CX$5+7),"◆",""),IF(AND($D51&lt;CX$5+7,$E51&gt;CX$5),"■","")))</x:f>
      </x:c>
      <x:c r="CY51" s="7" t="str">
        <x:f>IF(OR($D51="",CY$5="",'상세일정'!AM51="제외"),"",IF($D51=$E51,IF(AND($D51&gt;=CY$5,$D51&lt;CY$5+7),"◆",""),IF(AND($D51&lt;CY$5+7,$E51&gt;CY$5),"■","")))</x:f>
      </x:c>
      <x:c r="CZ51" s="7" t="str">
        <x:f>IF(OR($D51="",CZ$5="",'상세일정'!AM51="제외"),"",IF($D51=$E51,IF(AND($D51&gt;=CZ$5,$D51&lt;CZ$5+7),"◆",""),IF(AND($D51&lt;CZ$5+7,$E51&gt;CZ$5),"■","")))</x:f>
      </x:c>
      <x:c r="DA51" s="7" t="str">
        <x:f>IF(OR($D51="",DA$5="",'상세일정'!AM51="제외"),"",IF($D51=$E51,IF(AND($D51&gt;=DA$5,$D51&lt;DA$5+7),"◆",""),IF(AND($D51&lt;DA$5+7,$E51&gt;DA$5),"■","")))</x:f>
      </x:c>
      <x:c r="DB51" s="7" t="str">
        <x:f>IF(OR($D51="",DB$5="",'상세일정'!AM51="제외"),"",IF($D51=$E51,IF(AND($D51&gt;=DB$5,$D51&lt;DB$5+7),"◆",""),IF(AND($D51&lt;DB$5+7,$E51&gt;DB$5),"■","")))</x:f>
      </x:c>
      <x:c r="DC51" s="7" t="str">
        <x:f>IF(OR($D51="",DC$5="",'상세일정'!AM51="제외"),"",IF($D51=$E51,IF(AND($D51&gt;=DC$5,$D51&lt;DC$5+7),"◆",""),IF(AND($D51&lt;DC$5+7,$E51&gt;DC$5),"■","")))</x:f>
      </x:c>
      <x:c r="DD51" s="7" t="str">
        <x:f>IF(OR($D51="",DD$5="",'상세일정'!AM51="제외"),"",IF($D51=$E51,IF(AND($D51&gt;=DD$5,$D51&lt;DD$5+7),"◆",""),IF(AND($D51&lt;DD$5+7,$E51&gt;DD$5),"■","")))</x:f>
      </x:c>
      <x:c r="DE51" s="7" t="str">
        <x:f>IF(OR($D51="",DE$5="",'상세일정'!AM51="제외"),"",IF($D51=$E51,IF(AND($D51&gt;=DE$5,$D51&lt;DE$5+7),"◆",""),IF(AND($D51&lt;DE$5+7,$E51&gt;DE$5),"■","")))</x:f>
      </x:c>
    </x:row>
    <x:row r="52" ht="34" customHeight="1">
      <x:c r="A52" s="7" t="str">
        <x:v>EL07</x:v>
      </x:c>
      <x:c r="B52" s="7" t="str">
        <x:v>08 전기·통신·소방 설계</x:v>
      </x:c>
      <x:c r="C52" s="7" t="str">
        <x:v>전기·통신·소방 IFC 및 물량 발행</x:v>
      </x:c>
      <x:c r="D52" s="10" t="str">
        <x:f>'상세일정'!AJ52</x:f>
      </x:c>
      <x:c r="E52" s="10" t="str">
        <x:f>'상세일정'!AK52</x:f>
      </x:c>
      <x:c r="F52" s="7" t="str">
        <x:f>IF(OR($D52="",F$5="",'상세일정'!AM52="제외"),"",IF($D52=$E52,IF(AND($D52&gt;=F$5,$D52&lt;F$5+7),"◆",""),IF(AND($D52&lt;F$5+7,$E52&gt;F$5),"■","")))</x:f>
      </x:c>
      <x:c r="G52" s="7" t="str">
        <x:f>IF(OR($D52="",G$5="",'상세일정'!AM52="제외"),"",IF($D52=$E52,IF(AND($D52&gt;=G$5,$D52&lt;G$5+7),"◆",""),IF(AND($D52&lt;G$5+7,$E52&gt;G$5),"■","")))</x:f>
      </x:c>
      <x:c r="H52" s="7" t="str">
        <x:f>IF(OR($D52="",H$5="",'상세일정'!AM52="제외"),"",IF($D52=$E52,IF(AND($D52&gt;=H$5,$D52&lt;H$5+7),"◆",""),IF(AND($D52&lt;H$5+7,$E52&gt;H$5),"■","")))</x:f>
      </x:c>
      <x:c r="I52" s="7" t="str">
        <x:f>IF(OR($D52="",I$5="",'상세일정'!AM52="제외"),"",IF($D52=$E52,IF(AND($D52&gt;=I$5,$D52&lt;I$5+7),"◆",""),IF(AND($D52&lt;I$5+7,$E52&gt;I$5),"■","")))</x:f>
      </x:c>
      <x:c r="J52" s="7" t="str">
        <x:f>IF(OR($D52="",J$5="",'상세일정'!AM52="제외"),"",IF($D52=$E52,IF(AND($D52&gt;=J$5,$D52&lt;J$5+7),"◆",""),IF(AND($D52&lt;J$5+7,$E52&gt;J$5),"■","")))</x:f>
      </x:c>
      <x:c r="K52" s="7" t="str">
        <x:f>IF(OR($D52="",K$5="",'상세일정'!AM52="제외"),"",IF($D52=$E52,IF(AND($D52&gt;=K$5,$D52&lt;K$5+7),"◆",""),IF(AND($D52&lt;K$5+7,$E52&gt;K$5),"■","")))</x:f>
      </x:c>
      <x:c r="L52" s="7" t="str">
        <x:f>IF(OR($D52="",L$5="",'상세일정'!AM52="제외"),"",IF($D52=$E52,IF(AND($D52&gt;=L$5,$D52&lt;L$5+7),"◆",""),IF(AND($D52&lt;L$5+7,$E52&gt;L$5),"■","")))</x:f>
      </x:c>
      <x:c r="M52" s="7" t="str">
        <x:f>IF(OR($D52="",M$5="",'상세일정'!AM52="제외"),"",IF($D52=$E52,IF(AND($D52&gt;=M$5,$D52&lt;M$5+7),"◆",""),IF(AND($D52&lt;M$5+7,$E52&gt;M$5),"■","")))</x:f>
      </x:c>
      <x:c r="N52" s="7" t="str">
        <x:f>IF(OR($D52="",N$5="",'상세일정'!AM52="제외"),"",IF($D52=$E52,IF(AND($D52&gt;=N$5,$D52&lt;N$5+7),"◆",""),IF(AND($D52&lt;N$5+7,$E52&gt;N$5),"■","")))</x:f>
      </x:c>
      <x:c r="O52" s="7" t="str">
        <x:f>IF(OR($D52="",O$5="",'상세일정'!AM52="제외"),"",IF($D52=$E52,IF(AND($D52&gt;=O$5,$D52&lt;O$5+7),"◆",""),IF(AND($D52&lt;O$5+7,$E52&gt;O$5),"■","")))</x:f>
      </x:c>
      <x:c r="P52" s="7" t="str">
        <x:f>IF(OR($D52="",P$5="",'상세일정'!AM52="제외"),"",IF($D52=$E52,IF(AND($D52&gt;=P$5,$D52&lt;P$5+7),"◆",""),IF(AND($D52&lt;P$5+7,$E52&gt;P$5),"■","")))</x:f>
      </x:c>
      <x:c r="Q52" s="7" t="str">
        <x:f>IF(OR($D52="",Q$5="",'상세일정'!AM52="제외"),"",IF($D52=$E52,IF(AND($D52&gt;=Q$5,$D52&lt;Q$5+7),"◆",""),IF(AND($D52&lt;Q$5+7,$E52&gt;Q$5),"■","")))</x:f>
      </x:c>
      <x:c r="R52" s="7" t="str">
        <x:f>IF(OR($D52="",R$5="",'상세일정'!AM52="제외"),"",IF($D52=$E52,IF(AND($D52&gt;=R$5,$D52&lt;R$5+7),"◆",""),IF(AND($D52&lt;R$5+7,$E52&gt;R$5),"■","")))</x:f>
      </x:c>
      <x:c r="S52" s="7" t="str">
        <x:f>IF(OR($D52="",S$5="",'상세일정'!AM52="제외"),"",IF($D52=$E52,IF(AND($D52&gt;=S$5,$D52&lt;S$5+7),"◆",""),IF(AND($D52&lt;S$5+7,$E52&gt;S$5),"■","")))</x:f>
      </x:c>
      <x:c r="T52" s="7" t="str">
        <x:f>IF(OR($D52="",T$5="",'상세일정'!AM52="제외"),"",IF($D52=$E52,IF(AND($D52&gt;=T$5,$D52&lt;T$5+7),"◆",""),IF(AND($D52&lt;T$5+7,$E52&gt;T$5),"■","")))</x:f>
      </x:c>
      <x:c r="U52" s="7" t="str">
        <x:f>IF(OR($D52="",U$5="",'상세일정'!AM52="제외"),"",IF($D52=$E52,IF(AND($D52&gt;=U$5,$D52&lt;U$5+7),"◆",""),IF(AND($D52&lt;U$5+7,$E52&gt;U$5),"■","")))</x:f>
      </x:c>
      <x:c r="V52" s="7" t="str">
        <x:f>IF(OR($D52="",V$5="",'상세일정'!AM52="제외"),"",IF($D52=$E52,IF(AND($D52&gt;=V$5,$D52&lt;V$5+7),"◆",""),IF(AND($D52&lt;V$5+7,$E52&gt;V$5),"■","")))</x:f>
      </x:c>
      <x:c r="W52" s="7" t="str">
        <x:f>IF(OR($D52="",W$5="",'상세일정'!AM52="제외"),"",IF($D52=$E52,IF(AND($D52&gt;=W$5,$D52&lt;W$5+7),"◆",""),IF(AND($D52&lt;W$5+7,$E52&gt;W$5),"■","")))</x:f>
      </x:c>
      <x:c r="X52" s="7" t="str">
        <x:f>IF(OR($D52="",X$5="",'상세일정'!AM52="제외"),"",IF($D52=$E52,IF(AND($D52&gt;=X$5,$D52&lt;X$5+7),"◆",""),IF(AND($D52&lt;X$5+7,$E52&gt;X$5),"■","")))</x:f>
      </x:c>
      <x:c r="Y52" s="7" t="str">
        <x:f>IF(OR($D52="",Y$5="",'상세일정'!AM52="제외"),"",IF($D52=$E52,IF(AND($D52&gt;=Y$5,$D52&lt;Y$5+7),"◆",""),IF(AND($D52&lt;Y$5+7,$E52&gt;Y$5),"■","")))</x:f>
      </x:c>
      <x:c r="Z52" s="7" t="str">
        <x:f>IF(OR($D52="",Z$5="",'상세일정'!AM52="제외"),"",IF($D52=$E52,IF(AND($D52&gt;=Z$5,$D52&lt;Z$5+7),"◆",""),IF(AND($D52&lt;Z$5+7,$E52&gt;Z$5),"■","")))</x:f>
      </x:c>
      <x:c r="AA52" s="7" t="str">
        <x:f>IF(OR($D52="",AA$5="",'상세일정'!AM52="제외"),"",IF($D52=$E52,IF(AND($D52&gt;=AA$5,$D52&lt;AA$5+7),"◆",""),IF(AND($D52&lt;AA$5+7,$E52&gt;AA$5),"■","")))</x:f>
      </x:c>
      <x:c r="AB52" s="7" t="str">
        <x:f>IF(OR($D52="",AB$5="",'상세일정'!AM52="제외"),"",IF($D52=$E52,IF(AND($D52&gt;=AB$5,$D52&lt;AB$5+7),"◆",""),IF(AND($D52&lt;AB$5+7,$E52&gt;AB$5),"■","")))</x:f>
      </x:c>
      <x:c r="AC52" s="7" t="str">
        <x:f>IF(OR($D52="",AC$5="",'상세일정'!AM52="제외"),"",IF($D52=$E52,IF(AND($D52&gt;=AC$5,$D52&lt;AC$5+7),"◆",""),IF(AND($D52&lt;AC$5+7,$E52&gt;AC$5),"■","")))</x:f>
      </x:c>
      <x:c r="AD52" s="7" t="str">
        <x:f>IF(OR($D52="",AD$5="",'상세일정'!AM52="제외"),"",IF($D52=$E52,IF(AND($D52&gt;=AD$5,$D52&lt;AD$5+7),"◆",""),IF(AND($D52&lt;AD$5+7,$E52&gt;AD$5),"■","")))</x:f>
      </x:c>
      <x:c r="AE52" s="7" t="str">
        <x:f>IF(OR($D52="",AE$5="",'상세일정'!AM52="제외"),"",IF($D52=$E52,IF(AND($D52&gt;=AE$5,$D52&lt;AE$5+7),"◆",""),IF(AND($D52&lt;AE$5+7,$E52&gt;AE$5),"■","")))</x:f>
      </x:c>
      <x:c r="AF52" s="7" t="str">
        <x:f>IF(OR($D52="",AF$5="",'상세일정'!AM52="제외"),"",IF($D52=$E52,IF(AND($D52&gt;=AF$5,$D52&lt;AF$5+7),"◆",""),IF(AND($D52&lt;AF$5+7,$E52&gt;AF$5),"■","")))</x:f>
      </x:c>
      <x:c r="AG52" s="7" t="str">
        <x:f>IF(OR($D52="",AG$5="",'상세일정'!AM52="제외"),"",IF($D52=$E52,IF(AND($D52&gt;=AG$5,$D52&lt;AG$5+7),"◆",""),IF(AND($D52&lt;AG$5+7,$E52&gt;AG$5),"■","")))</x:f>
      </x:c>
      <x:c r="AH52" s="7" t="str">
        <x:f>IF(OR($D52="",AH$5="",'상세일정'!AM52="제외"),"",IF($D52=$E52,IF(AND($D52&gt;=AH$5,$D52&lt;AH$5+7),"◆",""),IF(AND($D52&lt;AH$5+7,$E52&gt;AH$5),"■","")))</x:f>
      </x:c>
      <x:c r="AI52" s="7" t="str">
        <x:f>IF(OR($D52="",AI$5="",'상세일정'!AM52="제외"),"",IF($D52=$E52,IF(AND($D52&gt;=AI$5,$D52&lt;AI$5+7),"◆",""),IF(AND($D52&lt;AI$5+7,$E52&gt;AI$5),"■","")))</x:f>
      </x:c>
      <x:c r="AJ52" s="7" t="str">
        <x:f>IF(OR($D52="",AJ$5="",'상세일정'!AM52="제외"),"",IF($D52=$E52,IF(AND($D52&gt;=AJ$5,$D52&lt;AJ$5+7),"◆",""),IF(AND($D52&lt;AJ$5+7,$E52&gt;AJ$5),"■","")))</x:f>
      </x:c>
      <x:c r="AK52" s="7" t="str">
        <x:f>IF(OR($D52="",AK$5="",'상세일정'!AM52="제외"),"",IF($D52=$E52,IF(AND($D52&gt;=AK$5,$D52&lt;AK$5+7),"◆",""),IF(AND($D52&lt;AK$5+7,$E52&gt;AK$5),"■","")))</x:f>
      </x:c>
      <x:c r="AL52" s="7" t="str">
        <x:f>IF(OR($D52="",AL$5="",'상세일정'!AM52="제외"),"",IF($D52=$E52,IF(AND($D52&gt;=AL$5,$D52&lt;AL$5+7),"◆",""),IF(AND($D52&lt;AL$5+7,$E52&gt;AL$5),"■","")))</x:f>
      </x:c>
      <x:c r="AM52" s="7" t="str">
        <x:f>IF(OR($D52="",AM$5="",'상세일정'!AM52="제외"),"",IF($D52=$E52,IF(AND($D52&gt;=AM$5,$D52&lt;AM$5+7),"◆",""),IF(AND($D52&lt;AM$5+7,$E52&gt;AM$5),"■","")))</x:f>
      </x:c>
      <x:c r="AN52" s="7" t="str">
        <x:f>IF(OR($D52="",AN$5="",'상세일정'!AM52="제외"),"",IF($D52=$E52,IF(AND($D52&gt;=AN$5,$D52&lt;AN$5+7),"◆",""),IF(AND($D52&lt;AN$5+7,$E52&gt;AN$5),"■","")))</x:f>
      </x:c>
      <x:c r="AO52" s="7" t="str">
        <x:f>IF(OR($D52="",AO$5="",'상세일정'!AM52="제외"),"",IF($D52=$E52,IF(AND($D52&gt;=AO$5,$D52&lt;AO$5+7),"◆",""),IF(AND($D52&lt;AO$5+7,$E52&gt;AO$5),"■","")))</x:f>
      </x:c>
      <x:c r="AP52" s="7" t="str">
        <x:f>IF(OR($D52="",AP$5="",'상세일정'!AM52="제외"),"",IF($D52=$E52,IF(AND($D52&gt;=AP$5,$D52&lt;AP$5+7),"◆",""),IF(AND($D52&lt;AP$5+7,$E52&gt;AP$5),"■","")))</x:f>
      </x:c>
      <x:c r="AQ52" s="7" t="str">
        <x:f>IF(OR($D52="",AQ$5="",'상세일정'!AM52="제외"),"",IF($D52=$E52,IF(AND($D52&gt;=AQ$5,$D52&lt;AQ$5+7),"◆",""),IF(AND($D52&lt;AQ$5+7,$E52&gt;AQ$5),"■","")))</x:f>
      </x:c>
      <x:c r="AR52" s="7" t="str">
        <x:f>IF(OR($D52="",AR$5="",'상세일정'!AM52="제외"),"",IF($D52=$E52,IF(AND($D52&gt;=AR$5,$D52&lt;AR$5+7),"◆",""),IF(AND($D52&lt;AR$5+7,$E52&gt;AR$5),"■","")))</x:f>
      </x:c>
      <x:c r="AS52" s="7" t="str">
        <x:f>IF(OR($D52="",AS$5="",'상세일정'!AM52="제외"),"",IF($D52=$E52,IF(AND($D52&gt;=AS$5,$D52&lt;AS$5+7),"◆",""),IF(AND($D52&lt;AS$5+7,$E52&gt;AS$5),"■","")))</x:f>
      </x:c>
      <x:c r="AT52" s="7" t="str">
        <x:f>IF(OR($D52="",AT$5="",'상세일정'!AM52="제외"),"",IF($D52=$E52,IF(AND($D52&gt;=AT$5,$D52&lt;AT$5+7),"◆",""),IF(AND($D52&lt;AT$5+7,$E52&gt;AT$5),"■","")))</x:f>
      </x:c>
      <x:c r="AU52" s="7" t="str">
        <x:f>IF(OR($D52="",AU$5="",'상세일정'!AM52="제외"),"",IF($D52=$E52,IF(AND($D52&gt;=AU$5,$D52&lt;AU$5+7),"◆",""),IF(AND($D52&lt;AU$5+7,$E52&gt;AU$5),"■","")))</x:f>
      </x:c>
      <x:c r="AV52" s="7" t="str">
        <x:f>IF(OR($D52="",AV$5="",'상세일정'!AM52="제외"),"",IF($D52=$E52,IF(AND($D52&gt;=AV$5,$D52&lt;AV$5+7),"◆",""),IF(AND($D52&lt;AV$5+7,$E52&gt;AV$5),"■","")))</x:f>
      </x:c>
      <x:c r="AW52" s="7" t="str">
        <x:f>IF(OR($D52="",AW$5="",'상세일정'!AM52="제외"),"",IF($D52=$E52,IF(AND($D52&gt;=AW$5,$D52&lt;AW$5+7),"◆",""),IF(AND($D52&lt;AW$5+7,$E52&gt;AW$5),"■","")))</x:f>
      </x:c>
      <x:c r="AX52" s="7" t="str">
        <x:f>IF(OR($D52="",AX$5="",'상세일정'!AM52="제외"),"",IF($D52=$E52,IF(AND($D52&gt;=AX$5,$D52&lt;AX$5+7),"◆",""),IF(AND($D52&lt;AX$5+7,$E52&gt;AX$5),"■","")))</x:f>
      </x:c>
      <x:c r="AY52" s="7" t="str">
        <x:f>IF(OR($D52="",AY$5="",'상세일정'!AM52="제외"),"",IF($D52=$E52,IF(AND($D52&gt;=AY$5,$D52&lt;AY$5+7),"◆",""),IF(AND($D52&lt;AY$5+7,$E52&gt;AY$5),"■","")))</x:f>
      </x:c>
      <x:c r="AZ52" s="7" t="str">
        <x:f>IF(OR($D52="",AZ$5="",'상세일정'!AM52="제외"),"",IF($D52=$E52,IF(AND($D52&gt;=AZ$5,$D52&lt;AZ$5+7),"◆",""),IF(AND($D52&lt;AZ$5+7,$E52&gt;AZ$5),"■","")))</x:f>
      </x:c>
      <x:c r="BA52" s="7" t="str">
        <x:f>IF(OR($D52="",BA$5="",'상세일정'!AM52="제외"),"",IF($D52=$E52,IF(AND($D52&gt;=BA$5,$D52&lt;BA$5+7),"◆",""),IF(AND($D52&lt;BA$5+7,$E52&gt;BA$5),"■","")))</x:f>
      </x:c>
      <x:c r="BB52" s="7" t="str">
        <x:f>IF(OR($D52="",BB$5="",'상세일정'!AM52="제외"),"",IF($D52=$E52,IF(AND($D52&gt;=BB$5,$D52&lt;BB$5+7),"◆",""),IF(AND($D52&lt;BB$5+7,$E52&gt;BB$5),"■","")))</x:f>
      </x:c>
      <x:c r="BC52" s="7" t="str">
        <x:f>IF(OR($D52="",BC$5="",'상세일정'!AM52="제외"),"",IF($D52=$E52,IF(AND($D52&gt;=BC$5,$D52&lt;BC$5+7),"◆",""),IF(AND($D52&lt;BC$5+7,$E52&gt;BC$5),"■","")))</x:f>
      </x:c>
      <x:c r="BD52" s="7" t="str">
        <x:f>IF(OR($D52="",BD$5="",'상세일정'!AM52="제외"),"",IF($D52=$E52,IF(AND($D52&gt;=BD$5,$D52&lt;BD$5+7),"◆",""),IF(AND($D52&lt;BD$5+7,$E52&gt;BD$5),"■","")))</x:f>
      </x:c>
      <x:c r="BE52" s="7" t="str">
        <x:f>IF(OR($D52="",BE$5="",'상세일정'!AM52="제외"),"",IF($D52=$E52,IF(AND($D52&gt;=BE$5,$D52&lt;BE$5+7),"◆",""),IF(AND($D52&lt;BE$5+7,$E52&gt;BE$5),"■","")))</x:f>
      </x:c>
      <x:c r="BF52" s="7" t="str">
        <x:f>IF(OR($D52="",BF$5="",'상세일정'!AM52="제외"),"",IF($D52=$E52,IF(AND($D52&gt;=BF$5,$D52&lt;BF$5+7),"◆",""),IF(AND($D52&lt;BF$5+7,$E52&gt;BF$5),"■","")))</x:f>
      </x:c>
      <x:c r="BG52" s="7" t="str">
        <x:f>IF(OR($D52="",BG$5="",'상세일정'!AM52="제외"),"",IF($D52=$E52,IF(AND($D52&gt;=BG$5,$D52&lt;BG$5+7),"◆",""),IF(AND($D52&lt;BG$5+7,$E52&gt;BG$5),"■","")))</x:f>
      </x:c>
      <x:c r="BH52" s="7" t="str">
        <x:f>IF(OR($D52="",BH$5="",'상세일정'!AM52="제외"),"",IF($D52=$E52,IF(AND($D52&gt;=BH$5,$D52&lt;BH$5+7),"◆",""),IF(AND($D52&lt;BH$5+7,$E52&gt;BH$5),"■","")))</x:f>
      </x:c>
      <x:c r="BI52" s="7" t="str">
        <x:f>IF(OR($D52="",BI$5="",'상세일정'!AM52="제외"),"",IF($D52=$E52,IF(AND($D52&gt;=BI$5,$D52&lt;BI$5+7),"◆",""),IF(AND($D52&lt;BI$5+7,$E52&gt;BI$5),"■","")))</x:f>
      </x:c>
      <x:c r="BJ52" s="7" t="str">
        <x:f>IF(OR($D52="",BJ$5="",'상세일정'!AM52="제외"),"",IF($D52=$E52,IF(AND($D52&gt;=BJ$5,$D52&lt;BJ$5+7),"◆",""),IF(AND($D52&lt;BJ$5+7,$E52&gt;BJ$5),"■","")))</x:f>
      </x:c>
      <x:c r="BK52" s="7" t="str">
        <x:f>IF(OR($D52="",BK$5="",'상세일정'!AM52="제외"),"",IF($D52=$E52,IF(AND($D52&gt;=BK$5,$D52&lt;BK$5+7),"◆",""),IF(AND($D52&lt;BK$5+7,$E52&gt;BK$5),"■","")))</x:f>
      </x:c>
      <x:c r="BL52" s="7" t="str">
        <x:f>IF(OR($D52="",BL$5="",'상세일정'!AM52="제외"),"",IF($D52=$E52,IF(AND($D52&gt;=BL$5,$D52&lt;BL$5+7),"◆",""),IF(AND($D52&lt;BL$5+7,$E52&gt;BL$5),"■","")))</x:f>
      </x:c>
      <x:c r="BM52" s="7" t="str">
        <x:f>IF(OR($D52="",BM$5="",'상세일정'!AM52="제외"),"",IF($D52=$E52,IF(AND($D52&gt;=BM$5,$D52&lt;BM$5+7),"◆",""),IF(AND($D52&lt;BM$5+7,$E52&gt;BM$5),"■","")))</x:f>
      </x:c>
      <x:c r="BN52" s="7" t="str">
        <x:f>IF(OR($D52="",BN$5="",'상세일정'!AM52="제외"),"",IF($D52=$E52,IF(AND($D52&gt;=BN$5,$D52&lt;BN$5+7),"◆",""),IF(AND($D52&lt;BN$5+7,$E52&gt;BN$5),"■","")))</x:f>
      </x:c>
      <x:c r="BO52" s="7" t="str">
        <x:f>IF(OR($D52="",BO$5="",'상세일정'!AM52="제외"),"",IF($D52=$E52,IF(AND($D52&gt;=BO$5,$D52&lt;BO$5+7),"◆",""),IF(AND($D52&lt;BO$5+7,$E52&gt;BO$5),"■","")))</x:f>
      </x:c>
      <x:c r="BP52" s="7" t="str">
        <x:f>IF(OR($D52="",BP$5="",'상세일정'!AM52="제외"),"",IF($D52=$E52,IF(AND($D52&gt;=BP$5,$D52&lt;BP$5+7),"◆",""),IF(AND($D52&lt;BP$5+7,$E52&gt;BP$5),"■","")))</x:f>
      </x:c>
      <x:c r="BQ52" s="7" t="str">
        <x:f>IF(OR($D52="",BQ$5="",'상세일정'!AM52="제외"),"",IF($D52=$E52,IF(AND($D52&gt;=BQ$5,$D52&lt;BQ$5+7),"◆",""),IF(AND($D52&lt;BQ$5+7,$E52&gt;BQ$5),"■","")))</x:f>
      </x:c>
      <x:c r="BR52" s="7" t="str">
        <x:f>IF(OR($D52="",BR$5="",'상세일정'!AM52="제외"),"",IF($D52=$E52,IF(AND($D52&gt;=BR$5,$D52&lt;BR$5+7),"◆",""),IF(AND($D52&lt;BR$5+7,$E52&gt;BR$5),"■","")))</x:f>
      </x:c>
      <x:c r="BS52" s="7" t="str">
        <x:f>IF(OR($D52="",BS$5="",'상세일정'!AM52="제외"),"",IF($D52=$E52,IF(AND($D52&gt;=BS$5,$D52&lt;BS$5+7),"◆",""),IF(AND($D52&lt;BS$5+7,$E52&gt;BS$5),"■","")))</x:f>
      </x:c>
      <x:c r="BT52" s="7" t="str">
        <x:f>IF(OR($D52="",BT$5="",'상세일정'!AM52="제외"),"",IF($D52=$E52,IF(AND($D52&gt;=BT$5,$D52&lt;BT$5+7),"◆",""),IF(AND($D52&lt;BT$5+7,$E52&gt;BT$5),"■","")))</x:f>
      </x:c>
      <x:c r="BU52" s="7" t="str">
        <x:f>IF(OR($D52="",BU$5="",'상세일정'!AM52="제외"),"",IF($D52=$E52,IF(AND($D52&gt;=BU$5,$D52&lt;BU$5+7),"◆",""),IF(AND($D52&lt;BU$5+7,$E52&gt;BU$5),"■","")))</x:f>
      </x:c>
      <x:c r="BV52" s="7" t="str">
        <x:f>IF(OR($D52="",BV$5="",'상세일정'!AM52="제외"),"",IF($D52=$E52,IF(AND($D52&gt;=BV$5,$D52&lt;BV$5+7),"◆",""),IF(AND($D52&lt;BV$5+7,$E52&gt;BV$5),"■","")))</x:f>
      </x:c>
      <x:c r="BW52" s="7" t="str">
        <x:f>IF(OR($D52="",BW$5="",'상세일정'!AM52="제외"),"",IF($D52=$E52,IF(AND($D52&gt;=BW$5,$D52&lt;BW$5+7),"◆",""),IF(AND($D52&lt;BW$5+7,$E52&gt;BW$5),"■","")))</x:f>
      </x:c>
      <x:c r="BX52" s="7" t="str">
        <x:f>IF(OR($D52="",BX$5="",'상세일정'!AM52="제외"),"",IF($D52=$E52,IF(AND($D52&gt;=BX$5,$D52&lt;BX$5+7),"◆",""),IF(AND($D52&lt;BX$5+7,$E52&gt;BX$5),"■","")))</x:f>
      </x:c>
      <x:c r="BY52" s="7" t="str">
        <x:f>IF(OR($D52="",BY$5="",'상세일정'!AM52="제외"),"",IF($D52=$E52,IF(AND($D52&gt;=BY$5,$D52&lt;BY$5+7),"◆",""),IF(AND($D52&lt;BY$5+7,$E52&gt;BY$5),"■","")))</x:f>
      </x:c>
      <x:c r="BZ52" s="7" t="str">
        <x:f>IF(OR($D52="",BZ$5="",'상세일정'!AM52="제외"),"",IF($D52=$E52,IF(AND($D52&gt;=BZ$5,$D52&lt;BZ$5+7),"◆",""),IF(AND($D52&lt;BZ$5+7,$E52&gt;BZ$5),"■","")))</x:f>
      </x:c>
      <x:c r="CA52" s="7" t="str">
        <x:f>IF(OR($D52="",CA$5="",'상세일정'!AM52="제외"),"",IF($D52=$E52,IF(AND($D52&gt;=CA$5,$D52&lt;CA$5+7),"◆",""),IF(AND($D52&lt;CA$5+7,$E52&gt;CA$5),"■","")))</x:f>
      </x:c>
      <x:c r="CB52" s="7" t="str">
        <x:f>IF(OR($D52="",CB$5="",'상세일정'!AM52="제외"),"",IF($D52=$E52,IF(AND($D52&gt;=CB$5,$D52&lt;CB$5+7),"◆",""),IF(AND($D52&lt;CB$5+7,$E52&gt;CB$5),"■","")))</x:f>
      </x:c>
      <x:c r="CC52" s="7" t="str">
        <x:f>IF(OR($D52="",CC$5="",'상세일정'!AM52="제외"),"",IF($D52=$E52,IF(AND($D52&gt;=CC$5,$D52&lt;CC$5+7),"◆",""),IF(AND($D52&lt;CC$5+7,$E52&gt;CC$5),"■","")))</x:f>
      </x:c>
      <x:c r="CD52" s="7" t="str">
        <x:f>IF(OR($D52="",CD$5="",'상세일정'!AM52="제외"),"",IF($D52=$E52,IF(AND($D52&gt;=CD$5,$D52&lt;CD$5+7),"◆",""),IF(AND($D52&lt;CD$5+7,$E52&gt;CD$5),"■","")))</x:f>
      </x:c>
      <x:c r="CE52" s="7" t="str">
        <x:f>IF(OR($D52="",CE$5="",'상세일정'!AM52="제외"),"",IF($D52=$E52,IF(AND($D52&gt;=CE$5,$D52&lt;CE$5+7),"◆",""),IF(AND($D52&lt;CE$5+7,$E52&gt;CE$5),"■","")))</x:f>
      </x:c>
      <x:c r="CF52" s="7" t="str">
        <x:f>IF(OR($D52="",CF$5="",'상세일정'!AM52="제외"),"",IF($D52=$E52,IF(AND($D52&gt;=CF$5,$D52&lt;CF$5+7),"◆",""),IF(AND($D52&lt;CF$5+7,$E52&gt;CF$5),"■","")))</x:f>
      </x:c>
      <x:c r="CG52" s="7" t="str">
        <x:f>IF(OR($D52="",CG$5="",'상세일정'!AM52="제외"),"",IF($D52=$E52,IF(AND($D52&gt;=CG$5,$D52&lt;CG$5+7),"◆",""),IF(AND($D52&lt;CG$5+7,$E52&gt;CG$5),"■","")))</x:f>
      </x:c>
      <x:c r="CH52" s="7" t="str">
        <x:f>IF(OR($D52="",CH$5="",'상세일정'!AM52="제외"),"",IF($D52=$E52,IF(AND($D52&gt;=CH$5,$D52&lt;CH$5+7),"◆",""),IF(AND($D52&lt;CH$5+7,$E52&gt;CH$5),"■","")))</x:f>
      </x:c>
      <x:c r="CI52" s="7" t="str">
        <x:f>IF(OR($D52="",CI$5="",'상세일정'!AM52="제외"),"",IF($D52=$E52,IF(AND($D52&gt;=CI$5,$D52&lt;CI$5+7),"◆",""),IF(AND($D52&lt;CI$5+7,$E52&gt;CI$5),"■","")))</x:f>
      </x:c>
      <x:c r="CJ52" s="7" t="str">
        <x:f>IF(OR($D52="",CJ$5="",'상세일정'!AM52="제외"),"",IF($D52=$E52,IF(AND($D52&gt;=CJ$5,$D52&lt;CJ$5+7),"◆",""),IF(AND($D52&lt;CJ$5+7,$E52&gt;CJ$5),"■","")))</x:f>
      </x:c>
      <x:c r="CK52" s="7" t="str">
        <x:f>IF(OR($D52="",CK$5="",'상세일정'!AM52="제외"),"",IF($D52=$E52,IF(AND($D52&gt;=CK$5,$D52&lt;CK$5+7),"◆",""),IF(AND($D52&lt;CK$5+7,$E52&gt;CK$5),"■","")))</x:f>
      </x:c>
      <x:c r="CL52" s="7" t="str">
        <x:f>IF(OR($D52="",CL$5="",'상세일정'!AM52="제외"),"",IF($D52=$E52,IF(AND($D52&gt;=CL$5,$D52&lt;CL$5+7),"◆",""),IF(AND($D52&lt;CL$5+7,$E52&gt;CL$5),"■","")))</x:f>
      </x:c>
      <x:c r="CM52" s="7" t="str">
        <x:f>IF(OR($D52="",CM$5="",'상세일정'!AM52="제외"),"",IF($D52=$E52,IF(AND($D52&gt;=CM$5,$D52&lt;CM$5+7),"◆",""),IF(AND($D52&lt;CM$5+7,$E52&gt;CM$5),"■","")))</x:f>
      </x:c>
      <x:c r="CN52" s="7" t="str">
        <x:f>IF(OR($D52="",CN$5="",'상세일정'!AM52="제외"),"",IF($D52=$E52,IF(AND($D52&gt;=CN$5,$D52&lt;CN$5+7),"◆",""),IF(AND($D52&lt;CN$5+7,$E52&gt;CN$5),"■","")))</x:f>
      </x:c>
      <x:c r="CO52" s="7" t="str">
        <x:f>IF(OR($D52="",CO$5="",'상세일정'!AM52="제외"),"",IF($D52=$E52,IF(AND($D52&gt;=CO$5,$D52&lt;CO$5+7),"◆",""),IF(AND($D52&lt;CO$5+7,$E52&gt;CO$5),"■","")))</x:f>
      </x:c>
      <x:c r="CP52" s="7" t="str">
        <x:f>IF(OR($D52="",CP$5="",'상세일정'!AM52="제외"),"",IF($D52=$E52,IF(AND($D52&gt;=CP$5,$D52&lt;CP$5+7),"◆",""),IF(AND($D52&lt;CP$5+7,$E52&gt;CP$5),"■","")))</x:f>
      </x:c>
      <x:c r="CQ52" s="7" t="str">
        <x:f>IF(OR($D52="",CQ$5="",'상세일정'!AM52="제외"),"",IF($D52=$E52,IF(AND($D52&gt;=CQ$5,$D52&lt;CQ$5+7),"◆",""),IF(AND($D52&lt;CQ$5+7,$E52&gt;CQ$5),"■","")))</x:f>
      </x:c>
      <x:c r="CR52" s="7" t="str">
        <x:f>IF(OR($D52="",CR$5="",'상세일정'!AM52="제외"),"",IF($D52=$E52,IF(AND($D52&gt;=CR$5,$D52&lt;CR$5+7),"◆",""),IF(AND($D52&lt;CR$5+7,$E52&gt;CR$5),"■","")))</x:f>
      </x:c>
      <x:c r="CS52" s="7" t="str">
        <x:f>IF(OR($D52="",CS$5="",'상세일정'!AM52="제외"),"",IF($D52=$E52,IF(AND($D52&gt;=CS$5,$D52&lt;CS$5+7),"◆",""),IF(AND($D52&lt;CS$5+7,$E52&gt;CS$5),"■","")))</x:f>
      </x:c>
      <x:c r="CT52" s="7" t="str">
        <x:f>IF(OR($D52="",CT$5="",'상세일정'!AM52="제외"),"",IF($D52=$E52,IF(AND($D52&gt;=CT$5,$D52&lt;CT$5+7),"◆",""),IF(AND($D52&lt;CT$5+7,$E52&gt;CT$5),"■","")))</x:f>
      </x:c>
      <x:c r="CU52" s="7" t="str">
        <x:f>IF(OR($D52="",CU$5="",'상세일정'!AM52="제외"),"",IF($D52=$E52,IF(AND($D52&gt;=CU$5,$D52&lt;CU$5+7),"◆",""),IF(AND($D52&lt;CU$5+7,$E52&gt;CU$5),"■","")))</x:f>
      </x:c>
      <x:c r="CV52" s="7" t="str">
        <x:f>IF(OR($D52="",CV$5="",'상세일정'!AM52="제외"),"",IF($D52=$E52,IF(AND($D52&gt;=CV$5,$D52&lt;CV$5+7),"◆",""),IF(AND($D52&lt;CV$5+7,$E52&gt;CV$5),"■","")))</x:f>
      </x:c>
      <x:c r="CW52" s="7" t="str">
        <x:f>IF(OR($D52="",CW$5="",'상세일정'!AM52="제외"),"",IF($D52=$E52,IF(AND($D52&gt;=CW$5,$D52&lt;CW$5+7),"◆",""),IF(AND($D52&lt;CW$5+7,$E52&gt;CW$5),"■","")))</x:f>
      </x:c>
      <x:c r="CX52" s="7" t="str">
        <x:f>IF(OR($D52="",CX$5="",'상세일정'!AM52="제외"),"",IF($D52=$E52,IF(AND($D52&gt;=CX$5,$D52&lt;CX$5+7),"◆",""),IF(AND($D52&lt;CX$5+7,$E52&gt;CX$5),"■","")))</x:f>
      </x:c>
      <x:c r="CY52" s="7" t="str">
        <x:f>IF(OR($D52="",CY$5="",'상세일정'!AM52="제외"),"",IF($D52=$E52,IF(AND($D52&gt;=CY$5,$D52&lt;CY$5+7),"◆",""),IF(AND($D52&lt;CY$5+7,$E52&gt;CY$5),"■","")))</x:f>
      </x:c>
      <x:c r="CZ52" s="7" t="str">
        <x:f>IF(OR($D52="",CZ$5="",'상세일정'!AM52="제외"),"",IF($D52=$E52,IF(AND($D52&gt;=CZ$5,$D52&lt;CZ$5+7),"◆",""),IF(AND($D52&lt;CZ$5+7,$E52&gt;CZ$5),"■","")))</x:f>
      </x:c>
      <x:c r="DA52" s="7" t="str">
        <x:f>IF(OR($D52="",DA$5="",'상세일정'!AM52="제외"),"",IF($D52=$E52,IF(AND($D52&gt;=DA$5,$D52&lt;DA$5+7),"◆",""),IF(AND($D52&lt;DA$5+7,$E52&gt;DA$5),"■","")))</x:f>
      </x:c>
      <x:c r="DB52" s="7" t="str">
        <x:f>IF(OR($D52="",DB$5="",'상세일정'!AM52="제외"),"",IF($D52=$E52,IF(AND($D52&gt;=DB$5,$D52&lt;DB$5+7),"◆",""),IF(AND($D52&lt;DB$5+7,$E52&gt;DB$5),"■","")))</x:f>
      </x:c>
      <x:c r="DC52" s="7" t="str">
        <x:f>IF(OR($D52="",DC$5="",'상세일정'!AM52="제외"),"",IF($D52=$E52,IF(AND($D52&gt;=DC$5,$D52&lt;DC$5+7),"◆",""),IF(AND($D52&lt;DC$5+7,$E52&gt;DC$5),"■","")))</x:f>
      </x:c>
      <x:c r="DD52" s="7" t="str">
        <x:f>IF(OR($D52="",DD$5="",'상세일정'!AM52="제외"),"",IF($D52=$E52,IF(AND($D52&gt;=DD$5,$D52&lt;DD$5+7),"◆",""),IF(AND($D52&lt;DD$5+7,$E52&gt;DD$5),"■","")))</x:f>
      </x:c>
      <x:c r="DE52" s="7" t="str">
        <x:f>IF(OR($D52="",DE$5="",'상세일정'!AM52="제외"),"",IF($D52=$E52,IF(AND($D52&gt;=DE$5,$D52&lt;DE$5+7),"◆",""),IF(AND($D52&lt;DE$5+7,$E52&gt;DE$5),"■","")))</x:f>
      </x:c>
    </x:row>
    <x:row r="53" ht="34" customHeight="1">
      <x:c r="A53" s="7" t="str">
        <x:v>CV01</x:v>
      </x:c>
      <x:c r="B53" s="7" t="str">
        <x:v>09 토목·구조·건축 설계</x:v>
      </x:c>
      <x:c r="C53" s="7" t="str">
        <x:v>최신 VP 하중·앵커·배수·개구부 취합</x:v>
      </x:c>
      <x:c r="D53" s="10" t="str">
        <x:f>'상세일정'!AJ53</x:f>
      </x:c>
      <x:c r="E53" s="10" t="str">
        <x:f>'상세일정'!AK53</x:f>
      </x:c>
      <x:c r="F53" s="7" t="str">
        <x:f>IF(OR($D53="",F$5="",'상세일정'!AM53="제외"),"",IF($D53=$E53,IF(AND($D53&gt;=F$5,$D53&lt;F$5+7),"◆",""),IF(AND($D53&lt;F$5+7,$E53&gt;F$5),"■","")))</x:f>
      </x:c>
      <x:c r="G53" s="7" t="str">
        <x:f>IF(OR($D53="",G$5="",'상세일정'!AM53="제외"),"",IF($D53=$E53,IF(AND($D53&gt;=G$5,$D53&lt;G$5+7),"◆",""),IF(AND($D53&lt;G$5+7,$E53&gt;G$5),"■","")))</x:f>
      </x:c>
      <x:c r="H53" s="7" t="str">
        <x:f>IF(OR($D53="",H$5="",'상세일정'!AM53="제외"),"",IF($D53=$E53,IF(AND($D53&gt;=H$5,$D53&lt;H$5+7),"◆",""),IF(AND($D53&lt;H$5+7,$E53&gt;H$5),"■","")))</x:f>
      </x:c>
      <x:c r="I53" s="7" t="str">
        <x:f>IF(OR($D53="",I$5="",'상세일정'!AM53="제외"),"",IF($D53=$E53,IF(AND($D53&gt;=I$5,$D53&lt;I$5+7),"◆",""),IF(AND($D53&lt;I$5+7,$E53&gt;I$5),"■","")))</x:f>
      </x:c>
      <x:c r="J53" s="7" t="str">
        <x:f>IF(OR($D53="",J$5="",'상세일정'!AM53="제외"),"",IF($D53=$E53,IF(AND($D53&gt;=J$5,$D53&lt;J$5+7),"◆",""),IF(AND($D53&lt;J$5+7,$E53&gt;J$5),"■","")))</x:f>
      </x:c>
      <x:c r="K53" s="7" t="str">
        <x:f>IF(OR($D53="",K$5="",'상세일정'!AM53="제외"),"",IF($D53=$E53,IF(AND($D53&gt;=K$5,$D53&lt;K$5+7),"◆",""),IF(AND($D53&lt;K$5+7,$E53&gt;K$5),"■","")))</x:f>
      </x:c>
      <x:c r="L53" s="7" t="str">
        <x:f>IF(OR($D53="",L$5="",'상세일정'!AM53="제외"),"",IF($D53=$E53,IF(AND($D53&gt;=L$5,$D53&lt;L$5+7),"◆",""),IF(AND($D53&lt;L$5+7,$E53&gt;L$5),"■","")))</x:f>
      </x:c>
      <x:c r="M53" s="7" t="str">
        <x:f>IF(OR($D53="",M$5="",'상세일정'!AM53="제외"),"",IF($D53=$E53,IF(AND($D53&gt;=M$5,$D53&lt;M$5+7),"◆",""),IF(AND($D53&lt;M$5+7,$E53&gt;M$5),"■","")))</x:f>
      </x:c>
      <x:c r="N53" s="7" t="str">
        <x:f>IF(OR($D53="",N$5="",'상세일정'!AM53="제외"),"",IF($D53=$E53,IF(AND($D53&gt;=N$5,$D53&lt;N$5+7),"◆",""),IF(AND($D53&lt;N$5+7,$E53&gt;N$5),"■","")))</x:f>
      </x:c>
      <x:c r="O53" s="7" t="str">
        <x:f>IF(OR($D53="",O$5="",'상세일정'!AM53="제외"),"",IF($D53=$E53,IF(AND($D53&gt;=O$5,$D53&lt;O$5+7),"◆",""),IF(AND($D53&lt;O$5+7,$E53&gt;O$5),"■","")))</x:f>
      </x:c>
      <x:c r="P53" s="7" t="str">
        <x:f>IF(OR($D53="",P$5="",'상세일정'!AM53="제외"),"",IF($D53=$E53,IF(AND($D53&gt;=P$5,$D53&lt;P$5+7),"◆",""),IF(AND($D53&lt;P$5+7,$E53&gt;P$5),"■","")))</x:f>
      </x:c>
      <x:c r="Q53" s="7" t="str">
        <x:f>IF(OR($D53="",Q$5="",'상세일정'!AM53="제외"),"",IF($D53=$E53,IF(AND($D53&gt;=Q$5,$D53&lt;Q$5+7),"◆",""),IF(AND($D53&lt;Q$5+7,$E53&gt;Q$5),"■","")))</x:f>
      </x:c>
      <x:c r="R53" s="7" t="str">
        <x:f>IF(OR($D53="",R$5="",'상세일정'!AM53="제외"),"",IF($D53=$E53,IF(AND($D53&gt;=R$5,$D53&lt;R$5+7),"◆",""),IF(AND($D53&lt;R$5+7,$E53&gt;R$5),"■","")))</x:f>
      </x:c>
      <x:c r="S53" s="7" t="str">
        <x:f>IF(OR($D53="",S$5="",'상세일정'!AM53="제외"),"",IF($D53=$E53,IF(AND($D53&gt;=S$5,$D53&lt;S$5+7),"◆",""),IF(AND($D53&lt;S$5+7,$E53&gt;S$5),"■","")))</x:f>
      </x:c>
      <x:c r="T53" s="7" t="str">
        <x:f>IF(OR($D53="",T$5="",'상세일정'!AM53="제외"),"",IF($D53=$E53,IF(AND($D53&gt;=T$5,$D53&lt;T$5+7),"◆",""),IF(AND($D53&lt;T$5+7,$E53&gt;T$5),"■","")))</x:f>
      </x:c>
      <x:c r="U53" s="7" t="str">
        <x:f>IF(OR($D53="",U$5="",'상세일정'!AM53="제외"),"",IF($D53=$E53,IF(AND($D53&gt;=U$5,$D53&lt;U$5+7),"◆",""),IF(AND($D53&lt;U$5+7,$E53&gt;U$5),"■","")))</x:f>
      </x:c>
      <x:c r="V53" s="7" t="str">
        <x:f>IF(OR($D53="",V$5="",'상세일정'!AM53="제외"),"",IF($D53=$E53,IF(AND($D53&gt;=V$5,$D53&lt;V$5+7),"◆",""),IF(AND($D53&lt;V$5+7,$E53&gt;V$5),"■","")))</x:f>
      </x:c>
      <x:c r="W53" s="7" t="str">
        <x:f>IF(OR($D53="",W$5="",'상세일정'!AM53="제외"),"",IF($D53=$E53,IF(AND($D53&gt;=W$5,$D53&lt;W$5+7),"◆",""),IF(AND($D53&lt;W$5+7,$E53&gt;W$5),"■","")))</x:f>
      </x:c>
      <x:c r="X53" s="7" t="str">
        <x:f>IF(OR($D53="",X$5="",'상세일정'!AM53="제외"),"",IF($D53=$E53,IF(AND($D53&gt;=X$5,$D53&lt;X$5+7),"◆",""),IF(AND($D53&lt;X$5+7,$E53&gt;X$5),"■","")))</x:f>
      </x:c>
      <x:c r="Y53" s="7" t="str">
        <x:f>IF(OR($D53="",Y$5="",'상세일정'!AM53="제외"),"",IF($D53=$E53,IF(AND($D53&gt;=Y$5,$D53&lt;Y$5+7),"◆",""),IF(AND($D53&lt;Y$5+7,$E53&gt;Y$5),"■","")))</x:f>
      </x:c>
      <x:c r="Z53" s="7" t="str">
        <x:f>IF(OR($D53="",Z$5="",'상세일정'!AM53="제외"),"",IF($D53=$E53,IF(AND($D53&gt;=Z$5,$D53&lt;Z$5+7),"◆",""),IF(AND($D53&lt;Z$5+7,$E53&gt;Z$5),"■","")))</x:f>
      </x:c>
      <x:c r="AA53" s="7" t="str">
        <x:f>IF(OR($D53="",AA$5="",'상세일정'!AM53="제외"),"",IF($D53=$E53,IF(AND($D53&gt;=AA$5,$D53&lt;AA$5+7),"◆",""),IF(AND($D53&lt;AA$5+7,$E53&gt;AA$5),"■","")))</x:f>
      </x:c>
      <x:c r="AB53" s="7" t="str">
        <x:f>IF(OR($D53="",AB$5="",'상세일정'!AM53="제외"),"",IF($D53=$E53,IF(AND($D53&gt;=AB$5,$D53&lt;AB$5+7),"◆",""),IF(AND($D53&lt;AB$5+7,$E53&gt;AB$5),"■","")))</x:f>
      </x:c>
      <x:c r="AC53" s="7" t="str">
        <x:f>IF(OR($D53="",AC$5="",'상세일정'!AM53="제외"),"",IF($D53=$E53,IF(AND($D53&gt;=AC$5,$D53&lt;AC$5+7),"◆",""),IF(AND($D53&lt;AC$5+7,$E53&gt;AC$5),"■","")))</x:f>
      </x:c>
      <x:c r="AD53" s="7" t="str">
        <x:f>IF(OR($D53="",AD$5="",'상세일정'!AM53="제외"),"",IF($D53=$E53,IF(AND($D53&gt;=AD$5,$D53&lt;AD$5+7),"◆",""),IF(AND($D53&lt;AD$5+7,$E53&gt;AD$5),"■","")))</x:f>
      </x:c>
      <x:c r="AE53" s="7" t="str">
        <x:f>IF(OR($D53="",AE$5="",'상세일정'!AM53="제외"),"",IF($D53=$E53,IF(AND($D53&gt;=AE$5,$D53&lt;AE$5+7),"◆",""),IF(AND($D53&lt;AE$5+7,$E53&gt;AE$5),"■","")))</x:f>
      </x:c>
      <x:c r="AF53" s="7" t="str">
        <x:f>IF(OR($D53="",AF$5="",'상세일정'!AM53="제외"),"",IF($D53=$E53,IF(AND($D53&gt;=AF$5,$D53&lt;AF$5+7),"◆",""),IF(AND($D53&lt;AF$5+7,$E53&gt;AF$5),"■","")))</x:f>
      </x:c>
      <x:c r="AG53" s="7" t="str">
        <x:f>IF(OR($D53="",AG$5="",'상세일정'!AM53="제외"),"",IF($D53=$E53,IF(AND($D53&gt;=AG$5,$D53&lt;AG$5+7),"◆",""),IF(AND($D53&lt;AG$5+7,$E53&gt;AG$5),"■","")))</x:f>
      </x:c>
      <x:c r="AH53" s="7" t="str">
        <x:f>IF(OR($D53="",AH$5="",'상세일정'!AM53="제외"),"",IF($D53=$E53,IF(AND($D53&gt;=AH$5,$D53&lt;AH$5+7),"◆",""),IF(AND($D53&lt;AH$5+7,$E53&gt;AH$5),"■","")))</x:f>
      </x:c>
      <x:c r="AI53" s="7" t="str">
        <x:f>IF(OR($D53="",AI$5="",'상세일정'!AM53="제외"),"",IF($D53=$E53,IF(AND($D53&gt;=AI$5,$D53&lt;AI$5+7),"◆",""),IF(AND($D53&lt;AI$5+7,$E53&gt;AI$5),"■","")))</x:f>
      </x:c>
      <x:c r="AJ53" s="7" t="str">
        <x:f>IF(OR($D53="",AJ$5="",'상세일정'!AM53="제외"),"",IF($D53=$E53,IF(AND($D53&gt;=AJ$5,$D53&lt;AJ$5+7),"◆",""),IF(AND($D53&lt;AJ$5+7,$E53&gt;AJ$5),"■","")))</x:f>
      </x:c>
      <x:c r="AK53" s="7" t="str">
        <x:f>IF(OR($D53="",AK$5="",'상세일정'!AM53="제외"),"",IF($D53=$E53,IF(AND($D53&gt;=AK$5,$D53&lt;AK$5+7),"◆",""),IF(AND($D53&lt;AK$5+7,$E53&gt;AK$5),"■","")))</x:f>
      </x:c>
      <x:c r="AL53" s="7" t="str">
        <x:f>IF(OR($D53="",AL$5="",'상세일정'!AM53="제외"),"",IF($D53=$E53,IF(AND($D53&gt;=AL$5,$D53&lt;AL$5+7),"◆",""),IF(AND($D53&lt;AL$5+7,$E53&gt;AL$5),"■","")))</x:f>
      </x:c>
      <x:c r="AM53" s="7" t="str">
        <x:f>IF(OR($D53="",AM$5="",'상세일정'!AM53="제외"),"",IF($D53=$E53,IF(AND($D53&gt;=AM$5,$D53&lt;AM$5+7),"◆",""),IF(AND($D53&lt;AM$5+7,$E53&gt;AM$5),"■","")))</x:f>
      </x:c>
      <x:c r="AN53" s="7" t="str">
        <x:f>IF(OR($D53="",AN$5="",'상세일정'!AM53="제외"),"",IF($D53=$E53,IF(AND($D53&gt;=AN$5,$D53&lt;AN$5+7),"◆",""),IF(AND($D53&lt;AN$5+7,$E53&gt;AN$5),"■","")))</x:f>
      </x:c>
      <x:c r="AO53" s="7" t="str">
        <x:f>IF(OR($D53="",AO$5="",'상세일정'!AM53="제외"),"",IF($D53=$E53,IF(AND($D53&gt;=AO$5,$D53&lt;AO$5+7),"◆",""),IF(AND($D53&lt;AO$5+7,$E53&gt;AO$5),"■","")))</x:f>
      </x:c>
      <x:c r="AP53" s="7" t="str">
        <x:f>IF(OR($D53="",AP$5="",'상세일정'!AM53="제외"),"",IF($D53=$E53,IF(AND($D53&gt;=AP$5,$D53&lt;AP$5+7),"◆",""),IF(AND($D53&lt;AP$5+7,$E53&gt;AP$5),"■","")))</x:f>
      </x:c>
      <x:c r="AQ53" s="7" t="str">
        <x:f>IF(OR($D53="",AQ$5="",'상세일정'!AM53="제외"),"",IF($D53=$E53,IF(AND($D53&gt;=AQ$5,$D53&lt;AQ$5+7),"◆",""),IF(AND($D53&lt;AQ$5+7,$E53&gt;AQ$5),"■","")))</x:f>
      </x:c>
      <x:c r="AR53" s="7" t="str">
        <x:f>IF(OR($D53="",AR$5="",'상세일정'!AM53="제외"),"",IF($D53=$E53,IF(AND($D53&gt;=AR$5,$D53&lt;AR$5+7),"◆",""),IF(AND($D53&lt;AR$5+7,$E53&gt;AR$5),"■","")))</x:f>
      </x:c>
      <x:c r="AS53" s="7" t="str">
        <x:f>IF(OR($D53="",AS$5="",'상세일정'!AM53="제외"),"",IF($D53=$E53,IF(AND($D53&gt;=AS$5,$D53&lt;AS$5+7),"◆",""),IF(AND($D53&lt;AS$5+7,$E53&gt;AS$5),"■","")))</x:f>
      </x:c>
      <x:c r="AT53" s="7" t="str">
        <x:f>IF(OR($D53="",AT$5="",'상세일정'!AM53="제외"),"",IF($D53=$E53,IF(AND($D53&gt;=AT$5,$D53&lt;AT$5+7),"◆",""),IF(AND($D53&lt;AT$5+7,$E53&gt;AT$5),"■","")))</x:f>
      </x:c>
      <x:c r="AU53" s="7" t="str">
        <x:f>IF(OR($D53="",AU$5="",'상세일정'!AM53="제외"),"",IF($D53=$E53,IF(AND($D53&gt;=AU$5,$D53&lt;AU$5+7),"◆",""),IF(AND($D53&lt;AU$5+7,$E53&gt;AU$5),"■","")))</x:f>
      </x:c>
      <x:c r="AV53" s="7" t="str">
        <x:f>IF(OR($D53="",AV$5="",'상세일정'!AM53="제외"),"",IF($D53=$E53,IF(AND($D53&gt;=AV$5,$D53&lt;AV$5+7),"◆",""),IF(AND($D53&lt;AV$5+7,$E53&gt;AV$5),"■","")))</x:f>
      </x:c>
      <x:c r="AW53" s="7" t="str">
        <x:f>IF(OR($D53="",AW$5="",'상세일정'!AM53="제외"),"",IF($D53=$E53,IF(AND($D53&gt;=AW$5,$D53&lt;AW$5+7),"◆",""),IF(AND($D53&lt;AW$5+7,$E53&gt;AW$5),"■","")))</x:f>
      </x:c>
      <x:c r="AX53" s="7" t="str">
        <x:f>IF(OR($D53="",AX$5="",'상세일정'!AM53="제외"),"",IF($D53=$E53,IF(AND($D53&gt;=AX$5,$D53&lt;AX$5+7),"◆",""),IF(AND($D53&lt;AX$5+7,$E53&gt;AX$5),"■","")))</x:f>
      </x:c>
      <x:c r="AY53" s="7" t="str">
        <x:f>IF(OR($D53="",AY$5="",'상세일정'!AM53="제외"),"",IF($D53=$E53,IF(AND($D53&gt;=AY$5,$D53&lt;AY$5+7),"◆",""),IF(AND($D53&lt;AY$5+7,$E53&gt;AY$5),"■","")))</x:f>
      </x:c>
      <x:c r="AZ53" s="7" t="str">
        <x:f>IF(OR($D53="",AZ$5="",'상세일정'!AM53="제외"),"",IF($D53=$E53,IF(AND($D53&gt;=AZ$5,$D53&lt;AZ$5+7),"◆",""),IF(AND($D53&lt;AZ$5+7,$E53&gt;AZ$5),"■","")))</x:f>
      </x:c>
      <x:c r="BA53" s="7" t="str">
        <x:f>IF(OR($D53="",BA$5="",'상세일정'!AM53="제외"),"",IF($D53=$E53,IF(AND($D53&gt;=BA$5,$D53&lt;BA$5+7),"◆",""),IF(AND($D53&lt;BA$5+7,$E53&gt;BA$5),"■","")))</x:f>
      </x:c>
      <x:c r="BB53" s="7" t="str">
        <x:f>IF(OR($D53="",BB$5="",'상세일정'!AM53="제외"),"",IF($D53=$E53,IF(AND($D53&gt;=BB$5,$D53&lt;BB$5+7),"◆",""),IF(AND($D53&lt;BB$5+7,$E53&gt;BB$5),"■","")))</x:f>
      </x:c>
      <x:c r="BC53" s="7" t="str">
        <x:f>IF(OR($D53="",BC$5="",'상세일정'!AM53="제외"),"",IF($D53=$E53,IF(AND($D53&gt;=BC$5,$D53&lt;BC$5+7),"◆",""),IF(AND($D53&lt;BC$5+7,$E53&gt;BC$5),"■","")))</x:f>
      </x:c>
      <x:c r="BD53" s="7" t="str">
        <x:f>IF(OR($D53="",BD$5="",'상세일정'!AM53="제외"),"",IF($D53=$E53,IF(AND($D53&gt;=BD$5,$D53&lt;BD$5+7),"◆",""),IF(AND($D53&lt;BD$5+7,$E53&gt;BD$5),"■","")))</x:f>
      </x:c>
      <x:c r="BE53" s="7" t="str">
        <x:f>IF(OR($D53="",BE$5="",'상세일정'!AM53="제외"),"",IF($D53=$E53,IF(AND($D53&gt;=BE$5,$D53&lt;BE$5+7),"◆",""),IF(AND($D53&lt;BE$5+7,$E53&gt;BE$5),"■","")))</x:f>
      </x:c>
      <x:c r="BF53" s="7" t="str">
        <x:f>IF(OR($D53="",BF$5="",'상세일정'!AM53="제외"),"",IF($D53=$E53,IF(AND($D53&gt;=BF$5,$D53&lt;BF$5+7),"◆",""),IF(AND($D53&lt;BF$5+7,$E53&gt;BF$5),"■","")))</x:f>
      </x:c>
      <x:c r="BG53" s="7" t="str">
        <x:f>IF(OR($D53="",BG$5="",'상세일정'!AM53="제외"),"",IF($D53=$E53,IF(AND($D53&gt;=BG$5,$D53&lt;BG$5+7),"◆",""),IF(AND($D53&lt;BG$5+7,$E53&gt;BG$5),"■","")))</x:f>
      </x:c>
      <x:c r="BH53" s="7" t="str">
        <x:f>IF(OR($D53="",BH$5="",'상세일정'!AM53="제외"),"",IF($D53=$E53,IF(AND($D53&gt;=BH$5,$D53&lt;BH$5+7),"◆",""),IF(AND($D53&lt;BH$5+7,$E53&gt;BH$5),"■","")))</x:f>
      </x:c>
      <x:c r="BI53" s="7" t="str">
        <x:f>IF(OR($D53="",BI$5="",'상세일정'!AM53="제외"),"",IF($D53=$E53,IF(AND($D53&gt;=BI$5,$D53&lt;BI$5+7),"◆",""),IF(AND($D53&lt;BI$5+7,$E53&gt;BI$5),"■","")))</x:f>
      </x:c>
      <x:c r="BJ53" s="7" t="str">
        <x:f>IF(OR($D53="",BJ$5="",'상세일정'!AM53="제외"),"",IF($D53=$E53,IF(AND($D53&gt;=BJ$5,$D53&lt;BJ$5+7),"◆",""),IF(AND($D53&lt;BJ$5+7,$E53&gt;BJ$5),"■","")))</x:f>
      </x:c>
      <x:c r="BK53" s="7" t="str">
        <x:f>IF(OR($D53="",BK$5="",'상세일정'!AM53="제외"),"",IF($D53=$E53,IF(AND($D53&gt;=BK$5,$D53&lt;BK$5+7),"◆",""),IF(AND($D53&lt;BK$5+7,$E53&gt;BK$5),"■","")))</x:f>
      </x:c>
      <x:c r="BL53" s="7" t="str">
        <x:f>IF(OR($D53="",BL$5="",'상세일정'!AM53="제외"),"",IF($D53=$E53,IF(AND($D53&gt;=BL$5,$D53&lt;BL$5+7),"◆",""),IF(AND($D53&lt;BL$5+7,$E53&gt;BL$5),"■","")))</x:f>
      </x:c>
      <x:c r="BM53" s="7" t="str">
        <x:f>IF(OR($D53="",BM$5="",'상세일정'!AM53="제외"),"",IF($D53=$E53,IF(AND($D53&gt;=BM$5,$D53&lt;BM$5+7),"◆",""),IF(AND($D53&lt;BM$5+7,$E53&gt;BM$5),"■","")))</x:f>
      </x:c>
      <x:c r="BN53" s="7" t="str">
        <x:f>IF(OR($D53="",BN$5="",'상세일정'!AM53="제외"),"",IF($D53=$E53,IF(AND($D53&gt;=BN$5,$D53&lt;BN$5+7),"◆",""),IF(AND($D53&lt;BN$5+7,$E53&gt;BN$5),"■","")))</x:f>
      </x:c>
      <x:c r="BO53" s="7" t="str">
        <x:f>IF(OR($D53="",BO$5="",'상세일정'!AM53="제외"),"",IF($D53=$E53,IF(AND($D53&gt;=BO$5,$D53&lt;BO$5+7),"◆",""),IF(AND($D53&lt;BO$5+7,$E53&gt;BO$5),"■","")))</x:f>
      </x:c>
      <x:c r="BP53" s="7" t="str">
        <x:f>IF(OR($D53="",BP$5="",'상세일정'!AM53="제외"),"",IF($D53=$E53,IF(AND($D53&gt;=BP$5,$D53&lt;BP$5+7),"◆",""),IF(AND($D53&lt;BP$5+7,$E53&gt;BP$5),"■","")))</x:f>
      </x:c>
      <x:c r="BQ53" s="7" t="str">
        <x:f>IF(OR($D53="",BQ$5="",'상세일정'!AM53="제외"),"",IF($D53=$E53,IF(AND($D53&gt;=BQ$5,$D53&lt;BQ$5+7),"◆",""),IF(AND($D53&lt;BQ$5+7,$E53&gt;BQ$5),"■","")))</x:f>
      </x:c>
      <x:c r="BR53" s="7" t="str">
        <x:f>IF(OR($D53="",BR$5="",'상세일정'!AM53="제외"),"",IF($D53=$E53,IF(AND($D53&gt;=BR$5,$D53&lt;BR$5+7),"◆",""),IF(AND($D53&lt;BR$5+7,$E53&gt;BR$5),"■","")))</x:f>
      </x:c>
      <x:c r="BS53" s="7" t="str">
        <x:f>IF(OR($D53="",BS$5="",'상세일정'!AM53="제외"),"",IF($D53=$E53,IF(AND($D53&gt;=BS$5,$D53&lt;BS$5+7),"◆",""),IF(AND($D53&lt;BS$5+7,$E53&gt;BS$5),"■","")))</x:f>
      </x:c>
      <x:c r="BT53" s="7" t="str">
        <x:f>IF(OR($D53="",BT$5="",'상세일정'!AM53="제외"),"",IF($D53=$E53,IF(AND($D53&gt;=BT$5,$D53&lt;BT$5+7),"◆",""),IF(AND($D53&lt;BT$5+7,$E53&gt;BT$5),"■","")))</x:f>
      </x:c>
      <x:c r="BU53" s="7" t="str">
        <x:f>IF(OR($D53="",BU$5="",'상세일정'!AM53="제외"),"",IF($D53=$E53,IF(AND($D53&gt;=BU$5,$D53&lt;BU$5+7),"◆",""),IF(AND($D53&lt;BU$5+7,$E53&gt;BU$5),"■","")))</x:f>
      </x:c>
      <x:c r="BV53" s="7" t="str">
        <x:f>IF(OR($D53="",BV$5="",'상세일정'!AM53="제외"),"",IF($D53=$E53,IF(AND($D53&gt;=BV$5,$D53&lt;BV$5+7),"◆",""),IF(AND($D53&lt;BV$5+7,$E53&gt;BV$5),"■","")))</x:f>
      </x:c>
      <x:c r="BW53" s="7" t="str">
        <x:f>IF(OR($D53="",BW$5="",'상세일정'!AM53="제외"),"",IF($D53=$E53,IF(AND($D53&gt;=BW$5,$D53&lt;BW$5+7),"◆",""),IF(AND($D53&lt;BW$5+7,$E53&gt;BW$5),"■","")))</x:f>
      </x:c>
      <x:c r="BX53" s="7" t="str">
        <x:f>IF(OR($D53="",BX$5="",'상세일정'!AM53="제외"),"",IF($D53=$E53,IF(AND($D53&gt;=BX$5,$D53&lt;BX$5+7),"◆",""),IF(AND($D53&lt;BX$5+7,$E53&gt;BX$5),"■","")))</x:f>
      </x:c>
      <x:c r="BY53" s="7" t="str">
        <x:f>IF(OR($D53="",BY$5="",'상세일정'!AM53="제외"),"",IF($D53=$E53,IF(AND($D53&gt;=BY$5,$D53&lt;BY$5+7),"◆",""),IF(AND($D53&lt;BY$5+7,$E53&gt;BY$5),"■","")))</x:f>
      </x:c>
      <x:c r="BZ53" s="7" t="str">
        <x:f>IF(OR($D53="",BZ$5="",'상세일정'!AM53="제외"),"",IF($D53=$E53,IF(AND($D53&gt;=BZ$5,$D53&lt;BZ$5+7),"◆",""),IF(AND($D53&lt;BZ$5+7,$E53&gt;BZ$5),"■","")))</x:f>
      </x:c>
      <x:c r="CA53" s="7" t="str">
        <x:f>IF(OR($D53="",CA$5="",'상세일정'!AM53="제외"),"",IF($D53=$E53,IF(AND($D53&gt;=CA$5,$D53&lt;CA$5+7),"◆",""),IF(AND($D53&lt;CA$5+7,$E53&gt;CA$5),"■","")))</x:f>
      </x:c>
      <x:c r="CB53" s="7" t="str">
        <x:f>IF(OR($D53="",CB$5="",'상세일정'!AM53="제외"),"",IF($D53=$E53,IF(AND($D53&gt;=CB$5,$D53&lt;CB$5+7),"◆",""),IF(AND($D53&lt;CB$5+7,$E53&gt;CB$5),"■","")))</x:f>
      </x:c>
      <x:c r="CC53" s="7" t="str">
        <x:f>IF(OR($D53="",CC$5="",'상세일정'!AM53="제외"),"",IF($D53=$E53,IF(AND($D53&gt;=CC$5,$D53&lt;CC$5+7),"◆",""),IF(AND($D53&lt;CC$5+7,$E53&gt;CC$5),"■","")))</x:f>
      </x:c>
      <x:c r="CD53" s="7" t="str">
        <x:f>IF(OR($D53="",CD$5="",'상세일정'!AM53="제외"),"",IF($D53=$E53,IF(AND($D53&gt;=CD$5,$D53&lt;CD$5+7),"◆",""),IF(AND($D53&lt;CD$5+7,$E53&gt;CD$5),"■","")))</x:f>
      </x:c>
      <x:c r="CE53" s="7" t="str">
        <x:f>IF(OR($D53="",CE$5="",'상세일정'!AM53="제외"),"",IF($D53=$E53,IF(AND($D53&gt;=CE$5,$D53&lt;CE$5+7),"◆",""),IF(AND($D53&lt;CE$5+7,$E53&gt;CE$5),"■","")))</x:f>
      </x:c>
      <x:c r="CF53" s="7" t="str">
        <x:f>IF(OR($D53="",CF$5="",'상세일정'!AM53="제외"),"",IF($D53=$E53,IF(AND($D53&gt;=CF$5,$D53&lt;CF$5+7),"◆",""),IF(AND($D53&lt;CF$5+7,$E53&gt;CF$5),"■","")))</x:f>
      </x:c>
      <x:c r="CG53" s="7" t="str">
        <x:f>IF(OR($D53="",CG$5="",'상세일정'!AM53="제외"),"",IF($D53=$E53,IF(AND($D53&gt;=CG$5,$D53&lt;CG$5+7),"◆",""),IF(AND($D53&lt;CG$5+7,$E53&gt;CG$5),"■","")))</x:f>
      </x:c>
      <x:c r="CH53" s="7" t="str">
        <x:f>IF(OR($D53="",CH$5="",'상세일정'!AM53="제외"),"",IF($D53=$E53,IF(AND($D53&gt;=CH$5,$D53&lt;CH$5+7),"◆",""),IF(AND($D53&lt;CH$5+7,$E53&gt;CH$5),"■","")))</x:f>
      </x:c>
      <x:c r="CI53" s="7" t="str">
        <x:f>IF(OR($D53="",CI$5="",'상세일정'!AM53="제외"),"",IF($D53=$E53,IF(AND($D53&gt;=CI$5,$D53&lt;CI$5+7),"◆",""),IF(AND($D53&lt;CI$5+7,$E53&gt;CI$5),"■","")))</x:f>
      </x:c>
      <x:c r="CJ53" s="7" t="str">
        <x:f>IF(OR($D53="",CJ$5="",'상세일정'!AM53="제외"),"",IF($D53=$E53,IF(AND($D53&gt;=CJ$5,$D53&lt;CJ$5+7),"◆",""),IF(AND($D53&lt;CJ$5+7,$E53&gt;CJ$5),"■","")))</x:f>
      </x:c>
      <x:c r="CK53" s="7" t="str">
        <x:f>IF(OR($D53="",CK$5="",'상세일정'!AM53="제외"),"",IF($D53=$E53,IF(AND($D53&gt;=CK$5,$D53&lt;CK$5+7),"◆",""),IF(AND($D53&lt;CK$5+7,$E53&gt;CK$5),"■","")))</x:f>
      </x:c>
      <x:c r="CL53" s="7" t="str">
        <x:f>IF(OR($D53="",CL$5="",'상세일정'!AM53="제외"),"",IF($D53=$E53,IF(AND($D53&gt;=CL$5,$D53&lt;CL$5+7),"◆",""),IF(AND($D53&lt;CL$5+7,$E53&gt;CL$5),"■","")))</x:f>
      </x:c>
      <x:c r="CM53" s="7" t="str">
        <x:f>IF(OR($D53="",CM$5="",'상세일정'!AM53="제외"),"",IF($D53=$E53,IF(AND($D53&gt;=CM$5,$D53&lt;CM$5+7),"◆",""),IF(AND($D53&lt;CM$5+7,$E53&gt;CM$5),"■","")))</x:f>
      </x:c>
      <x:c r="CN53" s="7" t="str">
        <x:f>IF(OR($D53="",CN$5="",'상세일정'!AM53="제외"),"",IF($D53=$E53,IF(AND($D53&gt;=CN$5,$D53&lt;CN$5+7),"◆",""),IF(AND($D53&lt;CN$5+7,$E53&gt;CN$5),"■","")))</x:f>
      </x:c>
      <x:c r="CO53" s="7" t="str">
        <x:f>IF(OR($D53="",CO$5="",'상세일정'!AM53="제외"),"",IF($D53=$E53,IF(AND($D53&gt;=CO$5,$D53&lt;CO$5+7),"◆",""),IF(AND($D53&lt;CO$5+7,$E53&gt;CO$5),"■","")))</x:f>
      </x:c>
      <x:c r="CP53" s="7" t="str">
        <x:f>IF(OR($D53="",CP$5="",'상세일정'!AM53="제외"),"",IF($D53=$E53,IF(AND($D53&gt;=CP$5,$D53&lt;CP$5+7),"◆",""),IF(AND($D53&lt;CP$5+7,$E53&gt;CP$5),"■","")))</x:f>
      </x:c>
      <x:c r="CQ53" s="7" t="str">
        <x:f>IF(OR($D53="",CQ$5="",'상세일정'!AM53="제외"),"",IF($D53=$E53,IF(AND($D53&gt;=CQ$5,$D53&lt;CQ$5+7),"◆",""),IF(AND($D53&lt;CQ$5+7,$E53&gt;CQ$5),"■","")))</x:f>
      </x:c>
      <x:c r="CR53" s="7" t="str">
        <x:f>IF(OR($D53="",CR$5="",'상세일정'!AM53="제외"),"",IF($D53=$E53,IF(AND($D53&gt;=CR$5,$D53&lt;CR$5+7),"◆",""),IF(AND($D53&lt;CR$5+7,$E53&gt;CR$5),"■","")))</x:f>
      </x:c>
      <x:c r="CS53" s="7" t="str">
        <x:f>IF(OR($D53="",CS$5="",'상세일정'!AM53="제외"),"",IF($D53=$E53,IF(AND($D53&gt;=CS$5,$D53&lt;CS$5+7),"◆",""),IF(AND($D53&lt;CS$5+7,$E53&gt;CS$5),"■","")))</x:f>
      </x:c>
      <x:c r="CT53" s="7" t="str">
        <x:f>IF(OR($D53="",CT$5="",'상세일정'!AM53="제외"),"",IF($D53=$E53,IF(AND($D53&gt;=CT$5,$D53&lt;CT$5+7),"◆",""),IF(AND($D53&lt;CT$5+7,$E53&gt;CT$5),"■","")))</x:f>
      </x:c>
      <x:c r="CU53" s="7" t="str">
        <x:f>IF(OR($D53="",CU$5="",'상세일정'!AM53="제외"),"",IF($D53=$E53,IF(AND($D53&gt;=CU$5,$D53&lt;CU$5+7),"◆",""),IF(AND($D53&lt;CU$5+7,$E53&gt;CU$5),"■","")))</x:f>
      </x:c>
      <x:c r="CV53" s="7" t="str">
        <x:f>IF(OR($D53="",CV$5="",'상세일정'!AM53="제외"),"",IF($D53=$E53,IF(AND($D53&gt;=CV$5,$D53&lt;CV$5+7),"◆",""),IF(AND($D53&lt;CV$5+7,$E53&gt;CV$5),"■","")))</x:f>
      </x:c>
      <x:c r="CW53" s="7" t="str">
        <x:f>IF(OR($D53="",CW$5="",'상세일정'!AM53="제외"),"",IF($D53=$E53,IF(AND($D53&gt;=CW$5,$D53&lt;CW$5+7),"◆",""),IF(AND($D53&lt;CW$5+7,$E53&gt;CW$5),"■","")))</x:f>
      </x:c>
      <x:c r="CX53" s="7" t="str">
        <x:f>IF(OR($D53="",CX$5="",'상세일정'!AM53="제외"),"",IF($D53=$E53,IF(AND($D53&gt;=CX$5,$D53&lt;CX$5+7),"◆",""),IF(AND($D53&lt;CX$5+7,$E53&gt;CX$5),"■","")))</x:f>
      </x:c>
      <x:c r="CY53" s="7" t="str">
        <x:f>IF(OR($D53="",CY$5="",'상세일정'!AM53="제외"),"",IF($D53=$E53,IF(AND($D53&gt;=CY$5,$D53&lt;CY$5+7),"◆",""),IF(AND($D53&lt;CY$5+7,$E53&gt;CY$5),"■","")))</x:f>
      </x:c>
      <x:c r="CZ53" s="7" t="str">
        <x:f>IF(OR($D53="",CZ$5="",'상세일정'!AM53="제외"),"",IF($D53=$E53,IF(AND($D53&gt;=CZ$5,$D53&lt;CZ$5+7),"◆",""),IF(AND($D53&lt;CZ$5+7,$E53&gt;CZ$5),"■","")))</x:f>
      </x:c>
      <x:c r="DA53" s="7" t="str">
        <x:f>IF(OR($D53="",DA$5="",'상세일정'!AM53="제외"),"",IF($D53=$E53,IF(AND($D53&gt;=DA$5,$D53&lt;DA$5+7),"◆",""),IF(AND($D53&lt;DA$5+7,$E53&gt;DA$5),"■","")))</x:f>
      </x:c>
      <x:c r="DB53" s="7" t="str">
        <x:f>IF(OR($D53="",DB$5="",'상세일정'!AM53="제외"),"",IF($D53=$E53,IF(AND($D53&gt;=DB$5,$D53&lt;DB$5+7),"◆",""),IF(AND($D53&lt;DB$5+7,$E53&gt;DB$5),"■","")))</x:f>
      </x:c>
      <x:c r="DC53" s="7" t="str">
        <x:f>IF(OR($D53="",DC$5="",'상세일정'!AM53="제외"),"",IF($D53=$E53,IF(AND($D53&gt;=DC$5,$D53&lt;DC$5+7),"◆",""),IF(AND($D53&lt;DC$5+7,$E53&gt;DC$5),"■","")))</x:f>
      </x:c>
      <x:c r="DD53" s="7" t="str">
        <x:f>IF(OR($D53="",DD$5="",'상세일정'!AM53="제외"),"",IF($D53=$E53,IF(AND($D53&gt;=DD$5,$D53&lt;DD$5+7),"◆",""),IF(AND($D53&lt;DD$5+7,$E53&gt;DD$5),"■","")))</x:f>
      </x:c>
      <x:c r="DE53" s="7" t="str">
        <x:f>IF(OR($D53="",DE$5="",'상세일정'!AM53="제외"),"",IF($D53=$E53,IF(AND($D53&gt;=DE$5,$D53&lt;DE$5+7),"◆",""),IF(AND($D53&lt;DE$5+7,$E53&gt;DE$5),"■","")))</x:f>
      </x:c>
    </x:row>
    <x:row r="54" ht="34" customHeight="1">
      <x:c r="A54" s="7" t="str">
        <x:v>CV02</x:v>
      </x:c>
      <x:c r="B54" s="7" t="str">
        <x:v>09 토목·구조·건축 설계</x:v>
      </x:c>
      <x:c r="C54" s="7" t="str">
        <x:v>토목 계획고·우오수·집수정·트렌치 설계</x:v>
      </x:c>
      <x:c r="D54" s="10" t="str">
        <x:f>'상세일정'!AJ54</x:f>
      </x:c>
      <x:c r="E54" s="10" t="str">
        <x:f>'상세일정'!AK54</x:f>
      </x:c>
      <x:c r="F54" s="7" t="str">
        <x:f>IF(OR($D54="",F$5="",'상세일정'!AM54="제외"),"",IF($D54=$E54,IF(AND($D54&gt;=F$5,$D54&lt;F$5+7),"◆",""),IF(AND($D54&lt;F$5+7,$E54&gt;F$5),"■","")))</x:f>
      </x:c>
      <x:c r="G54" s="7" t="str">
        <x:f>IF(OR($D54="",G$5="",'상세일정'!AM54="제외"),"",IF($D54=$E54,IF(AND($D54&gt;=G$5,$D54&lt;G$5+7),"◆",""),IF(AND($D54&lt;G$5+7,$E54&gt;G$5),"■","")))</x:f>
      </x:c>
      <x:c r="H54" s="7" t="str">
        <x:f>IF(OR($D54="",H$5="",'상세일정'!AM54="제외"),"",IF($D54=$E54,IF(AND($D54&gt;=H$5,$D54&lt;H$5+7),"◆",""),IF(AND($D54&lt;H$5+7,$E54&gt;H$5),"■","")))</x:f>
      </x:c>
      <x:c r="I54" s="7" t="str">
        <x:f>IF(OR($D54="",I$5="",'상세일정'!AM54="제외"),"",IF($D54=$E54,IF(AND($D54&gt;=I$5,$D54&lt;I$5+7),"◆",""),IF(AND($D54&lt;I$5+7,$E54&gt;I$5),"■","")))</x:f>
      </x:c>
      <x:c r="J54" s="7" t="str">
        <x:f>IF(OR($D54="",J$5="",'상세일정'!AM54="제외"),"",IF($D54=$E54,IF(AND($D54&gt;=J$5,$D54&lt;J$5+7),"◆",""),IF(AND($D54&lt;J$5+7,$E54&gt;J$5),"■","")))</x:f>
      </x:c>
      <x:c r="K54" s="7" t="str">
        <x:f>IF(OR($D54="",K$5="",'상세일정'!AM54="제외"),"",IF($D54=$E54,IF(AND($D54&gt;=K$5,$D54&lt;K$5+7),"◆",""),IF(AND($D54&lt;K$5+7,$E54&gt;K$5),"■","")))</x:f>
      </x:c>
      <x:c r="L54" s="7" t="str">
        <x:f>IF(OR($D54="",L$5="",'상세일정'!AM54="제외"),"",IF($D54=$E54,IF(AND($D54&gt;=L$5,$D54&lt;L$5+7),"◆",""),IF(AND($D54&lt;L$5+7,$E54&gt;L$5),"■","")))</x:f>
      </x:c>
      <x:c r="M54" s="7" t="str">
        <x:f>IF(OR($D54="",M$5="",'상세일정'!AM54="제외"),"",IF($D54=$E54,IF(AND($D54&gt;=M$5,$D54&lt;M$5+7),"◆",""),IF(AND($D54&lt;M$5+7,$E54&gt;M$5),"■","")))</x:f>
      </x:c>
      <x:c r="N54" s="7" t="str">
        <x:f>IF(OR($D54="",N$5="",'상세일정'!AM54="제외"),"",IF($D54=$E54,IF(AND($D54&gt;=N$5,$D54&lt;N$5+7),"◆",""),IF(AND($D54&lt;N$5+7,$E54&gt;N$5),"■","")))</x:f>
      </x:c>
      <x:c r="O54" s="7" t="str">
        <x:f>IF(OR($D54="",O$5="",'상세일정'!AM54="제외"),"",IF($D54=$E54,IF(AND($D54&gt;=O$5,$D54&lt;O$5+7),"◆",""),IF(AND($D54&lt;O$5+7,$E54&gt;O$5),"■","")))</x:f>
      </x:c>
      <x:c r="P54" s="7" t="str">
        <x:f>IF(OR($D54="",P$5="",'상세일정'!AM54="제외"),"",IF($D54=$E54,IF(AND($D54&gt;=P$5,$D54&lt;P$5+7),"◆",""),IF(AND($D54&lt;P$5+7,$E54&gt;P$5),"■","")))</x:f>
      </x:c>
      <x:c r="Q54" s="7" t="str">
        <x:f>IF(OR($D54="",Q$5="",'상세일정'!AM54="제외"),"",IF($D54=$E54,IF(AND($D54&gt;=Q$5,$D54&lt;Q$5+7),"◆",""),IF(AND($D54&lt;Q$5+7,$E54&gt;Q$5),"■","")))</x:f>
      </x:c>
      <x:c r="R54" s="7" t="str">
        <x:f>IF(OR($D54="",R$5="",'상세일정'!AM54="제외"),"",IF($D54=$E54,IF(AND($D54&gt;=R$5,$D54&lt;R$5+7),"◆",""),IF(AND($D54&lt;R$5+7,$E54&gt;R$5),"■","")))</x:f>
      </x:c>
      <x:c r="S54" s="7" t="str">
        <x:f>IF(OR($D54="",S$5="",'상세일정'!AM54="제외"),"",IF($D54=$E54,IF(AND($D54&gt;=S$5,$D54&lt;S$5+7),"◆",""),IF(AND($D54&lt;S$5+7,$E54&gt;S$5),"■","")))</x:f>
      </x:c>
      <x:c r="T54" s="7" t="str">
        <x:f>IF(OR($D54="",T$5="",'상세일정'!AM54="제외"),"",IF($D54=$E54,IF(AND($D54&gt;=T$5,$D54&lt;T$5+7),"◆",""),IF(AND($D54&lt;T$5+7,$E54&gt;T$5),"■","")))</x:f>
      </x:c>
      <x:c r="U54" s="7" t="str">
        <x:f>IF(OR($D54="",U$5="",'상세일정'!AM54="제외"),"",IF($D54=$E54,IF(AND($D54&gt;=U$5,$D54&lt;U$5+7),"◆",""),IF(AND($D54&lt;U$5+7,$E54&gt;U$5),"■","")))</x:f>
      </x:c>
      <x:c r="V54" s="7" t="str">
        <x:f>IF(OR($D54="",V$5="",'상세일정'!AM54="제외"),"",IF($D54=$E54,IF(AND($D54&gt;=V$5,$D54&lt;V$5+7),"◆",""),IF(AND($D54&lt;V$5+7,$E54&gt;V$5),"■","")))</x:f>
      </x:c>
      <x:c r="W54" s="7" t="str">
        <x:f>IF(OR($D54="",W$5="",'상세일정'!AM54="제외"),"",IF($D54=$E54,IF(AND($D54&gt;=W$5,$D54&lt;W$5+7),"◆",""),IF(AND($D54&lt;W$5+7,$E54&gt;W$5),"■","")))</x:f>
      </x:c>
      <x:c r="X54" s="7" t="str">
        <x:f>IF(OR($D54="",X$5="",'상세일정'!AM54="제외"),"",IF($D54=$E54,IF(AND($D54&gt;=X$5,$D54&lt;X$5+7),"◆",""),IF(AND($D54&lt;X$5+7,$E54&gt;X$5),"■","")))</x:f>
      </x:c>
      <x:c r="Y54" s="7" t="str">
        <x:f>IF(OR($D54="",Y$5="",'상세일정'!AM54="제외"),"",IF($D54=$E54,IF(AND($D54&gt;=Y$5,$D54&lt;Y$5+7),"◆",""),IF(AND($D54&lt;Y$5+7,$E54&gt;Y$5),"■","")))</x:f>
      </x:c>
      <x:c r="Z54" s="7" t="str">
        <x:f>IF(OR($D54="",Z$5="",'상세일정'!AM54="제외"),"",IF($D54=$E54,IF(AND($D54&gt;=Z$5,$D54&lt;Z$5+7),"◆",""),IF(AND($D54&lt;Z$5+7,$E54&gt;Z$5),"■","")))</x:f>
      </x:c>
      <x:c r="AA54" s="7" t="str">
        <x:f>IF(OR($D54="",AA$5="",'상세일정'!AM54="제외"),"",IF($D54=$E54,IF(AND($D54&gt;=AA$5,$D54&lt;AA$5+7),"◆",""),IF(AND($D54&lt;AA$5+7,$E54&gt;AA$5),"■","")))</x:f>
      </x:c>
      <x:c r="AB54" s="7" t="str">
        <x:f>IF(OR($D54="",AB$5="",'상세일정'!AM54="제외"),"",IF($D54=$E54,IF(AND($D54&gt;=AB$5,$D54&lt;AB$5+7),"◆",""),IF(AND($D54&lt;AB$5+7,$E54&gt;AB$5),"■","")))</x:f>
      </x:c>
      <x:c r="AC54" s="7" t="str">
        <x:f>IF(OR($D54="",AC$5="",'상세일정'!AM54="제외"),"",IF($D54=$E54,IF(AND($D54&gt;=AC$5,$D54&lt;AC$5+7),"◆",""),IF(AND($D54&lt;AC$5+7,$E54&gt;AC$5),"■","")))</x:f>
      </x:c>
      <x:c r="AD54" s="7" t="str">
        <x:f>IF(OR($D54="",AD$5="",'상세일정'!AM54="제외"),"",IF($D54=$E54,IF(AND($D54&gt;=AD$5,$D54&lt;AD$5+7),"◆",""),IF(AND($D54&lt;AD$5+7,$E54&gt;AD$5),"■","")))</x:f>
      </x:c>
      <x:c r="AE54" s="7" t="str">
        <x:f>IF(OR($D54="",AE$5="",'상세일정'!AM54="제외"),"",IF($D54=$E54,IF(AND($D54&gt;=AE$5,$D54&lt;AE$5+7),"◆",""),IF(AND($D54&lt;AE$5+7,$E54&gt;AE$5),"■","")))</x:f>
      </x:c>
      <x:c r="AF54" s="7" t="str">
        <x:f>IF(OR($D54="",AF$5="",'상세일정'!AM54="제외"),"",IF($D54=$E54,IF(AND($D54&gt;=AF$5,$D54&lt;AF$5+7),"◆",""),IF(AND($D54&lt;AF$5+7,$E54&gt;AF$5),"■","")))</x:f>
      </x:c>
      <x:c r="AG54" s="7" t="str">
        <x:f>IF(OR($D54="",AG$5="",'상세일정'!AM54="제외"),"",IF($D54=$E54,IF(AND($D54&gt;=AG$5,$D54&lt;AG$5+7),"◆",""),IF(AND($D54&lt;AG$5+7,$E54&gt;AG$5),"■","")))</x:f>
      </x:c>
      <x:c r="AH54" s="7" t="str">
        <x:f>IF(OR($D54="",AH$5="",'상세일정'!AM54="제외"),"",IF($D54=$E54,IF(AND($D54&gt;=AH$5,$D54&lt;AH$5+7),"◆",""),IF(AND($D54&lt;AH$5+7,$E54&gt;AH$5),"■","")))</x:f>
      </x:c>
      <x:c r="AI54" s="7" t="str">
        <x:f>IF(OR($D54="",AI$5="",'상세일정'!AM54="제외"),"",IF($D54=$E54,IF(AND($D54&gt;=AI$5,$D54&lt;AI$5+7),"◆",""),IF(AND($D54&lt;AI$5+7,$E54&gt;AI$5),"■","")))</x:f>
      </x:c>
      <x:c r="AJ54" s="7" t="str">
        <x:f>IF(OR($D54="",AJ$5="",'상세일정'!AM54="제외"),"",IF($D54=$E54,IF(AND($D54&gt;=AJ$5,$D54&lt;AJ$5+7),"◆",""),IF(AND($D54&lt;AJ$5+7,$E54&gt;AJ$5),"■","")))</x:f>
      </x:c>
      <x:c r="AK54" s="7" t="str">
        <x:f>IF(OR($D54="",AK$5="",'상세일정'!AM54="제외"),"",IF($D54=$E54,IF(AND($D54&gt;=AK$5,$D54&lt;AK$5+7),"◆",""),IF(AND($D54&lt;AK$5+7,$E54&gt;AK$5),"■","")))</x:f>
      </x:c>
      <x:c r="AL54" s="7" t="str">
        <x:f>IF(OR($D54="",AL$5="",'상세일정'!AM54="제외"),"",IF($D54=$E54,IF(AND($D54&gt;=AL$5,$D54&lt;AL$5+7),"◆",""),IF(AND($D54&lt;AL$5+7,$E54&gt;AL$5),"■","")))</x:f>
      </x:c>
      <x:c r="AM54" s="7" t="str">
        <x:f>IF(OR($D54="",AM$5="",'상세일정'!AM54="제외"),"",IF($D54=$E54,IF(AND($D54&gt;=AM$5,$D54&lt;AM$5+7),"◆",""),IF(AND($D54&lt;AM$5+7,$E54&gt;AM$5),"■","")))</x:f>
      </x:c>
      <x:c r="AN54" s="7" t="str">
        <x:f>IF(OR($D54="",AN$5="",'상세일정'!AM54="제외"),"",IF($D54=$E54,IF(AND($D54&gt;=AN$5,$D54&lt;AN$5+7),"◆",""),IF(AND($D54&lt;AN$5+7,$E54&gt;AN$5),"■","")))</x:f>
      </x:c>
      <x:c r="AO54" s="7" t="str">
        <x:f>IF(OR($D54="",AO$5="",'상세일정'!AM54="제외"),"",IF($D54=$E54,IF(AND($D54&gt;=AO$5,$D54&lt;AO$5+7),"◆",""),IF(AND($D54&lt;AO$5+7,$E54&gt;AO$5),"■","")))</x:f>
      </x:c>
      <x:c r="AP54" s="7" t="str">
        <x:f>IF(OR($D54="",AP$5="",'상세일정'!AM54="제외"),"",IF($D54=$E54,IF(AND($D54&gt;=AP$5,$D54&lt;AP$5+7),"◆",""),IF(AND($D54&lt;AP$5+7,$E54&gt;AP$5),"■","")))</x:f>
      </x:c>
      <x:c r="AQ54" s="7" t="str">
        <x:f>IF(OR($D54="",AQ$5="",'상세일정'!AM54="제외"),"",IF($D54=$E54,IF(AND($D54&gt;=AQ$5,$D54&lt;AQ$5+7),"◆",""),IF(AND($D54&lt;AQ$5+7,$E54&gt;AQ$5),"■","")))</x:f>
      </x:c>
      <x:c r="AR54" s="7" t="str">
        <x:f>IF(OR($D54="",AR$5="",'상세일정'!AM54="제외"),"",IF($D54=$E54,IF(AND($D54&gt;=AR$5,$D54&lt;AR$5+7),"◆",""),IF(AND($D54&lt;AR$5+7,$E54&gt;AR$5),"■","")))</x:f>
      </x:c>
      <x:c r="AS54" s="7" t="str">
        <x:f>IF(OR($D54="",AS$5="",'상세일정'!AM54="제외"),"",IF($D54=$E54,IF(AND($D54&gt;=AS$5,$D54&lt;AS$5+7),"◆",""),IF(AND($D54&lt;AS$5+7,$E54&gt;AS$5),"■","")))</x:f>
      </x:c>
      <x:c r="AT54" s="7" t="str">
        <x:f>IF(OR($D54="",AT$5="",'상세일정'!AM54="제외"),"",IF($D54=$E54,IF(AND($D54&gt;=AT$5,$D54&lt;AT$5+7),"◆",""),IF(AND($D54&lt;AT$5+7,$E54&gt;AT$5),"■","")))</x:f>
      </x:c>
      <x:c r="AU54" s="7" t="str">
        <x:f>IF(OR($D54="",AU$5="",'상세일정'!AM54="제외"),"",IF($D54=$E54,IF(AND($D54&gt;=AU$5,$D54&lt;AU$5+7),"◆",""),IF(AND($D54&lt;AU$5+7,$E54&gt;AU$5),"■","")))</x:f>
      </x:c>
      <x:c r="AV54" s="7" t="str">
        <x:f>IF(OR($D54="",AV$5="",'상세일정'!AM54="제외"),"",IF($D54=$E54,IF(AND($D54&gt;=AV$5,$D54&lt;AV$5+7),"◆",""),IF(AND($D54&lt;AV$5+7,$E54&gt;AV$5),"■","")))</x:f>
      </x:c>
      <x:c r="AW54" s="7" t="str">
        <x:f>IF(OR($D54="",AW$5="",'상세일정'!AM54="제외"),"",IF($D54=$E54,IF(AND($D54&gt;=AW$5,$D54&lt;AW$5+7),"◆",""),IF(AND($D54&lt;AW$5+7,$E54&gt;AW$5),"■","")))</x:f>
      </x:c>
      <x:c r="AX54" s="7" t="str">
        <x:f>IF(OR($D54="",AX$5="",'상세일정'!AM54="제외"),"",IF($D54=$E54,IF(AND($D54&gt;=AX$5,$D54&lt;AX$5+7),"◆",""),IF(AND($D54&lt;AX$5+7,$E54&gt;AX$5),"■","")))</x:f>
      </x:c>
      <x:c r="AY54" s="7" t="str">
        <x:f>IF(OR($D54="",AY$5="",'상세일정'!AM54="제외"),"",IF($D54=$E54,IF(AND($D54&gt;=AY$5,$D54&lt;AY$5+7),"◆",""),IF(AND($D54&lt;AY$5+7,$E54&gt;AY$5),"■","")))</x:f>
      </x:c>
      <x:c r="AZ54" s="7" t="str">
        <x:f>IF(OR($D54="",AZ$5="",'상세일정'!AM54="제외"),"",IF($D54=$E54,IF(AND($D54&gt;=AZ$5,$D54&lt;AZ$5+7),"◆",""),IF(AND($D54&lt;AZ$5+7,$E54&gt;AZ$5),"■","")))</x:f>
      </x:c>
      <x:c r="BA54" s="7" t="str">
        <x:f>IF(OR($D54="",BA$5="",'상세일정'!AM54="제외"),"",IF($D54=$E54,IF(AND($D54&gt;=BA$5,$D54&lt;BA$5+7),"◆",""),IF(AND($D54&lt;BA$5+7,$E54&gt;BA$5),"■","")))</x:f>
      </x:c>
      <x:c r="BB54" s="7" t="str">
        <x:f>IF(OR($D54="",BB$5="",'상세일정'!AM54="제외"),"",IF($D54=$E54,IF(AND($D54&gt;=BB$5,$D54&lt;BB$5+7),"◆",""),IF(AND($D54&lt;BB$5+7,$E54&gt;BB$5),"■","")))</x:f>
      </x:c>
      <x:c r="BC54" s="7" t="str">
        <x:f>IF(OR($D54="",BC$5="",'상세일정'!AM54="제외"),"",IF($D54=$E54,IF(AND($D54&gt;=BC$5,$D54&lt;BC$5+7),"◆",""),IF(AND($D54&lt;BC$5+7,$E54&gt;BC$5),"■","")))</x:f>
      </x:c>
      <x:c r="BD54" s="7" t="str">
        <x:f>IF(OR($D54="",BD$5="",'상세일정'!AM54="제외"),"",IF($D54=$E54,IF(AND($D54&gt;=BD$5,$D54&lt;BD$5+7),"◆",""),IF(AND($D54&lt;BD$5+7,$E54&gt;BD$5),"■","")))</x:f>
      </x:c>
      <x:c r="BE54" s="7" t="str">
        <x:f>IF(OR($D54="",BE$5="",'상세일정'!AM54="제외"),"",IF($D54=$E54,IF(AND($D54&gt;=BE$5,$D54&lt;BE$5+7),"◆",""),IF(AND($D54&lt;BE$5+7,$E54&gt;BE$5),"■","")))</x:f>
      </x:c>
      <x:c r="BF54" s="7" t="str">
        <x:f>IF(OR($D54="",BF$5="",'상세일정'!AM54="제외"),"",IF($D54=$E54,IF(AND($D54&gt;=BF$5,$D54&lt;BF$5+7),"◆",""),IF(AND($D54&lt;BF$5+7,$E54&gt;BF$5),"■","")))</x:f>
      </x:c>
      <x:c r="BG54" s="7" t="str">
        <x:f>IF(OR($D54="",BG$5="",'상세일정'!AM54="제외"),"",IF($D54=$E54,IF(AND($D54&gt;=BG$5,$D54&lt;BG$5+7),"◆",""),IF(AND($D54&lt;BG$5+7,$E54&gt;BG$5),"■","")))</x:f>
      </x:c>
      <x:c r="BH54" s="7" t="str">
        <x:f>IF(OR($D54="",BH$5="",'상세일정'!AM54="제외"),"",IF($D54=$E54,IF(AND($D54&gt;=BH$5,$D54&lt;BH$5+7),"◆",""),IF(AND($D54&lt;BH$5+7,$E54&gt;BH$5),"■","")))</x:f>
      </x:c>
      <x:c r="BI54" s="7" t="str">
        <x:f>IF(OR($D54="",BI$5="",'상세일정'!AM54="제외"),"",IF($D54=$E54,IF(AND($D54&gt;=BI$5,$D54&lt;BI$5+7),"◆",""),IF(AND($D54&lt;BI$5+7,$E54&gt;BI$5),"■","")))</x:f>
      </x:c>
      <x:c r="BJ54" s="7" t="str">
        <x:f>IF(OR($D54="",BJ$5="",'상세일정'!AM54="제외"),"",IF($D54=$E54,IF(AND($D54&gt;=BJ$5,$D54&lt;BJ$5+7),"◆",""),IF(AND($D54&lt;BJ$5+7,$E54&gt;BJ$5),"■","")))</x:f>
      </x:c>
      <x:c r="BK54" s="7" t="str">
        <x:f>IF(OR($D54="",BK$5="",'상세일정'!AM54="제외"),"",IF($D54=$E54,IF(AND($D54&gt;=BK$5,$D54&lt;BK$5+7),"◆",""),IF(AND($D54&lt;BK$5+7,$E54&gt;BK$5),"■","")))</x:f>
      </x:c>
      <x:c r="BL54" s="7" t="str">
        <x:f>IF(OR($D54="",BL$5="",'상세일정'!AM54="제외"),"",IF($D54=$E54,IF(AND($D54&gt;=BL$5,$D54&lt;BL$5+7),"◆",""),IF(AND($D54&lt;BL$5+7,$E54&gt;BL$5),"■","")))</x:f>
      </x:c>
      <x:c r="BM54" s="7" t="str">
        <x:f>IF(OR($D54="",BM$5="",'상세일정'!AM54="제외"),"",IF($D54=$E54,IF(AND($D54&gt;=BM$5,$D54&lt;BM$5+7),"◆",""),IF(AND($D54&lt;BM$5+7,$E54&gt;BM$5),"■","")))</x:f>
      </x:c>
      <x:c r="BN54" s="7" t="str">
        <x:f>IF(OR($D54="",BN$5="",'상세일정'!AM54="제외"),"",IF($D54=$E54,IF(AND($D54&gt;=BN$5,$D54&lt;BN$5+7),"◆",""),IF(AND($D54&lt;BN$5+7,$E54&gt;BN$5),"■","")))</x:f>
      </x:c>
      <x:c r="BO54" s="7" t="str">
        <x:f>IF(OR($D54="",BO$5="",'상세일정'!AM54="제외"),"",IF($D54=$E54,IF(AND($D54&gt;=BO$5,$D54&lt;BO$5+7),"◆",""),IF(AND($D54&lt;BO$5+7,$E54&gt;BO$5),"■","")))</x:f>
      </x:c>
      <x:c r="BP54" s="7" t="str">
        <x:f>IF(OR($D54="",BP$5="",'상세일정'!AM54="제외"),"",IF($D54=$E54,IF(AND($D54&gt;=BP$5,$D54&lt;BP$5+7),"◆",""),IF(AND($D54&lt;BP$5+7,$E54&gt;BP$5),"■","")))</x:f>
      </x:c>
      <x:c r="BQ54" s="7" t="str">
        <x:f>IF(OR($D54="",BQ$5="",'상세일정'!AM54="제외"),"",IF($D54=$E54,IF(AND($D54&gt;=BQ$5,$D54&lt;BQ$5+7),"◆",""),IF(AND($D54&lt;BQ$5+7,$E54&gt;BQ$5),"■","")))</x:f>
      </x:c>
      <x:c r="BR54" s="7" t="str">
        <x:f>IF(OR($D54="",BR$5="",'상세일정'!AM54="제외"),"",IF($D54=$E54,IF(AND($D54&gt;=BR$5,$D54&lt;BR$5+7),"◆",""),IF(AND($D54&lt;BR$5+7,$E54&gt;BR$5),"■","")))</x:f>
      </x:c>
      <x:c r="BS54" s="7" t="str">
        <x:f>IF(OR($D54="",BS$5="",'상세일정'!AM54="제외"),"",IF($D54=$E54,IF(AND($D54&gt;=BS$5,$D54&lt;BS$5+7),"◆",""),IF(AND($D54&lt;BS$5+7,$E54&gt;BS$5),"■","")))</x:f>
      </x:c>
      <x:c r="BT54" s="7" t="str">
        <x:f>IF(OR($D54="",BT$5="",'상세일정'!AM54="제외"),"",IF($D54=$E54,IF(AND($D54&gt;=BT$5,$D54&lt;BT$5+7),"◆",""),IF(AND($D54&lt;BT$5+7,$E54&gt;BT$5),"■","")))</x:f>
      </x:c>
      <x:c r="BU54" s="7" t="str">
        <x:f>IF(OR($D54="",BU$5="",'상세일정'!AM54="제외"),"",IF($D54=$E54,IF(AND($D54&gt;=BU$5,$D54&lt;BU$5+7),"◆",""),IF(AND($D54&lt;BU$5+7,$E54&gt;BU$5),"■","")))</x:f>
      </x:c>
      <x:c r="BV54" s="7" t="str">
        <x:f>IF(OR($D54="",BV$5="",'상세일정'!AM54="제외"),"",IF($D54=$E54,IF(AND($D54&gt;=BV$5,$D54&lt;BV$5+7),"◆",""),IF(AND($D54&lt;BV$5+7,$E54&gt;BV$5),"■","")))</x:f>
      </x:c>
      <x:c r="BW54" s="7" t="str">
        <x:f>IF(OR($D54="",BW$5="",'상세일정'!AM54="제외"),"",IF($D54=$E54,IF(AND($D54&gt;=BW$5,$D54&lt;BW$5+7),"◆",""),IF(AND($D54&lt;BW$5+7,$E54&gt;BW$5),"■","")))</x:f>
      </x:c>
      <x:c r="BX54" s="7" t="str">
        <x:f>IF(OR($D54="",BX$5="",'상세일정'!AM54="제외"),"",IF($D54=$E54,IF(AND($D54&gt;=BX$5,$D54&lt;BX$5+7),"◆",""),IF(AND($D54&lt;BX$5+7,$E54&gt;BX$5),"■","")))</x:f>
      </x:c>
      <x:c r="BY54" s="7" t="str">
        <x:f>IF(OR($D54="",BY$5="",'상세일정'!AM54="제외"),"",IF($D54=$E54,IF(AND($D54&gt;=BY$5,$D54&lt;BY$5+7),"◆",""),IF(AND($D54&lt;BY$5+7,$E54&gt;BY$5),"■","")))</x:f>
      </x:c>
      <x:c r="BZ54" s="7" t="str">
        <x:f>IF(OR($D54="",BZ$5="",'상세일정'!AM54="제외"),"",IF($D54=$E54,IF(AND($D54&gt;=BZ$5,$D54&lt;BZ$5+7),"◆",""),IF(AND($D54&lt;BZ$5+7,$E54&gt;BZ$5),"■","")))</x:f>
      </x:c>
      <x:c r="CA54" s="7" t="str">
        <x:f>IF(OR($D54="",CA$5="",'상세일정'!AM54="제외"),"",IF($D54=$E54,IF(AND($D54&gt;=CA$5,$D54&lt;CA$5+7),"◆",""),IF(AND($D54&lt;CA$5+7,$E54&gt;CA$5),"■","")))</x:f>
      </x:c>
      <x:c r="CB54" s="7" t="str">
        <x:f>IF(OR($D54="",CB$5="",'상세일정'!AM54="제외"),"",IF($D54=$E54,IF(AND($D54&gt;=CB$5,$D54&lt;CB$5+7),"◆",""),IF(AND($D54&lt;CB$5+7,$E54&gt;CB$5),"■","")))</x:f>
      </x:c>
      <x:c r="CC54" s="7" t="str">
        <x:f>IF(OR($D54="",CC$5="",'상세일정'!AM54="제외"),"",IF($D54=$E54,IF(AND($D54&gt;=CC$5,$D54&lt;CC$5+7),"◆",""),IF(AND($D54&lt;CC$5+7,$E54&gt;CC$5),"■","")))</x:f>
      </x:c>
      <x:c r="CD54" s="7" t="str">
        <x:f>IF(OR($D54="",CD$5="",'상세일정'!AM54="제외"),"",IF($D54=$E54,IF(AND($D54&gt;=CD$5,$D54&lt;CD$5+7),"◆",""),IF(AND($D54&lt;CD$5+7,$E54&gt;CD$5),"■","")))</x:f>
      </x:c>
      <x:c r="CE54" s="7" t="str">
        <x:f>IF(OR($D54="",CE$5="",'상세일정'!AM54="제외"),"",IF($D54=$E54,IF(AND($D54&gt;=CE$5,$D54&lt;CE$5+7),"◆",""),IF(AND($D54&lt;CE$5+7,$E54&gt;CE$5),"■","")))</x:f>
      </x:c>
      <x:c r="CF54" s="7" t="str">
        <x:f>IF(OR($D54="",CF$5="",'상세일정'!AM54="제외"),"",IF($D54=$E54,IF(AND($D54&gt;=CF$5,$D54&lt;CF$5+7),"◆",""),IF(AND($D54&lt;CF$5+7,$E54&gt;CF$5),"■","")))</x:f>
      </x:c>
      <x:c r="CG54" s="7" t="str">
        <x:f>IF(OR($D54="",CG$5="",'상세일정'!AM54="제외"),"",IF($D54=$E54,IF(AND($D54&gt;=CG$5,$D54&lt;CG$5+7),"◆",""),IF(AND($D54&lt;CG$5+7,$E54&gt;CG$5),"■","")))</x:f>
      </x:c>
      <x:c r="CH54" s="7" t="str">
        <x:f>IF(OR($D54="",CH$5="",'상세일정'!AM54="제외"),"",IF($D54=$E54,IF(AND($D54&gt;=CH$5,$D54&lt;CH$5+7),"◆",""),IF(AND($D54&lt;CH$5+7,$E54&gt;CH$5),"■","")))</x:f>
      </x:c>
      <x:c r="CI54" s="7" t="str">
        <x:f>IF(OR($D54="",CI$5="",'상세일정'!AM54="제외"),"",IF($D54=$E54,IF(AND($D54&gt;=CI$5,$D54&lt;CI$5+7),"◆",""),IF(AND($D54&lt;CI$5+7,$E54&gt;CI$5),"■","")))</x:f>
      </x:c>
      <x:c r="CJ54" s="7" t="str">
        <x:f>IF(OR($D54="",CJ$5="",'상세일정'!AM54="제외"),"",IF($D54=$E54,IF(AND($D54&gt;=CJ$5,$D54&lt;CJ$5+7),"◆",""),IF(AND($D54&lt;CJ$5+7,$E54&gt;CJ$5),"■","")))</x:f>
      </x:c>
      <x:c r="CK54" s="7" t="str">
        <x:f>IF(OR($D54="",CK$5="",'상세일정'!AM54="제외"),"",IF($D54=$E54,IF(AND($D54&gt;=CK$5,$D54&lt;CK$5+7),"◆",""),IF(AND($D54&lt;CK$5+7,$E54&gt;CK$5),"■","")))</x:f>
      </x:c>
      <x:c r="CL54" s="7" t="str">
        <x:f>IF(OR($D54="",CL$5="",'상세일정'!AM54="제외"),"",IF($D54=$E54,IF(AND($D54&gt;=CL$5,$D54&lt;CL$5+7),"◆",""),IF(AND($D54&lt;CL$5+7,$E54&gt;CL$5),"■","")))</x:f>
      </x:c>
      <x:c r="CM54" s="7" t="str">
        <x:f>IF(OR($D54="",CM$5="",'상세일정'!AM54="제외"),"",IF($D54=$E54,IF(AND($D54&gt;=CM$5,$D54&lt;CM$5+7),"◆",""),IF(AND($D54&lt;CM$5+7,$E54&gt;CM$5),"■","")))</x:f>
      </x:c>
      <x:c r="CN54" s="7" t="str">
        <x:f>IF(OR($D54="",CN$5="",'상세일정'!AM54="제외"),"",IF($D54=$E54,IF(AND($D54&gt;=CN$5,$D54&lt;CN$5+7),"◆",""),IF(AND($D54&lt;CN$5+7,$E54&gt;CN$5),"■","")))</x:f>
      </x:c>
      <x:c r="CO54" s="7" t="str">
        <x:f>IF(OR($D54="",CO$5="",'상세일정'!AM54="제외"),"",IF($D54=$E54,IF(AND($D54&gt;=CO$5,$D54&lt;CO$5+7),"◆",""),IF(AND($D54&lt;CO$5+7,$E54&gt;CO$5),"■","")))</x:f>
      </x:c>
      <x:c r="CP54" s="7" t="str">
        <x:f>IF(OR($D54="",CP$5="",'상세일정'!AM54="제외"),"",IF($D54=$E54,IF(AND($D54&gt;=CP$5,$D54&lt;CP$5+7),"◆",""),IF(AND($D54&lt;CP$5+7,$E54&gt;CP$5),"■","")))</x:f>
      </x:c>
      <x:c r="CQ54" s="7" t="str">
        <x:f>IF(OR($D54="",CQ$5="",'상세일정'!AM54="제외"),"",IF($D54=$E54,IF(AND($D54&gt;=CQ$5,$D54&lt;CQ$5+7),"◆",""),IF(AND($D54&lt;CQ$5+7,$E54&gt;CQ$5),"■","")))</x:f>
      </x:c>
      <x:c r="CR54" s="7" t="str">
        <x:f>IF(OR($D54="",CR$5="",'상세일정'!AM54="제외"),"",IF($D54=$E54,IF(AND($D54&gt;=CR$5,$D54&lt;CR$5+7),"◆",""),IF(AND($D54&lt;CR$5+7,$E54&gt;CR$5),"■","")))</x:f>
      </x:c>
      <x:c r="CS54" s="7" t="str">
        <x:f>IF(OR($D54="",CS$5="",'상세일정'!AM54="제외"),"",IF($D54=$E54,IF(AND($D54&gt;=CS$5,$D54&lt;CS$5+7),"◆",""),IF(AND($D54&lt;CS$5+7,$E54&gt;CS$5),"■","")))</x:f>
      </x:c>
      <x:c r="CT54" s="7" t="str">
        <x:f>IF(OR($D54="",CT$5="",'상세일정'!AM54="제외"),"",IF($D54=$E54,IF(AND($D54&gt;=CT$5,$D54&lt;CT$5+7),"◆",""),IF(AND($D54&lt;CT$5+7,$E54&gt;CT$5),"■","")))</x:f>
      </x:c>
      <x:c r="CU54" s="7" t="str">
        <x:f>IF(OR($D54="",CU$5="",'상세일정'!AM54="제외"),"",IF($D54=$E54,IF(AND($D54&gt;=CU$5,$D54&lt;CU$5+7),"◆",""),IF(AND($D54&lt;CU$5+7,$E54&gt;CU$5),"■","")))</x:f>
      </x:c>
      <x:c r="CV54" s="7" t="str">
        <x:f>IF(OR($D54="",CV$5="",'상세일정'!AM54="제외"),"",IF($D54=$E54,IF(AND($D54&gt;=CV$5,$D54&lt;CV$5+7),"◆",""),IF(AND($D54&lt;CV$5+7,$E54&gt;CV$5),"■","")))</x:f>
      </x:c>
      <x:c r="CW54" s="7" t="str">
        <x:f>IF(OR($D54="",CW$5="",'상세일정'!AM54="제외"),"",IF($D54=$E54,IF(AND($D54&gt;=CW$5,$D54&lt;CW$5+7),"◆",""),IF(AND($D54&lt;CW$5+7,$E54&gt;CW$5),"■","")))</x:f>
      </x:c>
      <x:c r="CX54" s="7" t="str">
        <x:f>IF(OR($D54="",CX$5="",'상세일정'!AM54="제외"),"",IF($D54=$E54,IF(AND($D54&gt;=CX$5,$D54&lt;CX$5+7),"◆",""),IF(AND($D54&lt;CX$5+7,$E54&gt;CX$5),"■","")))</x:f>
      </x:c>
      <x:c r="CY54" s="7" t="str">
        <x:f>IF(OR($D54="",CY$5="",'상세일정'!AM54="제외"),"",IF($D54=$E54,IF(AND($D54&gt;=CY$5,$D54&lt;CY$5+7),"◆",""),IF(AND($D54&lt;CY$5+7,$E54&gt;CY$5),"■","")))</x:f>
      </x:c>
      <x:c r="CZ54" s="7" t="str">
        <x:f>IF(OR($D54="",CZ$5="",'상세일정'!AM54="제외"),"",IF($D54=$E54,IF(AND($D54&gt;=CZ$5,$D54&lt;CZ$5+7),"◆",""),IF(AND($D54&lt;CZ$5+7,$E54&gt;CZ$5),"■","")))</x:f>
      </x:c>
      <x:c r="DA54" s="7" t="str">
        <x:f>IF(OR($D54="",DA$5="",'상세일정'!AM54="제외"),"",IF($D54=$E54,IF(AND($D54&gt;=DA$5,$D54&lt;DA$5+7),"◆",""),IF(AND($D54&lt;DA$5+7,$E54&gt;DA$5),"■","")))</x:f>
      </x:c>
      <x:c r="DB54" s="7" t="str">
        <x:f>IF(OR($D54="",DB$5="",'상세일정'!AM54="제외"),"",IF($D54=$E54,IF(AND($D54&gt;=DB$5,$D54&lt;DB$5+7),"◆",""),IF(AND($D54&lt;DB$5+7,$E54&gt;DB$5),"■","")))</x:f>
      </x:c>
      <x:c r="DC54" s="7" t="str">
        <x:f>IF(OR($D54="",DC$5="",'상세일정'!AM54="제외"),"",IF($D54=$E54,IF(AND($D54&gt;=DC$5,$D54&lt;DC$5+7),"◆",""),IF(AND($D54&lt;DC$5+7,$E54&gt;DC$5),"■","")))</x:f>
      </x:c>
      <x:c r="DD54" s="7" t="str">
        <x:f>IF(OR($D54="",DD$5="",'상세일정'!AM54="제외"),"",IF($D54=$E54,IF(AND($D54&gt;=DD$5,$D54&lt;DD$5+7),"◆",""),IF(AND($D54&lt;DD$5+7,$E54&gt;DD$5),"■","")))</x:f>
      </x:c>
      <x:c r="DE54" s="7" t="str">
        <x:f>IF(OR($D54="",DE$5="",'상세일정'!AM54="제외"),"",IF($D54=$E54,IF(AND($D54&gt;=DE$5,$D54&lt;DE$5+7),"◆",""),IF(AND($D54&lt;DE$5+7,$E54&gt;DE$5),"■","")))</x:f>
      </x:c>
    </x:row>
    <x:row r="55" ht="34" customHeight="1">
      <x:c r="A55" s="7" t="str">
        <x:v>CV03</x:v>
      </x:c>
      <x:c r="B55" s="7" t="str">
        <x:v>09 토목·구조·건축 설계</x:v>
      </x:c>
      <x:c r="C55" s="7" t="str">
        <x:v>기초형식·파일 적용성·내진구조 계산</x:v>
      </x:c>
      <x:c r="D55" s="10" t="str">
        <x:f>'상세일정'!AJ55</x:f>
      </x:c>
      <x:c r="E55" s="10" t="str">
        <x:f>'상세일정'!AK55</x:f>
      </x:c>
      <x:c r="F55" s="7" t="str">
        <x:f>IF(OR($D55="",F$5="",'상세일정'!AM55="제외"),"",IF($D55=$E55,IF(AND($D55&gt;=F$5,$D55&lt;F$5+7),"◆",""),IF(AND($D55&lt;F$5+7,$E55&gt;F$5),"■","")))</x:f>
      </x:c>
      <x:c r="G55" s="7" t="str">
        <x:f>IF(OR($D55="",G$5="",'상세일정'!AM55="제외"),"",IF($D55=$E55,IF(AND($D55&gt;=G$5,$D55&lt;G$5+7),"◆",""),IF(AND($D55&lt;G$5+7,$E55&gt;G$5),"■","")))</x:f>
      </x:c>
      <x:c r="H55" s="7" t="str">
        <x:f>IF(OR($D55="",H$5="",'상세일정'!AM55="제외"),"",IF($D55=$E55,IF(AND($D55&gt;=H$5,$D55&lt;H$5+7),"◆",""),IF(AND($D55&lt;H$5+7,$E55&gt;H$5),"■","")))</x:f>
      </x:c>
      <x:c r="I55" s="7" t="str">
        <x:f>IF(OR($D55="",I$5="",'상세일정'!AM55="제외"),"",IF($D55=$E55,IF(AND($D55&gt;=I$5,$D55&lt;I$5+7),"◆",""),IF(AND($D55&lt;I$5+7,$E55&gt;I$5),"■","")))</x:f>
      </x:c>
      <x:c r="J55" s="7" t="str">
        <x:f>IF(OR($D55="",J$5="",'상세일정'!AM55="제외"),"",IF($D55=$E55,IF(AND($D55&gt;=J$5,$D55&lt;J$5+7),"◆",""),IF(AND($D55&lt;J$5+7,$E55&gt;J$5),"■","")))</x:f>
      </x:c>
      <x:c r="K55" s="7" t="str">
        <x:f>IF(OR($D55="",K$5="",'상세일정'!AM55="제외"),"",IF($D55=$E55,IF(AND($D55&gt;=K$5,$D55&lt;K$5+7),"◆",""),IF(AND($D55&lt;K$5+7,$E55&gt;K$5),"■","")))</x:f>
      </x:c>
      <x:c r="L55" s="7" t="str">
        <x:f>IF(OR($D55="",L$5="",'상세일정'!AM55="제외"),"",IF($D55=$E55,IF(AND($D55&gt;=L$5,$D55&lt;L$5+7),"◆",""),IF(AND($D55&lt;L$5+7,$E55&gt;L$5),"■","")))</x:f>
      </x:c>
      <x:c r="M55" s="7" t="str">
        <x:f>IF(OR($D55="",M$5="",'상세일정'!AM55="제외"),"",IF($D55=$E55,IF(AND($D55&gt;=M$5,$D55&lt;M$5+7),"◆",""),IF(AND($D55&lt;M$5+7,$E55&gt;M$5),"■","")))</x:f>
      </x:c>
      <x:c r="N55" s="7" t="str">
        <x:f>IF(OR($D55="",N$5="",'상세일정'!AM55="제외"),"",IF($D55=$E55,IF(AND($D55&gt;=N$5,$D55&lt;N$5+7),"◆",""),IF(AND($D55&lt;N$5+7,$E55&gt;N$5),"■","")))</x:f>
      </x:c>
      <x:c r="O55" s="7" t="str">
        <x:f>IF(OR($D55="",O$5="",'상세일정'!AM55="제외"),"",IF($D55=$E55,IF(AND($D55&gt;=O$5,$D55&lt;O$5+7),"◆",""),IF(AND($D55&lt;O$5+7,$E55&gt;O$5),"■","")))</x:f>
      </x:c>
      <x:c r="P55" s="7" t="str">
        <x:f>IF(OR($D55="",P$5="",'상세일정'!AM55="제외"),"",IF($D55=$E55,IF(AND($D55&gt;=P$5,$D55&lt;P$5+7),"◆",""),IF(AND($D55&lt;P$5+7,$E55&gt;P$5),"■","")))</x:f>
      </x:c>
      <x:c r="Q55" s="7" t="str">
        <x:f>IF(OR($D55="",Q$5="",'상세일정'!AM55="제외"),"",IF($D55=$E55,IF(AND($D55&gt;=Q$5,$D55&lt;Q$5+7),"◆",""),IF(AND($D55&lt;Q$5+7,$E55&gt;Q$5),"■","")))</x:f>
      </x:c>
      <x:c r="R55" s="7" t="str">
        <x:f>IF(OR($D55="",R$5="",'상세일정'!AM55="제외"),"",IF($D55=$E55,IF(AND($D55&gt;=R$5,$D55&lt;R$5+7),"◆",""),IF(AND($D55&lt;R$5+7,$E55&gt;R$5),"■","")))</x:f>
      </x:c>
      <x:c r="S55" s="7" t="str">
        <x:f>IF(OR($D55="",S$5="",'상세일정'!AM55="제외"),"",IF($D55=$E55,IF(AND($D55&gt;=S$5,$D55&lt;S$5+7),"◆",""),IF(AND($D55&lt;S$5+7,$E55&gt;S$5),"■","")))</x:f>
      </x:c>
      <x:c r="T55" s="7" t="str">
        <x:f>IF(OR($D55="",T$5="",'상세일정'!AM55="제외"),"",IF($D55=$E55,IF(AND($D55&gt;=T$5,$D55&lt;T$5+7),"◆",""),IF(AND($D55&lt;T$5+7,$E55&gt;T$5),"■","")))</x:f>
      </x:c>
      <x:c r="U55" s="7" t="str">
        <x:f>IF(OR($D55="",U$5="",'상세일정'!AM55="제외"),"",IF($D55=$E55,IF(AND($D55&gt;=U$5,$D55&lt;U$5+7),"◆",""),IF(AND($D55&lt;U$5+7,$E55&gt;U$5),"■","")))</x:f>
      </x:c>
      <x:c r="V55" s="7" t="str">
        <x:f>IF(OR($D55="",V$5="",'상세일정'!AM55="제외"),"",IF($D55=$E55,IF(AND($D55&gt;=V$5,$D55&lt;V$5+7),"◆",""),IF(AND($D55&lt;V$5+7,$E55&gt;V$5),"■","")))</x:f>
      </x:c>
      <x:c r="W55" s="7" t="str">
        <x:f>IF(OR($D55="",W$5="",'상세일정'!AM55="제외"),"",IF($D55=$E55,IF(AND($D55&gt;=W$5,$D55&lt;W$5+7),"◆",""),IF(AND($D55&lt;W$5+7,$E55&gt;W$5),"■","")))</x:f>
      </x:c>
      <x:c r="X55" s="7" t="str">
        <x:f>IF(OR($D55="",X$5="",'상세일정'!AM55="제외"),"",IF($D55=$E55,IF(AND($D55&gt;=X$5,$D55&lt;X$5+7),"◆",""),IF(AND($D55&lt;X$5+7,$E55&gt;X$5),"■","")))</x:f>
      </x:c>
      <x:c r="Y55" s="7" t="str">
        <x:f>IF(OR($D55="",Y$5="",'상세일정'!AM55="제외"),"",IF($D55=$E55,IF(AND($D55&gt;=Y$5,$D55&lt;Y$5+7),"◆",""),IF(AND($D55&lt;Y$5+7,$E55&gt;Y$5),"■","")))</x:f>
      </x:c>
      <x:c r="Z55" s="7" t="str">
        <x:f>IF(OR($D55="",Z$5="",'상세일정'!AM55="제외"),"",IF($D55=$E55,IF(AND($D55&gt;=Z$5,$D55&lt;Z$5+7),"◆",""),IF(AND($D55&lt;Z$5+7,$E55&gt;Z$5),"■","")))</x:f>
      </x:c>
      <x:c r="AA55" s="7" t="str">
        <x:f>IF(OR($D55="",AA$5="",'상세일정'!AM55="제외"),"",IF($D55=$E55,IF(AND($D55&gt;=AA$5,$D55&lt;AA$5+7),"◆",""),IF(AND($D55&lt;AA$5+7,$E55&gt;AA$5),"■","")))</x:f>
      </x:c>
      <x:c r="AB55" s="7" t="str">
        <x:f>IF(OR($D55="",AB$5="",'상세일정'!AM55="제외"),"",IF($D55=$E55,IF(AND($D55&gt;=AB$5,$D55&lt;AB$5+7),"◆",""),IF(AND($D55&lt;AB$5+7,$E55&gt;AB$5),"■","")))</x:f>
      </x:c>
      <x:c r="AC55" s="7" t="str">
        <x:f>IF(OR($D55="",AC$5="",'상세일정'!AM55="제외"),"",IF($D55=$E55,IF(AND($D55&gt;=AC$5,$D55&lt;AC$5+7),"◆",""),IF(AND($D55&lt;AC$5+7,$E55&gt;AC$5),"■","")))</x:f>
      </x:c>
      <x:c r="AD55" s="7" t="str">
        <x:f>IF(OR($D55="",AD$5="",'상세일정'!AM55="제외"),"",IF($D55=$E55,IF(AND($D55&gt;=AD$5,$D55&lt;AD$5+7),"◆",""),IF(AND($D55&lt;AD$5+7,$E55&gt;AD$5),"■","")))</x:f>
      </x:c>
      <x:c r="AE55" s="7" t="str">
        <x:f>IF(OR($D55="",AE$5="",'상세일정'!AM55="제외"),"",IF($D55=$E55,IF(AND($D55&gt;=AE$5,$D55&lt;AE$5+7),"◆",""),IF(AND($D55&lt;AE$5+7,$E55&gt;AE$5),"■","")))</x:f>
      </x:c>
      <x:c r="AF55" s="7" t="str">
        <x:f>IF(OR($D55="",AF$5="",'상세일정'!AM55="제외"),"",IF($D55=$E55,IF(AND($D55&gt;=AF$5,$D55&lt;AF$5+7),"◆",""),IF(AND($D55&lt;AF$5+7,$E55&gt;AF$5),"■","")))</x:f>
      </x:c>
      <x:c r="AG55" s="7" t="str">
        <x:f>IF(OR($D55="",AG$5="",'상세일정'!AM55="제외"),"",IF($D55=$E55,IF(AND($D55&gt;=AG$5,$D55&lt;AG$5+7),"◆",""),IF(AND($D55&lt;AG$5+7,$E55&gt;AG$5),"■","")))</x:f>
      </x:c>
      <x:c r="AH55" s="7" t="str">
        <x:f>IF(OR($D55="",AH$5="",'상세일정'!AM55="제외"),"",IF($D55=$E55,IF(AND($D55&gt;=AH$5,$D55&lt;AH$5+7),"◆",""),IF(AND($D55&lt;AH$5+7,$E55&gt;AH$5),"■","")))</x:f>
      </x:c>
      <x:c r="AI55" s="7" t="str">
        <x:f>IF(OR($D55="",AI$5="",'상세일정'!AM55="제외"),"",IF($D55=$E55,IF(AND($D55&gt;=AI$5,$D55&lt;AI$5+7),"◆",""),IF(AND($D55&lt;AI$5+7,$E55&gt;AI$5),"■","")))</x:f>
      </x:c>
      <x:c r="AJ55" s="7" t="str">
        <x:f>IF(OR($D55="",AJ$5="",'상세일정'!AM55="제외"),"",IF($D55=$E55,IF(AND($D55&gt;=AJ$5,$D55&lt;AJ$5+7),"◆",""),IF(AND($D55&lt;AJ$5+7,$E55&gt;AJ$5),"■","")))</x:f>
      </x:c>
      <x:c r="AK55" s="7" t="str">
        <x:f>IF(OR($D55="",AK$5="",'상세일정'!AM55="제외"),"",IF($D55=$E55,IF(AND($D55&gt;=AK$5,$D55&lt;AK$5+7),"◆",""),IF(AND($D55&lt;AK$5+7,$E55&gt;AK$5),"■","")))</x:f>
      </x:c>
      <x:c r="AL55" s="7" t="str">
        <x:f>IF(OR($D55="",AL$5="",'상세일정'!AM55="제외"),"",IF($D55=$E55,IF(AND($D55&gt;=AL$5,$D55&lt;AL$5+7),"◆",""),IF(AND($D55&lt;AL$5+7,$E55&gt;AL$5),"■","")))</x:f>
      </x:c>
      <x:c r="AM55" s="7" t="str">
        <x:f>IF(OR($D55="",AM$5="",'상세일정'!AM55="제외"),"",IF($D55=$E55,IF(AND($D55&gt;=AM$5,$D55&lt;AM$5+7),"◆",""),IF(AND($D55&lt;AM$5+7,$E55&gt;AM$5),"■","")))</x:f>
      </x:c>
      <x:c r="AN55" s="7" t="str">
        <x:f>IF(OR($D55="",AN$5="",'상세일정'!AM55="제외"),"",IF($D55=$E55,IF(AND($D55&gt;=AN$5,$D55&lt;AN$5+7),"◆",""),IF(AND($D55&lt;AN$5+7,$E55&gt;AN$5),"■","")))</x:f>
      </x:c>
      <x:c r="AO55" s="7" t="str">
        <x:f>IF(OR($D55="",AO$5="",'상세일정'!AM55="제외"),"",IF($D55=$E55,IF(AND($D55&gt;=AO$5,$D55&lt;AO$5+7),"◆",""),IF(AND($D55&lt;AO$5+7,$E55&gt;AO$5),"■","")))</x:f>
      </x:c>
      <x:c r="AP55" s="7" t="str">
        <x:f>IF(OR($D55="",AP$5="",'상세일정'!AM55="제외"),"",IF($D55=$E55,IF(AND($D55&gt;=AP$5,$D55&lt;AP$5+7),"◆",""),IF(AND($D55&lt;AP$5+7,$E55&gt;AP$5),"■","")))</x:f>
      </x:c>
      <x:c r="AQ55" s="7" t="str">
        <x:f>IF(OR($D55="",AQ$5="",'상세일정'!AM55="제외"),"",IF($D55=$E55,IF(AND($D55&gt;=AQ$5,$D55&lt;AQ$5+7),"◆",""),IF(AND($D55&lt;AQ$5+7,$E55&gt;AQ$5),"■","")))</x:f>
      </x:c>
      <x:c r="AR55" s="7" t="str">
        <x:f>IF(OR($D55="",AR$5="",'상세일정'!AM55="제외"),"",IF($D55=$E55,IF(AND($D55&gt;=AR$5,$D55&lt;AR$5+7),"◆",""),IF(AND($D55&lt;AR$5+7,$E55&gt;AR$5),"■","")))</x:f>
      </x:c>
      <x:c r="AS55" s="7" t="str">
        <x:f>IF(OR($D55="",AS$5="",'상세일정'!AM55="제외"),"",IF($D55=$E55,IF(AND($D55&gt;=AS$5,$D55&lt;AS$5+7),"◆",""),IF(AND($D55&lt;AS$5+7,$E55&gt;AS$5),"■","")))</x:f>
      </x:c>
      <x:c r="AT55" s="7" t="str">
        <x:f>IF(OR($D55="",AT$5="",'상세일정'!AM55="제외"),"",IF($D55=$E55,IF(AND($D55&gt;=AT$5,$D55&lt;AT$5+7),"◆",""),IF(AND($D55&lt;AT$5+7,$E55&gt;AT$5),"■","")))</x:f>
      </x:c>
      <x:c r="AU55" s="7" t="str">
        <x:f>IF(OR($D55="",AU$5="",'상세일정'!AM55="제외"),"",IF($D55=$E55,IF(AND($D55&gt;=AU$5,$D55&lt;AU$5+7),"◆",""),IF(AND($D55&lt;AU$5+7,$E55&gt;AU$5),"■","")))</x:f>
      </x:c>
      <x:c r="AV55" s="7" t="str">
        <x:f>IF(OR($D55="",AV$5="",'상세일정'!AM55="제외"),"",IF($D55=$E55,IF(AND($D55&gt;=AV$5,$D55&lt;AV$5+7),"◆",""),IF(AND($D55&lt;AV$5+7,$E55&gt;AV$5),"■","")))</x:f>
      </x:c>
      <x:c r="AW55" s="7" t="str">
        <x:f>IF(OR($D55="",AW$5="",'상세일정'!AM55="제외"),"",IF($D55=$E55,IF(AND($D55&gt;=AW$5,$D55&lt;AW$5+7),"◆",""),IF(AND($D55&lt;AW$5+7,$E55&gt;AW$5),"■","")))</x:f>
      </x:c>
      <x:c r="AX55" s="7" t="str">
        <x:f>IF(OR($D55="",AX$5="",'상세일정'!AM55="제외"),"",IF($D55=$E55,IF(AND($D55&gt;=AX$5,$D55&lt;AX$5+7),"◆",""),IF(AND($D55&lt;AX$5+7,$E55&gt;AX$5),"■","")))</x:f>
      </x:c>
      <x:c r="AY55" s="7" t="str">
        <x:f>IF(OR($D55="",AY$5="",'상세일정'!AM55="제외"),"",IF($D55=$E55,IF(AND($D55&gt;=AY$5,$D55&lt;AY$5+7),"◆",""),IF(AND($D55&lt;AY$5+7,$E55&gt;AY$5),"■","")))</x:f>
      </x:c>
      <x:c r="AZ55" s="7" t="str">
        <x:f>IF(OR($D55="",AZ$5="",'상세일정'!AM55="제외"),"",IF($D55=$E55,IF(AND($D55&gt;=AZ$5,$D55&lt;AZ$5+7),"◆",""),IF(AND($D55&lt;AZ$5+7,$E55&gt;AZ$5),"■","")))</x:f>
      </x:c>
      <x:c r="BA55" s="7" t="str">
        <x:f>IF(OR($D55="",BA$5="",'상세일정'!AM55="제외"),"",IF($D55=$E55,IF(AND($D55&gt;=BA$5,$D55&lt;BA$5+7),"◆",""),IF(AND($D55&lt;BA$5+7,$E55&gt;BA$5),"■","")))</x:f>
      </x:c>
      <x:c r="BB55" s="7" t="str">
        <x:f>IF(OR($D55="",BB$5="",'상세일정'!AM55="제외"),"",IF($D55=$E55,IF(AND($D55&gt;=BB$5,$D55&lt;BB$5+7),"◆",""),IF(AND($D55&lt;BB$5+7,$E55&gt;BB$5),"■","")))</x:f>
      </x:c>
      <x:c r="BC55" s="7" t="str">
        <x:f>IF(OR($D55="",BC$5="",'상세일정'!AM55="제외"),"",IF($D55=$E55,IF(AND($D55&gt;=BC$5,$D55&lt;BC$5+7),"◆",""),IF(AND($D55&lt;BC$5+7,$E55&gt;BC$5),"■","")))</x:f>
      </x:c>
      <x:c r="BD55" s="7" t="str">
        <x:f>IF(OR($D55="",BD$5="",'상세일정'!AM55="제외"),"",IF($D55=$E55,IF(AND($D55&gt;=BD$5,$D55&lt;BD$5+7),"◆",""),IF(AND($D55&lt;BD$5+7,$E55&gt;BD$5),"■","")))</x:f>
      </x:c>
      <x:c r="BE55" s="7" t="str">
        <x:f>IF(OR($D55="",BE$5="",'상세일정'!AM55="제외"),"",IF($D55=$E55,IF(AND($D55&gt;=BE$5,$D55&lt;BE$5+7),"◆",""),IF(AND($D55&lt;BE$5+7,$E55&gt;BE$5),"■","")))</x:f>
      </x:c>
      <x:c r="BF55" s="7" t="str">
        <x:f>IF(OR($D55="",BF$5="",'상세일정'!AM55="제외"),"",IF($D55=$E55,IF(AND($D55&gt;=BF$5,$D55&lt;BF$5+7),"◆",""),IF(AND($D55&lt;BF$5+7,$E55&gt;BF$5),"■","")))</x:f>
      </x:c>
      <x:c r="BG55" s="7" t="str">
        <x:f>IF(OR($D55="",BG$5="",'상세일정'!AM55="제외"),"",IF($D55=$E55,IF(AND($D55&gt;=BG$5,$D55&lt;BG$5+7),"◆",""),IF(AND($D55&lt;BG$5+7,$E55&gt;BG$5),"■","")))</x:f>
      </x:c>
      <x:c r="BH55" s="7" t="str">
        <x:f>IF(OR($D55="",BH$5="",'상세일정'!AM55="제외"),"",IF($D55=$E55,IF(AND($D55&gt;=BH$5,$D55&lt;BH$5+7),"◆",""),IF(AND($D55&lt;BH$5+7,$E55&gt;BH$5),"■","")))</x:f>
      </x:c>
      <x:c r="BI55" s="7" t="str">
        <x:f>IF(OR($D55="",BI$5="",'상세일정'!AM55="제외"),"",IF($D55=$E55,IF(AND($D55&gt;=BI$5,$D55&lt;BI$5+7),"◆",""),IF(AND($D55&lt;BI$5+7,$E55&gt;BI$5),"■","")))</x:f>
      </x:c>
      <x:c r="BJ55" s="7" t="str">
        <x:f>IF(OR($D55="",BJ$5="",'상세일정'!AM55="제외"),"",IF($D55=$E55,IF(AND($D55&gt;=BJ$5,$D55&lt;BJ$5+7),"◆",""),IF(AND($D55&lt;BJ$5+7,$E55&gt;BJ$5),"■","")))</x:f>
      </x:c>
      <x:c r="BK55" s="7" t="str">
        <x:f>IF(OR($D55="",BK$5="",'상세일정'!AM55="제외"),"",IF($D55=$E55,IF(AND($D55&gt;=BK$5,$D55&lt;BK$5+7),"◆",""),IF(AND($D55&lt;BK$5+7,$E55&gt;BK$5),"■","")))</x:f>
      </x:c>
      <x:c r="BL55" s="7" t="str">
        <x:f>IF(OR($D55="",BL$5="",'상세일정'!AM55="제외"),"",IF($D55=$E55,IF(AND($D55&gt;=BL$5,$D55&lt;BL$5+7),"◆",""),IF(AND($D55&lt;BL$5+7,$E55&gt;BL$5),"■","")))</x:f>
      </x:c>
      <x:c r="BM55" s="7" t="str">
        <x:f>IF(OR($D55="",BM$5="",'상세일정'!AM55="제외"),"",IF($D55=$E55,IF(AND($D55&gt;=BM$5,$D55&lt;BM$5+7),"◆",""),IF(AND($D55&lt;BM$5+7,$E55&gt;BM$5),"■","")))</x:f>
      </x:c>
      <x:c r="BN55" s="7" t="str">
        <x:f>IF(OR($D55="",BN$5="",'상세일정'!AM55="제외"),"",IF($D55=$E55,IF(AND($D55&gt;=BN$5,$D55&lt;BN$5+7),"◆",""),IF(AND($D55&lt;BN$5+7,$E55&gt;BN$5),"■","")))</x:f>
      </x:c>
      <x:c r="BO55" s="7" t="str">
        <x:f>IF(OR($D55="",BO$5="",'상세일정'!AM55="제외"),"",IF($D55=$E55,IF(AND($D55&gt;=BO$5,$D55&lt;BO$5+7),"◆",""),IF(AND($D55&lt;BO$5+7,$E55&gt;BO$5),"■","")))</x:f>
      </x:c>
      <x:c r="BP55" s="7" t="str">
        <x:f>IF(OR($D55="",BP$5="",'상세일정'!AM55="제외"),"",IF($D55=$E55,IF(AND($D55&gt;=BP$5,$D55&lt;BP$5+7),"◆",""),IF(AND($D55&lt;BP$5+7,$E55&gt;BP$5),"■","")))</x:f>
      </x:c>
      <x:c r="BQ55" s="7" t="str">
        <x:f>IF(OR($D55="",BQ$5="",'상세일정'!AM55="제외"),"",IF($D55=$E55,IF(AND($D55&gt;=BQ$5,$D55&lt;BQ$5+7),"◆",""),IF(AND($D55&lt;BQ$5+7,$E55&gt;BQ$5),"■","")))</x:f>
      </x:c>
      <x:c r="BR55" s="7" t="str">
        <x:f>IF(OR($D55="",BR$5="",'상세일정'!AM55="제외"),"",IF($D55=$E55,IF(AND($D55&gt;=BR$5,$D55&lt;BR$5+7),"◆",""),IF(AND($D55&lt;BR$5+7,$E55&gt;BR$5),"■","")))</x:f>
      </x:c>
      <x:c r="BS55" s="7" t="str">
        <x:f>IF(OR($D55="",BS$5="",'상세일정'!AM55="제외"),"",IF($D55=$E55,IF(AND($D55&gt;=BS$5,$D55&lt;BS$5+7),"◆",""),IF(AND($D55&lt;BS$5+7,$E55&gt;BS$5),"■","")))</x:f>
      </x:c>
      <x:c r="BT55" s="7" t="str">
        <x:f>IF(OR($D55="",BT$5="",'상세일정'!AM55="제외"),"",IF($D55=$E55,IF(AND($D55&gt;=BT$5,$D55&lt;BT$5+7),"◆",""),IF(AND($D55&lt;BT$5+7,$E55&gt;BT$5),"■","")))</x:f>
      </x:c>
      <x:c r="BU55" s="7" t="str">
        <x:f>IF(OR($D55="",BU$5="",'상세일정'!AM55="제외"),"",IF($D55=$E55,IF(AND($D55&gt;=BU$5,$D55&lt;BU$5+7),"◆",""),IF(AND($D55&lt;BU$5+7,$E55&gt;BU$5),"■","")))</x:f>
      </x:c>
      <x:c r="BV55" s="7" t="str">
        <x:f>IF(OR($D55="",BV$5="",'상세일정'!AM55="제외"),"",IF($D55=$E55,IF(AND($D55&gt;=BV$5,$D55&lt;BV$5+7),"◆",""),IF(AND($D55&lt;BV$5+7,$E55&gt;BV$5),"■","")))</x:f>
      </x:c>
      <x:c r="BW55" s="7" t="str">
        <x:f>IF(OR($D55="",BW$5="",'상세일정'!AM55="제외"),"",IF($D55=$E55,IF(AND($D55&gt;=BW$5,$D55&lt;BW$5+7),"◆",""),IF(AND($D55&lt;BW$5+7,$E55&gt;BW$5),"■","")))</x:f>
      </x:c>
      <x:c r="BX55" s="7" t="str">
        <x:f>IF(OR($D55="",BX$5="",'상세일정'!AM55="제외"),"",IF($D55=$E55,IF(AND($D55&gt;=BX$5,$D55&lt;BX$5+7),"◆",""),IF(AND($D55&lt;BX$5+7,$E55&gt;BX$5),"■","")))</x:f>
      </x:c>
      <x:c r="BY55" s="7" t="str">
        <x:f>IF(OR($D55="",BY$5="",'상세일정'!AM55="제외"),"",IF($D55=$E55,IF(AND($D55&gt;=BY$5,$D55&lt;BY$5+7),"◆",""),IF(AND($D55&lt;BY$5+7,$E55&gt;BY$5),"■","")))</x:f>
      </x:c>
      <x:c r="BZ55" s="7" t="str">
        <x:f>IF(OR($D55="",BZ$5="",'상세일정'!AM55="제외"),"",IF($D55=$E55,IF(AND($D55&gt;=BZ$5,$D55&lt;BZ$5+7),"◆",""),IF(AND($D55&lt;BZ$5+7,$E55&gt;BZ$5),"■","")))</x:f>
      </x:c>
      <x:c r="CA55" s="7" t="str">
        <x:f>IF(OR($D55="",CA$5="",'상세일정'!AM55="제외"),"",IF($D55=$E55,IF(AND($D55&gt;=CA$5,$D55&lt;CA$5+7),"◆",""),IF(AND($D55&lt;CA$5+7,$E55&gt;CA$5),"■","")))</x:f>
      </x:c>
      <x:c r="CB55" s="7" t="str">
        <x:f>IF(OR($D55="",CB$5="",'상세일정'!AM55="제외"),"",IF($D55=$E55,IF(AND($D55&gt;=CB$5,$D55&lt;CB$5+7),"◆",""),IF(AND($D55&lt;CB$5+7,$E55&gt;CB$5),"■","")))</x:f>
      </x:c>
      <x:c r="CC55" s="7" t="str">
        <x:f>IF(OR($D55="",CC$5="",'상세일정'!AM55="제외"),"",IF($D55=$E55,IF(AND($D55&gt;=CC$5,$D55&lt;CC$5+7),"◆",""),IF(AND($D55&lt;CC$5+7,$E55&gt;CC$5),"■","")))</x:f>
      </x:c>
      <x:c r="CD55" s="7" t="str">
        <x:f>IF(OR($D55="",CD$5="",'상세일정'!AM55="제외"),"",IF($D55=$E55,IF(AND($D55&gt;=CD$5,$D55&lt;CD$5+7),"◆",""),IF(AND($D55&lt;CD$5+7,$E55&gt;CD$5),"■","")))</x:f>
      </x:c>
      <x:c r="CE55" s="7" t="str">
        <x:f>IF(OR($D55="",CE$5="",'상세일정'!AM55="제외"),"",IF($D55=$E55,IF(AND($D55&gt;=CE$5,$D55&lt;CE$5+7),"◆",""),IF(AND($D55&lt;CE$5+7,$E55&gt;CE$5),"■","")))</x:f>
      </x:c>
      <x:c r="CF55" s="7" t="str">
        <x:f>IF(OR($D55="",CF$5="",'상세일정'!AM55="제외"),"",IF($D55=$E55,IF(AND($D55&gt;=CF$5,$D55&lt;CF$5+7),"◆",""),IF(AND($D55&lt;CF$5+7,$E55&gt;CF$5),"■","")))</x:f>
      </x:c>
      <x:c r="CG55" s="7" t="str">
        <x:f>IF(OR($D55="",CG$5="",'상세일정'!AM55="제외"),"",IF($D55=$E55,IF(AND($D55&gt;=CG$5,$D55&lt;CG$5+7),"◆",""),IF(AND($D55&lt;CG$5+7,$E55&gt;CG$5),"■","")))</x:f>
      </x:c>
      <x:c r="CH55" s="7" t="str">
        <x:f>IF(OR($D55="",CH$5="",'상세일정'!AM55="제외"),"",IF($D55=$E55,IF(AND($D55&gt;=CH$5,$D55&lt;CH$5+7),"◆",""),IF(AND($D55&lt;CH$5+7,$E55&gt;CH$5),"■","")))</x:f>
      </x:c>
      <x:c r="CI55" s="7" t="str">
        <x:f>IF(OR($D55="",CI$5="",'상세일정'!AM55="제외"),"",IF($D55=$E55,IF(AND($D55&gt;=CI$5,$D55&lt;CI$5+7),"◆",""),IF(AND($D55&lt;CI$5+7,$E55&gt;CI$5),"■","")))</x:f>
      </x:c>
      <x:c r="CJ55" s="7" t="str">
        <x:f>IF(OR($D55="",CJ$5="",'상세일정'!AM55="제외"),"",IF($D55=$E55,IF(AND($D55&gt;=CJ$5,$D55&lt;CJ$5+7),"◆",""),IF(AND($D55&lt;CJ$5+7,$E55&gt;CJ$5),"■","")))</x:f>
      </x:c>
      <x:c r="CK55" s="7" t="str">
        <x:f>IF(OR($D55="",CK$5="",'상세일정'!AM55="제외"),"",IF($D55=$E55,IF(AND($D55&gt;=CK$5,$D55&lt;CK$5+7),"◆",""),IF(AND($D55&lt;CK$5+7,$E55&gt;CK$5),"■","")))</x:f>
      </x:c>
      <x:c r="CL55" s="7" t="str">
        <x:f>IF(OR($D55="",CL$5="",'상세일정'!AM55="제외"),"",IF($D55=$E55,IF(AND($D55&gt;=CL$5,$D55&lt;CL$5+7),"◆",""),IF(AND($D55&lt;CL$5+7,$E55&gt;CL$5),"■","")))</x:f>
      </x:c>
      <x:c r="CM55" s="7" t="str">
        <x:f>IF(OR($D55="",CM$5="",'상세일정'!AM55="제외"),"",IF($D55=$E55,IF(AND($D55&gt;=CM$5,$D55&lt;CM$5+7),"◆",""),IF(AND($D55&lt;CM$5+7,$E55&gt;CM$5),"■","")))</x:f>
      </x:c>
      <x:c r="CN55" s="7" t="str">
        <x:f>IF(OR($D55="",CN$5="",'상세일정'!AM55="제외"),"",IF($D55=$E55,IF(AND($D55&gt;=CN$5,$D55&lt;CN$5+7),"◆",""),IF(AND($D55&lt;CN$5+7,$E55&gt;CN$5),"■","")))</x:f>
      </x:c>
      <x:c r="CO55" s="7" t="str">
        <x:f>IF(OR($D55="",CO$5="",'상세일정'!AM55="제외"),"",IF($D55=$E55,IF(AND($D55&gt;=CO$5,$D55&lt;CO$5+7),"◆",""),IF(AND($D55&lt;CO$5+7,$E55&gt;CO$5),"■","")))</x:f>
      </x:c>
      <x:c r="CP55" s="7" t="str">
        <x:f>IF(OR($D55="",CP$5="",'상세일정'!AM55="제외"),"",IF($D55=$E55,IF(AND($D55&gt;=CP$5,$D55&lt;CP$5+7),"◆",""),IF(AND($D55&lt;CP$5+7,$E55&gt;CP$5),"■","")))</x:f>
      </x:c>
      <x:c r="CQ55" s="7" t="str">
        <x:f>IF(OR($D55="",CQ$5="",'상세일정'!AM55="제외"),"",IF($D55=$E55,IF(AND($D55&gt;=CQ$5,$D55&lt;CQ$5+7),"◆",""),IF(AND($D55&lt;CQ$5+7,$E55&gt;CQ$5),"■","")))</x:f>
      </x:c>
      <x:c r="CR55" s="7" t="str">
        <x:f>IF(OR($D55="",CR$5="",'상세일정'!AM55="제외"),"",IF($D55=$E55,IF(AND($D55&gt;=CR$5,$D55&lt;CR$5+7),"◆",""),IF(AND($D55&lt;CR$5+7,$E55&gt;CR$5),"■","")))</x:f>
      </x:c>
      <x:c r="CS55" s="7" t="str">
        <x:f>IF(OR($D55="",CS$5="",'상세일정'!AM55="제외"),"",IF($D55=$E55,IF(AND($D55&gt;=CS$5,$D55&lt;CS$5+7),"◆",""),IF(AND($D55&lt;CS$5+7,$E55&gt;CS$5),"■","")))</x:f>
      </x:c>
      <x:c r="CT55" s="7" t="str">
        <x:f>IF(OR($D55="",CT$5="",'상세일정'!AM55="제외"),"",IF($D55=$E55,IF(AND($D55&gt;=CT$5,$D55&lt;CT$5+7),"◆",""),IF(AND($D55&lt;CT$5+7,$E55&gt;CT$5),"■","")))</x:f>
      </x:c>
      <x:c r="CU55" s="7" t="str">
        <x:f>IF(OR($D55="",CU$5="",'상세일정'!AM55="제외"),"",IF($D55=$E55,IF(AND($D55&gt;=CU$5,$D55&lt;CU$5+7),"◆",""),IF(AND($D55&lt;CU$5+7,$E55&gt;CU$5),"■","")))</x:f>
      </x:c>
      <x:c r="CV55" s="7" t="str">
        <x:f>IF(OR($D55="",CV$5="",'상세일정'!AM55="제외"),"",IF($D55=$E55,IF(AND($D55&gt;=CV$5,$D55&lt;CV$5+7),"◆",""),IF(AND($D55&lt;CV$5+7,$E55&gt;CV$5),"■","")))</x:f>
      </x:c>
      <x:c r="CW55" s="7" t="str">
        <x:f>IF(OR($D55="",CW$5="",'상세일정'!AM55="제외"),"",IF($D55=$E55,IF(AND($D55&gt;=CW$5,$D55&lt;CW$5+7),"◆",""),IF(AND($D55&lt;CW$5+7,$E55&gt;CW$5),"■","")))</x:f>
      </x:c>
      <x:c r="CX55" s="7" t="str">
        <x:f>IF(OR($D55="",CX$5="",'상세일정'!AM55="제외"),"",IF($D55=$E55,IF(AND($D55&gt;=CX$5,$D55&lt;CX$5+7),"◆",""),IF(AND($D55&lt;CX$5+7,$E55&gt;CX$5),"■","")))</x:f>
      </x:c>
      <x:c r="CY55" s="7" t="str">
        <x:f>IF(OR($D55="",CY$5="",'상세일정'!AM55="제외"),"",IF($D55=$E55,IF(AND($D55&gt;=CY$5,$D55&lt;CY$5+7),"◆",""),IF(AND($D55&lt;CY$5+7,$E55&gt;CY$5),"■","")))</x:f>
      </x:c>
      <x:c r="CZ55" s="7" t="str">
        <x:f>IF(OR($D55="",CZ$5="",'상세일정'!AM55="제외"),"",IF($D55=$E55,IF(AND($D55&gt;=CZ$5,$D55&lt;CZ$5+7),"◆",""),IF(AND($D55&lt;CZ$5+7,$E55&gt;CZ$5),"■","")))</x:f>
      </x:c>
      <x:c r="DA55" s="7" t="str">
        <x:f>IF(OR($D55="",DA$5="",'상세일정'!AM55="제외"),"",IF($D55=$E55,IF(AND($D55&gt;=DA$5,$D55&lt;DA$5+7),"◆",""),IF(AND($D55&lt;DA$5+7,$E55&gt;DA$5),"■","")))</x:f>
      </x:c>
      <x:c r="DB55" s="7" t="str">
        <x:f>IF(OR($D55="",DB$5="",'상세일정'!AM55="제외"),"",IF($D55=$E55,IF(AND($D55&gt;=DB$5,$D55&lt;DB$5+7),"◆",""),IF(AND($D55&lt;DB$5+7,$E55&gt;DB$5),"■","")))</x:f>
      </x:c>
      <x:c r="DC55" s="7" t="str">
        <x:f>IF(OR($D55="",DC$5="",'상세일정'!AM55="제외"),"",IF($D55=$E55,IF(AND($D55&gt;=DC$5,$D55&lt;DC$5+7),"◆",""),IF(AND($D55&lt;DC$5+7,$E55&gt;DC$5),"■","")))</x:f>
      </x:c>
      <x:c r="DD55" s="7" t="str">
        <x:f>IF(OR($D55="",DD$5="",'상세일정'!AM55="제외"),"",IF($D55=$E55,IF(AND($D55&gt;=DD$5,$D55&lt;DD$5+7),"◆",""),IF(AND($D55&lt;DD$5+7,$E55&gt;DD$5),"■","")))</x:f>
      </x:c>
      <x:c r="DE55" s="7" t="str">
        <x:f>IF(OR($D55="",DE$5="",'상세일정'!AM55="제외"),"",IF($D55=$E55,IF(AND($D55&gt;=DE$5,$D55&lt;DE$5+7),"◆",""),IF(AND($D55&lt;DE$5+7,$E55&gt;DE$5),"■","")))</x:f>
      </x:c>
    </x:row>
    <x:row r="56" ht="34" customHeight="1">
      <x:c r="A56" s="7" t="str">
        <x:v>CV04</x:v>
      </x:c>
      <x:c r="B56" s="7" t="str">
        <x:v>09 토목·구조·건축 설계</x:v>
      </x:c>
      <x:c r="C56" s="7" t="str">
        <x:v>건축 평입단면·방화·피난·환기 설계</x:v>
      </x:c>
      <x:c r="D56" s="10" t="str">
        <x:f>'상세일정'!AJ56</x:f>
      </x:c>
      <x:c r="E56" s="10" t="str">
        <x:f>'상세일정'!AK56</x:f>
      </x:c>
      <x:c r="F56" s="7" t="str">
        <x:f>IF(OR($D56="",F$5="",'상세일정'!AM56="제외"),"",IF($D56=$E56,IF(AND($D56&gt;=F$5,$D56&lt;F$5+7),"◆",""),IF(AND($D56&lt;F$5+7,$E56&gt;F$5),"■","")))</x:f>
      </x:c>
      <x:c r="G56" s="7" t="str">
        <x:f>IF(OR($D56="",G$5="",'상세일정'!AM56="제외"),"",IF($D56=$E56,IF(AND($D56&gt;=G$5,$D56&lt;G$5+7),"◆",""),IF(AND($D56&lt;G$5+7,$E56&gt;G$5),"■","")))</x:f>
      </x:c>
      <x:c r="H56" s="7" t="str">
        <x:f>IF(OR($D56="",H$5="",'상세일정'!AM56="제외"),"",IF($D56=$E56,IF(AND($D56&gt;=H$5,$D56&lt;H$5+7),"◆",""),IF(AND($D56&lt;H$5+7,$E56&gt;H$5),"■","")))</x:f>
      </x:c>
      <x:c r="I56" s="7" t="str">
        <x:f>IF(OR($D56="",I$5="",'상세일정'!AM56="제외"),"",IF($D56=$E56,IF(AND($D56&gt;=I$5,$D56&lt;I$5+7),"◆",""),IF(AND($D56&lt;I$5+7,$E56&gt;I$5),"■","")))</x:f>
      </x:c>
      <x:c r="J56" s="7" t="str">
        <x:f>IF(OR($D56="",J$5="",'상세일정'!AM56="제외"),"",IF($D56=$E56,IF(AND($D56&gt;=J$5,$D56&lt;J$5+7),"◆",""),IF(AND($D56&lt;J$5+7,$E56&gt;J$5),"■","")))</x:f>
      </x:c>
      <x:c r="K56" s="7" t="str">
        <x:f>IF(OR($D56="",K$5="",'상세일정'!AM56="제외"),"",IF($D56=$E56,IF(AND($D56&gt;=K$5,$D56&lt;K$5+7),"◆",""),IF(AND($D56&lt;K$5+7,$E56&gt;K$5),"■","")))</x:f>
      </x:c>
      <x:c r="L56" s="7" t="str">
        <x:f>IF(OR($D56="",L$5="",'상세일정'!AM56="제외"),"",IF($D56=$E56,IF(AND($D56&gt;=L$5,$D56&lt;L$5+7),"◆",""),IF(AND($D56&lt;L$5+7,$E56&gt;L$5),"■","")))</x:f>
      </x:c>
      <x:c r="M56" s="7" t="str">
        <x:f>IF(OR($D56="",M$5="",'상세일정'!AM56="제외"),"",IF($D56=$E56,IF(AND($D56&gt;=M$5,$D56&lt;M$5+7),"◆",""),IF(AND($D56&lt;M$5+7,$E56&gt;M$5),"■","")))</x:f>
      </x:c>
      <x:c r="N56" s="7" t="str">
        <x:f>IF(OR($D56="",N$5="",'상세일정'!AM56="제외"),"",IF($D56=$E56,IF(AND($D56&gt;=N$5,$D56&lt;N$5+7),"◆",""),IF(AND($D56&lt;N$5+7,$E56&gt;N$5),"■","")))</x:f>
      </x:c>
      <x:c r="O56" s="7" t="str">
        <x:f>IF(OR($D56="",O$5="",'상세일정'!AM56="제외"),"",IF($D56=$E56,IF(AND($D56&gt;=O$5,$D56&lt;O$5+7),"◆",""),IF(AND($D56&lt;O$5+7,$E56&gt;O$5),"■","")))</x:f>
      </x:c>
      <x:c r="P56" s="7" t="str">
        <x:f>IF(OR($D56="",P$5="",'상세일정'!AM56="제외"),"",IF($D56=$E56,IF(AND($D56&gt;=P$5,$D56&lt;P$5+7),"◆",""),IF(AND($D56&lt;P$5+7,$E56&gt;P$5),"■","")))</x:f>
      </x:c>
      <x:c r="Q56" s="7" t="str">
        <x:f>IF(OR($D56="",Q$5="",'상세일정'!AM56="제외"),"",IF($D56=$E56,IF(AND($D56&gt;=Q$5,$D56&lt;Q$5+7),"◆",""),IF(AND($D56&lt;Q$5+7,$E56&gt;Q$5),"■","")))</x:f>
      </x:c>
      <x:c r="R56" s="7" t="str">
        <x:f>IF(OR($D56="",R$5="",'상세일정'!AM56="제외"),"",IF($D56=$E56,IF(AND($D56&gt;=R$5,$D56&lt;R$5+7),"◆",""),IF(AND($D56&lt;R$5+7,$E56&gt;R$5),"■","")))</x:f>
      </x:c>
      <x:c r="S56" s="7" t="str">
        <x:f>IF(OR($D56="",S$5="",'상세일정'!AM56="제외"),"",IF($D56=$E56,IF(AND($D56&gt;=S$5,$D56&lt;S$5+7),"◆",""),IF(AND($D56&lt;S$5+7,$E56&gt;S$5),"■","")))</x:f>
      </x:c>
      <x:c r="T56" s="7" t="str">
        <x:f>IF(OR($D56="",T$5="",'상세일정'!AM56="제외"),"",IF($D56=$E56,IF(AND($D56&gt;=T$5,$D56&lt;T$5+7),"◆",""),IF(AND($D56&lt;T$5+7,$E56&gt;T$5),"■","")))</x:f>
      </x:c>
      <x:c r="U56" s="7" t="str">
        <x:f>IF(OR($D56="",U$5="",'상세일정'!AM56="제외"),"",IF($D56=$E56,IF(AND($D56&gt;=U$5,$D56&lt;U$5+7),"◆",""),IF(AND($D56&lt;U$5+7,$E56&gt;U$5),"■","")))</x:f>
      </x:c>
      <x:c r="V56" s="7" t="str">
        <x:f>IF(OR($D56="",V$5="",'상세일정'!AM56="제외"),"",IF($D56=$E56,IF(AND($D56&gt;=V$5,$D56&lt;V$5+7),"◆",""),IF(AND($D56&lt;V$5+7,$E56&gt;V$5),"■","")))</x:f>
      </x:c>
      <x:c r="W56" s="7" t="str">
        <x:f>IF(OR($D56="",W$5="",'상세일정'!AM56="제외"),"",IF($D56=$E56,IF(AND($D56&gt;=W$5,$D56&lt;W$5+7),"◆",""),IF(AND($D56&lt;W$5+7,$E56&gt;W$5),"■","")))</x:f>
      </x:c>
      <x:c r="X56" s="7" t="str">
        <x:f>IF(OR($D56="",X$5="",'상세일정'!AM56="제외"),"",IF($D56=$E56,IF(AND($D56&gt;=X$5,$D56&lt;X$5+7),"◆",""),IF(AND($D56&lt;X$5+7,$E56&gt;X$5),"■","")))</x:f>
      </x:c>
      <x:c r="Y56" s="7" t="str">
        <x:f>IF(OR($D56="",Y$5="",'상세일정'!AM56="제외"),"",IF($D56=$E56,IF(AND($D56&gt;=Y$5,$D56&lt;Y$5+7),"◆",""),IF(AND($D56&lt;Y$5+7,$E56&gt;Y$5),"■","")))</x:f>
      </x:c>
      <x:c r="Z56" s="7" t="str">
        <x:f>IF(OR($D56="",Z$5="",'상세일정'!AM56="제외"),"",IF($D56=$E56,IF(AND($D56&gt;=Z$5,$D56&lt;Z$5+7),"◆",""),IF(AND($D56&lt;Z$5+7,$E56&gt;Z$5),"■","")))</x:f>
      </x:c>
      <x:c r="AA56" s="7" t="str">
        <x:f>IF(OR($D56="",AA$5="",'상세일정'!AM56="제외"),"",IF($D56=$E56,IF(AND($D56&gt;=AA$5,$D56&lt;AA$5+7),"◆",""),IF(AND($D56&lt;AA$5+7,$E56&gt;AA$5),"■","")))</x:f>
      </x:c>
      <x:c r="AB56" s="7" t="str">
        <x:f>IF(OR($D56="",AB$5="",'상세일정'!AM56="제외"),"",IF($D56=$E56,IF(AND($D56&gt;=AB$5,$D56&lt;AB$5+7),"◆",""),IF(AND($D56&lt;AB$5+7,$E56&gt;AB$5),"■","")))</x:f>
      </x:c>
      <x:c r="AC56" s="7" t="str">
        <x:f>IF(OR($D56="",AC$5="",'상세일정'!AM56="제외"),"",IF($D56=$E56,IF(AND($D56&gt;=AC$5,$D56&lt;AC$5+7),"◆",""),IF(AND($D56&lt;AC$5+7,$E56&gt;AC$5),"■","")))</x:f>
      </x:c>
      <x:c r="AD56" s="7" t="str">
        <x:f>IF(OR($D56="",AD$5="",'상세일정'!AM56="제외"),"",IF($D56=$E56,IF(AND($D56&gt;=AD$5,$D56&lt;AD$5+7),"◆",""),IF(AND($D56&lt;AD$5+7,$E56&gt;AD$5),"■","")))</x:f>
      </x:c>
      <x:c r="AE56" s="7" t="str">
        <x:f>IF(OR($D56="",AE$5="",'상세일정'!AM56="제외"),"",IF($D56=$E56,IF(AND($D56&gt;=AE$5,$D56&lt;AE$5+7),"◆",""),IF(AND($D56&lt;AE$5+7,$E56&gt;AE$5),"■","")))</x:f>
      </x:c>
      <x:c r="AF56" s="7" t="str">
        <x:f>IF(OR($D56="",AF$5="",'상세일정'!AM56="제외"),"",IF($D56=$E56,IF(AND($D56&gt;=AF$5,$D56&lt;AF$5+7),"◆",""),IF(AND($D56&lt;AF$5+7,$E56&gt;AF$5),"■","")))</x:f>
      </x:c>
      <x:c r="AG56" s="7" t="str">
        <x:f>IF(OR($D56="",AG$5="",'상세일정'!AM56="제외"),"",IF($D56=$E56,IF(AND($D56&gt;=AG$5,$D56&lt;AG$5+7),"◆",""),IF(AND($D56&lt;AG$5+7,$E56&gt;AG$5),"■","")))</x:f>
      </x:c>
      <x:c r="AH56" s="7" t="str">
        <x:f>IF(OR($D56="",AH$5="",'상세일정'!AM56="제외"),"",IF($D56=$E56,IF(AND($D56&gt;=AH$5,$D56&lt;AH$5+7),"◆",""),IF(AND($D56&lt;AH$5+7,$E56&gt;AH$5),"■","")))</x:f>
      </x:c>
      <x:c r="AI56" s="7" t="str">
        <x:f>IF(OR($D56="",AI$5="",'상세일정'!AM56="제외"),"",IF($D56=$E56,IF(AND($D56&gt;=AI$5,$D56&lt;AI$5+7),"◆",""),IF(AND($D56&lt;AI$5+7,$E56&gt;AI$5),"■","")))</x:f>
      </x:c>
      <x:c r="AJ56" s="7" t="str">
        <x:f>IF(OR($D56="",AJ$5="",'상세일정'!AM56="제외"),"",IF($D56=$E56,IF(AND($D56&gt;=AJ$5,$D56&lt;AJ$5+7),"◆",""),IF(AND($D56&lt;AJ$5+7,$E56&gt;AJ$5),"■","")))</x:f>
      </x:c>
      <x:c r="AK56" s="7" t="str">
        <x:f>IF(OR($D56="",AK$5="",'상세일정'!AM56="제외"),"",IF($D56=$E56,IF(AND($D56&gt;=AK$5,$D56&lt;AK$5+7),"◆",""),IF(AND($D56&lt;AK$5+7,$E56&gt;AK$5),"■","")))</x:f>
      </x:c>
      <x:c r="AL56" s="7" t="str">
        <x:f>IF(OR($D56="",AL$5="",'상세일정'!AM56="제외"),"",IF($D56=$E56,IF(AND($D56&gt;=AL$5,$D56&lt;AL$5+7),"◆",""),IF(AND($D56&lt;AL$5+7,$E56&gt;AL$5),"■","")))</x:f>
      </x:c>
      <x:c r="AM56" s="7" t="str">
        <x:f>IF(OR($D56="",AM$5="",'상세일정'!AM56="제외"),"",IF($D56=$E56,IF(AND($D56&gt;=AM$5,$D56&lt;AM$5+7),"◆",""),IF(AND($D56&lt;AM$5+7,$E56&gt;AM$5),"■","")))</x:f>
      </x:c>
      <x:c r="AN56" s="7" t="str">
        <x:f>IF(OR($D56="",AN$5="",'상세일정'!AM56="제외"),"",IF($D56=$E56,IF(AND($D56&gt;=AN$5,$D56&lt;AN$5+7),"◆",""),IF(AND($D56&lt;AN$5+7,$E56&gt;AN$5),"■","")))</x:f>
      </x:c>
      <x:c r="AO56" s="7" t="str">
        <x:f>IF(OR($D56="",AO$5="",'상세일정'!AM56="제외"),"",IF($D56=$E56,IF(AND($D56&gt;=AO$5,$D56&lt;AO$5+7),"◆",""),IF(AND($D56&lt;AO$5+7,$E56&gt;AO$5),"■","")))</x:f>
      </x:c>
      <x:c r="AP56" s="7" t="str">
        <x:f>IF(OR($D56="",AP$5="",'상세일정'!AM56="제외"),"",IF($D56=$E56,IF(AND($D56&gt;=AP$5,$D56&lt;AP$5+7),"◆",""),IF(AND($D56&lt;AP$5+7,$E56&gt;AP$5),"■","")))</x:f>
      </x:c>
      <x:c r="AQ56" s="7" t="str">
        <x:f>IF(OR($D56="",AQ$5="",'상세일정'!AM56="제외"),"",IF($D56=$E56,IF(AND($D56&gt;=AQ$5,$D56&lt;AQ$5+7),"◆",""),IF(AND($D56&lt;AQ$5+7,$E56&gt;AQ$5),"■","")))</x:f>
      </x:c>
      <x:c r="AR56" s="7" t="str">
        <x:f>IF(OR($D56="",AR$5="",'상세일정'!AM56="제외"),"",IF($D56=$E56,IF(AND($D56&gt;=AR$5,$D56&lt;AR$5+7),"◆",""),IF(AND($D56&lt;AR$5+7,$E56&gt;AR$5),"■","")))</x:f>
      </x:c>
      <x:c r="AS56" s="7" t="str">
        <x:f>IF(OR($D56="",AS$5="",'상세일정'!AM56="제외"),"",IF($D56=$E56,IF(AND($D56&gt;=AS$5,$D56&lt;AS$5+7),"◆",""),IF(AND($D56&lt;AS$5+7,$E56&gt;AS$5),"■","")))</x:f>
      </x:c>
      <x:c r="AT56" s="7" t="str">
        <x:f>IF(OR($D56="",AT$5="",'상세일정'!AM56="제외"),"",IF($D56=$E56,IF(AND($D56&gt;=AT$5,$D56&lt;AT$5+7),"◆",""),IF(AND($D56&lt;AT$5+7,$E56&gt;AT$5),"■","")))</x:f>
      </x:c>
      <x:c r="AU56" s="7" t="str">
        <x:f>IF(OR($D56="",AU$5="",'상세일정'!AM56="제외"),"",IF($D56=$E56,IF(AND($D56&gt;=AU$5,$D56&lt;AU$5+7),"◆",""),IF(AND($D56&lt;AU$5+7,$E56&gt;AU$5),"■","")))</x:f>
      </x:c>
      <x:c r="AV56" s="7" t="str">
        <x:f>IF(OR($D56="",AV$5="",'상세일정'!AM56="제외"),"",IF($D56=$E56,IF(AND($D56&gt;=AV$5,$D56&lt;AV$5+7),"◆",""),IF(AND($D56&lt;AV$5+7,$E56&gt;AV$5),"■","")))</x:f>
      </x:c>
      <x:c r="AW56" s="7" t="str">
        <x:f>IF(OR($D56="",AW$5="",'상세일정'!AM56="제외"),"",IF($D56=$E56,IF(AND($D56&gt;=AW$5,$D56&lt;AW$5+7),"◆",""),IF(AND($D56&lt;AW$5+7,$E56&gt;AW$5),"■","")))</x:f>
      </x:c>
      <x:c r="AX56" s="7" t="str">
        <x:f>IF(OR($D56="",AX$5="",'상세일정'!AM56="제외"),"",IF($D56=$E56,IF(AND($D56&gt;=AX$5,$D56&lt;AX$5+7),"◆",""),IF(AND($D56&lt;AX$5+7,$E56&gt;AX$5),"■","")))</x:f>
      </x:c>
      <x:c r="AY56" s="7" t="str">
        <x:f>IF(OR($D56="",AY$5="",'상세일정'!AM56="제외"),"",IF($D56=$E56,IF(AND($D56&gt;=AY$5,$D56&lt;AY$5+7),"◆",""),IF(AND($D56&lt;AY$5+7,$E56&gt;AY$5),"■","")))</x:f>
      </x:c>
      <x:c r="AZ56" s="7" t="str">
        <x:f>IF(OR($D56="",AZ$5="",'상세일정'!AM56="제외"),"",IF($D56=$E56,IF(AND($D56&gt;=AZ$5,$D56&lt;AZ$5+7),"◆",""),IF(AND($D56&lt;AZ$5+7,$E56&gt;AZ$5),"■","")))</x:f>
      </x:c>
      <x:c r="BA56" s="7" t="str">
        <x:f>IF(OR($D56="",BA$5="",'상세일정'!AM56="제외"),"",IF($D56=$E56,IF(AND($D56&gt;=BA$5,$D56&lt;BA$5+7),"◆",""),IF(AND($D56&lt;BA$5+7,$E56&gt;BA$5),"■","")))</x:f>
      </x:c>
      <x:c r="BB56" s="7" t="str">
        <x:f>IF(OR($D56="",BB$5="",'상세일정'!AM56="제외"),"",IF($D56=$E56,IF(AND($D56&gt;=BB$5,$D56&lt;BB$5+7),"◆",""),IF(AND($D56&lt;BB$5+7,$E56&gt;BB$5),"■","")))</x:f>
      </x:c>
      <x:c r="BC56" s="7" t="str">
        <x:f>IF(OR($D56="",BC$5="",'상세일정'!AM56="제외"),"",IF($D56=$E56,IF(AND($D56&gt;=BC$5,$D56&lt;BC$5+7),"◆",""),IF(AND($D56&lt;BC$5+7,$E56&gt;BC$5),"■","")))</x:f>
      </x:c>
      <x:c r="BD56" s="7" t="str">
        <x:f>IF(OR($D56="",BD$5="",'상세일정'!AM56="제외"),"",IF($D56=$E56,IF(AND($D56&gt;=BD$5,$D56&lt;BD$5+7),"◆",""),IF(AND($D56&lt;BD$5+7,$E56&gt;BD$5),"■","")))</x:f>
      </x:c>
      <x:c r="BE56" s="7" t="str">
        <x:f>IF(OR($D56="",BE$5="",'상세일정'!AM56="제외"),"",IF($D56=$E56,IF(AND($D56&gt;=BE$5,$D56&lt;BE$5+7),"◆",""),IF(AND($D56&lt;BE$5+7,$E56&gt;BE$5),"■","")))</x:f>
      </x:c>
      <x:c r="BF56" s="7" t="str">
        <x:f>IF(OR($D56="",BF$5="",'상세일정'!AM56="제외"),"",IF($D56=$E56,IF(AND($D56&gt;=BF$5,$D56&lt;BF$5+7),"◆",""),IF(AND($D56&lt;BF$5+7,$E56&gt;BF$5),"■","")))</x:f>
      </x:c>
      <x:c r="BG56" s="7" t="str">
        <x:f>IF(OR($D56="",BG$5="",'상세일정'!AM56="제외"),"",IF($D56=$E56,IF(AND($D56&gt;=BG$5,$D56&lt;BG$5+7),"◆",""),IF(AND($D56&lt;BG$5+7,$E56&gt;BG$5),"■","")))</x:f>
      </x:c>
      <x:c r="BH56" s="7" t="str">
        <x:f>IF(OR($D56="",BH$5="",'상세일정'!AM56="제외"),"",IF($D56=$E56,IF(AND($D56&gt;=BH$5,$D56&lt;BH$5+7),"◆",""),IF(AND($D56&lt;BH$5+7,$E56&gt;BH$5),"■","")))</x:f>
      </x:c>
      <x:c r="BI56" s="7" t="str">
        <x:f>IF(OR($D56="",BI$5="",'상세일정'!AM56="제외"),"",IF($D56=$E56,IF(AND($D56&gt;=BI$5,$D56&lt;BI$5+7),"◆",""),IF(AND($D56&lt;BI$5+7,$E56&gt;BI$5),"■","")))</x:f>
      </x:c>
      <x:c r="BJ56" s="7" t="str">
        <x:f>IF(OR($D56="",BJ$5="",'상세일정'!AM56="제외"),"",IF($D56=$E56,IF(AND($D56&gt;=BJ$5,$D56&lt;BJ$5+7),"◆",""),IF(AND($D56&lt;BJ$5+7,$E56&gt;BJ$5),"■","")))</x:f>
      </x:c>
      <x:c r="BK56" s="7" t="str">
        <x:f>IF(OR($D56="",BK$5="",'상세일정'!AM56="제외"),"",IF($D56=$E56,IF(AND($D56&gt;=BK$5,$D56&lt;BK$5+7),"◆",""),IF(AND($D56&lt;BK$5+7,$E56&gt;BK$5),"■","")))</x:f>
      </x:c>
      <x:c r="BL56" s="7" t="str">
        <x:f>IF(OR($D56="",BL$5="",'상세일정'!AM56="제외"),"",IF($D56=$E56,IF(AND($D56&gt;=BL$5,$D56&lt;BL$5+7),"◆",""),IF(AND($D56&lt;BL$5+7,$E56&gt;BL$5),"■","")))</x:f>
      </x:c>
      <x:c r="BM56" s="7" t="str">
        <x:f>IF(OR($D56="",BM$5="",'상세일정'!AM56="제외"),"",IF($D56=$E56,IF(AND($D56&gt;=BM$5,$D56&lt;BM$5+7),"◆",""),IF(AND($D56&lt;BM$5+7,$E56&gt;BM$5),"■","")))</x:f>
      </x:c>
      <x:c r="BN56" s="7" t="str">
        <x:f>IF(OR($D56="",BN$5="",'상세일정'!AM56="제외"),"",IF($D56=$E56,IF(AND($D56&gt;=BN$5,$D56&lt;BN$5+7),"◆",""),IF(AND($D56&lt;BN$5+7,$E56&gt;BN$5),"■","")))</x:f>
      </x:c>
      <x:c r="BO56" s="7" t="str">
        <x:f>IF(OR($D56="",BO$5="",'상세일정'!AM56="제외"),"",IF($D56=$E56,IF(AND($D56&gt;=BO$5,$D56&lt;BO$5+7),"◆",""),IF(AND($D56&lt;BO$5+7,$E56&gt;BO$5),"■","")))</x:f>
      </x:c>
      <x:c r="BP56" s="7" t="str">
        <x:f>IF(OR($D56="",BP$5="",'상세일정'!AM56="제외"),"",IF($D56=$E56,IF(AND($D56&gt;=BP$5,$D56&lt;BP$5+7),"◆",""),IF(AND($D56&lt;BP$5+7,$E56&gt;BP$5),"■","")))</x:f>
      </x:c>
      <x:c r="BQ56" s="7" t="str">
        <x:f>IF(OR($D56="",BQ$5="",'상세일정'!AM56="제외"),"",IF($D56=$E56,IF(AND($D56&gt;=BQ$5,$D56&lt;BQ$5+7),"◆",""),IF(AND($D56&lt;BQ$5+7,$E56&gt;BQ$5),"■","")))</x:f>
      </x:c>
      <x:c r="BR56" s="7" t="str">
        <x:f>IF(OR($D56="",BR$5="",'상세일정'!AM56="제외"),"",IF($D56=$E56,IF(AND($D56&gt;=BR$5,$D56&lt;BR$5+7),"◆",""),IF(AND($D56&lt;BR$5+7,$E56&gt;BR$5),"■","")))</x:f>
      </x:c>
      <x:c r="BS56" s="7" t="str">
        <x:f>IF(OR($D56="",BS$5="",'상세일정'!AM56="제외"),"",IF($D56=$E56,IF(AND($D56&gt;=BS$5,$D56&lt;BS$5+7),"◆",""),IF(AND($D56&lt;BS$5+7,$E56&gt;BS$5),"■","")))</x:f>
      </x:c>
      <x:c r="BT56" s="7" t="str">
        <x:f>IF(OR($D56="",BT$5="",'상세일정'!AM56="제외"),"",IF($D56=$E56,IF(AND($D56&gt;=BT$5,$D56&lt;BT$5+7),"◆",""),IF(AND($D56&lt;BT$5+7,$E56&gt;BT$5),"■","")))</x:f>
      </x:c>
      <x:c r="BU56" s="7" t="str">
        <x:f>IF(OR($D56="",BU$5="",'상세일정'!AM56="제외"),"",IF($D56=$E56,IF(AND($D56&gt;=BU$5,$D56&lt;BU$5+7),"◆",""),IF(AND($D56&lt;BU$5+7,$E56&gt;BU$5),"■","")))</x:f>
      </x:c>
      <x:c r="BV56" s="7" t="str">
        <x:f>IF(OR($D56="",BV$5="",'상세일정'!AM56="제외"),"",IF($D56=$E56,IF(AND($D56&gt;=BV$5,$D56&lt;BV$5+7),"◆",""),IF(AND($D56&lt;BV$5+7,$E56&gt;BV$5),"■","")))</x:f>
      </x:c>
      <x:c r="BW56" s="7" t="str">
        <x:f>IF(OR($D56="",BW$5="",'상세일정'!AM56="제외"),"",IF($D56=$E56,IF(AND($D56&gt;=BW$5,$D56&lt;BW$5+7),"◆",""),IF(AND($D56&lt;BW$5+7,$E56&gt;BW$5),"■","")))</x:f>
      </x:c>
      <x:c r="BX56" s="7" t="str">
        <x:f>IF(OR($D56="",BX$5="",'상세일정'!AM56="제외"),"",IF($D56=$E56,IF(AND($D56&gt;=BX$5,$D56&lt;BX$5+7),"◆",""),IF(AND($D56&lt;BX$5+7,$E56&gt;BX$5),"■","")))</x:f>
      </x:c>
      <x:c r="BY56" s="7" t="str">
        <x:f>IF(OR($D56="",BY$5="",'상세일정'!AM56="제외"),"",IF($D56=$E56,IF(AND($D56&gt;=BY$5,$D56&lt;BY$5+7),"◆",""),IF(AND($D56&lt;BY$5+7,$E56&gt;BY$5),"■","")))</x:f>
      </x:c>
      <x:c r="BZ56" s="7" t="str">
        <x:f>IF(OR($D56="",BZ$5="",'상세일정'!AM56="제외"),"",IF($D56=$E56,IF(AND($D56&gt;=BZ$5,$D56&lt;BZ$5+7),"◆",""),IF(AND($D56&lt;BZ$5+7,$E56&gt;BZ$5),"■","")))</x:f>
      </x:c>
      <x:c r="CA56" s="7" t="str">
        <x:f>IF(OR($D56="",CA$5="",'상세일정'!AM56="제외"),"",IF($D56=$E56,IF(AND($D56&gt;=CA$5,$D56&lt;CA$5+7),"◆",""),IF(AND($D56&lt;CA$5+7,$E56&gt;CA$5),"■","")))</x:f>
      </x:c>
      <x:c r="CB56" s="7" t="str">
        <x:f>IF(OR($D56="",CB$5="",'상세일정'!AM56="제외"),"",IF($D56=$E56,IF(AND($D56&gt;=CB$5,$D56&lt;CB$5+7),"◆",""),IF(AND($D56&lt;CB$5+7,$E56&gt;CB$5),"■","")))</x:f>
      </x:c>
      <x:c r="CC56" s="7" t="str">
        <x:f>IF(OR($D56="",CC$5="",'상세일정'!AM56="제외"),"",IF($D56=$E56,IF(AND($D56&gt;=CC$5,$D56&lt;CC$5+7),"◆",""),IF(AND($D56&lt;CC$5+7,$E56&gt;CC$5),"■","")))</x:f>
      </x:c>
      <x:c r="CD56" s="7" t="str">
        <x:f>IF(OR($D56="",CD$5="",'상세일정'!AM56="제외"),"",IF($D56=$E56,IF(AND($D56&gt;=CD$5,$D56&lt;CD$5+7),"◆",""),IF(AND($D56&lt;CD$5+7,$E56&gt;CD$5),"■","")))</x:f>
      </x:c>
      <x:c r="CE56" s="7" t="str">
        <x:f>IF(OR($D56="",CE$5="",'상세일정'!AM56="제외"),"",IF($D56=$E56,IF(AND($D56&gt;=CE$5,$D56&lt;CE$5+7),"◆",""),IF(AND($D56&lt;CE$5+7,$E56&gt;CE$5),"■","")))</x:f>
      </x:c>
      <x:c r="CF56" s="7" t="str">
        <x:f>IF(OR($D56="",CF$5="",'상세일정'!AM56="제외"),"",IF($D56=$E56,IF(AND($D56&gt;=CF$5,$D56&lt;CF$5+7),"◆",""),IF(AND($D56&lt;CF$5+7,$E56&gt;CF$5),"■","")))</x:f>
      </x:c>
      <x:c r="CG56" s="7" t="str">
        <x:f>IF(OR($D56="",CG$5="",'상세일정'!AM56="제외"),"",IF($D56=$E56,IF(AND($D56&gt;=CG$5,$D56&lt;CG$5+7),"◆",""),IF(AND($D56&lt;CG$5+7,$E56&gt;CG$5),"■","")))</x:f>
      </x:c>
      <x:c r="CH56" s="7" t="str">
        <x:f>IF(OR($D56="",CH$5="",'상세일정'!AM56="제외"),"",IF($D56=$E56,IF(AND($D56&gt;=CH$5,$D56&lt;CH$5+7),"◆",""),IF(AND($D56&lt;CH$5+7,$E56&gt;CH$5),"■","")))</x:f>
      </x:c>
      <x:c r="CI56" s="7" t="str">
        <x:f>IF(OR($D56="",CI$5="",'상세일정'!AM56="제외"),"",IF($D56=$E56,IF(AND($D56&gt;=CI$5,$D56&lt;CI$5+7),"◆",""),IF(AND($D56&lt;CI$5+7,$E56&gt;CI$5),"■","")))</x:f>
      </x:c>
      <x:c r="CJ56" s="7" t="str">
        <x:f>IF(OR($D56="",CJ$5="",'상세일정'!AM56="제외"),"",IF($D56=$E56,IF(AND($D56&gt;=CJ$5,$D56&lt;CJ$5+7),"◆",""),IF(AND($D56&lt;CJ$5+7,$E56&gt;CJ$5),"■","")))</x:f>
      </x:c>
      <x:c r="CK56" s="7" t="str">
        <x:f>IF(OR($D56="",CK$5="",'상세일정'!AM56="제외"),"",IF($D56=$E56,IF(AND($D56&gt;=CK$5,$D56&lt;CK$5+7),"◆",""),IF(AND($D56&lt;CK$5+7,$E56&gt;CK$5),"■","")))</x:f>
      </x:c>
      <x:c r="CL56" s="7" t="str">
        <x:f>IF(OR($D56="",CL$5="",'상세일정'!AM56="제외"),"",IF($D56=$E56,IF(AND($D56&gt;=CL$5,$D56&lt;CL$5+7),"◆",""),IF(AND($D56&lt;CL$5+7,$E56&gt;CL$5),"■","")))</x:f>
      </x:c>
      <x:c r="CM56" s="7" t="str">
        <x:f>IF(OR($D56="",CM$5="",'상세일정'!AM56="제외"),"",IF($D56=$E56,IF(AND($D56&gt;=CM$5,$D56&lt;CM$5+7),"◆",""),IF(AND($D56&lt;CM$5+7,$E56&gt;CM$5),"■","")))</x:f>
      </x:c>
      <x:c r="CN56" s="7" t="str">
        <x:f>IF(OR($D56="",CN$5="",'상세일정'!AM56="제외"),"",IF($D56=$E56,IF(AND($D56&gt;=CN$5,$D56&lt;CN$5+7),"◆",""),IF(AND($D56&lt;CN$5+7,$E56&gt;CN$5),"■","")))</x:f>
      </x:c>
      <x:c r="CO56" s="7" t="str">
        <x:f>IF(OR($D56="",CO$5="",'상세일정'!AM56="제외"),"",IF($D56=$E56,IF(AND($D56&gt;=CO$5,$D56&lt;CO$5+7),"◆",""),IF(AND($D56&lt;CO$5+7,$E56&gt;CO$5),"■","")))</x:f>
      </x:c>
      <x:c r="CP56" s="7" t="str">
        <x:f>IF(OR($D56="",CP$5="",'상세일정'!AM56="제외"),"",IF($D56=$E56,IF(AND($D56&gt;=CP$5,$D56&lt;CP$5+7),"◆",""),IF(AND($D56&lt;CP$5+7,$E56&gt;CP$5),"■","")))</x:f>
      </x:c>
      <x:c r="CQ56" s="7" t="str">
        <x:f>IF(OR($D56="",CQ$5="",'상세일정'!AM56="제외"),"",IF($D56=$E56,IF(AND($D56&gt;=CQ$5,$D56&lt;CQ$5+7),"◆",""),IF(AND($D56&lt;CQ$5+7,$E56&gt;CQ$5),"■","")))</x:f>
      </x:c>
      <x:c r="CR56" s="7" t="str">
        <x:f>IF(OR($D56="",CR$5="",'상세일정'!AM56="제외"),"",IF($D56=$E56,IF(AND($D56&gt;=CR$5,$D56&lt;CR$5+7),"◆",""),IF(AND($D56&lt;CR$5+7,$E56&gt;CR$5),"■","")))</x:f>
      </x:c>
      <x:c r="CS56" s="7" t="str">
        <x:f>IF(OR($D56="",CS$5="",'상세일정'!AM56="제외"),"",IF($D56=$E56,IF(AND($D56&gt;=CS$5,$D56&lt;CS$5+7),"◆",""),IF(AND($D56&lt;CS$5+7,$E56&gt;CS$5),"■","")))</x:f>
      </x:c>
      <x:c r="CT56" s="7" t="str">
        <x:f>IF(OR($D56="",CT$5="",'상세일정'!AM56="제외"),"",IF($D56=$E56,IF(AND($D56&gt;=CT$5,$D56&lt;CT$5+7),"◆",""),IF(AND($D56&lt;CT$5+7,$E56&gt;CT$5),"■","")))</x:f>
      </x:c>
      <x:c r="CU56" s="7" t="str">
        <x:f>IF(OR($D56="",CU$5="",'상세일정'!AM56="제외"),"",IF($D56=$E56,IF(AND($D56&gt;=CU$5,$D56&lt;CU$5+7),"◆",""),IF(AND($D56&lt;CU$5+7,$E56&gt;CU$5),"■","")))</x:f>
      </x:c>
      <x:c r="CV56" s="7" t="str">
        <x:f>IF(OR($D56="",CV$5="",'상세일정'!AM56="제외"),"",IF($D56=$E56,IF(AND($D56&gt;=CV$5,$D56&lt;CV$5+7),"◆",""),IF(AND($D56&lt;CV$5+7,$E56&gt;CV$5),"■","")))</x:f>
      </x:c>
      <x:c r="CW56" s="7" t="str">
        <x:f>IF(OR($D56="",CW$5="",'상세일정'!AM56="제외"),"",IF($D56=$E56,IF(AND($D56&gt;=CW$5,$D56&lt;CW$5+7),"◆",""),IF(AND($D56&lt;CW$5+7,$E56&gt;CW$5),"■","")))</x:f>
      </x:c>
      <x:c r="CX56" s="7" t="str">
        <x:f>IF(OR($D56="",CX$5="",'상세일정'!AM56="제외"),"",IF($D56=$E56,IF(AND($D56&gt;=CX$5,$D56&lt;CX$5+7),"◆",""),IF(AND($D56&lt;CX$5+7,$E56&gt;CX$5),"■","")))</x:f>
      </x:c>
      <x:c r="CY56" s="7" t="str">
        <x:f>IF(OR($D56="",CY$5="",'상세일정'!AM56="제외"),"",IF($D56=$E56,IF(AND($D56&gt;=CY$5,$D56&lt;CY$5+7),"◆",""),IF(AND($D56&lt;CY$5+7,$E56&gt;CY$5),"■","")))</x:f>
      </x:c>
      <x:c r="CZ56" s="7" t="str">
        <x:f>IF(OR($D56="",CZ$5="",'상세일정'!AM56="제외"),"",IF($D56=$E56,IF(AND($D56&gt;=CZ$5,$D56&lt;CZ$5+7),"◆",""),IF(AND($D56&lt;CZ$5+7,$E56&gt;CZ$5),"■","")))</x:f>
      </x:c>
      <x:c r="DA56" s="7" t="str">
        <x:f>IF(OR($D56="",DA$5="",'상세일정'!AM56="제외"),"",IF($D56=$E56,IF(AND($D56&gt;=DA$5,$D56&lt;DA$5+7),"◆",""),IF(AND($D56&lt;DA$5+7,$E56&gt;DA$5),"■","")))</x:f>
      </x:c>
      <x:c r="DB56" s="7" t="str">
        <x:f>IF(OR($D56="",DB$5="",'상세일정'!AM56="제외"),"",IF($D56=$E56,IF(AND($D56&gt;=DB$5,$D56&lt;DB$5+7),"◆",""),IF(AND($D56&lt;DB$5+7,$E56&gt;DB$5),"■","")))</x:f>
      </x:c>
      <x:c r="DC56" s="7" t="str">
        <x:f>IF(OR($D56="",DC$5="",'상세일정'!AM56="제외"),"",IF($D56=$E56,IF(AND($D56&gt;=DC$5,$D56&lt;DC$5+7),"◆",""),IF(AND($D56&lt;DC$5+7,$E56&gt;DC$5),"■","")))</x:f>
      </x:c>
      <x:c r="DD56" s="7" t="str">
        <x:f>IF(OR($D56="",DD$5="",'상세일정'!AM56="제외"),"",IF($D56=$E56,IF(AND($D56&gt;=DD$5,$D56&lt;DD$5+7),"◆",""),IF(AND($D56&lt;DD$5+7,$E56&gt;DD$5),"■","")))</x:f>
      </x:c>
      <x:c r="DE56" s="7" t="str">
        <x:f>IF(OR($D56="",DE$5="",'상세일정'!AM56="제외"),"",IF($D56=$E56,IF(AND($D56&gt;=DE$5,$D56&lt;DE$5+7),"◆",""),IF(AND($D56&lt;DE$5+7,$E56&gt;DE$5),"■","")))</x:f>
      </x:c>
    </x:row>
    <x:row r="57" ht="34" customHeight="1">
      <x:c r="A57" s="7" t="str">
        <x:v>CV05</x:v>
      </x:c>
      <x:c r="B57" s="7" t="str">
        <x:v>09 토목·구조·건축 설계</x:v>
      </x:c>
      <x:c r="C57" s="7" t="str">
        <x:v>건축·구조·전기·설비 간섭 검토</x:v>
      </x:c>
      <x:c r="D57" s="10" t="str">
        <x:f>'상세일정'!AJ57</x:f>
      </x:c>
      <x:c r="E57" s="10" t="str">
        <x:f>'상세일정'!AK57</x:f>
      </x:c>
      <x:c r="F57" s="7" t="str">
        <x:f>IF(OR($D57="",F$5="",'상세일정'!AM57="제외"),"",IF($D57=$E57,IF(AND($D57&gt;=F$5,$D57&lt;F$5+7),"◆",""),IF(AND($D57&lt;F$5+7,$E57&gt;F$5),"■","")))</x:f>
      </x:c>
      <x:c r="G57" s="7" t="str">
        <x:f>IF(OR($D57="",G$5="",'상세일정'!AM57="제외"),"",IF($D57=$E57,IF(AND($D57&gt;=G$5,$D57&lt;G$5+7),"◆",""),IF(AND($D57&lt;G$5+7,$E57&gt;G$5),"■","")))</x:f>
      </x:c>
      <x:c r="H57" s="7" t="str">
        <x:f>IF(OR($D57="",H$5="",'상세일정'!AM57="제외"),"",IF($D57=$E57,IF(AND($D57&gt;=H$5,$D57&lt;H$5+7),"◆",""),IF(AND($D57&lt;H$5+7,$E57&gt;H$5),"■","")))</x:f>
      </x:c>
      <x:c r="I57" s="7" t="str">
        <x:f>IF(OR($D57="",I$5="",'상세일정'!AM57="제외"),"",IF($D57=$E57,IF(AND($D57&gt;=I$5,$D57&lt;I$5+7),"◆",""),IF(AND($D57&lt;I$5+7,$E57&gt;I$5),"■","")))</x:f>
      </x:c>
      <x:c r="J57" s="7" t="str">
        <x:f>IF(OR($D57="",J$5="",'상세일정'!AM57="제외"),"",IF($D57=$E57,IF(AND($D57&gt;=J$5,$D57&lt;J$5+7),"◆",""),IF(AND($D57&lt;J$5+7,$E57&gt;J$5),"■","")))</x:f>
      </x:c>
      <x:c r="K57" s="7" t="str">
        <x:f>IF(OR($D57="",K$5="",'상세일정'!AM57="제외"),"",IF($D57=$E57,IF(AND($D57&gt;=K$5,$D57&lt;K$5+7),"◆",""),IF(AND($D57&lt;K$5+7,$E57&gt;K$5),"■","")))</x:f>
      </x:c>
      <x:c r="L57" s="7" t="str">
        <x:f>IF(OR($D57="",L$5="",'상세일정'!AM57="제외"),"",IF($D57=$E57,IF(AND($D57&gt;=L$5,$D57&lt;L$5+7),"◆",""),IF(AND($D57&lt;L$5+7,$E57&gt;L$5),"■","")))</x:f>
      </x:c>
      <x:c r="M57" s="7" t="str">
        <x:f>IF(OR($D57="",M$5="",'상세일정'!AM57="제외"),"",IF($D57=$E57,IF(AND($D57&gt;=M$5,$D57&lt;M$5+7),"◆",""),IF(AND($D57&lt;M$5+7,$E57&gt;M$5),"■","")))</x:f>
      </x:c>
      <x:c r="N57" s="7" t="str">
        <x:f>IF(OR($D57="",N$5="",'상세일정'!AM57="제외"),"",IF($D57=$E57,IF(AND($D57&gt;=N$5,$D57&lt;N$5+7),"◆",""),IF(AND($D57&lt;N$5+7,$E57&gt;N$5),"■","")))</x:f>
      </x:c>
      <x:c r="O57" s="7" t="str">
        <x:f>IF(OR($D57="",O$5="",'상세일정'!AM57="제외"),"",IF($D57=$E57,IF(AND($D57&gt;=O$5,$D57&lt;O$5+7),"◆",""),IF(AND($D57&lt;O$5+7,$E57&gt;O$5),"■","")))</x:f>
      </x:c>
      <x:c r="P57" s="7" t="str">
        <x:f>IF(OR($D57="",P$5="",'상세일정'!AM57="제외"),"",IF($D57=$E57,IF(AND($D57&gt;=P$5,$D57&lt;P$5+7),"◆",""),IF(AND($D57&lt;P$5+7,$E57&gt;P$5),"■","")))</x:f>
      </x:c>
      <x:c r="Q57" s="7" t="str">
        <x:f>IF(OR($D57="",Q$5="",'상세일정'!AM57="제외"),"",IF($D57=$E57,IF(AND($D57&gt;=Q$5,$D57&lt;Q$5+7),"◆",""),IF(AND($D57&lt;Q$5+7,$E57&gt;Q$5),"■","")))</x:f>
      </x:c>
      <x:c r="R57" s="7" t="str">
        <x:f>IF(OR($D57="",R$5="",'상세일정'!AM57="제외"),"",IF($D57=$E57,IF(AND($D57&gt;=R$5,$D57&lt;R$5+7),"◆",""),IF(AND($D57&lt;R$5+7,$E57&gt;R$5),"■","")))</x:f>
      </x:c>
      <x:c r="S57" s="7" t="str">
        <x:f>IF(OR($D57="",S$5="",'상세일정'!AM57="제외"),"",IF($D57=$E57,IF(AND($D57&gt;=S$5,$D57&lt;S$5+7),"◆",""),IF(AND($D57&lt;S$5+7,$E57&gt;S$5),"■","")))</x:f>
      </x:c>
      <x:c r="T57" s="7" t="str">
        <x:f>IF(OR($D57="",T$5="",'상세일정'!AM57="제외"),"",IF($D57=$E57,IF(AND($D57&gt;=T$5,$D57&lt;T$5+7),"◆",""),IF(AND($D57&lt;T$5+7,$E57&gt;T$5),"■","")))</x:f>
      </x:c>
      <x:c r="U57" s="7" t="str">
        <x:f>IF(OR($D57="",U$5="",'상세일정'!AM57="제외"),"",IF($D57=$E57,IF(AND($D57&gt;=U$5,$D57&lt;U$5+7),"◆",""),IF(AND($D57&lt;U$5+7,$E57&gt;U$5),"■","")))</x:f>
      </x:c>
      <x:c r="V57" s="7" t="str">
        <x:f>IF(OR($D57="",V$5="",'상세일정'!AM57="제외"),"",IF($D57=$E57,IF(AND($D57&gt;=V$5,$D57&lt;V$5+7),"◆",""),IF(AND($D57&lt;V$5+7,$E57&gt;V$5),"■","")))</x:f>
      </x:c>
      <x:c r="W57" s="7" t="str">
        <x:f>IF(OR($D57="",W$5="",'상세일정'!AM57="제외"),"",IF($D57=$E57,IF(AND($D57&gt;=W$5,$D57&lt;W$5+7),"◆",""),IF(AND($D57&lt;W$5+7,$E57&gt;W$5),"■","")))</x:f>
      </x:c>
      <x:c r="X57" s="7" t="str">
        <x:f>IF(OR($D57="",X$5="",'상세일정'!AM57="제외"),"",IF($D57=$E57,IF(AND($D57&gt;=X$5,$D57&lt;X$5+7),"◆",""),IF(AND($D57&lt;X$5+7,$E57&gt;X$5),"■","")))</x:f>
      </x:c>
      <x:c r="Y57" s="7" t="str">
        <x:f>IF(OR($D57="",Y$5="",'상세일정'!AM57="제외"),"",IF($D57=$E57,IF(AND($D57&gt;=Y$5,$D57&lt;Y$5+7),"◆",""),IF(AND($D57&lt;Y$5+7,$E57&gt;Y$5),"■","")))</x:f>
      </x:c>
      <x:c r="Z57" s="7" t="str">
        <x:f>IF(OR($D57="",Z$5="",'상세일정'!AM57="제외"),"",IF($D57=$E57,IF(AND($D57&gt;=Z$5,$D57&lt;Z$5+7),"◆",""),IF(AND($D57&lt;Z$5+7,$E57&gt;Z$5),"■","")))</x:f>
      </x:c>
      <x:c r="AA57" s="7" t="str">
        <x:f>IF(OR($D57="",AA$5="",'상세일정'!AM57="제외"),"",IF($D57=$E57,IF(AND($D57&gt;=AA$5,$D57&lt;AA$5+7),"◆",""),IF(AND($D57&lt;AA$5+7,$E57&gt;AA$5),"■","")))</x:f>
      </x:c>
      <x:c r="AB57" s="7" t="str">
        <x:f>IF(OR($D57="",AB$5="",'상세일정'!AM57="제외"),"",IF($D57=$E57,IF(AND($D57&gt;=AB$5,$D57&lt;AB$5+7),"◆",""),IF(AND($D57&lt;AB$5+7,$E57&gt;AB$5),"■","")))</x:f>
      </x:c>
      <x:c r="AC57" s="7" t="str">
        <x:f>IF(OR($D57="",AC$5="",'상세일정'!AM57="제외"),"",IF($D57=$E57,IF(AND($D57&gt;=AC$5,$D57&lt;AC$5+7),"◆",""),IF(AND($D57&lt;AC$5+7,$E57&gt;AC$5),"■","")))</x:f>
      </x:c>
      <x:c r="AD57" s="7" t="str">
        <x:f>IF(OR($D57="",AD$5="",'상세일정'!AM57="제외"),"",IF($D57=$E57,IF(AND($D57&gt;=AD$5,$D57&lt;AD$5+7),"◆",""),IF(AND($D57&lt;AD$5+7,$E57&gt;AD$5),"■","")))</x:f>
      </x:c>
      <x:c r="AE57" s="7" t="str">
        <x:f>IF(OR($D57="",AE$5="",'상세일정'!AM57="제외"),"",IF($D57=$E57,IF(AND($D57&gt;=AE$5,$D57&lt;AE$5+7),"◆",""),IF(AND($D57&lt;AE$5+7,$E57&gt;AE$5),"■","")))</x:f>
      </x:c>
      <x:c r="AF57" s="7" t="str">
        <x:f>IF(OR($D57="",AF$5="",'상세일정'!AM57="제외"),"",IF($D57=$E57,IF(AND($D57&gt;=AF$5,$D57&lt;AF$5+7),"◆",""),IF(AND($D57&lt;AF$5+7,$E57&gt;AF$5),"■","")))</x:f>
      </x:c>
      <x:c r="AG57" s="7" t="str">
        <x:f>IF(OR($D57="",AG$5="",'상세일정'!AM57="제외"),"",IF($D57=$E57,IF(AND($D57&gt;=AG$5,$D57&lt;AG$5+7),"◆",""),IF(AND($D57&lt;AG$5+7,$E57&gt;AG$5),"■","")))</x:f>
      </x:c>
      <x:c r="AH57" s="7" t="str">
        <x:f>IF(OR($D57="",AH$5="",'상세일정'!AM57="제외"),"",IF($D57=$E57,IF(AND($D57&gt;=AH$5,$D57&lt;AH$5+7),"◆",""),IF(AND($D57&lt;AH$5+7,$E57&gt;AH$5),"■","")))</x:f>
      </x:c>
      <x:c r="AI57" s="7" t="str">
        <x:f>IF(OR($D57="",AI$5="",'상세일정'!AM57="제외"),"",IF($D57=$E57,IF(AND($D57&gt;=AI$5,$D57&lt;AI$5+7),"◆",""),IF(AND($D57&lt;AI$5+7,$E57&gt;AI$5),"■","")))</x:f>
      </x:c>
      <x:c r="AJ57" s="7" t="str">
        <x:f>IF(OR($D57="",AJ$5="",'상세일정'!AM57="제외"),"",IF($D57=$E57,IF(AND($D57&gt;=AJ$5,$D57&lt;AJ$5+7),"◆",""),IF(AND($D57&lt;AJ$5+7,$E57&gt;AJ$5),"■","")))</x:f>
      </x:c>
      <x:c r="AK57" s="7" t="str">
        <x:f>IF(OR($D57="",AK$5="",'상세일정'!AM57="제외"),"",IF($D57=$E57,IF(AND($D57&gt;=AK$5,$D57&lt;AK$5+7),"◆",""),IF(AND($D57&lt;AK$5+7,$E57&gt;AK$5),"■","")))</x:f>
      </x:c>
      <x:c r="AL57" s="7" t="str">
        <x:f>IF(OR($D57="",AL$5="",'상세일정'!AM57="제외"),"",IF($D57=$E57,IF(AND($D57&gt;=AL$5,$D57&lt;AL$5+7),"◆",""),IF(AND($D57&lt;AL$5+7,$E57&gt;AL$5),"■","")))</x:f>
      </x:c>
      <x:c r="AM57" s="7" t="str">
        <x:f>IF(OR($D57="",AM$5="",'상세일정'!AM57="제외"),"",IF($D57=$E57,IF(AND($D57&gt;=AM$5,$D57&lt;AM$5+7),"◆",""),IF(AND($D57&lt;AM$5+7,$E57&gt;AM$5),"■","")))</x:f>
      </x:c>
      <x:c r="AN57" s="7" t="str">
        <x:f>IF(OR($D57="",AN$5="",'상세일정'!AM57="제외"),"",IF($D57=$E57,IF(AND($D57&gt;=AN$5,$D57&lt;AN$5+7),"◆",""),IF(AND($D57&lt;AN$5+7,$E57&gt;AN$5),"■","")))</x:f>
      </x:c>
      <x:c r="AO57" s="7" t="str">
        <x:f>IF(OR($D57="",AO$5="",'상세일정'!AM57="제외"),"",IF($D57=$E57,IF(AND($D57&gt;=AO$5,$D57&lt;AO$5+7),"◆",""),IF(AND($D57&lt;AO$5+7,$E57&gt;AO$5),"■","")))</x:f>
      </x:c>
      <x:c r="AP57" s="7" t="str">
        <x:f>IF(OR($D57="",AP$5="",'상세일정'!AM57="제외"),"",IF($D57=$E57,IF(AND($D57&gt;=AP$5,$D57&lt;AP$5+7),"◆",""),IF(AND($D57&lt;AP$5+7,$E57&gt;AP$5),"■","")))</x:f>
      </x:c>
      <x:c r="AQ57" s="7" t="str">
        <x:f>IF(OR($D57="",AQ$5="",'상세일정'!AM57="제외"),"",IF($D57=$E57,IF(AND($D57&gt;=AQ$5,$D57&lt;AQ$5+7),"◆",""),IF(AND($D57&lt;AQ$5+7,$E57&gt;AQ$5),"■","")))</x:f>
      </x:c>
      <x:c r="AR57" s="7" t="str">
        <x:f>IF(OR($D57="",AR$5="",'상세일정'!AM57="제외"),"",IF($D57=$E57,IF(AND($D57&gt;=AR$5,$D57&lt;AR$5+7),"◆",""),IF(AND($D57&lt;AR$5+7,$E57&gt;AR$5),"■","")))</x:f>
      </x:c>
      <x:c r="AS57" s="7" t="str">
        <x:f>IF(OR($D57="",AS$5="",'상세일정'!AM57="제외"),"",IF($D57=$E57,IF(AND($D57&gt;=AS$5,$D57&lt;AS$5+7),"◆",""),IF(AND($D57&lt;AS$5+7,$E57&gt;AS$5),"■","")))</x:f>
      </x:c>
      <x:c r="AT57" s="7" t="str">
        <x:f>IF(OR($D57="",AT$5="",'상세일정'!AM57="제외"),"",IF($D57=$E57,IF(AND($D57&gt;=AT$5,$D57&lt;AT$5+7),"◆",""),IF(AND($D57&lt;AT$5+7,$E57&gt;AT$5),"■","")))</x:f>
      </x:c>
      <x:c r="AU57" s="7" t="str">
        <x:f>IF(OR($D57="",AU$5="",'상세일정'!AM57="제외"),"",IF($D57=$E57,IF(AND($D57&gt;=AU$5,$D57&lt;AU$5+7),"◆",""),IF(AND($D57&lt;AU$5+7,$E57&gt;AU$5),"■","")))</x:f>
      </x:c>
      <x:c r="AV57" s="7" t="str">
        <x:f>IF(OR($D57="",AV$5="",'상세일정'!AM57="제외"),"",IF($D57=$E57,IF(AND($D57&gt;=AV$5,$D57&lt;AV$5+7),"◆",""),IF(AND($D57&lt;AV$5+7,$E57&gt;AV$5),"■","")))</x:f>
      </x:c>
      <x:c r="AW57" s="7" t="str">
        <x:f>IF(OR($D57="",AW$5="",'상세일정'!AM57="제외"),"",IF($D57=$E57,IF(AND($D57&gt;=AW$5,$D57&lt;AW$5+7),"◆",""),IF(AND($D57&lt;AW$5+7,$E57&gt;AW$5),"■","")))</x:f>
      </x:c>
      <x:c r="AX57" s="7" t="str">
        <x:f>IF(OR($D57="",AX$5="",'상세일정'!AM57="제외"),"",IF($D57=$E57,IF(AND($D57&gt;=AX$5,$D57&lt;AX$5+7),"◆",""),IF(AND($D57&lt;AX$5+7,$E57&gt;AX$5),"■","")))</x:f>
      </x:c>
      <x:c r="AY57" s="7" t="str">
        <x:f>IF(OR($D57="",AY$5="",'상세일정'!AM57="제외"),"",IF($D57=$E57,IF(AND($D57&gt;=AY$5,$D57&lt;AY$5+7),"◆",""),IF(AND($D57&lt;AY$5+7,$E57&gt;AY$5),"■","")))</x:f>
      </x:c>
      <x:c r="AZ57" s="7" t="str">
        <x:f>IF(OR($D57="",AZ$5="",'상세일정'!AM57="제외"),"",IF($D57=$E57,IF(AND($D57&gt;=AZ$5,$D57&lt;AZ$5+7),"◆",""),IF(AND($D57&lt;AZ$5+7,$E57&gt;AZ$5),"■","")))</x:f>
      </x:c>
      <x:c r="BA57" s="7" t="str">
        <x:f>IF(OR($D57="",BA$5="",'상세일정'!AM57="제외"),"",IF($D57=$E57,IF(AND($D57&gt;=BA$5,$D57&lt;BA$5+7),"◆",""),IF(AND($D57&lt;BA$5+7,$E57&gt;BA$5),"■","")))</x:f>
      </x:c>
      <x:c r="BB57" s="7" t="str">
        <x:f>IF(OR($D57="",BB$5="",'상세일정'!AM57="제외"),"",IF($D57=$E57,IF(AND($D57&gt;=BB$5,$D57&lt;BB$5+7),"◆",""),IF(AND($D57&lt;BB$5+7,$E57&gt;BB$5),"■","")))</x:f>
      </x:c>
      <x:c r="BC57" s="7" t="str">
        <x:f>IF(OR($D57="",BC$5="",'상세일정'!AM57="제외"),"",IF($D57=$E57,IF(AND($D57&gt;=BC$5,$D57&lt;BC$5+7),"◆",""),IF(AND($D57&lt;BC$5+7,$E57&gt;BC$5),"■","")))</x:f>
      </x:c>
      <x:c r="BD57" s="7" t="str">
        <x:f>IF(OR($D57="",BD$5="",'상세일정'!AM57="제외"),"",IF($D57=$E57,IF(AND($D57&gt;=BD$5,$D57&lt;BD$5+7),"◆",""),IF(AND($D57&lt;BD$5+7,$E57&gt;BD$5),"■","")))</x:f>
      </x:c>
      <x:c r="BE57" s="7" t="str">
        <x:f>IF(OR($D57="",BE$5="",'상세일정'!AM57="제외"),"",IF($D57=$E57,IF(AND($D57&gt;=BE$5,$D57&lt;BE$5+7),"◆",""),IF(AND($D57&lt;BE$5+7,$E57&gt;BE$5),"■","")))</x:f>
      </x:c>
      <x:c r="BF57" s="7" t="str">
        <x:f>IF(OR($D57="",BF$5="",'상세일정'!AM57="제외"),"",IF($D57=$E57,IF(AND($D57&gt;=BF$5,$D57&lt;BF$5+7),"◆",""),IF(AND($D57&lt;BF$5+7,$E57&gt;BF$5),"■","")))</x:f>
      </x:c>
      <x:c r="BG57" s="7" t="str">
        <x:f>IF(OR($D57="",BG$5="",'상세일정'!AM57="제외"),"",IF($D57=$E57,IF(AND($D57&gt;=BG$5,$D57&lt;BG$5+7),"◆",""),IF(AND($D57&lt;BG$5+7,$E57&gt;BG$5),"■","")))</x:f>
      </x:c>
      <x:c r="BH57" s="7" t="str">
        <x:f>IF(OR($D57="",BH$5="",'상세일정'!AM57="제외"),"",IF($D57=$E57,IF(AND($D57&gt;=BH$5,$D57&lt;BH$5+7),"◆",""),IF(AND($D57&lt;BH$5+7,$E57&gt;BH$5),"■","")))</x:f>
      </x:c>
      <x:c r="BI57" s="7" t="str">
        <x:f>IF(OR($D57="",BI$5="",'상세일정'!AM57="제외"),"",IF($D57=$E57,IF(AND($D57&gt;=BI$5,$D57&lt;BI$5+7),"◆",""),IF(AND($D57&lt;BI$5+7,$E57&gt;BI$5),"■","")))</x:f>
      </x:c>
      <x:c r="BJ57" s="7" t="str">
        <x:f>IF(OR($D57="",BJ$5="",'상세일정'!AM57="제외"),"",IF($D57=$E57,IF(AND($D57&gt;=BJ$5,$D57&lt;BJ$5+7),"◆",""),IF(AND($D57&lt;BJ$5+7,$E57&gt;BJ$5),"■","")))</x:f>
      </x:c>
      <x:c r="BK57" s="7" t="str">
        <x:f>IF(OR($D57="",BK$5="",'상세일정'!AM57="제외"),"",IF($D57=$E57,IF(AND($D57&gt;=BK$5,$D57&lt;BK$5+7),"◆",""),IF(AND($D57&lt;BK$5+7,$E57&gt;BK$5),"■","")))</x:f>
      </x:c>
      <x:c r="BL57" s="7" t="str">
        <x:f>IF(OR($D57="",BL$5="",'상세일정'!AM57="제외"),"",IF($D57=$E57,IF(AND($D57&gt;=BL$5,$D57&lt;BL$5+7),"◆",""),IF(AND($D57&lt;BL$5+7,$E57&gt;BL$5),"■","")))</x:f>
      </x:c>
      <x:c r="BM57" s="7" t="str">
        <x:f>IF(OR($D57="",BM$5="",'상세일정'!AM57="제외"),"",IF($D57=$E57,IF(AND($D57&gt;=BM$5,$D57&lt;BM$5+7),"◆",""),IF(AND($D57&lt;BM$5+7,$E57&gt;BM$5),"■","")))</x:f>
      </x:c>
      <x:c r="BN57" s="7" t="str">
        <x:f>IF(OR($D57="",BN$5="",'상세일정'!AM57="제외"),"",IF($D57=$E57,IF(AND($D57&gt;=BN$5,$D57&lt;BN$5+7),"◆",""),IF(AND($D57&lt;BN$5+7,$E57&gt;BN$5),"■","")))</x:f>
      </x:c>
      <x:c r="BO57" s="7" t="str">
        <x:f>IF(OR($D57="",BO$5="",'상세일정'!AM57="제외"),"",IF($D57=$E57,IF(AND($D57&gt;=BO$5,$D57&lt;BO$5+7),"◆",""),IF(AND($D57&lt;BO$5+7,$E57&gt;BO$5),"■","")))</x:f>
      </x:c>
      <x:c r="BP57" s="7" t="str">
        <x:f>IF(OR($D57="",BP$5="",'상세일정'!AM57="제외"),"",IF($D57=$E57,IF(AND($D57&gt;=BP$5,$D57&lt;BP$5+7),"◆",""),IF(AND($D57&lt;BP$5+7,$E57&gt;BP$5),"■","")))</x:f>
      </x:c>
      <x:c r="BQ57" s="7" t="str">
        <x:f>IF(OR($D57="",BQ$5="",'상세일정'!AM57="제외"),"",IF($D57=$E57,IF(AND($D57&gt;=BQ$5,$D57&lt;BQ$5+7),"◆",""),IF(AND($D57&lt;BQ$5+7,$E57&gt;BQ$5),"■","")))</x:f>
      </x:c>
      <x:c r="BR57" s="7" t="str">
        <x:f>IF(OR($D57="",BR$5="",'상세일정'!AM57="제외"),"",IF($D57=$E57,IF(AND($D57&gt;=BR$5,$D57&lt;BR$5+7),"◆",""),IF(AND($D57&lt;BR$5+7,$E57&gt;BR$5),"■","")))</x:f>
      </x:c>
      <x:c r="BS57" s="7" t="str">
        <x:f>IF(OR($D57="",BS$5="",'상세일정'!AM57="제외"),"",IF($D57=$E57,IF(AND($D57&gt;=BS$5,$D57&lt;BS$5+7),"◆",""),IF(AND($D57&lt;BS$5+7,$E57&gt;BS$5),"■","")))</x:f>
      </x:c>
      <x:c r="BT57" s="7" t="str">
        <x:f>IF(OR($D57="",BT$5="",'상세일정'!AM57="제외"),"",IF($D57=$E57,IF(AND($D57&gt;=BT$5,$D57&lt;BT$5+7),"◆",""),IF(AND($D57&lt;BT$5+7,$E57&gt;BT$5),"■","")))</x:f>
      </x:c>
      <x:c r="BU57" s="7" t="str">
        <x:f>IF(OR($D57="",BU$5="",'상세일정'!AM57="제외"),"",IF($D57=$E57,IF(AND($D57&gt;=BU$5,$D57&lt;BU$5+7),"◆",""),IF(AND($D57&lt;BU$5+7,$E57&gt;BU$5),"■","")))</x:f>
      </x:c>
      <x:c r="BV57" s="7" t="str">
        <x:f>IF(OR($D57="",BV$5="",'상세일정'!AM57="제외"),"",IF($D57=$E57,IF(AND($D57&gt;=BV$5,$D57&lt;BV$5+7),"◆",""),IF(AND($D57&lt;BV$5+7,$E57&gt;BV$5),"■","")))</x:f>
      </x:c>
      <x:c r="BW57" s="7" t="str">
        <x:f>IF(OR($D57="",BW$5="",'상세일정'!AM57="제외"),"",IF($D57=$E57,IF(AND($D57&gt;=BW$5,$D57&lt;BW$5+7),"◆",""),IF(AND($D57&lt;BW$5+7,$E57&gt;BW$5),"■","")))</x:f>
      </x:c>
      <x:c r="BX57" s="7" t="str">
        <x:f>IF(OR($D57="",BX$5="",'상세일정'!AM57="제외"),"",IF($D57=$E57,IF(AND($D57&gt;=BX$5,$D57&lt;BX$5+7),"◆",""),IF(AND($D57&lt;BX$5+7,$E57&gt;BX$5),"■","")))</x:f>
      </x:c>
      <x:c r="BY57" s="7" t="str">
        <x:f>IF(OR($D57="",BY$5="",'상세일정'!AM57="제외"),"",IF($D57=$E57,IF(AND($D57&gt;=BY$5,$D57&lt;BY$5+7),"◆",""),IF(AND($D57&lt;BY$5+7,$E57&gt;BY$5),"■","")))</x:f>
      </x:c>
      <x:c r="BZ57" s="7" t="str">
        <x:f>IF(OR($D57="",BZ$5="",'상세일정'!AM57="제외"),"",IF($D57=$E57,IF(AND($D57&gt;=BZ$5,$D57&lt;BZ$5+7),"◆",""),IF(AND($D57&lt;BZ$5+7,$E57&gt;BZ$5),"■","")))</x:f>
      </x:c>
      <x:c r="CA57" s="7" t="str">
        <x:f>IF(OR($D57="",CA$5="",'상세일정'!AM57="제외"),"",IF($D57=$E57,IF(AND($D57&gt;=CA$5,$D57&lt;CA$5+7),"◆",""),IF(AND($D57&lt;CA$5+7,$E57&gt;CA$5),"■","")))</x:f>
      </x:c>
      <x:c r="CB57" s="7" t="str">
        <x:f>IF(OR($D57="",CB$5="",'상세일정'!AM57="제외"),"",IF($D57=$E57,IF(AND($D57&gt;=CB$5,$D57&lt;CB$5+7),"◆",""),IF(AND($D57&lt;CB$5+7,$E57&gt;CB$5),"■","")))</x:f>
      </x:c>
      <x:c r="CC57" s="7" t="str">
        <x:f>IF(OR($D57="",CC$5="",'상세일정'!AM57="제외"),"",IF($D57=$E57,IF(AND($D57&gt;=CC$5,$D57&lt;CC$5+7),"◆",""),IF(AND($D57&lt;CC$5+7,$E57&gt;CC$5),"■","")))</x:f>
      </x:c>
      <x:c r="CD57" s="7" t="str">
        <x:f>IF(OR($D57="",CD$5="",'상세일정'!AM57="제외"),"",IF($D57=$E57,IF(AND($D57&gt;=CD$5,$D57&lt;CD$5+7),"◆",""),IF(AND($D57&lt;CD$5+7,$E57&gt;CD$5),"■","")))</x:f>
      </x:c>
      <x:c r="CE57" s="7" t="str">
        <x:f>IF(OR($D57="",CE$5="",'상세일정'!AM57="제외"),"",IF($D57=$E57,IF(AND($D57&gt;=CE$5,$D57&lt;CE$5+7),"◆",""),IF(AND($D57&lt;CE$5+7,$E57&gt;CE$5),"■","")))</x:f>
      </x:c>
      <x:c r="CF57" s="7" t="str">
        <x:f>IF(OR($D57="",CF$5="",'상세일정'!AM57="제외"),"",IF($D57=$E57,IF(AND($D57&gt;=CF$5,$D57&lt;CF$5+7),"◆",""),IF(AND($D57&lt;CF$5+7,$E57&gt;CF$5),"■","")))</x:f>
      </x:c>
      <x:c r="CG57" s="7" t="str">
        <x:f>IF(OR($D57="",CG$5="",'상세일정'!AM57="제외"),"",IF($D57=$E57,IF(AND($D57&gt;=CG$5,$D57&lt;CG$5+7),"◆",""),IF(AND($D57&lt;CG$5+7,$E57&gt;CG$5),"■","")))</x:f>
      </x:c>
      <x:c r="CH57" s="7" t="str">
        <x:f>IF(OR($D57="",CH$5="",'상세일정'!AM57="제외"),"",IF($D57=$E57,IF(AND($D57&gt;=CH$5,$D57&lt;CH$5+7),"◆",""),IF(AND($D57&lt;CH$5+7,$E57&gt;CH$5),"■","")))</x:f>
      </x:c>
      <x:c r="CI57" s="7" t="str">
        <x:f>IF(OR($D57="",CI$5="",'상세일정'!AM57="제외"),"",IF($D57=$E57,IF(AND($D57&gt;=CI$5,$D57&lt;CI$5+7),"◆",""),IF(AND($D57&lt;CI$5+7,$E57&gt;CI$5),"■","")))</x:f>
      </x:c>
      <x:c r="CJ57" s="7" t="str">
        <x:f>IF(OR($D57="",CJ$5="",'상세일정'!AM57="제외"),"",IF($D57=$E57,IF(AND($D57&gt;=CJ$5,$D57&lt;CJ$5+7),"◆",""),IF(AND($D57&lt;CJ$5+7,$E57&gt;CJ$5),"■","")))</x:f>
      </x:c>
      <x:c r="CK57" s="7" t="str">
        <x:f>IF(OR($D57="",CK$5="",'상세일정'!AM57="제외"),"",IF($D57=$E57,IF(AND($D57&gt;=CK$5,$D57&lt;CK$5+7),"◆",""),IF(AND($D57&lt;CK$5+7,$E57&gt;CK$5),"■","")))</x:f>
      </x:c>
      <x:c r="CL57" s="7" t="str">
        <x:f>IF(OR($D57="",CL$5="",'상세일정'!AM57="제외"),"",IF($D57=$E57,IF(AND($D57&gt;=CL$5,$D57&lt;CL$5+7),"◆",""),IF(AND($D57&lt;CL$5+7,$E57&gt;CL$5),"■","")))</x:f>
      </x:c>
      <x:c r="CM57" s="7" t="str">
        <x:f>IF(OR($D57="",CM$5="",'상세일정'!AM57="제외"),"",IF($D57=$E57,IF(AND($D57&gt;=CM$5,$D57&lt;CM$5+7),"◆",""),IF(AND($D57&lt;CM$5+7,$E57&gt;CM$5),"■","")))</x:f>
      </x:c>
      <x:c r="CN57" s="7" t="str">
        <x:f>IF(OR($D57="",CN$5="",'상세일정'!AM57="제외"),"",IF($D57=$E57,IF(AND($D57&gt;=CN$5,$D57&lt;CN$5+7),"◆",""),IF(AND($D57&lt;CN$5+7,$E57&gt;CN$5),"■","")))</x:f>
      </x:c>
      <x:c r="CO57" s="7" t="str">
        <x:f>IF(OR($D57="",CO$5="",'상세일정'!AM57="제외"),"",IF($D57=$E57,IF(AND($D57&gt;=CO$5,$D57&lt;CO$5+7),"◆",""),IF(AND($D57&lt;CO$5+7,$E57&gt;CO$5),"■","")))</x:f>
      </x:c>
      <x:c r="CP57" s="7" t="str">
        <x:f>IF(OR($D57="",CP$5="",'상세일정'!AM57="제외"),"",IF($D57=$E57,IF(AND($D57&gt;=CP$5,$D57&lt;CP$5+7),"◆",""),IF(AND($D57&lt;CP$5+7,$E57&gt;CP$5),"■","")))</x:f>
      </x:c>
      <x:c r="CQ57" s="7" t="str">
        <x:f>IF(OR($D57="",CQ$5="",'상세일정'!AM57="제외"),"",IF($D57=$E57,IF(AND($D57&gt;=CQ$5,$D57&lt;CQ$5+7),"◆",""),IF(AND($D57&lt;CQ$5+7,$E57&gt;CQ$5),"■","")))</x:f>
      </x:c>
      <x:c r="CR57" s="7" t="str">
        <x:f>IF(OR($D57="",CR$5="",'상세일정'!AM57="제외"),"",IF($D57=$E57,IF(AND($D57&gt;=CR$5,$D57&lt;CR$5+7),"◆",""),IF(AND($D57&lt;CR$5+7,$E57&gt;CR$5),"■","")))</x:f>
      </x:c>
      <x:c r="CS57" s="7" t="str">
        <x:f>IF(OR($D57="",CS$5="",'상세일정'!AM57="제외"),"",IF($D57=$E57,IF(AND($D57&gt;=CS$5,$D57&lt;CS$5+7),"◆",""),IF(AND($D57&lt;CS$5+7,$E57&gt;CS$5),"■","")))</x:f>
      </x:c>
      <x:c r="CT57" s="7" t="str">
        <x:f>IF(OR($D57="",CT$5="",'상세일정'!AM57="제외"),"",IF($D57=$E57,IF(AND($D57&gt;=CT$5,$D57&lt;CT$5+7),"◆",""),IF(AND($D57&lt;CT$5+7,$E57&gt;CT$5),"■","")))</x:f>
      </x:c>
      <x:c r="CU57" s="7" t="str">
        <x:f>IF(OR($D57="",CU$5="",'상세일정'!AM57="제외"),"",IF($D57=$E57,IF(AND($D57&gt;=CU$5,$D57&lt;CU$5+7),"◆",""),IF(AND($D57&lt;CU$5+7,$E57&gt;CU$5),"■","")))</x:f>
      </x:c>
      <x:c r="CV57" s="7" t="str">
        <x:f>IF(OR($D57="",CV$5="",'상세일정'!AM57="제외"),"",IF($D57=$E57,IF(AND($D57&gt;=CV$5,$D57&lt;CV$5+7),"◆",""),IF(AND($D57&lt;CV$5+7,$E57&gt;CV$5),"■","")))</x:f>
      </x:c>
      <x:c r="CW57" s="7" t="str">
        <x:f>IF(OR($D57="",CW$5="",'상세일정'!AM57="제외"),"",IF($D57=$E57,IF(AND($D57&gt;=CW$5,$D57&lt;CW$5+7),"◆",""),IF(AND($D57&lt;CW$5+7,$E57&gt;CW$5),"■","")))</x:f>
      </x:c>
      <x:c r="CX57" s="7" t="str">
        <x:f>IF(OR($D57="",CX$5="",'상세일정'!AM57="제외"),"",IF($D57=$E57,IF(AND($D57&gt;=CX$5,$D57&lt;CX$5+7),"◆",""),IF(AND($D57&lt;CX$5+7,$E57&gt;CX$5),"■","")))</x:f>
      </x:c>
      <x:c r="CY57" s="7" t="str">
        <x:f>IF(OR($D57="",CY$5="",'상세일정'!AM57="제외"),"",IF($D57=$E57,IF(AND($D57&gt;=CY$5,$D57&lt;CY$5+7),"◆",""),IF(AND($D57&lt;CY$5+7,$E57&gt;CY$5),"■","")))</x:f>
      </x:c>
      <x:c r="CZ57" s="7" t="str">
        <x:f>IF(OR($D57="",CZ$5="",'상세일정'!AM57="제외"),"",IF($D57=$E57,IF(AND($D57&gt;=CZ$5,$D57&lt;CZ$5+7),"◆",""),IF(AND($D57&lt;CZ$5+7,$E57&gt;CZ$5),"■","")))</x:f>
      </x:c>
      <x:c r="DA57" s="7" t="str">
        <x:f>IF(OR($D57="",DA$5="",'상세일정'!AM57="제외"),"",IF($D57=$E57,IF(AND($D57&gt;=DA$5,$D57&lt;DA$5+7),"◆",""),IF(AND($D57&lt;DA$5+7,$E57&gt;DA$5),"■","")))</x:f>
      </x:c>
      <x:c r="DB57" s="7" t="str">
        <x:f>IF(OR($D57="",DB$5="",'상세일정'!AM57="제외"),"",IF($D57=$E57,IF(AND($D57&gt;=DB$5,$D57&lt;DB$5+7),"◆",""),IF(AND($D57&lt;DB$5+7,$E57&gt;DB$5),"■","")))</x:f>
      </x:c>
      <x:c r="DC57" s="7" t="str">
        <x:f>IF(OR($D57="",DC$5="",'상세일정'!AM57="제외"),"",IF($D57=$E57,IF(AND($D57&gt;=DC$5,$D57&lt;DC$5+7),"◆",""),IF(AND($D57&lt;DC$5+7,$E57&gt;DC$5),"■","")))</x:f>
      </x:c>
      <x:c r="DD57" s="7" t="str">
        <x:f>IF(OR($D57="",DD$5="",'상세일정'!AM57="제외"),"",IF($D57=$E57,IF(AND($D57&gt;=DD$5,$D57&lt;DD$5+7),"◆",""),IF(AND($D57&lt;DD$5+7,$E57&gt;DD$5),"■","")))</x:f>
      </x:c>
      <x:c r="DE57" s="7" t="str">
        <x:f>IF(OR($D57="",DE$5="",'상세일정'!AM57="제외"),"",IF($D57=$E57,IF(AND($D57&gt;=DE$5,$D57&lt;DE$5+7),"◆",""),IF(AND($D57&lt;DE$5+7,$E57&gt;DE$5),"■","")))</x:f>
      </x:c>
    </x:row>
    <x:row r="58" ht="34" customHeight="1">
      <x:c r="A58" s="7" t="str">
        <x:v>CV06</x:v>
      </x:c>
      <x:c r="B58" s="7" t="str">
        <x:v>09 토목·구조·건축 설계</x:v>
      </x:c>
      <x:c r="C58" s="7" t="str">
        <x:v>토건 승인도서·물량산출서 초안 발행</x:v>
      </x:c>
      <x:c r="D58" s="10" t="str">
        <x:f>'상세일정'!AJ58</x:f>
      </x:c>
      <x:c r="E58" s="10" t="str">
        <x:f>'상세일정'!AK58</x:f>
      </x:c>
      <x:c r="F58" s="7" t="str">
        <x:f>IF(OR($D58="",F$5="",'상세일정'!AM58="제외"),"",IF($D58=$E58,IF(AND($D58&gt;=F$5,$D58&lt;F$5+7),"◆",""),IF(AND($D58&lt;F$5+7,$E58&gt;F$5),"■","")))</x:f>
      </x:c>
      <x:c r="G58" s="7" t="str">
        <x:f>IF(OR($D58="",G$5="",'상세일정'!AM58="제외"),"",IF($D58=$E58,IF(AND($D58&gt;=G$5,$D58&lt;G$5+7),"◆",""),IF(AND($D58&lt;G$5+7,$E58&gt;G$5),"■","")))</x:f>
      </x:c>
      <x:c r="H58" s="7" t="str">
        <x:f>IF(OR($D58="",H$5="",'상세일정'!AM58="제외"),"",IF($D58=$E58,IF(AND($D58&gt;=H$5,$D58&lt;H$5+7),"◆",""),IF(AND($D58&lt;H$5+7,$E58&gt;H$5),"■","")))</x:f>
      </x:c>
      <x:c r="I58" s="7" t="str">
        <x:f>IF(OR($D58="",I$5="",'상세일정'!AM58="제외"),"",IF($D58=$E58,IF(AND($D58&gt;=I$5,$D58&lt;I$5+7),"◆",""),IF(AND($D58&lt;I$5+7,$E58&gt;I$5),"■","")))</x:f>
      </x:c>
      <x:c r="J58" s="7" t="str">
        <x:f>IF(OR($D58="",J$5="",'상세일정'!AM58="제외"),"",IF($D58=$E58,IF(AND($D58&gt;=J$5,$D58&lt;J$5+7),"◆",""),IF(AND($D58&lt;J$5+7,$E58&gt;J$5),"■","")))</x:f>
      </x:c>
      <x:c r="K58" s="7" t="str">
        <x:f>IF(OR($D58="",K$5="",'상세일정'!AM58="제외"),"",IF($D58=$E58,IF(AND($D58&gt;=K$5,$D58&lt;K$5+7),"◆",""),IF(AND($D58&lt;K$5+7,$E58&gt;K$5),"■","")))</x:f>
      </x:c>
      <x:c r="L58" s="7" t="str">
        <x:f>IF(OR($D58="",L$5="",'상세일정'!AM58="제외"),"",IF($D58=$E58,IF(AND($D58&gt;=L$5,$D58&lt;L$5+7),"◆",""),IF(AND($D58&lt;L$5+7,$E58&gt;L$5),"■","")))</x:f>
      </x:c>
      <x:c r="M58" s="7" t="str">
        <x:f>IF(OR($D58="",M$5="",'상세일정'!AM58="제외"),"",IF($D58=$E58,IF(AND($D58&gt;=M$5,$D58&lt;M$5+7),"◆",""),IF(AND($D58&lt;M$5+7,$E58&gt;M$5),"■","")))</x:f>
      </x:c>
      <x:c r="N58" s="7" t="str">
        <x:f>IF(OR($D58="",N$5="",'상세일정'!AM58="제외"),"",IF($D58=$E58,IF(AND($D58&gt;=N$5,$D58&lt;N$5+7),"◆",""),IF(AND($D58&lt;N$5+7,$E58&gt;N$5),"■","")))</x:f>
      </x:c>
      <x:c r="O58" s="7" t="str">
        <x:f>IF(OR($D58="",O$5="",'상세일정'!AM58="제외"),"",IF($D58=$E58,IF(AND($D58&gt;=O$5,$D58&lt;O$5+7),"◆",""),IF(AND($D58&lt;O$5+7,$E58&gt;O$5),"■","")))</x:f>
      </x:c>
      <x:c r="P58" s="7" t="str">
        <x:f>IF(OR($D58="",P$5="",'상세일정'!AM58="제외"),"",IF($D58=$E58,IF(AND($D58&gt;=P$5,$D58&lt;P$5+7),"◆",""),IF(AND($D58&lt;P$5+7,$E58&gt;P$5),"■","")))</x:f>
      </x:c>
      <x:c r="Q58" s="7" t="str">
        <x:f>IF(OR($D58="",Q$5="",'상세일정'!AM58="제외"),"",IF($D58=$E58,IF(AND($D58&gt;=Q$5,$D58&lt;Q$5+7),"◆",""),IF(AND($D58&lt;Q$5+7,$E58&gt;Q$5),"■","")))</x:f>
      </x:c>
      <x:c r="R58" s="7" t="str">
        <x:f>IF(OR($D58="",R$5="",'상세일정'!AM58="제외"),"",IF($D58=$E58,IF(AND($D58&gt;=R$5,$D58&lt;R$5+7),"◆",""),IF(AND($D58&lt;R$5+7,$E58&gt;R$5),"■","")))</x:f>
      </x:c>
      <x:c r="S58" s="7" t="str">
        <x:f>IF(OR($D58="",S$5="",'상세일정'!AM58="제외"),"",IF($D58=$E58,IF(AND($D58&gt;=S$5,$D58&lt;S$5+7),"◆",""),IF(AND($D58&lt;S$5+7,$E58&gt;S$5),"■","")))</x:f>
      </x:c>
      <x:c r="T58" s="7" t="str">
        <x:f>IF(OR($D58="",T$5="",'상세일정'!AM58="제외"),"",IF($D58=$E58,IF(AND($D58&gt;=T$5,$D58&lt;T$5+7),"◆",""),IF(AND($D58&lt;T$5+7,$E58&gt;T$5),"■","")))</x:f>
      </x:c>
      <x:c r="U58" s="7" t="str">
        <x:f>IF(OR($D58="",U$5="",'상세일정'!AM58="제외"),"",IF($D58=$E58,IF(AND($D58&gt;=U$5,$D58&lt;U$5+7),"◆",""),IF(AND($D58&lt;U$5+7,$E58&gt;U$5),"■","")))</x:f>
      </x:c>
      <x:c r="V58" s="7" t="str">
        <x:f>IF(OR($D58="",V$5="",'상세일정'!AM58="제외"),"",IF($D58=$E58,IF(AND($D58&gt;=V$5,$D58&lt;V$5+7),"◆",""),IF(AND($D58&lt;V$5+7,$E58&gt;V$5),"■","")))</x:f>
      </x:c>
      <x:c r="W58" s="7" t="str">
        <x:f>IF(OR($D58="",W$5="",'상세일정'!AM58="제외"),"",IF($D58=$E58,IF(AND($D58&gt;=W$5,$D58&lt;W$5+7),"◆",""),IF(AND($D58&lt;W$5+7,$E58&gt;W$5),"■","")))</x:f>
      </x:c>
      <x:c r="X58" s="7" t="str">
        <x:f>IF(OR($D58="",X$5="",'상세일정'!AM58="제외"),"",IF($D58=$E58,IF(AND($D58&gt;=X$5,$D58&lt;X$5+7),"◆",""),IF(AND($D58&lt;X$5+7,$E58&gt;X$5),"■","")))</x:f>
      </x:c>
      <x:c r="Y58" s="7" t="str">
        <x:f>IF(OR($D58="",Y$5="",'상세일정'!AM58="제외"),"",IF($D58=$E58,IF(AND($D58&gt;=Y$5,$D58&lt;Y$5+7),"◆",""),IF(AND($D58&lt;Y$5+7,$E58&gt;Y$5),"■","")))</x:f>
      </x:c>
      <x:c r="Z58" s="7" t="str">
        <x:f>IF(OR($D58="",Z$5="",'상세일정'!AM58="제외"),"",IF($D58=$E58,IF(AND($D58&gt;=Z$5,$D58&lt;Z$5+7),"◆",""),IF(AND($D58&lt;Z$5+7,$E58&gt;Z$5),"■","")))</x:f>
      </x:c>
      <x:c r="AA58" s="7" t="str">
        <x:f>IF(OR($D58="",AA$5="",'상세일정'!AM58="제외"),"",IF($D58=$E58,IF(AND($D58&gt;=AA$5,$D58&lt;AA$5+7),"◆",""),IF(AND($D58&lt;AA$5+7,$E58&gt;AA$5),"■","")))</x:f>
      </x:c>
      <x:c r="AB58" s="7" t="str">
        <x:f>IF(OR($D58="",AB$5="",'상세일정'!AM58="제외"),"",IF($D58=$E58,IF(AND($D58&gt;=AB$5,$D58&lt;AB$5+7),"◆",""),IF(AND($D58&lt;AB$5+7,$E58&gt;AB$5),"■","")))</x:f>
      </x:c>
      <x:c r="AC58" s="7" t="str">
        <x:f>IF(OR($D58="",AC$5="",'상세일정'!AM58="제외"),"",IF($D58=$E58,IF(AND($D58&gt;=AC$5,$D58&lt;AC$5+7),"◆",""),IF(AND($D58&lt;AC$5+7,$E58&gt;AC$5),"■","")))</x:f>
      </x:c>
      <x:c r="AD58" s="7" t="str">
        <x:f>IF(OR($D58="",AD$5="",'상세일정'!AM58="제외"),"",IF($D58=$E58,IF(AND($D58&gt;=AD$5,$D58&lt;AD$5+7),"◆",""),IF(AND($D58&lt;AD$5+7,$E58&gt;AD$5),"■","")))</x:f>
      </x:c>
      <x:c r="AE58" s="7" t="str">
        <x:f>IF(OR($D58="",AE$5="",'상세일정'!AM58="제외"),"",IF($D58=$E58,IF(AND($D58&gt;=AE$5,$D58&lt;AE$5+7),"◆",""),IF(AND($D58&lt;AE$5+7,$E58&gt;AE$5),"■","")))</x:f>
      </x:c>
      <x:c r="AF58" s="7" t="str">
        <x:f>IF(OR($D58="",AF$5="",'상세일정'!AM58="제외"),"",IF($D58=$E58,IF(AND($D58&gt;=AF$5,$D58&lt;AF$5+7),"◆",""),IF(AND($D58&lt;AF$5+7,$E58&gt;AF$5),"■","")))</x:f>
      </x:c>
      <x:c r="AG58" s="7" t="str">
        <x:f>IF(OR($D58="",AG$5="",'상세일정'!AM58="제외"),"",IF($D58=$E58,IF(AND($D58&gt;=AG$5,$D58&lt;AG$5+7),"◆",""),IF(AND($D58&lt;AG$5+7,$E58&gt;AG$5),"■","")))</x:f>
      </x:c>
      <x:c r="AH58" s="7" t="str">
        <x:f>IF(OR($D58="",AH$5="",'상세일정'!AM58="제외"),"",IF($D58=$E58,IF(AND($D58&gt;=AH$5,$D58&lt;AH$5+7),"◆",""),IF(AND($D58&lt;AH$5+7,$E58&gt;AH$5),"■","")))</x:f>
      </x:c>
      <x:c r="AI58" s="7" t="str">
        <x:f>IF(OR($D58="",AI$5="",'상세일정'!AM58="제외"),"",IF($D58=$E58,IF(AND($D58&gt;=AI$5,$D58&lt;AI$5+7),"◆",""),IF(AND($D58&lt;AI$5+7,$E58&gt;AI$5),"■","")))</x:f>
      </x:c>
      <x:c r="AJ58" s="7" t="str">
        <x:f>IF(OR($D58="",AJ$5="",'상세일정'!AM58="제외"),"",IF($D58=$E58,IF(AND($D58&gt;=AJ$5,$D58&lt;AJ$5+7),"◆",""),IF(AND($D58&lt;AJ$5+7,$E58&gt;AJ$5),"■","")))</x:f>
      </x:c>
      <x:c r="AK58" s="7" t="str">
        <x:f>IF(OR($D58="",AK$5="",'상세일정'!AM58="제외"),"",IF($D58=$E58,IF(AND($D58&gt;=AK$5,$D58&lt;AK$5+7),"◆",""),IF(AND($D58&lt;AK$5+7,$E58&gt;AK$5),"■","")))</x:f>
      </x:c>
      <x:c r="AL58" s="7" t="str">
        <x:f>IF(OR($D58="",AL$5="",'상세일정'!AM58="제외"),"",IF($D58=$E58,IF(AND($D58&gt;=AL$5,$D58&lt;AL$5+7),"◆",""),IF(AND($D58&lt;AL$5+7,$E58&gt;AL$5),"■","")))</x:f>
      </x:c>
      <x:c r="AM58" s="7" t="str">
        <x:f>IF(OR($D58="",AM$5="",'상세일정'!AM58="제외"),"",IF($D58=$E58,IF(AND($D58&gt;=AM$5,$D58&lt;AM$5+7),"◆",""),IF(AND($D58&lt;AM$5+7,$E58&gt;AM$5),"■","")))</x:f>
      </x:c>
      <x:c r="AN58" s="7" t="str">
        <x:f>IF(OR($D58="",AN$5="",'상세일정'!AM58="제외"),"",IF($D58=$E58,IF(AND($D58&gt;=AN$5,$D58&lt;AN$5+7),"◆",""),IF(AND($D58&lt;AN$5+7,$E58&gt;AN$5),"■","")))</x:f>
      </x:c>
      <x:c r="AO58" s="7" t="str">
        <x:f>IF(OR($D58="",AO$5="",'상세일정'!AM58="제외"),"",IF($D58=$E58,IF(AND($D58&gt;=AO$5,$D58&lt;AO$5+7),"◆",""),IF(AND($D58&lt;AO$5+7,$E58&gt;AO$5),"■","")))</x:f>
      </x:c>
      <x:c r="AP58" s="7" t="str">
        <x:f>IF(OR($D58="",AP$5="",'상세일정'!AM58="제외"),"",IF($D58=$E58,IF(AND($D58&gt;=AP$5,$D58&lt;AP$5+7),"◆",""),IF(AND($D58&lt;AP$5+7,$E58&gt;AP$5),"■","")))</x:f>
      </x:c>
      <x:c r="AQ58" s="7" t="str">
        <x:f>IF(OR($D58="",AQ$5="",'상세일정'!AM58="제외"),"",IF($D58=$E58,IF(AND($D58&gt;=AQ$5,$D58&lt;AQ$5+7),"◆",""),IF(AND($D58&lt;AQ$5+7,$E58&gt;AQ$5),"■","")))</x:f>
      </x:c>
      <x:c r="AR58" s="7" t="str">
        <x:f>IF(OR($D58="",AR$5="",'상세일정'!AM58="제외"),"",IF($D58=$E58,IF(AND($D58&gt;=AR$5,$D58&lt;AR$5+7),"◆",""),IF(AND($D58&lt;AR$5+7,$E58&gt;AR$5),"■","")))</x:f>
      </x:c>
      <x:c r="AS58" s="7" t="str">
        <x:f>IF(OR($D58="",AS$5="",'상세일정'!AM58="제외"),"",IF($D58=$E58,IF(AND($D58&gt;=AS$5,$D58&lt;AS$5+7),"◆",""),IF(AND($D58&lt;AS$5+7,$E58&gt;AS$5),"■","")))</x:f>
      </x:c>
      <x:c r="AT58" s="7" t="str">
        <x:f>IF(OR($D58="",AT$5="",'상세일정'!AM58="제외"),"",IF($D58=$E58,IF(AND($D58&gt;=AT$5,$D58&lt;AT$5+7),"◆",""),IF(AND($D58&lt;AT$5+7,$E58&gt;AT$5),"■","")))</x:f>
      </x:c>
      <x:c r="AU58" s="7" t="str">
        <x:f>IF(OR($D58="",AU$5="",'상세일정'!AM58="제외"),"",IF($D58=$E58,IF(AND($D58&gt;=AU$5,$D58&lt;AU$5+7),"◆",""),IF(AND($D58&lt;AU$5+7,$E58&gt;AU$5),"■","")))</x:f>
      </x:c>
      <x:c r="AV58" s="7" t="str">
        <x:f>IF(OR($D58="",AV$5="",'상세일정'!AM58="제외"),"",IF($D58=$E58,IF(AND($D58&gt;=AV$5,$D58&lt;AV$5+7),"◆",""),IF(AND($D58&lt;AV$5+7,$E58&gt;AV$5),"■","")))</x:f>
      </x:c>
      <x:c r="AW58" s="7" t="str">
        <x:f>IF(OR($D58="",AW$5="",'상세일정'!AM58="제외"),"",IF($D58=$E58,IF(AND($D58&gt;=AW$5,$D58&lt;AW$5+7),"◆",""),IF(AND($D58&lt;AW$5+7,$E58&gt;AW$5),"■","")))</x:f>
      </x:c>
      <x:c r="AX58" s="7" t="str">
        <x:f>IF(OR($D58="",AX$5="",'상세일정'!AM58="제외"),"",IF($D58=$E58,IF(AND($D58&gt;=AX$5,$D58&lt;AX$5+7),"◆",""),IF(AND($D58&lt;AX$5+7,$E58&gt;AX$5),"■","")))</x:f>
      </x:c>
      <x:c r="AY58" s="7" t="str">
        <x:f>IF(OR($D58="",AY$5="",'상세일정'!AM58="제외"),"",IF($D58=$E58,IF(AND($D58&gt;=AY$5,$D58&lt;AY$5+7),"◆",""),IF(AND($D58&lt;AY$5+7,$E58&gt;AY$5),"■","")))</x:f>
      </x:c>
      <x:c r="AZ58" s="7" t="str">
        <x:f>IF(OR($D58="",AZ$5="",'상세일정'!AM58="제외"),"",IF($D58=$E58,IF(AND($D58&gt;=AZ$5,$D58&lt;AZ$5+7),"◆",""),IF(AND($D58&lt;AZ$5+7,$E58&gt;AZ$5),"■","")))</x:f>
      </x:c>
      <x:c r="BA58" s="7" t="str">
        <x:f>IF(OR($D58="",BA$5="",'상세일정'!AM58="제외"),"",IF($D58=$E58,IF(AND($D58&gt;=BA$5,$D58&lt;BA$5+7),"◆",""),IF(AND($D58&lt;BA$5+7,$E58&gt;BA$5),"■","")))</x:f>
      </x:c>
      <x:c r="BB58" s="7" t="str">
        <x:f>IF(OR($D58="",BB$5="",'상세일정'!AM58="제외"),"",IF($D58=$E58,IF(AND($D58&gt;=BB$5,$D58&lt;BB$5+7),"◆",""),IF(AND($D58&lt;BB$5+7,$E58&gt;BB$5),"■","")))</x:f>
      </x:c>
      <x:c r="BC58" s="7" t="str">
        <x:f>IF(OR($D58="",BC$5="",'상세일정'!AM58="제외"),"",IF($D58=$E58,IF(AND($D58&gt;=BC$5,$D58&lt;BC$5+7),"◆",""),IF(AND($D58&lt;BC$5+7,$E58&gt;BC$5),"■","")))</x:f>
      </x:c>
      <x:c r="BD58" s="7" t="str">
        <x:f>IF(OR($D58="",BD$5="",'상세일정'!AM58="제외"),"",IF($D58=$E58,IF(AND($D58&gt;=BD$5,$D58&lt;BD$5+7),"◆",""),IF(AND($D58&lt;BD$5+7,$E58&gt;BD$5),"■","")))</x:f>
      </x:c>
      <x:c r="BE58" s="7" t="str">
        <x:f>IF(OR($D58="",BE$5="",'상세일정'!AM58="제외"),"",IF($D58=$E58,IF(AND($D58&gt;=BE$5,$D58&lt;BE$5+7),"◆",""),IF(AND($D58&lt;BE$5+7,$E58&gt;BE$5),"■","")))</x:f>
      </x:c>
      <x:c r="BF58" s="7" t="str">
        <x:f>IF(OR($D58="",BF$5="",'상세일정'!AM58="제외"),"",IF($D58=$E58,IF(AND($D58&gt;=BF$5,$D58&lt;BF$5+7),"◆",""),IF(AND($D58&lt;BF$5+7,$E58&gt;BF$5),"■","")))</x:f>
      </x:c>
      <x:c r="BG58" s="7" t="str">
        <x:f>IF(OR($D58="",BG$5="",'상세일정'!AM58="제외"),"",IF($D58=$E58,IF(AND($D58&gt;=BG$5,$D58&lt;BG$5+7),"◆",""),IF(AND($D58&lt;BG$5+7,$E58&gt;BG$5),"■","")))</x:f>
      </x:c>
      <x:c r="BH58" s="7" t="str">
        <x:f>IF(OR($D58="",BH$5="",'상세일정'!AM58="제외"),"",IF($D58=$E58,IF(AND($D58&gt;=BH$5,$D58&lt;BH$5+7),"◆",""),IF(AND($D58&lt;BH$5+7,$E58&gt;BH$5),"■","")))</x:f>
      </x:c>
      <x:c r="BI58" s="7" t="str">
        <x:f>IF(OR($D58="",BI$5="",'상세일정'!AM58="제외"),"",IF($D58=$E58,IF(AND($D58&gt;=BI$5,$D58&lt;BI$5+7),"◆",""),IF(AND($D58&lt;BI$5+7,$E58&gt;BI$5),"■","")))</x:f>
      </x:c>
      <x:c r="BJ58" s="7" t="str">
        <x:f>IF(OR($D58="",BJ$5="",'상세일정'!AM58="제외"),"",IF($D58=$E58,IF(AND($D58&gt;=BJ$5,$D58&lt;BJ$5+7),"◆",""),IF(AND($D58&lt;BJ$5+7,$E58&gt;BJ$5),"■","")))</x:f>
      </x:c>
      <x:c r="BK58" s="7" t="str">
        <x:f>IF(OR($D58="",BK$5="",'상세일정'!AM58="제외"),"",IF($D58=$E58,IF(AND($D58&gt;=BK$5,$D58&lt;BK$5+7),"◆",""),IF(AND($D58&lt;BK$5+7,$E58&gt;BK$5),"■","")))</x:f>
      </x:c>
      <x:c r="BL58" s="7" t="str">
        <x:f>IF(OR($D58="",BL$5="",'상세일정'!AM58="제외"),"",IF($D58=$E58,IF(AND($D58&gt;=BL$5,$D58&lt;BL$5+7),"◆",""),IF(AND($D58&lt;BL$5+7,$E58&gt;BL$5),"■","")))</x:f>
      </x:c>
      <x:c r="BM58" s="7" t="str">
        <x:f>IF(OR($D58="",BM$5="",'상세일정'!AM58="제외"),"",IF($D58=$E58,IF(AND($D58&gt;=BM$5,$D58&lt;BM$5+7),"◆",""),IF(AND($D58&lt;BM$5+7,$E58&gt;BM$5),"■","")))</x:f>
      </x:c>
      <x:c r="BN58" s="7" t="str">
        <x:f>IF(OR($D58="",BN$5="",'상세일정'!AM58="제외"),"",IF($D58=$E58,IF(AND($D58&gt;=BN$5,$D58&lt;BN$5+7),"◆",""),IF(AND($D58&lt;BN$5+7,$E58&gt;BN$5),"■","")))</x:f>
      </x:c>
      <x:c r="BO58" s="7" t="str">
        <x:f>IF(OR($D58="",BO$5="",'상세일정'!AM58="제외"),"",IF($D58=$E58,IF(AND($D58&gt;=BO$5,$D58&lt;BO$5+7),"◆",""),IF(AND($D58&lt;BO$5+7,$E58&gt;BO$5),"■","")))</x:f>
      </x:c>
      <x:c r="BP58" s="7" t="str">
        <x:f>IF(OR($D58="",BP$5="",'상세일정'!AM58="제외"),"",IF($D58=$E58,IF(AND($D58&gt;=BP$5,$D58&lt;BP$5+7),"◆",""),IF(AND($D58&lt;BP$5+7,$E58&gt;BP$5),"■","")))</x:f>
      </x:c>
      <x:c r="BQ58" s="7" t="str">
        <x:f>IF(OR($D58="",BQ$5="",'상세일정'!AM58="제외"),"",IF($D58=$E58,IF(AND($D58&gt;=BQ$5,$D58&lt;BQ$5+7),"◆",""),IF(AND($D58&lt;BQ$5+7,$E58&gt;BQ$5),"■","")))</x:f>
      </x:c>
      <x:c r="BR58" s="7" t="str">
        <x:f>IF(OR($D58="",BR$5="",'상세일정'!AM58="제외"),"",IF($D58=$E58,IF(AND($D58&gt;=BR$5,$D58&lt;BR$5+7),"◆",""),IF(AND($D58&lt;BR$5+7,$E58&gt;BR$5),"■","")))</x:f>
      </x:c>
      <x:c r="BS58" s="7" t="str">
        <x:f>IF(OR($D58="",BS$5="",'상세일정'!AM58="제외"),"",IF($D58=$E58,IF(AND($D58&gt;=BS$5,$D58&lt;BS$5+7),"◆",""),IF(AND($D58&lt;BS$5+7,$E58&gt;BS$5),"■","")))</x:f>
      </x:c>
      <x:c r="BT58" s="7" t="str">
        <x:f>IF(OR($D58="",BT$5="",'상세일정'!AM58="제외"),"",IF($D58=$E58,IF(AND($D58&gt;=BT$5,$D58&lt;BT$5+7),"◆",""),IF(AND($D58&lt;BT$5+7,$E58&gt;BT$5),"■","")))</x:f>
      </x:c>
      <x:c r="BU58" s="7" t="str">
        <x:f>IF(OR($D58="",BU$5="",'상세일정'!AM58="제외"),"",IF($D58=$E58,IF(AND($D58&gt;=BU$5,$D58&lt;BU$5+7),"◆",""),IF(AND($D58&lt;BU$5+7,$E58&gt;BU$5),"■","")))</x:f>
      </x:c>
      <x:c r="BV58" s="7" t="str">
        <x:f>IF(OR($D58="",BV$5="",'상세일정'!AM58="제외"),"",IF($D58=$E58,IF(AND($D58&gt;=BV$5,$D58&lt;BV$5+7),"◆",""),IF(AND($D58&lt;BV$5+7,$E58&gt;BV$5),"■","")))</x:f>
      </x:c>
      <x:c r="BW58" s="7" t="str">
        <x:f>IF(OR($D58="",BW$5="",'상세일정'!AM58="제외"),"",IF($D58=$E58,IF(AND($D58&gt;=BW$5,$D58&lt;BW$5+7),"◆",""),IF(AND($D58&lt;BW$5+7,$E58&gt;BW$5),"■","")))</x:f>
      </x:c>
      <x:c r="BX58" s="7" t="str">
        <x:f>IF(OR($D58="",BX$5="",'상세일정'!AM58="제외"),"",IF($D58=$E58,IF(AND($D58&gt;=BX$5,$D58&lt;BX$5+7),"◆",""),IF(AND($D58&lt;BX$5+7,$E58&gt;BX$5),"■","")))</x:f>
      </x:c>
      <x:c r="BY58" s="7" t="str">
        <x:f>IF(OR($D58="",BY$5="",'상세일정'!AM58="제외"),"",IF($D58=$E58,IF(AND($D58&gt;=BY$5,$D58&lt;BY$5+7),"◆",""),IF(AND($D58&lt;BY$5+7,$E58&gt;BY$5),"■","")))</x:f>
      </x:c>
      <x:c r="BZ58" s="7" t="str">
        <x:f>IF(OR($D58="",BZ$5="",'상세일정'!AM58="제외"),"",IF($D58=$E58,IF(AND($D58&gt;=BZ$5,$D58&lt;BZ$5+7),"◆",""),IF(AND($D58&lt;BZ$5+7,$E58&gt;BZ$5),"■","")))</x:f>
      </x:c>
      <x:c r="CA58" s="7" t="str">
        <x:f>IF(OR($D58="",CA$5="",'상세일정'!AM58="제외"),"",IF($D58=$E58,IF(AND($D58&gt;=CA$5,$D58&lt;CA$5+7),"◆",""),IF(AND($D58&lt;CA$5+7,$E58&gt;CA$5),"■","")))</x:f>
      </x:c>
      <x:c r="CB58" s="7" t="str">
        <x:f>IF(OR($D58="",CB$5="",'상세일정'!AM58="제외"),"",IF($D58=$E58,IF(AND($D58&gt;=CB$5,$D58&lt;CB$5+7),"◆",""),IF(AND($D58&lt;CB$5+7,$E58&gt;CB$5),"■","")))</x:f>
      </x:c>
      <x:c r="CC58" s="7" t="str">
        <x:f>IF(OR($D58="",CC$5="",'상세일정'!AM58="제외"),"",IF($D58=$E58,IF(AND($D58&gt;=CC$5,$D58&lt;CC$5+7),"◆",""),IF(AND($D58&lt;CC$5+7,$E58&gt;CC$5),"■","")))</x:f>
      </x:c>
      <x:c r="CD58" s="7" t="str">
        <x:f>IF(OR($D58="",CD$5="",'상세일정'!AM58="제외"),"",IF($D58=$E58,IF(AND($D58&gt;=CD$5,$D58&lt;CD$5+7),"◆",""),IF(AND($D58&lt;CD$5+7,$E58&gt;CD$5),"■","")))</x:f>
      </x:c>
      <x:c r="CE58" s="7" t="str">
        <x:f>IF(OR($D58="",CE$5="",'상세일정'!AM58="제외"),"",IF($D58=$E58,IF(AND($D58&gt;=CE$5,$D58&lt;CE$5+7),"◆",""),IF(AND($D58&lt;CE$5+7,$E58&gt;CE$5),"■","")))</x:f>
      </x:c>
      <x:c r="CF58" s="7" t="str">
        <x:f>IF(OR($D58="",CF$5="",'상세일정'!AM58="제외"),"",IF($D58=$E58,IF(AND($D58&gt;=CF$5,$D58&lt;CF$5+7),"◆",""),IF(AND($D58&lt;CF$5+7,$E58&gt;CF$5),"■","")))</x:f>
      </x:c>
      <x:c r="CG58" s="7" t="str">
        <x:f>IF(OR($D58="",CG$5="",'상세일정'!AM58="제외"),"",IF($D58=$E58,IF(AND($D58&gt;=CG$5,$D58&lt;CG$5+7),"◆",""),IF(AND($D58&lt;CG$5+7,$E58&gt;CG$5),"■","")))</x:f>
      </x:c>
      <x:c r="CH58" s="7" t="str">
        <x:f>IF(OR($D58="",CH$5="",'상세일정'!AM58="제외"),"",IF($D58=$E58,IF(AND($D58&gt;=CH$5,$D58&lt;CH$5+7),"◆",""),IF(AND($D58&lt;CH$5+7,$E58&gt;CH$5),"■","")))</x:f>
      </x:c>
      <x:c r="CI58" s="7" t="str">
        <x:f>IF(OR($D58="",CI$5="",'상세일정'!AM58="제외"),"",IF($D58=$E58,IF(AND($D58&gt;=CI$5,$D58&lt;CI$5+7),"◆",""),IF(AND($D58&lt;CI$5+7,$E58&gt;CI$5),"■","")))</x:f>
      </x:c>
      <x:c r="CJ58" s="7" t="str">
        <x:f>IF(OR($D58="",CJ$5="",'상세일정'!AM58="제외"),"",IF($D58=$E58,IF(AND($D58&gt;=CJ$5,$D58&lt;CJ$5+7),"◆",""),IF(AND($D58&lt;CJ$5+7,$E58&gt;CJ$5),"■","")))</x:f>
      </x:c>
      <x:c r="CK58" s="7" t="str">
        <x:f>IF(OR($D58="",CK$5="",'상세일정'!AM58="제외"),"",IF($D58=$E58,IF(AND($D58&gt;=CK$5,$D58&lt;CK$5+7),"◆",""),IF(AND($D58&lt;CK$5+7,$E58&gt;CK$5),"■","")))</x:f>
      </x:c>
      <x:c r="CL58" s="7" t="str">
        <x:f>IF(OR($D58="",CL$5="",'상세일정'!AM58="제외"),"",IF($D58=$E58,IF(AND($D58&gt;=CL$5,$D58&lt;CL$5+7),"◆",""),IF(AND($D58&lt;CL$5+7,$E58&gt;CL$5),"■","")))</x:f>
      </x:c>
      <x:c r="CM58" s="7" t="str">
        <x:f>IF(OR($D58="",CM$5="",'상세일정'!AM58="제외"),"",IF($D58=$E58,IF(AND($D58&gt;=CM$5,$D58&lt;CM$5+7),"◆",""),IF(AND($D58&lt;CM$5+7,$E58&gt;CM$5),"■","")))</x:f>
      </x:c>
      <x:c r="CN58" s="7" t="str">
        <x:f>IF(OR($D58="",CN$5="",'상세일정'!AM58="제외"),"",IF($D58=$E58,IF(AND($D58&gt;=CN$5,$D58&lt;CN$5+7),"◆",""),IF(AND($D58&lt;CN$5+7,$E58&gt;CN$5),"■","")))</x:f>
      </x:c>
      <x:c r="CO58" s="7" t="str">
        <x:f>IF(OR($D58="",CO$5="",'상세일정'!AM58="제외"),"",IF($D58=$E58,IF(AND($D58&gt;=CO$5,$D58&lt;CO$5+7),"◆",""),IF(AND($D58&lt;CO$5+7,$E58&gt;CO$5),"■","")))</x:f>
      </x:c>
      <x:c r="CP58" s="7" t="str">
        <x:f>IF(OR($D58="",CP$5="",'상세일정'!AM58="제외"),"",IF($D58=$E58,IF(AND($D58&gt;=CP$5,$D58&lt;CP$5+7),"◆",""),IF(AND($D58&lt;CP$5+7,$E58&gt;CP$5),"■","")))</x:f>
      </x:c>
      <x:c r="CQ58" s="7" t="str">
        <x:f>IF(OR($D58="",CQ$5="",'상세일정'!AM58="제외"),"",IF($D58=$E58,IF(AND($D58&gt;=CQ$5,$D58&lt;CQ$5+7),"◆",""),IF(AND($D58&lt;CQ$5+7,$E58&gt;CQ$5),"■","")))</x:f>
      </x:c>
      <x:c r="CR58" s="7" t="str">
        <x:f>IF(OR($D58="",CR$5="",'상세일정'!AM58="제외"),"",IF($D58=$E58,IF(AND($D58&gt;=CR$5,$D58&lt;CR$5+7),"◆",""),IF(AND($D58&lt;CR$5+7,$E58&gt;CR$5),"■","")))</x:f>
      </x:c>
      <x:c r="CS58" s="7" t="str">
        <x:f>IF(OR($D58="",CS$5="",'상세일정'!AM58="제외"),"",IF($D58=$E58,IF(AND($D58&gt;=CS$5,$D58&lt;CS$5+7),"◆",""),IF(AND($D58&lt;CS$5+7,$E58&gt;CS$5),"■","")))</x:f>
      </x:c>
      <x:c r="CT58" s="7" t="str">
        <x:f>IF(OR($D58="",CT$5="",'상세일정'!AM58="제외"),"",IF($D58=$E58,IF(AND($D58&gt;=CT$5,$D58&lt;CT$5+7),"◆",""),IF(AND($D58&lt;CT$5+7,$E58&gt;CT$5),"■","")))</x:f>
      </x:c>
      <x:c r="CU58" s="7" t="str">
        <x:f>IF(OR($D58="",CU$5="",'상세일정'!AM58="제외"),"",IF($D58=$E58,IF(AND($D58&gt;=CU$5,$D58&lt;CU$5+7),"◆",""),IF(AND($D58&lt;CU$5+7,$E58&gt;CU$5),"■","")))</x:f>
      </x:c>
      <x:c r="CV58" s="7" t="str">
        <x:f>IF(OR($D58="",CV$5="",'상세일정'!AM58="제외"),"",IF($D58=$E58,IF(AND($D58&gt;=CV$5,$D58&lt;CV$5+7),"◆",""),IF(AND($D58&lt;CV$5+7,$E58&gt;CV$5),"■","")))</x:f>
      </x:c>
      <x:c r="CW58" s="7" t="str">
        <x:f>IF(OR($D58="",CW$5="",'상세일정'!AM58="제외"),"",IF($D58=$E58,IF(AND($D58&gt;=CW$5,$D58&lt;CW$5+7),"◆",""),IF(AND($D58&lt;CW$5+7,$E58&gt;CW$5),"■","")))</x:f>
      </x:c>
      <x:c r="CX58" s="7" t="str">
        <x:f>IF(OR($D58="",CX$5="",'상세일정'!AM58="제외"),"",IF($D58=$E58,IF(AND($D58&gt;=CX$5,$D58&lt;CX$5+7),"◆",""),IF(AND($D58&lt;CX$5+7,$E58&gt;CX$5),"■","")))</x:f>
      </x:c>
      <x:c r="CY58" s="7" t="str">
        <x:f>IF(OR($D58="",CY$5="",'상세일정'!AM58="제외"),"",IF($D58=$E58,IF(AND($D58&gt;=CY$5,$D58&lt;CY$5+7),"◆",""),IF(AND($D58&lt;CY$5+7,$E58&gt;CY$5),"■","")))</x:f>
      </x:c>
      <x:c r="CZ58" s="7" t="str">
        <x:f>IF(OR($D58="",CZ$5="",'상세일정'!AM58="제외"),"",IF($D58=$E58,IF(AND($D58&gt;=CZ$5,$D58&lt;CZ$5+7),"◆",""),IF(AND($D58&lt;CZ$5+7,$E58&gt;CZ$5),"■","")))</x:f>
      </x:c>
      <x:c r="DA58" s="7" t="str">
        <x:f>IF(OR($D58="",DA$5="",'상세일정'!AM58="제외"),"",IF($D58=$E58,IF(AND($D58&gt;=DA$5,$D58&lt;DA$5+7),"◆",""),IF(AND($D58&lt;DA$5+7,$E58&gt;DA$5),"■","")))</x:f>
      </x:c>
      <x:c r="DB58" s="7" t="str">
        <x:f>IF(OR($D58="",DB$5="",'상세일정'!AM58="제외"),"",IF($D58=$E58,IF(AND($D58&gt;=DB$5,$D58&lt;DB$5+7),"◆",""),IF(AND($D58&lt;DB$5+7,$E58&gt;DB$5),"■","")))</x:f>
      </x:c>
      <x:c r="DC58" s="7" t="str">
        <x:f>IF(OR($D58="",DC$5="",'상세일정'!AM58="제외"),"",IF($D58=$E58,IF(AND($D58&gt;=DC$5,$D58&lt;DC$5+7),"◆",""),IF(AND($D58&lt;DC$5+7,$E58&gt;DC$5),"■","")))</x:f>
      </x:c>
      <x:c r="DD58" s="7" t="str">
        <x:f>IF(OR($D58="",DD$5="",'상세일정'!AM58="제외"),"",IF($D58=$E58,IF(AND($D58&gt;=DD$5,$D58&lt;DD$5+7),"◆",""),IF(AND($D58&lt;DD$5+7,$E58&gt;DD$5),"■","")))</x:f>
      </x:c>
      <x:c r="DE58" s="7" t="str">
        <x:f>IF(OR($D58="",DE$5="",'상세일정'!AM58="제외"),"",IF($D58=$E58,IF(AND($D58&gt;=DE$5,$D58&lt;DE$5+7),"◆",""),IF(AND($D58&lt;DE$5+7,$E58&gt;DE$5),"■","")))</x:f>
      </x:c>
    </x:row>
    <x:row r="59" ht="34" customHeight="1">
      <x:c r="A59" s="7" t="str">
        <x:v>CV07</x:v>
      </x:c>
      <x:c r="B59" s="7" t="str">
        <x:v>09 토목·구조·건축 설계</x:v>
      </x:c>
      <x:c r="C59" s="7" t="str">
        <x:v>토건 공사시방·내역서 및 IFC 발행</x:v>
      </x:c>
      <x:c r="D59" s="10" t="str">
        <x:f>'상세일정'!AJ59</x:f>
      </x:c>
      <x:c r="E59" s="10" t="str">
        <x:f>'상세일정'!AK59</x:f>
      </x:c>
      <x:c r="F59" s="7" t="str">
        <x:f>IF(OR($D59="",F$5="",'상세일정'!AM59="제외"),"",IF($D59=$E59,IF(AND($D59&gt;=F$5,$D59&lt;F$5+7),"◆",""),IF(AND($D59&lt;F$5+7,$E59&gt;F$5),"■","")))</x:f>
      </x:c>
      <x:c r="G59" s="7" t="str">
        <x:f>IF(OR($D59="",G$5="",'상세일정'!AM59="제외"),"",IF($D59=$E59,IF(AND($D59&gt;=G$5,$D59&lt;G$5+7),"◆",""),IF(AND($D59&lt;G$5+7,$E59&gt;G$5),"■","")))</x:f>
      </x:c>
      <x:c r="H59" s="7" t="str">
        <x:f>IF(OR($D59="",H$5="",'상세일정'!AM59="제외"),"",IF($D59=$E59,IF(AND($D59&gt;=H$5,$D59&lt;H$5+7),"◆",""),IF(AND($D59&lt;H$5+7,$E59&gt;H$5),"■","")))</x:f>
      </x:c>
      <x:c r="I59" s="7" t="str">
        <x:f>IF(OR($D59="",I$5="",'상세일정'!AM59="제외"),"",IF($D59=$E59,IF(AND($D59&gt;=I$5,$D59&lt;I$5+7),"◆",""),IF(AND($D59&lt;I$5+7,$E59&gt;I$5),"■","")))</x:f>
      </x:c>
      <x:c r="J59" s="7" t="str">
        <x:f>IF(OR($D59="",J$5="",'상세일정'!AM59="제외"),"",IF($D59=$E59,IF(AND($D59&gt;=J$5,$D59&lt;J$5+7),"◆",""),IF(AND($D59&lt;J$5+7,$E59&gt;J$5),"■","")))</x:f>
      </x:c>
      <x:c r="K59" s="7" t="str">
        <x:f>IF(OR($D59="",K$5="",'상세일정'!AM59="제외"),"",IF($D59=$E59,IF(AND($D59&gt;=K$5,$D59&lt;K$5+7),"◆",""),IF(AND($D59&lt;K$5+7,$E59&gt;K$5),"■","")))</x:f>
      </x:c>
      <x:c r="L59" s="7" t="str">
        <x:f>IF(OR($D59="",L$5="",'상세일정'!AM59="제외"),"",IF($D59=$E59,IF(AND($D59&gt;=L$5,$D59&lt;L$5+7),"◆",""),IF(AND($D59&lt;L$5+7,$E59&gt;L$5),"■","")))</x:f>
      </x:c>
      <x:c r="M59" s="7" t="str">
        <x:f>IF(OR($D59="",M$5="",'상세일정'!AM59="제외"),"",IF($D59=$E59,IF(AND($D59&gt;=M$5,$D59&lt;M$5+7),"◆",""),IF(AND($D59&lt;M$5+7,$E59&gt;M$5),"■","")))</x:f>
      </x:c>
      <x:c r="N59" s="7" t="str">
        <x:f>IF(OR($D59="",N$5="",'상세일정'!AM59="제외"),"",IF($D59=$E59,IF(AND($D59&gt;=N$5,$D59&lt;N$5+7),"◆",""),IF(AND($D59&lt;N$5+7,$E59&gt;N$5),"■","")))</x:f>
      </x:c>
      <x:c r="O59" s="7" t="str">
        <x:f>IF(OR($D59="",O$5="",'상세일정'!AM59="제외"),"",IF($D59=$E59,IF(AND($D59&gt;=O$5,$D59&lt;O$5+7),"◆",""),IF(AND($D59&lt;O$5+7,$E59&gt;O$5),"■","")))</x:f>
      </x:c>
      <x:c r="P59" s="7" t="str">
        <x:f>IF(OR($D59="",P$5="",'상세일정'!AM59="제외"),"",IF($D59=$E59,IF(AND($D59&gt;=P$5,$D59&lt;P$5+7),"◆",""),IF(AND($D59&lt;P$5+7,$E59&gt;P$5),"■","")))</x:f>
      </x:c>
      <x:c r="Q59" s="7" t="str">
        <x:f>IF(OR($D59="",Q$5="",'상세일정'!AM59="제외"),"",IF($D59=$E59,IF(AND($D59&gt;=Q$5,$D59&lt;Q$5+7),"◆",""),IF(AND($D59&lt;Q$5+7,$E59&gt;Q$5),"■","")))</x:f>
      </x:c>
      <x:c r="R59" s="7" t="str">
        <x:f>IF(OR($D59="",R$5="",'상세일정'!AM59="제외"),"",IF($D59=$E59,IF(AND($D59&gt;=R$5,$D59&lt;R$5+7),"◆",""),IF(AND($D59&lt;R$5+7,$E59&gt;R$5),"■","")))</x:f>
      </x:c>
      <x:c r="S59" s="7" t="str">
        <x:f>IF(OR($D59="",S$5="",'상세일정'!AM59="제외"),"",IF($D59=$E59,IF(AND($D59&gt;=S$5,$D59&lt;S$5+7),"◆",""),IF(AND($D59&lt;S$5+7,$E59&gt;S$5),"■","")))</x:f>
      </x:c>
      <x:c r="T59" s="7" t="str">
        <x:f>IF(OR($D59="",T$5="",'상세일정'!AM59="제외"),"",IF($D59=$E59,IF(AND($D59&gt;=T$5,$D59&lt;T$5+7),"◆",""),IF(AND($D59&lt;T$5+7,$E59&gt;T$5),"■","")))</x:f>
      </x:c>
      <x:c r="U59" s="7" t="str">
        <x:f>IF(OR($D59="",U$5="",'상세일정'!AM59="제외"),"",IF($D59=$E59,IF(AND($D59&gt;=U$5,$D59&lt;U$5+7),"◆",""),IF(AND($D59&lt;U$5+7,$E59&gt;U$5),"■","")))</x:f>
      </x:c>
      <x:c r="V59" s="7" t="str">
        <x:f>IF(OR($D59="",V$5="",'상세일정'!AM59="제외"),"",IF($D59=$E59,IF(AND($D59&gt;=V$5,$D59&lt;V$5+7),"◆",""),IF(AND($D59&lt;V$5+7,$E59&gt;V$5),"■","")))</x:f>
      </x:c>
      <x:c r="W59" s="7" t="str">
        <x:f>IF(OR($D59="",W$5="",'상세일정'!AM59="제외"),"",IF($D59=$E59,IF(AND($D59&gt;=W$5,$D59&lt;W$5+7),"◆",""),IF(AND($D59&lt;W$5+7,$E59&gt;W$5),"■","")))</x:f>
      </x:c>
      <x:c r="X59" s="7" t="str">
        <x:f>IF(OR($D59="",X$5="",'상세일정'!AM59="제외"),"",IF($D59=$E59,IF(AND($D59&gt;=X$5,$D59&lt;X$5+7),"◆",""),IF(AND($D59&lt;X$5+7,$E59&gt;X$5),"■","")))</x:f>
      </x:c>
      <x:c r="Y59" s="7" t="str">
        <x:f>IF(OR($D59="",Y$5="",'상세일정'!AM59="제외"),"",IF($D59=$E59,IF(AND($D59&gt;=Y$5,$D59&lt;Y$5+7),"◆",""),IF(AND($D59&lt;Y$5+7,$E59&gt;Y$5),"■","")))</x:f>
      </x:c>
      <x:c r="Z59" s="7" t="str">
        <x:f>IF(OR($D59="",Z$5="",'상세일정'!AM59="제외"),"",IF($D59=$E59,IF(AND($D59&gt;=Z$5,$D59&lt;Z$5+7),"◆",""),IF(AND($D59&lt;Z$5+7,$E59&gt;Z$5),"■","")))</x:f>
      </x:c>
      <x:c r="AA59" s="7" t="str">
        <x:f>IF(OR($D59="",AA$5="",'상세일정'!AM59="제외"),"",IF($D59=$E59,IF(AND($D59&gt;=AA$5,$D59&lt;AA$5+7),"◆",""),IF(AND($D59&lt;AA$5+7,$E59&gt;AA$5),"■","")))</x:f>
      </x:c>
      <x:c r="AB59" s="7" t="str">
        <x:f>IF(OR($D59="",AB$5="",'상세일정'!AM59="제외"),"",IF($D59=$E59,IF(AND($D59&gt;=AB$5,$D59&lt;AB$5+7),"◆",""),IF(AND($D59&lt;AB$5+7,$E59&gt;AB$5),"■","")))</x:f>
      </x:c>
      <x:c r="AC59" s="7" t="str">
        <x:f>IF(OR($D59="",AC$5="",'상세일정'!AM59="제외"),"",IF($D59=$E59,IF(AND($D59&gt;=AC$5,$D59&lt;AC$5+7),"◆",""),IF(AND($D59&lt;AC$5+7,$E59&gt;AC$5),"■","")))</x:f>
      </x:c>
      <x:c r="AD59" s="7" t="str">
        <x:f>IF(OR($D59="",AD$5="",'상세일정'!AM59="제외"),"",IF($D59=$E59,IF(AND($D59&gt;=AD$5,$D59&lt;AD$5+7),"◆",""),IF(AND($D59&lt;AD$5+7,$E59&gt;AD$5),"■","")))</x:f>
      </x:c>
      <x:c r="AE59" s="7" t="str">
        <x:f>IF(OR($D59="",AE$5="",'상세일정'!AM59="제외"),"",IF($D59=$E59,IF(AND($D59&gt;=AE$5,$D59&lt;AE$5+7),"◆",""),IF(AND($D59&lt;AE$5+7,$E59&gt;AE$5),"■","")))</x:f>
      </x:c>
      <x:c r="AF59" s="7" t="str">
        <x:f>IF(OR($D59="",AF$5="",'상세일정'!AM59="제외"),"",IF($D59=$E59,IF(AND($D59&gt;=AF$5,$D59&lt;AF$5+7),"◆",""),IF(AND($D59&lt;AF$5+7,$E59&gt;AF$5),"■","")))</x:f>
      </x:c>
      <x:c r="AG59" s="7" t="str">
        <x:f>IF(OR($D59="",AG$5="",'상세일정'!AM59="제외"),"",IF($D59=$E59,IF(AND($D59&gt;=AG$5,$D59&lt;AG$5+7),"◆",""),IF(AND($D59&lt;AG$5+7,$E59&gt;AG$5),"■","")))</x:f>
      </x:c>
      <x:c r="AH59" s="7" t="str">
        <x:f>IF(OR($D59="",AH$5="",'상세일정'!AM59="제외"),"",IF($D59=$E59,IF(AND($D59&gt;=AH$5,$D59&lt;AH$5+7),"◆",""),IF(AND($D59&lt;AH$5+7,$E59&gt;AH$5),"■","")))</x:f>
      </x:c>
      <x:c r="AI59" s="7" t="str">
        <x:f>IF(OR($D59="",AI$5="",'상세일정'!AM59="제외"),"",IF($D59=$E59,IF(AND($D59&gt;=AI$5,$D59&lt;AI$5+7),"◆",""),IF(AND($D59&lt;AI$5+7,$E59&gt;AI$5),"■","")))</x:f>
      </x:c>
      <x:c r="AJ59" s="7" t="str">
        <x:f>IF(OR($D59="",AJ$5="",'상세일정'!AM59="제외"),"",IF($D59=$E59,IF(AND($D59&gt;=AJ$5,$D59&lt;AJ$5+7),"◆",""),IF(AND($D59&lt;AJ$5+7,$E59&gt;AJ$5),"■","")))</x:f>
      </x:c>
      <x:c r="AK59" s="7" t="str">
        <x:f>IF(OR($D59="",AK$5="",'상세일정'!AM59="제외"),"",IF($D59=$E59,IF(AND($D59&gt;=AK$5,$D59&lt;AK$5+7),"◆",""),IF(AND($D59&lt;AK$5+7,$E59&gt;AK$5),"■","")))</x:f>
      </x:c>
      <x:c r="AL59" s="7" t="str">
        <x:f>IF(OR($D59="",AL$5="",'상세일정'!AM59="제외"),"",IF($D59=$E59,IF(AND($D59&gt;=AL$5,$D59&lt;AL$5+7),"◆",""),IF(AND($D59&lt;AL$5+7,$E59&gt;AL$5),"■","")))</x:f>
      </x:c>
      <x:c r="AM59" s="7" t="str">
        <x:f>IF(OR($D59="",AM$5="",'상세일정'!AM59="제외"),"",IF($D59=$E59,IF(AND($D59&gt;=AM$5,$D59&lt;AM$5+7),"◆",""),IF(AND($D59&lt;AM$5+7,$E59&gt;AM$5),"■","")))</x:f>
      </x:c>
      <x:c r="AN59" s="7" t="str">
        <x:f>IF(OR($D59="",AN$5="",'상세일정'!AM59="제외"),"",IF($D59=$E59,IF(AND($D59&gt;=AN$5,$D59&lt;AN$5+7),"◆",""),IF(AND($D59&lt;AN$5+7,$E59&gt;AN$5),"■","")))</x:f>
      </x:c>
      <x:c r="AO59" s="7" t="str">
        <x:f>IF(OR($D59="",AO$5="",'상세일정'!AM59="제외"),"",IF($D59=$E59,IF(AND($D59&gt;=AO$5,$D59&lt;AO$5+7),"◆",""),IF(AND($D59&lt;AO$5+7,$E59&gt;AO$5),"■","")))</x:f>
      </x:c>
      <x:c r="AP59" s="7" t="str">
        <x:f>IF(OR($D59="",AP$5="",'상세일정'!AM59="제외"),"",IF($D59=$E59,IF(AND($D59&gt;=AP$5,$D59&lt;AP$5+7),"◆",""),IF(AND($D59&lt;AP$5+7,$E59&gt;AP$5),"■","")))</x:f>
      </x:c>
      <x:c r="AQ59" s="7" t="str">
        <x:f>IF(OR($D59="",AQ$5="",'상세일정'!AM59="제외"),"",IF($D59=$E59,IF(AND($D59&gt;=AQ$5,$D59&lt;AQ$5+7),"◆",""),IF(AND($D59&lt;AQ$5+7,$E59&gt;AQ$5),"■","")))</x:f>
      </x:c>
      <x:c r="AR59" s="7" t="str">
        <x:f>IF(OR($D59="",AR$5="",'상세일정'!AM59="제외"),"",IF($D59=$E59,IF(AND($D59&gt;=AR$5,$D59&lt;AR$5+7),"◆",""),IF(AND($D59&lt;AR$5+7,$E59&gt;AR$5),"■","")))</x:f>
      </x:c>
      <x:c r="AS59" s="7" t="str">
        <x:f>IF(OR($D59="",AS$5="",'상세일정'!AM59="제외"),"",IF($D59=$E59,IF(AND($D59&gt;=AS$5,$D59&lt;AS$5+7),"◆",""),IF(AND($D59&lt;AS$5+7,$E59&gt;AS$5),"■","")))</x:f>
      </x:c>
      <x:c r="AT59" s="7" t="str">
        <x:f>IF(OR($D59="",AT$5="",'상세일정'!AM59="제외"),"",IF($D59=$E59,IF(AND($D59&gt;=AT$5,$D59&lt;AT$5+7),"◆",""),IF(AND($D59&lt;AT$5+7,$E59&gt;AT$5),"■","")))</x:f>
      </x:c>
      <x:c r="AU59" s="7" t="str">
        <x:f>IF(OR($D59="",AU$5="",'상세일정'!AM59="제외"),"",IF($D59=$E59,IF(AND($D59&gt;=AU$5,$D59&lt;AU$5+7),"◆",""),IF(AND($D59&lt;AU$5+7,$E59&gt;AU$5),"■","")))</x:f>
      </x:c>
      <x:c r="AV59" s="7" t="str">
        <x:f>IF(OR($D59="",AV$5="",'상세일정'!AM59="제외"),"",IF($D59=$E59,IF(AND($D59&gt;=AV$5,$D59&lt;AV$5+7),"◆",""),IF(AND($D59&lt;AV$5+7,$E59&gt;AV$5),"■","")))</x:f>
      </x:c>
      <x:c r="AW59" s="7" t="str">
        <x:f>IF(OR($D59="",AW$5="",'상세일정'!AM59="제외"),"",IF($D59=$E59,IF(AND($D59&gt;=AW$5,$D59&lt;AW$5+7),"◆",""),IF(AND($D59&lt;AW$5+7,$E59&gt;AW$5),"■","")))</x:f>
      </x:c>
      <x:c r="AX59" s="7" t="str">
        <x:f>IF(OR($D59="",AX$5="",'상세일정'!AM59="제외"),"",IF($D59=$E59,IF(AND($D59&gt;=AX$5,$D59&lt;AX$5+7),"◆",""),IF(AND($D59&lt;AX$5+7,$E59&gt;AX$5),"■","")))</x:f>
      </x:c>
      <x:c r="AY59" s="7" t="str">
        <x:f>IF(OR($D59="",AY$5="",'상세일정'!AM59="제외"),"",IF($D59=$E59,IF(AND($D59&gt;=AY$5,$D59&lt;AY$5+7),"◆",""),IF(AND($D59&lt;AY$5+7,$E59&gt;AY$5),"■","")))</x:f>
      </x:c>
      <x:c r="AZ59" s="7" t="str">
        <x:f>IF(OR($D59="",AZ$5="",'상세일정'!AM59="제외"),"",IF($D59=$E59,IF(AND($D59&gt;=AZ$5,$D59&lt;AZ$5+7),"◆",""),IF(AND($D59&lt;AZ$5+7,$E59&gt;AZ$5),"■","")))</x:f>
      </x:c>
      <x:c r="BA59" s="7" t="str">
        <x:f>IF(OR($D59="",BA$5="",'상세일정'!AM59="제외"),"",IF($D59=$E59,IF(AND($D59&gt;=BA$5,$D59&lt;BA$5+7),"◆",""),IF(AND($D59&lt;BA$5+7,$E59&gt;BA$5),"■","")))</x:f>
      </x:c>
      <x:c r="BB59" s="7" t="str">
        <x:f>IF(OR($D59="",BB$5="",'상세일정'!AM59="제외"),"",IF($D59=$E59,IF(AND($D59&gt;=BB$5,$D59&lt;BB$5+7),"◆",""),IF(AND($D59&lt;BB$5+7,$E59&gt;BB$5),"■","")))</x:f>
      </x:c>
      <x:c r="BC59" s="7" t="str">
        <x:f>IF(OR($D59="",BC$5="",'상세일정'!AM59="제외"),"",IF($D59=$E59,IF(AND($D59&gt;=BC$5,$D59&lt;BC$5+7),"◆",""),IF(AND($D59&lt;BC$5+7,$E59&gt;BC$5),"■","")))</x:f>
      </x:c>
      <x:c r="BD59" s="7" t="str">
        <x:f>IF(OR($D59="",BD$5="",'상세일정'!AM59="제외"),"",IF($D59=$E59,IF(AND($D59&gt;=BD$5,$D59&lt;BD$5+7),"◆",""),IF(AND($D59&lt;BD$5+7,$E59&gt;BD$5),"■","")))</x:f>
      </x:c>
      <x:c r="BE59" s="7" t="str">
        <x:f>IF(OR($D59="",BE$5="",'상세일정'!AM59="제외"),"",IF($D59=$E59,IF(AND($D59&gt;=BE$5,$D59&lt;BE$5+7),"◆",""),IF(AND($D59&lt;BE$5+7,$E59&gt;BE$5),"■","")))</x:f>
      </x:c>
      <x:c r="BF59" s="7" t="str">
        <x:f>IF(OR($D59="",BF$5="",'상세일정'!AM59="제외"),"",IF($D59=$E59,IF(AND($D59&gt;=BF$5,$D59&lt;BF$5+7),"◆",""),IF(AND($D59&lt;BF$5+7,$E59&gt;BF$5),"■","")))</x:f>
      </x:c>
      <x:c r="BG59" s="7" t="str">
        <x:f>IF(OR($D59="",BG$5="",'상세일정'!AM59="제외"),"",IF($D59=$E59,IF(AND($D59&gt;=BG$5,$D59&lt;BG$5+7),"◆",""),IF(AND($D59&lt;BG$5+7,$E59&gt;BG$5),"■","")))</x:f>
      </x:c>
      <x:c r="BH59" s="7" t="str">
        <x:f>IF(OR($D59="",BH$5="",'상세일정'!AM59="제외"),"",IF($D59=$E59,IF(AND($D59&gt;=BH$5,$D59&lt;BH$5+7),"◆",""),IF(AND($D59&lt;BH$5+7,$E59&gt;BH$5),"■","")))</x:f>
      </x:c>
      <x:c r="BI59" s="7" t="str">
        <x:f>IF(OR($D59="",BI$5="",'상세일정'!AM59="제외"),"",IF($D59=$E59,IF(AND($D59&gt;=BI$5,$D59&lt;BI$5+7),"◆",""),IF(AND($D59&lt;BI$5+7,$E59&gt;BI$5),"■","")))</x:f>
      </x:c>
      <x:c r="BJ59" s="7" t="str">
        <x:f>IF(OR($D59="",BJ$5="",'상세일정'!AM59="제외"),"",IF($D59=$E59,IF(AND($D59&gt;=BJ$5,$D59&lt;BJ$5+7),"◆",""),IF(AND($D59&lt;BJ$5+7,$E59&gt;BJ$5),"■","")))</x:f>
      </x:c>
      <x:c r="BK59" s="7" t="str">
        <x:f>IF(OR($D59="",BK$5="",'상세일정'!AM59="제외"),"",IF($D59=$E59,IF(AND($D59&gt;=BK$5,$D59&lt;BK$5+7),"◆",""),IF(AND($D59&lt;BK$5+7,$E59&gt;BK$5),"■","")))</x:f>
      </x:c>
      <x:c r="BL59" s="7" t="str">
        <x:f>IF(OR($D59="",BL$5="",'상세일정'!AM59="제외"),"",IF($D59=$E59,IF(AND($D59&gt;=BL$5,$D59&lt;BL$5+7),"◆",""),IF(AND($D59&lt;BL$5+7,$E59&gt;BL$5),"■","")))</x:f>
      </x:c>
      <x:c r="BM59" s="7" t="str">
        <x:f>IF(OR($D59="",BM$5="",'상세일정'!AM59="제외"),"",IF($D59=$E59,IF(AND($D59&gt;=BM$5,$D59&lt;BM$5+7),"◆",""),IF(AND($D59&lt;BM$5+7,$E59&gt;BM$5),"■","")))</x:f>
      </x:c>
      <x:c r="BN59" s="7" t="str">
        <x:f>IF(OR($D59="",BN$5="",'상세일정'!AM59="제외"),"",IF($D59=$E59,IF(AND($D59&gt;=BN$5,$D59&lt;BN$5+7),"◆",""),IF(AND($D59&lt;BN$5+7,$E59&gt;BN$5),"■","")))</x:f>
      </x:c>
      <x:c r="BO59" s="7" t="str">
        <x:f>IF(OR($D59="",BO$5="",'상세일정'!AM59="제외"),"",IF($D59=$E59,IF(AND($D59&gt;=BO$5,$D59&lt;BO$5+7),"◆",""),IF(AND($D59&lt;BO$5+7,$E59&gt;BO$5),"■","")))</x:f>
      </x:c>
      <x:c r="BP59" s="7" t="str">
        <x:f>IF(OR($D59="",BP$5="",'상세일정'!AM59="제외"),"",IF($D59=$E59,IF(AND($D59&gt;=BP$5,$D59&lt;BP$5+7),"◆",""),IF(AND($D59&lt;BP$5+7,$E59&gt;BP$5),"■","")))</x:f>
      </x:c>
      <x:c r="BQ59" s="7" t="str">
        <x:f>IF(OR($D59="",BQ$5="",'상세일정'!AM59="제외"),"",IF($D59=$E59,IF(AND($D59&gt;=BQ$5,$D59&lt;BQ$5+7),"◆",""),IF(AND($D59&lt;BQ$5+7,$E59&gt;BQ$5),"■","")))</x:f>
      </x:c>
      <x:c r="BR59" s="7" t="str">
        <x:f>IF(OR($D59="",BR$5="",'상세일정'!AM59="제외"),"",IF($D59=$E59,IF(AND($D59&gt;=BR$5,$D59&lt;BR$5+7),"◆",""),IF(AND($D59&lt;BR$5+7,$E59&gt;BR$5),"■","")))</x:f>
      </x:c>
      <x:c r="BS59" s="7" t="str">
        <x:f>IF(OR($D59="",BS$5="",'상세일정'!AM59="제외"),"",IF($D59=$E59,IF(AND($D59&gt;=BS$5,$D59&lt;BS$5+7),"◆",""),IF(AND($D59&lt;BS$5+7,$E59&gt;BS$5),"■","")))</x:f>
      </x:c>
      <x:c r="BT59" s="7" t="str">
        <x:f>IF(OR($D59="",BT$5="",'상세일정'!AM59="제외"),"",IF($D59=$E59,IF(AND($D59&gt;=BT$5,$D59&lt;BT$5+7),"◆",""),IF(AND($D59&lt;BT$5+7,$E59&gt;BT$5),"■","")))</x:f>
      </x:c>
      <x:c r="BU59" s="7" t="str">
        <x:f>IF(OR($D59="",BU$5="",'상세일정'!AM59="제외"),"",IF($D59=$E59,IF(AND($D59&gt;=BU$5,$D59&lt;BU$5+7),"◆",""),IF(AND($D59&lt;BU$5+7,$E59&gt;BU$5),"■","")))</x:f>
      </x:c>
      <x:c r="BV59" s="7" t="str">
        <x:f>IF(OR($D59="",BV$5="",'상세일정'!AM59="제외"),"",IF($D59=$E59,IF(AND($D59&gt;=BV$5,$D59&lt;BV$5+7),"◆",""),IF(AND($D59&lt;BV$5+7,$E59&gt;BV$5),"■","")))</x:f>
      </x:c>
      <x:c r="BW59" s="7" t="str">
        <x:f>IF(OR($D59="",BW$5="",'상세일정'!AM59="제외"),"",IF($D59=$E59,IF(AND($D59&gt;=BW$5,$D59&lt;BW$5+7),"◆",""),IF(AND($D59&lt;BW$5+7,$E59&gt;BW$5),"■","")))</x:f>
      </x:c>
      <x:c r="BX59" s="7" t="str">
        <x:f>IF(OR($D59="",BX$5="",'상세일정'!AM59="제외"),"",IF($D59=$E59,IF(AND($D59&gt;=BX$5,$D59&lt;BX$5+7),"◆",""),IF(AND($D59&lt;BX$5+7,$E59&gt;BX$5),"■","")))</x:f>
      </x:c>
      <x:c r="BY59" s="7" t="str">
        <x:f>IF(OR($D59="",BY$5="",'상세일정'!AM59="제외"),"",IF($D59=$E59,IF(AND($D59&gt;=BY$5,$D59&lt;BY$5+7),"◆",""),IF(AND($D59&lt;BY$5+7,$E59&gt;BY$5),"■","")))</x:f>
      </x:c>
      <x:c r="BZ59" s="7" t="str">
        <x:f>IF(OR($D59="",BZ$5="",'상세일정'!AM59="제외"),"",IF($D59=$E59,IF(AND($D59&gt;=BZ$5,$D59&lt;BZ$5+7),"◆",""),IF(AND($D59&lt;BZ$5+7,$E59&gt;BZ$5),"■","")))</x:f>
      </x:c>
      <x:c r="CA59" s="7" t="str">
        <x:f>IF(OR($D59="",CA$5="",'상세일정'!AM59="제외"),"",IF($D59=$E59,IF(AND($D59&gt;=CA$5,$D59&lt;CA$5+7),"◆",""),IF(AND($D59&lt;CA$5+7,$E59&gt;CA$5),"■","")))</x:f>
      </x:c>
      <x:c r="CB59" s="7" t="str">
        <x:f>IF(OR($D59="",CB$5="",'상세일정'!AM59="제외"),"",IF($D59=$E59,IF(AND($D59&gt;=CB$5,$D59&lt;CB$5+7),"◆",""),IF(AND($D59&lt;CB$5+7,$E59&gt;CB$5),"■","")))</x:f>
      </x:c>
      <x:c r="CC59" s="7" t="str">
        <x:f>IF(OR($D59="",CC$5="",'상세일정'!AM59="제외"),"",IF($D59=$E59,IF(AND($D59&gt;=CC$5,$D59&lt;CC$5+7),"◆",""),IF(AND($D59&lt;CC$5+7,$E59&gt;CC$5),"■","")))</x:f>
      </x:c>
      <x:c r="CD59" s="7" t="str">
        <x:f>IF(OR($D59="",CD$5="",'상세일정'!AM59="제외"),"",IF($D59=$E59,IF(AND($D59&gt;=CD$5,$D59&lt;CD$5+7),"◆",""),IF(AND($D59&lt;CD$5+7,$E59&gt;CD$5),"■","")))</x:f>
      </x:c>
      <x:c r="CE59" s="7" t="str">
        <x:f>IF(OR($D59="",CE$5="",'상세일정'!AM59="제외"),"",IF($D59=$E59,IF(AND($D59&gt;=CE$5,$D59&lt;CE$5+7),"◆",""),IF(AND($D59&lt;CE$5+7,$E59&gt;CE$5),"■","")))</x:f>
      </x:c>
      <x:c r="CF59" s="7" t="str">
        <x:f>IF(OR($D59="",CF$5="",'상세일정'!AM59="제외"),"",IF($D59=$E59,IF(AND($D59&gt;=CF$5,$D59&lt;CF$5+7),"◆",""),IF(AND($D59&lt;CF$5+7,$E59&gt;CF$5),"■","")))</x:f>
      </x:c>
      <x:c r="CG59" s="7" t="str">
        <x:f>IF(OR($D59="",CG$5="",'상세일정'!AM59="제외"),"",IF($D59=$E59,IF(AND($D59&gt;=CG$5,$D59&lt;CG$5+7),"◆",""),IF(AND($D59&lt;CG$5+7,$E59&gt;CG$5),"■","")))</x:f>
      </x:c>
      <x:c r="CH59" s="7" t="str">
        <x:f>IF(OR($D59="",CH$5="",'상세일정'!AM59="제외"),"",IF($D59=$E59,IF(AND($D59&gt;=CH$5,$D59&lt;CH$5+7),"◆",""),IF(AND($D59&lt;CH$5+7,$E59&gt;CH$5),"■","")))</x:f>
      </x:c>
      <x:c r="CI59" s="7" t="str">
        <x:f>IF(OR($D59="",CI$5="",'상세일정'!AM59="제외"),"",IF($D59=$E59,IF(AND($D59&gt;=CI$5,$D59&lt;CI$5+7),"◆",""),IF(AND($D59&lt;CI$5+7,$E59&gt;CI$5),"■","")))</x:f>
      </x:c>
      <x:c r="CJ59" s="7" t="str">
        <x:f>IF(OR($D59="",CJ$5="",'상세일정'!AM59="제외"),"",IF($D59=$E59,IF(AND($D59&gt;=CJ$5,$D59&lt;CJ$5+7),"◆",""),IF(AND($D59&lt;CJ$5+7,$E59&gt;CJ$5),"■","")))</x:f>
      </x:c>
      <x:c r="CK59" s="7" t="str">
        <x:f>IF(OR($D59="",CK$5="",'상세일정'!AM59="제외"),"",IF($D59=$E59,IF(AND($D59&gt;=CK$5,$D59&lt;CK$5+7),"◆",""),IF(AND($D59&lt;CK$5+7,$E59&gt;CK$5),"■","")))</x:f>
      </x:c>
      <x:c r="CL59" s="7" t="str">
        <x:f>IF(OR($D59="",CL$5="",'상세일정'!AM59="제외"),"",IF($D59=$E59,IF(AND($D59&gt;=CL$5,$D59&lt;CL$5+7),"◆",""),IF(AND($D59&lt;CL$5+7,$E59&gt;CL$5),"■","")))</x:f>
      </x:c>
      <x:c r="CM59" s="7" t="str">
        <x:f>IF(OR($D59="",CM$5="",'상세일정'!AM59="제외"),"",IF($D59=$E59,IF(AND($D59&gt;=CM$5,$D59&lt;CM$5+7),"◆",""),IF(AND($D59&lt;CM$5+7,$E59&gt;CM$5),"■","")))</x:f>
      </x:c>
      <x:c r="CN59" s="7" t="str">
        <x:f>IF(OR($D59="",CN$5="",'상세일정'!AM59="제외"),"",IF($D59=$E59,IF(AND($D59&gt;=CN$5,$D59&lt;CN$5+7),"◆",""),IF(AND($D59&lt;CN$5+7,$E59&gt;CN$5),"■","")))</x:f>
      </x:c>
      <x:c r="CO59" s="7" t="str">
        <x:f>IF(OR($D59="",CO$5="",'상세일정'!AM59="제외"),"",IF($D59=$E59,IF(AND($D59&gt;=CO$5,$D59&lt;CO$5+7),"◆",""),IF(AND($D59&lt;CO$5+7,$E59&gt;CO$5),"■","")))</x:f>
      </x:c>
      <x:c r="CP59" s="7" t="str">
        <x:f>IF(OR($D59="",CP$5="",'상세일정'!AM59="제외"),"",IF($D59=$E59,IF(AND($D59&gt;=CP$5,$D59&lt;CP$5+7),"◆",""),IF(AND($D59&lt;CP$5+7,$E59&gt;CP$5),"■","")))</x:f>
      </x:c>
      <x:c r="CQ59" s="7" t="str">
        <x:f>IF(OR($D59="",CQ$5="",'상세일정'!AM59="제외"),"",IF($D59=$E59,IF(AND($D59&gt;=CQ$5,$D59&lt;CQ$5+7),"◆",""),IF(AND($D59&lt;CQ$5+7,$E59&gt;CQ$5),"■","")))</x:f>
      </x:c>
      <x:c r="CR59" s="7" t="str">
        <x:f>IF(OR($D59="",CR$5="",'상세일정'!AM59="제외"),"",IF($D59=$E59,IF(AND($D59&gt;=CR$5,$D59&lt;CR$5+7),"◆",""),IF(AND($D59&lt;CR$5+7,$E59&gt;CR$5),"■","")))</x:f>
      </x:c>
      <x:c r="CS59" s="7" t="str">
        <x:f>IF(OR($D59="",CS$5="",'상세일정'!AM59="제외"),"",IF($D59=$E59,IF(AND($D59&gt;=CS$5,$D59&lt;CS$5+7),"◆",""),IF(AND($D59&lt;CS$5+7,$E59&gt;CS$5),"■","")))</x:f>
      </x:c>
      <x:c r="CT59" s="7" t="str">
        <x:f>IF(OR($D59="",CT$5="",'상세일정'!AM59="제외"),"",IF($D59=$E59,IF(AND($D59&gt;=CT$5,$D59&lt;CT$5+7),"◆",""),IF(AND($D59&lt;CT$5+7,$E59&gt;CT$5),"■","")))</x:f>
      </x:c>
      <x:c r="CU59" s="7" t="str">
        <x:f>IF(OR($D59="",CU$5="",'상세일정'!AM59="제외"),"",IF($D59=$E59,IF(AND($D59&gt;=CU$5,$D59&lt;CU$5+7),"◆",""),IF(AND($D59&lt;CU$5+7,$E59&gt;CU$5),"■","")))</x:f>
      </x:c>
      <x:c r="CV59" s="7" t="str">
        <x:f>IF(OR($D59="",CV$5="",'상세일정'!AM59="제외"),"",IF($D59=$E59,IF(AND($D59&gt;=CV$5,$D59&lt;CV$5+7),"◆",""),IF(AND($D59&lt;CV$5+7,$E59&gt;CV$5),"■","")))</x:f>
      </x:c>
      <x:c r="CW59" s="7" t="str">
        <x:f>IF(OR($D59="",CW$5="",'상세일정'!AM59="제외"),"",IF($D59=$E59,IF(AND($D59&gt;=CW$5,$D59&lt;CW$5+7),"◆",""),IF(AND($D59&lt;CW$5+7,$E59&gt;CW$5),"■","")))</x:f>
      </x:c>
      <x:c r="CX59" s="7" t="str">
        <x:f>IF(OR($D59="",CX$5="",'상세일정'!AM59="제외"),"",IF($D59=$E59,IF(AND($D59&gt;=CX$5,$D59&lt;CX$5+7),"◆",""),IF(AND($D59&lt;CX$5+7,$E59&gt;CX$5),"■","")))</x:f>
      </x:c>
      <x:c r="CY59" s="7" t="str">
        <x:f>IF(OR($D59="",CY$5="",'상세일정'!AM59="제외"),"",IF($D59=$E59,IF(AND($D59&gt;=CY$5,$D59&lt;CY$5+7),"◆",""),IF(AND($D59&lt;CY$5+7,$E59&gt;CY$5),"■","")))</x:f>
      </x:c>
      <x:c r="CZ59" s="7" t="str">
        <x:f>IF(OR($D59="",CZ$5="",'상세일정'!AM59="제외"),"",IF($D59=$E59,IF(AND($D59&gt;=CZ$5,$D59&lt;CZ$5+7),"◆",""),IF(AND($D59&lt;CZ$5+7,$E59&gt;CZ$5),"■","")))</x:f>
      </x:c>
      <x:c r="DA59" s="7" t="str">
        <x:f>IF(OR($D59="",DA$5="",'상세일정'!AM59="제외"),"",IF($D59=$E59,IF(AND($D59&gt;=DA$5,$D59&lt;DA$5+7),"◆",""),IF(AND($D59&lt;DA$5+7,$E59&gt;DA$5),"■","")))</x:f>
      </x:c>
      <x:c r="DB59" s="7" t="str">
        <x:f>IF(OR($D59="",DB$5="",'상세일정'!AM59="제외"),"",IF($D59=$E59,IF(AND($D59&gt;=DB$5,$D59&lt;DB$5+7),"◆",""),IF(AND($D59&lt;DB$5+7,$E59&gt;DB$5),"■","")))</x:f>
      </x:c>
      <x:c r="DC59" s="7" t="str">
        <x:f>IF(OR($D59="",DC$5="",'상세일정'!AM59="제외"),"",IF($D59=$E59,IF(AND($D59&gt;=DC$5,$D59&lt;DC$5+7),"◆",""),IF(AND($D59&lt;DC$5+7,$E59&gt;DC$5),"■","")))</x:f>
      </x:c>
      <x:c r="DD59" s="7" t="str">
        <x:f>IF(OR($D59="",DD$5="",'상세일정'!AM59="제외"),"",IF($D59=$E59,IF(AND($D59&gt;=DD$5,$D59&lt;DD$5+7),"◆",""),IF(AND($D59&lt;DD$5+7,$E59&gt;DD$5),"■","")))</x:f>
      </x:c>
      <x:c r="DE59" s="7" t="str">
        <x:f>IF(OR($D59="",DE$5="",'상세일정'!AM59="제외"),"",IF($D59=$E59,IF(AND($D59&gt;=DE$5,$D59&lt;DE$5+7),"◆",""),IF(AND($D59&lt;DE$5+7,$E59&gt;DE$5),"■","")))</x:f>
      </x:c>
    </x:row>
    <x:row r="60" ht="34" customHeight="1">
      <x:c r="A60" s="7" t="str">
        <x:v>EX01</x:v>
      </x:c>
      <x:c r="B60" s="7" t="str">
        <x:v>03 도시계획·실시계획</x:v>
      </x:c>
      <x:c r="C60" s="7" t="str">
        <x:v>실시계획인가·건축허가 의제 경로 확인</x:v>
      </x:c>
      <x:c r="D60" s="10" t="str">
        <x:f>'상세일정'!AJ60</x:f>
      </x:c>
      <x:c r="E60" s="10" t="str">
        <x:f>'상세일정'!AK60</x:f>
      </x:c>
      <x:c r="F60" s="7" t="str">
        <x:f>IF(OR($D60="",F$5="",'상세일정'!AM60="제외"),"",IF($D60=$E60,IF(AND($D60&gt;=F$5,$D60&lt;F$5+7),"◆",""),IF(AND($D60&lt;F$5+7,$E60&gt;F$5),"■","")))</x:f>
      </x:c>
      <x:c r="G60" s="7" t="str">
        <x:f>IF(OR($D60="",G$5="",'상세일정'!AM60="제외"),"",IF($D60=$E60,IF(AND($D60&gt;=G$5,$D60&lt;G$5+7),"◆",""),IF(AND($D60&lt;G$5+7,$E60&gt;G$5),"■","")))</x:f>
      </x:c>
      <x:c r="H60" s="7" t="str">
        <x:f>IF(OR($D60="",H$5="",'상세일정'!AM60="제외"),"",IF($D60=$E60,IF(AND($D60&gt;=H$5,$D60&lt;H$5+7),"◆",""),IF(AND($D60&lt;H$5+7,$E60&gt;H$5),"■","")))</x:f>
      </x:c>
      <x:c r="I60" s="7" t="str">
        <x:f>IF(OR($D60="",I$5="",'상세일정'!AM60="제외"),"",IF($D60=$E60,IF(AND($D60&gt;=I$5,$D60&lt;I$5+7),"◆",""),IF(AND($D60&lt;I$5+7,$E60&gt;I$5),"■","")))</x:f>
      </x:c>
      <x:c r="J60" s="7" t="str">
        <x:f>IF(OR($D60="",J$5="",'상세일정'!AM60="제외"),"",IF($D60=$E60,IF(AND($D60&gt;=J$5,$D60&lt;J$5+7),"◆",""),IF(AND($D60&lt;J$5+7,$E60&gt;J$5),"■","")))</x:f>
      </x:c>
      <x:c r="K60" s="7" t="str">
        <x:f>IF(OR($D60="",K$5="",'상세일정'!AM60="제외"),"",IF($D60=$E60,IF(AND($D60&gt;=K$5,$D60&lt;K$5+7),"◆",""),IF(AND($D60&lt;K$5+7,$E60&gt;K$5),"■","")))</x:f>
      </x:c>
      <x:c r="L60" s="7" t="str">
        <x:f>IF(OR($D60="",L$5="",'상세일정'!AM60="제외"),"",IF($D60=$E60,IF(AND($D60&gt;=L$5,$D60&lt;L$5+7),"◆",""),IF(AND($D60&lt;L$5+7,$E60&gt;L$5),"■","")))</x:f>
      </x:c>
      <x:c r="M60" s="7" t="str">
        <x:f>IF(OR($D60="",M$5="",'상세일정'!AM60="제외"),"",IF($D60=$E60,IF(AND($D60&gt;=M$5,$D60&lt;M$5+7),"◆",""),IF(AND($D60&lt;M$5+7,$E60&gt;M$5),"■","")))</x:f>
      </x:c>
      <x:c r="N60" s="7" t="str">
        <x:f>IF(OR($D60="",N$5="",'상세일정'!AM60="제외"),"",IF($D60=$E60,IF(AND($D60&gt;=N$5,$D60&lt;N$5+7),"◆",""),IF(AND($D60&lt;N$5+7,$E60&gt;N$5),"■","")))</x:f>
      </x:c>
      <x:c r="O60" s="7" t="str">
        <x:f>IF(OR($D60="",O$5="",'상세일정'!AM60="제외"),"",IF($D60=$E60,IF(AND($D60&gt;=O$5,$D60&lt;O$5+7),"◆",""),IF(AND($D60&lt;O$5+7,$E60&gt;O$5),"■","")))</x:f>
      </x:c>
      <x:c r="P60" s="7" t="str">
        <x:f>IF(OR($D60="",P$5="",'상세일정'!AM60="제외"),"",IF($D60=$E60,IF(AND($D60&gt;=P$5,$D60&lt;P$5+7),"◆",""),IF(AND($D60&lt;P$5+7,$E60&gt;P$5),"■","")))</x:f>
      </x:c>
      <x:c r="Q60" s="7" t="str">
        <x:f>IF(OR($D60="",Q$5="",'상세일정'!AM60="제외"),"",IF($D60=$E60,IF(AND($D60&gt;=Q$5,$D60&lt;Q$5+7),"◆",""),IF(AND($D60&lt;Q$5+7,$E60&gt;Q$5),"■","")))</x:f>
      </x:c>
      <x:c r="R60" s="7" t="str">
        <x:f>IF(OR($D60="",R$5="",'상세일정'!AM60="제외"),"",IF($D60=$E60,IF(AND($D60&gt;=R$5,$D60&lt;R$5+7),"◆",""),IF(AND($D60&lt;R$5+7,$E60&gt;R$5),"■","")))</x:f>
      </x:c>
      <x:c r="S60" s="7" t="str">
        <x:f>IF(OR($D60="",S$5="",'상세일정'!AM60="제외"),"",IF($D60=$E60,IF(AND($D60&gt;=S$5,$D60&lt;S$5+7),"◆",""),IF(AND($D60&lt;S$5+7,$E60&gt;S$5),"■","")))</x:f>
      </x:c>
      <x:c r="T60" s="7" t="str">
        <x:f>IF(OR($D60="",T$5="",'상세일정'!AM60="제외"),"",IF($D60=$E60,IF(AND($D60&gt;=T$5,$D60&lt;T$5+7),"◆",""),IF(AND($D60&lt;T$5+7,$E60&gt;T$5),"■","")))</x:f>
      </x:c>
      <x:c r="U60" s="7" t="str">
        <x:f>IF(OR($D60="",U$5="",'상세일정'!AM60="제외"),"",IF($D60=$E60,IF(AND($D60&gt;=U$5,$D60&lt;U$5+7),"◆",""),IF(AND($D60&lt;U$5+7,$E60&gt;U$5),"■","")))</x:f>
      </x:c>
      <x:c r="V60" s="7" t="str">
        <x:f>IF(OR($D60="",V$5="",'상세일정'!AM60="제외"),"",IF($D60=$E60,IF(AND($D60&gt;=V$5,$D60&lt;V$5+7),"◆",""),IF(AND($D60&lt;V$5+7,$E60&gt;V$5),"■","")))</x:f>
      </x:c>
      <x:c r="W60" s="7" t="str">
        <x:f>IF(OR($D60="",W$5="",'상세일정'!AM60="제외"),"",IF($D60=$E60,IF(AND($D60&gt;=W$5,$D60&lt;W$5+7),"◆",""),IF(AND($D60&lt;W$5+7,$E60&gt;W$5),"■","")))</x:f>
      </x:c>
      <x:c r="X60" s="7" t="str">
        <x:f>IF(OR($D60="",X$5="",'상세일정'!AM60="제외"),"",IF($D60=$E60,IF(AND($D60&gt;=X$5,$D60&lt;X$5+7),"◆",""),IF(AND($D60&lt;X$5+7,$E60&gt;X$5),"■","")))</x:f>
      </x:c>
      <x:c r="Y60" s="7" t="str">
        <x:f>IF(OR($D60="",Y$5="",'상세일정'!AM60="제외"),"",IF($D60=$E60,IF(AND($D60&gt;=Y$5,$D60&lt;Y$5+7),"◆",""),IF(AND($D60&lt;Y$5+7,$E60&gt;Y$5),"■","")))</x:f>
      </x:c>
      <x:c r="Z60" s="7" t="str">
        <x:f>IF(OR($D60="",Z$5="",'상세일정'!AM60="제외"),"",IF($D60=$E60,IF(AND($D60&gt;=Z$5,$D60&lt;Z$5+7),"◆",""),IF(AND($D60&lt;Z$5+7,$E60&gt;Z$5),"■","")))</x:f>
      </x:c>
      <x:c r="AA60" s="7" t="str">
        <x:f>IF(OR($D60="",AA$5="",'상세일정'!AM60="제외"),"",IF($D60=$E60,IF(AND($D60&gt;=AA$5,$D60&lt;AA$5+7),"◆",""),IF(AND($D60&lt;AA$5+7,$E60&gt;AA$5),"■","")))</x:f>
      </x:c>
      <x:c r="AB60" s="7" t="str">
        <x:f>IF(OR($D60="",AB$5="",'상세일정'!AM60="제외"),"",IF($D60=$E60,IF(AND($D60&gt;=AB$5,$D60&lt;AB$5+7),"◆",""),IF(AND($D60&lt;AB$5+7,$E60&gt;AB$5),"■","")))</x:f>
      </x:c>
      <x:c r="AC60" s="7" t="str">
        <x:f>IF(OR($D60="",AC$5="",'상세일정'!AM60="제외"),"",IF($D60=$E60,IF(AND($D60&gt;=AC$5,$D60&lt;AC$5+7),"◆",""),IF(AND($D60&lt;AC$5+7,$E60&gt;AC$5),"■","")))</x:f>
      </x:c>
      <x:c r="AD60" s="7" t="str">
        <x:f>IF(OR($D60="",AD$5="",'상세일정'!AM60="제외"),"",IF($D60=$E60,IF(AND($D60&gt;=AD$5,$D60&lt;AD$5+7),"◆",""),IF(AND($D60&lt;AD$5+7,$E60&gt;AD$5),"■","")))</x:f>
      </x:c>
      <x:c r="AE60" s="7" t="str">
        <x:f>IF(OR($D60="",AE$5="",'상세일정'!AM60="제외"),"",IF($D60=$E60,IF(AND($D60&gt;=AE$5,$D60&lt;AE$5+7),"◆",""),IF(AND($D60&lt;AE$5+7,$E60&gt;AE$5),"■","")))</x:f>
      </x:c>
      <x:c r="AF60" s="7" t="str">
        <x:f>IF(OR($D60="",AF$5="",'상세일정'!AM60="제외"),"",IF($D60=$E60,IF(AND($D60&gt;=AF$5,$D60&lt;AF$5+7),"◆",""),IF(AND($D60&lt;AF$5+7,$E60&gt;AF$5),"■","")))</x:f>
      </x:c>
      <x:c r="AG60" s="7" t="str">
        <x:f>IF(OR($D60="",AG$5="",'상세일정'!AM60="제외"),"",IF($D60=$E60,IF(AND($D60&gt;=AG$5,$D60&lt;AG$5+7),"◆",""),IF(AND($D60&lt;AG$5+7,$E60&gt;AG$5),"■","")))</x:f>
      </x:c>
      <x:c r="AH60" s="7" t="str">
        <x:f>IF(OR($D60="",AH$5="",'상세일정'!AM60="제외"),"",IF($D60=$E60,IF(AND($D60&gt;=AH$5,$D60&lt;AH$5+7),"◆",""),IF(AND($D60&lt;AH$5+7,$E60&gt;AH$5),"■","")))</x:f>
      </x:c>
      <x:c r="AI60" s="7" t="str">
        <x:f>IF(OR($D60="",AI$5="",'상세일정'!AM60="제외"),"",IF($D60=$E60,IF(AND($D60&gt;=AI$5,$D60&lt;AI$5+7),"◆",""),IF(AND($D60&lt;AI$5+7,$E60&gt;AI$5),"■","")))</x:f>
      </x:c>
      <x:c r="AJ60" s="7" t="str">
        <x:f>IF(OR($D60="",AJ$5="",'상세일정'!AM60="제외"),"",IF($D60=$E60,IF(AND($D60&gt;=AJ$5,$D60&lt;AJ$5+7),"◆",""),IF(AND($D60&lt;AJ$5+7,$E60&gt;AJ$5),"■","")))</x:f>
      </x:c>
      <x:c r="AK60" s="7" t="str">
        <x:f>IF(OR($D60="",AK$5="",'상세일정'!AM60="제외"),"",IF($D60=$E60,IF(AND($D60&gt;=AK$5,$D60&lt;AK$5+7),"◆",""),IF(AND($D60&lt;AK$5+7,$E60&gt;AK$5),"■","")))</x:f>
      </x:c>
      <x:c r="AL60" s="7" t="str">
        <x:f>IF(OR($D60="",AL$5="",'상세일정'!AM60="제외"),"",IF($D60=$E60,IF(AND($D60&gt;=AL$5,$D60&lt;AL$5+7),"◆",""),IF(AND($D60&lt;AL$5+7,$E60&gt;AL$5),"■","")))</x:f>
      </x:c>
      <x:c r="AM60" s="7" t="str">
        <x:f>IF(OR($D60="",AM$5="",'상세일정'!AM60="제외"),"",IF($D60=$E60,IF(AND($D60&gt;=AM$5,$D60&lt;AM$5+7),"◆",""),IF(AND($D60&lt;AM$5+7,$E60&gt;AM$5),"■","")))</x:f>
      </x:c>
      <x:c r="AN60" s="7" t="str">
        <x:f>IF(OR($D60="",AN$5="",'상세일정'!AM60="제외"),"",IF($D60=$E60,IF(AND($D60&gt;=AN$5,$D60&lt;AN$5+7),"◆",""),IF(AND($D60&lt;AN$5+7,$E60&gt;AN$5),"■","")))</x:f>
      </x:c>
      <x:c r="AO60" s="7" t="str">
        <x:f>IF(OR($D60="",AO$5="",'상세일정'!AM60="제외"),"",IF($D60=$E60,IF(AND($D60&gt;=AO$5,$D60&lt;AO$5+7),"◆",""),IF(AND($D60&lt;AO$5+7,$E60&gt;AO$5),"■","")))</x:f>
      </x:c>
      <x:c r="AP60" s="7" t="str">
        <x:f>IF(OR($D60="",AP$5="",'상세일정'!AM60="제외"),"",IF($D60=$E60,IF(AND($D60&gt;=AP$5,$D60&lt;AP$5+7),"◆",""),IF(AND($D60&lt;AP$5+7,$E60&gt;AP$5),"■","")))</x:f>
      </x:c>
      <x:c r="AQ60" s="7" t="str">
        <x:f>IF(OR($D60="",AQ$5="",'상세일정'!AM60="제외"),"",IF($D60=$E60,IF(AND($D60&gt;=AQ$5,$D60&lt;AQ$5+7),"◆",""),IF(AND($D60&lt;AQ$5+7,$E60&gt;AQ$5),"■","")))</x:f>
      </x:c>
      <x:c r="AR60" s="7" t="str">
        <x:f>IF(OR($D60="",AR$5="",'상세일정'!AM60="제외"),"",IF($D60=$E60,IF(AND($D60&gt;=AR$5,$D60&lt;AR$5+7),"◆",""),IF(AND($D60&lt;AR$5+7,$E60&gt;AR$5),"■","")))</x:f>
      </x:c>
      <x:c r="AS60" s="7" t="str">
        <x:f>IF(OR($D60="",AS$5="",'상세일정'!AM60="제외"),"",IF($D60=$E60,IF(AND($D60&gt;=AS$5,$D60&lt;AS$5+7),"◆",""),IF(AND($D60&lt;AS$5+7,$E60&gt;AS$5),"■","")))</x:f>
      </x:c>
      <x:c r="AT60" s="7" t="str">
        <x:f>IF(OR($D60="",AT$5="",'상세일정'!AM60="제외"),"",IF($D60=$E60,IF(AND($D60&gt;=AT$5,$D60&lt;AT$5+7),"◆",""),IF(AND($D60&lt;AT$5+7,$E60&gt;AT$5),"■","")))</x:f>
      </x:c>
      <x:c r="AU60" s="7" t="str">
        <x:f>IF(OR($D60="",AU$5="",'상세일정'!AM60="제외"),"",IF($D60=$E60,IF(AND($D60&gt;=AU$5,$D60&lt;AU$5+7),"◆",""),IF(AND($D60&lt;AU$5+7,$E60&gt;AU$5),"■","")))</x:f>
      </x:c>
      <x:c r="AV60" s="7" t="str">
        <x:f>IF(OR($D60="",AV$5="",'상세일정'!AM60="제외"),"",IF($D60=$E60,IF(AND($D60&gt;=AV$5,$D60&lt;AV$5+7),"◆",""),IF(AND($D60&lt;AV$5+7,$E60&gt;AV$5),"■","")))</x:f>
      </x:c>
      <x:c r="AW60" s="7" t="str">
        <x:f>IF(OR($D60="",AW$5="",'상세일정'!AM60="제외"),"",IF($D60=$E60,IF(AND($D60&gt;=AW$5,$D60&lt;AW$5+7),"◆",""),IF(AND($D60&lt;AW$5+7,$E60&gt;AW$5),"■","")))</x:f>
      </x:c>
      <x:c r="AX60" s="7" t="str">
        <x:f>IF(OR($D60="",AX$5="",'상세일정'!AM60="제외"),"",IF($D60=$E60,IF(AND($D60&gt;=AX$5,$D60&lt;AX$5+7),"◆",""),IF(AND($D60&lt;AX$5+7,$E60&gt;AX$5),"■","")))</x:f>
      </x:c>
      <x:c r="AY60" s="7" t="str">
        <x:f>IF(OR($D60="",AY$5="",'상세일정'!AM60="제외"),"",IF($D60=$E60,IF(AND($D60&gt;=AY$5,$D60&lt;AY$5+7),"◆",""),IF(AND($D60&lt;AY$5+7,$E60&gt;AY$5),"■","")))</x:f>
      </x:c>
      <x:c r="AZ60" s="7" t="str">
        <x:f>IF(OR($D60="",AZ$5="",'상세일정'!AM60="제외"),"",IF($D60=$E60,IF(AND($D60&gt;=AZ$5,$D60&lt;AZ$5+7),"◆",""),IF(AND($D60&lt;AZ$5+7,$E60&gt;AZ$5),"■","")))</x:f>
      </x:c>
      <x:c r="BA60" s="7" t="str">
        <x:f>IF(OR($D60="",BA$5="",'상세일정'!AM60="제외"),"",IF($D60=$E60,IF(AND($D60&gt;=BA$5,$D60&lt;BA$5+7),"◆",""),IF(AND($D60&lt;BA$5+7,$E60&gt;BA$5),"■","")))</x:f>
      </x:c>
      <x:c r="BB60" s="7" t="str">
        <x:f>IF(OR($D60="",BB$5="",'상세일정'!AM60="제외"),"",IF($D60=$E60,IF(AND($D60&gt;=BB$5,$D60&lt;BB$5+7),"◆",""),IF(AND($D60&lt;BB$5+7,$E60&gt;BB$5),"■","")))</x:f>
      </x:c>
      <x:c r="BC60" s="7" t="str">
        <x:f>IF(OR($D60="",BC$5="",'상세일정'!AM60="제외"),"",IF($D60=$E60,IF(AND($D60&gt;=BC$5,$D60&lt;BC$5+7),"◆",""),IF(AND($D60&lt;BC$5+7,$E60&gt;BC$5),"■","")))</x:f>
      </x:c>
      <x:c r="BD60" s="7" t="str">
        <x:f>IF(OR($D60="",BD$5="",'상세일정'!AM60="제외"),"",IF($D60=$E60,IF(AND($D60&gt;=BD$5,$D60&lt;BD$5+7),"◆",""),IF(AND($D60&lt;BD$5+7,$E60&gt;BD$5),"■","")))</x:f>
      </x:c>
      <x:c r="BE60" s="7" t="str">
        <x:f>IF(OR($D60="",BE$5="",'상세일정'!AM60="제외"),"",IF($D60=$E60,IF(AND($D60&gt;=BE$5,$D60&lt;BE$5+7),"◆",""),IF(AND($D60&lt;BE$5+7,$E60&gt;BE$5),"■","")))</x:f>
      </x:c>
      <x:c r="BF60" s="7" t="str">
        <x:f>IF(OR($D60="",BF$5="",'상세일정'!AM60="제외"),"",IF($D60=$E60,IF(AND($D60&gt;=BF$5,$D60&lt;BF$5+7),"◆",""),IF(AND($D60&lt;BF$5+7,$E60&gt;BF$5),"■","")))</x:f>
      </x:c>
      <x:c r="BG60" s="7" t="str">
        <x:f>IF(OR($D60="",BG$5="",'상세일정'!AM60="제외"),"",IF($D60=$E60,IF(AND($D60&gt;=BG$5,$D60&lt;BG$5+7),"◆",""),IF(AND($D60&lt;BG$5+7,$E60&gt;BG$5),"■","")))</x:f>
      </x:c>
      <x:c r="BH60" s="7" t="str">
        <x:f>IF(OR($D60="",BH$5="",'상세일정'!AM60="제외"),"",IF($D60=$E60,IF(AND($D60&gt;=BH$5,$D60&lt;BH$5+7),"◆",""),IF(AND($D60&lt;BH$5+7,$E60&gt;BH$5),"■","")))</x:f>
      </x:c>
      <x:c r="BI60" s="7" t="str">
        <x:f>IF(OR($D60="",BI$5="",'상세일정'!AM60="제외"),"",IF($D60=$E60,IF(AND($D60&gt;=BI$5,$D60&lt;BI$5+7),"◆",""),IF(AND($D60&lt;BI$5+7,$E60&gt;BI$5),"■","")))</x:f>
      </x:c>
      <x:c r="BJ60" s="7" t="str">
        <x:f>IF(OR($D60="",BJ$5="",'상세일정'!AM60="제외"),"",IF($D60=$E60,IF(AND($D60&gt;=BJ$5,$D60&lt;BJ$5+7),"◆",""),IF(AND($D60&lt;BJ$5+7,$E60&gt;BJ$5),"■","")))</x:f>
      </x:c>
      <x:c r="BK60" s="7" t="str">
        <x:f>IF(OR($D60="",BK$5="",'상세일정'!AM60="제외"),"",IF($D60=$E60,IF(AND($D60&gt;=BK$5,$D60&lt;BK$5+7),"◆",""),IF(AND($D60&lt;BK$5+7,$E60&gt;BK$5),"■","")))</x:f>
      </x:c>
      <x:c r="BL60" s="7" t="str">
        <x:f>IF(OR($D60="",BL$5="",'상세일정'!AM60="제외"),"",IF($D60=$E60,IF(AND($D60&gt;=BL$5,$D60&lt;BL$5+7),"◆",""),IF(AND($D60&lt;BL$5+7,$E60&gt;BL$5),"■","")))</x:f>
      </x:c>
      <x:c r="BM60" s="7" t="str">
        <x:f>IF(OR($D60="",BM$5="",'상세일정'!AM60="제외"),"",IF($D60=$E60,IF(AND($D60&gt;=BM$5,$D60&lt;BM$5+7),"◆",""),IF(AND($D60&lt;BM$5+7,$E60&gt;BM$5),"■","")))</x:f>
      </x:c>
      <x:c r="BN60" s="7" t="str">
        <x:f>IF(OR($D60="",BN$5="",'상세일정'!AM60="제외"),"",IF($D60=$E60,IF(AND($D60&gt;=BN$5,$D60&lt;BN$5+7),"◆",""),IF(AND($D60&lt;BN$5+7,$E60&gt;BN$5),"■","")))</x:f>
      </x:c>
      <x:c r="BO60" s="7" t="str">
        <x:f>IF(OR($D60="",BO$5="",'상세일정'!AM60="제외"),"",IF($D60=$E60,IF(AND($D60&gt;=BO$5,$D60&lt;BO$5+7),"◆",""),IF(AND($D60&lt;BO$5+7,$E60&gt;BO$5),"■","")))</x:f>
      </x:c>
      <x:c r="BP60" s="7" t="str">
        <x:f>IF(OR($D60="",BP$5="",'상세일정'!AM60="제외"),"",IF($D60=$E60,IF(AND($D60&gt;=BP$5,$D60&lt;BP$5+7),"◆",""),IF(AND($D60&lt;BP$5+7,$E60&gt;BP$5),"■","")))</x:f>
      </x:c>
      <x:c r="BQ60" s="7" t="str">
        <x:f>IF(OR($D60="",BQ$5="",'상세일정'!AM60="제외"),"",IF($D60=$E60,IF(AND($D60&gt;=BQ$5,$D60&lt;BQ$5+7),"◆",""),IF(AND($D60&lt;BQ$5+7,$E60&gt;BQ$5),"■","")))</x:f>
      </x:c>
      <x:c r="BR60" s="7" t="str">
        <x:f>IF(OR($D60="",BR$5="",'상세일정'!AM60="제외"),"",IF($D60=$E60,IF(AND($D60&gt;=BR$5,$D60&lt;BR$5+7),"◆",""),IF(AND($D60&lt;BR$5+7,$E60&gt;BR$5),"■","")))</x:f>
      </x:c>
      <x:c r="BS60" s="7" t="str">
        <x:f>IF(OR($D60="",BS$5="",'상세일정'!AM60="제외"),"",IF($D60=$E60,IF(AND($D60&gt;=BS$5,$D60&lt;BS$5+7),"◆",""),IF(AND($D60&lt;BS$5+7,$E60&gt;BS$5),"■","")))</x:f>
      </x:c>
      <x:c r="BT60" s="7" t="str">
        <x:f>IF(OR($D60="",BT$5="",'상세일정'!AM60="제외"),"",IF($D60=$E60,IF(AND($D60&gt;=BT$5,$D60&lt;BT$5+7),"◆",""),IF(AND($D60&lt;BT$5+7,$E60&gt;BT$5),"■","")))</x:f>
      </x:c>
      <x:c r="BU60" s="7" t="str">
        <x:f>IF(OR($D60="",BU$5="",'상세일정'!AM60="제외"),"",IF($D60=$E60,IF(AND($D60&gt;=BU$5,$D60&lt;BU$5+7),"◆",""),IF(AND($D60&lt;BU$5+7,$E60&gt;BU$5),"■","")))</x:f>
      </x:c>
      <x:c r="BV60" s="7" t="str">
        <x:f>IF(OR($D60="",BV$5="",'상세일정'!AM60="제외"),"",IF($D60=$E60,IF(AND($D60&gt;=BV$5,$D60&lt;BV$5+7),"◆",""),IF(AND($D60&lt;BV$5+7,$E60&gt;BV$5),"■","")))</x:f>
      </x:c>
      <x:c r="BW60" s="7" t="str">
        <x:f>IF(OR($D60="",BW$5="",'상세일정'!AM60="제외"),"",IF($D60=$E60,IF(AND($D60&gt;=BW$5,$D60&lt;BW$5+7),"◆",""),IF(AND($D60&lt;BW$5+7,$E60&gt;BW$5),"■","")))</x:f>
      </x:c>
      <x:c r="BX60" s="7" t="str">
        <x:f>IF(OR($D60="",BX$5="",'상세일정'!AM60="제외"),"",IF($D60=$E60,IF(AND($D60&gt;=BX$5,$D60&lt;BX$5+7),"◆",""),IF(AND($D60&lt;BX$5+7,$E60&gt;BX$5),"■","")))</x:f>
      </x:c>
      <x:c r="BY60" s="7" t="str">
        <x:f>IF(OR($D60="",BY$5="",'상세일정'!AM60="제외"),"",IF($D60=$E60,IF(AND($D60&gt;=BY$5,$D60&lt;BY$5+7),"◆",""),IF(AND($D60&lt;BY$5+7,$E60&gt;BY$5),"■","")))</x:f>
      </x:c>
      <x:c r="BZ60" s="7" t="str">
        <x:f>IF(OR($D60="",BZ$5="",'상세일정'!AM60="제외"),"",IF($D60=$E60,IF(AND($D60&gt;=BZ$5,$D60&lt;BZ$5+7),"◆",""),IF(AND($D60&lt;BZ$5+7,$E60&gt;BZ$5),"■","")))</x:f>
      </x:c>
      <x:c r="CA60" s="7" t="str">
        <x:f>IF(OR($D60="",CA$5="",'상세일정'!AM60="제외"),"",IF($D60=$E60,IF(AND($D60&gt;=CA$5,$D60&lt;CA$5+7),"◆",""),IF(AND($D60&lt;CA$5+7,$E60&gt;CA$5),"■","")))</x:f>
      </x:c>
      <x:c r="CB60" s="7" t="str">
        <x:f>IF(OR($D60="",CB$5="",'상세일정'!AM60="제외"),"",IF($D60=$E60,IF(AND($D60&gt;=CB$5,$D60&lt;CB$5+7),"◆",""),IF(AND($D60&lt;CB$5+7,$E60&gt;CB$5),"■","")))</x:f>
      </x:c>
      <x:c r="CC60" s="7" t="str">
        <x:f>IF(OR($D60="",CC$5="",'상세일정'!AM60="제외"),"",IF($D60=$E60,IF(AND($D60&gt;=CC$5,$D60&lt;CC$5+7),"◆",""),IF(AND($D60&lt;CC$5+7,$E60&gt;CC$5),"■","")))</x:f>
      </x:c>
      <x:c r="CD60" s="7" t="str">
        <x:f>IF(OR($D60="",CD$5="",'상세일정'!AM60="제외"),"",IF($D60=$E60,IF(AND($D60&gt;=CD$5,$D60&lt;CD$5+7),"◆",""),IF(AND($D60&lt;CD$5+7,$E60&gt;CD$5),"■","")))</x:f>
      </x:c>
      <x:c r="CE60" s="7" t="str">
        <x:f>IF(OR($D60="",CE$5="",'상세일정'!AM60="제외"),"",IF($D60=$E60,IF(AND($D60&gt;=CE$5,$D60&lt;CE$5+7),"◆",""),IF(AND($D60&lt;CE$5+7,$E60&gt;CE$5),"■","")))</x:f>
      </x:c>
      <x:c r="CF60" s="7" t="str">
        <x:f>IF(OR($D60="",CF$5="",'상세일정'!AM60="제외"),"",IF($D60=$E60,IF(AND($D60&gt;=CF$5,$D60&lt;CF$5+7),"◆",""),IF(AND($D60&lt;CF$5+7,$E60&gt;CF$5),"■","")))</x:f>
      </x:c>
      <x:c r="CG60" s="7" t="str">
        <x:f>IF(OR($D60="",CG$5="",'상세일정'!AM60="제외"),"",IF($D60=$E60,IF(AND($D60&gt;=CG$5,$D60&lt;CG$5+7),"◆",""),IF(AND($D60&lt;CG$5+7,$E60&gt;CG$5),"■","")))</x:f>
      </x:c>
      <x:c r="CH60" s="7" t="str">
        <x:f>IF(OR($D60="",CH$5="",'상세일정'!AM60="제외"),"",IF($D60=$E60,IF(AND($D60&gt;=CH$5,$D60&lt;CH$5+7),"◆",""),IF(AND($D60&lt;CH$5+7,$E60&gt;CH$5),"■","")))</x:f>
      </x:c>
      <x:c r="CI60" s="7" t="str">
        <x:f>IF(OR($D60="",CI$5="",'상세일정'!AM60="제외"),"",IF($D60=$E60,IF(AND($D60&gt;=CI$5,$D60&lt;CI$5+7),"◆",""),IF(AND($D60&lt;CI$5+7,$E60&gt;CI$5),"■","")))</x:f>
      </x:c>
      <x:c r="CJ60" s="7" t="str">
        <x:f>IF(OR($D60="",CJ$5="",'상세일정'!AM60="제외"),"",IF($D60=$E60,IF(AND($D60&gt;=CJ$5,$D60&lt;CJ$5+7),"◆",""),IF(AND($D60&lt;CJ$5+7,$E60&gt;CJ$5),"■","")))</x:f>
      </x:c>
      <x:c r="CK60" s="7" t="str">
        <x:f>IF(OR($D60="",CK$5="",'상세일정'!AM60="제외"),"",IF($D60=$E60,IF(AND($D60&gt;=CK$5,$D60&lt;CK$5+7),"◆",""),IF(AND($D60&lt;CK$5+7,$E60&gt;CK$5),"■","")))</x:f>
      </x:c>
      <x:c r="CL60" s="7" t="str">
        <x:f>IF(OR($D60="",CL$5="",'상세일정'!AM60="제외"),"",IF($D60=$E60,IF(AND($D60&gt;=CL$5,$D60&lt;CL$5+7),"◆",""),IF(AND($D60&lt;CL$5+7,$E60&gt;CL$5),"■","")))</x:f>
      </x:c>
      <x:c r="CM60" s="7" t="str">
        <x:f>IF(OR($D60="",CM$5="",'상세일정'!AM60="제외"),"",IF($D60=$E60,IF(AND($D60&gt;=CM$5,$D60&lt;CM$5+7),"◆",""),IF(AND($D60&lt;CM$5+7,$E60&gt;CM$5),"■","")))</x:f>
      </x:c>
      <x:c r="CN60" s="7" t="str">
        <x:f>IF(OR($D60="",CN$5="",'상세일정'!AM60="제외"),"",IF($D60=$E60,IF(AND($D60&gt;=CN$5,$D60&lt;CN$5+7),"◆",""),IF(AND($D60&lt;CN$5+7,$E60&gt;CN$5),"■","")))</x:f>
      </x:c>
      <x:c r="CO60" s="7" t="str">
        <x:f>IF(OR($D60="",CO$5="",'상세일정'!AM60="제외"),"",IF($D60=$E60,IF(AND($D60&gt;=CO$5,$D60&lt;CO$5+7),"◆",""),IF(AND($D60&lt;CO$5+7,$E60&gt;CO$5),"■","")))</x:f>
      </x:c>
      <x:c r="CP60" s="7" t="str">
        <x:f>IF(OR($D60="",CP$5="",'상세일정'!AM60="제외"),"",IF($D60=$E60,IF(AND($D60&gt;=CP$5,$D60&lt;CP$5+7),"◆",""),IF(AND($D60&lt;CP$5+7,$E60&gt;CP$5),"■","")))</x:f>
      </x:c>
      <x:c r="CQ60" s="7" t="str">
        <x:f>IF(OR($D60="",CQ$5="",'상세일정'!AM60="제외"),"",IF($D60=$E60,IF(AND($D60&gt;=CQ$5,$D60&lt;CQ$5+7),"◆",""),IF(AND($D60&lt;CQ$5+7,$E60&gt;CQ$5),"■","")))</x:f>
      </x:c>
      <x:c r="CR60" s="7" t="str">
        <x:f>IF(OR($D60="",CR$5="",'상세일정'!AM60="제외"),"",IF($D60=$E60,IF(AND($D60&gt;=CR$5,$D60&lt;CR$5+7),"◆",""),IF(AND($D60&lt;CR$5+7,$E60&gt;CR$5),"■","")))</x:f>
      </x:c>
      <x:c r="CS60" s="7" t="str">
        <x:f>IF(OR($D60="",CS$5="",'상세일정'!AM60="제외"),"",IF($D60=$E60,IF(AND($D60&gt;=CS$5,$D60&lt;CS$5+7),"◆",""),IF(AND($D60&lt;CS$5+7,$E60&gt;CS$5),"■","")))</x:f>
      </x:c>
      <x:c r="CT60" s="7" t="str">
        <x:f>IF(OR($D60="",CT$5="",'상세일정'!AM60="제외"),"",IF($D60=$E60,IF(AND($D60&gt;=CT$5,$D60&lt;CT$5+7),"◆",""),IF(AND($D60&lt;CT$5+7,$E60&gt;CT$5),"■","")))</x:f>
      </x:c>
      <x:c r="CU60" s="7" t="str">
        <x:f>IF(OR($D60="",CU$5="",'상세일정'!AM60="제외"),"",IF($D60=$E60,IF(AND($D60&gt;=CU$5,$D60&lt;CU$5+7),"◆",""),IF(AND($D60&lt;CU$5+7,$E60&gt;CU$5),"■","")))</x:f>
      </x:c>
      <x:c r="CV60" s="7" t="str">
        <x:f>IF(OR($D60="",CV$5="",'상세일정'!AM60="제외"),"",IF($D60=$E60,IF(AND($D60&gt;=CV$5,$D60&lt;CV$5+7),"◆",""),IF(AND($D60&lt;CV$5+7,$E60&gt;CV$5),"■","")))</x:f>
      </x:c>
      <x:c r="CW60" s="7" t="str">
        <x:f>IF(OR($D60="",CW$5="",'상세일정'!AM60="제외"),"",IF($D60=$E60,IF(AND($D60&gt;=CW$5,$D60&lt;CW$5+7),"◆",""),IF(AND($D60&lt;CW$5+7,$E60&gt;CW$5),"■","")))</x:f>
      </x:c>
      <x:c r="CX60" s="7" t="str">
        <x:f>IF(OR($D60="",CX$5="",'상세일정'!AM60="제외"),"",IF($D60=$E60,IF(AND($D60&gt;=CX$5,$D60&lt;CX$5+7),"◆",""),IF(AND($D60&lt;CX$5+7,$E60&gt;CX$5),"■","")))</x:f>
      </x:c>
      <x:c r="CY60" s="7" t="str">
        <x:f>IF(OR($D60="",CY$5="",'상세일정'!AM60="제외"),"",IF($D60=$E60,IF(AND($D60&gt;=CY$5,$D60&lt;CY$5+7),"◆",""),IF(AND($D60&lt;CY$5+7,$E60&gt;CY$5),"■","")))</x:f>
      </x:c>
      <x:c r="CZ60" s="7" t="str">
        <x:f>IF(OR($D60="",CZ$5="",'상세일정'!AM60="제외"),"",IF($D60=$E60,IF(AND($D60&gt;=CZ$5,$D60&lt;CZ$5+7),"◆",""),IF(AND($D60&lt;CZ$5+7,$E60&gt;CZ$5),"■","")))</x:f>
      </x:c>
      <x:c r="DA60" s="7" t="str">
        <x:f>IF(OR($D60="",DA$5="",'상세일정'!AM60="제외"),"",IF($D60=$E60,IF(AND($D60&gt;=DA$5,$D60&lt;DA$5+7),"◆",""),IF(AND($D60&lt;DA$5+7,$E60&gt;DA$5),"■","")))</x:f>
      </x:c>
      <x:c r="DB60" s="7" t="str">
        <x:f>IF(OR($D60="",DB$5="",'상세일정'!AM60="제외"),"",IF($D60=$E60,IF(AND($D60&gt;=DB$5,$D60&lt;DB$5+7),"◆",""),IF(AND($D60&lt;DB$5+7,$E60&gt;DB$5),"■","")))</x:f>
      </x:c>
      <x:c r="DC60" s="7" t="str">
        <x:f>IF(OR($D60="",DC$5="",'상세일정'!AM60="제외"),"",IF($D60=$E60,IF(AND($D60&gt;=DC$5,$D60&lt;DC$5+7),"◆",""),IF(AND($D60&lt;DC$5+7,$E60&gt;DC$5),"■","")))</x:f>
      </x:c>
      <x:c r="DD60" s="7" t="str">
        <x:f>IF(OR($D60="",DD$5="",'상세일정'!AM60="제외"),"",IF($D60=$E60,IF(AND($D60&gt;=DD$5,$D60&lt;DD$5+7),"◆",""),IF(AND($D60&lt;DD$5+7,$E60&gt;DD$5),"■","")))</x:f>
      </x:c>
      <x:c r="DE60" s="7" t="str">
        <x:f>IF(OR($D60="",DE$5="",'상세일정'!AM60="제외"),"",IF($D60=$E60,IF(AND($D60&gt;=DE$5,$D60&lt;DE$5+7),"◆",""),IF(AND($D60&lt;DE$5+7,$E60&gt;DE$5),"■","")))</x:f>
      </x:c>
    </x:row>
    <x:row r="61" ht="34" customHeight="1">
      <x:c r="A61" s="7" t="str">
        <x:v>EX02</x:v>
      </x:c>
      <x:c r="B61" s="7" t="str">
        <x:v>03 도시계획·실시계획</x:v>
      </x:c>
      <x:c r="C61" s="7" t="str">
        <x:v>실시설계도서·협의조서·변경사유 취합</x:v>
      </x:c>
      <x:c r="D61" s="10" t="str">
        <x:f>'상세일정'!AJ61</x:f>
      </x:c>
      <x:c r="E61" s="10" t="str">
        <x:f>'상세일정'!AK61</x:f>
      </x:c>
      <x:c r="F61" s="7" t="str">
        <x:f>IF(OR($D61="",F$5="",'상세일정'!AM61="제외"),"",IF($D61=$E61,IF(AND($D61&gt;=F$5,$D61&lt;F$5+7),"◆",""),IF(AND($D61&lt;F$5+7,$E61&gt;F$5),"■","")))</x:f>
      </x:c>
      <x:c r="G61" s="7" t="str">
        <x:f>IF(OR($D61="",G$5="",'상세일정'!AM61="제외"),"",IF($D61=$E61,IF(AND($D61&gt;=G$5,$D61&lt;G$5+7),"◆",""),IF(AND($D61&lt;G$5+7,$E61&gt;G$5),"■","")))</x:f>
      </x:c>
      <x:c r="H61" s="7" t="str">
        <x:f>IF(OR($D61="",H$5="",'상세일정'!AM61="제외"),"",IF($D61=$E61,IF(AND($D61&gt;=H$5,$D61&lt;H$5+7),"◆",""),IF(AND($D61&lt;H$5+7,$E61&gt;H$5),"■","")))</x:f>
      </x:c>
      <x:c r="I61" s="7" t="str">
        <x:f>IF(OR($D61="",I$5="",'상세일정'!AM61="제외"),"",IF($D61=$E61,IF(AND($D61&gt;=I$5,$D61&lt;I$5+7),"◆",""),IF(AND($D61&lt;I$5+7,$E61&gt;I$5),"■","")))</x:f>
      </x:c>
      <x:c r="J61" s="7" t="str">
        <x:f>IF(OR($D61="",J$5="",'상세일정'!AM61="제외"),"",IF($D61=$E61,IF(AND($D61&gt;=J$5,$D61&lt;J$5+7),"◆",""),IF(AND($D61&lt;J$5+7,$E61&gt;J$5),"■","")))</x:f>
      </x:c>
      <x:c r="K61" s="7" t="str">
        <x:f>IF(OR($D61="",K$5="",'상세일정'!AM61="제외"),"",IF($D61=$E61,IF(AND($D61&gt;=K$5,$D61&lt;K$5+7),"◆",""),IF(AND($D61&lt;K$5+7,$E61&gt;K$5),"■","")))</x:f>
      </x:c>
      <x:c r="L61" s="7" t="str">
        <x:f>IF(OR($D61="",L$5="",'상세일정'!AM61="제외"),"",IF($D61=$E61,IF(AND($D61&gt;=L$5,$D61&lt;L$5+7),"◆",""),IF(AND($D61&lt;L$5+7,$E61&gt;L$5),"■","")))</x:f>
      </x:c>
      <x:c r="M61" s="7" t="str">
        <x:f>IF(OR($D61="",M$5="",'상세일정'!AM61="제외"),"",IF($D61=$E61,IF(AND($D61&gt;=M$5,$D61&lt;M$5+7),"◆",""),IF(AND($D61&lt;M$5+7,$E61&gt;M$5),"■","")))</x:f>
      </x:c>
      <x:c r="N61" s="7" t="str">
        <x:f>IF(OR($D61="",N$5="",'상세일정'!AM61="제외"),"",IF($D61=$E61,IF(AND($D61&gt;=N$5,$D61&lt;N$5+7),"◆",""),IF(AND($D61&lt;N$5+7,$E61&gt;N$5),"■","")))</x:f>
      </x:c>
      <x:c r="O61" s="7" t="str">
        <x:f>IF(OR($D61="",O$5="",'상세일정'!AM61="제외"),"",IF($D61=$E61,IF(AND($D61&gt;=O$5,$D61&lt;O$5+7),"◆",""),IF(AND($D61&lt;O$5+7,$E61&gt;O$5),"■","")))</x:f>
      </x:c>
      <x:c r="P61" s="7" t="str">
        <x:f>IF(OR($D61="",P$5="",'상세일정'!AM61="제외"),"",IF($D61=$E61,IF(AND($D61&gt;=P$5,$D61&lt;P$5+7),"◆",""),IF(AND($D61&lt;P$5+7,$E61&gt;P$5),"■","")))</x:f>
      </x:c>
      <x:c r="Q61" s="7" t="str">
        <x:f>IF(OR($D61="",Q$5="",'상세일정'!AM61="제외"),"",IF($D61=$E61,IF(AND($D61&gt;=Q$5,$D61&lt;Q$5+7),"◆",""),IF(AND($D61&lt;Q$5+7,$E61&gt;Q$5),"■","")))</x:f>
      </x:c>
      <x:c r="R61" s="7" t="str">
        <x:f>IF(OR($D61="",R$5="",'상세일정'!AM61="제외"),"",IF($D61=$E61,IF(AND($D61&gt;=R$5,$D61&lt;R$5+7),"◆",""),IF(AND($D61&lt;R$5+7,$E61&gt;R$5),"■","")))</x:f>
      </x:c>
      <x:c r="S61" s="7" t="str">
        <x:f>IF(OR($D61="",S$5="",'상세일정'!AM61="제외"),"",IF($D61=$E61,IF(AND($D61&gt;=S$5,$D61&lt;S$5+7),"◆",""),IF(AND($D61&lt;S$5+7,$E61&gt;S$5),"■","")))</x:f>
      </x:c>
      <x:c r="T61" s="7" t="str">
        <x:f>IF(OR($D61="",T$5="",'상세일정'!AM61="제외"),"",IF($D61=$E61,IF(AND($D61&gt;=T$5,$D61&lt;T$5+7),"◆",""),IF(AND($D61&lt;T$5+7,$E61&gt;T$5),"■","")))</x:f>
      </x:c>
      <x:c r="U61" s="7" t="str">
        <x:f>IF(OR($D61="",U$5="",'상세일정'!AM61="제외"),"",IF($D61=$E61,IF(AND($D61&gt;=U$5,$D61&lt;U$5+7),"◆",""),IF(AND($D61&lt;U$5+7,$E61&gt;U$5),"■","")))</x:f>
      </x:c>
      <x:c r="V61" s="7" t="str">
        <x:f>IF(OR($D61="",V$5="",'상세일정'!AM61="제외"),"",IF($D61=$E61,IF(AND($D61&gt;=V$5,$D61&lt;V$5+7),"◆",""),IF(AND($D61&lt;V$5+7,$E61&gt;V$5),"■","")))</x:f>
      </x:c>
      <x:c r="W61" s="7" t="str">
        <x:f>IF(OR($D61="",W$5="",'상세일정'!AM61="제외"),"",IF($D61=$E61,IF(AND($D61&gt;=W$5,$D61&lt;W$5+7),"◆",""),IF(AND($D61&lt;W$5+7,$E61&gt;W$5),"■","")))</x:f>
      </x:c>
      <x:c r="X61" s="7" t="str">
        <x:f>IF(OR($D61="",X$5="",'상세일정'!AM61="제외"),"",IF($D61=$E61,IF(AND($D61&gt;=X$5,$D61&lt;X$5+7),"◆",""),IF(AND($D61&lt;X$5+7,$E61&gt;X$5),"■","")))</x:f>
      </x:c>
      <x:c r="Y61" s="7" t="str">
        <x:f>IF(OR($D61="",Y$5="",'상세일정'!AM61="제외"),"",IF($D61=$E61,IF(AND($D61&gt;=Y$5,$D61&lt;Y$5+7),"◆",""),IF(AND($D61&lt;Y$5+7,$E61&gt;Y$5),"■","")))</x:f>
      </x:c>
      <x:c r="Z61" s="7" t="str">
        <x:f>IF(OR($D61="",Z$5="",'상세일정'!AM61="제외"),"",IF($D61=$E61,IF(AND($D61&gt;=Z$5,$D61&lt;Z$5+7),"◆",""),IF(AND($D61&lt;Z$5+7,$E61&gt;Z$5),"■","")))</x:f>
      </x:c>
      <x:c r="AA61" s="7" t="str">
        <x:f>IF(OR($D61="",AA$5="",'상세일정'!AM61="제외"),"",IF($D61=$E61,IF(AND($D61&gt;=AA$5,$D61&lt;AA$5+7),"◆",""),IF(AND($D61&lt;AA$5+7,$E61&gt;AA$5),"■","")))</x:f>
      </x:c>
      <x:c r="AB61" s="7" t="str">
        <x:f>IF(OR($D61="",AB$5="",'상세일정'!AM61="제외"),"",IF($D61=$E61,IF(AND($D61&gt;=AB$5,$D61&lt;AB$5+7),"◆",""),IF(AND($D61&lt;AB$5+7,$E61&gt;AB$5),"■","")))</x:f>
      </x:c>
      <x:c r="AC61" s="7" t="str">
        <x:f>IF(OR($D61="",AC$5="",'상세일정'!AM61="제외"),"",IF($D61=$E61,IF(AND($D61&gt;=AC$5,$D61&lt;AC$5+7),"◆",""),IF(AND($D61&lt;AC$5+7,$E61&gt;AC$5),"■","")))</x:f>
      </x:c>
      <x:c r="AD61" s="7" t="str">
        <x:f>IF(OR($D61="",AD$5="",'상세일정'!AM61="제외"),"",IF($D61=$E61,IF(AND($D61&gt;=AD$5,$D61&lt;AD$5+7),"◆",""),IF(AND($D61&lt;AD$5+7,$E61&gt;AD$5),"■","")))</x:f>
      </x:c>
      <x:c r="AE61" s="7" t="str">
        <x:f>IF(OR($D61="",AE$5="",'상세일정'!AM61="제외"),"",IF($D61=$E61,IF(AND($D61&gt;=AE$5,$D61&lt;AE$5+7),"◆",""),IF(AND($D61&lt;AE$5+7,$E61&gt;AE$5),"■","")))</x:f>
      </x:c>
      <x:c r="AF61" s="7" t="str">
        <x:f>IF(OR($D61="",AF$5="",'상세일정'!AM61="제외"),"",IF($D61=$E61,IF(AND($D61&gt;=AF$5,$D61&lt;AF$5+7),"◆",""),IF(AND($D61&lt;AF$5+7,$E61&gt;AF$5),"■","")))</x:f>
      </x:c>
      <x:c r="AG61" s="7" t="str">
        <x:f>IF(OR($D61="",AG$5="",'상세일정'!AM61="제외"),"",IF($D61=$E61,IF(AND($D61&gt;=AG$5,$D61&lt;AG$5+7),"◆",""),IF(AND($D61&lt;AG$5+7,$E61&gt;AG$5),"■","")))</x:f>
      </x:c>
      <x:c r="AH61" s="7" t="str">
        <x:f>IF(OR($D61="",AH$5="",'상세일정'!AM61="제외"),"",IF($D61=$E61,IF(AND($D61&gt;=AH$5,$D61&lt;AH$5+7),"◆",""),IF(AND($D61&lt;AH$5+7,$E61&gt;AH$5),"■","")))</x:f>
      </x:c>
      <x:c r="AI61" s="7" t="str">
        <x:f>IF(OR($D61="",AI$5="",'상세일정'!AM61="제외"),"",IF($D61=$E61,IF(AND($D61&gt;=AI$5,$D61&lt;AI$5+7),"◆",""),IF(AND($D61&lt;AI$5+7,$E61&gt;AI$5),"■","")))</x:f>
      </x:c>
      <x:c r="AJ61" s="7" t="str">
        <x:f>IF(OR($D61="",AJ$5="",'상세일정'!AM61="제외"),"",IF($D61=$E61,IF(AND($D61&gt;=AJ$5,$D61&lt;AJ$5+7),"◆",""),IF(AND($D61&lt;AJ$5+7,$E61&gt;AJ$5),"■","")))</x:f>
      </x:c>
      <x:c r="AK61" s="7" t="str">
        <x:f>IF(OR($D61="",AK$5="",'상세일정'!AM61="제외"),"",IF($D61=$E61,IF(AND($D61&gt;=AK$5,$D61&lt;AK$5+7),"◆",""),IF(AND($D61&lt;AK$5+7,$E61&gt;AK$5),"■","")))</x:f>
      </x:c>
      <x:c r="AL61" s="7" t="str">
        <x:f>IF(OR($D61="",AL$5="",'상세일정'!AM61="제외"),"",IF($D61=$E61,IF(AND($D61&gt;=AL$5,$D61&lt;AL$5+7),"◆",""),IF(AND($D61&lt;AL$5+7,$E61&gt;AL$5),"■","")))</x:f>
      </x:c>
      <x:c r="AM61" s="7" t="str">
        <x:f>IF(OR($D61="",AM$5="",'상세일정'!AM61="제외"),"",IF($D61=$E61,IF(AND($D61&gt;=AM$5,$D61&lt;AM$5+7),"◆",""),IF(AND($D61&lt;AM$5+7,$E61&gt;AM$5),"■","")))</x:f>
      </x:c>
      <x:c r="AN61" s="7" t="str">
        <x:f>IF(OR($D61="",AN$5="",'상세일정'!AM61="제외"),"",IF($D61=$E61,IF(AND($D61&gt;=AN$5,$D61&lt;AN$5+7),"◆",""),IF(AND($D61&lt;AN$5+7,$E61&gt;AN$5),"■","")))</x:f>
      </x:c>
      <x:c r="AO61" s="7" t="str">
        <x:f>IF(OR($D61="",AO$5="",'상세일정'!AM61="제외"),"",IF($D61=$E61,IF(AND($D61&gt;=AO$5,$D61&lt;AO$5+7),"◆",""),IF(AND($D61&lt;AO$5+7,$E61&gt;AO$5),"■","")))</x:f>
      </x:c>
      <x:c r="AP61" s="7" t="str">
        <x:f>IF(OR($D61="",AP$5="",'상세일정'!AM61="제외"),"",IF($D61=$E61,IF(AND($D61&gt;=AP$5,$D61&lt;AP$5+7),"◆",""),IF(AND($D61&lt;AP$5+7,$E61&gt;AP$5),"■","")))</x:f>
      </x:c>
      <x:c r="AQ61" s="7" t="str">
        <x:f>IF(OR($D61="",AQ$5="",'상세일정'!AM61="제외"),"",IF($D61=$E61,IF(AND($D61&gt;=AQ$5,$D61&lt;AQ$5+7),"◆",""),IF(AND($D61&lt;AQ$5+7,$E61&gt;AQ$5),"■","")))</x:f>
      </x:c>
      <x:c r="AR61" s="7" t="str">
        <x:f>IF(OR($D61="",AR$5="",'상세일정'!AM61="제외"),"",IF($D61=$E61,IF(AND($D61&gt;=AR$5,$D61&lt;AR$5+7),"◆",""),IF(AND($D61&lt;AR$5+7,$E61&gt;AR$5),"■","")))</x:f>
      </x:c>
      <x:c r="AS61" s="7" t="str">
        <x:f>IF(OR($D61="",AS$5="",'상세일정'!AM61="제외"),"",IF($D61=$E61,IF(AND($D61&gt;=AS$5,$D61&lt;AS$5+7),"◆",""),IF(AND($D61&lt;AS$5+7,$E61&gt;AS$5),"■","")))</x:f>
      </x:c>
      <x:c r="AT61" s="7" t="str">
        <x:f>IF(OR($D61="",AT$5="",'상세일정'!AM61="제외"),"",IF($D61=$E61,IF(AND($D61&gt;=AT$5,$D61&lt;AT$5+7),"◆",""),IF(AND($D61&lt;AT$5+7,$E61&gt;AT$5),"■","")))</x:f>
      </x:c>
      <x:c r="AU61" s="7" t="str">
        <x:f>IF(OR($D61="",AU$5="",'상세일정'!AM61="제외"),"",IF($D61=$E61,IF(AND($D61&gt;=AU$5,$D61&lt;AU$5+7),"◆",""),IF(AND($D61&lt;AU$5+7,$E61&gt;AU$5),"■","")))</x:f>
      </x:c>
      <x:c r="AV61" s="7" t="str">
        <x:f>IF(OR($D61="",AV$5="",'상세일정'!AM61="제외"),"",IF($D61=$E61,IF(AND($D61&gt;=AV$5,$D61&lt;AV$5+7),"◆",""),IF(AND($D61&lt;AV$5+7,$E61&gt;AV$5),"■","")))</x:f>
      </x:c>
      <x:c r="AW61" s="7" t="str">
        <x:f>IF(OR($D61="",AW$5="",'상세일정'!AM61="제외"),"",IF($D61=$E61,IF(AND($D61&gt;=AW$5,$D61&lt;AW$5+7),"◆",""),IF(AND($D61&lt;AW$5+7,$E61&gt;AW$5),"■","")))</x:f>
      </x:c>
      <x:c r="AX61" s="7" t="str">
        <x:f>IF(OR($D61="",AX$5="",'상세일정'!AM61="제외"),"",IF($D61=$E61,IF(AND($D61&gt;=AX$5,$D61&lt;AX$5+7),"◆",""),IF(AND($D61&lt;AX$5+7,$E61&gt;AX$5),"■","")))</x:f>
      </x:c>
      <x:c r="AY61" s="7" t="str">
        <x:f>IF(OR($D61="",AY$5="",'상세일정'!AM61="제외"),"",IF($D61=$E61,IF(AND($D61&gt;=AY$5,$D61&lt;AY$5+7),"◆",""),IF(AND($D61&lt;AY$5+7,$E61&gt;AY$5),"■","")))</x:f>
      </x:c>
      <x:c r="AZ61" s="7" t="str">
        <x:f>IF(OR($D61="",AZ$5="",'상세일정'!AM61="제외"),"",IF($D61=$E61,IF(AND($D61&gt;=AZ$5,$D61&lt;AZ$5+7),"◆",""),IF(AND($D61&lt;AZ$5+7,$E61&gt;AZ$5),"■","")))</x:f>
      </x:c>
      <x:c r="BA61" s="7" t="str">
        <x:f>IF(OR($D61="",BA$5="",'상세일정'!AM61="제외"),"",IF($D61=$E61,IF(AND($D61&gt;=BA$5,$D61&lt;BA$5+7),"◆",""),IF(AND($D61&lt;BA$5+7,$E61&gt;BA$5),"■","")))</x:f>
      </x:c>
      <x:c r="BB61" s="7" t="str">
        <x:f>IF(OR($D61="",BB$5="",'상세일정'!AM61="제외"),"",IF($D61=$E61,IF(AND($D61&gt;=BB$5,$D61&lt;BB$5+7),"◆",""),IF(AND($D61&lt;BB$5+7,$E61&gt;BB$5),"■","")))</x:f>
      </x:c>
      <x:c r="BC61" s="7" t="str">
        <x:f>IF(OR($D61="",BC$5="",'상세일정'!AM61="제외"),"",IF($D61=$E61,IF(AND($D61&gt;=BC$5,$D61&lt;BC$5+7),"◆",""),IF(AND($D61&lt;BC$5+7,$E61&gt;BC$5),"■","")))</x:f>
      </x:c>
      <x:c r="BD61" s="7" t="str">
        <x:f>IF(OR($D61="",BD$5="",'상세일정'!AM61="제외"),"",IF($D61=$E61,IF(AND($D61&gt;=BD$5,$D61&lt;BD$5+7),"◆",""),IF(AND($D61&lt;BD$5+7,$E61&gt;BD$5),"■","")))</x:f>
      </x:c>
      <x:c r="BE61" s="7" t="str">
        <x:f>IF(OR($D61="",BE$5="",'상세일정'!AM61="제외"),"",IF($D61=$E61,IF(AND($D61&gt;=BE$5,$D61&lt;BE$5+7),"◆",""),IF(AND($D61&lt;BE$5+7,$E61&gt;BE$5),"■","")))</x:f>
      </x:c>
      <x:c r="BF61" s="7" t="str">
        <x:f>IF(OR($D61="",BF$5="",'상세일정'!AM61="제외"),"",IF($D61=$E61,IF(AND($D61&gt;=BF$5,$D61&lt;BF$5+7),"◆",""),IF(AND($D61&lt;BF$5+7,$E61&gt;BF$5),"■","")))</x:f>
      </x:c>
      <x:c r="BG61" s="7" t="str">
        <x:f>IF(OR($D61="",BG$5="",'상세일정'!AM61="제외"),"",IF($D61=$E61,IF(AND($D61&gt;=BG$5,$D61&lt;BG$5+7),"◆",""),IF(AND($D61&lt;BG$5+7,$E61&gt;BG$5),"■","")))</x:f>
      </x:c>
      <x:c r="BH61" s="7" t="str">
        <x:f>IF(OR($D61="",BH$5="",'상세일정'!AM61="제외"),"",IF($D61=$E61,IF(AND($D61&gt;=BH$5,$D61&lt;BH$5+7),"◆",""),IF(AND($D61&lt;BH$5+7,$E61&gt;BH$5),"■","")))</x:f>
      </x:c>
      <x:c r="BI61" s="7" t="str">
        <x:f>IF(OR($D61="",BI$5="",'상세일정'!AM61="제외"),"",IF($D61=$E61,IF(AND($D61&gt;=BI$5,$D61&lt;BI$5+7),"◆",""),IF(AND($D61&lt;BI$5+7,$E61&gt;BI$5),"■","")))</x:f>
      </x:c>
      <x:c r="BJ61" s="7" t="str">
        <x:f>IF(OR($D61="",BJ$5="",'상세일정'!AM61="제외"),"",IF($D61=$E61,IF(AND($D61&gt;=BJ$5,$D61&lt;BJ$5+7),"◆",""),IF(AND($D61&lt;BJ$5+7,$E61&gt;BJ$5),"■","")))</x:f>
      </x:c>
      <x:c r="BK61" s="7" t="str">
        <x:f>IF(OR($D61="",BK$5="",'상세일정'!AM61="제외"),"",IF($D61=$E61,IF(AND($D61&gt;=BK$5,$D61&lt;BK$5+7),"◆",""),IF(AND($D61&lt;BK$5+7,$E61&gt;BK$5),"■","")))</x:f>
      </x:c>
      <x:c r="BL61" s="7" t="str">
        <x:f>IF(OR($D61="",BL$5="",'상세일정'!AM61="제외"),"",IF($D61=$E61,IF(AND($D61&gt;=BL$5,$D61&lt;BL$5+7),"◆",""),IF(AND($D61&lt;BL$5+7,$E61&gt;BL$5),"■","")))</x:f>
      </x:c>
      <x:c r="BM61" s="7" t="str">
        <x:f>IF(OR($D61="",BM$5="",'상세일정'!AM61="제외"),"",IF($D61=$E61,IF(AND($D61&gt;=BM$5,$D61&lt;BM$5+7),"◆",""),IF(AND($D61&lt;BM$5+7,$E61&gt;BM$5),"■","")))</x:f>
      </x:c>
      <x:c r="BN61" s="7" t="str">
        <x:f>IF(OR($D61="",BN$5="",'상세일정'!AM61="제외"),"",IF($D61=$E61,IF(AND($D61&gt;=BN$5,$D61&lt;BN$5+7),"◆",""),IF(AND($D61&lt;BN$5+7,$E61&gt;BN$5),"■","")))</x:f>
      </x:c>
      <x:c r="BO61" s="7" t="str">
        <x:f>IF(OR($D61="",BO$5="",'상세일정'!AM61="제외"),"",IF($D61=$E61,IF(AND($D61&gt;=BO$5,$D61&lt;BO$5+7),"◆",""),IF(AND($D61&lt;BO$5+7,$E61&gt;BO$5),"■","")))</x:f>
      </x:c>
      <x:c r="BP61" s="7" t="str">
        <x:f>IF(OR($D61="",BP$5="",'상세일정'!AM61="제외"),"",IF($D61=$E61,IF(AND($D61&gt;=BP$5,$D61&lt;BP$5+7),"◆",""),IF(AND($D61&lt;BP$5+7,$E61&gt;BP$5),"■","")))</x:f>
      </x:c>
      <x:c r="BQ61" s="7" t="str">
        <x:f>IF(OR($D61="",BQ$5="",'상세일정'!AM61="제외"),"",IF($D61=$E61,IF(AND($D61&gt;=BQ$5,$D61&lt;BQ$5+7),"◆",""),IF(AND($D61&lt;BQ$5+7,$E61&gt;BQ$5),"■","")))</x:f>
      </x:c>
      <x:c r="BR61" s="7" t="str">
        <x:f>IF(OR($D61="",BR$5="",'상세일정'!AM61="제외"),"",IF($D61=$E61,IF(AND($D61&gt;=BR$5,$D61&lt;BR$5+7),"◆",""),IF(AND($D61&lt;BR$5+7,$E61&gt;BR$5),"■","")))</x:f>
      </x:c>
      <x:c r="BS61" s="7" t="str">
        <x:f>IF(OR($D61="",BS$5="",'상세일정'!AM61="제외"),"",IF($D61=$E61,IF(AND($D61&gt;=BS$5,$D61&lt;BS$5+7),"◆",""),IF(AND($D61&lt;BS$5+7,$E61&gt;BS$5),"■","")))</x:f>
      </x:c>
      <x:c r="BT61" s="7" t="str">
        <x:f>IF(OR($D61="",BT$5="",'상세일정'!AM61="제외"),"",IF($D61=$E61,IF(AND($D61&gt;=BT$5,$D61&lt;BT$5+7),"◆",""),IF(AND($D61&lt;BT$5+7,$E61&gt;BT$5),"■","")))</x:f>
      </x:c>
      <x:c r="BU61" s="7" t="str">
        <x:f>IF(OR($D61="",BU$5="",'상세일정'!AM61="제외"),"",IF($D61=$E61,IF(AND($D61&gt;=BU$5,$D61&lt;BU$5+7),"◆",""),IF(AND($D61&lt;BU$5+7,$E61&gt;BU$5),"■","")))</x:f>
      </x:c>
      <x:c r="BV61" s="7" t="str">
        <x:f>IF(OR($D61="",BV$5="",'상세일정'!AM61="제외"),"",IF($D61=$E61,IF(AND($D61&gt;=BV$5,$D61&lt;BV$5+7),"◆",""),IF(AND($D61&lt;BV$5+7,$E61&gt;BV$5),"■","")))</x:f>
      </x:c>
      <x:c r="BW61" s="7" t="str">
        <x:f>IF(OR($D61="",BW$5="",'상세일정'!AM61="제외"),"",IF($D61=$E61,IF(AND($D61&gt;=BW$5,$D61&lt;BW$5+7),"◆",""),IF(AND($D61&lt;BW$5+7,$E61&gt;BW$5),"■","")))</x:f>
      </x:c>
      <x:c r="BX61" s="7" t="str">
        <x:f>IF(OR($D61="",BX$5="",'상세일정'!AM61="제외"),"",IF($D61=$E61,IF(AND($D61&gt;=BX$5,$D61&lt;BX$5+7),"◆",""),IF(AND($D61&lt;BX$5+7,$E61&gt;BX$5),"■","")))</x:f>
      </x:c>
      <x:c r="BY61" s="7" t="str">
        <x:f>IF(OR($D61="",BY$5="",'상세일정'!AM61="제외"),"",IF($D61=$E61,IF(AND($D61&gt;=BY$5,$D61&lt;BY$5+7),"◆",""),IF(AND($D61&lt;BY$5+7,$E61&gt;BY$5),"■","")))</x:f>
      </x:c>
      <x:c r="BZ61" s="7" t="str">
        <x:f>IF(OR($D61="",BZ$5="",'상세일정'!AM61="제외"),"",IF($D61=$E61,IF(AND($D61&gt;=BZ$5,$D61&lt;BZ$5+7),"◆",""),IF(AND($D61&lt;BZ$5+7,$E61&gt;BZ$5),"■","")))</x:f>
      </x:c>
      <x:c r="CA61" s="7" t="str">
        <x:f>IF(OR($D61="",CA$5="",'상세일정'!AM61="제외"),"",IF($D61=$E61,IF(AND($D61&gt;=CA$5,$D61&lt;CA$5+7),"◆",""),IF(AND($D61&lt;CA$5+7,$E61&gt;CA$5),"■","")))</x:f>
      </x:c>
      <x:c r="CB61" s="7" t="str">
        <x:f>IF(OR($D61="",CB$5="",'상세일정'!AM61="제외"),"",IF($D61=$E61,IF(AND($D61&gt;=CB$5,$D61&lt;CB$5+7),"◆",""),IF(AND($D61&lt;CB$5+7,$E61&gt;CB$5),"■","")))</x:f>
      </x:c>
      <x:c r="CC61" s="7" t="str">
        <x:f>IF(OR($D61="",CC$5="",'상세일정'!AM61="제외"),"",IF($D61=$E61,IF(AND($D61&gt;=CC$5,$D61&lt;CC$5+7),"◆",""),IF(AND($D61&lt;CC$5+7,$E61&gt;CC$5),"■","")))</x:f>
      </x:c>
      <x:c r="CD61" s="7" t="str">
        <x:f>IF(OR($D61="",CD$5="",'상세일정'!AM61="제외"),"",IF($D61=$E61,IF(AND($D61&gt;=CD$5,$D61&lt;CD$5+7),"◆",""),IF(AND($D61&lt;CD$5+7,$E61&gt;CD$5),"■","")))</x:f>
      </x:c>
      <x:c r="CE61" s="7" t="str">
        <x:f>IF(OR($D61="",CE$5="",'상세일정'!AM61="제외"),"",IF($D61=$E61,IF(AND($D61&gt;=CE$5,$D61&lt;CE$5+7),"◆",""),IF(AND($D61&lt;CE$5+7,$E61&gt;CE$5),"■","")))</x:f>
      </x:c>
      <x:c r="CF61" s="7" t="str">
        <x:f>IF(OR($D61="",CF$5="",'상세일정'!AM61="제외"),"",IF($D61=$E61,IF(AND($D61&gt;=CF$5,$D61&lt;CF$5+7),"◆",""),IF(AND($D61&lt;CF$5+7,$E61&gt;CF$5),"■","")))</x:f>
      </x:c>
      <x:c r="CG61" s="7" t="str">
        <x:f>IF(OR($D61="",CG$5="",'상세일정'!AM61="제외"),"",IF($D61=$E61,IF(AND($D61&gt;=CG$5,$D61&lt;CG$5+7),"◆",""),IF(AND($D61&lt;CG$5+7,$E61&gt;CG$5),"■","")))</x:f>
      </x:c>
      <x:c r="CH61" s="7" t="str">
        <x:f>IF(OR($D61="",CH$5="",'상세일정'!AM61="제외"),"",IF($D61=$E61,IF(AND($D61&gt;=CH$5,$D61&lt;CH$5+7),"◆",""),IF(AND($D61&lt;CH$5+7,$E61&gt;CH$5),"■","")))</x:f>
      </x:c>
      <x:c r="CI61" s="7" t="str">
        <x:f>IF(OR($D61="",CI$5="",'상세일정'!AM61="제외"),"",IF($D61=$E61,IF(AND($D61&gt;=CI$5,$D61&lt;CI$5+7),"◆",""),IF(AND($D61&lt;CI$5+7,$E61&gt;CI$5),"■","")))</x:f>
      </x:c>
      <x:c r="CJ61" s="7" t="str">
        <x:f>IF(OR($D61="",CJ$5="",'상세일정'!AM61="제외"),"",IF($D61=$E61,IF(AND($D61&gt;=CJ$5,$D61&lt;CJ$5+7),"◆",""),IF(AND($D61&lt;CJ$5+7,$E61&gt;CJ$5),"■","")))</x:f>
      </x:c>
      <x:c r="CK61" s="7" t="str">
        <x:f>IF(OR($D61="",CK$5="",'상세일정'!AM61="제외"),"",IF($D61=$E61,IF(AND($D61&gt;=CK$5,$D61&lt;CK$5+7),"◆",""),IF(AND($D61&lt;CK$5+7,$E61&gt;CK$5),"■","")))</x:f>
      </x:c>
      <x:c r="CL61" s="7" t="str">
        <x:f>IF(OR($D61="",CL$5="",'상세일정'!AM61="제외"),"",IF($D61=$E61,IF(AND($D61&gt;=CL$5,$D61&lt;CL$5+7),"◆",""),IF(AND($D61&lt;CL$5+7,$E61&gt;CL$5),"■","")))</x:f>
      </x:c>
      <x:c r="CM61" s="7" t="str">
        <x:f>IF(OR($D61="",CM$5="",'상세일정'!AM61="제외"),"",IF($D61=$E61,IF(AND($D61&gt;=CM$5,$D61&lt;CM$5+7),"◆",""),IF(AND($D61&lt;CM$5+7,$E61&gt;CM$5),"■","")))</x:f>
      </x:c>
      <x:c r="CN61" s="7" t="str">
        <x:f>IF(OR($D61="",CN$5="",'상세일정'!AM61="제외"),"",IF($D61=$E61,IF(AND($D61&gt;=CN$5,$D61&lt;CN$5+7),"◆",""),IF(AND($D61&lt;CN$5+7,$E61&gt;CN$5),"■","")))</x:f>
      </x:c>
      <x:c r="CO61" s="7" t="str">
        <x:f>IF(OR($D61="",CO$5="",'상세일정'!AM61="제외"),"",IF($D61=$E61,IF(AND($D61&gt;=CO$5,$D61&lt;CO$5+7),"◆",""),IF(AND($D61&lt;CO$5+7,$E61&gt;CO$5),"■","")))</x:f>
      </x:c>
      <x:c r="CP61" s="7" t="str">
        <x:f>IF(OR($D61="",CP$5="",'상세일정'!AM61="제외"),"",IF($D61=$E61,IF(AND($D61&gt;=CP$5,$D61&lt;CP$5+7),"◆",""),IF(AND($D61&lt;CP$5+7,$E61&gt;CP$5),"■","")))</x:f>
      </x:c>
      <x:c r="CQ61" s="7" t="str">
        <x:f>IF(OR($D61="",CQ$5="",'상세일정'!AM61="제외"),"",IF($D61=$E61,IF(AND($D61&gt;=CQ$5,$D61&lt;CQ$5+7),"◆",""),IF(AND($D61&lt;CQ$5+7,$E61&gt;CQ$5),"■","")))</x:f>
      </x:c>
      <x:c r="CR61" s="7" t="str">
        <x:f>IF(OR($D61="",CR$5="",'상세일정'!AM61="제외"),"",IF($D61=$E61,IF(AND($D61&gt;=CR$5,$D61&lt;CR$5+7),"◆",""),IF(AND($D61&lt;CR$5+7,$E61&gt;CR$5),"■","")))</x:f>
      </x:c>
      <x:c r="CS61" s="7" t="str">
        <x:f>IF(OR($D61="",CS$5="",'상세일정'!AM61="제외"),"",IF($D61=$E61,IF(AND($D61&gt;=CS$5,$D61&lt;CS$5+7),"◆",""),IF(AND($D61&lt;CS$5+7,$E61&gt;CS$5),"■","")))</x:f>
      </x:c>
      <x:c r="CT61" s="7" t="str">
        <x:f>IF(OR($D61="",CT$5="",'상세일정'!AM61="제외"),"",IF($D61=$E61,IF(AND($D61&gt;=CT$5,$D61&lt;CT$5+7),"◆",""),IF(AND($D61&lt;CT$5+7,$E61&gt;CT$5),"■","")))</x:f>
      </x:c>
      <x:c r="CU61" s="7" t="str">
        <x:f>IF(OR($D61="",CU$5="",'상세일정'!AM61="제외"),"",IF($D61=$E61,IF(AND($D61&gt;=CU$5,$D61&lt;CU$5+7),"◆",""),IF(AND($D61&lt;CU$5+7,$E61&gt;CU$5),"■","")))</x:f>
      </x:c>
      <x:c r="CV61" s="7" t="str">
        <x:f>IF(OR($D61="",CV$5="",'상세일정'!AM61="제외"),"",IF($D61=$E61,IF(AND($D61&gt;=CV$5,$D61&lt;CV$5+7),"◆",""),IF(AND($D61&lt;CV$5+7,$E61&gt;CV$5),"■","")))</x:f>
      </x:c>
      <x:c r="CW61" s="7" t="str">
        <x:f>IF(OR($D61="",CW$5="",'상세일정'!AM61="제외"),"",IF($D61=$E61,IF(AND($D61&gt;=CW$5,$D61&lt;CW$5+7),"◆",""),IF(AND($D61&lt;CW$5+7,$E61&gt;CW$5),"■","")))</x:f>
      </x:c>
      <x:c r="CX61" s="7" t="str">
        <x:f>IF(OR($D61="",CX$5="",'상세일정'!AM61="제외"),"",IF($D61=$E61,IF(AND($D61&gt;=CX$5,$D61&lt;CX$5+7),"◆",""),IF(AND($D61&lt;CX$5+7,$E61&gt;CX$5),"■","")))</x:f>
      </x:c>
      <x:c r="CY61" s="7" t="str">
        <x:f>IF(OR($D61="",CY$5="",'상세일정'!AM61="제외"),"",IF($D61=$E61,IF(AND($D61&gt;=CY$5,$D61&lt;CY$5+7),"◆",""),IF(AND($D61&lt;CY$5+7,$E61&gt;CY$5),"■","")))</x:f>
      </x:c>
      <x:c r="CZ61" s="7" t="str">
        <x:f>IF(OR($D61="",CZ$5="",'상세일정'!AM61="제외"),"",IF($D61=$E61,IF(AND($D61&gt;=CZ$5,$D61&lt;CZ$5+7),"◆",""),IF(AND($D61&lt;CZ$5+7,$E61&gt;CZ$5),"■","")))</x:f>
      </x:c>
      <x:c r="DA61" s="7" t="str">
        <x:f>IF(OR($D61="",DA$5="",'상세일정'!AM61="제외"),"",IF($D61=$E61,IF(AND($D61&gt;=DA$5,$D61&lt;DA$5+7),"◆",""),IF(AND($D61&lt;DA$5+7,$E61&gt;DA$5),"■","")))</x:f>
      </x:c>
      <x:c r="DB61" s="7" t="str">
        <x:f>IF(OR($D61="",DB$5="",'상세일정'!AM61="제외"),"",IF($D61=$E61,IF(AND($D61&gt;=DB$5,$D61&lt;DB$5+7),"◆",""),IF(AND($D61&lt;DB$5+7,$E61&gt;DB$5),"■","")))</x:f>
      </x:c>
      <x:c r="DC61" s="7" t="str">
        <x:f>IF(OR($D61="",DC$5="",'상세일정'!AM61="제외"),"",IF($D61=$E61,IF(AND($D61&gt;=DC$5,$D61&lt;DC$5+7),"◆",""),IF(AND($D61&lt;DC$5+7,$E61&gt;DC$5),"■","")))</x:f>
      </x:c>
      <x:c r="DD61" s="7" t="str">
        <x:f>IF(OR($D61="",DD$5="",'상세일정'!AM61="제외"),"",IF($D61=$E61,IF(AND($D61&gt;=DD$5,$D61&lt;DD$5+7),"◆",""),IF(AND($D61&lt;DD$5+7,$E61&gt;DD$5),"■","")))</x:f>
      </x:c>
      <x:c r="DE61" s="7" t="str">
        <x:f>IF(OR($D61="",DE$5="",'상세일정'!AM61="제외"),"",IF($D61=$E61,IF(AND($D61&gt;=DE$5,$D61&lt;DE$5+7),"◆",""),IF(AND($D61&lt;DE$5+7,$E61&gt;DE$5),"■","")))</x:f>
      </x:c>
    </x:row>
    <x:row r="62" ht="34" customHeight="1">
      <x:c r="A62" s="7" t="str">
        <x:v>EX03</x:v>
      </x:c>
      <x:c r="B62" s="7" t="str">
        <x:v>03 도시계획·실시계획</x:v>
      </x:c>
      <x:c r="C62" s="7" t="str">
        <x:v>사업주 직인·위임장·첨부서류 확보</x:v>
      </x:c>
      <x:c r="D62" s="10" t="str">
        <x:f>'상세일정'!AJ62</x:f>
      </x:c>
      <x:c r="E62" s="10" t="str">
        <x:f>'상세일정'!AK62</x:f>
      </x:c>
      <x:c r="F62" s="7" t="str">
        <x:f>IF(OR($D62="",F$5="",'상세일정'!AM62="제외"),"",IF($D62=$E62,IF(AND($D62&gt;=F$5,$D62&lt;F$5+7),"◆",""),IF(AND($D62&lt;F$5+7,$E62&gt;F$5),"■","")))</x:f>
      </x:c>
      <x:c r="G62" s="7" t="str">
        <x:f>IF(OR($D62="",G$5="",'상세일정'!AM62="제외"),"",IF($D62=$E62,IF(AND($D62&gt;=G$5,$D62&lt;G$5+7),"◆",""),IF(AND($D62&lt;G$5+7,$E62&gt;G$5),"■","")))</x:f>
      </x:c>
      <x:c r="H62" s="7" t="str">
        <x:f>IF(OR($D62="",H$5="",'상세일정'!AM62="제외"),"",IF($D62=$E62,IF(AND($D62&gt;=H$5,$D62&lt;H$5+7),"◆",""),IF(AND($D62&lt;H$5+7,$E62&gt;H$5),"■","")))</x:f>
      </x:c>
      <x:c r="I62" s="7" t="str">
        <x:f>IF(OR($D62="",I$5="",'상세일정'!AM62="제외"),"",IF($D62=$E62,IF(AND($D62&gt;=I$5,$D62&lt;I$5+7),"◆",""),IF(AND($D62&lt;I$5+7,$E62&gt;I$5),"■","")))</x:f>
      </x:c>
      <x:c r="J62" s="7" t="str">
        <x:f>IF(OR($D62="",J$5="",'상세일정'!AM62="제외"),"",IF($D62=$E62,IF(AND($D62&gt;=J$5,$D62&lt;J$5+7),"◆",""),IF(AND($D62&lt;J$5+7,$E62&gt;J$5),"■","")))</x:f>
      </x:c>
      <x:c r="K62" s="7" t="str">
        <x:f>IF(OR($D62="",K$5="",'상세일정'!AM62="제외"),"",IF($D62=$E62,IF(AND($D62&gt;=K$5,$D62&lt;K$5+7),"◆",""),IF(AND($D62&lt;K$5+7,$E62&gt;K$5),"■","")))</x:f>
      </x:c>
      <x:c r="L62" s="7" t="str">
        <x:f>IF(OR($D62="",L$5="",'상세일정'!AM62="제외"),"",IF($D62=$E62,IF(AND($D62&gt;=L$5,$D62&lt;L$5+7),"◆",""),IF(AND($D62&lt;L$5+7,$E62&gt;L$5),"■","")))</x:f>
      </x:c>
      <x:c r="M62" s="7" t="str">
        <x:f>IF(OR($D62="",M$5="",'상세일정'!AM62="제외"),"",IF($D62=$E62,IF(AND($D62&gt;=M$5,$D62&lt;M$5+7),"◆",""),IF(AND($D62&lt;M$5+7,$E62&gt;M$5),"■","")))</x:f>
      </x:c>
      <x:c r="N62" s="7" t="str">
        <x:f>IF(OR($D62="",N$5="",'상세일정'!AM62="제외"),"",IF($D62=$E62,IF(AND($D62&gt;=N$5,$D62&lt;N$5+7),"◆",""),IF(AND($D62&lt;N$5+7,$E62&gt;N$5),"■","")))</x:f>
      </x:c>
      <x:c r="O62" s="7" t="str">
        <x:f>IF(OR($D62="",O$5="",'상세일정'!AM62="제외"),"",IF($D62=$E62,IF(AND($D62&gt;=O$5,$D62&lt;O$5+7),"◆",""),IF(AND($D62&lt;O$5+7,$E62&gt;O$5),"■","")))</x:f>
      </x:c>
      <x:c r="P62" s="7" t="str">
        <x:f>IF(OR($D62="",P$5="",'상세일정'!AM62="제외"),"",IF($D62=$E62,IF(AND($D62&gt;=P$5,$D62&lt;P$5+7),"◆",""),IF(AND($D62&lt;P$5+7,$E62&gt;P$5),"■","")))</x:f>
      </x:c>
      <x:c r="Q62" s="7" t="str">
        <x:f>IF(OR($D62="",Q$5="",'상세일정'!AM62="제외"),"",IF($D62=$E62,IF(AND($D62&gt;=Q$5,$D62&lt;Q$5+7),"◆",""),IF(AND($D62&lt;Q$5+7,$E62&gt;Q$5),"■","")))</x:f>
      </x:c>
      <x:c r="R62" s="7" t="str">
        <x:f>IF(OR($D62="",R$5="",'상세일정'!AM62="제외"),"",IF($D62=$E62,IF(AND($D62&gt;=R$5,$D62&lt;R$5+7),"◆",""),IF(AND($D62&lt;R$5+7,$E62&gt;R$5),"■","")))</x:f>
      </x:c>
      <x:c r="S62" s="7" t="str">
        <x:f>IF(OR($D62="",S$5="",'상세일정'!AM62="제외"),"",IF($D62=$E62,IF(AND($D62&gt;=S$5,$D62&lt;S$5+7),"◆",""),IF(AND($D62&lt;S$5+7,$E62&gt;S$5),"■","")))</x:f>
      </x:c>
      <x:c r="T62" s="7" t="str">
        <x:f>IF(OR($D62="",T$5="",'상세일정'!AM62="제외"),"",IF($D62=$E62,IF(AND($D62&gt;=T$5,$D62&lt;T$5+7),"◆",""),IF(AND($D62&lt;T$5+7,$E62&gt;T$5),"■","")))</x:f>
      </x:c>
      <x:c r="U62" s="7" t="str">
        <x:f>IF(OR($D62="",U$5="",'상세일정'!AM62="제외"),"",IF($D62=$E62,IF(AND($D62&gt;=U$5,$D62&lt;U$5+7),"◆",""),IF(AND($D62&lt;U$5+7,$E62&gt;U$5),"■","")))</x:f>
      </x:c>
      <x:c r="V62" s="7" t="str">
        <x:f>IF(OR($D62="",V$5="",'상세일정'!AM62="제외"),"",IF($D62=$E62,IF(AND($D62&gt;=V$5,$D62&lt;V$5+7),"◆",""),IF(AND($D62&lt;V$5+7,$E62&gt;V$5),"■","")))</x:f>
      </x:c>
      <x:c r="W62" s="7" t="str">
        <x:f>IF(OR($D62="",W$5="",'상세일정'!AM62="제외"),"",IF($D62=$E62,IF(AND($D62&gt;=W$5,$D62&lt;W$5+7),"◆",""),IF(AND($D62&lt;W$5+7,$E62&gt;W$5),"■","")))</x:f>
      </x:c>
      <x:c r="X62" s="7" t="str">
        <x:f>IF(OR($D62="",X$5="",'상세일정'!AM62="제외"),"",IF($D62=$E62,IF(AND($D62&gt;=X$5,$D62&lt;X$5+7),"◆",""),IF(AND($D62&lt;X$5+7,$E62&gt;X$5),"■","")))</x:f>
      </x:c>
      <x:c r="Y62" s="7" t="str">
        <x:f>IF(OR($D62="",Y$5="",'상세일정'!AM62="제외"),"",IF($D62=$E62,IF(AND($D62&gt;=Y$5,$D62&lt;Y$5+7),"◆",""),IF(AND($D62&lt;Y$5+7,$E62&gt;Y$5),"■","")))</x:f>
      </x:c>
      <x:c r="Z62" s="7" t="str">
        <x:f>IF(OR($D62="",Z$5="",'상세일정'!AM62="제외"),"",IF($D62=$E62,IF(AND($D62&gt;=Z$5,$D62&lt;Z$5+7),"◆",""),IF(AND($D62&lt;Z$5+7,$E62&gt;Z$5),"■","")))</x:f>
      </x:c>
      <x:c r="AA62" s="7" t="str">
        <x:f>IF(OR($D62="",AA$5="",'상세일정'!AM62="제외"),"",IF($D62=$E62,IF(AND($D62&gt;=AA$5,$D62&lt;AA$5+7),"◆",""),IF(AND($D62&lt;AA$5+7,$E62&gt;AA$5),"■","")))</x:f>
      </x:c>
      <x:c r="AB62" s="7" t="str">
        <x:f>IF(OR($D62="",AB$5="",'상세일정'!AM62="제외"),"",IF($D62=$E62,IF(AND($D62&gt;=AB$5,$D62&lt;AB$5+7),"◆",""),IF(AND($D62&lt;AB$5+7,$E62&gt;AB$5),"■","")))</x:f>
      </x:c>
      <x:c r="AC62" s="7" t="str">
        <x:f>IF(OR($D62="",AC$5="",'상세일정'!AM62="제외"),"",IF($D62=$E62,IF(AND($D62&gt;=AC$5,$D62&lt;AC$5+7),"◆",""),IF(AND($D62&lt;AC$5+7,$E62&gt;AC$5),"■","")))</x:f>
      </x:c>
      <x:c r="AD62" s="7" t="str">
        <x:f>IF(OR($D62="",AD$5="",'상세일정'!AM62="제외"),"",IF($D62=$E62,IF(AND($D62&gt;=AD$5,$D62&lt;AD$5+7),"◆",""),IF(AND($D62&lt;AD$5+7,$E62&gt;AD$5),"■","")))</x:f>
      </x:c>
      <x:c r="AE62" s="7" t="str">
        <x:f>IF(OR($D62="",AE$5="",'상세일정'!AM62="제외"),"",IF($D62=$E62,IF(AND($D62&gt;=AE$5,$D62&lt;AE$5+7),"◆",""),IF(AND($D62&lt;AE$5+7,$E62&gt;AE$5),"■","")))</x:f>
      </x:c>
      <x:c r="AF62" s="7" t="str">
        <x:f>IF(OR($D62="",AF$5="",'상세일정'!AM62="제외"),"",IF($D62=$E62,IF(AND($D62&gt;=AF$5,$D62&lt;AF$5+7),"◆",""),IF(AND($D62&lt;AF$5+7,$E62&gt;AF$5),"■","")))</x:f>
      </x:c>
      <x:c r="AG62" s="7" t="str">
        <x:f>IF(OR($D62="",AG$5="",'상세일정'!AM62="제외"),"",IF($D62=$E62,IF(AND($D62&gt;=AG$5,$D62&lt;AG$5+7),"◆",""),IF(AND($D62&lt;AG$5+7,$E62&gt;AG$5),"■","")))</x:f>
      </x:c>
      <x:c r="AH62" s="7" t="str">
        <x:f>IF(OR($D62="",AH$5="",'상세일정'!AM62="제외"),"",IF($D62=$E62,IF(AND($D62&gt;=AH$5,$D62&lt;AH$5+7),"◆",""),IF(AND($D62&lt;AH$5+7,$E62&gt;AH$5),"■","")))</x:f>
      </x:c>
      <x:c r="AI62" s="7" t="str">
        <x:f>IF(OR($D62="",AI$5="",'상세일정'!AM62="제외"),"",IF($D62=$E62,IF(AND($D62&gt;=AI$5,$D62&lt;AI$5+7),"◆",""),IF(AND($D62&lt;AI$5+7,$E62&gt;AI$5),"■","")))</x:f>
      </x:c>
      <x:c r="AJ62" s="7" t="str">
        <x:f>IF(OR($D62="",AJ$5="",'상세일정'!AM62="제외"),"",IF($D62=$E62,IF(AND($D62&gt;=AJ$5,$D62&lt;AJ$5+7),"◆",""),IF(AND($D62&lt;AJ$5+7,$E62&gt;AJ$5),"■","")))</x:f>
      </x:c>
      <x:c r="AK62" s="7" t="str">
        <x:f>IF(OR($D62="",AK$5="",'상세일정'!AM62="제외"),"",IF($D62=$E62,IF(AND($D62&gt;=AK$5,$D62&lt;AK$5+7),"◆",""),IF(AND($D62&lt;AK$5+7,$E62&gt;AK$5),"■","")))</x:f>
      </x:c>
      <x:c r="AL62" s="7" t="str">
        <x:f>IF(OR($D62="",AL$5="",'상세일정'!AM62="제외"),"",IF($D62=$E62,IF(AND($D62&gt;=AL$5,$D62&lt;AL$5+7),"◆",""),IF(AND($D62&lt;AL$5+7,$E62&gt;AL$5),"■","")))</x:f>
      </x:c>
      <x:c r="AM62" s="7" t="str">
        <x:f>IF(OR($D62="",AM$5="",'상세일정'!AM62="제외"),"",IF($D62=$E62,IF(AND($D62&gt;=AM$5,$D62&lt;AM$5+7),"◆",""),IF(AND($D62&lt;AM$5+7,$E62&gt;AM$5),"■","")))</x:f>
      </x:c>
      <x:c r="AN62" s="7" t="str">
        <x:f>IF(OR($D62="",AN$5="",'상세일정'!AM62="제외"),"",IF($D62=$E62,IF(AND($D62&gt;=AN$5,$D62&lt;AN$5+7),"◆",""),IF(AND($D62&lt;AN$5+7,$E62&gt;AN$5),"■","")))</x:f>
      </x:c>
      <x:c r="AO62" s="7" t="str">
        <x:f>IF(OR($D62="",AO$5="",'상세일정'!AM62="제외"),"",IF($D62=$E62,IF(AND($D62&gt;=AO$5,$D62&lt;AO$5+7),"◆",""),IF(AND($D62&lt;AO$5+7,$E62&gt;AO$5),"■","")))</x:f>
      </x:c>
      <x:c r="AP62" s="7" t="str">
        <x:f>IF(OR($D62="",AP$5="",'상세일정'!AM62="제외"),"",IF($D62=$E62,IF(AND($D62&gt;=AP$5,$D62&lt;AP$5+7),"◆",""),IF(AND($D62&lt;AP$5+7,$E62&gt;AP$5),"■","")))</x:f>
      </x:c>
      <x:c r="AQ62" s="7" t="str">
        <x:f>IF(OR($D62="",AQ$5="",'상세일정'!AM62="제외"),"",IF($D62=$E62,IF(AND($D62&gt;=AQ$5,$D62&lt;AQ$5+7),"◆",""),IF(AND($D62&lt;AQ$5+7,$E62&gt;AQ$5),"■","")))</x:f>
      </x:c>
      <x:c r="AR62" s="7" t="str">
        <x:f>IF(OR($D62="",AR$5="",'상세일정'!AM62="제외"),"",IF($D62=$E62,IF(AND($D62&gt;=AR$5,$D62&lt;AR$5+7),"◆",""),IF(AND($D62&lt;AR$5+7,$E62&gt;AR$5),"■","")))</x:f>
      </x:c>
      <x:c r="AS62" s="7" t="str">
        <x:f>IF(OR($D62="",AS$5="",'상세일정'!AM62="제외"),"",IF($D62=$E62,IF(AND($D62&gt;=AS$5,$D62&lt;AS$5+7),"◆",""),IF(AND($D62&lt;AS$5+7,$E62&gt;AS$5),"■","")))</x:f>
      </x:c>
      <x:c r="AT62" s="7" t="str">
        <x:f>IF(OR($D62="",AT$5="",'상세일정'!AM62="제외"),"",IF($D62=$E62,IF(AND($D62&gt;=AT$5,$D62&lt;AT$5+7),"◆",""),IF(AND($D62&lt;AT$5+7,$E62&gt;AT$5),"■","")))</x:f>
      </x:c>
      <x:c r="AU62" s="7" t="str">
        <x:f>IF(OR($D62="",AU$5="",'상세일정'!AM62="제외"),"",IF($D62=$E62,IF(AND($D62&gt;=AU$5,$D62&lt;AU$5+7),"◆",""),IF(AND($D62&lt;AU$5+7,$E62&gt;AU$5),"■","")))</x:f>
      </x:c>
      <x:c r="AV62" s="7" t="str">
        <x:f>IF(OR($D62="",AV$5="",'상세일정'!AM62="제외"),"",IF($D62=$E62,IF(AND($D62&gt;=AV$5,$D62&lt;AV$5+7),"◆",""),IF(AND($D62&lt;AV$5+7,$E62&gt;AV$5),"■","")))</x:f>
      </x:c>
      <x:c r="AW62" s="7" t="str">
        <x:f>IF(OR($D62="",AW$5="",'상세일정'!AM62="제외"),"",IF($D62=$E62,IF(AND($D62&gt;=AW$5,$D62&lt;AW$5+7),"◆",""),IF(AND($D62&lt;AW$5+7,$E62&gt;AW$5),"■","")))</x:f>
      </x:c>
      <x:c r="AX62" s="7" t="str">
        <x:f>IF(OR($D62="",AX$5="",'상세일정'!AM62="제외"),"",IF($D62=$E62,IF(AND($D62&gt;=AX$5,$D62&lt;AX$5+7),"◆",""),IF(AND($D62&lt;AX$5+7,$E62&gt;AX$5),"■","")))</x:f>
      </x:c>
      <x:c r="AY62" s="7" t="str">
        <x:f>IF(OR($D62="",AY$5="",'상세일정'!AM62="제외"),"",IF($D62=$E62,IF(AND($D62&gt;=AY$5,$D62&lt;AY$5+7),"◆",""),IF(AND($D62&lt;AY$5+7,$E62&gt;AY$5),"■","")))</x:f>
      </x:c>
      <x:c r="AZ62" s="7" t="str">
        <x:f>IF(OR($D62="",AZ$5="",'상세일정'!AM62="제외"),"",IF($D62=$E62,IF(AND($D62&gt;=AZ$5,$D62&lt;AZ$5+7),"◆",""),IF(AND($D62&lt;AZ$5+7,$E62&gt;AZ$5),"■","")))</x:f>
      </x:c>
      <x:c r="BA62" s="7" t="str">
        <x:f>IF(OR($D62="",BA$5="",'상세일정'!AM62="제외"),"",IF($D62=$E62,IF(AND($D62&gt;=BA$5,$D62&lt;BA$5+7),"◆",""),IF(AND($D62&lt;BA$5+7,$E62&gt;BA$5),"■","")))</x:f>
      </x:c>
      <x:c r="BB62" s="7" t="str">
        <x:f>IF(OR($D62="",BB$5="",'상세일정'!AM62="제외"),"",IF($D62=$E62,IF(AND($D62&gt;=BB$5,$D62&lt;BB$5+7),"◆",""),IF(AND($D62&lt;BB$5+7,$E62&gt;BB$5),"■","")))</x:f>
      </x:c>
      <x:c r="BC62" s="7" t="str">
        <x:f>IF(OR($D62="",BC$5="",'상세일정'!AM62="제외"),"",IF($D62=$E62,IF(AND($D62&gt;=BC$5,$D62&lt;BC$5+7),"◆",""),IF(AND($D62&lt;BC$5+7,$E62&gt;BC$5),"■","")))</x:f>
      </x:c>
      <x:c r="BD62" s="7" t="str">
        <x:f>IF(OR($D62="",BD$5="",'상세일정'!AM62="제외"),"",IF($D62=$E62,IF(AND($D62&gt;=BD$5,$D62&lt;BD$5+7),"◆",""),IF(AND($D62&lt;BD$5+7,$E62&gt;BD$5),"■","")))</x:f>
      </x:c>
      <x:c r="BE62" s="7" t="str">
        <x:f>IF(OR($D62="",BE$5="",'상세일정'!AM62="제외"),"",IF($D62=$E62,IF(AND($D62&gt;=BE$5,$D62&lt;BE$5+7),"◆",""),IF(AND($D62&lt;BE$5+7,$E62&gt;BE$5),"■","")))</x:f>
      </x:c>
      <x:c r="BF62" s="7" t="str">
        <x:f>IF(OR($D62="",BF$5="",'상세일정'!AM62="제외"),"",IF($D62=$E62,IF(AND($D62&gt;=BF$5,$D62&lt;BF$5+7),"◆",""),IF(AND($D62&lt;BF$5+7,$E62&gt;BF$5),"■","")))</x:f>
      </x:c>
      <x:c r="BG62" s="7" t="str">
        <x:f>IF(OR($D62="",BG$5="",'상세일정'!AM62="제외"),"",IF($D62=$E62,IF(AND($D62&gt;=BG$5,$D62&lt;BG$5+7),"◆",""),IF(AND($D62&lt;BG$5+7,$E62&gt;BG$5),"■","")))</x:f>
      </x:c>
      <x:c r="BH62" s="7" t="str">
        <x:f>IF(OR($D62="",BH$5="",'상세일정'!AM62="제외"),"",IF($D62=$E62,IF(AND($D62&gt;=BH$5,$D62&lt;BH$5+7),"◆",""),IF(AND($D62&lt;BH$5+7,$E62&gt;BH$5),"■","")))</x:f>
      </x:c>
      <x:c r="BI62" s="7" t="str">
        <x:f>IF(OR($D62="",BI$5="",'상세일정'!AM62="제외"),"",IF($D62=$E62,IF(AND($D62&gt;=BI$5,$D62&lt;BI$5+7),"◆",""),IF(AND($D62&lt;BI$5+7,$E62&gt;BI$5),"■","")))</x:f>
      </x:c>
      <x:c r="BJ62" s="7" t="str">
        <x:f>IF(OR($D62="",BJ$5="",'상세일정'!AM62="제외"),"",IF($D62=$E62,IF(AND($D62&gt;=BJ$5,$D62&lt;BJ$5+7),"◆",""),IF(AND($D62&lt;BJ$5+7,$E62&gt;BJ$5),"■","")))</x:f>
      </x:c>
      <x:c r="BK62" s="7" t="str">
        <x:f>IF(OR($D62="",BK$5="",'상세일정'!AM62="제외"),"",IF($D62=$E62,IF(AND($D62&gt;=BK$5,$D62&lt;BK$5+7),"◆",""),IF(AND($D62&lt;BK$5+7,$E62&gt;BK$5),"■","")))</x:f>
      </x:c>
      <x:c r="BL62" s="7" t="str">
        <x:f>IF(OR($D62="",BL$5="",'상세일정'!AM62="제외"),"",IF($D62=$E62,IF(AND($D62&gt;=BL$5,$D62&lt;BL$5+7),"◆",""),IF(AND($D62&lt;BL$5+7,$E62&gt;BL$5),"■","")))</x:f>
      </x:c>
      <x:c r="BM62" s="7" t="str">
        <x:f>IF(OR($D62="",BM$5="",'상세일정'!AM62="제외"),"",IF($D62=$E62,IF(AND($D62&gt;=BM$5,$D62&lt;BM$5+7),"◆",""),IF(AND($D62&lt;BM$5+7,$E62&gt;BM$5),"■","")))</x:f>
      </x:c>
      <x:c r="BN62" s="7" t="str">
        <x:f>IF(OR($D62="",BN$5="",'상세일정'!AM62="제외"),"",IF($D62=$E62,IF(AND($D62&gt;=BN$5,$D62&lt;BN$5+7),"◆",""),IF(AND($D62&lt;BN$5+7,$E62&gt;BN$5),"■","")))</x:f>
      </x:c>
      <x:c r="BO62" s="7" t="str">
        <x:f>IF(OR($D62="",BO$5="",'상세일정'!AM62="제외"),"",IF($D62=$E62,IF(AND($D62&gt;=BO$5,$D62&lt;BO$5+7),"◆",""),IF(AND($D62&lt;BO$5+7,$E62&gt;BO$5),"■","")))</x:f>
      </x:c>
      <x:c r="BP62" s="7" t="str">
        <x:f>IF(OR($D62="",BP$5="",'상세일정'!AM62="제외"),"",IF($D62=$E62,IF(AND($D62&gt;=BP$5,$D62&lt;BP$5+7),"◆",""),IF(AND($D62&lt;BP$5+7,$E62&gt;BP$5),"■","")))</x:f>
      </x:c>
      <x:c r="BQ62" s="7" t="str">
        <x:f>IF(OR($D62="",BQ$5="",'상세일정'!AM62="제외"),"",IF($D62=$E62,IF(AND($D62&gt;=BQ$5,$D62&lt;BQ$5+7),"◆",""),IF(AND($D62&lt;BQ$5+7,$E62&gt;BQ$5),"■","")))</x:f>
      </x:c>
      <x:c r="BR62" s="7" t="str">
        <x:f>IF(OR($D62="",BR$5="",'상세일정'!AM62="제외"),"",IF($D62=$E62,IF(AND($D62&gt;=BR$5,$D62&lt;BR$5+7),"◆",""),IF(AND($D62&lt;BR$5+7,$E62&gt;BR$5),"■","")))</x:f>
      </x:c>
      <x:c r="BS62" s="7" t="str">
        <x:f>IF(OR($D62="",BS$5="",'상세일정'!AM62="제외"),"",IF($D62=$E62,IF(AND($D62&gt;=BS$5,$D62&lt;BS$5+7),"◆",""),IF(AND($D62&lt;BS$5+7,$E62&gt;BS$5),"■","")))</x:f>
      </x:c>
      <x:c r="BT62" s="7" t="str">
        <x:f>IF(OR($D62="",BT$5="",'상세일정'!AM62="제외"),"",IF($D62=$E62,IF(AND($D62&gt;=BT$5,$D62&lt;BT$5+7),"◆",""),IF(AND($D62&lt;BT$5+7,$E62&gt;BT$5),"■","")))</x:f>
      </x:c>
      <x:c r="BU62" s="7" t="str">
        <x:f>IF(OR($D62="",BU$5="",'상세일정'!AM62="제외"),"",IF($D62=$E62,IF(AND($D62&gt;=BU$5,$D62&lt;BU$5+7),"◆",""),IF(AND($D62&lt;BU$5+7,$E62&gt;BU$5),"■","")))</x:f>
      </x:c>
      <x:c r="BV62" s="7" t="str">
        <x:f>IF(OR($D62="",BV$5="",'상세일정'!AM62="제외"),"",IF($D62=$E62,IF(AND($D62&gt;=BV$5,$D62&lt;BV$5+7),"◆",""),IF(AND($D62&lt;BV$5+7,$E62&gt;BV$5),"■","")))</x:f>
      </x:c>
      <x:c r="BW62" s="7" t="str">
        <x:f>IF(OR($D62="",BW$5="",'상세일정'!AM62="제외"),"",IF($D62=$E62,IF(AND($D62&gt;=BW$5,$D62&lt;BW$5+7),"◆",""),IF(AND($D62&lt;BW$5+7,$E62&gt;BW$5),"■","")))</x:f>
      </x:c>
      <x:c r="BX62" s="7" t="str">
        <x:f>IF(OR($D62="",BX$5="",'상세일정'!AM62="제외"),"",IF($D62=$E62,IF(AND($D62&gt;=BX$5,$D62&lt;BX$5+7),"◆",""),IF(AND($D62&lt;BX$5+7,$E62&gt;BX$5),"■","")))</x:f>
      </x:c>
      <x:c r="BY62" s="7" t="str">
        <x:f>IF(OR($D62="",BY$5="",'상세일정'!AM62="제외"),"",IF($D62=$E62,IF(AND($D62&gt;=BY$5,$D62&lt;BY$5+7),"◆",""),IF(AND($D62&lt;BY$5+7,$E62&gt;BY$5),"■","")))</x:f>
      </x:c>
      <x:c r="BZ62" s="7" t="str">
        <x:f>IF(OR($D62="",BZ$5="",'상세일정'!AM62="제외"),"",IF($D62=$E62,IF(AND($D62&gt;=BZ$5,$D62&lt;BZ$5+7),"◆",""),IF(AND($D62&lt;BZ$5+7,$E62&gt;BZ$5),"■","")))</x:f>
      </x:c>
      <x:c r="CA62" s="7" t="str">
        <x:f>IF(OR($D62="",CA$5="",'상세일정'!AM62="제외"),"",IF($D62=$E62,IF(AND($D62&gt;=CA$5,$D62&lt;CA$5+7),"◆",""),IF(AND($D62&lt;CA$5+7,$E62&gt;CA$5),"■","")))</x:f>
      </x:c>
      <x:c r="CB62" s="7" t="str">
        <x:f>IF(OR($D62="",CB$5="",'상세일정'!AM62="제외"),"",IF($D62=$E62,IF(AND($D62&gt;=CB$5,$D62&lt;CB$5+7),"◆",""),IF(AND($D62&lt;CB$5+7,$E62&gt;CB$5),"■","")))</x:f>
      </x:c>
      <x:c r="CC62" s="7" t="str">
        <x:f>IF(OR($D62="",CC$5="",'상세일정'!AM62="제외"),"",IF($D62=$E62,IF(AND($D62&gt;=CC$5,$D62&lt;CC$5+7),"◆",""),IF(AND($D62&lt;CC$5+7,$E62&gt;CC$5),"■","")))</x:f>
      </x:c>
      <x:c r="CD62" s="7" t="str">
        <x:f>IF(OR($D62="",CD$5="",'상세일정'!AM62="제외"),"",IF($D62=$E62,IF(AND($D62&gt;=CD$5,$D62&lt;CD$5+7),"◆",""),IF(AND($D62&lt;CD$5+7,$E62&gt;CD$5),"■","")))</x:f>
      </x:c>
      <x:c r="CE62" s="7" t="str">
        <x:f>IF(OR($D62="",CE$5="",'상세일정'!AM62="제외"),"",IF($D62=$E62,IF(AND($D62&gt;=CE$5,$D62&lt;CE$5+7),"◆",""),IF(AND($D62&lt;CE$5+7,$E62&gt;CE$5),"■","")))</x:f>
      </x:c>
      <x:c r="CF62" s="7" t="str">
        <x:f>IF(OR($D62="",CF$5="",'상세일정'!AM62="제외"),"",IF($D62=$E62,IF(AND($D62&gt;=CF$5,$D62&lt;CF$5+7),"◆",""),IF(AND($D62&lt;CF$5+7,$E62&gt;CF$5),"■","")))</x:f>
      </x:c>
      <x:c r="CG62" s="7" t="str">
        <x:f>IF(OR($D62="",CG$5="",'상세일정'!AM62="제외"),"",IF($D62=$E62,IF(AND($D62&gt;=CG$5,$D62&lt;CG$5+7),"◆",""),IF(AND($D62&lt;CG$5+7,$E62&gt;CG$5),"■","")))</x:f>
      </x:c>
      <x:c r="CH62" s="7" t="str">
        <x:f>IF(OR($D62="",CH$5="",'상세일정'!AM62="제외"),"",IF($D62=$E62,IF(AND($D62&gt;=CH$5,$D62&lt;CH$5+7),"◆",""),IF(AND($D62&lt;CH$5+7,$E62&gt;CH$5),"■","")))</x:f>
      </x:c>
      <x:c r="CI62" s="7" t="str">
        <x:f>IF(OR($D62="",CI$5="",'상세일정'!AM62="제외"),"",IF($D62=$E62,IF(AND($D62&gt;=CI$5,$D62&lt;CI$5+7),"◆",""),IF(AND($D62&lt;CI$5+7,$E62&gt;CI$5),"■","")))</x:f>
      </x:c>
      <x:c r="CJ62" s="7" t="str">
        <x:f>IF(OR($D62="",CJ$5="",'상세일정'!AM62="제외"),"",IF($D62=$E62,IF(AND($D62&gt;=CJ$5,$D62&lt;CJ$5+7),"◆",""),IF(AND($D62&lt;CJ$5+7,$E62&gt;CJ$5),"■","")))</x:f>
      </x:c>
      <x:c r="CK62" s="7" t="str">
        <x:f>IF(OR($D62="",CK$5="",'상세일정'!AM62="제외"),"",IF($D62=$E62,IF(AND($D62&gt;=CK$5,$D62&lt;CK$5+7),"◆",""),IF(AND($D62&lt;CK$5+7,$E62&gt;CK$5),"■","")))</x:f>
      </x:c>
      <x:c r="CL62" s="7" t="str">
        <x:f>IF(OR($D62="",CL$5="",'상세일정'!AM62="제외"),"",IF($D62=$E62,IF(AND($D62&gt;=CL$5,$D62&lt;CL$5+7),"◆",""),IF(AND($D62&lt;CL$5+7,$E62&gt;CL$5),"■","")))</x:f>
      </x:c>
      <x:c r="CM62" s="7" t="str">
        <x:f>IF(OR($D62="",CM$5="",'상세일정'!AM62="제외"),"",IF($D62=$E62,IF(AND($D62&gt;=CM$5,$D62&lt;CM$5+7),"◆",""),IF(AND($D62&lt;CM$5+7,$E62&gt;CM$5),"■","")))</x:f>
      </x:c>
      <x:c r="CN62" s="7" t="str">
        <x:f>IF(OR($D62="",CN$5="",'상세일정'!AM62="제외"),"",IF($D62=$E62,IF(AND($D62&gt;=CN$5,$D62&lt;CN$5+7),"◆",""),IF(AND($D62&lt;CN$5+7,$E62&gt;CN$5),"■","")))</x:f>
      </x:c>
      <x:c r="CO62" s="7" t="str">
        <x:f>IF(OR($D62="",CO$5="",'상세일정'!AM62="제외"),"",IF($D62=$E62,IF(AND($D62&gt;=CO$5,$D62&lt;CO$5+7),"◆",""),IF(AND($D62&lt;CO$5+7,$E62&gt;CO$5),"■","")))</x:f>
      </x:c>
      <x:c r="CP62" s="7" t="str">
        <x:f>IF(OR($D62="",CP$5="",'상세일정'!AM62="제외"),"",IF($D62=$E62,IF(AND($D62&gt;=CP$5,$D62&lt;CP$5+7),"◆",""),IF(AND($D62&lt;CP$5+7,$E62&gt;CP$5),"■","")))</x:f>
      </x:c>
      <x:c r="CQ62" s="7" t="str">
        <x:f>IF(OR($D62="",CQ$5="",'상세일정'!AM62="제외"),"",IF($D62=$E62,IF(AND($D62&gt;=CQ$5,$D62&lt;CQ$5+7),"◆",""),IF(AND($D62&lt;CQ$5+7,$E62&gt;CQ$5),"■","")))</x:f>
      </x:c>
      <x:c r="CR62" s="7" t="str">
        <x:f>IF(OR($D62="",CR$5="",'상세일정'!AM62="제외"),"",IF($D62=$E62,IF(AND($D62&gt;=CR$5,$D62&lt;CR$5+7),"◆",""),IF(AND($D62&lt;CR$5+7,$E62&gt;CR$5),"■","")))</x:f>
      </x:c>
      <x:c r="CS62" s="7" t="str">
        <x:f>IF(OR($D62="",CS$5="",'상세일정'!AM62="제외"),"",IF($D62=$E62,IF(AND($D62&gt;=CS$5,$D62&lt;CS$5+7),"◆",""),IF(AND($D62&lt;CS$5+7,$E62&gt;CS$5),"■","")))</x:f>
      </x:c>
      <x:c r="CT62" s="7" t="str">
        <x:f>IF(OR($D62="",CT$5="",'상세일정'!AM62="제외"),"",IF($D62=$E62,IF(AND($D62&gt;=CT$5,$D62&lt;CT$5+7),"◆",""),IF(AND($D62&lt;CT$5+7,$E62&gt;CT$5),"■","")))</x:f>
      </x:c>
      <x:c r="CU62" s="7" t="str">
        <x:f>IF(OR($D62="",CU$5="",'상세일정'!AM62="제외"),"",IF($D62=$E62,IF(AND($D62&gt;=CU$5,$D62&lt;CU$5+7),"◆",""),IF(AND($D62&lt;CU$5+7,$E62&gt;CU$5),"■","")))</x:f>
      </x:c>
      <x:c r="CV62" s="7" t="str">
        <x:f>IF(OR($D62="",CV$5="",'상세일정'!AM62="제외"),"",IF($D62=$E62,IF(AND($D62&gt;=CV$5,$D62&lt;CV$5+7),"◆",""),IF(AND($D62&lt;CV$5+7,$E62&gt;CV$5),"■","")))</x:f>
      </x:c>
      <x:c r="CW62" s="7" t="str">
        <x:f>IF(OR($D62="",CW$5="",'상세일정'!AM62="제외"),"",IF($D62=$E62,IF(AND($D62&gt;=CW$5,$D62&lt;CW$5+7),"◆",""),IF(AND($D62&lt;CW$5+7,$E62&gt;CW$5),"■","")))</x:f>
      </x:c>
      <x:c r="CX62" s="7" t="str">
        <x:f>IF(OR($D62="",CX$5="",'상세일정'!AM62="제외"),"",IF($D62=$E62,IF(AND($D62&gt;=CX$5,$D62&lt;CX$5+7),"◆",""),IF(AND($D62&lt;CX$5+7,$E62&gt;CX$5),"■","")))</x:f>
      </x:c>
      <x:c r="CY62" s="7" t="str">
        <x:f>IF(OR($D62="",CY$5="",'상세일정'!AM62="제외"),"",IF($D62=$E62,IF(AND($D62&gt;=CY$5,$D62&lt;CY$5+7),"◆",""),IF(AND($D62&lt;CY$5+7,$E62&gt;CY$5),"■","")))</x:f>
      </x:c>
      <x:c r="CZ62" s="7" t="str">
        <x:f>IF(OR($D62="",CZ$5="",'상세일정'!AM62="제외"),"",IF($D62=$E62,IF(AND($D62&gt;=CZ$5,$D62&lt;CZ$5+7),"◆",""),IF(AND($D62&lt;CZ$5+7,$E62&gt;CZ$5),"■","")))</x:f>
      </x:c>
      <x:c r="DA62" s="7" t="str">
        <x:f>IF(OR($D62="",DA$5="",'상세일정'!AM62="제외"),"",IF($D62=$E62,IF(AND($D62&gt;=DA$5,$D62&lt;DA$5+7),"◆",""),IF(AND($D62&lt;DA$5+7,$E62&gt;DA$5),"■","")))</x:f>
      </x:c>
      <x:c r="DB62" s="7" t="str">
        <x:f>IF(OR($D62="",DB$5="",'상세일정'!AM62="제외"),"",IF($D62=$E62,IF(AND($D62&gt;=DB$5,$D62&lt;DB$5+7),"◆",""),IF(AND($D62&lt;DB$5+7,$E62&gt;DB$5),"■","")))</x:f>
      </x:c>
      <x:c r="DC62" s="7" t="str">
        <x:f>IF(OR($D62="",DC$5="",'상세일정'!AM62="제외"),"",IF($D62=$E62,IF(AND($D62&gt;=DC$5,$D62&lt;DC$5+7),"◆",""),IF(AND($D62&lt;DC$5+7,$E62&gt;DC$5),"■","")))</x:f>
      </x:c>
      <x:c r="DD62" s="7" t="str">
        <x:f>IF(OR($D62="",DD$5="",'상세일정'!AM62="제외"),"",IF($D62=$E62,IF(AND($D62&gt;=DD$5,$D62&lt;DD$5+7),"◆",""),IF(AND($D62&lt;DD$5+7,$E62&gt;DD$5),"■","")))</x:f>
      </x:c>
      <x:c r="DE62" s="7" t="str">
        <x:f>IF(OR($D62="",DE$5="",'상세일정'!AM62="제외"),"",IF($D62=$E62,IF(AND($D62&gt;=DE$5,$D62&lt;DE$5+7),"◆",""),IF(AND($D62&lt;DE$5+7,$E62&gt;DE$5),"■","")))</x:f>
      </x:c>
    </x:row>
    <x:row r="63" ht="34" customHeight="1">
      <x:c r="A63" s="7" t="str">
        <x:v>EX04</x:v>
      </x:c>
      <x:c r="B63" s="7" t="str">
        <x:v>03 도시계획·실시계획</x:v>
      </x:c>
      <x:c r="C63" s="7" t="str">
        <x:v>실시계획인가 및 의제협의 신청</x:v>
      </x:c>
      <x:c r="D63" s="10" t="str">
        <x:f>'상세일정'!AJ63</x:f>
      </x:c>
      <x:c r="E63" s="10" t="str">
        <x:f>'상세일정'!AK63</x:f>
      </x:c>
      <x:c r="F63" s="7" t="str">
        <x:f>IF(OR($D63="",F$5="",'상세일정'!AM63="제외"),"",IF($D63=$E63,IF(AND($D63&gt;=F$5,$D63&lt;F$5+7),"◆",""),IF(AND($D63&lt;F$5+7,$E63&gt;F$5),"■","")))</x:f>
      </x:c>
      <x:c r="G63" s="7" t="str">
        <x:f>IF(OR($D63="",G$5="",'상세일정'!AM63="제외"),"",IF($D63=$E63,IF(AND($D63&gt;=G$5,$D63&lt;G$5+7),"◆",""),IF(AND($D63&lt;G$5+7,$E63&gt;G$5),"■","")))</x:f>
      </x:c>
      <x:c r="H63" s="7" t="str">
        <x:f>IF(OR($D63="",H$5="",'상세일정'!AM63="제외"),"",IF($D63=$E63,IF(AND($D63&gt;=H$5,$D63&lt;H$5+7),"◆",""),IF(AND($D63&lt;H$5+7,$E63&gt;H$5),"■","")))</x:f>
      </x:c>
      <x:c r="I63" s="7" t="str">
        <x:f>IF(OR($D63="",I$5="",'상세일정'!AM63="제외"),"",IF($D63=$E63,IF(AND($D63&gt;=I$5,$D63&lt;I$5+7),"◆",""),IF(AND($D63&lt;I$5+7,$E63&gt;I$5),"■","")))</x:f>
      </x:c>
      <x:c r="J63" s="7" t="str">
        <x:f>IF(OR($D63="",J$5="",'상세일정'!AM63="제외"),"",IF($D63=$E63,IF(AND($D63&gt;=J$5,$D63&lt;J$5+7),"◆",""),IF(AND($D63&lt;J$5+7,$E63&gt;J$5),"■","")))</x:f>
      </x:c>
      <x:c r="K63" s="7" t="str">
        <x:f>IF(OR($D63="",K$5="",'상세일정'!AM63="제외"),"",IF($D63=$E63,IF(AND($D63&gt;=K$5,$D63&lt;K$5+7),"◆",""),IF(AND($D63&lt;K$5+7,$E63&gt;K$5),"■","")))</x:f>
      </x:c>
      <x:c r="L63" s="7" t="str">
        <x:f>IF(OR($D63="",L$5="",'상세일정'!AM63="제외"),"",IF($D63=$E63,IF(AND($D63&gt;=L$5,$D63&lt;L$5+7),"◆",""),IF(AND($D63&lt;L$5+7,$E63&gt;L$5),"■","")))</x:f>
      </x:c>
      <x:c r="M63" s="7" t="str">
        <x:f>IF(OR($D63="",M$5="",'상세일정'!AM63="제외"),"",IF($D63=$E63,IF(AND($D63&gt;=M$5,$D63&lt;M$5+7),"◆",""),IF(AND($D63&lt;M$5+7,$E63&gt;M$5),"■","")))</x:f>
      </x:c>
      <x:c r="N63" s="7" t="str">
        <x:f>IF(OR($D63="",N$5="",'상세일정'!AM63="제외"),"",IF($D63=$E63,IF(AND($D63&gt;=N$5,$D63&lt;N$5+7),"◆",""),IF(AND($D63&lt;N$5+7,$E63&gt;N$5),"■","")))</x:f>
      </x:c>
      <x:c r="O63" s="7" t="str">
        <x:f>IF(OR($D63="",O$5="",'상세일정'!AM63="제외"),"",IF($D63=$E63,IF(AND($D63&gt;=O$5,$D63&lt;O$5+7),"◆",""),IF(AND($D63&lt;O$5+7,$E63&gt;O$5),"■","")))</x:f>
      </x:c>
      <x:c r="P63" s="7" t="str">
        <x:f>IF(OR($D63="",P$5="",'상세일정'!AM63="제외"),"",IF($D63=$E63,IF(AND($D63&gt;=P$5,$D63&lt;P$5+7),"◆",""),IF(AND($D63&lt;P$5+7,$E63&gt;P$5),"■","")))</x:f>
      </x:c>
      <x:c r="Q63" s="7" t="str">
        <x:f>IF(OR($D63="",Q$5="",'상세일정'!AM63="제외"),"",IF($D63=$E63,IF(AND($D63&gt;=Q$5,$D63&lt;Q$5+7),"◆",""),IF(AND($D63&lt;Q$5+7,$E63&gt;Q$5),"■","")))</x:f>
      </x:c>
      <x:c r="R63" s="7" t="str">
        <x:f>IF(OR($D63="",R$5="",'상세일정'!AM63="제외"),"",IF($D63=$E63,IF(AND($D63&gt;=R$5,$D63&lt;R$5+7),"◆",""),IF(AND($D63&lt;R$5+7,$E63&gt;R$5),"■","")))</x:f>
      </x:c>
      <x:c r="S63" s="7" t="str">
        <x:f>IF(OR($D63="",S$5="",'상세일정'!AM63="제외"),"",IF($D63=$E63,IF(AND($D63&gt;=S$5,$D63&lt;S$5+7),"◆",""),IF(AND($D63&lt;S$5+7,$E63&gt;S$5),"■","")))</x:f>
      </x:c>
      <x:c r="T63" s="7" t="str">
        <x:f>IF(OR($D63="",T$5="",'상세일정'!AM63="제외"),"",IF($D63=$E63,IF(AND($D63&gt;=T$5,$D63&lt;T$5+7),"◆",""),IF(AND($D63&lt;T$5+7,$E63&gt;T$5),"■","")))</x:f>
      </x:c>
      <x:c r="U63" s="7" t="str">
        <x:f>IF(OR($D63="",U$5="",'상세일정'!AM63="제외"),"",IF($D63=$E63,IF(AND($D63&gt;=U$5,$D63&lt;U$5+7),"◆",""),IF(AND($D63&lt;U$5+7,$E63&gt;U$5),"■","")))</x:f>
      </x:c>
      <x:c r="V63" s="7" t="str">
        <x:f>IF(OR($D63="",V$5="",'상세일정'!AM63="제외"),"",IF($D63=$E63,IF(AND($D63&gt;=V$5,$D63&lt;V$5+7),"◆",""),IF(AND($D63&lt;V$5+7,$E63&gt;V$5),"■","")))</x:f>
      </x:c>
      <x:c r="W63" s="7" t="str">
        <x:f>IF(OR($D63="",W$5="",'상세일정'!AM63="제외"),"",IF($D63=$E63,IF(AND($D63&gt;=W$5,$D63&lt;W$5+7),"◆",""),IF(AND($D63&lt;W$5+7,$E63&gt;W$5),"■","")))</x:f>
      </x:c>
      <x:c r="X63" s="7" t="str">
        <x:f>IF(OR($D63="",X$5="",'상세일정'!AM63="제외"),"",IF($D63=$E63,IF(AND($D63&gt;=X$5,$D63&lt;X$5+7),"◆",""),IF(AND($D63&lt;X$5+7,$E63&gt;X$5),"■","")))</x:f>
      </x:c>
      <x:c r="Y63" s="7" t="str">
        <x:f>IF(OR($D63="",Y$5="",'상세일정'!AM63="제외"),"",IF($D63=$E63,IF(AND($D63&gt;=Y$5,$D63&lt;Y$5+7),"◆",""),IF(AND($D63&lt;Y$5+7,$E63&gt;Y$5),"■","")))</x:f>
      </x:c>
      <x:c r="Z63" s="7" t="str">
        <x:f>IF(OR($D63="",Z$5="",'상세일정'!AM63="제외"),"",IF($D63=$E63,IF(AND($D63&gt;=Z$5,$D63&lt;Z$5+7),"◆",""),IF(AND($D63&lt;Z$5+7,$E63&gt;Z$5),"■","")))</x:f>
      </x:c>
      <x:c r="AA63" s="7" t="str">
        <x:f>IF(OR($D63="",AA$5="",'상세일정'!AM63="제외"),"",IF($D63=$E63,IF(AND($D63&gt;=AA$5,$D63&lt;AA$5+7),"◆",""),IF(AND($D63&lt;AA$5+7,$E63&gt;AA$5),"■","")))</x:f>
      </x:c>
      <x:c r="AB63" s="7" t="str">
        <x:f>IF(OR($D63="",AB$5="",'상세일정'!AM63="제외"),"",IF($D63=$E63,IF(AND($D63&gt;=AB$5,$D63&lt;AB$5+7),"◆",""),IF(AND($D63&lt;AB$5+7,$E63&gt;AB$5),"■","")))</x:f>
      </x:c>
      <x:c r="AC63" s="7" t="str">
        <x:f>IF(OR($D63="",AC$5="",'상세일정'!AM63="제외"),"",IF($D63=$E63,IF(AND($D63&gt;=AC$5,$D63&lt;AC$5+7),"◆",""),IF(AND($D63&lt;AC$5+7,$E63&gt;AC$5),"■","")))</x:f>
      </x:c>
      <x:c r="AD63" s="7" t="str">
        <x:f>IF(OR($D63="",AD$5="",'상세일정'!AM63="제외"),"",IF($D63=$E63,IF(AND($D63&gt;=AD$5,$D63&lt;AD$5+7),"◆",""),IF(AND($D63&lt;AD$5+7,$E63&gt;AD$5),"■","")))</x:f>
      </x:c>
      <x:c r="AE63" s="7" t="str">
        <x:f>IF(OR($D63="",AE$5="",'상세일정'!AM63="제외"),"",IF($D63=$E63,IF(AND($D63&gt;=AE$5,$D63&lt;AE$5+7),"◆",""),IF(AND($D63&lt;AE$5+7,$E63&gt;AE$5),"■","")))</x:f>
      </x:c>
      <x:c r="AF63" s="7" t="str">
        <x:f>IF(OR($D63="",AF$5="",'상세일정'!AM63="제외"),"",IF($D63=$E63,IF(AND($D63&gt;=AF$5,$D63&lt;AF$5+7),"◆",""),IF(AND($D63&lt;AF$5+7,$E63&gt;AF$5),"■","")))</x:f>
      </x:c>
      <x:c r="AG63" s="7" t="str">
        <x:f>IF(OR($D63="",AG$5="",'상세일정'!AM63="제외"),"",IF($D63=$E63,IF(AND($D63&gt;=AG$5,$D63&lt;AG$5+7),"◆",""),IF(AND($D63&lt;AG$5+7,$E63&gt;AG$5),"■","")))</x:f>
      </x:c>
      <x:c r="AH63" s="7" t="str">
        <x:f>IF(OR($D63="",AH$5="",'상세일정'!AM63="제외"),"",IF($D63=$E63,IF(AND($D63&gt;=AH$5,$D63&lt;AH$5+7),"◆",""),IF(AND($D63&lt;AH$5+7,$E63&gt;AH$5),"■","")))</x:f>
      </x:c>
      <x:c r="AI63" s="7" t="str">
        <x:f>IF(OR($D63="",AI$5="",'상세일정'!AM63="제외"),"",IF($D63=$E63,IF(AND($D63&gt;=AI$5,$D63&lt;AI$5+7),"◆",""),IF(AND($D63&lt;AI$5+7,$E63&gt;AI$5),"■","")))</x:f>
      </x:c>
      <x:c r="AJ63" s="7" t="str">
        <x:f>IF(OR($D63="",AJ$5="",'상세일정'!AM63="제외"),"",IF($D63=$E63,IF(AND($D63&gt;=AJ$5,$D63&lt;AJ$5+7),"◆",""),IF(AND($D63&lt;AJ$5+7,$E63&gt;AJ$5),"■","")))</x:f>
      </x:c>
      <x:c r="AK63" s="7" t="str">
        <x:f>IF(OR($D63="",AK$5="",'상세일정'!AM63="제외"),"",IF($D63=$E63,IF(AND($D63&gt;=AK$5,$D63&lt;AK$5+7),"◆",""),IF(AND($D63&lt;AK$5+7,$E63&gt;AK$5),"■","")))</x:f>
      </x:c>
      <x:c r="AL63" s="7" t="str">
        <x:f>IF(OR($D63="",AL$5="",'상세일정'!AM63="제외"),"",IF($D63=$E63,IF(AND($D63&gt;=AL$5,$D63&lt;AL$5+7),"◆",""),IF(AND($D63&lt;AL$5+7,$E63&gt;AL$5),"■","")))</x:f>
      </x:c>
      <x:c r="AM63" s="7" t="str">
        <x:f>IF(OR($D63="",AM$5="",'상세일정'!AM63="제외"),"",IF($D63=$E63,IF(AND($D63&gt;=AM$5,$D63&lt;AM$5+7),"◆",""),IF(AND($D63&lt;AM$5+7,$E63&gt;AM$5),"■","")))</x:f>
      </x:c>
      <x:c r="AN63" s="7" t="str">
        <x:f>IF(OR($D63="",AN$5="",'상세일정'!AM63="제외"),"",IF($D63=$E63,IF(AND($D63&gt;=AN$5,$D63&lt;AN$5+7),"◆",""),IF(AND($D63&lt;AN$5+7,$E63&gt;AN$5),"■","")))</x:f>
      </x:c>
      <x:c r="AO63" s="7" t="str">
        <x:f>IF(OR($D63="",AO$5="",'상세일정'!AM63="제외"),"",IF($D63=$E63,IF(AND($D63&gt;=AO$5,$D63&lt;AO$5+7),"◆",""),IF(AND($D63&lt;AO$5+7,$E63&gt;AO$5),"■","")))</x:f>
      </x:c>
      <x:c r="AP63" s="7" t="str">
        <x:f>IF(OR($D63="",AP$5="",'상세일정'!AM63="제외"),"",IF($D63=$E63,IF(AND($D63&gt;=AP$5,$D63&lt;AP$5+7),"◆",""),IF(AND($D63&lt;AP$5+7,$E63&gt;AP$5),"■","")))</x:f>
      </x:c>
      <x:c r="AQ63" s="7" t="str">
        <x:f>IF(OR($D63="",AQ$5="",'상세일정'!AM63="제외"),"",IF($D63=$E63,IF(AND($D63&gt;=AQ$5,$D63&lt;AQ$5+7),"◆",""),IF(AND($D63&lt;AQ$5+7,$E63&gt;AQ$5),"■","")))</x:f>
      </x:c>
      <x:c r="AR63" s="7" t="str">
        <x:f>IF(OR($D63="",AR$5="",'상세일정'!AM63="제외"),"",IF($D63=$E63,IF(AND($D63&gt;=AR$5,$D63&lt;AR$5+7),"◆",""),IF(AND($D63&lt;AR$5+7,$E63&gt;AR$5),"■","")))</x:f>
      </x:c>
      <x:c r="AS63" s="7" t="str">
        <x:f>IF(OR($D63="",AS$5="",'상세일정'!AM63="제외"),"",IF($D63=$E63,IF(AND($D63&gt;=AS$5,$D63&lt;AS$5+7),"◆",""),IF(AND($D63&lt;AS$5+7,$E63&gt;AS$5),"■","")))</x:f>
      </x:c>
      <x:c r="AT63" s="7" t="str">
        <x:f>IF(OR($D63="",AT$5="",'상세일정'!AM63="제외"),"",IF($D63=$E63,IF(AND($D63&gt;=AT$5,$D63&lt;AT$5+7),"◆",""),IF(AND($D63&lt;AT$5+7,$E63&gt;AT$5),"■","")))</x:f>
      </x:c>
      <x:c r="AU63" s="7" t="str">
        <x:f>IF(OR($D63="",AU$5="",'상세일정'!AM63="제외"),"",IF($D63=$E63,IF(AND($D63&gt;=AU$5,$D63&lt;AU$5+7),"◆",""),IF(AND($D63&lt;AU$5+7,$E63&gt;AU$5),"■","")))</x:f>
      </x:c>
      <x:c r="AV63" s="7" t="str">
        <x:f>IF(OR($D63="",AV$5="",'상세일정'!AM63="제외"),"",IF($D63=$E63,IF(AND($D63&gt;=AV$5,$D63&lt;AV$5+7),"◆",""),IF(AND($D63&lt;AV$5+7,$E63&gt;AV$5),"■","")))</x:f>
      </x:c>
      <x:c r="AW63" s="7" t="str">
        <x:f>IF(OR($D63="",AW$5="",'상세일정'!AM63="제외"),"",IF($D63=$E63,IF(AND($D63&gt;=AW$5,$D63&lt;AW$5+7),"◆",""),IF(AND($D63&lt;AW$5+7,$E63&gt;AW$5),"■","")))</x:f>
      </x:c>
      <x:c r="AX63" s="7" t="str">
        <x:f>IF(OR($D63="",AX$5="",'상세일정'!AM63="제외"),"",IF($D63=$E63,IF(AND($D63&gt;=AX$5,$D63&lt;AX$5+7),"◆",""),IF(AND($D63&lt;AX$5+7,$E63&gt;AX$5),"■","")))</x:f>
      </x:c>
      <x:c r="AY63" s="7" t="str">
        <x:f>IF(OR($D63="",AY$5="",'상세일정'!AM63="제외"),"",IF($D63=$E63,IF(AND($D63&gt;=AY$5,$D63&lt;AY$5+7),"◆",""),IF(AND($D63&lt;AY$5+7,$E63&gt;AY$5),"■","")))</x:f>
      </x:c>
      <x:c r="AZ63" s="7" t="str">
        <x:f>IF(OR($D63="",AZ$5="",'상세일정'!AM63="제외"),"",IF($D63=$E63,IF(AND($D63&gt;=AZ$5,$D63&lt;AZ$5+7),"◆",""),IF(AND($D63&lt;AZ$5+7,$E63&gt;AZ$5),"■","")))</x:f>
      </x:c>
      <x:c r="BA63" s="7" t="str">
        <x:f>IF(OR($D63="",BA$5="",'상세일정'!AM63="제외"),"",IF($D63=$E63,IF(AND($D63&gt;=BA$5,$D63&lt;BA$5+7),"◆",""),IF(AND($D63&lt;BA$5+7,$E63&gt;BA$5),"■","")))</x:f>
      </x:c>
      <x:c r="BB63" s="7" t="str">
        <x:f>IF(OR($D63="",BB$5="",'상세일정'!AM63="제외"),"",IF($D63=$E63,IF(AND($D63&gt;=BB$5,$D63&lt;BB$5+7),"◆",""),IF(AND($D63&lt;BB$5+7,$E63&gt;BB$5),"■","")))</x:f>
      </x:c>
      <x:c r="BC63" s="7" t="str">
        <x:f>IF(OR($D63="",BC$5="",'상세일정'!AM63="제외"),"",IF($D63=$E63,IF(AND($D63&gt;=BC$5,$D63&lt;BC$5+7),"◆",""),IF(AND($D63&lt;BC$5+7,$E63&gt;BC$5),"■","")))</x:f>
      </x:c>
      <x:c r="BD63" s="7" t="str">
        <x:f>IF(OR($D63="",BD$5="",'상세일정'!AM63="제외"),"",IF($D63=$E63,IF(AND($D63&gt;=BD$5,$D63&lt;BD$5+7),"◆",""),IF(AND($D63&lt;BD$5+7,$E63&gt;BD$5),"■","")))</x:f>
      </x:c>
      <x:c r="BE63" s="7" t="str">
        <x:f>IF(OR($D63="",BE$5="",'상세일정'!AM63="제외"),"",IF($D63=$E63,IF(AND($D63&gt;=BE$5,$D63&lt;BE$5+7),"◆",""),IF(AND($D63&lt;BE$5+7,$E63&gt;BE$5),"■","")))</x:f>
      </x:c>
      <x:c r="BF63" s="7" t="str">
        <x:f>IF(OR($D63="",BF$5="",'상세일정'!AM63="제외"),"",IF($D63=$E63,IF(AND($D63&gt;=BF$5,$D63&lt;BF$5+7),"◆",""),IF(AND($D63&lt;BF$5+7,$E63&gt;BF$5),"■","")))</x:f>
      </x:c>
      <x:c r="BG63" s="7" t="str">
        <x:f>IF(OR($D63="",BG$5="",'상세일정'!AM63="제외"),"",IF($D63=$E63,IF(AND($D63&gt;=BG$5,$D63&lt;BG$5+7),"◆",""),IF(AND($D63&lt;BG$5+7,$E63&gt;BG$5),"■","")))</x:f>
      </x:c>
      <x:c r="BH63" s="7" t="str">
        <x:f>IF(OR($D63="",BH$5="",'상세일정'!AM63="제외"),"",IF($D63=$E63,IF(AND($D63&gt;=BH$5,$D63&lt;BH$5+7),"◆",""),IF(AND($D63&lt;BH$5+7,$E63&gt;BH$5),"■","")))</x:f>
      </x:c>
      <x:c r="BI63" s="7" t="str">
        <x:f>IF(OR($D63="",BI$5="",'상세일정'!AM63="제외"),"",IF($D63=$E63,IF(AND($D63&gt;=BI$5,$D63&lt;BI$5+7),"◆",""),IF(AND($D63&lt;BI$5+7,$E63&gt;BI$5),"■","")))</x:f>
      </x:c>
      <x:c r="BJ63" s="7" t="str">
        <x:f>IF(OR($D63="",BJ$5="",'상세일정'!AM63="제외"),"",IF($D63=$E63,IF(AND($D63&gt;=BJ$5,$D63&lt;BJ$5+7),"◆",""),IF(AND($D63&lt;BJ$5+7,$E63&gt;BJ$5),"■","")))</x:f>
      </x:c>
      <x:c r="BK63" s="7" t="str">
        <x:f>IF(OR($D63="",BK$5="",'상세일정'!AM63="제외"),"",IF($D63=$E63,IF(AND($D63&gt;=BK$5,$D63&lt;BK$5+7),"◆",""),IF(AND($D63&lt;BK$5+7,$E63&gt;BK$5),"■","")))</x:f>
      </x:c>
      <x:c r="BL63" s="7" t="str">
        <x:f>IF(OR($D63="",BL$5="",'상세일정'!AM63="제외"),"",IF($D63=$E63,IF(AND($D63&gt;=BL$5,$D63&lt;BL$5+7),"◆",""),IF(AND($D63&lt;BL$5+7,$E63&gt;BL$5),"■","")))</x:f>
      </x:c>
      <x:c r="BM63" s="7" t="str">
        <x:f>IF(OR($D63="",BM$5="",'상세일정'!AM63="제외"),"",IF($D63=$E63,IF(AND($D63&gt;=BM$5,$D63&lt;BM$5+7),"◆",""),IF(AND($D63&lt;BM$5+7,$E63&gt;BM$5),"■","")))</x:f>
      </x:c>
      <x:c r="BN63" s="7" t="str">
        <x:f>IF(OR($D63="",BN$5="",'상세일정'!AM63="제외"),"",IF($D63=$E63,IF(AND($D63&gt;=BN$5,$D63&lt;BN$5+7),"◆",""),IF(AND($D63&lt;BN$5+7,$E63&gt;BN$5),"■","")))</x:f>
      </x:c>
      <x:c r="BO63" s="7" t="str">
        <x:f>IF(OR($D63="",BO$5="",'상세일정'!AM63="제외"),"",IF($D63=$E63,IF(AND($D63&gt;=BO$5,$D63&lt;BO$5+7),"◆",""),IF(AND($D63&lt;BO$5+7,$E63&gt;BO$5),"■","")))</x:f>
      </x:c>
      <x:c r="BP63" s="7" t="str">
        <x:f>IF(OR($D63="",BP$5="",'상세일정'!AM63="제외"),"",IF($D63=$E63,IF(AND($D63&gt;=BP$5,$D63&lt;BP$5+7),"◆",""),IF(AND($D63&lt;BP$5+7,$E63&gt;BP$5),"■","")))</x:f>
      </x:c>
      <x:c r="BQ63" s="7" t="str">
        <x:f>IF(OR($D63="",BQ$5="",'상세일정'!AM63="제외"),"",IF($D63=$E63,IF(AND($D63&gt;=BQ$5,$D63&lt;BQ$5+7),"◆",""),IF(AND($D63&lt;BQ$5+7,$E63&gt;BQ$5),"■","")))</x:f>
      </x:c>
      <x:c r="BR63" s="7" t="str">
        <x:f>IF(OR($D63="",BR$5="",'상세일정'!AM63="제외"),"",IF($D63=$E63,IF(AND($D63&gt;=BR$5,$D63&lt;BR$5+7),"◆",""),IF(AND($D63&lt;BR$5+7,$E63&gt;BR$5),"■","")))</x:f>
      </x:c>
      <x:c r="BS63" s="7" t="str">
        <x:f>IF(OR($D63="",BS$5="",'상세일정'!AM63="제외"),"",IF($D63=$E63,IF(AND($D63&gt;=BS$5,$D63&lt;BS$5+7),"◆",""),IF(AND($D63&lt;BS$5+7,$E63&gt;BS$5),"■","")))</x:f>
      </x:c>
      <x:c r="BT63" s="7" t="str">
        <x:f>IF(OR($D63="",BT$5="",'상세일정'!AM63="제외"),"",IF($D63=$E63,IF(AND($D63&gt;=BT$5,$D63&lt;BT$5+7),"◆",""),IF(AND($D63&lt;BT$5+7,$E63&gt;BT$5),"■","")))</x:f>
      </x:c>
      <x:c r="BU63" s="7" t="str">
        <x:f>IF(OR($D63="",BU$5="",'상세일정'!AM63="제외"),"",IF($D63=$E63,IF(AND($D63&gt;=BU$5,$D63&lt;BU$5+7),"◆",""),IF(AND($D63&lt;BU$5+7,$E63&gt;BU$5),"■","")))</x:f>
      </x:c>
      <x:c r="BV63" s="7" t="str">
        <x:f>IF(OR($D63="",BV$5="",'상세일정'!AM63="제외"),"",IF($D63=$E63,IF(AND($D63&gt;=BV$5,$D63&lt;BV$5+7),"◆",""),IF(AND($D63&lt;BV$5+7,$E63&gt;BV$5),"■","")))</x:f>
      </x:c>
      <x:c r="BW63" s="7" t="str">
        <x:f>IF(OR($D63="",BW$5="",'상세일정'!AM63="제외"),"",IF($D63=$E63,IF(AND($D63&gt;=BW$5,$D63&lt;BW$5+7),"◆",""),IF(AND($D63&lt;BW$5+7,$E63&gt;BW$5),"■","")))</x:f>
      </x:c>
      <x:c r="BX63" s="7" t="str">
        <x:f>IF(OR($D63="",BX$5="",'상세일정'!AM63="제외"),"",IF($D63=$E63,IF(AND($D63&gt;=BX$5,$D63&lt;BX$5+7),"◆",""),IF(AND($D63&lt;BX$5+7,$E63&gt;BX$5),"■","")))</x:f>
      </x:c>
      <x:c r="BY63" s="7" t="str">
        <x:f>IF(OR($D63="",BY$5="",'상세일정'!AM63="제외"),"",IF($D63=$E63,IF(AND($D63&gt;=BY$5,$D63&lt;BY$5+7),"◆",""),IF(AND($D63&lt;BY$5+7,$E63&gt;BY$5),"■","")))</x:f>
      </x:c>
      <x:c r="BZ63" s="7" t="str">
        <x:f>IF(OR($D63="",BZ$5="",'상세일정'!AM63="제외"),"",IF($D63=$E63,IF(AND($D63&gt;=BZ$5,$D63&lt;BZ$5+7),"◆",""),IF(AND($D63&lt;BZ$5+7,$E63&gt;BZ$5),"■","")))</x:f>
      </x:c>
      <x:c r="CA63" s="7" t="str">
        <x:f>IF(OR($D63="",CA$5="",'상세일정'!AM63="제외"),"",IF($D63=$E63,IF(AND($D63&gt;=CA$5,$D63&lt;CA$5+7),"◆",""),IF(AND($D63&lt;CA$5+7,$E63&gt;CA$5),"■","")))</x:f>
      </x:c>
      <x:c r="CB63" s="7" t="str">
        <x:f>IF(OR($D63="",CB$5="",'상세일정'!AM63="제외"),"",IF($D63=$E63,IF(AND($D63&gt;=CB$5,$D63&lt;CB$5+7),"◆",""),IF(AND($D63&lt;CB$5+7,$E63&gt;CB$5),"■","")))</x:f>
      </x:c>
      <x:c r="CC63" s="7" t="str">
        <x:f>IF(OR($D63="",CC$5="",'상세일정'!AM63="제외"),"",IF($D63=$E63,IF(AND($D63&gt;=CC$5,$D63&lt;CC$5+7),"◆",""),IF(AND($D63&lt;CC$5+7,$E63&gt;CC$5),"■","")))</x:f>
      </x:c>
      <x:c r="CD63" s="7" t="str">
        <x:f>IF(OR($D63="",CD$5="",'상세일정'!AM63="제외"),"",IF($D63=$E63,IF(AND($D63&gt;=CD$5,$D63&lt;CD$5+7),"◆",""),IF(AND($D63&lt;CD$5+7,$E63&gt;CD$5),"■","")))</x:f>
      </x:c>
      <x:c r="CE63" s="7" t="str">
        <x:f>IF(OR($D63="",CE$5="",'상세일정'!AM63="제외"),"",IF($D63=$E63,IF(AND($D63&gt;=CE$5,$D63&lt;CE$5+7),"◆",""),IF(AND($D63&lt;CE$5+7,$E63&gt;CE$5),"■","")))</x:f>
      </x:c>
      <x:c r="CF63" s="7" t="str">
        <x:f>IF(OR($D63="",CF$5="",'상세일정'!AM63="제외"),"",IF($D63=$E63,IF(AND($D63&gt;=CF$5,$D63&lt;CF$5+7),"◆",""),IF(AND($D63&lt;CF$5+7,$E63&gt;CF$5),"■","")))</x:f>
      </x:c>
      <x:c r="CG63" s="7" t="str">
        <x:f>IF(OR($D63="",CG$5="",'상세일정'!AM63="제외"),"",IF($D63=$E63,IF(AND($D63&gt;=CG$5,$D63&lt;CG$5+7),"◆",""),IF(AND($D63&lt;CG$5+7,$E63&gt;CG$5),"■","")))</x:f>
      </x:c>
      <x:c r="CH63" s="7" t="str">
        <x:f>IF(OR($D63="",CH$5="",'상세일정'!AM63="제외"),"",IF($D63=$E63,IF(AND($D63&gt;=CH$5,$D63&lt;CH$5+7),"◆",""),IF(AND($D63&lt;CH$5+7,$E63&gt;CH$5),"■","")))</x:f>
      </x:c>
      <x:c r="CI63" s="7" t="str">
        <x:f>IF(OR($D63="",CI$5="",'상세일정'!AM63="제외"),"",IF($D63=$E63,IF(AND($D63&gt;=CI$5,$D63&lt;CI$5+7),"◆",""),IF(AND($D63&lt;CI$5+7,$E63&gt;CI$5),"■","")))</x:f>
      </x:c>
      <x:c r="CJ63" s="7" t="str">
        <x:f>IF(OR($D63="",CJ$5="",'상세일정'!AM63="제외"),"",IF($D63=$E63,IF(AND($D63&gt;=CJ$5,$D63&lt;CJ$5+7),"◆",""),IF(AND($D63&lt;CJ$5+7,$E63&gt;CJ$5),"■","")))</x:f>
      </x:c>
      <x:c r="CK63" s="7" t="str">
        <x:f>IF(OR($D63="",CK$5="",'상세일정'!AM63="제외"),"",IF($D63=$E63,IF(AND($D63&gt;=CK$5,$D63&lt;CK$5+7),"◆",""),IF(AND($D63&lt;CK$5+7,$E63&gt;CK$5),"■","")))</x:f>
      </x:c>
      <x:c r="CL63" s="7" t="str">
        <x:f>IF(OR($D63="",CL$5="",'상세일정'!AM63="제외"),"",IF($D63=$E63,IF(AND($D63&gt;=CL$5,$D63&lt;CL$5+7),"◆",""),IF(AND($D63&lt;CL$5+7,$E63&gt;CL$5),"■","")))</x:f>
      </x:c>
      <x:c r="CM63" s="7" t="str">
        <x:f>IF(OR($D63="",CM$5="",'상세일정'!AM63="제외"),"",IF($D63=$E63,IF(AND($D63&gt;=CM$5,$D63&lt;CM$5+7),"◆",""),IF(AND($D63&lt;CM$5+7,$E63&gt;CM$5),"■","")))</x:f>
      </x:c>
      <x:c r="CN63" s="7" t="str">
        <x:f>IF(OR($D63="",CN$5="",'상세일정'!AM63="제외"),"",IF($D63=$E63,IF(AND($D63&gt;=CN$5,$D63&lt;CN$5+7),"◆",""),IF(AND($D63&lt;CN$5+7,$E63&gt;CN$5),"■","")))</x:f>
      </x:c>
      <x:c r="CO63" s="7" t="str">
        <x:f>IF(OR($D63="",CO$5="",'상세일정'!AM63="제외"),"",IF($D63=$E63,IF(AND($D63&gt;=CO$5,$D63&lt;CO$5+7),"◆",""),IF(AND($D63&lt;CO$5+7,$E63&gt;CO$5),"■","")))</x:f>
      </x:c>
      <x:c r="CP63" s="7" t="str">
        <x:f>IF(OR($D63="",CP$5="",'상세일정'!AM63="제외"),"",IF($D63=$E63,IF(AND($D63&gt;=CP$5,$D63&lt;CP$5+7),"◆",""),IF(AND($D63&lt;CP$5+7,$E63&gt;CP$5),"■","")))</x:f>
      </x:c>
      <x:c r="CQ63" s="7" t="str">
        <x:f>IF(OR($D63="",CQ$5="",'상세일정'!AM63="제외"),"",IF($D63=$E63,IF(AND($D63&gt;=CQ$5,$D63&lt;CQ$5+7),"◆",""),IF(AND($D63&lt;CQ$5+7,$E63&gt;CQ$5),"■","")))</x:f>
      </x:c>
      <x:c r="CR63" s="7" t="str">
        <x:f>IF(OR($D63="",CR$5="",'상세일정'!AM63="제외"),"",IF($D63=$E63,IF(AND($D63&gt;=CR$5,$D63&lt;CR$5+7),"◆",""),IF(AND($D63&lt;CR$5+7,$E63&gt;CR$5),"■","")))</x:f>
      </x:c>
      <x:c r="CS63" s="7" t="str">
        <x:f>IF(OR($D63="",CS$5="",'상세일정'!AM63="제외"),"",IF($D63=$E63,IF(AND($D63&gt;=CS$5,$D63&lt;CS$5+7),"◆",""),IF(AND($D63&lt;CS$5+7,$E63&gt;CS$5),"■","")))</x:f>
      </x:c>
      <x:c r="CT63" s="7" t="str">
        <x:f>IF(OR($D63="",CT$5="",'상세일정'!AM63="제외"),"",IF($D63=$E63,IF(AND($D63&gt;=CT$5,$D63&lt;CT$5+7),"◆",""),IF(AND($D63&lt;CT$5+7,$E63&gt;CT$5),"■","")))</x:f>
      </x:c>
      <x:c r="CU63" s="7" t="str">
        <x:f>IF(OR($D63="",CU$5="",'상세일정'!AM63="제외"),"",IF($D63=$E63,IF(AND($D63&gt;=CU$5,$D63&lt;CU$5+7),"◆",""),IF(AND($D63&lt;CU$5+7,$E63&gt;CU$5),"■","")))</x:f>
      </x:c>
      <x:c r="CV63" s="7" t="str">
        <x:f>IF(OR($D63="",CV$5="",'상세일정'!AM63="제외"),"",IF($D63=$E63,IF(AND($D63&gt;=CV$5,$D63&lt;CV$5+7),"◆",""),IF(AND($D63&lt;CV$5+7,$E63&gt;CV$5),"■","")))</x:f>
      </x:c>
      <x:c r="CW63" s="7" t="str">
        <x:f>IF(OR($D63="",CW$5="",'상세일정'!AM63="제외"),"",IF($D63=$E63,IF(AND($D63&gt;=CW$5,$D63&lt;CW$5+7),"◆",""),IF(AND($D63&lt;CW$5+7,$E63&gt;CW$5),"■","")))</x:f>
      </x:c>
      <x:c r="CX63" s="7" t="str">
        <x:f>IF(OR($D63="",CX$5="",'상세일정'!AM63="제외"),"",IF($D63=$E63,IF(AND($D63&gt;=CX$5,$D63&lt;CX$5+7),"◆",""),IF(AND($D63&lt;CX$5+7,$E63&gt;CX$5),"■","")))</x:f>
      </x:c>
      <x:c r="CY63" s="7" t="str">
        <x:f>IF(OR($D63="",CY$5="",'상세일정'!AM63="제외"),"",IF($D63=$E63,IF(AND($D63&gt;=CY$5,$D63&lt;CY$5+7),"◆",""),IF(AND($D63&lt;CY$5+7,$E63&gt;CY$5),"■","")))</x:f>
      </x:c>
      <x:c r="CZ63" s="7" t="str">
        <x:f>IF(OR($D63="",CZ$5="",'상세일정'!AM63="제외"),"",IF($D63=$E63,IF(AND($D63&gt;=CZ$5,$D63&lt;CZ$5+7),"◆",""),IF(AND($D63&lt;CZ$5+7,$E63&gt;CZ$5),"■","")))</x:f>
      </x:c>
      <x:c r="DA63" s="7" t="str">
        <x:f>IF(OR($D63="",DA$5="",'상세일정'!AM63="제외"),"",IF($D63=$E63,IF(AND($D63&gt;=DA$5,$D63&lt;DA$5+7),"◆",""),IF(AND($D63&lt;DA$5+7,$E63&gt;DA$5),"■","")))</x:f>
      </x:c>
      <x:c r="DB63" s="7" t="str">
        <x:f>IF(OR($D63="",DB$5="",'상세일정'!AM63="제외"),"",IF($D63=$E63,IF(AND($D63&gt;=DB$5,$D63&lt;DB$5+7),"◆",""),IF(AND($D63&lt;DB$5+7,$E63&gt;DB$5),"■","")))</x:f>
      </x:c>
      <x:c r="DC63" s="7" t="str">
        <x:f>IF(OR($D63="",DC$5="",'상세일정'!AM63="제외"),"",IF($D63=$E63,IF(AND($D63&gt;=DC$5,$D63&lt;DC$5+7),"◆",""),IF(AND($D63&lt;DC$5+7,$E63&gt;DC$5),"■","")))</x:f>
      </x:c>
      <x:c r="DD63" s="7" t="str">
        <x:f>IF(OR($D63="",DD$5="",'상세일정'!AM63="제외"),"",IF($D63=$E63,IF(AND($D63&gt;=DD$5,$D63&lt;DD$5+7),"◆",""),IF(AND($D63&lt;DD$5+7,$E63&gt;DD$5),"■","")))</x:f>
      </x:c>
      <x:c r="DE63" s="7" t="str">
        <x:f>IF(OR($D63="",DE$5="",'상세일정'!AM63="제외"),"",IF($D63=$E63,IF(AND($D63&gt;=DE$5,$D63&lt;DE$5+7),"◆",""),IF(AND($D63&lt;DE$5+7,$E63&gt;DE$5),"■","")))</x:f>
      </x:c>
    </x:row>
    <x:row r="64" ht="34" customHeight="1">
      <x:c r="A64" s="7" t="str">
        <x:v>EX05</x:v>
      </x:c>
      <x:c r="B64" s="7" t="str">
        <x:v>03 도시계획·실시계획</x:v>
      </x:c>
      <x:c r="C64" s="7" t="str">
        <x:v>관계기관 협의·열람·보완 대응</x:v>
      </x:c>
      <x:c r="D64" s="10" t="str">
        <x:f>'상세일정'!AJ64</x:f>
      </x:c>
      <x:c r="E64" s="10" t="str">
        <x:f>'상세일정'!AK64</x:f>
      </x:c>
      <x:c r="F64" s="7" t="str">
        <x:f>IF(OR($D64="",F$5="",'상세일정'!AM64="제외"),"",IF($D64=$E64,IF(AND($D64&gt;=F$5,$D64&lt;F$5+7),"◆",""),IF(AND($D64&lt;F$5+7,$E64&gt;F$5),"■","")))</x:f>
      </x:c>
      <x:c r="G64" s="7" t="str">
        <x:f>IF(OR($D64="",G$5="",'상세일정'!AM64="제외"),"",IF($D64=$E64,IF(AND($D64&gt;=G$5,$D64&lt;G$5+7),"◆",""),IF(AND($D64&lt;G$5+7,$E64&gt;G$5),"■","")))</x:f>
      </x:c>
      <x:c r="H64" s="7" t="str">
        <x:f>IF(OR($D64="",H$5="",'상세일정'!AM64="제외"),"",IF($D64=$E64,IF(AND($D64&gt;=H$5,$D64&lt;H$5+7),"◆",""),IF(AND($D64&lt;H$5+7,$E64&gt;H$5),"■","")))</x:f>
      </x:c>
      <x:c r="I64" s="7" t="str">
        <x:f>IF(OR($D64="",I$5="",'상세일정'!AM64="제외"),"",IF($D64=$E64,IF(AND($D64&gt;=I$5,$D64&lt;I$5+7),"◆",""),IF(AND($D64&lt;I$5+7,$E64&gt;I$5),"■","")))</x:f>
      </x:c>
      <x:c r="J64" s="7" t="str">
        <x:f>IF(OR($D64="",J$5="",'상세일정'!AM64="제외"),"",IF($D64=$E64,IF(AND($D64&gt;=J$5,$D64&lt;J$5+7),"◆",""),IF(AND($D64&lt;J$5+7,$E64&gt;J$5),"■","")))</x:f>
      </x:c>
      <x:c r="K64" s="7" t="str">
        <x:f>IF(OR($D64="",K$5="",'상세일정'!AM64="제외"),"",IF($D64=$E64,IF(AND($D64&gt;=K$5,$D64&lt;K$5+7),"◆",""),IF(AND($D64&lt;K$5+7,$E64&gt;K$5),"■","")))</x:f>
      </x:c>
      <x:c r="L64" s="7" t="str">
        <x:f>IF(OR($D64="",L$5="",'상세일정'!AM64="제외"),"",IF($D64=$E64,IF(AND($D64&gt;=L$5,$D64&lt;L$5+7),"◆",""),IF(AND($D64&lt;L$5+7,$E64&gt;L$5),"■","")))</x:f>
      </x:c>
      <x:c r="M64" s="7" t="str">
        <x:f>IF(OR($D64="",M$5="",'상세일정'!AM64="제외"),"",IF($D64=$E64,IF(AND($D64&gt;=M$5,$D64&lt;M$5+7),"◆",""),IF(AND($D64&lt;M$5+7,$E64&gt;M$5),"■","")))</x:f>
      </x:c>
      <x:c r="N64" s="7" t="str">
        <x:f>IF(OR($D64="",N$5="",'상세일정'!AM64="제외"),"",IF($D64=$E64,IF(AND($D64&gt;=N$5,$D64&lt;N$5+7),"◆",""),IF(AND($D64&lt;N$5+7,$E64&gt;N$5),"■","")))</x:f>
      </x:c>
      <x:c r="O64" s="7" t="str">
        <x:f>IF(OR($D64="",O$5="",'상세일정'!AM64="제외"),"",IF($D64=$E64,IF(AND($D64&gt;=O$5,$D64&lt;O$5+7),"◆",""),IF(AND($D64&lt;O$5+7,$E64&gt;O$5),"■","")))</x:f>
      </x:c>
      <x:c r="P64" s="7" t="str">
        <x:f>IF(OR($D64="",P$5="",'상세일정'!AM64="제외"),"",IF($D64=$E64,IF(AND($D64&gt;=P$5,$D64&lt;P$5+7),"◆",""),IF(AND($D64&lt;P$5+7,$E64&gt;P$5),"■","")))</x:f>
      </x:c>
      <x:c r="Q64" s="7" t="str">
        <x:f>IF(OR($D64="",Q$5="",'상세일정'!AM64="제외"),"",IF($D64=$E64,IF(AND($D64&gt;=Q$5,$D64&lt;Q$5+7),"◆",""),IF(AND($D64&lt;Q$5+7,$E64&gt;Q$5),"■","")))</x:f>
      </x:c>
      <x:c r="R64" s="7" t="str">
        <x:f>IF(OR($D64="",R$5="",'상세일정'!AM64="제외"),"",IF($D64=$E64,IF(AND($D64&gt;=R$5,$D64&lt;R$5+7),"◆",""),IF(AND($D64&lt;R$5+7,$E64&gt;R$5),"■","")))</x:f>
      </x:c>
      <x:c r="S64" s="7" t="str">
        <x:f>IF(OR($D64="",S$5="",'상세일정'!AM64="제외"),"",IF($D64=$E64,IF(AND($D64&gt;=S$5,$D64&lt;S$5+7),"◆",""),IF(AND($D64&lt;S$5+7,$E64&gt;S$5),"■","")))</x:f>
      </x:c>
      <x:c r="T64" s="7" t="str">
        <x:f>IF(OR($D64="",T$5="",'상세일정'!AM64="제외"),"",IF($D64=$E64,IF(AND($D64&gt;=T$5,$D64&lt;T$5+7),"◆",""),IF(AND($D64&lt;T$5+7,$E64&gt;T$5),"■","")))</x:f>
      </x:c>
      <x:c r="U64" s="7" t="str">
        <x:f>IF(OR($D64="",U$5="",'상세일정'!AM64="제외"),"",IF($D64=$E64,IF(AND($D64&gt;=U$5,$D64&lt;U$5+7),"◆",""),IF(AND($D64&lt;U$5+7,$E64&gt;U$5),"■","")))</x:f>
      </x:c>
      <x:c r="V64" s="7" t="str">
        <x:f>IF(OR($D64="",V$5="",'상세일정'!AM64="제외"),"",IF($D64=$E64,IF(AND($D64&gt;=V$5,$D64&lt;V$5+7),"◆",""),IF(AND($D64&lt;V$5+7,$E64&gt;V$5),"■","")))</x:f>
      </x:c>
      <x:c r="W64" s="7" t="str">
        <x:f>IF(OR($D64="",W$5="",'상세일정'!AM64="제외"),"",IF($D64=$E64,IF(AND($D64&gt;=W$5,$D64&lt;W$5+7),"◆",""),IF(AND($D64&lt;W$5+7,$E64&gt;W$5),"■","")))</x:f>
      </x:c>
      <x:c r="X64" s="7" t="str">
        <x:f>IF(OR($D64="",X$5="",'상세일정'!AM64="제외"),"",IF($D64=$E64,IF(AND($D64&gt;=X$5,$D64&lt;X$5+7),"◆",""),IF(AND($D64&lt;X$5+7,$E64&gt;X$5),"■","")))</x:f>
      </x:c>
      <x:c r="Y64" s="7" t="str">
        <x:f>IF(OR($D64="",Y$5="",'상세일정'!AM64="제외"),"",IF($D64=$E64,IF(AND($D64&gt;=Y$5,$D64&lt;Y$5+7),"◆",""),IF(AND($D64&lt;Y$5+7,$E64&gt;Y$5),"■","")))</x:f>
      </x:c>
      <x:c r="Z64" s="7" t="str">
        <x:f>IF(OR($D64="",Z$5="",'상세일정'!AM64="제외"),"",IF($D64=$E64,IF(AND($D64&gt;=Z$5,$D64&lt;Z$5+7),"◆",""),IF(AND($D64&lt;Z$5+7,$E64&gt;Z$5),"■","")))</x:f>
      </x:c>
      <x:c r="AA64" s="7" t="str">
        <x:f>IF(OR($D64="",AA$5="",'상세일정'!AM64="제외"),"",IF($D64=$E64,IF(AND($D64&gt;=AA$5,$D64&lt;AA$5+7),"◆",""),IF(AND($D64&lt;AA$5+7,$E64&gt;AA$5),"■","")))</x:f>
      </x:c>
      <x:c r="AB64" s="7" t="str">
        <x:f>IF(OR($D64="",AB$5="",'상세일정'!AM64="제외"),"",IF($D64=$E64,IF(AND($D64&gt;=AB$5,$D64&lt;AB$5+7),"◆",""),IF(AND($D64&lt;AB$5+7,$E64&gt;AB$5),"■","")))</x:f>
      </x:c>
      <x:c r="AC64" s="7" t="str">
        <x:f>IF(OR($D64="",AC$5="",'상세일정'!AM64="제외"),"",IF($D64=$E64,IF(AND($D64&gt;=AC$5,$D64&lt;AC$5+7),"◆",""),IF(AND($D64&lt;AC$5+7,$E64&gt;AC$5),"■","")))</x:f>
      </x:c>
      <x:c r="AD64" s="7" t="str">
        <x:f>IF(OR($D64="",AD$5="",'상세일정'!AM64="제외"),"",IF($D64=$E64,IF(AND($D64&gt;=AD$5,$D64&lt;AD$5+7),"◆",""),IF(AND($D64&lt;AD$5+7,$E64&gt;AD$5),"■","")))</x:f>
      </x:c>
      <x:c r="AE64" s="7" t="str">
        <x:f>IF(OR($D64="",AE$5="",'상세일정'!AM64="제외"),"",IF($D64=$E64,IF(AND($D64&gt;=AE$5,$D64&lt;AE$5+7),"◆",""),IF(AND($D64&lt;AE$5+7,$E64&gt;AE$5),"■","")))</x:f>
      </x:c>
      <x:c r="AF64" s="7" t="str">
        <x:f>IF(OR($D64="",AF$5="",'상세일정'!AM64="제외"),"",IF($D64=$E64,IF(AND($D64&gt;=AF$5,$D64&lt;AF$5+7),"◆",""),IF(AND($D64&lt;AF$5+7,$E64&gt;AF$5),"■","")))</x:f>
      </x:c>
      <x:c r="AG64" s="7" t="str">
        <x:f>IF(OR($D64="",AG$5="",'상세일정'!AM64="제외"),"",IF($D64=$E64,IF(AND($D64&gt;=AG$5,$D64&lt;AG$5+7),"◆",""),IF(AND($D64&lt;AG$5+7,$E64&gt;AG$5),"■","")))</x:f>
      </x:c>
      <x:c r="AH64" s="7" t="str">
        <x:f>IF(OR($D64="",AH$5="",'상세일정'!AM64="제외"),"",IF($D64=$E64,IF(AND($D64&gt;=AH$5,$D64&lt;AH$5+7),"◆",""),IF(AND($D64&lt;AH$5+7,$E64&gt;AH$5),"■","")))</x:f>
      </x:c>
      <x:c r="AI64" s="7" t="str">
        <x:f>IF(OR($D64="",AI$5="",'상세일정'!AM64="제외"),"",IF($D64=$E64,IF(AND($D64&gt;=AI$5,$D64&lt;AI$5+7),"◆",""),IF(AND($D64&lt;AI$5+7,$E64&gt;AI$5),"■","")))</x:f>
      </x:c>
      <x:c r="AJ64" s="7" t="str">
        <x:f>IF(OR($D64="",AJ$5="",'상세일정'!AM64="제외"),"",IF($D64=$E64,IF(AND($D64&gt;=AJ$5,$D64&lt;AJ$5+7),"◆",""),IF(AND($D64&lt;AJ$5+7,$E64&gt;AJ$5),"■","")))</x:f>
      </x:c>
      <x:c r="AK64" s="7" t="str">
        <x:f>IF(OR($D64="",AK$5="",'상세일정'!AM64="제외"),"",IF($D64=$E64,IF(AND($D64&gt;=AK$5,$D64&lt;AK$5+7),"◆",""),IF(AND($D64&lt;AK$5+7,$E64&gt;AK$5),"■","")))</x:f>
      </x:c>
      <x:c r="AL64" s="7" t="str">
        <x:f>IF(OR($D64="",AL$5="",'상세일정'!AM64="제외"),"",IF($D64=$E64,IF(AND($D64&gt;=AL$5,$D64&lt;AL$5+7),"◆",""),IF(AND($D64&lt;AL$5+7,$E64&gt;AL$5),"■","")))</x:f>
      </x:c>
      <x:c r="AM64" s="7" t="str">
        <x:f>IF(OR($D64="",AM$5="",'상세일정'!AM64="제외"),"",IF($D64=$E64,IF(AND($D64&gt;=AM$5,$D64&lt;AM$5+7),"◆",""),IF(AND($D64&lt;AM$5+7,$E64&gt;AM$5),"■","")))</x:f>
      </x:c>
      <x:c r="AN64" s="7" t="str">
        <x:f>IF(OR($D64="",AN$5="",'상세일정'!AM64="제외"),"",IF($D64=$E64,IF(AND($D64&gt;=AN$5,$D64&lt;AN$5+7),"◆",""),IF(AND($D64&lt;AN$5+7,$E64&gt;AN$5),"■","")))</x:f>
      </x:c>
      <x:c r="AO64" s="7" t="str">
        <x:f>IF(OR($D64="",AO$5="",'상세일정'!AM64="제외"),"",IF($D64=$E64,IF(AND($D64&gt;=AO$5,$D64&lt;AO$5+7),"◆",""),IF(AND($D64&lt;AO$5+7,$E64&gt;AO$5),"■","")))</x:f>
      </x:c>
      <x:c r="AP64" s="7" t="str">
        <x:f>IF(OR($D64="",AP$5="",'상세일정'!AM64="제외"),"",IF($D64=$E64,IF(AND($D64&gt;=AP$5,$D64&lt;AP$5+7),"◆",""),IF(AND($D64&lt;AP$5+7,$E64&gt;AP$5),"■","")))</x:f>
      </x:c>
      <x:c r="AQ64" s="7" t="str">
        <x:f>IF(OR($D64="",AQ$5="",'상세일정'!AM64="제외"),"",IF($D64=$E64,IF(AND($D64&gt;=AQ$5,$D64&lt;AQ$5+7),"◆",""),IF(AND($D64&lt;AQ$5+7,$E64&gt;AQ$5),"■","")))</x:f>
      </x:c>
      <x:c r="AR64" s="7" t="str">
        <x:f>IF(OR($D64="",AR$5="",'상세일정'!AM64="제외"),"",IF($D64=$E64,IF(AND($D64&gt;=AR$5,$D64&lt;AR$5+7),"◆",""),IF(AND($D64&lt;AR$5+7,$E64&gt;AR$5),"■","")))</x:f>
      </x:c>
      <x:c r="AS64" s="7" t="str">
        <x:f>IF(OR($D64="",AS$5="",'상세일정'!AM64="제외"),"",IF($D64=$E64,IF(AND($D64&gt;=AS$5,$D64&lt;AS$5+7),"◆",""),IF(AND($D64&lt;AS$5+7,$E64&gt;AS$5),"■","")))</x:f>
      </x:c>
      <x:c r="AT64" s="7" t="str">
        <x:f>IF(OR($D64="",AT$5="",'상세일정'!AM64="제외"),"",IF($D64=$E64,IF(AND($D64&gt;=AT$5,$D64&lt;AT$5+7),"◆",""),IF(AND($D64&lt;AT$5+7,$E64&gt;AT$5),"■","")))</x:f>
      </x:c>
      <x:c r="AU64" s="7" t="str">
        <x:f>IF(OR($D64="",AU$5="",'상세일정'!AM64="제외"),"",IF($D64=$E64,IF(AND($D64&gt;=AU$5,$D64&lt;AU$5+7),"◆",""),IF(AND($D64&lt;AU$5+7,$E64&gt;AU$5),"■","")))</x:f>
      </x:c>
      <x:c r="AV64" s="7" t="str">
        <x:f>IF(OR($D64="",AV$5="",'상세일정'!AM64="제외"),"",IF($D64=$E64,IF(AND($D64&gt;=AV$5,$D64&lt;AV$5+7),"◆",""),IF(AND($D64&lt;AV$5+7,$E64&gt;AV$5),"■","")))</x:f>
      </x:c>
      <x:c r="AW64" s="7" t="str">
        <x:f>IF(OR($D64="",AW$5="",'상세일정'!AM64="제외"),"",IF($D64=$E64,IF(AND($D64&gt;=AW$5,$D64&lt;AW$5+7),"◆",""),IF(AND($D64&lt;AW$5+7,$E64&gt;AW$5),"■","")))</x:f>
      </x:c>
      <x:c r="AX64" s="7" t="str">
        <x:f>IF(OR($D64="",AX$5="",'상세일정'!AM64="제외"),"",IF($D64=$E64,IF(AND($D64&gt;=AX$5,$D64&lt;AX$5+7),"◆",""),IF(AND($D64&lt;AX$5+7,$E64&gt;AX$5),"■","")))</x:f>
      </x:c>
      <x:c r="AY64" s="7" t="str">
        <x:f>IF(OR($D64="",AY$5="",'상세일정'!AM64="제외"),"",IF($D64=$E64,IF(AND($D64&gt;=AY$5,$D64&lt;AY$5+7),"◆",""),IF(AND($D64&lt;AY$5+7,$E64&gt;AY$5),"■","")))</x:f>
      </x:c>
      <x:c r="AZ64" s="7" t="str">
        <x:f>IF(OR($D64="",AZ$5="",'상세일정'!AM64="제외"),"",IF($D64=$E64,IF(AND($D64&gt;=AZ$5,$D64&lt;AZ$5+7),"◆",""),IF(AND($D64&lt;AZ$5+7,$E64&gt;AZ$5),"■","")))</x:f>
      </x:c>
      <x:c r="BA64" s="7" t="str">
        <x:f>IF(OR($D64="",BA$5="",'상세일정'!AM64="제외"),"",IF($D64=$E64,IF(AND($D64&gt;=BA$5,$D64&lt;BA$5+7),"◆",""),IF(AND($D64&lt;BA$5+7,$E64&gt;BA$5),"■","")))</x:f>
      </x:c>
      <x:c r="BB64" s="7" t="str">
        <x:f>IF(OR($D64="",BB$5="",'상세일정'!AM64="제외"),"",IF($D64=$E64,IF(AND($D64&gt;=BB$5,$D64&lt;BB$5+7),"◆",""),IF(AND($D64&lt;BB$5+7,$E64&gt;BB$5),"■","")))</x:f>
      </x:c>
      <x:c r="BC64" s="7" t="str">
        <x:f>IF(OR($D64="",BC$5="",'상세일정'!AM64="제외"),"",IF($D64=$E64,IF(AND($D64&gt;=BC$5,$D64&lt;BC$5+7),"◆",""),IF(AND($D64&lt;BC$5+7,$E64&gt;BC$5),"■","")))</x:f>
      </x:c>
      <x:c r="BD64" s="7" t="str">
        <x:f>IF(OR($D64="",BD$5="",'상세일정'!AM64="제외"),"",IF($D64=$E64,IF(AND($D64&gt;=BD$5,$D64&lt;BD$5+7),"◆",""),IF(AND($D64&lt;BD$5+7,$E64&gt;BD$5),"■","")))</x:f>
      </x:c>
      <x:c r="BE64" s="7" t="str">
        <x:f>IF(OR($D64="",BE$5="",'상세일정'!AM64="제외"),"",IF($D64=$E64,IF(AND($D64&gt;=BE$5,$D64&lt;BE$5+7),"◆",""),IF(AND($D64&lt;BE$5+7,$E64&gt;BE$5),"■","")))</x:f>
      </x:c>
      <x:c r="BF64" s="7" t="str">
        <x:f>IF(OR($D64="",BF$5="",'상세일정'!AM64="제외"),"",IF($D64=$E64,IF(AND($D64&gt;=BF$5,$D64&lt;BF$5+7),"◆",""),IF(AND($D64&lt;BF$5+7,$E64&gt;BF$5),"■","")))</x:f>
      </x:c>
      <x:c r="BG64" s="7" t="str">
        <x:f>IF(OR($D64="",BG$5="",'상세일정'!AM64="제외"),"",IF($D64=$E64,IF(AND($D64&gt;=BG$5,$D64&lt;BG$5+7),"◆",""),IF(AND($D64&lt;BG$5+7,$E64&gt;BG$5),"■","")))</x:f>
      </x:c>
      <x:c r="BH64" s="7" t="str">
        <x:f>IF(OR($D64="",BH$5="",'상세일정'!AM64="제외"),"",IF($D64=$E64,IF(AND($D64&gt;=BH$5,$D64&lt;BH$5+7),"◆",""),IF(AND($D64&lt;BH$5+7,$E64&gt;BH$5),"■","")))</x:f>
      </x:c>
      <x:c r="BI64" s="7" t="str">
        <x:f>IF(OR($D64="",BI$5="",'상세일정'!AM64="제외"),"",IF($D64=$E64,IF(AND($D64&gt;=BI$5,$D64&lt;BI$5+7),"◆",""),IF(AND($D64&lt;BI$5+7,$E64&gt;BI$5),"■","")))</x:f>
      </x:c>
      <x:c r="BJ64" s="7" t="str">
        <x:f>IF(OR($D64="",BJ$5="",'상세일정'!AM64="제외"),"",IF($D64=$E64,IF(AND($D64&gt;=BJ$5,$D64&lt;BJ$5+7),"◆",""),IF(AND($D64&lt;BJ$5+7,$E64&gt;BJ$5),"■","")))</x:f>
      </x:c>
      <x:c r="BK64" s="7" t="str">
        <x:f>IF(OR($D64="",BK$5="",'상세일정'!AM64="제외"),"",IF($D64=$E64,IF(AND($D64&gt;=BK$5,$D64&lt;BK$5+7),"◆",""),IF(AND($D64&lt;BK$5+7,$E64&gt;BK$5),"■","")))</x:f>
      </x:c>
      <x:c r="BL64" s="7" t="str">
        <x:f>IF(OR($D64="",BL$5="",'상세일정'!AM64="제외"),"",IF($D64=$E64,IF(AND($D64&gt;=BL$5,$D64&lt;BL$5+7),"◆",""),IF(AND($D64&lt;BL$5+7,$E64&gt;BL$5),"■","")))</x:f>
      </x:c>
      <x:c r="BM64" s="7" t="str">
        <x:f>IF(OR($D64="",BM$5="",'상세일정'!AM64="제외"),"",IF($D64=$E64,IF(AND($D64&gt;=BM$5,$D64&lt;BM$5+7),"◆",""),IF(AND($D64&lt;BM$5+7,$E64&gt;BM$5),"■","")))</x:f>
      </x:c>
      <x:c r="BN64" s="7" t="str">
        <x:f>IF(OR($D64="",BN$5="",'상세일정'!AM64="제외"),"",IF($D64=$E64,IF(AND($D64&gt;=BN$5,$D64&lt;BN$5+7),"◆",""),IF(AND($D64&lt;BN$5+7,$E64&gt;BN$5),"■","")))</x:f>
      </x:c>
      <x:c r="BO64" s="7" t="str">
        <x:f>IF(OR($D64="",BO$5="",'상세일정'!AM64="제외"),"",IF($D64=$E64,IF(AND($D64&gt;=BO$5,$D64&lt;BO$5+7),"◆",""),IF(AND($D64&lt;BO$5+7,$E64&gt;BO$5),"■","")))</x:f>
      </x:c>
      <x:c r="BP64" s="7" t="str">
        <x:f>IF(OR($D64="",BP$5="",'상세일정'!AM64="제외"),"",IF($D64=$E64,IF(AND($D64&gt;=BP$5,$D64&lt;BP$5+7),"◆",""),IF(AND($D64&lt;BP$5+7,$E64&gt;BP$5),"■","")))</x:f>
      </x:c>
      <x:c r="BQ64" s="7" t="str">
        <x:f>IF(OR($D64="",BQ$5="",'상세일정'!AM64="제외"),"",IF($D64=$E64,IF(AND($D64&gt;=BQ$5,$D64&lt;BQ$5+7),"◆",""),IF(AND($D64&lt;BQ$5+7,$E64&gt;BQ$5),"■","")))</x:f>
      </x:c>
      <x:c r="BR64" s="7" t="str">
        <x:f>IF(OR($D64="",BR$5="",'상세일정'!AM64="제외"),"",IF($D64=$E64,IF(AND($D64&gt;=BR$5,$D64&lt;BR$5+7),"◆",""),IF(AND($D64&lt;BR$5+7,$E64&gt;BR$5),"■","")))</x:f>
      </x:c>
      <x:c r="BS64" s="7" t="str">
        <x:f>IF(OR($D64="",BS$5="",'상세일정'!AM64="제외"),"",IF($D64=$E64,IF(AND($D64&gt;=BS$5,$D64&lt;BS$5+7),"◆",""),IF(AND($D64&lt;BS$5+7,$E64&gt;BS$5),"■","")))</x:f>
      </x:c>
      <x:c r="BT64" s="7" t="str">
        <x:f>IF(OR($D64="",BT$5="",'상세일정'!AM64="제외"),"",IF($D64=$E64,IF(AND($D64&gt;=BT$5,$D64&lt;BT$5+7),"◆",""),IF(AND($D64&lt;BT$5+7,$E64&gt;BT$5),"■","")))</x:f>
      </x:c>
      <x:c r="BU64" s="7" t="str">
        <x:f>IF(OR($D64="",BU$5="",'상세일정'!AM64="제외"),"",IF($D64=$E64,IF(AND($D64&gt;=BU$5,$D64&lt;BU$5+7),"◆",""),IF(AND($D64&lt;BU$5+7,$E64&gt;BU$5),"■","")))</x:f>
      </x:c>
      <x:c r="BV64" s="7" t="str">
        <x:f>IF(OR($D64="",BV$5="",'상세일정'!AM64="제외"),"",IF($D64=$E64,IF(AND($D64&gt;=BV$5,$D64&lt;BV$5+7),"◆",""),IF(AND($D64&lt;BV$5+7,$E64&gt;BV$5),"■","")))</x:f>
      </x:c>
      <x:c r="BW64" s="7" t="str">
        <x:f>IF(OR($D64="",BW$5="",'상세일정'!AM64="제외"),"",IF($D64=$E64,IF(AND($D64&gt;=BW$5,$D64&lt;BW$5+7),"◆",""),IF(AND($D64&lt;BW$5+7,$E64&gt;BW$5),"■","")))</x:f>
      </x:c>
      <x:c r="BX64" s="7" t="str">
        <x:f>IF(OR($D64="",BX$5="",'상세일정'!AM64="제외"),"",IF($D64=$E64,IF(AND($D64&gt;=BX$5,$D64&lt;BX$5+7),"◆",""),IF(AND($D64&lt;BX$5+7,$E64&gt;BX$5),"■","")))</x:f>
      </x:c>
      <x:c r="BY64" s="7" t="str">
        <x:f>IF(OR($D64="",BY$5="",'상세일정'!AM64="제외"),"",IF($D64=$E64,IF(AND($D64&gt;=BY$5,$D64&lt;BY$5+7),"◆",""),IF(AND($D64&lt;BY$5+7,$E64&gt;BY$5),"■","")))</x:f>
      </x:c>
      <x:c r="BZ64" s="7" t="str">
        <x:f>IF(OR($D64="",BZ$5="",'상세일정'!AM64="제외"),"",IF($D64=$E64,IF(AND($D64&gt;=BZ$5,$D64&lt;BZ$5+7),"◆",""),IF(AND($D64&lt;BZ$5+7,$E64&gt;BZ$5),"■","")))</x:f>
      </x:c>
      <x:c r="CA64" s="7" t="str">
        <x:f>IF(OR($D64="",CA$5="",'상세일정'!AM64="제외"),"",IF($D64=$E64,IF(AND($D64&gt;=CA$5,$D64&lt;CA$5+7),"◆",""),IF(AND($D64&lt;CA$5+7,$E64&gt;CA$5),"■","")))</x:f>
      </x:c>
      <x:c r="CB64" s="7" t="str">
        <x:f>IF(OR($D64="",CB$5="",'상세일정'!AM64="제외"),"",IF($D64=$E64,IF(AND($D64&gt;=CB$5,$D64&lt;CB$5+7),"◆",""),IF(AND($D64&lt;CB$5+7,$E64&gt;CB$5),"■","")))</x:f>
      </x:c>
      <x:c r="CC64" s="7" t="str">
        <x:f>IF(OR($D64="",CC$5="",'상세일정'!AM64="제외"),"",IF($D64=$E64,IF(AND($D64&gt;=CC$5,$D64&lt;CC$5+7),"◆",""),IF(AND($D64&lt;CC$5+7,$E64&gt;CC$5),"■","")))</x:f>
      </x:c>
      <x:c r="CD64" s="7" t="str">
        <x:f>IF(OR($D64="",CD$5="",'상세일정'!AM64="제외"),"",IF($D64=$E64,IF(AND($D64&gt;=CD$5,$D64&lt;CD$5+7),"◆",""),IF(AND($D64&lt;CD$5+7,$E64&gt;CD$5),"■","")))</x:f>
      </x:c>
      <x:c r="CE64" s="7" t="str">
        <x:f>IF(OR($D64="",CE$5="",'상세일정'!AM64="제외"),"",IF($D64=$E64,IF(AND($D64&gt;=CE$5,$D64&lt;CE$5+7),"◆",""),IF(AND($D64&lt;CE$5+7,$E64&gt;CE$5),"■","")))</x:f>
      </x:c>
      <x:c r="CF64" s="7" t="str">
        <x:f>IF(OR($D64="",CF$5="",'상세일정'!AM64="제외"),"",IF($D64=$E64,IF(AND($D64&gt;=CF$5,$D64&lt;CF$5+7),"◆",""),IF(AND($D64&lt;CF$5+7,$E64&gt;CF$5),"■","")))</x:f>
      </x:c>
      <x:c r="CG64" s="7" t="str">
        <x:f>IF(OR($D64="",CG$5="",'상세일정'!AM64="제외"),"",IF($D64=$E64,IF(AND($D64&gt;=CG$5,$D64&lt;CG$5+7),"◆",""),IF(AND($D64&lt;CG$5+7,$E64&gt;CG$5),"■","")))</x:f>
      </x:c>
      <x:c r="CH64" s="7" t="str">
        <x:f>IF(OR($D64="",CH$5="",'상세일정'!AM64="제외"),"",IF($D64=$E64,IF(AND($D64&gt;=CH$5,$D64&lt;CH$5+7),"◆",""),IF(AND($D64&lt;CH$5+7,$E64&gt;CH$5),"■","")))</x:f>
      </x:c>
      <x:c r="CI64" s="7" t="str">
        <x:f>IF(OR($D64="",CI$5="",'상세일정'!AM64="제외"),"",IF($D64=$E64,IF(AND($D64&gt;=CI$5,$D64&lt;CI$5+7),"◆",""),IF(AND($D64&lt;CI$5+7,$E64&gt;CI$5),"■","")))</x:f>
      </x:c>
      <x:c r="CJ64" s="7" t="str">
        <x:f>IF(OR($D64="",CJ$5="",'상세일정'!AM64="제외"),"",IF($D64=$E64,IF(AND($D64&gt;=CJ$5,$D64&lt;CJ$5+7),"◆",""),IF(AND($D64&lt;CJ$5+7,$E64&gt;CJ$5),"■","")))</x:f>
      </x:c>
      <x:c r="CK64" s="7" t="str">
        <x:f>IF(OR($D64="",CK$5="",'상세일정'!AM64="제외"),"",IF($D64=$E64,IF(AND($D64&gt;=CK$5,$D64&lt;CK$5+7),"◆",""),IF(AND($D64&lt;CK$5+7,$E64&gt;CK$5),"■","")))</x:f>
      </x:c>
      <x:c r="CL64" s="7" t="str">
        <x:f>IF(OR($D64="",CL$5="",'상세일정'!AM64="제외"),"",IF($D64=$E64,IF(AND($D64&gt;=CL$5,$D64&lt;CL$5+7),"◆",""),IF(AND($D64&lt;CL$5+7,$E64&gt;CL$5),"■","")))</x:f>
      </x:c>
      <x:c r="CM64" s="7" t="str">
        <x:f>IF(OR($D64="",CM$5="",'상세일정'!AM64="제외"),"",IF($D64=$E64,IF(AND($D64&gt;=CM$5,$D64&lt;CM$5+7),"◆",""),IF(AND($D64&lt;CM$5+7,$E64&gt;CM$5),"■","")))</x:f>
      </x:c>
      <x:c r="CN64" s="7" t="str">
        <x:f>IF(OR($D64="",CN$5="",'상세일정'!AM64="제외"),"",IF($D64=$E64,IF(AND($D64&gt;=CN$5,$D64&lt;CN$5+7),"◆",""),IF(AND($D64&lt;CN$5+7,$E64&gt;CN$5),"■","")))</x:f>
      </x:c>
      <x:c r="CO64" s="7" t="str">
        <x:f>IF(OR($D64="",CO$5="",'상세일정'!AM64="제외"),"",IF($D64=$E64,IF(AND($D64&gt;=CO$5,$D64&lt;CO$5+7),"◆",""),IF(AND($D64&lt;CO$5+7,$E64&gt;CO$5),"■","")))</x:f>
      </x:c>
      <x:c r="CP64" s="7" t="str">
        <x:f>IF(OR($D64="",CP$5="",'상세일정'!AM64="제외"),"",IF($D64=$E64,IF(AND($D64&gt;=CP$5,$D64&lt;CP$5+7),"◆",""),IF(AND($D64&lt;CP$5+7,$E64&gt;CP$5),"■","")))</x:f>
      </x:c>
      <x:c r="CQ64" s="7" t="str">
        <x:f>IF(OR($D64="",CQ$5="",'상세일정'!AM64="제외"),"",IF($D64=$E64,IF(AND($D64&gt;=CQ$5,$D64&lt;CQ$5+7),"◆",""),IF(AND($D64&lt;CQ$5+7,$E64&gt;CQ$5),"■","")))</x:f>
      </x:c>
      <x:c r="CR64" s="7" t="str">
        <x:f>IF(OR($D64="",CR$5="",'상세일정'!AM64="제외"),"",IF($D64=$E64,IF(AND($D64&gt;=CR$5,$D64&lt;CR$5+7),"◆",""),IF(AND($D64&lt;CR$5+7,$E64&gt;CR$5),"■","")))</x:f>
      </x:c>
      <x:c r="CS64" s="7" t="str">
        <x:f>IF(OR($D64="",CS$5="",'상세일정'!AM64="제외"),"",IF($D64=$E64,IF(AND($D64&gt;=CS$5,$D64&lt;CS$5+7),"◆",""),IF(AND($D64&lt;CS$5+7,$E64&gt;CS$5),"■","")))</x:f>
      </x:c>
      <x:c r="CT64" s="7" t="str">
        <x:f>IF(OR($D64="",CT$5="",'상세일정'!AM64="제외"),"",IF($D64=$E64,IF(AND($D64&gt;=CT$5,$D64&lt;CT$5+7),"◆",""),IF(AND($D64&lt;CT$5+7,$E64&gt;CT$5),"■","")))</x:f>
      </x:c>
      <x:c r="CU64" s="7" t="str">
        <x:f>IF(OR($D64="",CU$5="",'상세일정'!AM64="제외"),"",IF($D64=$E64,IF(AND($D64&gt;=CU$5,$D64&lt;CU$5+7),"◆",""),IF(AND($D64&lt;CU$5+7,$E64&gt;CU$5),"■","")))</x:f>
      </x:c>
      <x:c r="CV64" s="7" t="str">
        <x:f>IF(OR($D64="",CV$5="",'상세일정'!AM64="제외"),"",IF($D64=$E64,IF(AND($D64&gt;=CV$5,$D64&lt;CV$5+7),"◆",""),IF(AND($D64&lt;CV$5+7,$E64&gt;CV$5),"■","")))</x:f>
      </x:c>
      <x:c r="CW64" s="7" t="str">
        <x:f>IF(OR($D64="",CW$5="",'상세일정'!AM64="제외"),"",IF($D64=$E64,IF(AND($D64&gt;=CW$5,$D64&lt;CW$5+7),"◆",""),IF(AND($D64&lt;CW$5+7,$E64&gt;CW$5),"■","")))</x:f>
      </x:c>
      <x:c r="CX64" s="7" t="str">
        <x:f>IF(OR($D64="",CX$5="",'상세일정'!AM64="제외"),"",IF($D64=$E64,IF(AND($D64&gt;=CX$5,$D64&lt;CX$5+7),"◆",""),IF(AND($D64&lt;CX$5+7,$E64&gt;CX$5),"■","")))</x:f>
      </x:c>
      <x:c r="CY64" s="7" t="str">
        <x:f>IF(OR($D64="",CY$5="",'상세일정'!AM64="제외"),"",IF($D64=$E64,IF(AND($D64&gt;=CY$5,$D64&lt;CY$5+7),"◆",""),IF(AND($D64&lt;CY$5+7,$E64&gt;CY$5),"■","")))</x:f>
      </x:c>
      <x:c r="CZ64" s="7" t="str">
        <x:f>IF(OR($D64="",CZ$5="",'상세일정'!AM64="제외"),"",IF($D64=$E64,IF(AND($D64&gt;=CZ$5,$D64&lt;CZ$5+7),"◆",""),IF(AND($D64&lt;CZ$5+7,$E64&gt;CZ$5),"■","")))</x:f>
      </x:c>
      <x:c r="DA64" s="7" t="str">
        <x:f>IF(OR($D64="",DA$5="",'상세일정'!AM64="제외"),"",IF($D64=$E64,IF(AND($D64&gt;=DA$5,$D64&lt;DA$5+7),"◆",""),IF(AND($D64&lt;DA$5+7,$E64&gt;DA$5),"■","")))</x:f>
      </x:c>
      <x:c r="DB64" s="7" t="str">
        <x:f>IF(OR($D64="",DB$5="",'상세일정'!AM64="제외"),"",IF($D64=$E64,IF(AND($D64&gt;=DB$5,$D64&lt;DB$5+7),"◆",""),IF(AND($D64&lt;DB$5+7,$E64&gt;DB$5),"■","")))</x:f>
      </x:c>
      <x:c r="DC64" s="7" t="str">
        <x:f>IF(OR($D64="",DC$5="",'상세일정'!AM64="제외"),"",IF($D64=$E64,IF(AND($D64&gt;=DC$5,$D64&lt;DC$5+7),"◆",""),IF(AND($D64&lt;DC$5+7,$E64&gt;DC$5),"■","")))</x:f>
      </x:c>
      <x:c r="DD64" s="7" t="str">
        <x:f>IF(OR($D64="",DD$5="",'상세일정'!AM64="제외"),"",IF($D64=$E64,IF(AND($D64&gt;=DD$5,$D64&lt;DD$5+7),"◆",""),IF(AND($D64&lt;DD$5+7,$E64&gt;DD$5),"■","")))</x:f>
      </x:c>
      <x:c r="DE64" s="7" t="str">
        <x:f>IF(OR($D64="",DE$5="",'상세일정'!AM64="제외"),"",IF($D64=$E64,IF(AND($D64&gt;=DE$5,$D64&lt;DE$5+7),"◆",""),IF(AND($D64&lt;DE$5+7,$E64&gt;DE$5),"■","")))</x:f>
      </x:c>
    </x:row>
    <x:row r="65" ht="34" customHeight="1">
      <x:c r="A65" s="7" t="str">
        <x:v>EX06</x:v>
      </x:c>
      <x:c r="B65" s="7" t="str">
        <x:v>03 도시계획·실시계획</x:v>
      </x:c>
      <x:c r="C65" s="7" t="str">
        <x:v>실시계획인가 고시 및 조건 이행계획</x:v>
      </x:c>
      <x:c r="D65" s="10" t="str">
        <x:f>'상세일정'!AJ65</x:f>
      </x:c>
      <x:c r="E65" s="10" t="str">
        <x:f>'상세일정'!AK65</x:f>
      </x:c>
      <x:c r="F65" s="7" t="str">
        <x:f>IF(OR($D65="",F$5="",'상세일정'!AM65="제외"),"",IF($D65=$E65,IF(AND($D65&gt;=F$5,$D65&lt;F$5+7),"◆",""),IF(AND($D65&lt;F$5+7,$E65&gt;F$5),"■","")))</x:f>
      </x:c>
      <x:c r="G65" s="7" t="str">
        <x:f>IF(OR($D65="",G$5="",'상세일정'!AM65="제외"),"",IF($D65=$E65,IF(AND($D65&gt;=G$5,$D65&lt;G$5+7),"◆",""),IF(AND($D65&lt;G$5+7,$E65&gt;G$5),"■","")))</x:f>
      </x:c>
      <x:c r="H65" s="7" t="str">
        <x:f>IF(OR($D65="",H$5="",'상세일정'!AM65="제외"),"",IF($D65=$E65,IF(AND($D65&gt;=H$5,$D65&lt;H$5+7),"◆",""),IF(AND($D65&lt;H$5+7,$E65&gt;H$5),"■","")))</x:f>
      </x:c>
      <x:c r="I65" s="7" t="str">
        <x:f>IF(OR($D65="",I$5="",'상세일정'!AM65="제외"),"",IF($D65=$E65,IF(AND($D65&gt;=I$5,$D65&lt;I$5+7),"◆",""),IF(AND($D65&lt;I$5+7,$E65&gt;I$5),"■","")))</x:f>
      </x:c>
      <x:c r="J65" s="7" t="str">
        <x:f>IF(OR($D65="",J$5="",'상세일정'!AM65="제외"),"",IF($D65=$E65,IF(AND($D65&gt;=J$5,$D65&lt;J$5+7),"◆",""),IF(AND($D65&lt;J$5+7,$E65&gt;J$5),"■","")))</x:f>
      </x:c>
      <x:c r="K65" s="7" t="str">
        <x:f>IF(OR($D65="",K$5="",'상세일정'!AM65="제외"),"",IF($D65=$E65,IF(AND($D65&gt;=K$5,$D65&lt;K$5+7),"◆",""),IF(AND($D65&lt;K$5+7,$E65&gt;K$5),"■","")))</x:f>
      </x:c>
      <x:c r="L65" s="7" t="str">
        <x:f>IF(OR($D65="",L$5="",'상세일정'!AM65="제외"),"",IF($D65=$E65,IF(AND($D65&gt;=L$5,$D65&lt;L$5+7),"◆",""),IF(AND($D65&lt;L$5+7,$E65&gt;L$5),"■","")))</x:f>
      </x:c>
      <x:c r="M65" s="7" t="str">
        <x:f>IF(OR($D65="",M$5="",'상세일정'!AM65="제외"),"",IF($D65=$E65,IF(AND($D65&gt;=M$5,$D65&lt;M$5+7),"◆",""),IF(AND($D65&lt;M$5+7,$E65&gt;M$5),"■","")))</x:f>
      </x:c>
      <x:c r="N65" s="7" t="str">
        <x:f>IF(OR($D65="",N$5="",'상세일정'!AM65="제외"),"",IF($D65=$E65,IF(AND($D65&gt;=N$5,$D65&lt;N$5+7),"◆",""),IF(AND($D65&lt;N$5+7,$E65&gt;N$5),"■","")))</x:f>
      </x:c>
      <x:c r="O65" s="7" t="str">
        <x:f>IF(OR($D65="",O$5="",'상세일정'!AM65="제외"),"",IF($D65=$E65,IF(AND($D65&gt;=O$5,$D65&lt;O$5+7),"◆",""),IF(AND($D65&lt;O$5+7,$E65&gt;O$5),"■","")))</x:f>
      </x:c>
      <x:c r="P65" s="7" t="str">
        <x:f>IF(OR($D65="",P$5="",'상세일정'!AM65="제외"),"",IF($D65=$E65,IF(AND($D65&gt;=P$5,$D65&lt;P$5+7),"◆",""),IF(AND($D65&lt;P$5+7,$E65&gt;P$5),"■","")))</x:f>
      </x:c>
      <x:c r="Q65" s="7" t="str">
        <x:f>IF(OR($D65="",Q$5="",'상세일정'!AM65="제외"),"",IF($D65=$E65,IF(AND($D65&gt;=Q$5,$D65&lt;Q$5+7),"◆",""),IF(AND($D65&lt;Q$5+7,$E65&gt;Q$5),"■","")))</x:f>
      </x:c>
      <x:c r="R65" s="7" t="str">
        <x:f>IF(OR($D65="",R$5="",'상세일정'!AM65="제외"),"",IF($D65=$E65,IF(AND($D65&gt;=R$5,$D65&lt;R$5+7),"◆",""),IF(AND($D65&lt;R$5+7,$E65&gt;R$5),"■","")))</x:f>
      </x:c>
      <x:c r="S65" s="7" t="str">
        <x:f>IF(OR($D65="",S$5="",'상세일정'!AM65="제외"),"",IF($D65=$E65,IF(AND($D65&gt;=S$5,$D65&lt;S$5+7),"◆",""),IF(AND($D65&lt;S$5+7,$E65&gt;S$5),"■","")))</x:f>
      </x:c>
      <x:c r="T65" s="7" t="str">
        <x:f>IF(OR($D65="",T$5="",'상세일정'!AM65="제외"),"",IF($D65=$E65,IF(AND($D65&gt;=T$5,$D65&lt;T$5+7),"◆",""),IF(AND($D65&lt;T$5+7,$E65&gt;T$5),"■","")))</x:f>
      </x:c>
      <x:c r="U65" s="7" t="str">
        <x:f>IF(OR($D65="",U$5="",'상세일정'!AM65="제외"),"",IF($D65=$E65,IF(AND($D65&gt;=U$5,$D65&lt;U$5+7),"◆",""),IF(AND($D65&lt;U$5+7,$E65&gt;U$5),"■","")))</x:f>
      </x:c>
      <x:c r="V65" s="7" t="str">
        <x:f>IF(OR($D65="",V$5="",'상세일정'!AM65="제외"),"",IF($D65=$E65,IF(AND($D65&gt;=V$5,$D65&lt;V$5+7),"◆",""),IF(AND($D65&lt;V$5+7,$E65&gt;V$5),"■","")))</x:f>
      </x:c>
      <x:c r="W65" s="7" t="str">
        <x:f>IF(OR($D65="",W$5="",'상세일정'!AM65="제외"),"",IF($D65=$E65,IF(AND($D65&gt;=W$5,$D65&lt;W$5+7),"◆",""),IF(AND($D65&lt;W$5+7,$E65&gt;W$5),"■","")))</x:f>
      </x:c>
      <x:c r="X65" s="7" t="str">
        <x:f>IF(OR($D65="",X$5="",'상세일정'!AM65="제외"),"",IF($D65=$E65,IF(AND($D65&gt;=X$5,$D65&lt;X$5+7),"◆",""),IF(AND($D65&lt;X$5+7,$E65&gt;X$5),"■","")))</x:f>
      </x:c>
      <x:c r="Y65" s="7" t="str">
        <x:f>IF(OR($D65="",Y$5="",'상세일정'!AM65="제외"),"",IF($D65=$E65,IF(AND($D65&gt;=Y$5,$D65&lt;Y$5+7),"◆",""),IF(AND($D65&lt;Y$5+7,$E65&gt;Y$5),"■","")))</x:f>
      </x:c>
      <x:c r="Z65" s="7" t="str">
        <x:f>IF(OR($D65="",Z$5="",'상세일정'!AM65="제외"),"",IF($D65=$E65,IF(AND($D65&gt;=Z$5,$D65&lt;Z$5+7),"◆",""),IF(AND($D65&lt;Z$5+7,$E65&gt;Z$5),"■","")))</x:f>
      </x:c>
      <x:c r="AA65" s="7" t="str">
        <x:f>IF(OR($D65="",AA$5="",'상세일정'!AM65="제외"),"",IF($D65=$E65,IF(AND($D65&gt;=AA$5,$D65&lt;AA$5+7),"◆",""),IF(AND($D65&lt;AA$5+7,$E65&gt;AA$5),"■","")))</x:f>
      </x:c>
      <x:c r="AB65" s="7" t="str">
        <x:f>IF(OR($D65="",AB$5="",'상세일정'!AM65="제외"),"",IF($D65=$E65,IF(AND($D65&gt;=AB$5,$D65&lt;AB$5+7),"◆",""),IF(AND($D65&lt;AB$5+7,$E65&gt;AB$5),"■","")))</x:f>
      </x:c>
      <x:c r="AC65" s="7" t="str">
        <x:f>IF(OR($D65="",AC$5="",'상세일정'!AM65="제외"),"",IF($D65=$E65,IF(AND($D65&gt;=AC$5,$D65&lt;AC$5+7),"◆",""),IF(AND($D65&lt;AC$5+7,$E65&gt;AC$5),"■","")))</x:f>
      </x:c>
      <x:c r="AD65" s="7" t="str">
        <x:f>IF(OR($D65="",AD$5="",'상세일정'!AM65="제외"),"",IF($D65=$E65,IF(AND($D65&gt;=AD$5,$D65&lt;AD$5+7),"◆",""),IF(AND($D65&lt;AD$5+7,$E65&gt;AD$5),"■","")))</x:f>
      </x:c>
      <x:c r="AE65" s="7" t="str">
        <x:f>IF(OR($D65="",AE$5="",'상세일정'!AM65="제외"),"",IF($D65=$E65,IF(AND($D65&gt;=AE$5,$D65&lt;AE$5+7),"◆",""),IF(AND($D65&lt;AE$5+7,$E65&gt;AE$5),"■","")))</x:f>
      </x:c>
      <x:c r="AF65" s="7" t="str">
        <x:f>IF(OR($D65="",AF$5="",'상세일정'!AM65="제외"),"",IF($D65=$E65,IF(AND($D65&gt;=AF$5,$D65&lt;AF$5+7),"◆",""),IF(AND($D65&lt;AF$5+7,$E65&gt;AF$5),"■","")))</x:f>
      </x:c>
      <x:c r="AG65" s="7" t="str">
        <x:f>IF(OR($D65="",AG$5="",'상세일정'!AM65="제외"),"",IF($D65=$E65,IF(AND($D65&gt;=AG$5,$D65&lt;AG$5+7),"◆",""),IF(AND($D65&lt;AG$5+7,$E65&gt;AG$5),"■","")))</x:f>
      </x:c>
      <x:c r="AH65" s="7" t="str">
        <x:f>IF(OR($D65="",AH$5="",'상세일정'!AM65="제외"),"",IF($D65=$E65,IF(AND($D65&gt;=AH$5,$D65&lt;AH$5+7),"◆",""),IF(AND($D65&lt;AH$5+7,$E65&gt;AH$5),"■","")))</x:f>
      </x:c>
      <x:c r="AI65" s="7" t="str">
        <x:f>IF(OR($D65="",AI$5="",'상세일정'!AM65="제외"),"",IF($D65=$E65,IF(AND($D65&gt;=AI$5,$D65&lt;AI$5+7),"◆",""),IF(AND($D65&lt;AI$5+7,$E65&gt;AI$5),"■","")))</x:f>
      </x:c>
      <x:c r="AJ65" s="7" t="str">
        <x:f>IF(OR($D65="",AJ$5="",'상세일정'!AM65="제외"),"",IF($D65=$E65,IF(AND($D65&gt;=AJ$5,$D65&lt;AJ$5+7),"◆",""),IF(AND($D65&lt;AJ$5+7,$E65&gt;AJ$5),"■","")))</x:f>
      </x:c>
      <x:c r="AK65" s="7" t="str">
        <x:f>IF(OR($D65="",AK$5="",'상세일정'!AM65="제외"),"",IF($D65=$E65,IF(AND($D65&gt;=AK$5,$D65&lt;AK$5+7),"◆",""),IF(AND($D65&lt;AK$5+7,$E65&gt;AK$5),"■","")))</x:f>
      </x:c>
      <x:c r="AL65" s="7" t="str">
        <x:f>IF(OR($D65="",AL$5="",'상세일정'!AM65="제외"),"",IF($D65=$E65,IF(AND($D65&gt;=AL$5,$D65&lt;AL$5+7),"◆",""),IF(AND($D65&lt;AL$5+7,$E65&gt;AL$5),"■","")))</x:f>
      </x:c>
      <x:c r="AM65" s="7" t="str">
        <x:f>IF(OR($D65="",AM$5="",'상세일정'!AM65="제외"),"",IF($D65=$E65,IF(AND($D65&gt;=AM$5,$D65&lt;AM$5+7),"◆",""),IF(AND($D65&lt;AM$5+7,$E65&gt;AM$5),"■","")))</x:f>
      </x:c>
      <x:c r="AN65" s="7" t="str">
        <x:f>IF(OR($D65="",AN$5="",'상세일정'!AM65="제외"),"",IF($D65=$E65,IF(AND($D65&gt;=AN$5,$D65&lt;AN$5+7),"◆",""),IF(AND($D65&lt;AN$5+7,$E65&gt;AN$5),"■","")))</x:f>
      </x:c>
      <x:c r="AO65" s="7" t="str">
        <x:f>IF(OR($D65="",AO$5="",'상세일정'!AM65="제외"),"",IF($D65=$E65,IF(AND($D65&gt;=AO$5,$D65&lt;AO$5+7),"◆",""),IF(AND($D65&lt;AO$5+7,$E65&gt;AO$5),"■","")))</x:f>
      </x:c>
      <x:c r="AP65" s="7" t="str">
        <x:f>IF(OR($D65="",AP$5="",'상세일정'!AM65="제외"),"",IF($D65=$E65,IF(AND($D65&gt;=AP$5,$D65&lt;AP$5+7),"◆",""),IF(AND($D65&lt;AP$5+7,$E65&gt;AP$5),"■","")))</x:f>
      </x:c>
      <x:c r="AQ65" s="7" t="str">
        <x:f>IF(OR($D65="",AQ$5="",'상세일정'!AM65="제외"),"",IF($D65=$E65,IF(AND($D65&gt;=AQ$5,$D65&lt;AQ$5+7),"◆",""),IF(AND($D65&lt;AQ$5+7,$E65&gt;AQ$5),"■","")))</x:f>
      </x:c>
      <x:c r="AR65" s="7" t="str">
        <x:f>IF(OR($D65="",AR$5="",'상세일정'!AM65="제외"),"",IF($D65=$E65,IF(AND($D65&gt;=AR$5,$D65&lt;AR$5+7),"◆",""),IF(AND($D65&lt;AR$5+7,$E65&gt;AR$5),"■","")))</x:f>
      </x:c>
      <x:c r="AS65" s="7" t="str">
        <x:f>IF(OR($D65="",AS$5="",'상세일정'!AM65="제외"),"",IF($D65=$E65,IF(AND($D65&gt;=AS$5,$D65&lt;AS$5+7),"◆",""),IF(AND($D65&lt;AS$5+7,$E65&gt;AS$5),"■","")))</x:f>
      </x:c>
      <x:c r="AT65" s="7" t="str">
        <x:f>IF(OR($D65="",AT$5="",'상세일정'!AM65="제외"),"",IF($D65=$E65,IF(AND($D65&gt;=AT$5,$D65&lt;AT$5+7),"◆",""),IF(AND($D65&lt;AT$5+7,$E65&gt;AT$5),"■","")))</x:f>
      </x:c>
      <x:c r="AU65" s="7" t="str">
        <x:f>IF(OR($D65="",AU$5="",'상세일정'!AM65="제외"),"",IF($D65=$E65,IF(AND($D65&gt;=AU$5,$D65&lt;AU$5+7),"◆",""),IF(AND($D65&lt;AU$5+7,$E65&gt;AU$5),"■","")))</x:f>
      </x:c>
      <x:c r="AV65" s="7" t="str">
        <x:f>IF(OR($D65="",AV$5="",'상세일정'!AM65="제외"),"",IF($D65=$E65,IF(AND($D65&gt;=AV$5,$D65&lt;AV$5+7),"◆",""),IF(AND($D65&lt;AV$5+7,$E65&gt;AV$5),"■","")))</x:f>
      </x:c>
      <x:c r="AW65" s="7" t="str">
        <x:f>IF(OR($D65="",AW$5="",'상세일정'!AM65="제외"),"",IF($D65=$E65,IF(AND($D65&gt;=AW$5,$D65&lt;AW$5+7),"◆",""),IF(AND($D65&lt;AW$5+7,$E65&gt;AW$5),"■","")))</x:f>
      </x:c>
      <x:c r="AX65" s="7" t="str">
        <x:f>IF(OR($D65="",AX$5="",'상세일정'!AM65="제외"),"",IF($D65=$E65,IF(AND($D65&gt;=AX$5,$D65&lt;AX$5+7),"◆",""),IF(AND($D65&lt;AX$5+7,$E65&gt;AX$5),"■","")))</x:f>
      </x:c>
      <x:c r="AY65" s="7" t="str">
        <x:f>IF(OR($D65="",AY$5="",'상세일정'!AM65="제외"),"",IF($D65=$E65,IF(AND($D65&gt;=AY$5,$D65&lt;AY$5+7),"◆",""),IF(AND($D65&lt;AY$5+7,$E65&gt;AY$5),"■","")))</x:f>
      </x:c>
      <x:c r="AZ65" s="7" t="str">
        <x:f>IF(OR($D65="",AZ$5="",'상세일정'!AM65="제외"),"",IF($D65=$E65,IF(AND($D65&gt;=AZ$5,$D65&lt;AZ$5+7),"◆",""),IF(AND($D65&lt;AZ$5+7,$E65&gt;AZ$5),"■","")))</x:f>
      </x:c>
      <x:c r="BA65" s="7" t="str">
        <x:f>IF(OR($D65="",BA$5="",'상세일정'!AM65="제외"),"",IF($D65=$E65,IF(AND($D65&gt;=BA$5,$D65&lt;BA$5+7),"◆",""),IF(AND($D65&lt;BA$5+7,$E65&gt;BA$5),"■","")))</x:f>
      </x:c>
      <x:c r="BB65" s="7" t="str">
        <x:f>IF(OR($D65="",BB$5="",'상세일정'!AM65="제외"),"",IF($D65=$E65,IF(AND($D65&gt;=BB$5,$D65&lt;BB$5+7),"◆",""),IF(AND($D65&lt;BB$5+7,$E65&gt;BB$5),"■","")))</x:f>
      </x:c>
      <x:c r="BC65" s="7" t="str">
        <x:f>IF(OR($D65="",BC$5="",'상세일정'!AM65="제외"),"",IF($D65=$E65,IF(AND($D65&gt;=BC$5,$D65&lt;BC$5+7),"◆",""),IF(AND($D65&lt;BC$5+7,$E65&gt;BC$5),"■","")))</x:f>
      </x:c>
      <x:c r="BD65" s="7" t="str">
        <x:f>IF(OR($D65="",BD$5="",'상세일정'!AM65="제외"),"",IF($D65=$E65,IF(AND($D65&gt;=BD$5,$D65&lt;BD$5+7),"◆",""),IF(AND($D65&lt;BD$5+7,$E65&gt;BD$5),"■","")))</x:f>
      </x:c>
      <x:c r="BE65" s="7" t="str">
        <x:f>IF(OR($D65="",BE$5="",'상세일정'!AM65="제외"),"",IF($D65=$E65,IF(AND($D65&gt;=BE$5,$D65&lt;BE$5+7),"◆",""),IF(AND($D65&lt;BE$5+7,$E65&gt;BE$5),"■","")))</x:f>
      </x:c>
      <x:c r="BF65" s="7" t="str">
        <x:f>IF(OR($D65="",BF$5="",'상세일정'!AM65="제외"),"",IF($D65=$E65,IF(AND($D65&gt;=BF$5,$D65&lt;BF$5+7),"◆",""),IF(AND($D65&lt;BF$5+7,$E65&gt;BF$5),"■","")))</x:f>
      </x:c>
      <x:c r="BG65" s="7" t="str">
        <x:f>IF(OR($D65="",BG$5="",'상세일정'!AM65="제외"),"",IF($D65=$E65,IF(AND($D65&gt;=BG$5,$D65&lt;BG$5+7),"◆",""),IF(AND($D65&lt;BG$5+7,$E65&gt;BG$5),"■","")))</x:f>
      </x:c>
      <x:c r="BH65" s="7" t="str">
        <x:f>IF(OR($D65="",BH$5="",'상세일정'!AM65="제외"),"",IF($D65=$E65,IF(AND($D65&gt;=BH$5,$D65&lt;BH$5+7),"◆",""),IF(AND($D65&lt;BH$5+7,$E65&gt;BH$5),"■","")))</x:f>
      </x:c>
      <x:c r="BI65" s="7" t="str">
        <x:f>IF(OR($D65="",BI$5="",'상세일정'!AM65="제외"),"",IF($D65=$E65,IF(AND($D65&gt;=BI$5,$D65&lt;BI$5+7),"◆",""),IF(AND($D65&lt;BI$5+7,$E65&gt;BI$5),"■","")))</x:f>
      </x:c>
      <x:c r="BJ65" s="7" t="str">
        <x:f>IF(OR($D65="",BJ$5="",'상세일정'!AM65="제외"),"",IF($D65=$E65,IF(AND($D65&gt;=BJ$5,$D65&lt;BJ$5+7),"◆",""),IF(AND($D65&lt;BJ$5+7,$E65&gt;BJ$5),"■","")))</x:f>
      </x:c>
      <x:c r="BK65" s="7" t="str">
        <x:f>IF(OR($D65="",BK$5="",'상세일정'!AM65="제외"),"",IF($D65=$E65,IF(AND($D65&gt;=BK$5,$D65&lt;BK$5+7),"◆",""),IF(AND($D65&lt;BK$5+7,$E65&gt;BK$5),"■","")))</x:f>
      </x:c>
      <x:c r="BL65" s="7" t="str">
        <x:f>IF(OR($D65="",BL$5="",'상세일정'!AM65="제외"),"",IF($D65=$E65,IF(AND($D65&gt;=BL$5,$D65&lt;BL$5+7),"◆",""),IF(AND($D65&lt;BL$5+7,$E65&gt;BL$5),"■","")))</x:f>
      </x:c>
      <x:c r="BM65" s="7" t="str">
        <x:f>IF(OR($D65="",BM$5="",'상세일정'!AM65="제외"),"",IF($D65=$E65,IF(AND($D65&gt;=BM$5,$D65&lt;BM$5+7),"◆",""),IF(AND($D65&lt;BM$5+7,$E65&gt;BM$5),"■","")))</x:f>
      </x:c>
      <x:c r="BN65" s="7" t="str">
        <x:f>IF(OR($D65="",BN$5="",'상세일정'!AM65="제외"),"",IF($D65=$E65,IF(AND($D65&gt;=BN$5,$D65&lt;BN$5+7),"◆",""),IF(AND($D65&lt;BN$5+7,$E65&gt;BN$5),"■","")))</x:f>
      </x:c>
      <x:c r="BO65" s="7" t="str">
        <x:f>IF(OR($D65="",BO$5="",'상세일정'!AM65="제외"),"",IF($D65=$E65,IF(AND($D65&gt;=BO$5,$D65&lt;BO$5+7),"◆",""),IF(AND($D65&lt;BO$5+7,$E65&gt;BO$5),"■","")))</x:f>
      </x:c>
      <x:c r="BP65" s="7" t="str">
        <x:f>IF(OR($D65="",BP$5="",'상세일정'!AM65="제외"),"",IF($D65=$E65,IF(AND($D65&gt;=BP$5,$D65&lt;BP$5+7),"◆",""),IF(AND($D65&lt;BP$5+7,$E65&gt;BP$5),"■","")))</x:f>
      </x:c>
      <x:c r="BQ65" s="7" t="str">
        <x:f>IF(OR($D65="",BQ$5="",'상세일정'!AM65="제외"),"",IF($D65=$E65,IF(AND($D65&gt;=BQ$5,$D65&lt;BQ$5+7),"◆",""),IF(AND($D65&lt;BQ$5+7,$E65&gt;BQ$5),"■","")))</x:f>
      </x:c>
      <x:c r="BR65" s="7" t="str">
        <x:f>IF(OR($D65="",BR$5="",'상세일정'!AM65="제외"),"",IF($D65=$E65,IF(AND($D65&gt;=BR$5,$D65&lt;BR$5+7),"◆",""),IF(AND($D65&lt;BR$5+7,$E65&gt;BR$5),"■","")))</x:f>
      </x:c>
      <x:c r="BS65" s="7" t="str">
        <x:f>IF(OR($D65="",BS$5="",'상세일정'!AM65="제외"),"",IF($D65=$E65,IF(AND($D65&gt;=BS$5,$D65&lt;BS$5+7),"◆",""),IF(AND($D65&lt;BS$5+7,$E65&gt;BS$5),"■","")))</x:f>
      </x:c>
      <x:c r="BT65" s="7" t="str">
        <x:f>IF(OR($D65="",BT$5="",'상세일정'!AM65="제외"),"",IF($D65=$E65,IF(AND($D65&gt;=BT$5,$D65&lt;BT$5+7),"◆",""),IF(AND($D65&lt;BT$5+7,$E65&gt;BT$5),"■","")))</x:f>
      </x:c>
      <x:c r="BU65" s="7" t="str">
        <x:f>IF(OR($D65="",BU$5="",'상세일정'!AM65="제외"),"",IF($D65=$E65,IF(AND($D65&gt;=BU$5,$D65&lt;BU$5+7),"◆",""),IF(AND($D65&lt;BU$5+7,$E65&gt;BU$5),"■","")))</x:f>
      </x:c>
      <x:c r="BV65" s="7" t="str">
        <x:f>IF(OR($D65="",BV$5="",'상세일정'!AM65="제외"),"",IF($D65=$E65,IF(AND($D65&gt;=BV$5,$D65&lt;BV$5+7),"◆",""),IF(AND($D65&lt;BV$5+7,$E65&gt;BV$5),"■","")))</x:f>
      </x:c>
      <x:c r="BW65" s="7" t="str">
        <x:f>IF(OR($D65="",BW$5="",'상세일정'!AM65="제외"),"",IF($D65=$E65,IF(AND($D65&gt;=BW$5,$D65&lt;BW$5+7),"◆",""),IF(AND($D65&lt;BW$5+7,$E65&gt;BW$5),"■","")))</x:f>
      </x:c>
      <x:c r="BX65" s="7" t="str">
        <x:f>IF(OR($D65="",BX$5="",'상세일정'!AM65="제외"),"",IF($D65=$E65,IF(AND($D65&gt;=BX$5,$D65&lt;BX$5+7),"◆",""),IF(AND($D65&lt;BX$5+7,$E65&gt;BX$5),"■","")))</x:f>
      </x:c>
      <x:c r="BY65" s="7" t="str">
        <x:f>IF(OR($D65="",BY$5="",'상세일정'!AM65="제외"),"",IF($D65=$E65,IF(AND($D65&gt;=BY$5,$D65&lt;BY$5+7),"◆",""),IF(AND($D65&lt;BY$5+7,$E65&gt;BY$5),"■","")))</x:f>
      </x:c>
      <x:c r="BZ65" s="7" t="str">
        <x:f>IF(OR($D65="",BZ$5="",'상세일정'!AM65="제외"),"",IF($D65=$E65,IF(AND($D65&gt;=BZ$5,$D65&lt;BZ$5+7),"◆",""),IF(AND($D65&lt;BZ$5+7,$E65&gt;BZ$5),"■","")))</x:f>
      </x:c>
      <x:c r="CA65" s="7" t="str">
        <x:f>IF(OR($D65="",CA$5="",'상세일정'!AM65="제외"),"",IF($D65=$E65,IF(AND($D65&gt;=CA$5,$D65&lt;CA$5+7),"◆",""),IF(AND($D65&lt;CA$5+7,$E65&gt;CA$5),"■","")))</x:f>
      </x:c>
      <x:c r="CB65" s="7" t="str">
        <x:f>IF(OR($D65="",CB$5="",'상세일정'!AM65="제외"),"",IF($D65=$E65,IF(AND($D65&gt;=CB$5,$D65&lt;CB$5+7),"◆",""),IF(AND($D65&lt;CB$5+7,$E65&gt;CB$5),"■","")))</x:f>
      </x:c>
      <x:c r="CC65" s="7" t="str">
        <x:f>IF(OR($D65="",CC$5="",'상세일정'!AM65="제외"),"",IF($D65=$E65,IF(AND($D65&gt;=CC$5,$D65&lt;CC$5+7),"◆",""),IF(AND($D65&lt;CC$5+7,$E65&gt;CC$5),"■","")))</x:f>
      </x:c>
      <x:c r="CD65" s="7" t="str">
        <x:f>IF(OR($D65="",CD$5="",'상세일정'!AM65="제외"),"",IF($D65=$E65,IF(AND($D65&gt;=CD$5,$D65&lt;CD$5+7),"◆",""),IF(AND($D65&lt;CD$5+7,$E65&gt;CD$5),"■","")))</x:f>
      </x:c>
      <x:c r="CE65" s="7" t="str">
        <x:f>IF(OR($D65="",CE$5="",'상세일정'!AM65="제외"),"",IF($D65=$E65,IF(AND($D65&gt;=CE$5,$D65&lt;CE$5+7),"◆",""),IF(AND($D65&lt;CE$5+7,$E65&gt;CE$5),"■","")))</x:f>
      </x:c>
      <x:c r="CF65" s="7" t="str">
        <x:f>IF(OR($D65="",CF$5="",'상세일정'!AM65="제외"),"",IF($D65=$E65,IF(AND($D65&gt;=CF$5,$D65&lt;CF$5+7),"◆",""),IF(AND($D65&lt;CF$5+7,$E65&gt;CF$5),"■","")))</x:f>
      </x:c>
      <x:c r="CG65" s="7" t="str">
        <x:f>IF(OR($D65="",CG$5="",'상세일정'!AM65="제외"),"",IF($D65=$E65,IF(AND($D65&gt;=CG$5,$D65&lt;CG$5+7),"◆",""),IF(AND($D65&lt;CG$5+7,$E65&gt;CG$5),"■","")))</x:f>
      </x:c>
      <x:c r="CH65" s="7" t="str">
        <x:f>IF(OR($D65="",CH$5="",'상세일정'!AM65="제외"),"",IF($D65=$E65,IF(AND($D65&gt;=CH$5,$D65&lt;CH$5+7),"◆",""),IF(AND($D65&lt;CH$5+7,$E65&gt;CH$5),"■","")))</x:f>
      </x:c>
      <x:c r="CI65" s="7" t="str">
        <x:f>IF(OR($D65="",CI$5="",'상세일정'!AM65="제외"),"",IF($D65=$E65,IF(AND($D65&gt;=CI$5,$D65&lt;CI$5+7),"◆",""),IF(AND($D65&lt;CI$5+7,$E65&gt;CI$5),"■","")))</x:f>
      </x:c>
      <x:c r="CJ65" s="7" t="str">
        <x:f>IF(OR($D65="",CJ$5="",'상세일정'!AM65="제외"),"",IF($D65=$E65,IF(AND($D65&gt;=CJ$5,$D65&lt;CJ$5+7),"◆",""),IF(AND($D65&lt;CJ$5+7,$E65&gt;CJ$5),"■","")))</x:f>
      </x:c>
      <x:c r="CK65" s="7" t="str">
        <x:f>IF(OR($D65="",CK$5="",'상세일정'!AM65="제외"),"",IF($D65=$E65,IF(AND($D65&gt;=CK$5,$D65&lt;CK$5+7),"◆",""),IF(AND($D65&lt;CK$5+7,$E65&gt;CK$5),"■","")))</x:f>
      </x:c>
      <x:c r="CL65" s="7" t="str">
        <x:f>IF(OR($D65="",CL$5="",'상세일정'!AM65="제외"),"",IF($D65=$E65,IF(AND($D65&gt;=CL$5,$D65&lt;CL$5+7),"◆",""),IF(AND($D65&lt;CL$5+7,$E65&gt;CL$5),"■","")))</x:f>
      </x:c>
      <x:c r="CM65" s="7" t="str">
        <x:f>IF(OR($D65="",CM$5="",'상세일정'!AM65="제외"),"",IF($D65=$E65,IF(AND($D65&gt;=CM$5,$D65&lt;CM$5+7),"◆",""),IF(AND($D65&lt;CM$5+7,$E65&gt;CM$5),"■","")))</x:f>
      </x:c>
      <x:c r="CN65" s="7" t="str">
        <x:f>IF(OR($D65="",CN$5="",'상세일정'!AM65="제외"),"",IF($D65=$E65,IF(AND($D65&gt;=CN$5,$D65&lt;CN$5+7),"◆",""),IF(AND($D65&lt;CN$5+7,$E65&gt;CN$5),"■","")))</x:f>
      </x:c>
      <x:c r="CO65" s="7" t="str">
        <x:f>IF(OR($D65="",CO$5="",'상세일정'!AM65="제외"),"",IF($D65=$E65,IF(AND($D65&gt;=CO$5,$D65&lt;CO$5+7),"◆",""),IF(AND($D65&lt;CO$5+7,$E65&gt;CO$5),"■","")))</x:f>
      </x:c>
      <x:c r="CP65" s="7" t="str">
        <x:f>IF(OR($D65="",CP$5="",'상세일정'!AM65="제외"),"",IF($D65=$E65,IF(AND($D65&gt;=CP$5,$D65&lt;CP$5+7),"◆",""),IF(AND($D65&lt;CP$5+7,$E65&gt;CP$5),"■","")))</x:f>
      </x:c>
      <x:c r="CQ65" s="7" t="str">
        <x:f>IF(OR($D65="",CQ$5="",'상세일정'!AM65="제외"),"",IF($D65=$E65,IF(AND($D65&gt;=CQ$5,$D65&lt;CQ$5+7),"◆",""),IF(AND($D65&lt;CQ$5+7,$E65&gt;CQ$5),"■","")))</x:f>
      </x:c>
      <x:c r="CR65" s="7" t="str">
        <x:f>IF(OR($D65="",CR$5="",'상세일정'!AM65="제외"),"",IF($D65=$E65,IF(AND($D65&gt;=CR$5,$D65&lt;CR$5+7),"◆",""),IF(AND($D65&lt;CR$5+7,$E65&gt;CR$5),"■","")))</x:f>
      </x:c>
      <x:c r="CS65" s="7" t="str">
        <x:f>IF(OR($D65="",CS$5="",'상세일정'!AM65="제외"),"",IF($D65=$E65,IF(AND($D65&gt;=CS$5,$D65&lt;CS$5+7),"◆",""),IF(AND($D65&lt;CS$5+7,$E65&gt;CS$5),"■","")))</x:f>
      </x:c>
      <x:c r="CT65" s="7" t="str">
        <x:f>IF(OR($D65="",CT$5="",'상세일정'!AM65="제외"),"",IF($D65=$E65,IF(AND($D65&gt;=CT$5,$D65&lt;CT$5+7),"◆",""),IF(AND($D65&lt;CT$5+7,$E65&gt;CT$5),"■","")))</x:f>
      </x:c>
      <x:c r="CU65" s="7" t="str">
        <x:f>IF(OR($D65="",CU$5="",'상세일정'!AM65="제외"),"",IF($D65=$E65,IF(AND($D65&gt;=CU$5,$D65&lt;CU$5+7),"◆",""),IF(AND($D65&lt;CU$5+7,$E65&gt;CU$5),"■","")))</x:f>
      </x:c>
      <x:c r="CV65" s="7" t="str">
        <x:f>IF(OR($D65="",CV$5="",'상세일정'!AM65="제외"),"",IF($D65=$E65,IF(AND($D65&gt;=CV$5,$D65&lt;CV$5+7),"◆",""),IF(AND($D65&lt;CV$5+7,$E65&gt;CV$5),"■","")))</x:f>
      </x:c>
      <x:c r="CW65" s="7" t="str">
        <x:f>IF(OR($D65="",CW$5="",'상세일정'!AM65="제외"),"",IF($D65=$E65,IF(AND($D65&gt;=CW$5,$D65&lt;CW$5+7),"◆",""),IF(AND($D65&lt;CW$5+7,$E65&gt;CW$5),"■","")))</x:f>
      </x:c>
      <x:c r="CX65" s="7" t="str">
        <x:f>IF(OR($D65="",CX$5="",'상세일정'!AM65="제외"),"",IF($D65=$E65,IF(AND($D65&gt;=CX$5,$D65&lt;CX$5+7),"◆",""),IF(AND($D65&lt;CX$5+7,$E65&gt;CX$5),"■","")))</x:f>
      </x:c>
      <x:c r="CY65" s="7" t="str">
        <x:f>IF(OR($D65="",CY$5="",'상세일정'!AM65="제외"),"",IF($D65=$E65,IF(AND($D65&gt;=CY$5,$D65&lt;CY$5+7),"◆",""),IF(AND($D65&lt;CY$5+7,$E65&gt;CY$5),"■","")))</x:f>
      </x:c>
      <x:c r="CZ65" s="7" t="str">
        <x:f>IF(OR($D65="",CZ$5="",'상세일정'!AM65="제외"),"",IF($D65=$E65,IF(AND($D65&gt;=CZ$5,$D65&lt;CZ$5+7),"◆",""),IF(AND($D65&lt;CZ$5+7,$E65&gt;CZ$5),"■","")))</x:f>
      </x:c>
      <x:c r="DA65" s="7" t="str">
        <x:f>IF(OR($D65="",DA$5="",'상세일정'!AM65="제외"),"",IF($D65=$E65,IF(AND($D65&gt;=DA$5,$D65&lt;DA$5+7),"◆",""),IF(AND($D65&lt;DA$5+7,$E65&gt;DA$5),"■","")))</x:f>
      </x:c>
      <x:c r="DB65" s="7" t="str">
        <x:f>IF(OR($D65="",DB$5="",'상세일정'!AM65="제외"),"",IF($D65=$E65,IF(AND($D65&gt;=DB$5,$D65&lt;DB$5+7),"◆",""),IF(AND($D65&lt;DB$5+7,$E65&gt;DB$5),"■","")))</x:f>
      </x:c>
      <x:c r="DC65" s="7" t="str">
        <x:f>IF(OR($D65="",DC$5="",'상세일정'!AM65="제외"),"",IF($D65=$E65,IF(AND($D65&gt;=DC$5,$D65&lt;DC$5+7),"◆",""),IF(AND($D65&lt;DC$5+7,$E65&gt;DC$5),"■","")))</x:f>
      </x:c>
      <x:c r="DD65" s="7" t="str">
        <x:f>IF(OR($D65="",DD$5="",'상세일정'!AM65="제외"),"",IF($D65=$E65,IF(AND($D65&gt;=DD$5,$D65&lt;DD$5+7),"◆",""),IF(AND($D65&lt;DD$5+7,$E65&gt;DD$5),"■","")))</x:f>
      </x:c>
      <x:c r="DE65" s="7" t="str">
        <x:f>IF(OR($D65="",DE$5="",'상세일정'!AM65="제외"),"",IF($D65=$E65,IF(AND($D65&gt;=DE$5,$D65&lt;DE$5+7),"◆",""),IF(AND($D65&lt;DE$5+7,$E65&gt;DE$5),"■","")))</x:f>
      </x:c>
    </x:row>
    <x:row r="66" ht="34" customHeight="1">
      <x:c r="A66" s="7" t="str">
        <x:v>BP01</x:v>
      </x:c>
      <x:c r="B66" s="7" t="str">
        <x:v>10 건축허가</x:v>
      </x:c>
      <x:c r="C66" s="7" t="str">
        <x:v>건축허가 도서·구조계산서 완결성 검토</x:v>
      </x:c>
      <x:c r="D66" s="10" t="str">
        <x:f>'상세일정'!AJ66</x:f>
      </x:c>
      <x:c r="E66" s="10" t="str">
        <x:f>'상세일정'!AK66</x:f>
      </x:c>
      <x:c r="F66" s="7" t="str">
        <x:f>IF(OR($D66="",F$5="",'상세일정'!AM66="제외"),"",IF($D66=$E66,IF(AND($D66&gt;=F$5,$D66&lt;F$5+7),"◆",""),IF(AND($D66&lt;F$5+7,$E66&gt;F$5),"■","")))</x:f>
      </x:c>
      <x:c r="G66" s="7" t="str">
        <x:f>IF(OR($D66="",G$5="",'상세일정'!AM66="제외"),"",IF($D66=$E66,IF(AND($D66&gt;=G$5,$D66&lt;G$5+7),"◆",""),IF(AND($D66&lt;G$5+7,$E66&gt;G$5),"■","")))</x:f>
      </x:c>
      <x:c r="H66" s="7" t="str">
        <x:f>IF(OR($D66="",H$5="",'상세일정'!AM66="제외"),"",IF($D66=$E66,IF(AND($D66&gt;=H$5,$D66&lt;H$5+7),"◆",""),IF(AND($D66&lt;H$5+7,$E66&gt;H$5),"■","")))</x:f>
      </x:c>
      <x:c r="I66" s="7" t="str">
        <x:f>IF(OR($D66="",I$5="",'상세일정'!AM66="제외"),"",IF($D66=$E66,IF(AND($D66&gt;=I$5,$D66&lt;I$5+7),"◆",""),IF(AND($D66&lt;I$5+7,$E66&gt;I$5),"■","")))</x:f>
      </x:c>
      <x:c r="J66" s="7" t="str">
        <x:f>IF(OR($D66="",J$5="",'상세일정'!AM66="제외"),"",IF($D66=$E66,IF(AND($D66&gt;=J$5,$D66&lt;J$5+7),"◆",""),IF(AND($D66&lt;J$5+7,$E66&gt;J$5),"■","")))</x:f>
      </x:c>
      <x:c r="K66" s="7" t="str">
        <x:f>IF(OR($D66="",K$5="",'상세일정'!AM66="제외"),"",IF($D66=$E66,IF(AND($D66&gt;=K$5,$D66&lt;K$5+7),"◆",""),IF(AND($D66&lt;K$5+7,$E66&gt;K$5),"■","")))</x:f>
      </x:c>
      <x:c r="L66" s="7" t="str">
        <x:f>IF(OR($D66="",L$5="",'상세일정'!AM66="제외"),"",IF($D66=$E66,IF(AND($D66&gt;=L$5,$D66&lt;L$5+7),"◆",""),IF(AND($D66&lt;L$5+7,$E66&gt;L$5),"■","")))</x:f>
      </x:c>
      <x:c r="M66" s="7" t="str">
        <x:f>IF(OR($D66="",M$5="",'상세일정'!AM66="제외"),"",IF($D66=$E66,IF(AND($D66&gt;=M$5,$D66&lt;M$5+7),"◆",""),IF(AND($D66&lt;M$5+7,$E66&gt;M$5),"■","")))</x:f>
      </x:c>
      <x:c r="N66" s="7" t="str">
        <x:f>IF(OR($D66="",N$5="",'상세일정'!AM66="제외"),"",IF($D66=$E66,IF(AND($D66&gt;=N$5,$D66&lt;N$5+7),"◆",""),IF(AND($D66&lt;N$5+7,$E66&gt;N$5),"■","")))</x:f>
      </x:c>
      <x:c r="O66" s="7" t="str">
        <x:f>IF(OR($D66="",O$5="",'상세일정'!AM66="제외"),"",IF($D66=$E66,IF(AND($D66&gt;=O$5,$D66&lt;O$5+7),"◆",""),IF(AND($D66&lt;O$5+7,$E66&gt;O$5),"■","")))</x:f>
      </x:c>
      <x:c r="P66" s="7" t="str">
        <x:f>IF(OR($D66="",P$5="",'상세일정'!AM66="제외"),"",IF($D66=$E66,IF(AND($D66&gt;=P$5,$D66&lt;P$5+7),"◆",""),IF(AND($D66&lt;P$5+7,$E66&gt;P$5),"■","")))</x:f>
      </x:c>
      <x:c r="Q66" s="7" t="str">
        <x:f>IF(OR($D66="",Q$5="",'상세일정'!AM66="제외"),"",IF($D66=$E66,IF(AND($D66&gt;=Q$5,$D66&lt;Q$5+7),"◆",""),IF(AND($D66&lt;Q$5+7,$E66&gt;Q$5),"■","")))</x:f>
      </x:c>
      <x:c r="R66" s="7" t="str">
        <x:f>IF(OR($D66="",R$5="",'상세일정'!AM66="제외"),"",IF($D66=$E66,IF(AND($D66&gt;=R$5,$D66&lt;R$5+7),"◆",""),IF(AND($D66&lt;R$5+7,$E66&gt;R$5),"■","")))</x:f>
      </x:c>
      <x:c r="S66" s="7" t="str">
        <x:f>IF(OR($D66="",S$5="",'상세일정'!AM66="제외"),"",IF($D66=$E66,IF(AND($D66&gt;=S$5,$D66&lt;S$5+7),"◆",""),IF(AND($D66&lt;S$5+7,$E66&gt;S$5),"■","")))</x:f>
      </x:c>
      <x:c r="T66" s="7" t="str">
        <x:f>IF(OR($D66="",T$5="",'상세일정'!AM66="제외"),"",IF($D66=$E66,IF(AND($D66&gt;=T$5,$D66&lt;T$5+7),"◆",""),IF(AND($D66&lt;T$5+7,$E66&gt;T$5),"■","")))</x:f>
      </x:c>
      <x:c r="U66" s="7" t="str">
        <x:f>IF(OR($D66="",U$5="",'상세일정'!AM66="제외"),"",IF($D66=$E66,IF(AND($D66&gt;=U$5,$D66&lt;U$5+7),"◆",""),IF(AND($D66&lt;U$5+7,$E66&gt;U$5),"■","")))</x:f>
      </x:c>
      <x:c r="V66" s="7" t="str">
        <x:f>IF(OR($D66="",V$5="",'상세일정'!AM66="제외"),"",IF($D66=$E66,IF(AND($D66&gt;=V$5,$D66&lt;V$5+7),"◆",""),IF(AND($D66&lt;V$5+7,$E66&gt;V$5),"■","")))</x:f>
      </x:c>
      <x:c r="W66" s="7" t="str">
        <x:f>IF(OR($D66="",W$5="",'상세일정'!AM66="제외"),"",IF($D66=$E66,IF(AND($D66&gt;=W$5,$D66&lt;W$5+7),"◆",""),IF(AND($D66&lt;W$5+7,$E66&gt;W$5),"■","")))</x:f>
      </x:c>
      <x:c r="X66" s="7" t="str">
        <x:f>IF(OR($D66="",X$5="",'상세일정'!AM66="제외"),"",IF($D66=$E66,IF(AND($D66&gt;=X$5,$D66&lt;X$5+7),"◆",""),IF(AND($D66&lt;X$5+7,$E66&gt;X$5),"■","")))</x:f>
      </x:c>
      <x:c r="Y66" s="7" t="str">
        <x:f>IF(OR($D66="",Y$5="",'상세일정'!AM66="제외"),"",IF($D66=$E66,IF(AND($D66&gt;=Y$5,$D66&lt;Y$5+7),"◆",""),IF(AND($D66&lt;Y$5+7,$E66&gt;Y$5),"■","")))</x:f>
      </x:c>
      <x:c r="Z66" s="7" t="str">
        <x:f>IF(OR($D66="",Z$5="",'상세일정'!AM66="제외"),"",IF($D66=$E66,IF(AND($D66&gt;=Z$5,$D66&lt;Z$5+7),"◆",""),IF(AND($D66&lt;Z$5+7,$E66&gt;Z$5),"■","")))</x:f>
      </x:c>
      <x:c r="AA66" s="7" t="str">
        <x:f>IF(OR($D66="",AA$5="",'상세일정'!AM66="제외"),"",IF($D66=$E66,IF(AND($D66&gt;=AA$5,$D66&lt;AA$5+7),"◆",""),IF(AND($D66&lt;AA$5+7,$E66&gt;AA$5),"■","")))</x:f>
      </x:c>
      <x:c r="AB66" s="7" t="str">
        <x:f>IF(OR($D66="",AB$5="",'상세일정'!AM66="제외"),"",IF($D66=$E66,IF(AND($D66&gt;=AB$5,$D66&lt;AB$5+7),"◆",""),IF(AND($D66&lt;AB$5+7,$E66&gt;AB$5),"■","")))</x:f>
      </x:c>
      <x:c r="AC66" s="7" t="str">
        <x:f>IF(OR($D66="",AC$5="",'상세일정'!AM66="제외"),"",IF($D66=$E66,IF(AND($D66&gt;=AC$5,$D66&lt;AC$5+7),"◆",""),IF(AND($D66&lt;AC$5+7,$E66&gt;AC$5),"■","")))</x:f>
      </x:c>
      <x:c r="AD66" s="7" t="str">
        <x:f>IF(OR($D66="",AD$5="",'상세일정'!AM66="제외"),"",IF($D66=$E66,IF(AND($D66&gt;=AD$5,$D66&lt;AD$5+7),"◆",""),IF(AND($D66&lt;AD$5+7,$E66&gt;AD$5),"■","")))</x:f>
      </x:c>
      <x:c r="AE66" s="7" t="str">
        <x:f>IF(OR($D66="",AE$5="",'상세일정'!AM66="제외"),"",IF($D66=$E66,IF(AND($D66&gt;=AE$5,$D66&lt;AE$5+7),"◆",""),IF(AND($D66&lt;AE$5+7,$E66&gt;AE$5),"■","")))</x:f>
      </x:c>
      <x:c r="AF66" s="7" t="str">
        <x:f>IF(OR($D66="",AF$5="",'상세일정'!AM66="제외"),"",IF($D66=$E66,IF(AND($D66&gt;=AF$5,$D66&lt;AF$5+7),"◆",""),IF(AND($D66&lt;AF$5+7,$E66&gt;AF$5),"■","")))</x:f>
      </x:c>
      <x:c r="AG66" s="7" t="str">
        <x:f>IF(OR($D66="",AG$5="",'상세일정'!AM66="제외"),"",IF($D66=$E66,IF(AND($D66&gt;=AG$5,$D66&lt;AG$5+7),"◆",""),IF(AND($D66&lt;AG$5+7,$E66&gt;AG$5),"■","")))</x:f>
      </x:c>
      <x:c r="AH66" s="7" t="str">
        <x:f>IF(OR($D66="",AH$5="",'상세일정'!AM66="제외"),"",IF($D66=$E66,IF(AND($D66&gt;=AH$5,$D66&lt;AH$5+7),"◆",""),IF(AND($D66&lt;AH$5+7,$E66&gt;AH$5),"■","")))</x:f>
      </x:c>
      <x:c r="AI66" s="7" t="str">
        <x:f>IF(OR($D66="",AI$5="",'상세일정'!AM66="제외"),"",IF($D66=$E66,IF(AND($D66&gt;=AI$5,$D66&lt;AI$5+7),"◆",""),IF(AND($D66&lt;AI$5+7,$E66&gt;AI$5),"■","")))</x:f>
      </x:c>
      <x:c r="AJ66" s="7" t="str">
        <x:f>IF(OR($D66="",AJ$5="",'상세일정'!AM66="제외"),"",IF($D66=$E66,IF(AND($D66&gt;=AJ$5,$D66&lt;AJ$5+7),"◆",""),IF(AND($D66&lt;AJ$5+7,$E66&gt;AJ$5),"■","")))</x:f>
      </x:c>
      <x:c r="AK66" s="7" t="str">
        <x:f>IF(OR($D66="",AK$5="",'상세일정'!AM66="제외"),"",IF($D66=$E66,IF(AND($D66&gt;=AK$5,$D66&lt;AK$5+7),"◆",""),IF(AND($D66&lt;AK$5+7,$E66&gt;AK$5),"■","")))</x:f>
      </x:c>
      <x:c r="AL66" s="7" t="str">
        <x:f>IF(OR($D66="",AL$5="",'상세일정'!AM66="제외"),"",IF($D66=$E66,IF(AND($D66&gt;=AL$5,$D66&lt;AL$5+7),"◆",""),IF(AND($D66&lt;AL$5+7,$E66&gt;AL$5),"■","")))</x:f>
      </x:c>
      <x:c r="AM66" s="7" t="str">
        <x:f>IF(OR($D66="",AM$5="",'상세일정'!AM66="제외"),"",IF($D66=$E66,IF(AND($D66&gt;=AM$5,$D66&lt;AM$5+7),"◆",""),IF(AND($D66&lt;AM$5+7,$E66&gt;AM$5),"■","")))</x:f>
      </x:c>
      <x:c r="AN66" s="7" t="str">
        <x:f>IF(OR($D66="",AN$5="",'상세일정'!AM66="제외"),"",IF($D66=$E66,IF(AND($D66&gt;=AN$5,$D66&lt;AN$5+7),"◆",""),IF(AND($D66&lt;AN$5+7,$E66&gt;AN$5),"■","")))</x:f>
      </x:c>
      <x:c r="AO66" s="7" t="str">
        <x:f>IF(OR($D66="",AO$5="",'상세일정'!AM66="제외"),"",IF($D66=$E66,IF(AND($D66&gt;=AO$5,$D66&lt;AO$5+7),"◆",""),IF(AND($D66&lt;AO$5+7,$E66&gt;AO$5),"■","")))</x:f>
      </x:c>
      <x:c r="AP66" s="7" t="str">
        <x:f>IF(OR($D66="",AP$5="",'상세일정'!AM66="제외"),"",IF($D66=$E66,IF(AND($D66&gt;=AP$5,$D66&lt;AP$5+7),"◆",""),IF(AND($D66&lt;AP$5+7,$E66&gt;AP$5),"■","")))</x:f>
      </x:c>
      <x:c r="AQ66" s="7" t="str">
        <x:f>IF(OR($D66="",AQ$5="",'상세일정'!AM66="제외"),"",IF($D66=$E66,IF(AND($D66&gt;=AQ$5,$D66&lt;AQ$5+7),"◆",""),IF(AND($D66&lt;AQ$5+7,$E66&gt;AQ$5),"■","")))</x:f>
      </x:c>
      <x:c r="AR66" s="7" t="str">
        <x:f>IF(OR($D66="",AR$5="",'상세일정'!AM66="제외"),"",IF($D66=$E66,IF(AND($D66&gt;=AR$5,$D66&lt;AR$5+7),"◆",""),IF(AND($D66&lt;AR$5+7,$E66&gt;AR$5),"■","")))</x:f>
      </x:c>
      <x:c r="AS66" s="7" t="str">
        <x:f>IF(OR($D66="",AS$5="",'상세일정'!AM66="제외"),"",IF($D66=$E66,IF(AND($D66&gt;=AS$5,$D66&lt;AS$5+7),"◆",""),IF(AND($D66&lt;AS$5+7,$E66&gt;AS$5),"■","")))</x:f>
      </x:c>
      <x:c r="AT66" s="7" t="str">
        <x:f>IF(OR($D66="",AT$5="",'상세일정'!AM66="제외"),"",IF($D66=$E66,IF(AND($D66&gt;=AT$5,$D66&lt;AT$5+7),"◆",""),IF(AND($D66&lt;AT$5+7,$E66&gt;AT$5),"■","")))</x:f>
      </x:c>
      <x:c r="AU66" s="7" t="str">
        <x:f>IF(OR($D66="",AU$5="",'상세일정'!AM66="제외"),"",IF($D66=$E66,IF(AND($D66&gt;=AU$5,$D66&lt;AU$5+7),"◆",""),IF(AND($D66&lt;AU$5+7,$E66&gt;AU$5),"■","")))</x:f>
      </x:c>
      <x:c r="AV66" s="7" t="str">
        <x:f>IF(OR($D66="",AV$5="",'상세일정'!AM66="제외"),"",IF($D66=$E66,IF(AND($D66&gt;=AV$5,$D66&lt;AV$5+7),"◆",""),IF(AND($D66&lt;AV$5+7,$E66&gt;AV$5),"■","")))</x:f>
      </x:c>
      <x:c r="AW66" s="7" t="str">
        <x:f>IF(OR($D66="",AW$5="",'상세일정'!AM66="제외"),"",IF($D66=$E66,IF(AND($D66&gt;=AW$5,$D66&lt;AW$5+7),"◆",""),IF(AND($D66&lt;AW$5+7,$E66&gt;AW$5),"■","")))</x:f>
      </x:c>
      <x:c r="AX66" s="7" t="str">
        <x:f>IF(OR($D66="",AX$5="",'상세일정'!AM66="제외"),"",IF($D66=$E66,IF(AND($D66&gt;=AX$5,$D66&lt;AX$5+7),"◆",""),IF(AND($D66&lt;AX$5+7,$E66&gt;AX$5),"■","")))</x:f>
      </x:c>
      <x:c r="AY66" s="7" t="str">
        <x:f>IF(OR($D66="",AY$5="",'상세일정'!AM66="제외"),"",IF($D66=$E66,IF(AND($D66&gt;=AY$5,$D66&lt;AY$5+7),"◆",""),IF(AND($D66&lt;AY$5+7,$E66&gt;AY$5),"■","")))</x:f>
      </x:c>
      <x:c r="AZ66" s="7" t="str">
        <x:f>IF(OR($D66="",AZ$5="",'상세일정'!AM66="제외"),"",IF($D66=$E66,IF(AND($D66&gt;=AZ$5,$D66&lt;AZ$5+7),"◆",""),IF(AND($D66&lt;AZ$5+7,$E66&gt;AZ$5),"■","")))</x:f>
      </x:c>
      <x:c r="BA66" s="7" t="str">
        <x:f>IF(OR($D66="",BA$5="",'상세일정'!AM66="제외"),"",IF($D66=$E66,IF(AND($D66&gt;=BA$5,$D66&lt;BA$5+7),"◆",""),IF(AND($D66&lt;BA$5+7,$E66&gt;BA$5),"■","")))</x:f>
      </x:c>
      <x:c r="BB66" s="7" t="str">
        <x:f>IF(OR($D66="",BB$5="",'상세일정'!AM66="제외"),"",IF($D66=$E66,IF(AND($D66&gt;=BB$5,$D66&lt;BB$5+7),"◆",""),IF(AND($D66&lt;BB$5+7,$E66&gt;BB$5),"■","")))</x:f>
      </x:c>
      <x:c r="BC66" s="7" t="str">
        <x:f>IF(OR($D66="",BC$5="",'상세일정'!AM66="제외"),"",IF($D66=$E66,IF(AND($D66&gt;=BC$5,$D66&lt;BC$5+7),"◆",""),IF(AND($D66&lt;BC$5+7,$E66&gt;BC$5),"■","")))</x:f>
      </x:c>
      <x:c r="BD66" s="7" t="str">
        <x:f>IF(OR($D66="",BD$5="",'상세일정'!AM66="제외"),"",IF($D66=$E66,IF(AND($D66&gt;=BD$5,$D66&lt;BD$5+7),"◆",""),IF(AND($D66&lt;BD$5+7,$E66&gt;BD$5),"■","")))</x:f>
      </x:c>
      <x:c r="BE66" s="7" t="str">
        <x:f>IF(OR($D66="",BE$5="",'상세일정'!AM66="제외"),"",IF($D66=$E66,IF(AND($D66&gt;=BE$5,$D66&lt;BE$5+7),"◆",""),IF(AND($D66&lt;BE$5+7,$E66&gt;BE$5),"■","")))</x:f>
      </x:c>
      <x:c r="BF66" s="7" t="str">
        <x:f>IF(OR($D66="",BF$5="",'상세일정'!AM66="제외"),"",IF($D66=$E66,IF(AND($D66&gt;=BF$5,$D66&lt;BF$5+7),"◆",""),IF(AND($D66&lt;BF$5+7,$E66&gt;BF$5),"■","")))</x:f>
      </x:c>
      <x:c r="BG66" s="7" t="str">
        <x:f>IF(OR($D66="",BG$5="",'상세일정'!AM66="제외"),"",IF($D66=$E66,IF(AND($D66&gt;=BG$5,$D66&lt;BG$5+7),"◆",""),IF(AND($D66&lt;BG$5+7,$E66&gt;BG$5),"■","")))</x:f>
      </x:c>
      <x:c r="BH66" s="7" t="str">
        <x:f>IF(OR($D66="",BH$5="",'상세일정'!AM66="제외"),"",IF($D66=$E66,IF(AND($D66&gt;=BH$5,$D66&lt;BH$5+7),"◆",""),IF(AND($D66&lt;BH$5+7,$E66&gt;BH$5),"■","")))</x:f>
      </x:c>
      <x:c r="BI66" s="7" t="str">
        <x:f>IF(OR($D66="",BI$5="",'상세일정'!AM66="제외"),"",IF($D66=$E66,IF(AND($D66&gt;=BI$5,$D66&lt;BI$5+7),"◆",""),IF(AND($D66&lt;BI$5+7,$E66&gt;BI$5),"■","")))</x:f>
      </x:c>
      <x:c r="BJ66" s="7" t="str">
        <x:f>IF(OR($D66="",BJ$5="",'상세일정'!AM66="제외"),"",IF($D66=$E66,IF(AND($D66&gt;=BJ$5,$D66&lt;BJ$5+7),"◆",""),IF(AND($D66&lt;BJ$5+7,$E66&gt;BJ$5),"■","")))</x:f>
      </x:c>
      <x:c r="BK66" s="7" t="str">
        <x:f>IF(OR($D66="",BK$5="",'상세일정'!AM66="제외"),"",IF($D66=$E66,IF(AND($D66&gt;=BK$5,$D66&lt;BK$5+7),"◆",""),IF(AND($D66&lt;BK$5+7,$E66&gt;BK$5),"■","")))</x:f>
      </x:c>
      <x:c r="BL66" s="7" t="str">
        <x:f>IF(OR($D66="",BL$5="",'상세일정'!AM66="제외"),"",IF($D66=$E66,IF(AND($D66&gt;=BL$5,$D66&lt;BL$5+7),"◆",""),IF(AND($D66&lt;BL$5+7,$E66&gt;BL$5),"■","")))</x:f>
      </x:c>
      <x:c r="BM66" s="7" t="str">
        <x:f>IF(OR($D66="",BM$5="",'상세일정'!AM66="제외"),"",IF($D66=$E66,IF(AND($D66&gt;=BM$5,$D66&lt;BM$5+7),"◆",""),IF(AND($D66&lt;BM$5+7,$E66&gt;BM$5),"■","")))</x:f>
      </x:c>
      <x:c r="BN66" s="7" t="str">
        <x:f>IF(OR($D66="",BN$5="",'상세일정'!AM66="제외"),"",IF($D66=$E66,IF(AND($D66&gt;=BN$5,$D66&lt;BN$5+7),"◆",""),IF(AND($D66&lt;BN$5+7,$E66&gt;BN$5),"■","")))</x:f>
      </x:c>
      <x:c r="BO66" s="7" t="str">
        <x:f>IF(OR($D66="",BO$5="",'상세일정'!AM66="제외"),"",IF($D66=$E66,IF(AND($D66&gt;=BO$5,$D66&lt;BO$5+7),"◆",""),IF(AND($D66&lt;BO$5+7,$E66&gt;BO$5),"■","")))</x:f>
      </x:c>
      <x:c r="BP66" s="7" t="str">
        <x:f>IF(OR($D66="",BP$5="",'상세일정'!AM66="제외"),"",IF($D66=$E66,IF(AND($D66&gt;=BP$5,$D66&lt;BP$5+7),"◆",""),IF(AND($D66&lt;BP$5+7,$E66&gt;BP$5),"■","")))</x:f>
      </x:c>
      <x:c r="BQ66" s="7" t="str">
        <x:f>IF(OR($D66="",BQ$5="",'상세일정'!AM66="제외"),"",IF($D66=$E66,IF(AND($D66&gt;=BQ$5,$D66&lt;BQ$5+7),"◆",""),IF(AND($D66&lt;BQ$5+7,$E66&gt;BQ$5),"■","")))</x:f>
      </x:c>
      <x:c r="BR66" s="7" t="str">
        <x:f>IF(OR($D66="",BR$5="",'상세일정'!AM66="제외"),"",IF($D66=$E66,IF(AND($D66&gt;=BR$5,$D66&lt;BR$5+7),"◆",""),IF(AND($D66&lt;BR$5+7,$E66&gt;BR$5),"■","")))</x:f>
      </x:c>
      <x:c r="BS66" s="7" t="str">
        <x:f>IF(OR($D66="",BS$5="",'상세일정'!AM66="제외"),"",IF($D66=$E66,IF(AND($D66&gt;=BS$5,$D66&lt;BS$5+7),"◆",""),IF(AND($D66&lt;BS$5+7,$E66&gt;BS$5),"■","")))</x:f>
      </x:c>
      <x:c r="BT66" s="7" t="str">
        <x:f>IF(OR($D66="",BT$5="",'상세일정'!AM66="제외"),"",IF($D66=$E66,IF(AND($D66&gt;=BT$5,$D66&lt;BT$5+7),"◆",""),IF(AND($D66&lt;BT$5+7,$E66&gt;BT$5),"■","")))</x:f>
      </x:c>
      <x:c r="BU66" s="7" t="str">
        <x:f>IF(OR($D66="",BU$5="",'상세일정'!AM66="제외"),"",IF($D66=$E66,IF(AND($D66&gt;=BU$5,$D66&lt;BU$5+7),"◆",""),IF(AND($D66&lt;BU$5+7,$E66&gt;BU$5),"■","")))</x:f>
      </x:c>
      <x:c r="BV66" s="7" t="str">
        <x:f>IF(OR($D66="",BV$5="",'상세일정'!AM66="제외"),"",IF($D66=$E66,IF(AND($D66&gt;=BV$5,$D66&lt;BV$5+7),"◆",""),IF(AND($D66&lt;BV$5+7,$E66&gt;BV$5),"■","")))</x:f>
      </x:c>
      <x:c r="BW66" s="7" t="str">
        <x:f>IF(OR($D66="",BW$5="",'상세일정'!AM66="제외"),"",IF($D66=$E66,IF(AND($D66&gt;=BW$5,$D66&lt;BW$5+7),"◆",""),IF(AND($D66&lt;BW$5+7,$E66&gt;BW$5),"■","")))</x:f>
      </x:c>
      <x:c r="BX66" s="7" t="str">
        <x:f>IF(OR($D66="",BX$5="",'상세일정'!AM66="제외"),"",IF($D66=$E66,IF(AND($D66&gt;=BX$5,$D66&lt;BX$5+7),"◆",""),IF(AND($D66&lt;BX$5+7,$E66&gt;BX$5),"■","")))</x:f>
      </x:c>
      <x:c r="BY66" s="7" t="str">
        <x:f>IF(OR($D66="",BY$5="",'상세일정'!AM66="제외"),"",IF($D66=$E66,IF(AND($D66&gt;=BY$5,$D66&lt;BY$5+7),"◆",""),IF(AND($D66&lt;BY$5+7,$E66&gt;BY$5),"■","")))</x:f>
      </x:c>
      <x:c r="BZ66" s="7" t="str">
        <x:f>IF(OR($D66="",BZ$5="",'상세일정'!AM66="제외"),"",IF($D66=$E66,IF(AND($D66&gt;=BZ$5,$D66&lt;BZ$5+7),"◆",""),IF(AND($D66&lt;BZ$5+7,$E66&gt;BZ$5),"■","")))</x:f>
      </x:c>
      <x:c r="CA66" s="7" t="str">
        <x:f>IF(OR($D66="",CA$5="",'상세일정'!AM66="제외"),"",IF($D66=$E66,IF(AND($D66&gt;=CA$5,$D66&lt;CA$5+7),"◆",""),IF(AND($D66&lt;CA$5+7,$E66&gt;CA$5),"■","")))</x:f>
      </x:c>
      <x:c r="CB66" s="7" t="str">
        <x:f>IF(OR($D66="",CB$5="",'상세일정'!AM66="제외"),"",IF($D66=$E66,IF(AND($D66&gt;=CB$5,$D66&lt;CB$5+7),"◆",""),IF(AND($D66&lt;CB$5+7,$E66&gt;CB$5),"■","")))</x:f>
      </x:c>
      <x:c r="CC66" s="7" t="str">
        <x:f>IF(OR($D66="",CC$5="",'상세일정'!AM66="제외"),"",IF($D66=$E66,IF(AND($D66&gt;=CC$5,$D66&lt;CC$5+7),"◆",""),IF(AND($D66&lt;CC$5+7,$E66&gt;CC$5),"■","")))</x:f>
      </x:c>
      <x:c r="CD66" s="7" t="str">
        <x:f>IF(OR($D66="",CD$5="",'상세일정'!AM66="제외"),"",IF($D66=$E66,IF(AND($D66&gt;=CD$5,$D66&lt;CD$5+7),"◆",""),IF(AND($D66&lt;CD$5+7,$E66&gt;CD$5),"■","")))</x:f>
      </x:c>
      <x:c r="CE66" s="7" t="str">
        <x:f>IF(OR($D66="",CE$5="",'상세일정'!AM66="제외"),"",IF($D66=$E66,IF(AND($D66&gt;=CE$5,$D66&lt;CE$5+7),"◆",""),IF(AND($D66&lt;CE$5+7,$E66&gt;CE$5),"■","")))</x:f>
      </x:c>
      <x:c r="CF66" s="7" t="str">
        <x:f>IF(OR($D66="",CF$5="",'상세일정'!AM66="제외"),"",IF($D66=$E66,IF(AND($D66&gt;=CF$5,$D66&lt;CF$5+7),"◆",""),IF(AND($D66&lt;CF$5+7,$E66&gt;CF$5),"■","")))</x:f>
      </x:c>
      <x:c r="CG66" s="7" t="str">
        <x:f>IF(OR($D66="",CG$5="",'상세일정'!AM66="제외"),"",IF($D66=$E66,IF(AND($D66&gt;=CG$5,$D66&lt;CG$5+7),"◆",""),IF(AND($D66&lt;CG$5+7,$E66&gt;CG$5),"■","")))</x:f>
      </x:c>
      <x:c r="CH66" s="7" t="str">
        <x:f>IF(OR($D66="",CH$5="",'상세일정'!AM66="제외"),"",IF($D66=$E66,IF(AND($D66&gt;=CH$5,$D66&lt;CH$5+7),"◆",""),IF(AND($D66&lt;CH$5+7,$E66&gt;CH$5),"■","")))</x:f>
      </x:c>
      <x:c r="CI66" s="7" t="str">
        <x:f>IF(OR($D66="",CI$5="",'상세일정'!AM66="제외"),"",IF($D66=$E66,IF(AND($D66&gt;=CI$5,$D66&lt;CI$5+7),"◆",""),IF(AND($D66&lt;CI$5+7,$E66&gt;CI$5),"■","")))</x:f>
      </x:c>
      <x:c r="CJ66" s="7" t="str">
        <x:f>IF(OR($D66="",CJ$5="",'상세일정'!AM66="제외"),"",IF($D66=$E66,IF(AND($D66&gt;=CJ$5,$D66&lt;CJ$5+7),"◆",""),IF(AND($D66&lt;CJ$5+7,$E66&gt;CJ$5),"■","")))</x:f>
      </x:c>
      <x:c r="CK66" s="7" t="str">
        <x:f>IF(OR($D66="",CK$5="",'상세일정'!AM66="제외"),"",IF($D66=$E66,IF(AND($D66&gt;=CK$5,$D66&lt;CK$5+7),"◆",""),IF(AND($D66&lt;CK$5+7,$E66&gt;CK$5),"■","")))</x:f>
      </x:c>
      <x:c r="CL66" s="7" t="str">
        <x:f>IF(OR($D66="",CL$5="",'상세일정'!AM66="제외"),"",IF($D66=$E66,IF(AND($D66&gt;=CL$5,$D66&lt;CL$5+7),"◆",""),IF(AND($D66&lt;CL$5+7,$E66&gt;CL$5),"■","")))</x:f>
      </x:c>
      <x:c r="CM66" s="7" t="str">
        <x:f>IF(OR($D66="",CM$5="",'상세일정'!AM66="제외"),"",IF($D66=$E66,IF(AND($D66&gt;=CM$5,$D66&lt;CM$5+7),"◆",""),IF(AND($D66&lt;CM$5+7,$E66&gt;CM$5),"■","")))</x:f>
      </x:c>
      <x:c r="CN66" s="7" t="str">
        <x:f>IF(OR($D66="",CN$5="",'상세일정'!AM66="제외"),"",IF($D66=$E66,IF(AND($D66&gt;=CN$5,$D66&lt;CN$5+7),"◆",""),IF(AND($D66&lt;CN$5+7,$E66&gt;CN$5),"■","")))</x:f>
      </x:c>
      <x:c r="CO66" s="7" t="str">
        <x:f>IF(OR($D66="",CO$5="",'상세일정'!AM66="제외"),"",IF($D66=$E66,IF(AND($D66&gt;=CO$5,$D66&lt;CO$5+7),"◆",""),IF(AND($D66&lt;CO$5+7,$E66&gt;CO$5),"■","")))</x:f>
      </x:c>
      <x:c r="CP66" s="7" t="str">
        <x:f>IF(OR($D66="",CP$5="",'상세일정'!AM66="제외"),"",IF($D66=$E66,IF(AND($D66&gt;=CP$5,$D66&lt;CP$5+7),"◆",""),IF(AND($D66&lt;CP$5+7,$E66&gt;CP$5),"■","")))</x:f>
      </x:c>
      <x:c r="CQ66" s="7" t="str">
        <x:f>IF(OR($D66="",CQ$5="",'상세일정'!AM66="제외"),"",IF($D66=$E66,IF(AND($D66&gt;=CQ$5,$D66&lt;CQ$5+7),"◆",""),IF(AND($D66&lt;CQ$5+7,$E66&gt;CQ$5),"■","")))</x:f>
      </x:c>
      <x:c r="CR66" s="7" t="str">
        <x:f>IF(OR($D66="",CR$5="",'상세일정'!AM66="제외"),"",IF($D66=$E66,IF(AND($D66&gt;=CR$5,$D66&lt;CR$5+7),"◆",""),IF(AND($D66&lt;CR$5+7,$E66&gt;CR$5),"■","")))</x:f>
      </x:c>
      <x:c r="CS66" s="7" t="str">
        <x:f>IF(OR($D66="",CS$5="",'상세일정'!AM66="제외"),"",IF($D66=$E66,IF(AND($D66&gt;=CS$5,$D66&lt;CS$5+7),"◆",""),IF(AND($D66&lt;CS$5+7,$E66&gt;CS$5),"■","")))</x:f>
      </x:c>
      <x:c r="CT66" s="7" t="str">
        <x:f>IF(OR($D66="",CT$5="",'상세일정'!AM66="제외"),"",IF($D66=$E66,IF(AND($D66&gt;=CT$5,$D66&lt;CT$5+7),"◆",""),IF(AND($D66&lt;CT$5+7,$E66&gt;CT$5),"■","")))</x:f>
      </x:c>
      <x:c r="CU66" s="7" t="str">
        <x:f>IF(OR($D66="",CU$5="",'상세일정'!AM66="제외"),"",IF($D66=$E66,IF(AND($D66&gt;=CU$5,$D66&lt;CU$5+7),"◆",""),IF(AND($D66&lt;CU$5+7,$E66&gt;CU$5),"■","")))</x:f>
      </x:c>
      <x:c r="CV66" s="7" t="str">
        <x:f>IF(OR($D66="",CV$5="",'상세일정'!AM66="제외"),"",IF($D66=$E66,IF(AND($D66&gt;=CV$5,$D66&lt;CV$5+7),"◆",""),IF(AND($D66&lt;CV$5+7,$E66&gt;CV$5),"■","")))</x:f>
      </x:c>
      <x:c r="CW66" s="7" t="str">
        <x:f>IF(OR($D66="",CW$5="",'상세일정'!AM66="제외"),"",IF($D66=$E66,IF(AND($D66&gt;=CW$5,$D66&lt;CW$5+7),"◆",""),IF(AND($D66&lt;CW$5+7,$E66&gt;CW$5),"■","")))</x:f>
      </x:c>
      <x:c r="CX66" s="7" t="str">
        <x:f>IF(OR($D66="",CX$5="",'상세일정'!AM66="제외"),"",IF($D66=$E66,IF(AND($D66&gt;=CX$5,$D66&lt;CX$5+7),"◆",""),IF(AND($D66&lt;CX$5+7,$E66&gt;CX$5),"■","")))</x:f>
      </x:c>
      <x:c r="CY66" s="7" t="str">
        <x:f>IF(OR($D66="",CY$5="",'상세일정'!AM66="제외"),"",IF($D66=$E66,IF(AND($D66&gt;=CY$5,$D66&lt;CY$5+7),"◆",""),IF(AND($D66&lt;CY$5+7,$E66&gt;CY$5),"■","")))</x:f>
      </x:c>
      <x:c r="CZ66" s="7" t="str">
        <x:f>IF(OR($D66="",CZ$5="",'상세일정'!AM66="제외"),"",IF($D66=$E66,IF(AND($D66&gt;=CZ$5,$D66&lt;CZ$5+7),"◆",""),IF(AND($D66&lt;CZ$5+7,$E66&gt;CZ$5),"■","")))</x:f>
      </x:c>
      <x:c r="DA66" s="7" t="str">
        <x:f>IF(OR($D66="",DA$5="",'상세일정'!AM66="제외"),"",IF($D66=$E66,IF(AND($D66&gt;=DA$5,$D66&lt;DA$5+7),"◆",""),IF(AND($D66&lt;DA$5+7,$E66&gt;DA$5),"■","")))</x:f>
      </x:c>
      <x:c r="DB66" s="7" t="str">
        <x:f>IF(OR($D66="",DB$5="",'상세일정'!AM66="제외"),"",IF($D66=$E66,IF(AND($D66&gt;=DB$5,$D66&lt;DB$5+7),"◆",""),IF(AND($D66&lt;DB$5+7,$E66&gt;DB$5),"■","")))</x:f>
      </x:c>
      <x:c r="DC66" s="7" t="str">
        <x:f>IF(OR($D66="",DC$5="",'상세일정'!AM66="제외"),"",IF($D66=$E66,IF(AND($D66&gt;=DC$5,$D66&lt;DC$5+7),"◆",""),IF(AND($D66&lt;DC$5+7,$E66&gt;DC$5),"■","")))</x:f>
      </x:c>
      <x:c r="DD66" s="7" t="str">
        <x:f>IF(OR($D66="",DD$5="",'상세일정'!AM66="제외"),"",IF($D66=$E66,IF(AND($D66&gt;=DD$5,$D66&lt;DD$5+7),"◆",""),IF(AND($D66&lt;DD$5+7,$E66&gt;DD$5),"■","")))</x:f>
      </x:c>
      <x:c r="DE66" s="7" t="str">
        <x:f>IF(OR($D66="",DE$5="",'상세일정'!AM66="제외"),"",IF($D66=$E66,IF(AND($D66&gt;=DE$5,$D66&lt;DE$5+7),"◆",""),IF(AND($D66&lt;DE$5+7,$E66&gt;DE$5),"■","")))</x:f>
      </x:c>
    </x:row>
    <x:row r="67" ht="34" customHeight="1">
      <x:c r="A67" s="7" t="str">
        <x:v>BP02</x:v>
      </x:c>
      <x:c r="B67" s="7" t="str">
        <x:v>10 건축허가</x:v>
      </x:c>
      <x:c r="C67" s="7" t="str">
        <x:v>건축허가 개별 신청서·의제협의 서류 제출</x:v>
      </x:c>
      <x:c r="D67" s="10" t="str">
        <x:f>'상세일정'!AJ67</x:f>
      </x:c>
      <x:c r="E67" s="10" t="str">
        <x:f>'상세일정'!AK67</x:f>
      </x:c>
      <x:c r="F67" s="7" t="str">
        <x:f>IF(OR($D67="",F$5="",'상세일정'!AM67="제외"),"",IF($D67=$E67,IF(AND($D67&gt;=F$5,$D67&lt;F$5+7),"◆",""),IF(AND($D67&lt;F$5+7,$E67&gt;F$5),"■","")))</x:f>
      </x:c>
      <x:c r="G67" s="7" t="str">
        <x:f>IF(OR($D67="",G$5="",'상세일정'!AM67="제외"),"",IF($D67=$E67,IF(AND($D67&gt;=G$5,$D67&lt;G$5+7),"◆",""),IF(AND($D67&lt;G$5+7,$E67&gt;G$5),"■","")))</x:f>
      </x:c>
      <x:c r="H67" s="7" t="str">
        <x:f>IF(OR($D67="",H$5="",'상세일정'!AM67="제외"),"",IF($D67=$E67,IF(AND($D67&gt;=H$5,$D67&lt;H$5+7),"◆",""),IF(AND($D67&lt;H$5+7,$E67&gt;H$5),"■","")))</x:f>
      </x:c>
      <x:c r="I67" s="7" t="str">
        <x:f>IF(OR($D67="",I$5="",'상세일정'!AM67="제외"),"",IF($D67=$E67,IF(AND($D67&gt;=I$5,$D67&lt;I$5+7),"◆",""),IF(AND($D67&lt;I$5+7,$E67&gt;I$5),"■","")))</x:f>
      </x:c>
      <x:c r="J67" s="7" t="str">
        <x:f>IF(OR($D67="",J$5="",'상세일정'!AM67="제외"),"",IF($D67=$E67,IF(AND($D67&gt;=J$5,$D67&lt;J$5+7),"◆",""),IF(AND($D67&lt;J$5+7,$E67&gt;J$5),"■","")))</x:f>
      </x:c>
      <x:c r="K67" s="7" t="str">
        <x:f>IF(OR($D67="",K$5="",'상세일정'!AM67="제외"),"",IF($D67=$E67,IF(AND($D67&gt;=K$5,$D67&lt;K$5+7),"◆",""),IF(AND($D67&lt;K$5+7,$E67&gt;K$5),"■","")))</x:f>
      </x:c>
      <x:c r="L67" s="7" t="str">
        <x:f>IF(OR($D67="",L$5="",'상세일정'!AM67="제외"),"",IF($D67=$E67,IF(AND($D67&gt;=L$5,$D67&lt;L$5+7),"◆",""),IF(AND($D67&lt;L$5+7,$E67&gt;L$5),"■","")))</x:f>
      </x:c>
      <x:c r="M67" s="7" t="str">
        <x:f>IF(OR($D67="",M$5="",'상세일정'!AM67="제외"),"",IF($D67=$E67,IF(AND($D67&gt;=M$5,$D67&lt;M$5+7),"◆",""),IF(AND($D67&lt;M$5+7,$E67&gt;M$5),"■","")))</x:f>
      </x:c>
      <x:c r="N67" s="7" t="str">
        <x:f>IF(OR($D67="",N$5="",'상세일정'!AM67="제외"),"",IF($D67=$E67,IF(AND($D67&gt;=N$5,$D67&lt;N$5+7),"◆",""),IF(AND($D67&lt;N$5+7,$E67&gt;N$5),"■","")))</x:f>
      </x:c>
      <x:c r="O67" s="7" t="str">
        <x:f>IF(OR($D67="",O$5="",'상세일정'!AM67="제외"),"",IF($D67=$E67,IF(AND($D67&gt;=O$5,$D67&lt;O$5+7),"◆",""),IF(AND($D67&lt;O$5+7,$E67&gt;O$5),"■","")))</x:f>
      </x:c>
      <x:c r="P67" s="7" t="str">
        <x:f>IF(OR($D67="",P$5="",'상세일정'!AM67="제외"),"",IF($D67=$E67,IF(AND($D67&gt;=P$5,$D67&lt;P$5+7),"◆",""),IF(AND($D67&lt;P$5+7,$E67&gt;P$5),"■","")))</x:f>
      </x:c>
      <x:c r="Q67" s="7" t="str">
        <x:f>IF(OR($D67="",Q$5="",'상세일정'!AM67="제외"),"",IF($D67=$E67,IF(AND($D67&gt;=Q$5,$D67&lt;Q$5+7),"◆",""),IF(AND($D67&lt;Q$5+7,$E67&gt;Q$5),"■","")))</x:f>
      </x:c>
      <x:c r="R67" s="7" t="str">
        <x:f>IF(OR($D67="",R$5="",'상세일정'!AM67="제외"),"",IF($D67=$E67,IF(AND($D67&gt;=R$5,$D67&lt;R$5+7),"◆",""),IF(AND($D67&lt;R$5+7,$E67&gt;R$5),"■","")))</x:f>
      </x:c>
      <x:c r="S67" s="7" t="str">
        <x:f>IF(OR($D67="",S$5="",'상세일정'!AM67="제외"),"",IF($D67=$E67,IF(AND($D67&gt;=S$5,$D67&lt;S$5+7),"◆",""),IF(AND($D67&lt;S$5+7,$E67&gt;S$5),"■","")))</x:f>
      </x:c>
      <x:c r="T67" s="7" t="str">
        <x:f>IF(OR($D67="",T$5="",'상세일정'!AM67="제외"),"",IF($D67=$E67,IF(AND($D67&gt;=T$5,$D67&lt;T$5+7),"◆",""),IF(AND($D67&lt;T$5+7,$E67&gt;T$5),"■","")))</x:f>
      </x:c>
      <x:c r="U67" s="7" t="str">
        <x:f>IF(OR($D67="",U$5="",'상세일정'!AM67="제외"),"",IF($D67=$E67,IF(AND($D67&gt;=U$5,$D67&lt;U$5+7),"◆",""),IF(AND($D67&lt;U$5+7,$E67&gt;U$5),"■","")))</x:f>
      </x:c>
      <x:c r="V67" s="7" t="str">
        <x:f>IF(OR($D67="",V$5="",'상세일정'!AM67="제외"),"",IF($D67=$E67,IF(AND($D67&gt;=V$5,$D67&lt;V$5+7),"◆",""),IF(AND($D67&lt;V$5+7,$E67&gt;V$5),"■","")))</x:f>
      </x:c>
      <x:c r="W67" s="7" t="str">
        <x:f>IF(OR($D67="",W$5="",'상세일정'!AM67="제외"),"",IF($D67=$E67,IF(AND($D67&gt;=W$5,$D67&lt;W$5+7),"◆",""),IF(AND($D67&lt;W$5+7,$E67&gt;W$5),"■","")))</x:f>
      </x:c>
      <x:c r="X67" s="7" t="str">
        <x:f>IF(OR($D67="",X$5="",'상세일정'!AM67="제외"),"",IF($D67=$E67,IF(AND($D67&gt;=X$5,$D67&lt;X$5+7),"◆",""),IF(AND($D67&lt;X$5+7,$E67&gt;X$5),"■","")))</x:f>
      </x:c>
      <x:c r="Y67" s="7" t="str">
        <x:f>IF(OR($D67="",Y$5="",'상세일정'!AM67="제외"),"",IF($D67=$E67,IF(AND($D67&gt;=Y$5,$D67&lt;Y$5+7),"◆",""),IF(AND($D67&lt;Y$5+7,$E67&gt;Y$5),"■","")))</x:f>
      </x:c>
      <x:c r="Z67" s="7" t="str">
        <x:f>IF(OR($D67="",Z$5="",'상세일정'!AM67="제외"),"",IF($D67=$E67,IF(AND($D67&gt;=Z$5,$D67&lt;Z$5+7),"◆",""),IF(AND($D67&lt;Z$5+7,$E67&gt;Z$5),"■","")))</x:f>
      </x:c>
      <x:c r="AA67" s="7" t="str">
        <x:f>IF(OR($D67="",AA$5="",'상세일정'!AM67="제외"),"",IF($D67=$E67,IF(AND($D67&gt;=AA$5,$D67&lt;AA$5+7),"◆",""),IF(AND($D67&lt;AA$5+7,$E67&gt;AA$5),"■","")))</x:f>
      </x:c>
      <x:c r="AB67" s="7" t="str">
        <x:f>IF(OR($D67="",AB$5="",'상세일정'!AM67="제외"),"",IF($D67=$E67,IF(AND($D67&gt;=AB$5,$D67&lt;AB$5+7),"◆",""),IF(AND($D67&lt;AB$5+7,$E67&gt;AB$5),"■","")))</x:f>
      </x:c>
      <x:c r="AC67" s="7" t="str">
        <x:f>IF(OR($D67="",AC$5="",'상세일정'!AM67="제외"),"",IF($D67=$E67,IF(AND($D67&gt;=AC$5,$D67&lt;AC$5+7),"◆",""),IF(AND($D67&lt;AC$5+7,$E67&gt;AC$5),"■","")))</x:f>
      </x:c>
      <x:c r="AD67" s="7" t="str">
        <x:f>IF(OR($D67="",AD$5="",'상세일정'!AM67="제외"),"",IF($D67=$E67,IF(AND($D67&gt;=AD$5,$D67&lt;AD$5+7),"◆",""),IF(AND($D67&lt;AD$5+7,$E67&gt;AD$5),"■","")))</x:f>
      </x:c>
      <x:c r="AE67" s="7" t="str">
        <x:f>IF(OR($D67="",AE$5="",'상세일정'!AM67="제외"),"",IF($D67=$E67,IF(AND($D67&gt;=AE$5,$D67&lt;AE$5+7),"◆",""),IF(AND($D67&lt;AE$5+7,$E67&gt;AE$5),"■","")))</x:f>
      </x:c>
      <x:c r="AF67" s="7" t="str">
        <x:f>IF(OR($D67="",AF$5="",'상세일정'!AM67="제외"),"",IF($D67=$E67,IF(AND($D67&gt;=AF$5,$D67&lt;AF$5+7),"◆",""),IF(AND($D67&lt;AF$5+7,$E67&gt;AF$5),"■","")))</x:f>
      </x:c>
      <x:c r="AG67" s="7" t="str">
        <x:f>IF(OR($D67="",AG$5="",'상세일정'!AM67="제외"),"",IF($D67=$E67,IF(AND($D67&gt;=AG$5,$D67&lt;AG$5+7),"◆",""),IF(AND($D67&lt;AG$5+7,$E67&gt;AG$5),"■","")))</x:f>
      </x:c>
      <x:c r="AH67" s="7" t="str">
        <x:f>IF(OR($D67="",AH$5="",'상세일정'!AM67="제외"),"",IF($D67=$E67,IF(AND($D67&gt;=AH$5,$D67&lt;AH$5+7),"◆",""),IF(AND($D67&lt;AH$5+7,$E67&gt;AH$5),"■","")))</x:f>
      </x:c>
      <x:c r="AI67" s="7" t="str">
        <x:f>IF(OR($D67="",AI$5="",'상세일정'!AM67="제외"),"",IF($D67=$E67,IF(AND($D67&gt;=AI$5,$D67&lt;AI$5+7),"◆",""),IF(AND($D67&lt;AI$5+7,$E67&gt;AI$5),"■","")))</x:f>
      </x:c>
      <x:c r="AJ67" s="7" t="str">
        <x:f>IF(OR($D67="",AJ$5="",'상세일정'!AM67="제외"),"",IF($D67=$E67,IF(AND($D67&gt;=AJ$5,$D67&lt;AJ$5+7),"◆",""),IF(AND($D67&lt;AJ$5+7,$E67&gt;AJ$5),"■","")))</x:f>
      </x:c>
      <x:c r="AK67" s="7" t="str">
        <x:f>IF(OR($D67="",AK$5="",'상세일정'!AM67="제외"),"",IF($D67=$E67,IF(AND($D67&gt;=AK$5,$D67&lt;AK$5+7),"◆",""),IF(AND($D67&lt;AK$5+7,$E67&gt;AK$5),"■","")))</x:f>
      </x:c>
      <x:c r="AL67" s="7" t="str">
        <x:f>IF(OR($D67="",AL$5="",'상세일정'!AM67="제외"),"",IF($D67=$E67,IF(AND($D67&gt;=AL$5,$D67&lt;AL$5+7),"◆",""),IF(AND($D67&lt;AL$5+7,$E67&gt;AL$5),"■","")))</x:f>
      </x:c>
      <x:c r="AM67" s="7" t="str">
        <x:f>IF(OR($D67="",AM$5="",'상세일정'!AM67="제외"),"",IF($D67=$E67,IF(AND($D67&gt;=AM$5,$D67&lt;AM$5+7),"◆",""),IF(AND($D67&lt;AM$5+7,$E67&gt;AM$5),"■","")))</x:f>
      </x:c>
      <x:c r="AN67" s="7" t="str">
        <x:f>IF(OR($D67="",AN$5="",'상세일정'!AM67="제외"),"",IF($D67=$E67,IF(AND($D67&gt;=AN$5,$D67&lt;AN$5+7),"◆",""),IF(AND($D67&lt;AN$5+7,$E67&gt;AN$5),"■","")))</x:f>
      </x:c>
      <x:c r="AO67" s="7" t="str">
        <x:f>IF(OR($D67="",AO$5="",'상세일정'!AM67="제외"),"",IF($D67=$E67,IF(AND($D67&gt;=AO$5,$D67&lt;AO$5+7),"◆",""),IF(AND($D67&lt;AO$5+7,$E67&gt;AO$5),"■","")))</x:f>
      </x:c>
      <x:c r="AP67" s="7" t="str">
        <x:f>IF(OR($D67="",AP$5="",'상세일정'!AM67="제외"),"",IF($D67=$E67,IF(AND($D67&gt;=AP$5,$D67&lt;AP$5+7),"◆",""),IF(AND($D67&lt;AP$5+7,$E67&gt;AP$5),"■","")))</x:f>
      </x:c>
      <x:c r="AQ67" s="7" t="str">
        <x:f>IF(OR($D67="",AQ$5="",'상세일정'!AM67="제외"),"",IF($D67=$E67,IF(AND($D67&gt;=AQ$5,$D67&lt;AQ$5+7),"◆",""),IF(AND($D67&lt;AQ$5+7,$E67&gt;AQ$5),"■","")))</x:f>
      </x:c>
      <x:c r="AR67" s="7" t="str">
        <x:f>IF(OR($D67="",AR$5="",'상세일정'!AM67="제외"),"",IF($D67=$E67,IF(AND($D67&gt;=AR$5,$D67&lt;AR$5+7),"◆",""),IF(AND($D67&lt;AR$5+7,$E67&gt;AR$5),"■","")))</x:f>
      </x:c>
      <x:c r="AS67" s="7" t="str">
        <x:f>IF(OR($D67="",AS$5="",'상세일정'!AM67="제외"),"",IF($D67=$E67,IF(AND($D67&gt;=AS$5,$D67&lt;AS$5+7),"◆",""),IF(AND($D67&lt;AS$5+7,$E67&gt;AS$5),"■","")))</x:f>
      </x:c>
      <x:c r="AT67" s="7" t="str">
        <x:f>IF(OR($D67="",AT$5="",'상세일정'!AM67="제외"),"",IF($D67=$E67,IF(AND($D67&gt;=AT$5,$D67&lt;AT$5+7),"◆",""),IF(AND($D67&lt;AT$5+7,$E67&gt;AT$5),"■","")))</x:f>
      </x:c>
      <x:c r="AU67" s="7" t="str">
        <x:f>IF(OR($D67="",AU$5="",'상세일정'!AM67="제외"),"",IF($D67=$E67,IF(AND($D67&gt;=AU$5,$D67&lt;AU$5+7),"◆",""),IF(AND($D67&lt;AU$5+7,$E67&gt;AU$5),"■","")))</x:f>
      </x:c>
      <x:c r="AV67" s="7" t="str">
        <x:f>IF(OR($D67="",AV$5="",'상세일정'!AM67="제외"),"",IF($D67=$E67,IF(AND($D67&gt;=AV$5,$D67&lt;AV$5+7),"◆",""),IF(AND($D67&lt;AV$5+7,$E67&gt;AV$5),"■","")))</x:f>
      </x:c>
      <x:c r="AW67" s="7" t="str">
        <x:f>IF(OR($D67="",AW$5="",'상세일정'!AM67="제외"),"",IF($D67=$E67,IF(AND($D67&gt;=AW$5,$D67&lt;AW$5+7),"◆",""),IF(AND($D67&lt;AW$5+7,$E67&gt;AW$5),"■","")))</x:f>
      </x:c>
      <x:c r="AX67" s="7" t="str">
        <x:f>IF(OR($D67="",AX$5="",'상세일정'!AM67="제외"),"",IF($D67=$E67,IF(AND($D67&gt;=AX$5,$D67&lt;AX$5+7),"◆",""),IF(AND($D67&lt;AX$5+7,$E67&gt;AX$5),"■","")))</x:f>
      </x:c>
      <x:c r="AY67" s="7" t="str">
        <x:f>IF(OR($D67="",AY$5="",'상세일정'!AM67="제외"),"",IF($D67=$E67,IF(AND($D67&gt;=AY$5,$D67&lt;AY$5+7),"◆",""),IF(AND($D67&lt;AY$5+7,$E67&gt;AY$5),"■","")))</x:f>
      </x:c>
      <x:c r="AZ67" s="7" t="str">
        <x:f>IF(OR($D67="",AZ$5="",'상세일정'!AM67="제외"),"",IF($D67=$E67,IF(AND($D67&gt;=AZ$5,$D67&lt;AZ$5+7),"◆",""),IF(AND($D67&lt;AZ$5+7,$E67&gt;AZ$5),"■","")))</x:f>
      </x:c>
      <x:c r="BA67" s="7" t="str">
        <x:f>IF(OR($D67="",BA$5="",'상세일정'!AM67="제외"),"",IF($D67=$E67,IF(AND($D67&gt;=BA$5,$D67&lt;BA$5+7),"◆",""),IF(AND($D67&lt;BA$5+7,$E67&gt;BA$5),"■","")))</x:f>
      </x:c>
      <x:c r="BB67" s="7" t="str">
        <x:f>IF(OR($D67="",BB$5="",'상세일정'!AM67="제외"),"",IF($D67=$E67,IF(AND($D67&gt;=BB$5,$D67&lt;BB$5+7),"◆",""),IF(AND($D67&lt;BB$5+7,$E67&gt;BB$5),"■","")))</x:f>
      </x:c>
      <x:c r="BC67" s="7" t="str">
        <x:f>IF(OR($D67="",BC$5="",'상세일정'!AM67="제외"),"",IF($D67=$E67,IF(AND($D67&gt;=BC$5,$D67&lt;BC$5+7),"◆",""),IF(AND($D67&lt;BC$5+7,$E67&gt;BC$5),"■","")))</x:f>
      </x:c>
      <x:c r="BD67" s="7" t="str">
        <x:f>IF(OR($D67="",BD$5="",'상세일정'!AM67="제외"),"",IF($D67=$E67,IF(AND($D67&gt;=BD$5,$D67&lt;BD$5+7),"◆",""),IF(AND($D67&lt;BD$5+7,$E67&gt;BD$5),"■","")))</x:f>
      </x:c>
      <x:c r="BE67" s="7" t="str">
        <x:f>IF(OR($D67="",BE$5="",'상세일정'!AM67="제외"),"",IF($D67=$E67,IF(AND($D67&gt;=BE$5,$D67&lt;BE$5+7),"◆",""),IF(AND($D67&lt;BE$5+7,$E67&gt;BE$5),"■","")))</x:f>
      </x:c>
      <x:c r="BF67" s="7" t="str">
        <x:f>IF(OR($D67="",BF$5="",'상세일정'!AM67="제외"),"",IF($D67=$E67,IF(AND($D67&gt;=BF$5,$D67&lt;BF$5+7),"◆",""),IF(AND($D67&lt;BF$5+7,$E67&gt;BF$5),"■","")))</x:f>
      </x:c>
      <x:c r="BG67" s="7" t="str">
        <x:f>IF(OR($D67="",BG$5="",'상세일정'!AM67="제외"),"",IF($D67=$E67,IF(AND($D67&gt;=BG$5,$D67&lt;BG$5+7),"◆",""),IF(AND($D67&lt;BG$5+7,$E67&gt;BG$5),"■","")))</x:f>
      </x:c>
      <x:c r="BH67" s="7" t="str">
        <x:f>IF(OR($D67="",BH$5="",'상세일정'!AM67="제외"),"",IF($D67=$E67,IF(AND($D67&gt;=BH$5,$D67&lt;BH$5+7),"◆",""),IF(AND($D67&lt;BH$5+7,$E67&gt;BH$5),"■","")))</x:f>
      </x:c>
      <x:c r="BI67" s="7" t="str">
        <x:f>IF(OR($D67="",BI$5="",'상세일정'!AM67="제외"),"",IF($D67=$E67,IF(AND($D67&gt;=BI$5,$D67&lt;BI$5+7),"◆",""),IF(AND($D67&lt;BI$5+7,$E67&gt;BI$5),"■","")))</x:f>
      </x:c>
      <x:c r="BJ67" s="7" t="str">
        <x:f>IF(OR($D67="",BJ$5="",'상세일정'!AM67="제외"),"",IF($D67=$E67,IF(AND($D67&gt;=BJ$5,$D67&lt;BJ$5+7),"◆",""),IF(AND($D67&lt;BJ$5+7,$E67&gt;BJ$5),"■","")))</x:f>
      </x:c>
      <x:c r="BK67" s="7" t="str">
        <x:f>IF(OR($D67="",BK$5="",'상세일정'!AM67="제외"),"",IF($D67=$E67,IF(AND($D67&gt;=BK$5,$D67&lt;BK$5+7),"◆",""),IF(AND($D67&lt;BK$5+7,$E67&gt;BK$5),"■","")))</x:f>
      </x:c>
      <x:c r="BL67" s="7" t="str">
        <x:f>IF(OR($D67="",BL$5="",'상세일정'!AM67="제외"),"",IF($D67=$E67,IF(AND($D67&gt;=BL$5,$D67&lt;BL$5+7),"◆",""),IF(AND($D67&lt;BL$5+7,$E67&gt;BL$5),"■","")))</x:f>
      </x:c>
      <x:c r="BM67" s="7" t="str">
        <x:f>IF(OR($D67="",BM$5="",'상세일정'!AM67="제외"),"",IF($D67=$E67,IF(AND($D67&gt;=BM$5,$D67&lt;BM$5+7),"◆",""),IF(AND($D67&lt;BM$5+7,$E67&gt;BM$5),"■","")))</x:f>
      </x:c>
      <x:c r="BN67" s="7" t="str">
        <x:f>IF(OR($D67="",BN$5="",'상세일정'!AM67="제외"),"",IF($D67=$E67,IF(AND($D67&gt;=BN$5,$D67&lt;BN$5+7),"◆",""),IF(AND($D67&lt;BN$5+7,$E67&gt;BN$5),"■","")))</x:f>
      </x:c>
      <x:c r="BO67" s="7" t="str">
        <x:f>IF(OR($D67="",BO$5="",'상세일정'!AM67="제외"),"",IF($D67=$E67,IF(AND($D67&gt;=BO$5,$D67&lt;BO$5+7),"◆",""),IF(AND($D67&lt;BO$5+7,$E67&gt;BO$5),"■","")))</x:f>
      </x:c>
      <x:c r="BP67" s="7" t="str">
        <x:f>IF(OR($D67="",BP$5="",'상세일정'!AM67="제외"),"",IF($D67=$E67,IF(AND($D67&gt;=BP$5,$D67&lt;BP$5+7),"◆",""),IF(AND($D67&lt;BP$5+7,$E67&gt;BP$5),"■","")))</x:f>
      </x:c>
      <x:c r="BQ67" s="7" t="str">
        <x:f>IF(OR($D67="",BQ$5="",'상세일정'!AM67="제외"),"",IF($D67=$E67,IF(AND($D67&gt;=BQ$5,$D67&lt;BQ$5+7),"◆",""),IF(AND($D67&lt;BQ$5+7,$E67&gt;BQ$5),"■","")))</x:f>
      </x:c>
      <x:c r="BR67" s="7" t="str">
        <x:f>IF(OR($D67="",BR$5="",'상세일정'!AM67="제외"),"",IF($D67=$E67,IF(AND($D67&gt;=BR$5,$D67&lt;BR$5+7),"◆",""),IF(AND($D67&lt;BR$5+7,$E67&gt;BR$5),"■","")))</x:f>
      </x:c>
      <x:c r="BS67" s="7" t="str">
        <x:f>IF(OR($D67="",BS$5="",'상세일정'!AM67="제외"),"",IF($D67=$E67,IF(AND($D67&gt;=BS$5,$D67&lt;BS$5+7),"◆",""),IF(AND($D67&lt;BS$5+7,$E67&gt;BS$5),"■","")))</x:f>
      </x:c>
      <x:c r="BT67" s="7" t="str">
        <x:f>IF(OR($D67="",BT$5="",'상세일정'!AM67="제외"),"",IF($D67=$E67,IF(AND($D67&gt;=BT$5,$D67&lt;BT$5+7),"◆",""),IF(AND($D67&lt;BT$5+7,$E67&gt;BT$5),"■","")))</x:f>
      </x:c>
      <x:c r="BU67" s="7" t="str">
        <x:f>IF(OR($D67="",BU$5="",'상세일정'!AM67="제외"),"",IF($D67=$E67,IF(AND($D67&gt;=BU$5,$D67&lt;BU$5+7),"◆",""),IF(AND($D67&lt;BU$5+7,$E67&gt;BU$5),"■","")))</x:f>
      </x:c>
      <x:c r="BV67" s="7" t="str">
        <x:f>IF(OR($D67="",BV$5="",'상세일정'!AM67="제외"),"",IF($D67=$E67,IF(AND($D67&gt;=BV$5,$D67&lt;BV$5+7),"◆",""),IF(AND($D67&lt;BV$5+7,$E67&gt;BV$5),"■","")))</x:f>
      </x:c>
      <x:c r="BW67" s="7" t="str">
        <x:f>IF(OR($D67="",BW$5="",'상세일정'!AM67="제외"),"",IF($D67=$E67,IF(AND($D67&gt;=BW$5,$D67&lt;BW$5+7),"◆",""),IF(AND($D67&lt;BW$5+7,$E67&gt;BW$5),"■","")))</x:f>
      </x:c>
      <x:c r="BX67" s="7" t="str">
        <x:f>IF(OR($D67="",BX$5="",'상세일정'!AM67="제외"),"",IF($D67=$E67,IF(AND($D67&gt;=BX$5,$D67&lt;BX$5+7),"◆",""),IF(AND($D67&lt;BX$5+7,$E67&gt;BX$5),"■","")))</x:f>
      </x:c>
      <x:c r="BY67" s="7" t="str">
        <x:f>IF(OR($D67="",BY$5="",'상세일정'!AM67="제외"),"",IF($D67=$E67,IF(AND($D67&gt;=BY$5,$D67&lt;BY$5+7),"◆",""),IF(AND($D67&lt;BY$5+7,$E67&gt;BY$5),"■","")))</x:f>
      </x:c>
      <x:c r="BZ67" s="7" t="str">
        <x:f>IF(OR($D67="",BZ$5="",'상세일정'!AM67="제외"),"",IF($D67=$E67,IF(AND($D67&gt;=BZ$5,$D67&lt;BZ$5+7),"◆",""),IF(AND($D67&lt;BZ$5+7,$E67&gt;BZ$5),"■","")))</x:f>
      </x:c>
      <x:c r="CA67" s="7" t="str">
        <x:f>IF(OR($D67="",CA$5="",'상세일정'!AM67="제외"),"",IF($D67=$E67,IF(AND($D67&gt;=CA$5,$D67&lt;CA$5+7),"◆",""),IF(AND($D67&lt;CA$5+7,$E67&gt;CA$5),"■","")))</x:f>
      </x:c>
      <x:c r="CB67" s="7" t="str">
        <x:f>IF(OR($D67="",CB$5="",'상세일정'!AM67="제외"),"",IF($D67=$E67,IF(AND($D67&gt;=CB$5,$D67&lt;CB$5+7),"◆",""),IF(AND($D67&lt;CB$5+7,$E67&gt;CB$5),"■","")))</x:f>
      </x:c>
      <x:c r="CC67" s="7" t="str">
        <x:f>IF(OR($D67="",CC$5="",'상세일정'!AM67="제외"),"",IF($D67=$E67,IF(AND($D67&gt;=CC$5,$D67&lt;CC$5+7),"◆",""),IF(AND($D67&lt;CC$5+7,$E67&gt;CC$5),"■","")))</x:f>
      </x:c>
      <x:c r="CD67" s="7" t="str">
        <x:f>IF(OR($D67="",CD$5="",'상세일정'!AM67="제외"),"",IF($D67=$E67,IF(AND($D67&gt;=CD$5,$D67&lt;CD$5+7),"◆",""),IF(AND($D67&lt;CD$5+7,$E67&gt;CD$5),"■","")))</x:f>
      </x:c>
      <x:c r="CE67" s="7" t="str">
        <x:f>IF(OR($D67="",CE$5="",'상세일정'!AM67="제외"),"",IF($D67=$E67,IF(AND($D67&gt;=CE$5,$D67&lt;CE$5+7),"◆",""),IF(AND($D67&lt;CE$5+7,$E67&gt;CE$5),"■","")))</x:f>
      </x:c>
      <x:c r="CF67" s="7" t="str">
        <x:f>IF(OR($D67="",CF$5="",'상세일정'!AM67="제외"),"",IF($D67=$E67,IF(AND($D67&gt;=CF$5,$D67&lt;CF$5+7),"◆",""),IF(AND($D67&lt;CF$5+7,$E67&gt;CF$5),"■","")))</x:f>
      </x:c>
      <x:c r="CG67" s="7" t="str">
        <x:f>IF(OR($D67="",CG$5="",'상세일정'!AM67="제외"),"",IF($D67=$E67,IF(AND($D67&gt;=CG$5,$D67&lt;CG$5+7),"◆",""),IF(AND($D67&lt;CG$5+7,$E67&gt;CG$5),"■","")))</x:f>
      </x:c>
      <x:c r="CH67" s="7" t="str">
        <x:f>IF(OR($D67="",CH$5="",'상세일정'!AM67="제외"),"",IF($D67=$E67,IF(AND($D67&gt;=CH$5,$D67&lt;CH$5+7),"◆",""),IF(AND($D67&lt;CH$5+7,$E67&gt;CH$5),"■","")))</x:f>
      </x:c>
      <x:c r="CI67" s="7" t="str">
        <x:f>IF(OR($D67="",CI$5="",'상세일정'!AM67="제외"),"",IF($D67=$E67,IF(AND($D67&gt;=CI$5,$D67&lt;CI$5+7),"◆",""),IF(AND($D67&lt;CI$5+7,$E67&gt;CI$5),"■","")))</x:f>
      </x:c>
      <x:c r="CJ67" s="7" t="str">
        <x:f>IF(OR($D67="",CJ$5="",'상세일정'!AM67="제외"),"",IF($D67=$E67,IF(AND($D67&gt;=CJ$5,$D67&lt;CJ$5+7),"◆",""),IF(AND($D67&lt;CJ$5+7,$E67&gt;CJ$5),"■","")))</x:f>
      </x:c>
      <x:c r="CK67" s="7" t="str">
        <x:f>IF(OR($D67="",CK$5="",'상세일정'!AM67="제외"),"",IF($D67=$E67,IF(AND($D67&gt;=CK$5,$D67&lt;CK$5+7),"◆",""),IF(AND($D67&lt;CK$5+7,$E67&gt;CK$5),"■","")))</x:f>
      </x:c>
      <x:c r="CL67" s="7" t="str">
        <x:f>IF(OR($D67="",CL$5="",'상세일정'!AM67="제외"),"",IF($D67=$E67,IF(AND($D67&gt;=CL$5,$D67&lt;CL$5+7),"◆",""),IF(AND($D67&lt;CL$5+7,$E67&gt;CL$5),"■","")))</x:f>
      </x:c>
      <x:c r="CM67" s="7" t="str">
        <x:f>IF(OR($D67="",CM$5="",'상세일정'!AM67="제외"),"",IF($D67=$E67,IF(AND($D67&gt;=CM$5,$D67&lt;CM$5+7),"◆",""),IF(AND($D67&lt;CM$5+7,$E67&gt;CM$5),"■","")))</x:f>
      </x:c>
      <x:c r="CN67" s="7" t="str">
        <x:f>IF(OR($D67="",CN$5="",'상세일정'!AM67="제외"),"",IF($D67=$E67,IF(AND($D67&gt;=CN$5,$D67&lt;CN$5+7),"◆",""),IF(AND($D67&lt;CN$5+7,$E67&gt;CN$5),"■","")))</x:f>
      </x:c>
      <x:c r="CO67" s="7" t="str">
        <x:f>IF(OR($D67="",CO$5="",'상세일정'!AM67="제외"),"",IF($D67=$E67,IF(AND($D67&gt;=CO$5,$D67&lt;CO$5+7),"◆",""),IF(AND($D67&lt;CO$5+7,$E67&gt;CO$5),"■","")))</x:f>
      </x:c>
      <x:c r="CP67" s="7" t="str">
        <x:f>IF(OR($D67="",CP$5="",'상세일정'!AM67="제외"),"",IF($D67=$E67,IF(AND($D67&gt;=CP$5,$D67&lt;CP$5+7),"◆",""),IF(AND($D67&lt;CP$5+7,$E67&gt;CP$5),"■","")))</x:f>
      </x:c>
      <x:c r="CQ67" s="7" t="str">
        <x:f>IF(OR($D67="",CQ$5="",'상세일정'!AM67="제외"),"",IF($D67=$E67,IF(AND($D67&gt;=CQ$5,$D67&lt;CQ$5+7),"◆",""),IF(AND($D67&lt;CQ$5+7,$E67&gt;CQ$5),"■","")))</x:f>
      </x:c>
      <x:c r="CR67" s="7" t="str">
        <x:f>IF(OR($D67="",CR$5="",'상세일정'!AM67="제외"),"",IF($D67=$E67,IF(AND($D67&gt;=CR$5,$D67&lt;CR$5+7),"◆",""),IF(AND($D67&lt;CR$5+7,$E67&gt;CR$5),"■","")))</x:f>
      </x:c>
      <x:c r="CS67" s="7" t="str">
        <x:f>IF(OR($D67="",CS$5="",'상세일정'!AM67="제외"),"",IF($D67=$E67,IF(AND($D67&gt;=CS$5,$D67&lt;CS$5+7),"◆",""),IF(AND($D67&lt;CS$5+7,$E67&gt;CS$5),"■","")))</x:f>
      </x:c>
      <x:c r="CT67" s="7" t="str">
        <x:f>IF(OR($D67="",CT$5="",'상세일정'!AM67="제외"),"",IF($D67=$E67,IF(AND($D67&gt;=CT$5,$D67&lt;CT$5+7),"◆",""),IF(AND($D67&lt;CT$5+7,$E67&gt;CT$5),"■","")))</x:f>
      </x:c>
      <x:c r="CU67" s="7" t="str">
        <x:f>IF(OR($D67="",CU$5="",'상세일정'!AM67="제외"),"",IF($D67=$E67,IF(AND($D67&gt;=CU$5,$D67&lt;CU$5+7),"◆",""),IF(AND($D67&lt;CU$5+7,$E67&gt;CU$5),"■","")))</x:f>
      </x:c>
      <x:c r="CV67" s="7" t="str">
        <x:f>IF(OR($D67="",CV$5="",'상세일정'!AM67="제외"),"",IF($D67=$E67,IF(AND($D67&gt;=CV$5,$D67&lt;CV$5+7),"◆",""),IF(AND($D67&lt;CV$5+7,$E67&gt;CV$5),"■","")))</x:f>
      </x:c>
      <x:c r="CW67" s="7" t="str">
        <x:f>IF(OR($D67="",CW$5="",'상세일정'!AM67="제외"),"",IF($D67=$E67,IF(AND($D67&gt;=CW$5,$D67&lt;CW$5+7),"◆",""),IF(AND($D67&lt;CW$5+7,$E67&gt;CW$5),"■","")))</x:f>
      </x:c>
      <x:c r="CX67" s="7" t="str">
        <x:f>IF(OR($D67="",CX$5="",'상세일정'!AM67="제외"),"",IF($D67=$E67,IF(AND($D67&gt;=CX$5,$D67&lt;CX$5+7),"◆",""),IF(AND($D67&lt;CX$5+7,$E67&gt;CX$5),"■","")))</x:f>
      </x:c>
      <x:c r="CY67" s="7" t="str">
        <x:f>IF(OR($D67="",CY$5="",'상세일정'!AM67="제외"),"",IF($D67=$E67,IF(AND($D67&gt;=CY$5,$D67&lt;CY$5+7),"◆",""),IF(AND($D67&lt;CY$5+7,$E67&gt;CY$5),"■","")))</x:f>
      </x:c>
      <x:c r="CZ67" s="7" t="str">
        <x:f>IF(OR($D67="",CZ$5="",'상세일정'!AM67="제외"),"",IF($D67=$E67,IF(AND($D67&gt;=CZ$5,$D67&lt;CZ$5+7),"◆",""),IF(AND($D67&lt;CZ$5+7,$E67&gt;CZ$5),"■","")))</x:f>
      </x:c>
      <x:c r="DA67" s="7" t="str">
        <x:f>IF(OR($D67="",DA$5="",'상세일정'!AM67="제외"),"",IF($D67=$E67,IF(AND($D67&gt;=DA$5,$D67&lt;DA$5+7),"◆",""),IF(AND($D67&lt;DA$5+7,$E67&gt;DA$5),"■","")))</x:f>
      </x:c>
      <x:c r="DB67" s="7" t="str">
        <x:f>IF(OR($D67="",DB$5="",'상세일정'!AM67="제외"),"",IF($D67=$E67,IF(AND($D67&gt;=DB$5,$D67&lt;DB$5+7),"◆",""),IF(AND($D67&lt;DB$5+7,$E67&gt;DB$5),"■","")))</x:f>
      </x:c>
      <x:c r="DC67" s="7" t="str">
        <x:f>IF(OR($D67="",DC$5="",'상세일정'!AM67="제외"),"",IF($D67=$E67,IF(AND($D67&gt;=DC$5,$D67&lt;DC$5+7),"◆",""),IF(AND($D67&lt;DC$5+7,$E67&gt;DC$5),"■","")))</x:f>
      </x:c>
      <x:c r="DD67" s="7" t="str">
        <x:f>IF(OR($D67="",DD$5="",'상세일정'!AM67="제외"),"",IF($D67=$E67,IF(AND($D67&gt;=DD$5,$D67&lt;DD$5+7),"◆",""),IF(AND($D67&lt;DD$5+7,$E67&gt;DD$5),"■","")))</x:f>
      </x:c>
      <x:c r="DE67" s="7" t="str">
        <x:f>IF(OR($D67="",DE$5="",'상세일정'!AM67="제외"),"",IF($D67=$E67,IF(AND($D67&gt;=DE$5,$D67&lt;DE$5+7),"◆",""),IF(AND($D67&lt;DE$5+7,$E67&gt;DE$5),"■","")))</x:f>
      </x:c>
    </x:row>
    <x:row r="68" ht="34" customHeight="1">
      <x:c r="A68" s="7" t="str">
        <x:v>BP03</x:v>
      </x:c>
      <x:c r="B68" s="7" t="str">
        <x:v>10 건축허가</x:v>
      </x:c>
      <x:c r="C68" s="7" t="str">
        <x:v>건축·소방 등 담당부서 검토 및 보완</x:v>
      </x:c>
      <x:c r="D68" s="10" t="str">
        <x:f>'상세일정'!AJ68</x:f>
      </x:c>
      <x:c r="E68" s="10" t="str">
        <x:f>'상세일정'!AK68</x:f>
      </x:c>
      <x:c r="F68" s="7" t="str">
        <x:f>IF(OR($D68="",F$5="",'상세일정'!AM68="제외"),"",IF($D68=$E68,IF(AND($D68&gt;=F$5,$D68&lt;F$5+7),"◆",""),IF(AND($D68&lt;F$5+7,$E68&gt;F$5),"■","")))</x:f>
      </x:c>
      <x:c r="G68" s="7" t="str">
        <x:f>IF(OR($D68="",G$5="",'상세일정'!AM68="제외"),"",IF($D68=$E68,IF(AND($D68&gt;=G$5,$D68&lt;G$5+7),"◆",""),IF(AND($D68&lt;G$5+7,$E68&gt;G$5),"■","")))</x:f>
      </x:c>
      <x:c r="H68" s="7" t="str">
        <x:f>IF(OR($D68="",H$5="",'상세일정'!AM68="제외"),"",IF($D68=$E68,IF(AND($D68&gt;=H$5,$D68&lt;H$5+7),"◆",""),IF(AND($D68&lt;H$5+7,$E68&gt;H$5),"■","")))</x:f>
      </x:c>
      <x:c r="I68" s="7" t="str">
        <x:f>IF(OR($D68="",I$5="",'상세일정'!AM68="제외"),"",IF($D68=$E68,IF(AND($D68&gt;=I$5,$D68&lt;I$5+7),"◆",""),IF(AND($D68&lt;I$5+7,$E68&gt;I$5),"■","")))</x:f>
      </x:c>
      <x:c r="J68" s="7" t="str">
        <x:f>IF(OR($D68="",J$5="",'상세일정'!AM68="제외"),"",IF($D68=$E68,IF(AND($D68&gt;=J$5,$D68&lt;J$5+7),"◆",""),IF(AND($D68&lt;J$5+7,$E68&gt;J$5),"■","")))</x:f>
      </x:c>
      <x:c r="K68" s="7" t="str">
        <x:f>IF(OR($D68="",K$5="",'상세일정'!AM68="제외"),"",IF($D68=$E68,IF(AND($D68&gt;=K$5,$D68&lt;K$5+7),"◆",""),IF(AND($D68&lt;K$5+7,$E68&gt;K$5),"■","")))</x:f>
      </x:c>
      <x:c r="L68" s="7" t="str">
        <x:f>IF(OR($D68="",L$5="",'상세일정'!AM68="제외"),"",IF($D68=$E68,IF(AND($D68&gt;=L$5,$D68&lt;L$5+7),"◆",""),IF(AND($D68&lt;L$5+7,$E68&gt;L$5),"■","")))</x:f>
      </x:c>
      <x:c r="M68" s="7" t="str">
        <x:f>IF(OR($D68="",M$5="",'상세일정'!AM68="제외"),"",IF($D68=$E68,IF(AND($D68&gt;=M$5,$D68&lt;M$5+7),"◆",""),IF(AND($D68&lt;M$5+7,$E68&gt;M$5),"■","")))</x:f>
      </x:c>
      <x:c r="N68" s="7" t="str">
        <x:f>IF(OR($D68="",N$5="",'상세일정'!AM68="제외"),"",IF($D68=$E68,IF(AND($D68&gt;=N$5,$D68&lt;N$5+7),"◆",""),IF(AND($D68&lt;N$5+7,$E68&gt;N$5),"■","")))</x:f>
      </x:c>
      <x:c r="O68" s="7" t="str">
        <x:f>IF(OR($D68="",O$5="",'상세일정'!AM68="제외"),"",IF($D68=$E68,IF(AND($D68&gt;=O$5,$D68&lt;O$5+7),"◆",""),IF(AND($D68&lt;O$5+7,$E68&gt;O$5),"■","")))</x:f>
      </x:c>
      <x:c r="P68" s="7" t="str">
        <x:f>IF(OR($D68="",P$5="",'상세일정'!AM68="제외"),"",IF($D68=$E68,IF(AND($D68&gt;=P$5,$D68&lt;P$5+7),"◆",""),IF(AND($D68&lt;P$5+7,$E68&gt;P$5),"■","")))</x:f>
      </x:c>
      <x:c r="Q68" s="7" t="str">
        <x:f>IF(OR($D68="",Q$5="",'상세일정'!AM68="제외"),"",IF($D68=$E68,IF(AND($D68&gt;=Q$5,$D68&lt;Q$5+7),"◆",""),IF(AND($D68&lt;Q$5+7,$E68&gt;Q$5),"■","")))</x:f>
      </x:c>
      <x:c r="R68" s="7" t="str">
        <x:f>IF(OR($D68="",R$5="",'상세일정'!AM68="제외"),"",IF($D68=$E68,IF(AND($D68&gt;=R$5,$D68&lt;R$5+7),"◆",""),IF(AND($D68&lt;R$5+7,$E68&gt;R$5),"■","")))</x:f>
      </x:c>
      <x:c r="S68" s="7" t="str">
        <x:f>IF(OR($D68="",S$5="",'상세일정'!AM68="제외"),"",IF($D68=$E68,IF(AND($D68&gt;=S$5,$D68&lt;S$5+7),"◆",""),IF(AND($D68&lt;S$5+7,$E68&gt;S$5),"■","")))</x:f>
      </x:c>
      <x:c r="T68" s="7" t="str">
        <x:f>IF(OR($D68="",T$5="",'상세일정'!AM68="제외"),"",IF($D68=$E68,IF(AND($D68&gt;=T$5,$D68&lt;T$5+7),"◆",""),IF(AND($D68&lt;T$5+7,$E68&gt;T$5),"■","")))</x:f>
      </x:c>
      <x:c r="U68" s="7" t="str">
        <x:f>IF(OR($D68="",U$5="",'상세일정'!AM68="제외"),"",IF($D68=$E68,IF(AND($D68&gt;=U$5,$D68&lt;U$5+7),"◆",""),IF(AND($D68&lt;U$5+7,$E68&gt;U$5),"■","")))</x:f>
      </x:c>
      <x:c r="V68" s="7" t="str">
        <x:f>IF(OR($D68="",V$5="",'상세일정'!AM68="제외"),"",IF($D68=$E68,IF(AND($D68&gt;=V$5,$D68&lt;V$5+7),"◆",""),IF(AND($D68&lt;V$5+7,$E68&gt;V$5),"■","")))</x:f>
      </x:c>
      <x:c r="W68" s="7" t="str">
        <x:f>IF(OR($D68="",W$5="",'상세일정'!AM68="제외"),"",IF($D68=$E68,IF(AND($D68&gt;=W$5,$D68&lt;W$5+7),"◆",""),IF(AND($D68&lt;W$5+7,$E68&gt;W$5),"■","")))</x:f>
      </x:c>
      <x:c r="X68" s="7" t="str">
        <x:f>IF(OR($D68="",X$5="",'상세일정'!AM68="제외"),"",IF($D68=$E68,IF(AND($D68&gt;=X$5,$D68&lt;X$5+7),"◆",""),IF(AND($D68&lt;X$5+7,$E68&gt;X$5),"■","")))</x:f>
      </x:c>
      <x:c r="Y68" s="7" t="str">
        <x:f>IF(OR($D68="",Y$5="",'상세일정'!AM68="제외"),"",IF($D68=$E68,IF(AND($D68&gt;=Y$5,$D68&lt;Y$5+7),"◆",""),IF(AND($D68&lt;Y$5+7,$E68&gt;Y$5),"■","")))</x:f>
      </x:c>
      <x:c r="Z68" s="7" t="str">
        <x:f>IF(OR($D68="",Z$5="",'상세일정'!AM68="제외"),"",IF($D68=$E68,IF(AND($D68&gt;=Z$5,$D68&lt;Z$5+7),"◆",""),IF(AND($D68&lt;Z$5+7,$E68&gt;Z$5),"■","")))</x:f>
      </x:c>
      <x:c r="AA68" s="7" t="str">
        <x:f>IF(OR($D68="",AA$5="",'상세일정'!AM68="제외"),"",IF($D68=$E68,IF(AND($D68&gt;=AA$5,$D68&lt;AA$5+7),"◆",""),IF(AND($D68&lt;AA$5+7,$E68&gt;AA$5),"■","")))</x:f>
      </x:c>
      <x:c r="AB68" s="7" t="str">
        <x:f>IF(OR($D68="",AB$5="",'상세일정'!AM68="제외"),"",IF($D68=$E68,IF(AND($D68&gt;=AB$5,$D68&lt;AB$5+7),"◆",""),IF(AND($D68&lt;AB$5+7,$E68&gt;AB$5),"■","")))</x:f>
      </x:c>
      <x:c r="AC68" s="7" t="str">
        <x:f>IF(OR($D68="",AC$5="",'상세일정'!AM68="제외"),"",IF($D68=$E68,IF(AND($D68&gt;=AC$5,$D68&lt;AC$5+7),"◆",""),IF(AND($D68&lt;AC$5+7,$E68&gt;AC$5),"■","")))</x:f>
      </x:c>
      <x:c r="AD68" s="7" t="str">
        <x:f>IF(OR($D68="",AD$5="",'상세일정'!AM68="제외"),"",IF($D68=$E68,IF(AND($D68&gt;=AD$5,$D68&lt;AD$5+7),"◆",""),IF(AND($D68&lt;AD$5+7,$E68&gt;AD$5),"■","")))</x:f>
      </x:c>
      <x:c r="AE68" s="7" t="str">
        <x:f>IF(OR($D68="",AE$5="",'상세일정'!AM68="제외"),"",IF($D68=$E68,IF(AND($D68&gt;=AE$5,$D68&lt;AE$5+7),"◆",""),IF(AND($D68&lt;AE$5+7,$E68&gt;AE$5),"■","")))</x:f>
      </x:c>
      <x:c r="AF68" s="7" t="str">
        <x:f>IF(OR($D68="",AF$5="",'상세일정'!AM68="제외"),"",IF($D68=$E68,IF(AND($D68&gt;=AF$5,$D68&lt;AF$5+7),"◆",""),IF(AND($D68&lt;AF$5+7,$E68&gt;AF$5),"■","")))</x:f>
      </x:c>
      <x:c r="AG68" s="7" t="str">
        <x:f>IF(OR($D68="",AG$5="",'상세일정'!AM68="제외"),"",IF($D68=$E68,IF(AND($D68&gt;=AG$5,$D68&lt;AG$5+7),"◆",""),IF(AND($D68&lt;AG$5+7,$E68&gt;AG$5),"■","")))</x:f>
      </x:c>
      <x:c r="AH68" s="7" t="str">
        <x:f>IF(OR($D68="",AH$5="",'상세일정'!AM68="제외"),"",IF($D68=$E68,IF(AND($D68&gt;=AH$5,$D68&lt;AH$5+7),"◆",""),IF(AND($D68&lt;AH$5+7,$E68&gt;AH$5),"■","")))</x:f>
      </x:c>
      <x:c r="AI68" s="7" t="str">
        <x:f>IF(OR($D68="",AI$5="",'상세일정'!AM68="제외"),"",IF($D68=$E68,IF(AND($D68&gt;=AI$5,$D68&lt;AI$5+7),"◆",""),IF(AND($D68&lt;AI$5+7,$E68&gt;AI$5),"■","")))</x:f>
      </x:c>
      <x:c r="AJ68" s="7" t="str">
        <x:f>IF(OR($D68="",AJ$5="",'상세일정'!AM68="제외"),"",IF($D68=$E68,IF(AND($D68&gt;=AJ$5,$D68&lt;AJ$5+7),"◆",""),IF(AND($D68&lt;AJ$5+7,$E68&gt;AJ$5),"■","")))</x:f>
      </x:c>
      <x:c r="AK68" s="7" t="str">
        <x:f>IF(OR($D68="",AK$5="",'상세일정'!AM68="제외"),"",IF($D68=$E68,IF(AND($D68&gt;=AK$5,$D68&lt;AK$5+7),"◆",""),IF(AND($D68&lt;AK$5+7,$E68&gt;AK$5),"■","")))</x:f>
      </x:c>
      <x:c r="AL68" s="7" t="str">
        <x:f>IF(OR($D68="",AL$5="",'상세일정'!AM68="제외"),"",IF($D68=$E68,IF(AND($D68&gt;=AL$5,$D68&lt;AL$5+7),"◆",""),IF(AND($D68&lt;AL$5+7,$E68&gt;AL$5),"■","")))</x:f>
      </x:c>
      <x:c r="AM68" s="7" t="str">
        <x:f>IF(OR($D68="",AM$5="",'상세일정'!AM68="제외"),"",IF($D68=$E68,IF(AND($D68&gt;=AM$5,$D68&lt;AM$5+7),"◆",""),IF(AND($D68&lt;AM$5+7,$E68&gt;AM$5),"■","")))</x:f>
      </x:c>
      <x:c r="AN68" s="7" t="str">
        <x:f>IF(OR($D68="",AN$5="",'상세일정'!AM68="제외"),"",IF($D68=$E68,IF(AND($D68&gt;=AN$5,$D68&lt;AN$5+7),"◆",""),IF(AND($D68&lt;AN$5+7,$E68&gt;AN$5),"■","")))</x:f>
      </x:c>
      <x:c r="AO68" s="7" t="str">
        <x:f>IF(OR($D68="",AO$5="",'상세일정'!AM68="제외"),"",IF($D68=$E68,IF(AND($D68&gt;=AO$5,$D68&lt;AO$5+7),"◆",""),IF(AND($D68&lt;AO$5+7,$E68&gt;AO$5),"■","")))</x:f>
      </x:c>
      <x:c r="AP68" s="7" t="str">
        <x:f>IF(OR($D68="",AP$5="",'상세일정'!AM68="제외"),"",IF($D68=$E68,IF(AND($D68&gt;=AP$5,$D68&lt;AP$5+7),"◆",""),IF(AND($D68&lt;AP$5+7,$E68&gt;AP$5),"■","")))</x:f>
      </x:c>
      <x:c r="AQ68" s="7" t="str">
        <x:f>IF(OR($D68="",AQ$5="",'상세일정'!AM68="제외"),"",IF($D68=$E68,IF(AND($D68&gt;=AQ$5,$D68&lt;AQ$5+7),"◆",""),IF(AND($D68&lt;AQ$5+7,$E68&gt;AQ$5),"■","")))</x:f>
      </x:c>
      <x:c r="AR68" s="7" t="str">
        <x:f>IF(OR($D68="",AR$5="",'상세일정'!AM68="제외"),"",IF($D68=$E68,IF(AND($D68&gt;=AR$5,$D68&lt;AR$5+7),"◆",""),IF(AND($D68&lt;AR$5+7,$E68&gt;AR$5),"■","")))</x:f>
      </x:c>
      <x:c r="AS68" s="7" t="str">
        <x:f>IF(OR($D68="",AS$5="",'상세일정'!AM68="제외"),"",IF($D68=$E68,IF(AND($D68&gt;=AS$5,$D68&lt;AS$5+7),"◆",""),IF(AND($D68&lt;AS$5+7,$E68&gt;AS$5),"■","")))</x:f>
      </x:c>
      <x:c r="AT68" s="7" t="str">
        <x:f>IF(OR($D68="",AT$5="",'상세일정'!AM68="제외"),"",IF($D68=$E68,IF(AND($D68&gt;=AT$5,$D68&lt;AT$5+7),"◆",""),IF(AND($D68&lt;AT$5+7,$E68&gt;AT$5),"■","")))</x:f>
      </x:c>
      <x:c r="AU68" s="7" t="str">
        <x:f>IF(OR($D68="",AU$5="",'상세일정'!AM68="제외"),"",IF($D68=$E68,IF(AND($D68&gt;=AU$5,$D68&lt;AU$5+7),"◆",""),IF(AND($D68&lt;AU$5+7,$E68&gt;AU$5),"■","")))</x:f>
      </x:c>
      <x:c r="AV68" s="7" t="str">
        <x:f>IF(OR($D68="",AV$5="",'상세일정'!AM68="제외"),"",IF($D68=$E68,IF(AND($D68&gt;=AV$5,$D68&lt;AV$5+7),"◆",""),IF(AND($D68&lt;AV$5+7,$E68&gt;AV$5),"■","")))</x:f>
      </x:c>
      <x:c r="AW68" s="7" t="str">
        <x:f>IF(OR($D68="",AW$5="",'상세일정'!AM68="제외"),"",IF($D68=$E68,IF(AND($D68&gt;=AW$5,$D68&lt;AW$5+7),"◆",""),IF(AND($D68&lt;AW$5+7,$E68&gt;AW$5),"■","")))</x:f>
      </x:c>
      <x:c r="AX68" s="7" t="str">
        <x:f>IF(OR($D68="",AX$5="",'상세일정'!AM68="제외"),"",IF($D68=$E68,IF(AND($D68&gt;=AX$5,$D68&lt;AX$5+7),"◆",""),IF(AND($D68&lt;AX$5+7,$E68&gt;AX$5),"■","")))</x:f>
      </x:c>
      <x:c r="AY68" s="7" t="str">
        <x:f>IF(OR($D68="",AY$5="",'상세일정'!AM68="제외"),"",IF($D68=$E68,IF(AND($D68&gt;=AY$5,$D68&lt;AY$5+7),"◆",""),IF(AND($D68&lt;AY$5+7,$E68&gt;AY$5),"■","")))</x:f>
      </x:c>
      <x:c r="AZ68" s="7" t="str">
        <x:f>IF(OR($D68="",AZ$5="",'상세일정'!AM68="제외"),"",IF($D68=$E68,IF(AND($D68&gt;=AZ$5,$D68&lt;AZ$5+7),"◆",""),IF(AND($D68&lt;AZ$5+7,$E68&gt;AZ$5),"■","")))</x:f>
      </x:c>
      <x:c r="BA68" s="7" t="str">
        <x:f>IF(OR($D68="",BA$5="",'상세일정'!AM68="제외"),"",IF($D68=$E68,IF(AND($D68&gt;=BA$5,$D68&lt;BA$5+7),"◆",""),IF(AND($D68&lt;BA$5+7,$E68&gt;BA$5),"■","")))</x:f>
      </x:c>
      <x:c r="BB68" s="7" t="str">
        <x:f>IF(OR($D68="",BB$5="",'상세일정'!AM68="제외"),"",IF($D68=$E68,IF(AND($D68&gt;=BB$5,$D68&lt;BB$5+7),"◆",""),IF(AND($D68&lt;BB$5+7,$E68&gt;BB$5),"■","")))</x:f>
      </x:c>
      <x:c r="BC68" s="7" t="str">
        <x:f>IF(OR($D68="",BC$5="",'상세일정'!AM68="제외"),"",IF($D68=$E68,IF(AND($D68&gt;=BC$5,$D68&lt;BC$5+7),"◆",""),IF(AND($D68&lt;BC$5+7,$E68&gt;BC$5),"■","")))</x:f>
      </x:c>
      <x:c r="BD68" s="7" t="str">
        <x:f>IF(OR($D68="",BD$5="",'상세일정'!AM68="제외"),"",IF($D68=$E68,IF(AND($D68&gt;=BD$5,$D68&lt;BD$5+7),"◆",""),IF(AND($D68&lt;BD$5+7,$E68&gt;BD$5),"■","")))</x:f>
      </x:c>
      <x:c r="BE68" s="7" t="str">
        <x:f>IF(OR($D68="",BE$5="",'상세일정'!AM68="제외"),"",IF($D68=$E68,IF(AND($D68&gt;=BE$5,$D68&lt;BE$5+7),"◆",""),IF(AND($D68&lt;BE$5+7,$E68&gt;BE$5),"■","")))</x:f>
      </x:c>
      <x:c r="BF68" s="7" t="str">
        <x:f>IF(OR($D68="",BF$5="",'상세일정'!AM68="제외"),"",IF($D68=$E68,IF(AND($D68&gt;=BF$5,$D68&lt;BF$5+7),"◆",""),IF(AND($D68&lt;BF$5+7,$E68&gt;BF$5),"■","")))</x:f>
      </x:c>
      <x:c r="BG68" s="7" t="str">
        <x:f>IF(OR($D68="",BG$5="",'상세일정'!AM68="제외"),"",IF($D68=$E68,IF(AND($D68&gt;=BG$5,$D68&lt;BG$5+7),"◆",""),IF(AND($D68&lt;BG$5+7,$E68&gt;BG$5),"■","")))</x:f>
      </x:c>
      <x:c r="BH68" s="7" t="str">
        <x:f>IF(OR($D68="",BH$5="",'상세일정'!AM68="제외"),"",IF($D68=$E68,IF(AND($D68&gt;=BH$5,$D68&lt;BH$5+7),"◆",""),IF(AND($D68&lt;BH$5+7,$E68&gt;BH$5),"■","")))</x:f>
      </x:c>
      <x:c r="BI68" s="7" t="str">
        <x:f>IF(OR($D68="",BI$5="",'상세일정'!AM68="제외"),"",IF($D68=$E68,IF(AND($D68&gt;=BI$5,$D68&lt;BI$5+7),"◆",""),IF(AND($D68&lt;BI$5+7,$E68&gt;BI$5),"■","")))</x:f>
      </x:c>
      <x:c r="BJ68" s="7" t="str">
        <x:f>IF(OR($D68="",BJ$5="",'상세일정'!AM68="제외"),"",IF($D68=$E68,IF(AND($D68&gt;=BJ$5,$D68&lt;BJ$5+7),"◆",""),IF(AND($D68&lt;BJ$5+7,$E68&gt;BJ$5),"■","")))</x:f>
      </x:c>
      <x:c r="BK68" s="7" t="str">
        <x:f>IF(OR($D68="",BK$5="",'상세일정'!AM68="제외"),"",IF($D68=$E68,IF(AND($D68&gt;=BK$5,$D68&lt;BK$5+7),"◆",""),IF(AND($D68&lt;BK$5+7,$E68&gt;BK$5),"■","")))</x:f>
      </x:c>
      <x:c r="BL68" s="7" t="str">
        <x:f>IF(OR($D68="",BL$5="",'상세일정'!AM68="제외"),"",IF($D68=$E68,IF(AND($D68&gt;=BL$5,$D68&lt;BL$5+7),"◆",""),IF(AND($D68&lt;BL$5+7,$E68&gt;BL$5),"■","")))</x:f>
      </x:c>
      <x:c r="BM68" s="7" t="str">
        <x:f>IF(OR($D68="",BM$5="",'상세일정'!AM68="제외"),"",IF($D68=$E68,IF(AND($D68&gt;=BM$5,$D68&lt;BM$5+7),"◆",""),IF(AND($D68&lt;BM$5+7,$E68&gt;BM$5),"■","")))</x:f>
      </x:c>
      <x:c r="BN68" s="7" t="str">
        <x:f>IF(OR($D68="",BN$5="",'상세일정'!AM68="제외"),"",IF($D68=$E68,IF(AND($D68&gt;=BN$5,$D68&lt;BN$5+7),"◆",""),IF(AND($D68&lt;BN$5+7,$E68&gt;BN$5),"■","")))</x:f>
      </x:c>
      <x:c r="BO68" s="7" t="str">
        <x:f>IF(OR($D68="",BO$5="",'상세일정'!AM68="제외"),"",IF($D68=$E68,IF(AND($D68&gt;=BO$5,$D68&lt;BO$5+7),"◆",""),IF(AND($D68&lt;BO$5+7,$E68&gt;BO$5),"■","")))</x:f>
      </x:c>
      <x:c r="BP68" s="7" t="str">
        <x:f>IF(OR($D68="",BP$5="",'상세일정'!AM68="제외"),"",IF($D68=$E68,IF(AND($D68&gt;=BP$5,$D68&lt;BP$5+7),"◆",""),IF(AND($D68&lt;BP$5+7,$E68&gt;BP$5),"■","")))</x:f>
      </x:c>
      <x:c r="BQ68" s="7" t="str">
        <x:f>IF(OR($D68="",BQ$5="",'상세일정'!AM68="제외"),"",IF($D68=$E68,IF(AND($D68&gt;=BQ$5,$D68&lt;BQ$5+7),"◆",""),IF(AND($D68&lt;BQ$5+7,$E68&gt;BQ$5),"■","")))</x:f>
      </x:c>
      <x:c r="BR68" s="7" t="str">
        <x:f>IF(OR($D68="",BR$5="",'상세일정'!AM68="제외"),"",IF($D68=$E68,IF(AND($D68&gt;=BR$5,$D68&lt;BR$5+7),"◆",""),IF(AND($D68&lt;BR$5+7,$E68&gt;BR$5),"■","")))</x:f>
      </x:c>
      <x:c r="BS68" s="7" t="str">
        <x:f>IF(OR($D68="",BS$5="",'상세일정'!AM68="제외"),"",IF($D68=$E68,IF(AND($D68&gt;=BS$5,$D68&lt;BS$5+7),"◆",""),IF(AND($D68&lt;BS$5+7,$E68&gt;BS$5),"■","")))</x:f>
      </x:c>
      <x:c r="BT68" s="7" t="str">
        <x:f>IF(OR($D68="",BT$5="",'상세일정'!AM68="제외"),"",IF($D68=$E68,IF(AND($D68&gt;=BT$5,$D68&lt;BT$5+7),"◆",""),IF(AND($D68&lt;BT$5+7,$E68&gt;BT$5),"■","")))</x:f>
      </x:c>
      <x:c r="BU68" s="7" t="str">
        <x:f>IF(OR($D68="",BU$5="",'상세일정'!AM68="제외"),"",IF($D68=$E68,IF(AND($D68&gt;=BU$5,$D68&lt;BU$5+7),"◆",""),IF(AND($D68&lt;BU$5+7,$E68&gt;BU$5),"■","")))</x:f>
      </x:c>
      <x:c r="BV68" s="7" t="str">
        <x:f>IF(OR($D68="",BV$5="",'상세일정'!AM68="제외"),"",IF($D68=$E68,IF(AND($D68&gt;=BV$5,$D68&lt;BV$5+7),"◆",""),IF(AND($D68&lt;BV$5+7,$E68&gt;BV$5),"■","")))</x:f>
      </x:c>
      <x:c r="BW68" s="7" t="str">
        <x:f>IF(OR($D68="",BW$5="",'상세일정'!AM68="제외"),"",IF($D68=$E68,IF(AND($D68&gt;=BW$5,$D68&lt;BW$5+7),"◆",""),IF(AND($D68&lt;BW$5+7,$E68&gt;BW$5),"■","")))</x:f>
      </x:c>
      <x:c r="BX68" s="7" t="str">
        <x:f>IF(OR($D68="",BX$5="",'상세일정'!AM68="제외"),"",IF($D68=$E68,IF(AND($D68&gt;=BX$5,$D68&lt;BX$5+7),"◆",""),IF(AND($D68&lt;BX$5+7,$E68&gt;BX$5),"■","")))</x:f>
      </x:c>
      <x:c r="BY68" s="7" t="str">
        <x:f>IF(OR($D68="",BY$5="",'상세일정'!AM68="제외"),"",IF($D68=$E68,IF(AND($D68&gt;=BY$5,$D68&lt;BY$5+7),"◆",""),IF(AND($D68&lt;BY$5+7,$E68&gt;BY$5),"■","")))</x:f>
      </x:c>
      <x:c r="BZ68" s="7" t="str">
        <x:f>IF(OR($D68="",BZ$5="",'상세일정'!AM68="제외"),"",IF($D68=$E68,IF(AND($D68&gt;=BZ$5,$D68&lt;BZ$5+7),"◆",""),IF(AND($D68&lt;BZ$5+7,$E68&gt;BZ$5),"■","")))</x:f>
      </x:c>
      <x:c r="CA68" s="7" t="str">
        <x:f>IF(OR($D68="",CA$5="",'상세일정'!AM68="제외"),"",IF($D68=$E68,IF(AND($D68&gt;=CA$5,$D68&lt;CA$5+7),"◆",""),IF(AND($D68&lt;CA$5+7,$E68&gt;CA$5),"■","")))</x:f>
      </x:c>
      <x:c r="CB68" s="7" t="str">
        <x:f>IF(OR($D68="",CB$5="",'상세일정'!AM68="제외"),"",IF($D68=$E68,IF(AND($D68&gt;=CB$5,$D68&lt;CB$5+7),"◆",""),IF(AND($D68&lt;CB$5+7,$E68&gt;CB$5),"■","")))</x:f>
      </x:c>
      <x:c r="CC68" s="7" t="str">
        <x:f>IF(OR($D68="",CC$5="",'상세일정'!AM68="제외"),"",IF($D68=$E68,IF(AND($D68&gt;=CC$5,$D68&lt;CC$5+7),"◆",""),IF(AND($D68&lt;CC$5+7,$E68&gt;CC$5),"■","")))</x:f>
      </x:c>
      <x:c r="CD68" s="7" t="str">
        <x:f>IF(OR($D68="",CD$5="",'상세일정'!AM68="제외"),"",IF($D68=$E68,IF(AND($D68&gt;=CD$5,$D68&lt;CD$5+7),"◆",""),IF(AND($D68&lt;CD$5+7,$E68&gt;CD$5),"■","")))</x:f>
      </x:c>
      <x:c r="CE68" s="7" t="str">
        <x:f>IF(OR($D68="",CE$5="",'상세일정'!AM68="제외"),"",IF($D68=$E68,IF(AND($D68&gt;=CE$5,$D68&lt;CE$5+7),"◆",""),IF(AND($D68&lt;CE$5+7,$E68&gt;CE$5),"■","")))</x:f>
      </x:c>
      <x:c r="CF68" s="7" t="str">
        <x:f>IF(OR($D68="",CF$5="",'상세일정'!AM68="제외"),"",IF($D68=$E68,IF(AND($D68&gt;=CF$5,$D68&lt;CF$5+7),"◆",""),IF(AND($D68&lt;CF$5+7,$E68&gt;CF$5),"■","")))</x:f>
      </x:c>
      <x:c r="CG68" s="7" t="str">
        <x:f>IF(OR($D68="",CG$5="",'상세일정'!AM68="제외"),"",IF($D68=$E68,IF(AND($D68&gt;=CG$5,$D68&lt;CG$5+7),"◆",""),IF(AND($D68&lt;CG$5+7,$E68&gt;CG$5),"■","")))</x:f>
      </x:c>
      <x:c r="CH68" s="7" t="str">
        <x:f>IF(OR($D68="",CH$5="",'상세일정'!AM68="제외"),"",IF($D68=$E68,IF(AND($D68&gt;=CH$5,$D68&lt;CH$5+7),"◆",""),IF(AND($D68&lt;CH$5+7,$E68&gt;CH$5),"■","")))</x:f>
      </x:c>
      <x:c r="CI68" s="7" t="str">
        <x:f>IF(OR($D68="",CI$5="",'상세일정'!AM68="제외"),"",IF($D68=$E68,IF(AND($D68&gt;=CI$5,$D68&lt;CI$5+7),"◆",""),IF(AND($D68&lt;CI$5+7,$E68&gt;CI$5),"■","")))</x:f>
      </x:c>
      <x:c r="CJ68" s="7" t="str">
        <x:f>IF(OR($D68="",CJ$5="",'상세일정'!AM68="제외"),"",IF($D68=$E68,IF(AND($D68&gt;=CJ$5,$D68&lt;CJ$5+7),"◆",""),IF(AND($D68&lt;CJ$5+7,$E68&gt;CJ$5),"■","")))</x:f>
      </x:c>
      <x:c r="CK68" s="7" t="str">
        <x:f>IF(OR($D68="",CK$5="",'상세일정'!AM68="제외"),"",IF($D68=$E68,IF(AND($D68&gt;=CK$5,$D68&lt;CK$5+7),"◆",""),IF(AND($D68&lt;CK$5+7,$E68&gt;CK$5),"■","")))</x:f>
      </x:c>
      <x:c r="CL68" s="7" t="str">
        <x:f>IF(OR($D68="",CL$5="",'상세일정'!AM68="제외"),"",IF($D68=$E68,IF(AND($D68&gt;=CL$5,$D68&lt;CL$5+7),"◆",""),IF(AND($D68&lt;CL$5+7,$E68&gt;CL$5),"■","")))</x:f>
      </x:c>
      <x:c r="CM68" s="7" t="str">
        <x:f>IF(OR($D68="",CM$5="",'상세일정'!AM68="제외"),"",IF($D68=$E68,IF(AND($D68&gt;=CM$5,$D68&lt;CM$5+7),"◆",""),IF(AND($D68&lt;CM$5+7,$E68&gt;CM$5),"■","")))</x:f>
      </x:c>
      <x:c r="CN68" s="7" t="str">
        <x:f>IF(OR($D68="",CN$5="",'상세일정'!AM68="제외"),"",IF($D68=$E68,IF(AND($D68&gt;=CN$5,$D68&lt;CN$5+7),"◆",""),IF(AND($D68&lt;CN$5+7,$E68&gt;CN$5),"■","")))</x:f>
      </x:c>
      <x:c r="CO68" s="7" t="str">
        <x:f>IF(OR($D68="",CO$5="",'상세일정'!AM68="제외"),"",IF($D68=$E68,IF(AND($D68&gt;=CO$5,$D68&lt;CO$5+7),"◆",""),IF(AND($D68&lt;CO$5+7,$E68&gt;CO$5),"■","")))</x:f>
      </x:c>
      <x:c r="CP68" s="7" t="str">
        <x:f>IF(OR($D68="",CP$5="",'상세일정'!AM68="제외"),"",IF($D68=$E68,IF(AND($D68&gt;=CP$5,$D68&lt;CP$5+7),"◆",""),IF(AND($D68&lt;CP$5+7,$E68&gt;CP$5),"■","")))</x:f>
      </x:c>
      <x:c r="CQ68" s="7" t="str">
        <x:f>IF(OR($D68="",CQ$5="",'상세일정'!AM68="제외"),"",IF($D68=$E68,IF(AND($D68&gt;=CQ$5,$D68&lt;CQ$5+7),"◆",""),IF(AND($D68&lt;CQ$5+7,$E68&gt;CQ$5),"■","")))</x:f>
      </x:c>
      <x:c r="CR68" s="7" t="str">
        <x:f>IF(OR($D68="",CR$5="",'상세일정'!AM68="제외"),"",IF($D68=$E68,IF(AND($D68&gt;=CR$5,$D68&lt;CR$5+7),"◆",""),IF(AND($D68&lt;CR$5+7,$E68&gt;CR$5),"■","")))</x:f>
      </x:c>
      <x:c r="CS68" s="7" t="str">
        <x:f>IF(OR($D68="",CS$5="",'상세일정'!AM68="제외"),"",IF($D68=$E68,IF(AND($D68&gt;=CS$5,$D68&lt;CS$5+7),"◆",""),IF(AND($D68&lt;CS$5+7,$E68&gt;CS$5),"■","")))</x:f>
      </x:c>
      <x:c r="CT68" s="7" t="str">
        <x:f>IF(OR($D68="",CT$5="",'상세일정'!AM68="제외"),"",IF($D68=$E68,IF(AND($D68&gt;=CT$5,$D68&lt;CT$5+7),"◆",""),IF(AND($D68&lt;CT$5+7,$E68&gt;CT$5),"■","")))</x:f>
      </x:c>
      <x:c r="CU68" s="7" t="str">
        <x:f>IF(OR($D68="",CU$5="",'상세일정'!AM68="제외"),"",IF($D68=$E68,IF(AND($D68&gt;=CU$5,$D68&lt;CU$5+7),"◆",""),IF(AND($D68&lt;CU$5+7,$E68&gt;CU$5),"■","")))</x:f>
      </x:c>
      <x:c r="CV68" s="7" t="str">
        <x:f>IF(OR($D68="",CV$5="",'상세일정'!AM68="제외"),"",IF($D68=$E68,IF(AND($D68&gt;=CV$5,$D68&lt;CV$5+7),"◆",""),IF(AND($D68&lt;CV$5+7,$E68&gt;CV$5),"■","")))</x:f>
      </x:c>
      <x:c r="CW68" s="7" t="str">
        <x:f>IF(OR($D68="",CW$5="",'상세일정'!AM68="제외"),"",IF($D68=$E68,IF(AND($D68&gt;=CW$5,$D68&lt;CW$5+7),"◆",""),IF(AND($D68&lt;CW$5+7,$E68&gt;CW$5),"■","")))</x:f>
      </x:c>
      <x:c r="CX68" s="7" t="str">
        <x:f>IF(OR($D68="",CX$5="",'상세일정'!AM68="제외"),"",IF($D68=$E68,IF(AND($D68&gt;=CX$5,$D68&lt;CX$5+7),"◆",""),IF(AND($D68&lt;CX$5+7,$E68&gt;CX$5),"■","")))</x:f>
      </x:c>
      <x:c r="CY68" s="7" t="str">
        <x:f>IF(OR($D68="",CY$5="",'상세일정'!AM68="제외"),"",IF($D68=$E68,IF(AND($D68&gt;=CY$5,$D68&lt;CY$5+7),"◆",""),IF(AND($D68&lt;CY$5+7,$E68&gt;CY$5),"■","")))</x:f>
      </x:c>
      <x:c r="CZ68" s="7" t="str">
        <x:f>IF(OR($D68="",CZ$5="",'상세일정'!AM68="제외"),"",IF($D68=$E68,IF(AND($D68&gt;=CZ$5,$D68&lt;CZ$5+7),"◆",""),IF(AND($D68&lt;CZ$5+7,$E68&gt;CZ$5),"■","")))</x:f>
      </x:c>
      <x:c r="DA68" s="7" t="str">
        <x:f>IF(OR($D68="",DA$5="",'상세일정'!AM68="제외"),"",IF($D68=$E68,IF(AND($D68&gt;=DA$5,$D68&lt;DA$5+7),"◆",""),IF(AND($D68&lt;DA$5+7,$E68&gt;DA$5),"■","")))</x:f>
      </x:c>
      <x:c r="DB68" s="7" t="str">
        <x:f>IF(OR($D68="",DB$5="",'상세일정'!AM68="제외"),"",IF($D68=$E68,IF(AND($D68&gt;=DB$5,$D68&lt;DB$5+7),"◆",""),IF(AND($D68&lt;DB$5+7,$E68&gt;DB$5),"■","")))</x:f>
      </x:c>
      <x:c r="DC68" s="7" t="str">
        <x:f>IF(OR($D68="",DC$5="",'상세일정'!AM68="제외"),"",IF($D68=$E68,IF(AND($D68&gt;=DC$5,$D68&lt;DC$5+7),"◆",""),IF(AND($D68&lt;DC$5+7,$E68&gt;DC$5),"■","")))</x:f>
      </x:c>
      <x:c r="DD68" s="7" t="str">
        <x:f>IF(OR($D68="",DD$5="",'상세일정'!AM68="제외"),"",IF($D68=$E68,IF(AND($D68&gt;=DD$5,$D68&lt;DD$5+7),"◆",""),IF(AND($D68&lt;DD$5+7,$E68&gt;DD$5),"■","")))</x:f>
      </x:c>
      <x:c r="DE68" s="7" t="str">
        <x:f>IF(OR($D68="",DE$5="",'상세일정'!AM68="제외"),"",IF($D68=$E68,IF(AND($D68&gt;=DE$5,$D68&lt;DE$5+7),"◆",""),IF(AND($D68&lt;DE$5+7,$E68&gt;DE$5),"■","")))</x:f>
      </x:c>
    </x:row>
    <x:row r="69" ht="34" customHeight="1">
      <x:c r="A69" s="7" t="str">
        <x:v>BP04</x:v>
      </x:c>
      <x:c r="B69" s="7" t="str">
        <x:v>10 건축허가</x:v>
      </x:c>
      <x:c r="C69" s="7" t="str">
        <x:v>건축허가 확인 및 허가조건 배포</x:v>
      </x:c>
      <x:c r="D69" s="10" t="str">
        <x:f>'상세일정'!AJ69</x:f>
      </x:c>
      <x:c r="E69" s="10" t="str">
        <x:f>'상세일정'!AK69</x:f>
      </x:c>
      <x:c r="F69" s="7" t="str">
        <x:f>IF(OR($D69="",F$5="",'상세일정'!AM69="제외"),"",IF($D69=$E69,IF(AND($D69&gt;=F$5,$D69&lt;F$5+7),"◆",""),IF(AND($D69&lt;F$5+7,$E69&gt;F$5),"■","")))</x:f>
      </x:c>
      <x:c r="G69" s="7" t="str">
        <x:f>IF(OR($D69="",G$5="",'상세일정'!AM69="제외"),"",IF($D69=$E69,IF(AND($D69&gt;=G$5,$D69&lt;G$5+7),"◆",""),IF(AND($D69&lt;G$5+7,$E69&gt;G$5),"■","")))</x:f>
      </x:c>
      <x:c r="H69" s="7" t="str">
        <x:f>IF(OR($D69="",H$5="",'상세일정'!AM69="제외"),"",IF($D69=$E69,IF(AND($D69&gt;=H$5,$D69&lt;H$5+7),"◆",""),IF(AND($D69&lt;H$5+7,$E69&gt;H$5),"■","")))</x:f>
      </x:c>
      <x:c r="I69" s="7" t="str">
        <x:f>IF(OR($D69="",I$5="",'상세일정'!AM69="제외"),"",IF($D69=$E69,IF(AND($D69&gt;=I$5,$D69&lt;I$5+7),"◆",""),IF(AND($D69&lt;I$5+7,$E69&gt;I$5),"■","")))</x:f>
      </x:c>
      <x:c r="J69" s="7" t="str">
        <x:f>IF(OR($D69="",J$5="",'상세일정'!AM69="제외"),"",IF($D69=$E69,IF(AND($D69&gt;=J$5,$D69&lt;J$5+7),"◆",""),IF(AND($D69&lt;J$5+7,$E69&gt;J$5),"■","")))</x:f>
      </x:c>
      <x:c r="K69" s="7" t="str">
        <x:f>IF(OR($D69="",K$5="",'상세일정'!AM69="제외"),"",IF($D69=$E69,IF(AND($D69&gt;=K$5,$D69&lt;K$5+7),"◆",""),IF(AND($D69&lt;K$5+7,$E69&gt;K$5),"■","")))</x:f>
      </x:c>
      <x:c r="L69" s="7" t="str">
        <x:f>IF(OR($D69="",L$5="",'상세일정'!AM69="제외"),"",IF($D69=$E69,IF(AND($D69&gt;=L$5,$D69&lt;L$5+7),"◆",""),IF(AND($D69&lt;L$5+7,$E69&gt;L$5),"■","")))</x:f>
      </x:c>
      <x:c r="M69" s="7" t="str">
        <x:f>IF(OR($D69="",M$5="",'상세일정'!AM69="제외"),"",IF($D69=$E69,IF(AND($D69&gt;=M$5,$D69&lt;M$5+7),"◆",""),IF(AND($D69&lt;M$5+7,$E69&gt;M$5),"■","")))</x:f>
      </x:c>
      <x:c r="N69" s="7" t="str">
        <x:f>IF(OR($D69="",N$5="",'상세일정'!AM69="제외"),"",IF($D69=$E69,IF(AND($D69&gt;=N$5,$D69&lt;N$5+7),"◆",""),IF(AND($D69&lt;N$5+7,$E69&gt;N$5),"■","")))</x:f>
      </x:c>
      <x:c r="O69" s="7" t="str">
        <x:f>IF(OR($D69="",O$5="",'상세일정'!AM69="제외"),"",IF($D69=$E69,IF(AND($D69&gt;=O$5,$D69&lt;O$5+7),"◆",""),IF(AND($D69&lt;O$5+7,$E69&gt;O$5),"■","")))</x:f>
      </x:c>
      <x:c r="P69" s="7" t="str">
        <x:f>IF(OR($D69="",P$5="",'상세일정'!AM69="제외"),"",IF($D69=$E69,IF(AND($D69&gt;=P$5,$D69&lt;P$5+7),"◆",""),IF(AND($D69&lt;P$5+7,$E69&gt;P$5),"■","")))</x:f>
      </x:c>
      <x:c r="Q69" s="7" t="str">
        <x:f>IF(OR($D69="",Q$5="",'상세일정'!AM69="제외"),"",IF($D69=$E69,IF(AND($D69&gt;=Q$5,$D69&lt;Q$5+7),"◆",""),IF(AND($D69&lt;Q$5+7,$E69&gt;Q$5),"■","")))</x:f>
      </x:c>
      <x:c r="R69" s="7" t="str">
        <x:f>IF(OR($D69="",R$5="",'상세일정'!AM69="제외"),"",IF($D69=$E69,IF(AND($D69&gt;=R$5,$D69&lt;R$5+7),"◆",""),IF(AND($D69&lt;R$5+7,$E69&gt;R$5),"■","")))</x:f>
      </x:c>
      <x:c r="S69" s="7" t="str">
        <x:f>IF(OR($D69="",S$5="",'상세일정'!AM69="제외"),"",IF($D69=$E69,IF(AND($D69&gt;=S$5,$D69&lt;S$5+7),"◆",""),IF(AND($D69&lt;S$5+7,$E69&gt;S$5),"■","")))</x:f>
      </x:c>
      <x:c r="T69" s="7" t="str">
        <x:f>IF(OR($D69="",T$5="",'상세일정'!AM69="제외"),"",IF($D69=$E69,IF(AND($D69&gt;=T$5,$D69&lt;T$5+7),"◆",""),IF(AND($D69&lt;T$5+7,$E69&gt;T$5),"■","")))</x:f>
      </x:c>
      <x:c r="U69" s="7" t="str">
        <x:f>IF(OR($D69="",U$5="",'상세일정'!AM69="제외"),"",IF($D69=$E69,IF(AND($D69&gt;=U$5,$D69&lt;U$5+7),"◆",""),IF(AND($D69&lt;U$5+7,$E69&gt;U$5),"■","")))</x:f>
      </x:c>
      <x:c r="V69" s="7" t="str">
        <x:f>IF(OR($D69="",V$5="",'상세일정'!AM69="제외"),"",IF($D69=$E69,IF(AND($D69&gt;=V$5,$D69&lt;V$5+7),"◆",""),IF(AND($D69&lt;V$5+7,$E69&gt;V$5),"■","")))</x:f>
      </x:c>
      <x:c r="W69" s="7" t="str">
        <x:f>IF(OR($D69="",W$5="",'상세일정'!AM69="제외"),"",IF($D69=$E69,IF(AND($D69&gt;=W$5,$D69&lt;W$5+7),"◆",""),IF(AND($D69&lt;W$5+7,$E69&gt;W$5),"■","")))</x:f>
      </x:c>
      <x:c r="X69" s="7" t="str">
        <x:f>IF(OR($D69="",X$5="",'상세일정'!AM69="제외"),"",IF($D69=$E69,IF(AND($D69&gt;=X$5,$D69&lt;X$5+7),"◆",""),IF(AND($D69&lt;X$5+7,$E69&gt;X$5),"■","")))</x:f>
      </x:c>
      <x:c r="Y69" s="7" t="str">
        <x:f>IF(OR($D69="",Y$5="",'상세일정'!AM69="제외"),"",IF($D69=$E69,IF(AND($D69&gt;=Y$5,$D69&lt;Y$5+7),"◆",""),IF(AND($D69&lt;Y$5+7,$E69&gt;Y$5),"■","")))</x:f>
      </x:c>
      <x:c r="Z69" s="7" t="str">
        <x:f>IF(OR($D69="",Z$5="",'상세일정'!AM69="제외"),"",IF($D69=$E69,IF(AND($D69&gt;=Z$5,$D69&lt;Z$5+7),"◆",""),IF(AND($D69&lt;Z$5+7,$E69&gt;Z$5),"■","")))</x:f>
      </x:c>
      <x:c r="AA69" s="7" t="str">
        <x:f>IF(OR($D69="",AA$5="",'상세일정'!AM69="제외"),"",IF($D69=$E69,IF(AND($D69&gt;=AA$5,$D69&lt;AA$5+7),"◆",""),IF(AND($D69&lt;AA$5+7,$E69&gt;AA$5),"■","")))</x:f>
      </x:c>
      <x:c r="AB69" s="7" t="str">
        <x:f>IF(OR($D69="",AB$5="",'상세일정'!AM69="제외"),"",IF($D69=$E69,IF(AND($D69&gt;=AB$5,$D69&lt;AB$5+7),"◆",""),IF(AND($D69&lt;AB$5+7,$E69&gt;AB$5),"■","")))</x:f>
      </x:c>
      <x:c r="AC69" s="7" t="str">
        <x:f>IF(OR($D69="",AC$5="",'상세일정'!AM69="제외"),"",IF($D69=$E69,IF(AND($D69&gt;=AC$5,$D69&lt;AC$5+7),"◆",""),IF(AND($D69&lt;AC$5+7,$E69&gt;AC$5),"■","")))</x:f>
      </x:c>
      <x:c r="AD69" s="7" t="str">
        <x:f>IF(OR($D69="",AD$5="",'상세일정'!AM69="제외"),"",IF($D69=$E69,IF(AND($D69&gt;=AD$5,$D69&lt;AD$5+7),"◆",""),IF(AND($D69&lt;AD$5+7,$E69&gt;AD$5),"■","")))</x:f>
      </x:c>
      <x:c r="AE69" s="7" t="str">
        <x:f>IF(OR($D69="",AE$5="",'상세일정'!AM69="제외"),"",IF($D69=$E69,IF(AND($D69&gt;=AE$5,$D69&lt;AE$5+7),"◆",""),IF(AND($D69&lt;AE$5+7,$E69&gt;AE$5),"■","")))</x:f>
      </x:c>
      <x:c r="AF69" s="7" t="str">
        <x:f>IF(OR($D69="",AF$5="",'상세일정'!AM69="제외"),"",IF($D69=$E69,IF(AND($D69&gt;=AF$5,$D69&lt;AF$5+7),"◆",""),IF(AND($D69&lt;AF$5+7,$E69&gt;AF$5),"■","")))</x:f>
      </x:c>
      <x:c r="AG69" s="7" t="str">
        <x:f>IF(OR($D69="",AG$5="",'상세일정'!AM69="제외"),"",IF($D69=$E69,IF(AND($D69&gt;=AG$5,$D69&lt;AG$5+7),"◆",""),IF(AND($D69&lt;AG$5+7,$E69&gt;AG$5),"■","")))</x:f>
      </x:c>
      <x:c r="AH69" s="7" t="str">
        <x:f>IF(OR($D69="",AH$5="",'상세일정'!AM69="제외"),"",IF($D69=$E69,IF(AND($D69&gt;=AH$5,$D69&lt;AH$5+7),"◆",""),IF(AND($D69&lt;AH$5+7,$E69&gt;AH$5),"■","")))</x:f>
      </x:c>
      <x:c r="AI69" s="7" t="str">
        <x:f>IF(OR($D69="",AI$5="",'상세일정'!AM69="제외"),"",IF($D69=$E69,IF(AND($D69&gt;=AI$5,$D69&lt;AI$5+7),"◆",""),IF(AND($D69&lt;AI$5+7,$E69&gt;AI$5),"■","")))</x:f>
      </x:c>
      <x:c r="AJ69" s="7" t="str">
        <x:f>IF(OR($D69="",AJ$5="",'상세일정'!AM69="제외"),"",IF($D69=$E69,IF(AND($D69&gt;=AJ$5,$D69&lt;AJ$5+7),"◆",""),IF(AND($D69&lt;AJ$5+7,$E69&gt;AJ$5),"■","")))</x:f>
      </x:c>
      <x:c r="AK69" s="7" t="str">
        <x:f>IF(OR($D69="",AK$5="",'상세일정'!AM69="제외"),"",IF($D69=$E69,IF(AND($D69&gt;=AK$5,$D69&lt;AK$5+7),"◆",""),IF(AND($D69&lt;AK$5+7,$E69&gt;AK$5),"■","")))</x:f>
      </x:c>
      <x:c r="AL69" s="7" t="str">
        <x:f>IF(OR($D69="",AL$5="",'상세일정'!AM69="제외"),"",IF($D69=$E69,IF(AND($D69&gt;=AL$5,$D69&lt;AL$5+7),"◆",""),IF(AND($D69&lt;AL$5+7,$E69&gt;AL$5),"■","")))</x:f>
      </x:c>
      <x:c r="AM69" s="7" t="str">
        <x:f>IF(OR($D69="",AM$5="",'상세일정'!AM69="제외"),"",IF($D69=$E69,IF(AND($D69&gt;=AM$5,$D69&lt;AM$5+7),"◆",""),IF(AND($D69&lt;AM$5+7,$E69&gt;AM$5),"■","")))</x:f>
      </x:c>
      <x:c r="AN69" s="7" t="str">
        <x:f>IF(OR($D69="",AN$5="",'상세일정'!AM69="제외"),"",IF($D69=$E69,IF(AND($D69&gt;=AN$5,$D69&lt;AN$5+7),"◆",""),IF(AND($D69&lt;AN$5+7,$E69&gt;AN$5),"■","")))</x:f>
      </x:c>
      <x:c r="AO69" s="7" t="str">
        <x:f>IF(OR($D69="",AO$5="",'상세일정'!AM69="제외"),"",IF($D69=$E69,IF(AND($D69&gt;=AO$5,$D69&lt;AO$5+7),"◆",""),IF(AND($D69&lt;AO$5+7,$E69&gt;AO$5),"■","")))</x:f>
      </x:c>
      <x:c r="AP69" s="7" t="str">
        <x:f>IF(OR($D69="",AP$5="",'상세일정'!AM69="제외"),"",IF($D69=$E69,IF(AND($D69&gt;=AP$5,$D69&lt;AP$5+7),"◆",""),IF(AND($D69&lt;AP$5+7,$E69&gt;AP$5),"■","")))</x:f>
      </x:c>
      <x:c r="AQ69" s="7" t="str">
        <x:f>IF(OR($D69="",AQ$5="",'상세일정'!AM69="제외"),"",IF($D69=$E69,IF(AND($D69&gt;=AQ$5,$D69&lt;AQ$5+7),"◆",""),IF(AND($D69&lt;AQ$5+7,$E69&gt;AQ$5),"■","")))</x:f>
      </x:c>
      <x:c r="AR69" s="7" t="str">
        <x:f>IF(OR($D69="",AR$5="",'상세일정'!AM69="제외"),"",IF($D69=$E69,IF(AND($D69&gt;=AR$5,$D69&lt;AR$5+7),"◆",""),IF(AND($D69&lt;AR$5+7,$E69&gt;AR$5),"■","")))</x:f>
      </x:c>
      <x:c r="AS69" s="7" t="str">
        <x:f>IF(OR($D69="",AS$5="",'상세일정'!AM69="제외"),"",IF($D69=$E69,IF(AND($D69&gt;=AS$5,$D69&lt;AS$5+7),"◆",""),IF(AND($D69&lt;AS$5+7,$E69&gt;AS$5),"■","")))</x:f>
      </x:c>
      <x:c r="AT69" s="7" t="str">
        <x:f>IF(OR($D69="",AT$5="",'상세일정'!AM69="제외"),"",IF($D69=$E69,IF(AND($D69&gt;=AT$5,$D69&lt;AT$5+7),"◆",""),IF(AND($D69&lt;AT$5+7,$E69&gt;AT$5),"■","")))</x:f>
      </x:c>
      <x:c r="AU69" s="7" t="str">
        <x:f>IF(OR($D69="",AU$5="",'상세일정'!AM69="제외"),"",IF($D69=$E69,IF(AND($D69&gt;=AU$5,$D69&lt;AU$5+7),"◆",""),IF(AND($D69&lt;AU$5+7,$E69&gt;AU$5),"■","")))</x:f>
      </x:c>
      <x:c r="AV69" s="7" t="str">
        <x:f>IF(OR($D69="",AV$5="",'상세일정'!AM69="제외"),"",IF($D69=$E69,IF(AND($D69&gt;=AV$5,$D69&lt;AV$5+7),"◆",""),IF(AND($D69&lt;AV$5+7,$E69&gt;AV$5),"■","")))</x:f>
      </x:c>
      <x:c r="AW69" s="7" t="str">
        <x:f>IF(OR($D69="",AW$5="",'상세일정'!AM69="제외"),"",IF($D69=$E69,IF(AND($D69&gt;=AW$5,$D69&lt;AW$5+7),"◆",""),IF(AND($D69&lt;AW$5+7,$E69&gt;AW$5),"■","")))</x:f>
      </x:c>
      <x:c r="AX69" s="7" t="str">
        <x:f>IF(OR($D69="",AX$5="",'상세일정'!AM69="제외"),"",IF($D69=$E69,IF(AND($D69&gt;=AX$5,$D69&lt;AX$5+7),"◆",""),IF(AND($D69&lt;AX$5+7,$E69&gt;AX$5),"■","")))</x:f>
      </x:c>
      <x:c r="AY69" s="7" t="str">
        <x:f>IF(OR($D69="",AY$5="",'상세일정'!AM69="제외"),"",IF($D69=$E69,IF(AND($D69&gt;=AY$5,$D69&lt;AY$5+7),"◆",""),IF(AND($D69&lt;AY$5+7,$E69&gt;AY$5),"■","")))</x:f>
      </x:c>
      <x:c r="AZ69" s="7" t="str">
        <x:f>IF(OR($D69="",AZ$5="",'상세일정'!AM69="제외"),"",IF($D69=$E69,IF(AND($D69&gt;=AZ$5,$D69&lt;AZ$5+7),"◆",""),IF(AND($D69&lt;AZ$5+7,$E69&gt;AZ$5),"■","")))</x:f>
      </x:c>
      <x:c r="BA69" s="7" t="str">
        <x:f>IF(OR($D69="",BA$5="",'상세일정'!AM69="제외"),"",IF($D69=$E69,IF(AND($D69&gt;=BA$5,$D69&lt;BA$5+7),"◆",""),IF(AND($D69&lt;BA$5+7,$E69&gt;BA$5),"■","")))</x:f>
      </x:c>
      <x:c r="BB69" s="7" t="str">
        <x:f>IF(OR($D69="",BB$5="",'상세일정'!AM69="제외"),"",IF($D69=$E69,IF(AND($D69&gt;=BB$5,$D69&lt;BB$5+7),"◆",""),IF(AND($D69&lt;BB$5+7,$E69&gt;BB$5),"■","")))</x:f>
      </x:c>
      <x:c r="BC69" s="7" t="str">
        <x:f>IF(OR($D69="",BC$5="",'상세일정'!AM69="제외"),"",IF($D69=$E69,IF(AND($D69&gt;=BC$5,$D69&lt;BC$5+7),"◆",""),IF(AND($D69&lt;BC$5+7,$E69&gt;BC$5),"■","")))</x:f>
      </x:c>
      <x:c r="BD69" s="7" t="str">
        <x:f>IF(OR($D69="",BD$5="",'상세일정'!AM69="제외"),"",IF($D69=$E69,IF(AND($D69&gt;=BD$5,$D69&lt;BD$5+7),"◆",""),IF(AND($D69&lt;BD$5+7,$E69&gt;BD$5),"■","")))</x:f>
      </x:c>
      <x:c r="BE69" s="7" t="str">
        <x:f>IF(OR($D69="",BE$5="",'상세일정'!AM69="제외"),"",IF($D69=$E69,IF(AND($D69&gt;=BE$5,$D69&lt;BE$5+7),"◆",""),IF(AND($D69&lt;BE$5+7,$E69&gt;BE$5),"■","")))</x:f>
      </x:c>
      <x:c r="BF69" s="7" t="str">
        <x:f>IF(OR($D69="",BF$5="",'상세일정'!AM69="제외"),"",IF($D69=$E69,IF(AND($D69&gt;=BF$5,$D69&lt;BF$5+7),"◆",""),IF(AND($D69&lt;BF$5+7,$E69&gt;BF$5),"■","")))</x:f>
      </x:c>
      <x:c r="BG69" s="7" t="str">
        <x:f>IF(OR($D69="",BG$5="",'상세일정'!AM69="제외"),"",IF($D69=$E69,IF(AND($D69&gt;=BG$5,$D69&lt;BG$5+7),"◆",""),IF(AND($D69&lt;BG$5+7,$E69&gt;BG$5),"■","")))</x:f>
      </x:c>
      <x:c r="BH69" s="7" t="str">
        <x:f>IF(OR($D69="",BH$5="",'상세일정'!AM69="제외"),"",IF($D69=$E69,IF(AND($D69&gt;=BH$5,$D69&lt;BH$5+7),"◆",""),IF(AND($D69&lt;BH$5+7,$E69&gt;BH$5),"■","")))</x:f>
      </x:c>
      <x:c r="BI69" s="7" t="str">
        <x:f>IF(OR($D69="",BI$5="",'상세일정'!AM69="제외"),"",IF($D69=$E69,IF(AND($D69&gt;=BI$5,$D69&lt;BI$5+7),"◆",""),IF(AND($D69&lt;BI$5+7,$E69&gt;BI$5),"■","")))</x:f>
      </x:c>
      <x:c r="BJ69" s="7" t="str">
        <x:f>IF(OR($D69="",BJ$5="",'상세일정'!AM69="제외"),"",IF($D69=$E69,IF(AND($D69&gt;=BJ$5,$D69&lt;BJ$5+7),"◆",""),IF(AND($D69&lt;BJ$5+7,$E69&gt;BJ$5),"■","")))</x:f>
      </x:c>
      <x:c r="BK69" s="7" t="str">
        <x:f>IF(OR($D69="",BK$5="",'상세일정'!AM69="제외"),"",IF($D69=$E69,IF(AND($D69&gt;=BK$5,$D69&lt;BK$5+7),"◆",""),IF(AND($D69&lt;BK$5+7,$E69&gt;BK$5),"■","")))</x:f>
      </x:c>
      <x:c r="BL69" s="7" t="str">
        <x:f>IF(OR($D69="",BL$5="",'상세일정'!AM69="제외"),"",IF($D69=$E69,IF(AND($D69&gt;=BL$5,$D69&lt;BL$5+7),"◆",""),IF(AND($D69&lt;BL$5+7,$E69&gt;BL$5),"■","")))</x:f>
      </x:c>
      <x:c r="BM69" s="7" t="str">
        <x:f>IF(OR($D69="",BM$5="",'상세일정'!AM69="제외"),"",IF($D69=$E69,IF(AND($D69&gt;=BM$5,$D69&lt;BM$5+7),"◆",""),IF(AND($D69&lt;BM$5+7,$E69&gt;BM$5),"■","")))</x:f>
      </x:c>
      <x:c r="BN69" s="7" t="str">
        <x:f>IF(OR($D69="",BN$5="",'상세일정'!AM69="제외"),"",IF($D69=$E69,IF(AND($D69&gt;=BN$5,$D69&lt;BN$5+7),"◆",""),IF(AND($D69&lt;BN$5+7,$E69&gt;BN$5),"■","")))</x:f>
      </x:c>
      <x:c r="BO69" s="7" t="str">
        <x:f>IF(OR($D69="",BO$5="",'상세일정'!AM69="제외"),"",IF($D69=$E69,IF(AND($D69&gt;=BO$5,$D69&lt;BO$5+7),"◆",""),IF(AND($D69&lt;BO$5+7,$E69&gt;BO$5),"■","")))</x:f>
      </x:c>
      <x:c r="BP69" s="7" t="str">
        <x:f>IF(OR($D69="",BP$5="",'상세일정'!AM69="제외"),"",IF($D69=$E69,IF(AND($D69&gt;=BP$5,$D69&lt;BP$5+7),"◆",""),IF(AND($D69&lt;BP$5+7,$E69&gt;BP$5),"■","")))</x:f>
      </x:c>
      <x:c r="BQ69" s="7" t="str">
        <x:f>IF(OR($D69="",BQ$5="",'상세일정'!AM69="제외"),"",IF($D69=$E69,IF(AND($D69&gt;=BQ$5,$D69&lt;BQ$5+7),"◆",""),IF(AND($D69&lt;BQ$5+7,$E69&gt;BQ$5),"■","")))</x:f>
      </x:c>
      <x:c r="BR69" s="7" t="str">
        <x:f>IF(OR($D69="",BR$5="",'상세일정'!AM69="제외"),"",IF($D69=$E69,IF(AND($D69&gt;=BR$5,$D69&lt;BR$5+7),"◆",""),IF(AND($D69&lt;BR$5+7,$E69&gt;BR$5),"■","")))</x:f>
      </x:c>
      <x:c r="BS69" s="7" t="str">
        <x:f>IF(OR($D69="",BS$5="",'상세일정'!AM69="제외"),"",IF($D69=$E69,IF(AND($D69&gt;=BS$5,$D69&lt;BS$5+7),"◆",""),IF(AND($D69&lt;BS$5+7,$E69&gt;BS$5),"■","")))</x:f>
      </x:c>
      <x:c r="BT69" s="7" t="str">
        <x:f>IF(OR($D69="",BT$5="",'상세일정'!AM69="제외"),"",IF($D69=$E69,IF(AND($D69&gt;=BT$5,$D69&lt;BT$5+7),"◆",""),IF(AND($D69&lt;BT$5+7,$E69&gt;BT$5),"■","")))</x:f>
      </x:c>
      <x:c r="BU69" s="7" t="str">
        <x:f>IF(OR($D69="",BU$5="",'상세일정'!AM69="제외"),"",IF($D69=$E69,IF(AND($D69&gt;=BU$5,$D69&lt;BU$5+7),"◆",""),IF(AND($D69&lt;BU$5+7,$E69&gt;BU$5),"■","")))</x:f>
      </x:c>
      <x:c r="BV69" s="7" t="str">
        <x:f>IF(OR($D69="",BV$5="",'상세일정'!AM69="제외"),"",IF($D69=$E69,IF(AND($D69&gt;=BV$5,$D69&lt;BV$5+7),"◆",""),IF(AND($D69&lt;BV$5+7,$E69&gt;BV$5),"■","")))</x:f>
      </x:c>
      <x:c r="BW69" s="7" t="str">
        <x:f>IF(OR($D69="",BW$5="",'상세일정'!AM69="제외"),"",IF($D69=$E69,IF(AND($D69&gt;=BW$5,$D69&lt;BW$5+7),"◆",""),IF(AND($D69&lt;BW$5+7,$E69&gt;BW$5),"■","")))</x:f>
      </x:c>
      <x:c r="BX69" s="7" t="str">
        <x:f>IF(OR($D69="",BX$5="",'상세일정'!AM69="제외"),"",IF($D69=$E69,IF(AND($D69&gt;=BX$5,$D69&lt;BX$5+7),"◆",""),IF(AND($D69&lt;BX$5+7,$E69&gt;BX$5),"■","")))</x:f>
      </x:c>
      <x:c r="BY69" s="7" t="str">
        <x:f>IF(OR($D69="",BY$5="",'상세일정'!AM69="제외"),"",IF($D69=$E69,IF(AND($D69&gt;=BY$5,$D69&lt;BY$5+7),"◆",""),IF(AND($D69&lt;BY$5+7,$E69&gt;BY$5),"■","")))</x:f>
      </x:c>
      <x:c r="BZ69" s="7" t="str">
        <x:f>IF(OR($D69="",BZ$5="",'상세일정'!AM69="제외"),"",IF($D69=$E69,IF(AND($D69&gt;=BZ$5,$D69&lt;BZ$5+7),"◆",""),IF(AND($D69&lt;BZ$5+7,$E69&gt;BZ$5),"■","")))</x:f>
      </x:c>
      <x:c r="CA69" s="7" t="str">
        <x:f>IF(OR($D69="",CA$5="",'상세일정'!AM69="제외"),"",IF($D69=$E69,IF(AND($D69&gt;=CA$5,$D69&lt;CA$5+7),"◆",""),IF(AND($D69&lt;CA$5+7,$E69&gt;CA$5),"■","")))</x:f>
      </x:c>
      <x:c r="CB69" s="7" t="str">
        <x:f>IF(OR($D69="",CB$5="",'상세일정'!AM69="제외"),"",IF($D69=$E69,IF(AND($D69&gt;=CB$5,$D69&lt;CB$5+7),"◆",""),IF(AND($D69&lt;CB$5+7,$E69&gt;CB$5),"■","")))</x:f>
      </x:c>
      <x:c r="CC69" s="7" t="str">
        <x:f>IF(OR($D69="",CC$5="",'상세일정'!AM69="제외"),"",IF($D69=$E69,IF(AND($D69&gt;=CC$5,$D69&lt;CC$5+7),"◆",""),IF(AND($D69&lt;CC$5+7,$E69&gt;CC$5),"■","")))</x:f>
      </x:c>
      <x:c r="CD69" s="7" t="str">
        <x:f>IF(OR($D69="",CD$5="",'상세일정'!AM69="제외"),"",IF($D69=$E69,IF(AND($D69&gt;=CD$5,$D69&lt;CD$5+7),"◆",""),IF(AND($D69&lt;CD$5+7,$E69&gt;CD$5),"■","")))</x:f>
      </x:c>
      <x:c r="CE69" s="7" t="str">
        <x:f>IF(OR($D69="",CE$5="",'상세일정'!AM69="제외"),"",IF($D69=$E69,IF(AND($D69&gt;=CE$5,$D69&lt;CE$5+7),"◆",""),IF(AND($D69&lt;CE$5+7,$E69&gt;CE$5),"■","")))</x:f>
      </x:c>
      <x:c r="CF69" s="7" t="str">
        <x:f>IF(OR($D69="",CF$5="",'상세일정'!AM69="제외"),"",IF($D69=$E69,IF(AND($D69&gt;=CF$5,$D69&lt;CF$5+7),"◆",""),IF(AND($D69&lt;CF$5+7,$E69&gt;CF$5),"■","")))</x:f>
      </x:c>
      <x:c r="CG69" s="7" t="str">
        <x:f>IF(OR($D69="",CG$5="",'상세일정'!AM69="제외"),"",IF($D69=$E69,IF(AND($D69&gt;=CG$5,$D69&lt;CG$5+7),"◆",""),IF(AND($D69&lt;CG$5+7,$E69&gt;CG$5),"■","")))</x:f>
      </x:c>
      <x:c r="CH69" s="7" t="str">
        <x:f>IF(OR($D69="",CH$5="",'상세일정'!AM69="제외"),"",IF($D69=$E69,IF(AND($D69&gt;=CH$5,$D69&lt;CH$5+7),"◆",""),IF(AND($D69&lt;CH$5+7,$E69&gt;CH$5),"■","")))</x:f>
      </x:c>
      <x:c r="CI69" s="7" t="str">
        <x:f>IF(OR($D69="",CI$5="",'상세일정'!AM69="제외"),"",IF($D69=$E69,IF(AND($D69&gt;=CI$5,$D69&lt;CI$5+7),"◆",""),IF(AND($D69&lt;CI$5+7,$E69&gt;CI$5),"■","")))</x:f>
      </x:c>
      <x:c r="CJ69" s="7" t="str">
        <x:f>IF(OR($D69="",CJ$5="",'상세일정'!AM69="제외"),"",IF($D69=$E69,IF(AND($D69&gt;=CJ$5,$D69&lt;CJ$5+7),"◆",""),IF(AND($D69&lt;CJ$5+7,$E69&gt;CJ$5),"■","")))</x:f>
      </x:c>
      <x:c r="CK69" s="7" t="str">
        <x:f>IF(OR($D69="",CK$5="",'상세일정'!AM69="제외"),"",IF($D69=$E69,IF(AND($D69&gt;=CK$5,$D69&lt;CK$5+7),"◆",""),IF(AND($D69&lt;CK$5+7,$E69&gt;CK$5),"■","")))</x:f>
      </x:c>
      <x:c r="CL69" s="7" t="str">
        <x:f>IF(OR($D69="",CL$5="",'상세일정'!AM69="제외"),"",IF($D69=$E69,IF(AND($D69&gt;=CL$5,$D69&lt;CL$5+7),"◆",""),IF(AND($D69&lt;CL$5+7,$E69&gt;CL$5),"■","")))</x:f>
      </x:c>
      <x:c r="CM69" s="7" t="str">
        <x:f>IF(OR($D69="",CM$5="",'상세일정'!AM69="제외"),"",IF($D69=$E69,IF(AND($D69&gt;=CM$5,$D69&lt;CM$5+7),"◆",""),IF(AND($D69&lt;CM$5+7,$E69&gt;CM$5),"■","")))</x:f>
      </x:c>
      <x:c r="CN69" s="7" t="str">
        <x:f>IF(OR($D69="",CN$5="",'상세일정'!AM69="제외"),"",IF($D69=$E69,IF(AND($D69&gt;=CN$5,$D69&lt;CN$5+7),"◆",""),IF(AND($D69&lt;CN$5+7,$E69&gt;CN$5),"■","")))</x:f>
      </x:c>
      <x:c r="CO69" s="7" t="str">
        <x:f>IF(OR($D69="",CO$5="",'상세일정'!AM69="제외"),"",IF($D69=$E69,IF(AND($D69&gt;=CO$5,$D69&lt;CO$5+7),"◆",""),IF(AND($D69&lt;CO$5+7,$E69&gt;CO$5),"■","")))</x:f>
      </x:c>
      <x:c r="CP69" s="7" t="str">
        <x:f>IF(OR($D69="",CP$5="",'상세일정'!AM69="제외"),"",IF($D69=$E69,IF(AND($D69&gt;=CP$5,$D69&lt;CP$5+7),"◆",""),IF(AND($D69&lt;CP$5+7,$E69&gt;CP$5),"■","")))</x:f>
      </x:c>
      <x:c r="CQ69" s="7" t="str">
        <x:f>IF(OR($D69="",CQ$5="",'상세일정'!AM69="제외"),"",IF($D69=$E69,IF(AND($D69&gt;=CQ$5,$D69&lt;CQ$5+7),"◆",""),IF(AND($D69&lt;CQ$5+7,$E69&gt;CQ$5),"■","")))</x:f>
      </x:c>
      <x:c r="CR69" s="7" t="str">
        <x:f>IF(OR($D69="",CR$5="",'상세일정'!AM69="제외"),"",IF($D69=$E69,IF(AND($D69&gt;=CR$5,$D69&lt;CR$5+7),"◆",""),IF(AND($D69&lt;CR$5+7,$E69&gt;CR$5),"■","")))</x:f>
      </x:c>
      <x:c r="CS69" s="7" t="str">
        <x:f>IF(OR($D69="",CS$5="",'상세일정'!AM69="제외"),"",IF($D69=$E69,IF(AND($D69&gt;=CS$5,$D69&lt;CS$5+7),"◆",""),IF(AND($D69&lt;CS$5+7,$E69&gt;CS$5),"■","")))</x:f>
      </x:c>
      <x:c r="CT69" s="7" t="str">
        <x:f>IF(OR($D69="",CT$5="",'상세일정'!AM69="제외"),"",IF($D69=$E69,IF(AND($D69&gt;=CT$5,$D69&lt;CT$5+7),"◆",""),IF(AND($D69&lt;CT$5+7,$E69&gt;CT$5),"■","")))</x:f>
      </x:c>
      <x:c r="CU69" s="7" t="str">
        <x:f>IF(OR($D69="",CU$5="",'상세일정'!AM69="제외"),"",IF($D69=$E69,IF(AND($D69&gt;=CU$5,$D69&lt;CU$5+7),"◆",""),IF(AND($D69&lt;CU$5+7,$E69&gt;CU$5),"■","")))</x:f>
      </x:c>
      <x:c r="CV69" s="7" t="str">
        <x:f>IF(OR($D69="",CV$5="",'상세일정'!AM69="제외"),"",IF($D69=$E69,IF(AND($D69&gt;=CV$5,$D69&lt;CV$5+7),"◆",""),IF(AND($D69&lt;CV$5+7,$E69&gt;CV$5),"■","")))</x:f>
      </x:c>
      <x:c r="CW69" s="7" t="str">
        <x:f>IF(OR($D69="",CW$5="",'상세일정'!AM69="제외"),"",IF($D69=$E69,IF(AND($D69&gt;=CW$5,$D69&lt;CW$5+7),"◆",""),IF(AND($D69&lt;CW$5+7,$E69&gt;CW$5),"■","")))</x:f>
      </x:c>
      <x:c r="CX69" s="7" t="str">
        <x:f>IF(OR($D69="",CX$5="",'상세일정'!AM69="제외"),"",IF($D69=$E69,IF(AND($D69&gt;=CX$5,$D69&lt;CX$5+7),"◆",""),IF(AND($D69&lt;CX$5+7,$E69&gt;CX$5),"■","")))</x:f>
      </x:c>
      <x:c r="CY69" s="7" t="str">
        <x:f>IF(OR($D69="",CY$5="",'상세일정'!AM69="제외"),"",IF($D69=$E69,IF(AND($D69&gt;=CY$5,$D69&lt;CY$5+7),"◆",""),IF(AND($D69&lt;CY$5+7,$E69&gt;CY$5),"■","")))</x:f>
      </x:c>
      <x:c r="CZ69" s="7" t="str">
        <x:f>IF(OR($D69="",CZ$5="",'상세일정'!AM69="제외"),"",IF($D69=$E69,IF(AND($D69&gt;=CZ$5,$D69&lt;CZ$5+7),"◆",""),IF(AND($D69&lt;CZ$5+7,$E69&gt;CZ$5),"■","")))</x:f>
      </x:c>
      <x:c r="DA69" s="7" t="str">
        <x:f>IF(OR($D69="",DA$5="",'상세일정'!AM69="제외"),"",IF($D69=$E69,IF(AND($D69&gt;=DA$5,$D69&lt;DA$5+7),"◆",""),IF(AND($D69&lt;DA$5+7,$E69&gt;DA$5),"■","")))</x:f>
      </x:c>
      <x:c r="DB69" s="7" t="str">
        <x:f>IF(OR($D69="",DB$5="",'상세일정'!AM69="제외"),"",IF($D69=$E69,IF(AND($D69&gt;=DB$5,$D69&lt;DB$5+7),"◆",""),IF(AND($D69&lt;DB$5+7,$E69&gt;DB$5),"■","")))</x:f>
      </x:c>
      <x:c r="DC69" s="7" t="str">
        <x:f>IF(OR($D69="",DC$5="",'상세일정'!AM69="제외"),"",IF($D69=$E69,IF(AND($D69&gt;=DC$5,$D69&lt;DC$5+7),"◆",""),IF(AND($D69&lt;DC$5+7,$E69&gt;DC$5),"■","")))</x:f>
      </x:c>
      <x:c r="DD69" s="7" t="str">
        <x:f>IF(OR($D69="",DD$5="",'상세일정'!AM69="제외"),"",IF($D69=$E69,IF(AND($D69&gt;=DD$5,$D69&lt;DD$5+7),"◆",""),IF(AND($D69&lt;DD$5+7,$E69&gt;DD$5),"■","")))</x:f>
      </x:c>
      <x:c r="DE69" s="7" t="str">
        <x:f>IF(OR($D69="",DE$5="",'상세일정'!AM69="제외"),"",IF($D69=$E69,IF(AND($D69&gt;=DE$5,$D69&lt;DE$5+7),"◆",""),IF(AND($D69&lt;DE$5+7,$E69&gt;DE$5),"■","")))</x:f>
      </x:c>
    </x:row>
    <x:row r="70" ht="34" customHeight="1">
      <x:c r="A70" s="7" t="str">
        <x:v>HZ01</x:v>
      </x:c>
      <x:c r="B70" s="7" t="str">
        <x:v>11 위험성평가</x:v>
      </x:c>
      <x:c r="C70" s="7" t="str">
        <x:v>위험성평가 범위·검토팀·설계기준 확정</x:v>
      </x:c>
      <x:c r="D70" s="10" t="str">
        <x:f>'상세일정'!AJ70</x:f>
      </x:c>
      <x:c r="E70" s="10" t="str">
        <x:f>'상세일정'!AK70</x:f>
      </x:c>
      <x:c r="F70" s="7" t="str">
        <x:f>IF(OR($D70="",F$5="",'상세일정'!AM70="제외"),"",IF($D70=$E70,IF(AND($D70&gt;=F$5,$D70&lt;F$5+7),"◆",""),IF(AND($D70&lt;F$5+7,$E70&gt;F$5),"■","")))</x:f>
      </x:c>
      <x:c r="G70" s="7" t="str">
        <x:f>IF(OR($D70="",G$5="",'상세일정'!AM70="제외"),"",IF($D70=$E70,IF(AND($D70&gt;=G$5,$D70&lt;G$5+7),"◆",""),IF(AND($D70&lt;G$5+7,$E70&gt;G$5),"■","")))</x:f>
      </x:c>
      <x:c r="H70" s="7" t="str">
        <x:f>IF(OR($D70="",H$5="",'상세일정'!AM70="제외"),"",IF($D70=$E70,IF(AND($D70&gt;=H$5,$D70&lt;H$5+7),"◆",""),IF(AND($D70&lt;H$5+7,$E70&gt;H$5),"■","")))</x:f>
      </x:c>
      <x:c r="I70" s="7" t="str">
        <x:f>IF(OR($D70="",I$5="",'상세일정'!AM70="제외"),"",IF($D70=$E70,IF(AND($D70&gt;=I$5,$D70&lt;I$5+7),"◆",""),IF(AND($D70&lt;I$5+7,$E70&gt;I$5),"■","")))</x:f>
      </x:c>
      <x:c r="J70" s="7" t="str">
        <x:f>IF(OR($D70="",J$5="",'상세일정'!AM70="제외"),"",IF($D70=$E70,IF(AND($D70&gt;=J$5,$D70&lt;J$5+7),"◆",""),IF(AND($D70&lt;J$5+7,$E70&gt;J$5),"■","")))</x:f>
      </x:c>
      <x:c r="K70" s="7" t="str">
        <x:f>IF(OR($D70="",K$5="",'상세일정'!AM70="제외"),"",IF($D70=$E70,IF(AND($D70&gt;=K$5,$D70&lt;K$5+7),"◆",""),IF(AND($D70&lt;K$5+7,$E70&gt;K$5),"■","")))</x:f>
      </x:c>
      <x:c r="L70" s="7" t="str">
        <x:f>IF(OR($D70="",L$5="",'상세일정'!AM70="제외"),"",IF($D70=$E70,IF(AND($D70&gt;=L$5,$D70&lt;L$5+7),"◆",""),IF(AND($D70&lt;L$5+7,$E70&gt;L$5),"■","")))</x:f>
      </x:c>
      <x:c r="M70" s="7" t="str">
        <x:f>IF(OR($D70="",M$5="",'상세일정'!AM70="제외"),"",IF($D70=$E70,IF(AND($D70&gt;=M$5,$D70&lt;M$5+7),"◆",""),IF(AND($D70&lt;M$5+7,$E70&gt;M$5),"■","")))</x:f>
      </x:c>
      <x:c r="N70" s="7" t="str">
        <x:f>IF(OR($D70="",N$5="",'상세일정'!AM70="제외"),"",IF($D70=$E70,IF(AND($D70&gt;=N$5,$D70&lt;N$5+7),"◆",""),IF(AND($D70&lt;N$5+7,$E70&gt;N$5),"■","")))</x:f>
      </x:c>
      <x:c r="O70" s="7" t="str">
        <x:f>IF(OR($D70="",O$5="",'상세일정'!AM70="제외"),"",IF($D70=$E70,IF(AND($D70&gt;=O$5,$D70&lt;O$5+7),"◆",""),IF(AND($D70&lt;O$5+7,$E70&gt;O$5),"■","")))</x:f>
      </x:c>
      <x:c r="P70" s="7" t="str">
        <x:f>IF(OR($D70="",P$5="",'상세일정'!AM70="제외"),"",IF($D70=$E70,IF(AND($D70&gt;=P$5,$D70&lt;P$5+7),"◆",""),IF(AND($D70&lt;P$5+7,$E70&gt;P$5),"■","")))</x:f>
      </x:c>
      <x:c r="Q70" s="7" t="str">
        <x:f>IF(OR($D70="",Q$5="",'상세일정'!AM70="제외"),"",IF($D70=$E70,IF(AND($D70&gt;=Q$5,$D70&lt;Q$5+7),"◆",""),IF(AND($D70&lt;Q$5+7,$E70&gt;Q$5),"■","")))</x:f>
      </x:c>
      <x:c r="R70" s="7" t="str">
        <x:f>IF(OR($D70="",R$5="",'상세일정'!AM70="제외"),"",IF($D70=$E70,IF(AND($D70&gt;=R$5,$D70&lt;R$5+7),"◆",""),IF(AND($D70&lt;R$5+7,$E70&gt;R$5),"■","")))</x:f>
      </x:c>
      <x:c r="S70" s="7" t="str">
        <x:f>IF(OR($D70="",S$5="",'상세일정'!AM70="제외"),"",IF($D70=$E70,IF(AND($D70&gt;=S$5,$D70&lt;S$5+7),"◆",""),IF(AND($D70&lt;S$5+7,$E70&gt;S$5),"■","")))</x:f>
      </x:c>
      <x:c r="T70" s="7" t="str">
        <x:f>IF(OR($D70="",T$5="",'상세일정'!AM70="제외"),"",IF($D70=$E70,IF(AND($D70&gt;=T$5,$D70&lt;T$5+7),"◆",""),IF(AND($D70&lt;T$5+7,$E70&gt;T$5),"■","")))</x:f>
      </x:c>
      <x:c r="U70" s="7" t="str">
        <x:f>IF(OR($D70="",U$5="",'상세일정'!AM70="제외"),"",IF($D70=$E70,IF(AND($D70&gt;=U$5,$D70&lt;U$5+7),"◆",""),IF(AND($D70&lt;U$5+7,$E70&gt;U$5),"■","")))</x:f>
      </x:c>
      <x:c r="V70" s="7" t="str">
        <x:f>IF(OR($D70="",V$5="",'상세일정'!AM70="제외"),"",IF($D70=$E70,IF(AND($D70&gt;=V$5,$D70&lt;V$5+7),"◆",""),IF(AND($D70&lt;V$5+7,$E70&gt;V$5),"■","")))</x:f>
      </x:c>
      <x:c r="W70" s="7" t="str">
        <x:f>IF(OR($D70="",W$5="",'상세일정'!AM70="제외"),"",IF($D70=$E70,IF(AND($D70&gt;=W$5,$D70&lt;W$5+7),"◆",""),IF(AND($D70&lt;W$5+7,$E70&gt;W$5),"■","")))</x:f>
      </x:c>
      <x:c r="X70" s="7" t="str">
        <x:f>IF(OR($D70="",X$5="",'상세일정'!AM70="제외"),"",IF($D70=$E70,IF(AND($D70&gt;=X$5,$D70&lt;X$5+7),"◆",""),IF(AND($D70&lt;X$5+7,$E70&gt;X$5),"■","")))</x:f>
      </x:c>
      <x:c r="Y70" s="7" t="str">
        <x:f>IF(OR($D70="",Y$5="",'상세일정'!AM70="제외"),"",IF($D70=$E70,IF(AND($D70&gt;=Y$5,$D70&lt;Y$5+7),"◆",""),IF(AND($D70&lt;Y$5+7,$E70&gt;Y$5),"■","")))</x:f>
      </x:c>
      <x:c r="Z70" s="7" t="str">
        <x:f>IF(OR($D70="",Z$5="",'상세일정'!AM70="제외"),"",IF($D70=$E70,IF(AND($D70&gt;=Z$5,$D70&lt;Z$5+7),"◆",""),IF(AND($D70&lt;Z$5+7,$E70&gt;Z$5),"■","")))</x:f>
      </x:c>
      <x:c r="AA70" s="7" t="str">
        <x:f>IF(OR($D70="",AA$5="",'상세일정'!AM70="제외"),"",IF($D70=$E70,IF(AND($D70&gt;=AA$5,$D70&lt;AA$5+7),"◆",""),IF(AND($D70&lt;AA$5+7,$E70&gt;AA$5),"■","")))</x:f>
      </x:c>
      <x:c r="AB70" s="7" t="str">
        <x:f>IF(OR($D70="",AB$5="",'상세일정'!AM70="제외"),"",IF($D70=$E70,IF(AND($D70&gt;=AB$5,$D70&lt;AB$5+7),"◆",""),IF(AND($D70&lt;AB$5+7,$E70&gt;AB$5),"■","")))</x:f>
      </x:c>
      <x:c r="AC70" s="7" t="str">
        <x:f>IF(OR($D70="",AC$5="",'상세일정'!AM70="제외"),"",IF($D70=$E70,IF(AND($D70&gt;=AC$5,$D70&lt;AC$5+7),"◆",""),IF(AND($D70&lt;AC$5+7,$E70&gt;AC$5),"■","")))</x:f>
      </x:c>
      <x:c r="AD70" s="7" t="str">
        <x:f>IF(OR($D70="",AD$5="",'상세일정'!AM70="제외"),"",IF($D70=$E70,IF(AND($D70&gt;=AD$5,$D70&lt;AD$5+7),"◆",""),IF(AND($D70&lt;AD$5+7,$E70&gt;AD$5),"■","")))</x:f>
      </x:c>
      <x:c r="AE70" s="7" t="str">
        <x:f>IF(OR($D70="",AE$5="",'상세일정'!AM70="제외"),"",IF($D70=$E70,IF(AND($D70&gt;=AE$5,$D70&lt;AE$5+7),"◆",""),IF(AND($D70&lt;AE$5+7,$E70&gt;AE$5),"■","")))</x:f>
      </x:c>
      <x:c r="AF70" s="7" t="str">
        <x:f>IF(OR($D70="",AF$5="",'상세일정'!AM70="제외"),"",IF($D70=$E70,IF(AND($D70&gt;=AF$5,$D70&lt;AF$5+7),"◆",""),IF(AND($D70&lt;AF$5+7,$E70&gt;AF$5),"■","")))</x:f>
      </x:c>
      <x:c r="AG70" s="7" t="str">
        <x:f>IF(OR($D70="",AG$5="",'상세일정'!AM70="제외"),"",IF($D70=$E70,IF(AND($D70&gt;=AG$5,$D70&lt;AG$5+7),"◆",""),IF(AND($D70&lt;AG$5+7,$E70&gt;AG$5),"■","")))</x:f>
      </x:c>
      <x:c r="AH70" s="7" t="str">
        <x:f>IF(OR($D70="",AH$5="",'상세일정'!AM70="제외"),"",IF($D70=$E70,IF(AND($D70&gt;=AH$5,$D70&lt;AH$5+7),"◆",""),IF(AND($D70&lt;AH$5+7,$E70&gt;AH$5),"■","")))</x:f>
      </x:c>
      <x:c r="AI70" s="7" t="str">
        <x:f>IF(OR($D70="",AI$5="",'상세일정'!AM70="제외"),"",IF($D70=$E70,IF(AND($D70&gt;=AI$5,$D70&lt;AI$5+7),"◆",""),IF(AND($D70&lt;AI$5+7,$E70&gt;AI$5),"■","")))</x:f>
      </x:c>
      <x:c r="AJ70" s="7" t="str">
        <x:f>IF(OR($D70="",AJ$5="",'상세일정'!AM70="제외"),"",IF($D70=$E70,IF(AND($D70&gt;=AJ$5,$D70&lt;AJ$5+7),"◆",""),IF(AND($D70&lt;AJ$5+7,$E70&gt;AJ$5),"■","")))</x:f>
      </x:c>
      <x:c r="AK70" s="7" t="str">
        <x:f>IF(OR($D70="",AK$5="",'상세일정'!AM70="제외"),"",IF($D70=$E70,IF(AND($D70&gt;=AK$5,$D70&lt;AK$5+7),"◆",""),IF(AND($D70&lt;AK$5+7,$E70&gt;AK$5),"■","")))</x:f>
      </x:c>
      <x:c r="AL70" s="7" t="str">
        <x:f>IF(OR($D70="",AL$5="",'상세일정'!AM70="제외"),"",IF($D70=$E70,IF(AND($D70&gt;=AL$5,$D70&lt;AL$5+7),"◆",""),IF(AND($D70&lt;AL$5+7,$E70&gt;AL$5),"■","")))</x:f>
      </x:c>
      <x:c r="AM70" s="7" t="str">
        <x:f>IF(OR($D70="",AM$5="",'상세일정'!AM70="제외"),"",IF($D70=$E70,IF(AND($D70&gt;=AM$5,$D70&lt;AM$5+7),"◆",""),IF(AND($D70&lt;AM$5+7,$E70&gt;AM$5),"■","")))</x:f>
      </x:c>
      <x:c r="AN70" s="7" t="str">
        <x:f>IF(OR($D70="",AN$5="",'상세일정'!AM70="제외"),"",IF($D70=$E70,IF(AND($D70&gt;=AN$5,$D70&lt;AN$5+7),"◆",""),IF(AND($D70&lt;AN$5+7,$E70&gt;AN$5),"■","")))</x:f>
      </x:c>
      <x:c r="AO70" s="7" t="str">
        <x:f>IF(OR($D70="",AO$5="",'상세일정'!AM70="제외"),"",IF($D70=$E70,IF(AND($D70&gt;=AO$5,$D70&lt;AO$5+7),"◆",""),IF(AND($D70&lt;AO$5+7,$E70&gt;AO$5),"■","")))</x:f>
      </x:c>
      <x:c r="AP70" s="7" t="str">
        <x:f>IF(OR($D70="",AP$5="",'상세일정'!AM70="제외"),"",IF($D70=$E70,IF(AND($D70&gt;=AP$5,$D70&lt;AP$5+7),"◆",""),IF(AND($D70&lt;AP$5+7,$E70&gt;AP$5),"■","")))</x:f>
      </x:c>
      <x:c r="AQ70" s="7" t="str">
        <x:f>IF(OR($D70="",AQ$5="",'상세일정'!AM70="제외"),"",IF($D70=$E70,IF(AND($D70&gt;=AQ$5,$D70&lt;AQ$5+7),"◆",""),IF(AND($D70&lt;AQ$5+7,$E70&gt;AQ$5),"■","")))</x:f>
      </x:c>
      <x:c r="AR70" s="7" t="str">
        <x:f>IF(OR($D70="",AR$5="",'상세일정'!AM70="제외"),"",IF($D70=$E70,IF(AND($D70&gt;=AR$5,$D70&lt;AR$5+7),"◆",""),IF(AND($D70&lt;AR$5+7,$E70&gt;AR$5),"■","")))</x:f>
      </x:c>
      <x:c r="AS70" s="7" t="str">
        <x:f>IF(OR($D70="",AS$5="",'상세일정'!AM70="제외"),"",IF($D70=$E70,IF(AND($D70&gt;=AS$5,$D70&lt;AS$5+7),"◆",""),IF(AND($D70&lt;AS$5+7,$E70&gt;AS$5),"■","")))</x:f>
      </x:c>
      <x:c r="AT70" s="7" t="str">
        <x:f>IF(OR($D70="",AT$5="",'상세일정'!AM70="제외"),"",IF($D70=$E70,IF(AND($D70&gt;=AT$5,$D70&lt;AT$5+7),"◆",""),IF(AND($D70&lt;AT$5+7,$E70&gt;AT$5),"■","")))</x:f>
      </x:c>
      <x:c r="AU70" s="7" t="str">
        <x:f>IF(OR($D70="",AU$5="",'상세일정'!AM70="제외"),"",IF($D70=$E70,IF(AND($D70&gt;=AU$5,$D70&lt;AU$5+7),"◆",""),IF(AND($D70&lt;AU$5+7,$E70&gt;AU$5),"■","")))</x:f>
      </x:c>
      <x:c r="AV70" s="7" t="str">
        <x:f>IF(OR($D70="",AV$5="",'상세일정'!AM70="제외"),"",IF($D70=$E70,IF(AND($D70&gt;=AV$5,$D70&lt;AV$5+7),"◆",""),IF(AND($D70&lt;AV$5+7,$E70&gt;AV$5),"■","")))</x:f>
      </x:c>
      <x:c r="AW70" s="7" t="str">
        <x:f>IF(OR($D70="",AW$5="",'상세일정'!AM70="제외"),"",IF($D70=$E70,IF(AND($D70&gt;=AW$5,$D70&lt;AW$5+7),"◆",""),IF(AND($D70&lt;AW$5+7,$E70&gt;AW$5),"■","")))</x:f>
      </x:c>
      <x:c r="AX70" s="7" t="str">
        <x:f>IF(OR($D70="",AX$5="",'상세일정'!AM70="제외"),"",IF($D70=$E70,IF(AND($D70&gt;=AX$5,$D70&lt;AX$5+7),"◆",""),IF(AND($D70&lt;AX$5+7,$E70&gt;AX$5),"■","")))</x:f>
      </x:c>
      <x:c r="AY70" s="7" t="str">
        <x:f>IF(OR($D70="",AY$5="",'상세일정'!AM70="제외"),"",IF($D70=$E70,IF(AND($D70&gt;=AY$5,$D70&lt;AY$5+7),"◆",""),IF(AND($D70&lt;AY$5+7,$E70&gt;AY$5),"■","")))</x:f>
      </x:c>
      <x:c r="AZ70" s="7" t="str">
        <x:f>IF(OR($D70="",AZ$5="",'상세일정'!AM70="제외"),"",IF($D70=$E70,IF(AND($D70&gt;=AZ$5,$D70&lt;AZ$5+7),"◆",""),IF(AND($D70&lt;AZ$5+7,$E70&gt;AZ$5),"■","")))</x:f>
      </x:c>
      <x:c r="BA70" s="7" t="str">
        <x:f>IF(OR($D70="",BA$5="",'상세일정'!AM70="제외"),"",IF($D70=$E70,IF(AND($D70&gt;=BA$5,$D70&lt;BA$5+7),"◆",""),IF(AND($D70&lt;BA$5+7,$E70&gt;BA$5),"■","")))</x:f>
      </x:c>
      <x:c r="BB70" s="7" t="str">
        <x:f>IF(OR($D70="",BB$5="",'상세일정'!AM70="제외"),"",IF($D70=$E70,IF(AND($D70&gt;=BB$5,$D70&lt;BB$5+7),"◆",""),IF(AND($D70&lt;BB$5+7,$E70&gt;BB$5),"■","")))</x:f>
      </x:c>
      <x:c r="BC70" s="7" t="str">
        <x:f>IF(OR($D70="",BC$5="",'상세일정'!AM70="제외"),"",IF($D70=$E70,IF(AND($D70&gt;=BC$5,$D70&lt;BC$5+7),"◆",""),IF(AND($D70&lt;BC$5+7,$E70&gt;BC$5),"■","")))</x:f>
      </x:c>
      <x:c r="BD70" s="7" t="str">
        <x:f>IF(OR($D70="",BD$5="",'상세일정'!AM70="제외"),"",IF($D70=$E70,IF(AND($D70&gt;=BD$5,$D70&lt;BD$5+7),"◆",""),IF(AND($D70&lt;BD$5+7,$E70&gt;BD$5),"■","")))</x:f>
      </x:c>
      <x:c r="BE70" s="7" t="str">
        <x:f>IF(OR($D70="",BE$5="",'상세일정'!AM70="제외"),"",IF($D70=$E70,IF(AND($D70&gt;=BE$5,$D70&lt;BE$5+7),"◆",""),IF(AND($D70&lt;BE$5+7,$E70&gt;BE$5),"■","")))</x:f>
      </x:c>
      <x:c r="BF70" s="7" t="str">
        <x:f>IF(OR($D70="",BF$5="",'상세일정'!AM70="제외"),"",IF($D70=$E70,IF(AND($D70&gt;=BF$5,$D70&lt;BF$5+7),"◆",""),IF(AND($D70&lt;BF$5+7,$E70&gt;BF$5),"■","")))</x:f>
      </x:c>
      <x:c r="BG70" s="7" t="str">
        <x:f>IF(OR($D70="",BG$5="",'상세일정'!AM70="제외"),"",IF($D70=$E70,IF(AND($D70&gt;=BG$5,$D70&lt;BG$5+7),"◆",""),IF(AND($D70&lt;BG$5+7,$E70&gt;BG$5),"■","")))</x:f>
      </x:c>
      <x:c r="BH70" s="7" t="str">
        <x:f>IF(OR($D70="",BH$5="",'상세일정'!AM70="제외"),"",IF($D70=$E70,IF(AND($D70&gt;=BH$5,$D70&lt;BH$5+7),"◆",""),IF(AND($D70&lt;BH$5+7,$E70&gt;BH$5),"■","")))</x:f>
      </x:c>
      <x:c r="BI70" s="7" t="str">
        <x:f>IF(OR($D70="",BI$5="",'상세일정'!AM70="제외"),"",IF($D70=$E70,IF(AND($D70&gt;=BI$5,$D70&lt;BI$5+7),"◆",""),IF(AND($D70&lt;BI$5+7,$E70&gt;BI$5),"■","")))</x:f>
      </x:c>
      <x:c r="BJ70" s="7" t="str">
        <x:f>IF(OR($D70="",BJ$5="",'상세일정'!AM70="제외"),"",IF($D70=$E70,IF(AND($D70&gt;=BJ$5,$D70&lt;BJ$5+7),"◆",""),IF(AND($D70&lt;BJ$5+7,$E70&gt;BJ$5),"■","")))</x:f>
      </x:c>
      <x:c r="BK70" s="7" t="str">
        <x:f>IF(OR($D70="",BK$5="",'상세일정'!AM70="제외"),"",IF($D70=$E70,IF(AND($D70&gt;=BK$5,$D70&lt;BK$5+7),"◆",""),IF(AND($D70&lt;BK$5+7,$E70&gt;BK$5),"■","")))</x:f>
      </x:c>
      <x:c r="BL70" s="7" t="str">
        <x:f>IF(OR($D70="",BL$5="",'상세일정'!AM70="제외"),"",IF($D70=$E70,IF(AND($D70&gt;=BL$5,$D70&lt;BL$5+7),"◆",""),IF(AND($D70&lt;BL$5+7,$E70&gt;BL$5),"■","")))</x:f>
      </x:c>
      <x:c r="BM70" s="7" t="str">
        <x:f>IF(OR($D70="",BM$5="",'상세일정'!AM70="제외"),"",IF($D70=$E70,IF(AND($D70&gt;=BM$5,$D70&lt;BM$5+7),"◆",""),IF(AND($D70&lt;BM$5+7,$E70&gt;BM$5),"■","")))</x:f>
      </x:c>
      <x:c r="BN70" s="7" t="str">
        <x:f>IF(OR($D70="",BN$5="",'상세일정'!AM70="제외"),"",IF($D70=$E70,IF(AND($D70&gt;=BN$5,$D70&lt;BN$5+7),"◆",""),IF(AND($D70&lt;BN$5+7,$E70&gt;BN$5),"■","")))</x:f>
      </x:c>
      <x:c r="BO70" s="7" t="str">
        <x:f>IF(OR($D70="",BO$5="",'상세일정'!AM70="제외"),"",IF($D70=$E70,IF(AND($D70&gt;=BO$5,$D70&lt;BO$5+7),"◆",""),IF(AND($D70&lt;BO$5+7,$E70&gt;BO$5),"■","")))</x:f>
      </x:c>
      <x:c r="BP70" s="7" t="str">
        <x:f>IF(OR($D70="",BP$5="",'상세일정'!AM70="제외"),"",IF($D70=$E70,IF(AND($D70&gt;=BP$5,$D70&lt;BP$5+7),"◆",""),IF(AND($D70&lt;BP$5+7,$E70&gt;BP$5),"■","")))</x:f>
      </x:c>
      <x:c r="BQ70" s="7" t="str">
        <x:f>IF(OR($D70="",BQ$5="",'상세일정'!AM70="제외"),"",IF($D70=$E70,IF(AND($D70&gt;=BQ$5,$D70&lt;BQ$5+7),"◆",""),IF(AND($D70&lt;BQ$5+7,$E70&gt;BQ$5),"■","")))</x:f>
      </x:c>
      <x:c r="BR70" s="7" t="str">
        <x:f>IF(OR($D70="",BR$5="",'상세일정'!AM70="제외"),"",IF($D70=$E70,IF(AND($D70&gt;=BR$5,$D70&lt;BR$5+7),"◆",""),IF(AND($D70&lt;BR$5+7,$E70&gt;BR$5),"■","")))</x:f>
      </x:c>
      <x:c r="BS70" s="7" t="str">
        <x:f>IF(OR($D70="",BS$5="",'상세일정'!AM70="제외"),"",IF($D70=$E70,IF(AND($D70&gt;=BS$5,$D70&lt;BS$5+7),"◆",""),IF(AND($D70&lt;BS$5+7,$E70&gt;BS$5),"■","")))</x:f>
      </x:c>
      <x:c r="BT70" s="7" t="str">
        <x:f>IF(OR($D70="",BT$5="",'상세일정'!AM70="제외"),"",IF($D70=$E70,IF(AND($D70&gt;=BT$5,$D70&lt;BT$5+7),"◆",""),IF(AND($D70&lt;BT$5+7,$E70&gt;BT$5),"■","")))</x:f>
      </x:c>
      <x:c r="BU70" s="7" t="str">
        <x:f>IF(OR($D70="",BU$5="",'상세일정'!AM70="제외"),"",IF($D70=$E70,IF(AND($D70&gt;=BU$5,$D70&lt;BU$5+7),"◆",""),IF(AND($D70&lt;BU$5+7,$E70&gt;BU$5),"■","")))</x:f>
      </x:c>
      <x:c r="BV70" s="7" t="str">
        <x:f>IF(OR($D70="",BV$5="",'상세일정'!AM70="제외"),"",IF($D70=$E70,IF(AND($D70&gt;=BV$5,$D70&lt;BV$5+7),"◆",""),IF(AND($D70&lt;BV$5+7,$E70&gt;BV$5),"■","")))</x:f>
      </x:c>
      <x:c r="BW70" s="7" t="str">
        <x:f>IF(OR($D70="",BW$5="",'상세일정'!AM70="제외"),"",IF($D70=$E70,IF(AND($D70&gt;=BW$5,$D70&lt;BW$5+7),"◆",""),IF(AND($D70&lt;BW$5+7,$E70&gt;BW$5),"■","")))</x:f>
      </x:c>
      <x:c r="BX70" s="7" t="str">
        <x:f>IF(OR($D70="",BX$5="",'상세일정'!AM70="제외"),"",IF($D70=$E70,IF(AND($D70&gt;=BX$5,$D70&lt;BX$5+7),"◆",""),IF(AND($D70&lt;BX$5+7,$E70&gt;BX$5),"■","")))</x:f>
      </x:c>
      <x:c r="BY70" s="7" t="str">
        <x:f>IF(OR($D70="",BY$5="",'상세일정'!AM70="제외"),"",IF($D70=$E70,IF(AND($D70&gt;=BY$5,$D70&lt;BY$5+7),"◆",""),IF(AND($D70&lt;BY$5+7,$E70&gt;BY$5),"■","")))</x:f>
      </x:c>
      <x:c r="BZ70" s="7" t="str">
        <x:f>IF(OR($D70="",BZ$5="",'상세일정'!AM70="제외"),"",IF($D70=$E70,IF(AND($D70&gt;=BZ$5,$D70&lt;BZ$5+7),"◆",""),IF(AND($D70&lt;BZ$5+7,$E70&gt;BZ$5),"■","")))</x:f>
      </x:c>
      <x:c r="CA70" s="7" t="str">
        <x:f>IF(OR($D70="",CA$5="",'상세일정'!AM70="제외"),"",IF($D70=$E70,IF(AND($D70&gt;=CA$5,$D70&lt;CA$5+7),"◆",""),IF(AND($D70&lt;CA$5+7,$E70&gt;CA$5),"■","")))</x:f>
      </x:c>
      <x:c r="CB70" s="7" t="str">
        <x:f>IF(OR($D70="",CB$5="",'상세일정'!AM70="제외"),"",IF($D70=$E70,IF(AND($D70&gt;=CB$5,$D70&lt;CB$5+7),"◆",""),IF(AND($D70&lt;CB$5+7,$E70&gt;CB$5),"■","")))</x:f>
      </x:c>
      <x:c r="CC70" s="7" t="str">
        <x:f>IF(OR($D70="",CC$5="",'상세일정'!AM70="제외"),"",IF($D70=$E70,IF(AND($D70&gt;=CC$5,$D70&lt;CC$5+7),"◆",""),IF(AND($D70&lt;CC$5+7,$E70&gt;CC$5),"■","")))</x:f>
      </x:c>
      <x:c r="CD70" s="7" t="str">
        <x:f>IF(OR($D70="",CD$5="",'상세일정'!AM70="제외"),"",IF($D70=$E70,IF(AND($D70&gt;=CD$5,$D70&lt;CD$5+7),"◆",""),IF(AND($D70&lt;CD$5+7,$E70&gt;CD$5),"■","")))</x:f>
      </x:c>
      <x:c r="CE70" s="7" t="str">
        <x:f>IF(OR($D70="",CE$5="",'상세일정'!AM70="제외"),"",IF($D70=$E70,IF(AND($D70&gt;=CE$5,$D70&lt;CE$5+7),"◆",""),IF(AND($D70&lt;CE$5+7,$E70&gt;CE$5),"■","")))</x:f>
      </x:c>
      <x:c r="CF70" s="7" t="str">
        <x:f>IF(OR($D70="",CF$5="",'상세일정'!AM70="제외"),"",IF($D70=$E70,IF(AND($D70&gt;=CF$5,$D70&lt;CF$5+7),"◆",""),IF(AND($D70&lt;CF$5+7,$E70&gt;CF$5),"■","")))</x:f>
      </x:c>
      <x:c r="CG70" s="7" t="str">
        <x:f>IF(OR($D70="",CG$5="",'상세일정'!AM70="제외"),"",IF($D70=$E70,IF(AND($D70&gt;=CG$5,$D70&lt;CG$5+7),"◆",""),IF(AND($D70&lt;CG$5+7,$E70&gt;CG$5),"■","")))</x:f>
      </x:c>
      <x:c r="CH70" s="7" t="str">
        <x:f>IF(OR($D70="",CH$5="",'상세일정'!AM70="제외"),"",IF($D70=$E70,IF(AND($D70&gt;=CH$5,$D70&lt;CH$5+7),"◆",""),IF(AND($D70&lt;CH$5+7,$E70&gt;CH$5),"■","")))</x:f>
      </x:c>
      <x:c r="CI70" s="7" t="str">
        <x:f>IF(OR($D70="",CI$5="",'상세일정'!AM70="제외"),"",IF($D70=$E70,IF(AND($D70&gt;=CI$5,$D70&lt;CI$5+7),"◆",""),IF(AND($D70&lt;CI$5+7,$E70&gt;CI$5),"■","")))</x:f>
      </x:c>
      <x:c r="CJ70" s="7" t="str">
        <x:f>IF(OR($D70="",CJ$5="",'상세일정'!AM70="제외"),"",IF($D70=$E70,IF(AND($D70&gt;=CJ$5,$D70&lt;CJ$5+7),"◆",""),IF(AND($D70&lt;CJ$5+7,$E70&gt;CJ$5),"■","")))</x:f>
      </x:c>
      <x:c r="CK70" s="7" t="str">
        <x:f>IF(OR($D70="",CK$5="",'상세일정'!AM70="제외"),"",IF($D70=$E70,IF(AND($D70&gt;=CK$5,$D70&lt;CK$5+7),"◆",""),IF(AND($D70&lt;CK$5+7,$E70&gt;CK$5),"■","")))</x:f>
      </x:c>
      <x:c r="CL70" s="7" t="str">
        <x:f>IF(OR($D70="",CL$5="",'상세일정'!AM70="제외"),"",IF($D70=$E70,IF(AND($D70&gt;=CL$5,$D70&lt;CL$5+7),"◆",""),IF(AND($D70&lt;CL$5+7,$E70&gt;CL$5),"■","")))</x:f>
      </x:c>
      <x:c r="CM70" s="7" t="str">
        <x:f>IF(OR($D70="",CM$5="",'상세일정'!AM70="제외"),"",IF($D70=$E70,IF(AND($D70&gt;=CM$5,$D70&lt;CM$5+7),"◆",""),IF(AND($D70&lt;CM$5+7,$E70&gt;CM$5),"■","")))</x:f>
      </x:c>
      <x:c r="CN70" s="7" t="str">
        <x:f>IF(OR($D70="",CN$5="",'상세일정'!AM70="제외"),"",IF($D70=$E70,IF(AND($D70&gt;=CN$5,$D70&lt;CN$5+7),"◆",""),IF(AND($D70&lt;CN$5+7,$E70&gt;CN$5),"■","")))</x:f>
      </x:c>
      <x:c r="CO70" s="7" t="str">
        <x:f>IF(OR($D70="",CO$5="",'상세일정'!AM70="제외"),"",IF($D70=$E70,IF(AND($D70&gt;=CO$5,$D70&lt;CO$5+7),"◆",""),IF(AND($D70&lt;CO$5+7,$E70&gt;CO$5),"■","")))</x:f>
      </x:c>
      <x:c r="CP70" s="7" t="str">
        <x:f>IF(OR($D70="",CP$5="",'상세일정'!AM70="제외"),"",IF($D70=$E70,IF(AND($D70&gt;=CP$5,$D70&lt;CP$5+7),"◆",""),IF(AND($D70&lt;CP$5+7,$E70&gt;CP$5),"■","")))</x:f>
      </x:c>
      <x:c r="CQ70" s="7" t="str">
        <x:f>IF(OR($D70="",CQ$5="",'상세일정'!AM70="제외"),"",IF($D70=$E70,IF(AND($D70&gt;=CQ$5,$D70&lt;CQ$5+7),"◆",""),IF(AND($D70&lt;CQ$5+7,$E70&gt;CQ$5),"■","")))</x:f>
      </x:c>
      <x:c r="CR70" s="7" t="str">
        <x:f>IF(OR($D70="",CR$5="",'상세일정'!AM70="제외"),"",IF($D70=$E70,IF(AND($D70&gt;=CR$5,$D70&lt;CR$5+7),"◆",""),IF(AND($D70&lt;CR$5+7,$E70&gt;CR$5),"■","")))</x:f>
      </x:c>
      <x:c r="CS70" s="7" t="str">
        <x:f>IF(OR($D70="",CS$5="",'상세일정'!AM70="제외"),"",IF($D70=$E70,IF(AND($D70&gt;=CS$5,$D70&lt;CS$5+7),"◆",""),IF(AND($D70&lt;CS$5+7,$E70&gt;CS$5),"■","")))</x:f>
      </x:c>
      <x:c r="CT70" s="7" t="str">
        <x:f>IF(OR($D70="",CT$5="",'상세일정'!AM70="제외"),"",IF($D70=$E70,IF(AND($D70&gt;=CT$5,$D70&lt;CT$5+7),"◆",""),IF(AND($D70&lt;CT$5+7,$E70&gt;CT$5),"■","")))</x:f>
      </x:c>
      <x:c r="CU70" s="7" t="str">
        <x:f>IF(OR($D70="",CU$5="",'상세일정'!AM70="제외"),"",IF($D70=$E70,IF(AND($D70&gt;=CU$5,$D70&lt;CU$5+7),"◆",""),IF(AND($D70&lt;CU$5+7,$E70&gt;CU$5),"■","")))</x:f>
      </x:c>
      <x:c r="CV70" s="7" t="str">
        <x:f>IF(OR($D70="",CV$5="",'상세일정'!AM70="제외"),"",IF($D70=$E70,IF(AND($D70&gt;=CV$5,$D70&lt;CV$5+7),"◆",""),IF(AND($D70&lt;CV$5+7,$E70&gt;CV$5),"■","")))</x:f>
      </x:c>
      <x:c r="CW70" s="7" t="str">
        <x:f>IF(OR($D70="",CW$5="",'상세일정'!AM70="제외"),"",IF($D70=$E70,IF(AND($D70&gt;=CW$5,$D70&lt;CW$5+7),"◆",""),IF(AND($D70&lt;CW$5+7,$E70&gt;CW$5),"■","")))</x:f>
      </x:c>
      <x:c r="CX70" s="7" t="str">
        <x:f>IF(OR($D70="",CX$5="",'상세일정'!AM70="제외"),"",IF($D70=$E70,IF(AND($D70&gt;=CX$5,$D70&lt;CX$5+7),"◆",""),IF(AND($D70&lt;CX$5+7,$E70&gt;CX$5),"■","")))</x:f>
      </x:c>
      <x:c r="CY70" s="7" t="str">
        <x:f>IF(OR($D70="",CY$5="",'상세일정'!AM70="제외"),"",IF($D70=$E70,IF(AND($D70&gt;=CY$5,$D70&lt;CY$5+7),"◆",""),IF(AND($D70&lt;CY$5+7,$E70&gt;CY$5),"■","")))</x:f>
      </x:c>
      <x:c r="CZ70" s="7" t="str">
        <x:f>IF(OR($D70="",CZ$5="",'상세일정'!AM70="제외"),"",IF($D70=$E70,IF(AND($D70&gt;=CZ$5,$D70&lt;CZ$5+7),"◆",""),IF(AND($D70&lt;CZ$5+7,$E70&gt;CZ$5),"■","")))</x:f>
      </x:c>
      <x:c r="DA70" s="7" t="str">
        <x:f>IF(OR($D70="",DA$5="",'상세일정'!AM70="제외"),"",IF($D70=$E70,IF(AND($D70&gt;=DA$5,$D70&lt;DA$5+7),"◆",""),IF(AND($D70&lt;DA$5+7,$E70&gt;DA$5),"■","")))</x:f>
      </x:c>
      <x:c r="DB70" s="7" t="str">
        <x:f>IF(OR($D70="",DB$5="",'상세일정'!AM70="제외"),"",IF($D70=$E70,IF(AND($D70&gt;=DB$5,$D70&lt;DB$5+7),"◆",""),IF(AND($D70&lt;DB$5+7,$E70&gt;DB$5),"■","")))</x:f>
      </x:c>
      <x:c r="DC70" s="7" t="str">
        <x:f>IF(OR($D70="",DC$5="",'상세일정'!AM70="제외"),"",IF($D70=$E70,IF(AND($D70&gt;=DC$5,$D70&lt;DC$5+7),"◆",""),IF(AND($D70&lt;DC$5+7,$E70&gt;DC$5),"■","")))</x:f>
      </x:c>
      <x:c r="DD70" s="7" t="str">
        <x:f>IF(OR($D70="",DD$5="",'상세일정'!AM70="제외"),"",IF($D70=$E70,IF(AND($D70&gt;=DD$5,$D70&lt;DD$5+7),"◆",""),IF(AND($D70&lt;DD$5+7,$E70&gt;DD$5),"■","")))</x:f>
      </x:c>
      <x:c r="DE70" s="7" t="str">
        <x:f>IF(OR($D70="",DE$5="",'상세일정'!AM70="제외"),"",IF($D70=$E70,IF(AND($D70&gt;=DE$5,$D70&lt;DE$5+7),"◆",""),IF(AND($D70&lt;DE$5+7,$E70&gt;DE$5),"■","")))</x:f>
      </x:c>
    </x:row>
    <x:row r="71" ht="34" customHeight="1">
      <x:c r="A71" s="7" t="str">
        <x:v>HZ02</x:v>
      </x:c>
      <x:c r="B71" s="7" t="str">
        <x:v>11 위험성평가</x:v>
      </x:c>
      <x:c r="C71" s="7" t="str">
        <x:v>폭발위험장소 계산 및 방폭구역도 작성</x:v>
      </x:c>
      <x:c r="D71" s="10" t="str">
        <x:f>'상세일정'!AJ71</x:f>
      </x:c>
      <x:c r="E71" s="10" t="str">
        <x:f>'상세일정'!AK71</x:f>
      </x:c>
      <x:c r="F71" s="7" t="str">
        <x:f>IF(OR($D71="",F$5="",'상세일정'!AM71="제외"),"",IF($D71=$E71,IF(AND($D71&gt;=F$5,$D71&lt;F$5+7),"◆",""),IF(AND($D71&lt;F$5+7,$E71&gt;F$5),"■","")))</x:f>
      </x:c>
      <x:c r="G71" s="7" t="str">
        <x:f>IF(OR($D71="",G$5="",'상세일정'!AM71="제외"),"",IF($D71=$E71,IF(AND($D71&gt;=G$5,$D71&lt;G$5+7),"◆",""),IF(AND($D71&lt;G$5+7,$E71&gt;G$5),"■","")))</x:f>
      </x:c>
      <x:c r="H71" s="7" t="str">
        <x:f>IF(OR($D71="",H$5="",'상세일정'!AM71="제외"),"",IF($D71=$E71,IF(AND($D71&gt;=H$5,$D71&lt;H$5+7),"◆",""),IF(AND($D71&lt;H$5+7,$E71&gt;H$5),"■","")))</x:f>
      </x:c>
      <x:c r="I71" s="7" t="str">
        <x:f>IF(OR($D71="",I$5="",'상세일정'!AM71="제외"),"",IF($D71=$E71,IF(AND($D71&gt;=I$5,$D71&lt;I$5+7),"◆",""),IF(AND($D71&lt;I$5+7,$E71&gt;I$5),"■","")))</x:f>
      </x:c>
      <x:c r="J71" s="7" t="str">
        <x:f>IF(OR($D71="",J$5="",'상세일정'!AM71="제외"),"",IF($D71=$E71,IF(AND($D71&gt;=J$5,$D71&lt;J$5+7),"◆",""),IF(AND($D71&lt;J$5+7,$E71&gt;J$5),"■","")))</x:f>
      </x:c>
      <x:c r="K71" s="7" t="str">
        <x:f>IF(OR($D71="",K$5="",'상세일정'!AM71="제외"),"",IF($D71=$E71,IF(AND($D71&gt;=K$5,$D71&lt;K$5+7),"◆",""),IF(AND($D71&lt;K$5+7,$E71&gt;K$5),"■","")))</x:f>
      </x:c>
      <x:c r="L71" s="7" t="str">
        <x:f>IF(OR($D71="",L$5="",'상세일정'!AM71="제외"),"",IF($D71=$E71,IF(AND($D71&gt;=L$5,$D71&lt;L$5+7),"◆",""),IF(AND($D71&lt;L$5+7,$E71&gt;L$5),"■","")))</x:f>
      </x:c>
      <x:c r="M71" s="7" t="str">
        <x:f>IF(OR($D71="",M$5="",'상세일정'!AM71="제외"),"",IF($D71=$E71,IF(AND($D71&gt;=M$5,$D71&lt;M$5+7),"◆",""),IF(AND($D71&lt;M$5+7,$E71&gt;M$5),"■","")))</x:f>
      </x:c>
      <x:c r="N71" s="7" t="str">
        <x:f>IF(OR($D71="",N$5="",'상세일정'!AM71="제외"),"",IF($D71=$E71,IF(AND($D71&gt;=N$5,$D71&lt;N$5+7),"◆",""),IF(AND($D71&lt;N$5+7,$E71&gt;N$5),"■","")))</x:f>
      </x:c>
      <x:c r="O71" s="7" t="str">
        <x:f>IF(OR($D71="",O$5="",'상세일정'!AM71="제외"),"",IF($D71=$E71,IF(AND($D71&gt;=O$5,$D71&lt;O$5+7),"◆",""),IF(AND($D71&lt;O$5+7,$E71&gt;O$5),"■","")))</x:f>
      </x:c>
      <x:c r="P71" s="7" t="str">
        <x:f>IF(OR($D71="",P$5="",'상세일정'!AM71="제외"),"",IF($D71=$E71,IF(AND($D71&gt;=P$5,$D71&lt;P$5+7),"◆",""),IF(AND($D71&lt;P$5+7,$E71&gt;P$5),"■","")))</x:f>
      </x:c>
      <x:c r="Q71" s="7" t="str">
        <x:f>IF(OR($D71="",Q$5="",'상세일정'!AM71="제외"),"",IF($D71=$E71,IF(AND($D71&gt;=Q$5,$D71&lt;Q$5+7),"◆",""),IF(AND($D71&lt;Q$5+7,$E71&gt;Q$5),"■","")))</x:f>
      </x:c>
      <x:c r="R71" s="7" t="str">
        <x:f>IF(OR($D71="",R$5="",'상세일정'!AM71="제외"),"",IF($D71=$E71,IF(AND($D71&gt;=R$5,$D71&lt;R$5+7),"◆",""),IF(AND($D71&lt;R$5+7,$E71&gt;R$5),"■","")))</x:f>
      </x:c>
      <x:c r="S71" s="7" t="str">
        <x:f>IF(OR($D71="",S$5="",'상세일정'!AM71="제외"),"",IF($D71=$E71,IF(AND($D71&gt;=S$5,$D71&lt;S$5+7),"◆",""),IF(AND($D71&lt;S$5+7,$E71&gt;S$5),"■","")))</x:f>
      </x:c>
      <x:c r="T71" s="7" t="str">
        <x:f>IF(OR($D71="",T$5="",'상세일정'!AM71="제외"),"",IF($D71=$E71,IF(AND($D71&gt;=T$5,$D71&lt;T$5+7),"◆",""),IF(AND($D71&lt;T$5+7,$E71&gt;T$5),"■","")))</x:f>
      </x:c>
      <x:c r="U71" s="7" t="str">
        <x:f>IF(OR($D71="",U$5="",'상세일정'!AM71="제외"),"",IF($D71=$E71,IF(AND($D71&gt;=U$5,$D71&lt;U$5+7),"◆",""),IF(AND($D71&lt;U$5+7,$E71&gt;U$5),"■","")))</x:f>
      </x:c>
      <x:c r="V71" s="7" t="str">
        <x:f>IF(OR($D71="",V$5="",'상세일정'!AM71="제외"),"",IF($D71=$E71,IF(AND($D71&gt;=V$5,$D71&lt;V$5+7),"◆",""),IF(AND($D71&lt;V$5+7,$E71&gt;V$5),"■","")))</x:f>
      </x:c>
      <x:c r="W71" s="7" t="str">
        <x:f>IF(OR($D71="",W$5="",'상세일정'!AM71="제외"),"",IF($D71=$E71,IF(AND($D71&gt;=W$5,$D71&lt;W$5+7),"◆",""),IF(AND($D71&lt;W$5+7,$E71&gt;W$5),"■","")))</x:f>
      </x:c>
      <x:c r="X71" s="7" t="str">
        <x:f>IF(OR($D71="",X$5="",'상세일정'!AM71="제외"),"",IF($D71=$E71,IF(AND($D71&gt;=X$5,$D71&lt;X$5+7),"◆",""),IF(AND($D71&lt;X$5+7,$E71&gt;X$5),"■","")))</x:f>
      </x:c>
      <x:c r="Y71" s="7" t="str">
        <x:f>IF(OR($D71="",Y$5="",'상세일정'!AM71="제외"),"",IF($D71=$E71,IF(AND($D71&gt;=Y$5,$D71&lt;Y$5+7),"◆",""),IF(AND($D71&lt;Y$5+7,$E71&gt;Y$5),"■","")))</x:f>
      </x:c>
      <x:c r="Z71" s="7" t="str">
        <x:f>IF(OR($D71="",Z$5="",'상세일정'!AM71="제외"),"",IF($D71=$E71,IF(AND($D71&gt;=Z$5,$D71&lt;Z$5+7),"◆",""),IF(AND($D71&lt;Z$5+7,$E71&gt;Z$5),"■","")))</x:f>
      </x:c>
      <x:c r="AA71" s="7" t="str">
        <x:f>IF(OR($D71="",AA$5="",'상세일정'!AM71="제외"),"",IF($D71=$E71,IF(AND($D71&gt;=AA$5,$D71&lt;AA$5+7),"◆",""),IF(AND($D71&lt;AA$5+7,$E71&gt;AA$5),"■","")))</x:f>
      </x:c>
      <x:c r="AB71" s="7" t="str">
        <x:f>IF(OR($D71="",AB$5="",'상세일정'!AM71="제외"),"",IF($D71=$E71,IF(AND($D71&gt;=AB$5,$D71&lt;AB$5+7),"◆",""),IF(AND($D71&lt;AB$5+7,$E71&gt;AB$5),"■","")))</x:f>
      </x:c>
      <x:c r="AC71" s="7" t="str">
        <x:f>IF(OR($D71="",AC$5="",'상세일정'!AM71="제외"),"",IF($D71=$E71,IF(AND($D71&gt;=AC$5,$D71&lt;AC$5+7),"◆",""),IF(AND($D71&lt;AC$5+7,$E71&gt;AC$5),"■","")))</x:f>
      </x:c>
      <x:c r="AD71" s="7" t="str">
        <x:f>IF(OR($D71="",AD$5="",'상세일정'!AM71="제외"),"",IF($D71=$E71,IF(AND($D71&gt;=AD$5,$D71&lt;AD$5+7),"◆",""),IF(AND($D71&lt;AD$5+7,$E71&gt;AD$5),"■","")))</x:f>
      </x:c>
      <x:c r="AE71" s="7" t="str">
        <x:f>IF(OR($D71="",AE$5="",'상세일정'!AM71="제외"),"",IF($D71=$E71,IF(AND($D71&gt;=AE$5,$D71&lt;AE$5+7),"◆",""),IF(AND($D71&lt;AE$5+7,$E71&gt;AE$5),"■","")))</x:f>
      </x:c>
      <x:c r="AF71" s="7" t="str">
        <x:f>IF(OR($D71="",AF$5="",'상세일정'!AM71="제외"),"",IF($D71=$E71,IF(AND($D71&gt;=AF$5,$D71&lt;AF$5+7),"◆",""),IF(AND($D71&lt;AF$5+7,$E71&gt;AF$5),"■","")))</x:f>
      </x:c>
      <x:c r="AG71" s="7" t="str">
        <x:f>IF(OR($D71="",AG$5="",'상세일정'!AM71="제외"),"",IF($D71=$E71,IF(AND($D71&gt;=AG$5,$D71&lt;AG$5+7),"◆",""),IF(AND($D71&lt;AG$5+7,$E71&gt;AG$5),"■","")))</x:f>
      </x:c>
      <x:c r="AH71" s="7" t="str">
        <x:f>IF(OR($D71="",AH$5="",'상세일정'!AM71="제외"),"",IF($D71=$E71,IF(AND($D71&gt;=AH$5,$D71&lt;AH$5+7),"◆",""),IF(AND($D71&lt;AH$5+7,$E71&gt;AH$5),"■","")))</x:f>
      </x:c>
      <x:c r="AI71" s="7" t="str">
        <x:f>IF(OR($D71="",AI$5="",'상세일정'!AM71="제외"),"",IF($D71=$E71,IF(AND($D71&gt;=AI$5,$D71&lt;AI$5+7),"◆",""),IF(AND($D71&lt;AI$5+7,$E71&gt;AI$5),"■","")))</x:f>
      </x:c>
      <x:c r="AJ71" s="7" t="str">
        <x:f>IF(OR($D71="",AJ$5="",'상세일정'!AM71="제외"),"",IF($D71=$E71,IF(AND($D71&gt;=AJ$5,$D71&lt;AJ$5+7),"◆",""),IF(AND($D71&lt;AJ$5+7,$E71&gt;AJ$5),"■","")))</x:f>
      </x:c>
      <x:c r="AK71" s="7" t="str">
        <x:f>IF(OR($D71="",AK$5="",'상세일정'!AM71="제외"),"",IF($D71=$E71,IF(AND($D71&gt;=AK$5,$D71&lt;AK$5+7),"◆",""),IF(AND($D71&lt;AK$5+7,$E71&gt;AK$5),"■","")))</x:f>
      </x:c>
      <x:c r="AL71" s="7" t="str">
        <x:f>IF(OR($D71="",AL$5="",'상세일정'!AM71="제외"),"",IF($D71=$E71,IF(AND($D71&gt;=AL$5,$D71&lt;AL$5+7),"◆",""),IF(AND($D71&lt;AL$5+7,$E71&gt;AL$5),"■","")))</x:f>
      </x:c>
      <x:c r="AM71" s="7" t="str">
        <x:f>IF(OR($D71="",AM$5="",'상세일정'!AM71="제외"),"",IF($D71=$E71,IF(AND($D71&gt;=AM$5,$D71&lt;AM$5+7),"◆",""),IF(AND($D71&lt;AM$5+7,$E71&gt;AM$5),"■","")))</x:f>
      </x:c>
      <x:c r="AN71" s="7" t="str">
        <x:f>IF(OR($D71="",AN$5="",'상세일정'!AM71="제외"),"",IF($D71=$E71,IF(AND($D71&gt;=AN$5,$D71&lt;AN$5+7),"◆",""),IF(AND($D71&lt;AN$5+7,$E71&gt;AN$5),"■","")))</x:f>
      </x:c>
      <x:c r="AO71" s="7" t="str">
        <x:f>IF(OR($D71="",AO$5="",'상세일정'!AM71="제외"),"",IF($D71=$E71,IF(AND($D71&gt;=AO$5,$D71&lt;AO$5+7),"◆",""),IF(AND($D71&lt;AO$5+7,$E71&gt;AO$5),"■","")))</x:f>
      </x:c>
      <x:c r="AP71" s="7" t="str">
        <x:f>IF(OR($D71="",AP$5="",'상세일정'!AM71="제외"),"",IF($D71=$E71,IF(AND($D71&gt;=AP$5,$D71&lt;AP$5+7),"◆",""),IF(AND($D71&lt;AP$5+7,$E71&gt;AP$5),"■","")))</x:f>
      </x:c>
      <x:c r="AQ71" s="7" t="str">
        <x:f>IF(OR($D71="",AQ$5="",'상세일정'!AM71="제외"),"",IF($D71=$E71,IF(AND($D71&gt;=AQ$5,$D71&lt;AQ$5+7),"◆",""),IF(AND($D71&lt;AQ$5+7,$E71&gt;AQ$5),"■","")))</x:f>
      </x:c>
      <x:c r="AR71" s="7" t="str">
        <x:f>IF(OR($D71="",AR$5="",'상세일정'!AM71="제외"),"",IF($D71=$E71,IF(AND($D71&gt;=AR$5,$D71&lt;AR$5+7),"◆",""),IF(AND($D71&lt;AR$5+7,$E71&gt;AR$5),"■","")))</x:f>
      </x:c>
      <x:c r="AS71" s="7" t="str">
        <x:f>IF(OR($D71="",AS$5="",'상세일정'!AM71="제외"),"",IF($D71=$E71,IF(AND($D71&gt;=AS$5,$D71&lt;AS$5+7),"◆",""),IF(AND($D71&lt;AS$5+7,$E71&gt;AS$5),"■","")))</x:f>
      </x:c>
      <x:c r="AT71" s="7" t="str">
        <x:f>IF(OR($D71="",AT$5="",'상세일정'!AM71="제외"),"",IF($D71=$E71,IF(AND($D71&gt;=AT$5,$D71&lt;AT$5+7),"◆",""),IF(AND($D71&lt;AT$5+7,$E71&gt;AT$5),"■","")))</x:f>
      </x:c>
      <x:c r="AU71" s="7" t="str">
        <x:f>IF(OR($D71="",AU$5="",'상세일정'!AM71="제외"),"",IF($D71=$E71,IF(AND($D71&gt;=AU$5,$D71&lt;AU$5+7),"◆",""),IF(AND($D71&lt;AU$5+7,$E71&gt;AU$5),"■","")))</x:f>
      </x:c>
      <x:c r="AV71" s="7" t="str">
        <x:f>IF(OR($D71="",AV$5="",'상세일정'!AM71="제외"),"",IF($D71=$E71,IF(AND($D71&gt;=AV$5,$D71&lt;AV$5+7),"◆",""),IF(AND($D71&lt;AV$5+7,$E71&gt;AV$5),"■","")))</x:f>
      </x:c>
      <x:c r="AW71" s="7" t="str">
        <x:f>IF(OR($D71="",AW$5="",'상세일정'!AM71="제외"),"",IF($D71=$E71,IF(AND($D71&gt;=AW$5,$D71&lt;AW$5+7),"◆",""),IF(AND($D71&lt;AW$5+7,$E71&gt;AW$5),"■","")))</x:f>
      </x:c>
      <x:c r="AX71" s="7" t="str">
        <x:f>IF(OR($D71="",AX$5="",'상세일정'!AM71="제외"),"",IF($D71=$E71,IF(AND($D71&gt;=AX$5,$D71&lt;AX$5+7),"◆",""),IF(AND($D71&lt;AX$5+7,$E71&gt;AX$5),"■","")))</x:f>
      </x:c>
      <x:c r="AY71" s="7" t="str">
        <x:f>IF(OR($D71="",AY$5="",'상세일정'!AM71="제외"),"",IF($D71=$E71,IF(AND($D71&gt;=AY$5,$D71&lt;AY$5+7),"◆",""),IF(AND($D71&lt;AY$5+7,$E71&gt;AY$5),"■","")))</x:f>
      </x:c>
      <x:c r="AZ71" s="7" t="str">
        <x:f>IF(OR($D71="",AZ$5="",'상세일정'!AM71="제외"),"",IF($D71=$E71,IF(AND($D71&gt;=AZ$5,$D71&lt;AZ$5+7),"◆",""),IF(AND($D71&lt;AZ$5+7,$E71&gt;AZ$5),"■","")))</x:f>
      </x:c>
      <x:c r="BA71" s="7" t="str">
        <x:f>IF(OR($D71="",BA$5="",'상세일정'!AM71="제외"),"",IF($D71=$E71,IF(AND($D71&gt;=BA$5,$D71&lt;BA$5+7),"◆",""),IF(AND($D71&lt;BA$5+7,$E71&gt;BA$5),"■","")))</x:f>
      </x:c>
      <x:c r="BB71" s="7" t="str">
        <x:f>IF(OR($D71="",BB$5="",'상세일정'!AM71="제외"),"",IF($D71=$E71,IF(AND($D71&gt;=BB$5,$D71&lt;BB$5+7),"◆",""),IF(AND($D71&lt;BB$5+7,$E71&gt;BB$5),"■","")))</x:f>
      </x:c>
      <x:c r="BC71" s="7" t="str">
        <x:f>IF(OR($D71="",BC$5="",'상세일정'!AM71="제외"),"",IF($D71=$E71,IF(AND($D71&gt;=BC$5,$D71&lt;BC$5+7),"◆",""),IF(AND($D71&lt;BC$5+7,$E71&gt;BC$5),"■","")))</x:f>
      </x:c>
      <x:c r="BD71" s="7" t="str">
        <x:f>IF(OR($D71="",BD$5="",'상세일정'!AM71="제외"),"",IF($D71=$E71,IF(AND($D71&gt;=BD$5,$D71&lt;BD$5+7),"◆",""),IF(AND($D71&lt;BD$5+7,$E71&gt;BD$5),"■","")))</x:f>
      </x:c>
      <x:c r="BE71" s="7" t="str">
        <x:f>IF(OR($D71="",BE$5="",'상세일정'!AM71="제외"),"",IF($D71=$E71,IF(AND($D71&gt;=BE$5,$D71&lt;BE$5+7),"◆",""),IF(AND($D71&lt;BE$5+7,$E71&gt;BE$5),"■","")))</x:f>
      </x:c>
      <x:c r="BF71" s="7" t="str">
        <x:f>IF(OR($D71="",BF$5="",'상세일정'!AM71="제외"),"",IF($D71=$E71,IF(AND($D71&gt;=BF$5,$D71&lt;BF$5+7),"◆",""),IF(AND($D71&lt;BF$5+7,$E71&gt;BF$5),"■","")))</x:f>
      </x:c>
      <x:c r="BG71" s="7" t="str">
        <x:f>IF(OR($D71="",BG$5="",'상세일정'!AM71="제외"),"",IF($D71=$E71,IF(AND($D71&gt;=BG$5,$D71&lt;BG$5+7),"◆",""),IF(AND($D71&lt;BG$5+7,$E71&gt;BG$5),"■","")))</x:f>
      </x:c>
      <x:c r="BH71" s="7" t="str">
        <x:f>IF(OR($D71="",BH$5="",'상세일정'!AM71="제외"),"",IF($D71=$E71,IF(AND($D71&gt;=BH$5,$D71&lt;BH$5+7),"◆",""),IF(AND($D71&lt;BH$5+7,$E71&gt;BH$5),"■","")))</x:f>
      </x:c>
      <x:c r="BI71" s="7" t="str">
        <x:f>IF(OR($D71="",BI$5="",'상세일정'!AM71="제외"),"",IF($D71=$E71,IF(AND($D71&gt;=BI$5,$D71&lt;BI$5+7),"◆",""),IF(AND($D71&lt;BI$5+7,$E71&gt;BI$5),"■","")))</x:f>
      </x:c>
      <x:c r="BJ71" s="7" t="str">
        <x:f>IF(OR($D71="",BJ$5="",'상세일정'!AM71="제외"),"",IF($D71=$E71,IF(AND($D71&gt;=BJ$5,$D71&lt;BJ$5+7),"◆",""),IF(AND($D71&lt;BJ$5+7,$E71&gt;BJ$5),"■","")))</x:f>
      </x:c>
      <x:c r="BK71" s="7" t="str">
        <x:f>IF(OR($D71="",BK$5="",'상세일정'!AM71="제외"),"",IF($D71=$E71,IF(AND($D71&gt;=BK$5,$D71&lt;BK$5+7),"◆",""),IF(AND($D71&lt;BK$5+7,$E71&gt;BK$5),"■","")))</x:f>
      </x:c>
      <x:c r="BL71" s="7" t="str">
        <x:f>IF(OR($D71="",BL$5="",'상세일정'!AM71="제외"),"",IF($D71=$E71,IF(AND($D71&gt;=BL$5,$D71&lt;BL$5+7),"◆",""),IF(AND($D71&lt;BL$5+7,$E71&gt;BL$5),"■","")))</x:f>
      </x:c>
      <x:c r="BM71" s="7" t="str">
        <x:f>IF(OR($D71="",BM$5="",'상세일정'!AM71="제외"),"",IF($D71=$E71,IF(AND($D71&gt;=BM$5,$D71&lt;BM$5+7),"◆",""),IF(AND($D71&lt;BM$5+7,$E71&gt;BM$5),"■","")))</x:f>
      </x:c>
      <x:c r="BN71" s="7" t="str">
        <x:f>IF(OR($D71="",BN$5="",'상세일정'!AM71="제외"),"",IF($D71=$E71,IF(AND($D71&gt;=BN$5,$D71&lt;BN$5+7),"◆",""),IF(AND($D71&lt;BN$5+7,$E71&gt;BN$5),"■","")))</x:f>
      </x:c>
      <x:c r="BO71" s="7" t="str">
        <x:f>IF(OR($D71="",BO$5="",'상세일정'!AM71="제외"),"",IF($D71=$E71,IF(AND($D71&gt;=BO$5,$D71&lt;BO$5+7),"◆",""),IF(AND($D71&lt;BO$5+7,$E71&gt;BO$5),"■","")))</x:f>
      </x:c>
      <x:c r="BP71" s="7" t="str">
        <x:f>IF(OR($D71="",BP$5="",'상세일정'!AM71="제외"),"",IF($D71=$E71,IF(AND($D71&gt;=BP$5,$D71&lt;BP$5+7),"◆",""),IF(AND($D71&lt;BP$5+7,$E71&gt;BP$5),"■","")))</x:f>
      </x:c>
      <x:c r="BQ71" s="7" t="str">
        <x:f>IF(OR($D71="",BQ$5="",'상세일정'!AM71="제외"),"",IF($D71=$E71,IF(AND($D71&gt;=BQ$5,$D71&lt;BQ$5+7),"◆",""),IF(AND($D71&lt;BQ$5+7,$E71&gt;BQ$5),"■","")))</x:f>
      </x:c>
      <x:c r="BR71" s="7" t="str">
        <x:f>IF(OR($D71="",BR$5="",'상세일정'!AM71="제외"),"",IF($D71=$E71,IF(AND($D71&gt;=BR$5,$D71&lt;BR$5+7),"◆",""),IF(AND($D71&lt;BR$5+7,$E71&gt;BR$5),"■","")))</x:f>
      </x:c>
      <x:c r="BS71" s="7" t="str">
        <x:f>IF(OR($D71="",BS$5="",'상세일정'!AM71="제외"),"",IF($D71=$E71,IF(AND($D71&gt;=BS$5,$D71&lt;BS$5+7),"◆",""),IF(AND($D71&lt;BS$5+7,$E71&gt;BS$5),"■","")))</x:f>
      </x:c>
      <x:c r="BT71" s="7" t="str">
        <x:f>IF(OR($D71="",BT$5="",'상세일정'!AM71="제외"),"",IF($D71=$E71,IF(AND($D71&gt;=BT$5,$D71&lt;BT$5+7),"◆",""),IF(AND($D71&lt;BT$5+7,$E71&gt;BT$5),"■","")))</x:f>
      </x:c>
      <x:c r="BU71" s="7" t="str">
        <x:f>IF(OR($D71="",BU$5="",'상세일정'!AM71="제외"),"",IF($D71=$E71,IF(AND($D71&gt;=BU$5,$D71&lt;BU$5+7),"◆",""),IF(AND($D71&lt;BU$5+7,$E71&gt;BU$5),"■","")))</x:f>
      </x:c>
      <x:c r="BV71" s="7" t="str">
        <x:f>IF(OR($D71="",BV$5="",'상세일정'!AM71="제외"),"",IF($D71=$E71,IF(AND($D71&gt;=BV$5,$D71&lt;BV$5+7),"◆",""),IF(AND($D71&lt;BV$5+7,$E71&gt;BV$5),"■","")))</x:f>
      </x:c>
      <x:c r="BW71" s="7" t="str">
        <x:f>IF(OR($D71="",BW$5="",'상세일정'!AM71="제외"),"",IF($D71=$E71,IF(AND($D71&gt;=BW$5,$D71&lt;BW$5+7),"◆",""),IF(AND($D71&lt;BW$5+7,$E71&gt;BW$5),"■","")))</x:f>
      </x:c>
      <x:c r="BX71" s="7" t="str">
        <x:f>IF(OR($D71="",BX$5="",'상세일정'!AM71="제외"),"",IF($D71=$E71,IF(AND($D71&gt;=BX$5,$D71&lt;BX$5+7),"◆",""),IF(AND($D71&lt;BX$5+7,$E71&gt;BX$5),"■","")))</x:f>
      </x:c>
      <x:c r="BY71" s="7" t="str">
        <x:f>IF(OR($D71="",BY$5="",'상세일정'!AM71="제외"),"",IF($D71=$E71,IF(AND($D71&gt;=BY$5,$D71&lt;BY$5+7),"◆",""),IF(AND($D71&lt;BY$5+7,$E71&gt;BY$5),"■","")))</x:f>
      </x:c>
      <x:c r="BZ71" s="7" t="str">
        <x:f>IF(OR($D71="",BZ$5="",'상세일정'!AM71="제외"),"",IF($D71=$E71,IF(AND($D71&gt;=BZ$5,$D71&lt;BZ$5+7),"◆",""),IF(AND($D71&lt;BZ$5+7,$E71&gt;BZ$5),"■","")))</x:f>
      </x:c>
      <x:c r="CA71" s="7" t="str">
        <x:f>IF(OR($D71="",CA$5="",'상세일정'!AM71="제외"),"",IF($D71=$E71,IF(AND($D71&gt;=CA$5,$D71&lt;CA$5+7),"◆",""),IF(AND($D71&lt;CA$5+7,$E71&gt;CA$5),"■","")))</x:f>
      </x:c>
      <x:c r="CB71" s="7" t="str">
        <x:f>IF(OR($D71="",CB$5="",'상세일정'!AM71="제외"),"",IF($D71=$E71,IF(AND($D71&gt;=CB$5,$D71&lt;CB$5+7),"◆",""),IF(AND($D71&lt;CB$5+7,$E71&gt;CB$5),"■","")))</x:f>
      </x:c>
      <x:c r="CC71" s="7" t="str">
        <x:f>IF(OR($D71="",CC$5="",'상세일정'!AM71="제외"),"",IF($D71=$E71,IF(AND($D71&gt;=CC$5,$D71&lt;CC$5+7),"◆",""),IF(AND($D71&lt;CC$5+7,$E71&gt;CC$5),"■","")))</x:f>
      </x:c>
      <x:c r="CD71" s="7" t="str">
        <x:f>IF(OR($D71="",CD$5="",'상세일정'!AM71="제외"),"",IF($D71=$E71,IF(AND($D71&gt;=CD$5,$D71&lt;CD$5+7),"◆",""),IF(AND($D71&lt;CD$5+7,$E71&gt;CD$5),"■","")))</x:f>
      </x:c>
      <x:c r="CE71" s="7" t="str">
        <x:f>IF(OR($D71="",CE$5="",'상세일정'!AM71="제외"),"",IF($D71=$E71,IF(AND($D71&gt;=CE$5,$D71&lt;CE$5+7),"◆",""),IF(AND($D71&lt;CE$5+7,$E71&gt;CE$5),"■","")))</x:f>
      </x:c>
      <x:c r="CF71" s="7" t="str">
        <x:f>IF(OR($D71="",CF$5="",'상세일정'!AM71="제외"),"",IF($D71=$E71,IF(AND($D71&gt;=CF$5,$D71&lt;CF$5+7),"◆",""),IF(AND($D71&lt;CF$5+7,$E71&gt;CF$5),"■","")))</x:f>
      </x:c>
      <x:c r="CG71" s="7" t="str">
        <x:f>IF(OR($D71="",CG$5="",'상세일정'!AM71="제외"),"",IF($D71=$E71,IF(AND($D71&gt;=CG$5,$D71&lt;CG$5+7),"◆",""),IF(AND($D71&lt;CG$5+7,$E71&gt;CG$5),"■","")))</x:f>
      </x:c>
      <x:c r="CH71" s="7" t="str">
        <x:f>IF(OR($D71="",CH$5="",'상세일정'!AM71="제외"),"",IF($D71=$E71,IF(AND($D71&gt;=CH$5,$D71&lt;CH$5+7),"◆",""),IF(AND($D71&lt;CH$5+7,$E71&gt;CH$5),"■","")))</x:f>
      </x:c>
      <x:c r="CI71" s="7" t="str">
        <x:f>IF(OR($D71="",CI$5="",'상세일정'!AM71="제외"),"",IF($D71=$E71,IF(AND($D71&gt;=CI$5,$D71&lt;CI$5+7),"◆",""),IF(AND($D71&lt;CI$5+7,$E71&gt;CI$5),"■","")))</x:f>
      </x:c>
      <x:c r="CJ71" s="7" t="str">
        <x:f>IF(OR($D71="",CJ$5="",'상세일정'!AM71="제외"),"",IF($D71=$E71,IF(AND($D71&gt;=CJ$5,$D71&lt;CJ$5+7),"◆",""),IF(AND($D71&lt;CJ$5+7,$E71&gt;CJ$5),"■","")))</x:f>
      </x:c>
      <x:c r="CK71" s="7" t="str">
        <x:f>IF(OR($D71="",CK$5="",'상세일정'!AM71="제외"),"",IF($D71=$E71,IF(AND($D71&gt;=CK$5,$D71&lt;CK$5+7),"◆",""),IF(AND($D71&lt;CK$5+7,$E71&gt;CK$5),"■","")))</x:f>
      </x:c>
      <x:c r="CL71" s="7" t="str">
        <x:f>IF(OR($D71="",CL$5="",'상세일정'!AM71="제외"),"",IF($D71=$E71,IF(AND($D71&gt;=CL$5,$D71&lt;CL$5+7),"◆",""),IF(AND($D71&lt;CL$5+7,$E71&gt;CL$5),"■","")))</x:f>
      </x:c>
      <x:c r="CM71" s="7" t="str">
        <x:f>IF(OR($D71="",CM$5="",'상세일정'!AM71="제외"),"",IF($D71=$E71,IF(AND($D71&gt;=CM$5,$D71&lt;CM$5+7),"◆",""),IF(AND($D71&lt;CM$5+7,$E71&gt;CM$5),"■","")))</x:f>
      </x:c>
      <x:c r="CN71" s="7" t="str">
        <x:f>IF(OR($D71="",CN$5="",'상세일정'!AM71="제외"),"",IF($D71=$E71,IF(AND($D71&gt;=CN$5,$D71&lt;CN$5+7),"◆",""),IF(AND($D71&lt;CN$5+7,$E71&gt;CN$5),"■","")))</x:f>
      </x:c>
      <x:c r="CO71" s="7" t="str">
        <x:f>IF(OR($D71="",CO$5="",'상세일정'!AM71="제외"),"",IF($D71=$E71,IF(AND($D71&gt;=CO$5,$D71&lt;CO$5+7),"◆",""),IF(AND($D71&lt;CO$5+7,$E71&gt;CO$5),"■","")))</x:f>
      </x:c>
      <x:c r="CP71" s="7" t="str">
        <x:f>IF(OR($D71="",CP$5="",'상세일정'!AM71="제외"),"",IF($D71=$E71,IF(AND($D71&gt;=CP$5,$D71&lt;CP$5+7),"◆",""),IF(AND($D71&lt;CP$5+7,$E71&gt;CP$5),"■","")))</x:f>
      </x:c>
      <x:c r="CQ71" s="7" t="str">
        <x:f>IF(OR($D71="",CQ$5="",'상세일정'!AM71="제외"),"",IF($D71=$E71,IF(AND($D71&gt;=CQ$5,$D71&lt;CQ$5+7),"◆",""),IF(AND($D71&lt;CQ$5+7,$E71&gt;CQ$5),"■","")))</x:f>
      </x:c>
      <x:c r="CR71" s="7" t="str">
        <x:f>IF(OR($D71="",CR$5="",'상세일정'!AM71="제외"),"",IF($D71=$E71,IF(AND($D71&gt;=CR$5,$D71&lt;CR$5+7),"◆",""),IF(AND($D71&lt;CR$5+7,$E71&gt;CR$5),"■","")))</x:f>
      </x:c>
      <x:c r="CS71" s="7" t="str">
        <x:f>IF(OR($D71="",CS$5="",'상세일정'!AM71="제외"),"",IF($D71=$E71,IF(AND($D71&gt;=CS$5,$D71&lt;CS$5+7),"◆",""),IF(AND($D71&lt;CS$5+7,$E71&gt;CS$5),"■","")))</x:f>
      </x:c>
      <x:c r="CT71" s="7" t="str">
        <x:f>IF(OR($D71="",CT$5="",'상세일정'!AM71="제외"),"",IF($D71=$E71,IF(AND($D71&gt;=CT$5,$D71&lt;CT$5+7),"◆",""),IF(AND($D71&lt;CT$5+7,$E71&gt;CT$5),"■","")))</x:f>
      </x:c>
      <x:c r="CU71" s="7" t="str">
        <x:f>IF(OR($D71="",CU$5="",'상세일정'!AM71="제외"),"",IF($D71=$E71,IF(AND($D71&gt;=CU$5,$D71&lt;CU$5+7),"◆",""),IF(AND($D71&lt;CU$5+7,$E71&gt;CU$5),"■","")))</x:f>
      </x:c>
      <x:c r="CV71" s="7" t="str">
        <x:f>IF(OR($D71="",CV$5="",'상세일정'!AM71="제외"),"",IF($D71=$E71,IF(AND($D71&gt;=CV$5,$D71&lt;CV$5+7),"◆",""),IF(AND($D71&lt;CV$5+7,$E71&gt;CV$5),"■","")))</x:f>
      </x:c>
      <x:c r="CW71" s="7" t="str">
        <x:f>IF(OR($D71="",CW$5="",'상세일정'!AM71="제외"),"",IF($D71=$E71,IF(AND($D71&gt;=CW$5,$D71&lt;CW$5+7),"◆",""),IF(AND($D71&lt;CW$5+7,$E71&gt;CW$5),"■","")))</x:f>
      </x:c>
      <x:c r="CX71" s="7" t="str">
        <x:f>IF(OR($D71="",CX$5="",'상세일정'!AM71="제외"),"",IF($D71=$E71,IF(AND($D71&gt;=CX$5,$D71&lt;CX$5+7),"◆",""),IF(AND($D71&lt;CX$5+7,$E71&gt;CX$5),"■","")))</x:f>
      </x:c>
      <x:c r="CY71" s="7" t="str">
        <x:f>IF(OR($D71="",CY$5="",'상세일정'!AM71="제외"),"",IF($D71=$E71,IF(AND($D71&gt;=CY$5,$D71&lt;CY$5+7),"◆",""),IF(AND($D71&lt;CY$5+7,$E71&gt;CY$5),"■","")))</x:f>
      </x:c>
      <x:c r="CZ71" s="7" t="str">
        <x:f>IF(OR($D71="",CZ$5="",'상세일정'!AM71="제외"),"",IF($D71=$E71,IF(AND($D71&gt;=CZ$5,$D71&lt;CZ$5+7),"◆",""),IF(AND($D71&lt;CZ$5+7,$E71&gt;CZ$5),"■","")))</x:f>
      </x:c>
      <x:c r="DA71" s="7" t="str">
        <x:f>IF(OR($D71="",DA$5="",'상세일정'!AM71="제외"),"",IF($D71=$E71,IF(AND($D71&gt;=DA$5,$D71&lt;DA$5+7),"◆",""),IF(AND($D71&lt;DA$5+7,$E71&gt;DA$5),"■","")))</x:f>
      </x:c>
      <x:c r="DB71" s="7" t="str">
        <x:f>IF(OR($D71="",DB$5="",'상세일정'!AM71="제외"),"",IF($D71=$E71,IF(AND($D71&gt;=DB$5,$D71&lt;DB$5+7),"◆",""),IF(AND($D71&lt;DB$5+7,$E71&gt;DB$5),"■","")))</x:f>
      </x:c>
      <x:c r="DC71" s="7" t="str">
        <x:f>IF(OR($D71="",DC$5="",'상세일정'!AM71="제외"),"",IF($D71=$E71,IF(AND($D71&gt;=DC$5,$D71&lt;DC$5+7),"◆",""),IF(AND($D71&lt;DC$5+7,$E71&gt;DC$5),"■","")))</x:f>
      </x:c>
      <x:c r="DD71" s="7" t="str">
        <x:f>IF(OR($D71="",DD$5="",'상세일정'!AM71="제외"),"",IF($D71=$E71,IF(AND($D71&gt;=DD$5,$D71&lt;DD$5+7),"◆",""),IF(AND($D71&lt;DD$5+7,$E71&gt;DD$5),"■","")))</x:f>
      </x:c>
      <x:c r="DE71" s="7" t="str">
        <x:f>IF(OR($D71="",DE$5="",'상세일정'!AM71="제외"),"",IF($D71=$E71,IF(AND($D71&gt;=DE$5,$D71&lt;DE$5+7),"◆",""),IF(AND($D71&lt;DE$5+7,$E71&gt;DE$5),"■","")))</x:f>
      </x:c>
    </x:row>
    <x:row r="72" ht="34" customHeight="1">
      <x:c r="A72" s="7" t="str">
        <x:v>HZ03</x:v>
      </x:c>
      <x:c r="B72" s="7" t="str">
        <x:v>11 위험성평가</x:v>
      </x:c>
      <x:c r="C72" s="7" t="str">
        <x:v>공정 위험성평가 회의 실시</x:v>
      </x:c>
      <x:c r="D72" s="10" t="str">
        <x:f>'상세일정'!AJ72</x:f>
      </x:c>
      <x:c r="E72" s="10" t="str">
        <x:f>'상세일정'!AK72</x:f>
      </x:c>
      <x:c r="F72" s="7" t="str">
        <x:f>IF(OR($D72="",F$5="",'상세일정'!AM72="제외"),"",IF($D72=$E72,IF(AND($D72&gt;=F$5,$D72&lt;F$5+7),"◆",""),IF(AND($D72&lt;F$5+7,$E72&gt;F$5),"■","")))</x:f>
      </x:c>
      <x:c r="G72" s="7" t="str">
        <x:f>IF(OR($D72="",G$5="",'상세일정'!AM72="제외"),"",IF($D72=$E72,IF(AND($D72&gt;=G$5,$D72&lt;G$5+7),"◆",""),IF(AND($D72&lt;G$5+7,$E72&gt;G$5),"■","")))</x:f>
      </x:c>
      <x:c r="H72" s="7" t="str">
        <x:f>IF(OR($D72="",H$5="",'상세일정'!AM72="제외"),"",IF($D72=$E72,IF(AND($D72&gt;=H$5,$D72&lt;H$5+7),"◆",""),IF(AND($D72&lt;H$5+7,$E72&gt;H$5),"■","")))</x:f>
      </x:c>
      <x:c r="I72" s="7" t="str">
        <x:f>IF(OR($D72="",I$5="",'상세일정'!AM72="제외"),"",IF($D72=$E72,IF(AND($D72&gt;=I$5,$D72&lt;I$5+7),"◆",""),IF(AND($D72&lt;I$5+7,$E72&gt;I$5),"■","")))</x:f>
      </x:c>
      <x:c r="J72" s="7" t="str">
        <x:f>IF(OR($D72="",J$5="",'상세일정'!AM72="제외"),"",IF($D72=$E72,IF(AND($D72&gt;=J$5,$D72&lt;J$5+7),"◆",""),IF(AND($D72&lt;J$5+7,$E72&gt;J$5),"■","")))</x:f>
      </x:c>
      <x:c r="K72" s="7" t="str">
        <x:f>IF(OR($D72="",K$5="",'상세일정'!AM72="제외"),"",IF($D72=$E72,IF(AND($D72&gt;=K$5,$D72&lt;K$5+7),"◆",""),IF(AND($D72&lt;K$5+7,$E72&gt;K$5),"■","")))</x:f>
      </x:c>
      <x:c r="L72" s="7" t="str">
        <x:f>IF(OR($D72="",L$5="",'상세일정'!AM72="제외"),"",IF($D72=$E72,IF(AND($D72&gt;=L$5,$D72&lt;L$5+7),"◆",""),IF(AND($D72&lt;L$5+7,$E72&gt;L$5),"■","")))</x:f>
      </x:c>
      <x:c r="M72" s="7" t="str">
        <x:f>IF(OR($D72="",M$5="",'상세일정'!AM72="제외"),"",IF($D72=$E72,IF(AND($D72&gt;=M$5,$D72&lt;M$5+7),"◆",""),IF(AND($D72&lt;M$5+7,$E72&gt;M$5),"■","")))</x:f>
      </x:c>
      <x:c r="N72" s="7" t="str">
        <x:f>IF(OR($D72="",N$5="",'상세일정'!AM72="제외"),"",IF($D72=$E72,IF(AND($D72&gt;=N$5,$D72&lt;N$5+7),"◆",""),IF(AND($D72&lt;N$5+7,$E72&gt;N$5),"■","")))</x:f>
      </x:c>
      <x:c r="O72" s="7" t="str">
        <x:f>IF(OR($D72="",O$5="",'상세일정'!AM72="제외"),"",IF($D72=$E72,IF(AND($D72&gt;=O$5,$D72&lt;O$5+7),"◆",""),IF(AND($D72&lt;O$5+7,$E72&gt;O$5),"■","")))</x:f>
      </x:c>
      <x:c r="P72" s="7" t="str">
        <x:f>IF(OR($D72="",P$5="",'상세일정'!AM72="제외"),"",IF($D72=$E72,IF(AND($D72&gt;=P$5,$D72&lt;P$5+7),"◆",""),IF(AND($D72&lt;P$5+7,$E72&gt;P$5),"■","")))</x:f>
      </x:c>
      <x:c r="Q72" s="7" t="str">
        <x:f>IF(OR($D72="",Q$5="",'상세일정'!AM72="제외"),"",IF($D72=$E72,IF(AND($D72&gt;=Q$5,$D72&lt;Q$5+7),"◆",""),IF(AND($D72&lt;Q$5+7,$E72&gt;Q$5),"■","")))</x:f>
      </x:c>
      <x:c r="R72" s="7" t="str">
        <x:f>IF(OR($D72="",R$5="",'상세일정'!AM72="제외"),"",IF($D72=$E72,IF(AND($D72&gt;=R$5,$D72&lt;R$5+7),"◆",""),IF(AND($D72&lt;R$5+7,$E72&gt;R$5),"■","")))</x:f>
      </x:c>
      <x:c r="S72" s="7" t="str">
        <x:f>IF(OR($D72="",S$5="",'상세일정'!AM72="제외"),"",IF($D72=$E72,IF(AND($D72&gt;=S$5,$D72&lt;S$5+7),"◆",""),IF(AND($D72&lt;S$5+7,$E72&gt;S$5),"■","")))</x:f>
      </x:c>
      <x:c r="T72" s="7" t="str">
        <x:f>IF(OR($D72="",T$5="",'상세일정'!AM72="제외"),"",IF($D72=$E72,IF(AND($D72&gt;=T$5,$D72&lt;T$5+7),"◆",""),IF(AND($D72&lt;T$5+7,$E72&gt;T$5),"■","")))</x:f>
      </x:c>
      <x:c r="U72" s="7" t="str">
        <x:f>IF(OR($D72="",U$5="",'상세일정'!AM72="제외"),"",IF($D72=$E72,IF(AND($D72&gt;=U$5,$D72&lt;U$5+7),"◆",""),IF(AND($D72&lt;U$5+7,$E72&gt;U$5),"■","")))</x:f>
      </x:c>
      <x:c r="V72" s="7" t="str">
        <x:f>IF(OR($D72="",V$5="",'상세일정'!AM72="제외"),"",IF($D72=$E72,IF(AND($D72&gt;=V$5,$D72&lt;V$5+7),"◆",""),IF(AND($D72&lt;V$5+7,$E72&gt;V$5),"■","")))</x:f>
      </x:c>
      <x:c r="W72" s="7" t="str">
        <x:f>IF(OR($D72="",W$5="",'상세일정'!AM72="제외"),"",IF($D72=$E72,IF(AND($D72&gt;=W$5,$D72&lt;W$5+7),"◆",""),IF(AND($D72&lt;W$5+7,$E72&gt;W$5),"■","")))</x:f>
      </x:c>
      <x:c r="X72" s="7" t="str">
        <x:f>IF(OR($D72="",X$5="",'상세일정'!AM72="제외"),"",IF($D72=$E72,IF(AND($D72&gt;=X$5,$D72&lt;X$5+7),"◆",""),IF(AND($D72&lt;X$5+7,$E72&gt;X$5),"■","")))</x:f>
      </x:c>
      <x:c r="Y72" s="7" t="str">
        <x:f>IF(OR($D72="",Y$5="",'상세일정'!AM72="제외"),"",IF($D72=$E72,IF(AND($D72&gt;=Y$5,$D72&lt;Y$5+7),"◆",""),IF(AND($D72&lt;Y$5+7,$E72&gt;Y$5),"■","")))</x:f>
      </x:c>
      <x:c r="Z72" s="7" t="str">
        <x:f>IF(OR($D72="",Z$5="",'상세일정'!AM72="제외"),"",IF($D72=$E72,IF(AND($D72&gt;=Z$5,$D72&lt;Z$5+7),"◆",""),IF(AND($D72&lt;Z$5+7,$E72&gt;Z$5),"■","")))</x:f>
      </x:c>
      <x:c r="AA72" s="7" t="str">
        <x:f>IF(OR($D72="",AA$5="",'상세일정'!AM72="제외"),"",IF($D72=$E72,IF(AND($D72&gt;=AA$5,$D72&lt;AA$5+7),"◆",""),IF(AND($D72&lt;AA$5+7,$E72&gt;AA$5),"■","")))</x:f>
      </x:c>
      <x:c r="AB72" s="7" t="str">
        <x:f>IF(OR($D72="",AB$5="",'상세일정'!AM72="제외"),"",IF($D72=$E72,IF(AND($D72&gt;=AB$5,$D72&lt;AB$5+7),"◆",""),IF(AND($D72&lt;AB$5+7,$E72&gt;AB$5),"■","")))</x:f>
      </x:c>
      <x:c r="AC72" s="7" t="str">
        <x:f>IF(OR($D72="",AC$5="",'상세일정'!AM72="제외"),"",IF($D72=$E72,IF(AND($D72&gt;=AC$5,$D72&lt;AC$5+7),"◆",""),IF(AND($D72&lt;AC$5+7,$E72&gt;AC$5),"■","")))</x:f>
      </x:c>
      <x:c r="AD72" s="7" t="str">
        <x:f>IF(OR($D72="",AD$5="",'상세일정'!AM72="제외"),"",IF($D72=$E72,IF(AND($D72&gt;=AD$5,$D72&lt;AD$5+7),"◆",""),IF(AND($D72&lt;AD$5+7,$E72&gt;AD$5),"■","")))</x:f>
      </x:c>
      <x:c r="AE72" s="7" t="str">
        <x:f>IF(OR($D72="",AE$5="",'상세일정'!AM72="제외"),"",IF($D72=$E72,IF(AND($D72&gt;=AE$5,$D72&lt;AE$5+7),"◆",""),IF(AND($D72&lt;AE$5+7,$E72&gt;AE$5),"■","")))</x:f>
      </x:c>
      <x:c r="AF72" s="7" t="str">
        <x:f>IF(OR($D72="",AF$5="",'상세일정'!AM72="제외"),"",IF($D72=$E72,IF(AND($D72&gt;=AF$5,$D72&lt;AF$5+7),"◆",""),IF(AND($D72&lt;AF$5+7,$E72&gt;AF$5),"■","")))</x:f>
      </x:c>
      <x:c r="AG72" s="7" t="str">
        <x:f>IF(OR($D72="",AG$5="",'상세일정'!AM72="제외"),"",IF($D72=$E72,IF(AND($D72&gt;=AG$5,$D72&lt;AG$5+7),"◆",""),IF(AND($D72&lt;AG$5+7,$E72&gt;AG$5),"■","")))</x:f>
      </x:c>
      <x:c r="AH72" s="7" t="str">
        <x:f>IF(OR($D72="",AH$5="",'상세일정'!AM72="제외"),"",IF($D72=$E72,IF(AND($D72&gt;=AH$5,$D72&lt;AH$5+7),"◆",""),IF(AND($D72&lt;AH$5+7,$E72&gt;AH$5),"■","")))</x:f>
      </x:c>
      <x:c r="AI72" s="7" t="str">
        <x:f>IF(OR($D72="",AI$5="",'상세일정'!AM72="제외"),"",IF($D72=$E72,IF(AND($D72&gt;=AI$5,$D72&lt;AI$5+7),"◆",""),IF(AND($D72&lt;AI$5+7,$E72&gt;AI$5),"■","")))</x:f>
      </x:c>
      <x:c r="AJ72" s="7" t="str">
        <x:f>IF(OR($D72="",AJ$5="",'상세일정'!AM72="제외"),"",IF($D72=$E72,IF(AND($D72&gt;=AJ$5,$D72&lt;AJ$5+7),"◆",""),IF(AND($D72&lt;AJ$5+7,$E72&gt;AJ$5),"■","")))</x:f>
      </x:c>
      <x:c r="AK72" s="7" t="str">
        <x:f>IF(OR($D72="",AK$5="",'상세일정'!AM72="제외"),"",IF($D72=$E72,IF(AND($D72&gt;=AK$5,$D72&lt;AK$5+7),"◆",""),IF(AND($D72&lt;AK$5+7,$E72&gt;AK$5),"■","")))</x:f>
      </x:c>
      <x:c r="AL72" s="7" t="str">
        <x:f>IF(OR($D72="",AL$5="",'상세일정'!AM72="제외"),"",IF($D72=$E72,IF(AND($D72&gt;=AL$5,$D72&lt;AL$5+7),"◆",""),IF(AND($D72&lt;AL$5+7,$E72&gt;AL$5),"■","")))</x:f>
      </x:c>
      <x:c r="AM72" s="7" t="str">
        <x:f>IF(OR($D72="",AM$5="",'상세일정'!AM72="제외"),"",IF($D72=$E72,IF(AND($D72&gt;=AM$5,$D72&lt;AM$5+7),"◆",""),IF(AND($D72&lt;AM$5+7,$E72&gt;AM$5),"■","")))</x:f>
      </x:c>
      <x:c r="AN72" s="7" t="str">
        <x:f>IF(OR($D72="",AN$5="",'상세일정'!AM72="제외"),"",IF($D72=$E72,IF(AND($D72&gt;=AN$5,$D72&lt;AN$5+7),"◆",""),IF(AND($D72&lt;AN$5+7,$E72&gt;AN$5),"■","")))</x:f>
      </x:c>
      <x:c r="AO72" s="7" t="str">
        <x:f>IF(OR($D72="",AO$5="",'상세일정'!AM72="제외"),"",IF($D72=$E72,IF(AND($D72&gt;=AO$5,$D72&lt;AO$5+7),"◆",""),IF(AND($D72&lt;AO$5+7,$E72&gt;AO$5),"■","")))</x:f>
      </x:c>
      <x:c r="AP72" s="7" t="str">
        <x:f>IF(OR($D72="",AP$5="",'상세일정'!AM72="제외"),"",IF($D72=$E72,IF(AND($D72&gt;=AP$5,$D72&lt;AP$5+7),"◆",""),IF(AND($D72&lt;AP$5+7,$E72&gt;AP$5),"■","")))</x:f>
      </x:c>
      <x:c r="AQ72" s="7" t="str">
        <x:f>IF(OR($D72="",AQ$5="",'상세일정'!AM72="제외"),"",IF($D72=$E72,IF(AND($D72&gt;=AQ$5,$D72&lt;AQ$5+7),"◆",""),IF(AND($D72&lt;AQ$5+7,$E72&gt;AQ$5),"■","")))</x:f>
      </x:c>
      <x:c r="AR72" s="7" t="str">
        <x:f>IF(OR($D72="",AR$5="",'상세일정'!AM72="제외"),"",IF($D72=$E72,IF(AND($D72&gt;=AR$5,$D72&lt;AR$5+7),"◆",""),IF(AND($D72&lt;AR$5+7,$E72&gt;AR$5),"■","")))</x:f>
      </x:c>
      <x:c r="AS72" s="7" t="str">
        <x:f>IF(OR($D72="",AS$5="",'상세일정'!AM72="제외"),"",IF($D72=$E72,IF(AND($D72&gt;=AS$5,$D72&lt;AS$5+7),"◆",""),IF(AND($D72&lt;AS$5+7,$E72&gt;AS$5),"■","")))</x:f>
      </x:c>
      <x:c r="AT72" s="7" t="str">
        <x:f>IF(OR($D72="",AT$5="",'상세일정'!AM72="제외"),"",IF($D72=$E72,IF(AND($D72&gt;=AT$5,$D72&lt;AT$5+7),"◆",""),IF(AND($D72&lt;AT$5+7,$E72&gt;AT$5),"■","")))</x:f>
      </x:c>
      <x:c r="AU72" s="7" t="str">
        <x:f>IF(OR($D72="",AU$5="",'상세일정'!AM72="제외"),"",IF($D72=$E72,IF(AND($D72&gt;=AU$5,$D72&lt;AU$5+7),"◆",""),IF(AND($D72&lt;AU$5+7,$E72&gt;AU$5),"■","")))</x:f>
      </x:c>
      <x:c r="AV72" s="7" t="str">
        <x:f>IF(OR($D72="",AV$5="",'상세일정'!AM72="제외"),"",IF($D72=$E72,IF(AND($D72&gt;=AV$5,$D72&lt;AV$5+7),"◆",""),IF(AND($D72&lt;AV$5+7,$E72&gt;AV$5),"■","")))</x:f>
      </x:c>
      <x:c r="AW72" s="7" t="str">
        <x:f>IF(OR($D72="",AW$5="",'상세일정'!AM72="제외"),"",IF($D72=$E72,IF(AND($D72&gt;=AW$5,$D72&lt;AW$5+7),"◆",""),IF(AND($D72&lt;AW$5+7,$E72&gt;AW$5),"■","")))</x:f>
      </x:c>
      <x:c r="AX72" s="7" t="str">
        <x:f>IF(OR($D72="",AX$5="",'상세일정'!AM72="제외"),"",IF($D72=$E72,IF(AND($D72&gt;=AX$5,$D72&lt;AX$5+7),"◆",""),IF(AND($D72&lt;AX$5+7,$E72&gt;AX$5),"■","")))</x:f>
      </x:c>
      <x:c r="AY72" s="7" t="str">
        <x:f>IF(OR($D72="",AY$5="",'상세일정'!AM72="제외"),"",IF($D72=$E72,IF(AND($D72&gt;=AY$5,$D72&lt;AY$5+7),"◆",""),IF(AND($D72&lt;AY$5+7,$E72&gt;AY$5),"■","")))</x:f>
      </x:c>
      <x:c r="AZ72" s="7" t="str">
        <x:f>IF(OR($D72="",AZ$5="",'상세일정'!AM72="제외"),"",IF($D72=$E72,IF(AND($D72&gt;=AZ$5,$D72&lt;AZ$5+7),"◆",""),IF(AND($D72&lt;AZ$5+7,$E72&gt;AZ$5),"■","")))</x:f>
      </x:c>
      <x:c r="BA72" s="7" t="str">
        <x:f>IF(OR($D72="",BA$5="",'상세일정'!AM72="제외"),"",IF($D72=$E72,IF(AND($D72&gt;=BA$5,$D72&lt;BA$5+7),"◆",""),IF(AND($D72&lt;BA$5+7,$E72&gt;BA$5),"■","")))</x:f>
      </x:c>
      <x:c r="BB72" s="7" t="str">
        <x:f>IF(OR($D72="",BB$5="",'상세일정'!AM72="제외"),"",IF($D72=$E72,IF(AND($D72&gt;=BB$5,$D72&lt;BB$5+7),"◆",""),IF(AND($D72&lt;BB$5+7,$E72&gt;BB$5),"■","")))</x:f>
      </x:c>
      <x:c r="BC72" s="7" t="str">
        <x:f>IF(OR($D72="",BC$5="",'상세일정'!AM72="제외"),"",IF($D72=$E72,IF(AND($D72&gt;=BC$5,$D72&lt;BC$5+7),"◆",""),IF(AND($D72&lt;BC$5+7,$E72&gt;BC$5),"■","")))</x:f>
      </x:c>
      <x:c r="BD72" s="7" t="str">
        <x:f>IF(OR($D72="",BD$5="",'상세일정'!AM72="제외"),"",IF($D72=$E72,IF(AND($D72&gt;=BD$5,$D72&lt;BD$5+7),"◆",""),IF(AND($D72&lt;BD$5+7,$E72&gt;BD$5),"■","")))</x:f>
      </x:c>
      <x:c r="BE72" s="7" t="str">
        <x:f>IF(OR($D72="",BE$5="",'상세일정'!AM72="제외"),"",IF($D72=$E72,IF(AND($D72&gt;=BE$5,$D72&lt;BE$5+7),"◆",""),IF(AND($D72&lt;BE$5+7,$E72&gt;BE$5),"■","")))</x:f>
      </x:c>
      <x:c r="BF72" s="7" t="str">
        <x:f>IF(OR($D72="",BF$5="",'상세일정'!AM72="제외"),"",IF($D72=$E72,IF(AND($D72&gt;=BF$5,$D72&lt;BF$5+7),"◆",""),IF(AND($D72&lt;BF$5+7,$E72&gt;BF$5),"■","")))</x:f>
      </x:c>
      <x:c r="BG72" s="7" t="str">
        <x:f>IF(OR($D72="",BG$5="",'상세일정'!AM72="제외"),"",IF($D72=$E72,IF(AND($D72&gt;=BG$5,$D72&lt;BG$5+7),"◆",""),IF(AND($D72&lt;BG$5+7,$E72&gt;BG$5),"■","")))</x:f>
      </x:c>
      <x:c r="BH72" s="7" t="str">
        <x:f>IF(OR($D72="",BH$5="",'상세일정'!AM72="제외"),"",IF($D72=$E72,IF(AND($D72&gt;=BH$5,$D72&lt;BH$5+7),"◆",""),IF(AND($D72&lt;BH$5+7,$E72&gt;BH$5),"■","")))</x:f>
      </x:c>
      <x:c r="BI72" s="7" t="str">
        <x:f>IF(OR($D72="",BI$5="",'상세일정'!AM72="제외"),"",IF($D72=$E72,IF(AND($D72&gt;=BI$5,$D72&lt;BI$5+7),"◆",""),IF(AND($D72&lt;BI$5+7,$E72&gt;BI$5),"■","")))</x:f>
      </x:c>
      <x:c r="BJ72" s="7" t="str">
        <x:f>IF(OR($D72="",BJ$5="",'상세일정'!AM72="제외"),"",IF($D72=$E72,IF(AND($D72&gt;=BJ$5,$D72&lt;BJ$5+7),"◆",""),IF(AND($D72&lt;BJ$5+7,$E72&gt;BJ$5),"■","")))</x:f>
      </x:c>
      <x:c r="BK72" s="7" t="str">
        <x:f>IF(OR($D72="",BK$5="",'상세일정'!AM72="제외"),"",IF($D72=$E72,IF(AND($D72&gt;=BK$5,$D72&lt;BK$5+7),"◆",""),IF(AND($D72&lt;BK$5+7,$E72&gt;BK$5),"■","")))</x:f>
      </x:c>
      <x:c r="BL72" s="7" t="str">
        <x:f>IF(OR($D72="",BL$5="",'상세일정'!AM72="제외"),"",IF($D72=$E72,IF(AND($D72&gt;=BL$5,$D72&lt;BL$5+7),"◆",""),IF(AND($D72&lt;BL$5+7,$E72&gt;BL$5),"■","")))</x:f>
      </x:c>
      <x:c r="BM72" s="7" t="str">
        <x:f>IF(OR($D72="",BM$5="",'상세일정'!AM72="제외"),"",IF($D72=$E72,IF(AND($D72&gt;=BM$5,$D72&lt;BM$5+7),"◆",""),IF(AND($D72&lt;BM$5+7,$E72&gt;BM$5),"■","")))</x:f>
      </x:c>
      <x:c r="BN72" s="7" t="str">
        <x:f>IF(OR($D72="",BN$5="",'상세일정'!AM72="제외"),"",IF($D72=$E72,IF(AND($D72&gt;=BN$5,$D72&lt;BN$5+7),"◆",""),IF(AND($D72&lt;BN$5+7,$E72&gt;BN$5),"■","")))</x:f>
      </x:c>
      <x:c r="BO72" s="7" t="str">
        <x:f>IF(OR($D72="",BO$5="",'상세일정'!AM72="제외"),"",IF($D72=$E72,IF(AND($D72&gt;=BO$5,$D72&lt;BO$5+7),"◆",""),IF(AND($D72&lt;BO$5+7,$E72&gt;BO$5),"■","")))</x:f>
      </x:c>
      <x:c r="BP72" s="7" t="str">
        <x:f>IF(OR($D72="",BP$5="",'상세일정'!AM72="제외"),"",IF($D72=$E72,IF(AND($D72&gt;=BP$5,$D72&lt;BP$5+7),"◆",""),IF(AND($D72&lt;BP$5+7,$E72&gt;BP$5),"■","")))</x:f>
      </x:c>
      <x:c r="BQ72" s="7" t="str">
        <x:f>IF(OR($D72="",BQ$5="",'상세일정'!AM72="제외"),"",IF($D72=$E72,IF(AND($D72&gt;=BQ$5,$D72&lt;BQ$5+7),"◆",""),IF(AND($D72&lt;BQ$5+7,$E72&gt;BQ$5),"■","")))</x:f>
      </x:c>
      <x:c r="BR72" s="7" t="str">
        <x:f>IF(OR($D72="",BR$5="",'상세일정'!AM72="제외"),"",IF($D72=$E72,IF(AND($D72&gt;=BR$5,$D72&lt;BR$5+7),"◆",""),IF(AND($D72&lt;BR$5+7,$E72&gt;BR$5),"■","")))</x:f>
      </x:c>
      <x:c r="BS72" s="7" t="str">
        <x:f>IF(OR($D72="",BS$5="",'상세일정'!AM72="제외"),"",IF($D72=$E72,IF(AND($D72&gt;=BS$5,$D72&lt;BS$5+7),"◆",""),IF(AND($D72&lt;BS$5+7,$E72&gt;BS$5),"■","")))</x:f>
      </x:c>
      <x:c r="BT72" s="7" t="str">
        <x:f>IF(OR($D72="",BT$5="",'상세일정'!AM72="제외"),"",IF($D72=$E72,IF(AND($D72&gt;=BT$5,$D72&lt;BT$5+7),"◆",""),IF(AND($D72&lt;BT$5+7,$E72&gt;BT$5),"■","")))</x:f>
      </x:c>
      <x:c r="BU72" s="7" t="str">
        <x:f>IF(OR($D72="",BU$5="",'상세일정'!AM72="제외"),"",IF($D72=$E72,IF(AND($D72&gt;=BU$5,$D72&lt;BU$5+7),"◆",""),IF(AND($D72&lt;BU$5+7,$E72&gt;BU$5),"■","")))</x:f>
      </x:c>
      <x:c r="BV72" s="7" t="str">
        <x:f>IF(OR($D72="",BV$5="",'상세일정'!AM72="제외"),"",IF($D72=$E72,IF(AND($D72&gt;=BV$5,$D72&lt;BV$5+7),"◆",""),IF(AND($D72&lt;BV$5+7,$E72&gt;BV$5),"■","")))</x:f>
      </x:c>
      <x:c r="BW72" s="7" t="str">
        <x:f>IF(OR($D72="",BW$5="",'상세일정'!AM72="제외"),"",IF($D72=$E72,IF(AND($D72&gt;=BW$5,$D72&lt;BW$5+7),"◆",""),IF(AND($D72&lt;BW$5+7,$E72&gt;BW$5),"■","")))</x:f>
      </x:c>
      <x:c r="BX72" s="7" t="str">
        <x:f>IF(OR($D72="",BX$5="",'상세일정'!AM72="제외"),"",IF($D72=$E72,IF(AND($D72&gt;=BX$5,$D72&lt;BX$5+7),"◆",""),IF(AND($D72&lt;BX$5+7,$E72&gt;BX$5),"■","")))</x:f>
      </x:c>
      <x:c r="BY72" s="7" t="str">
        <x:f>IF(OR($D72="",BY$5="",'상세일정'!AM72="제외"),"",IF($D72=$E72,IF(AND($D72&gt;=BY$5,$D72&lt;BY$5+7),"◆",""),IF(AND($D72&lt;BY$5+7,$E72&gt;BY$5),"■","")))</x:f>
      </x:c>
      <x:c r="BZ72" s="7" t="str">
        <x:f>IF(OR($D72="",BZ$5="",'상세일정'!AM72="제외"),"",IF($D72=$E72,IF(AND($D72&gt;=BZ$5,$D72&lt;BZ$5+7),"◆",""),IF(AND($D72&lt;BZ$5+7,$E72&gt;BZ$5),"■","")))</x:f>
      </x:c>
      <x:c r="CA72" s="7" t="str">
        <x:f>IF(OR($D72="",CA$5="",'상세일정'!AM72="제외"),"",IF($D72=$E72,IF(AND($D72&gt;=CA$5,$D72&lt;CA$5+7),"◆",""),IF(AND($D72&lt;CA$5+7,$E72&gt;CA$5),"■","")))</x:f>
      </x:c>
      <x:c r="CB72" s="7" t="str">
        <x:f>IF(OR($D72="",CB$5="",'상세일정'!AM72="제외"),"",IF($D72=$E72,IF(AND($D72&gt;=CB$5,$D72&lt;CB$5+7),"◆",""),IF(AND($D72&lt;CB$5+7,$E72&gt;CB$5),"■","")))</x:f>
      </x:c>
      <x:c r="CC72" s="7" t="str">
        <x:f>IF(OR($D72="",CC$5="",'상세일정'!AM72="제외"),"",IF($D72=$E72,IF(AND($D72&gt;=CC$5,$D72&lt;CC$5+7),"◆",""),IF(AND($D72&lt;CC$5+7,$E72&gt;CC$5),"■","")))</x:f>
      </x:c>
      <x:c r="CD72" s="7" t="str">
        <x:f>IF(OR($D72="",CD$5="",'상세일정'!AM72="제외"),"",IF($D72=$E72,IF(AND($D72&gt;=CD$5,$D72&lt;CD$5+7),"◆",""),IF(AND($D72&lt;CD$5+7,$E72&gt;CD$5),"■","")))</x:f>
      </x:c>
      <x:c r="CE72" s="7" t="str">
        <x:f>IF(OR($D72="",CE$5="",'상세일정'!AM72="제외"),"",IF($D72=$E72,IF(AND($D72&gt;=CE$5,$D72&lt;CE$5+7),"◆",""),IF(AND($D72&lt;CE$5+7,$E72&gt;CE$5),"■","")))</x:f>
      </x:c>
      <x:c r="CF72" s="7" t="str">
        <x:f>IF(OR($D72="",CF$5="",'상세일정'!AM72="제외"),"",IF($D72=$E72,IF(AND($D72&gt;=CF$5,$D72&lt;CF$5+7),"◆",""),IF(AND($D72&lt;CF$5+7,$E72&gt;CF$5),"■","")))</x:f>
      </x:c>
      <x:c r="CG72" s="7" t="str">
        <x:f>IF(OR($D72="",CG$5="",'상세일정'!AM72="제외"),"",IF($D72=$E72,IF(AND($D72&gt;=CG$5,$D72&lt;CG$5+7),"◆",""),IF(AND($D72&lt;CG$5+7,$E72&gt;CG$5),"■","")))</x:f>
      </x:c>
      <x:c r="CH72" s="7" t="str">
        <x:f>IF(OR($D72="",CH$5="",'상세일정'!AM72="제외"),"",IF($D72=$E72,IF(AND($D72&gt;=CH$5,$D72&lt;CH$5+7),"◆",""),IF(AND($D72&lt;CH$5+7,$E72&gt;CH$5),"■","")))</x:f>
      </x:c>
      <x:c r="CI72" s="7" t="str">
        <x:f>IF(OR($D72="",CI$5="",'상세일정'!AM72="제외"),"",IF($D72=$E72,IF(AND($D72&gt;=CI$5,$D72&lt;CI$5+7),"◆",""),IF(AND($D72&lt;CI$5+7,$E72&gt;CI$5),"■","")))</x:f>
      </x:c>
      <x:c r="CJ72" s="7" t="str">
        <x:f>IF(OR($D72="",CJ$5="",'상세일정'!AM72="제외"),"",IF($D72=$E72,IF(AND($D72&gt;=CJ$5,$D72&lt;CJ$5+7),"◆",""),IF(AND($D72&lt;CJ$5+7,$E72&gt;CJ$5),"■","")))</x:f>
      </x:c>
      <x:c r="CK72" s="7" t="str">
        <x:f>IF(OR($D72="",CK$5="",'상세일정'!AM72="제외"),"",IF($D72=$E72,IF(AND($D72&gt;=CK$5,$D72&lt;CK$5+7),"◆",""),IF(AND($D72&lt;CK$5+7,$E72&gt;CK$5),"■","")))</x:f>
      </x:c>
      <x:c r="CL72" s="7" t="str">
        <x:f>IF(OR($D72="",CL$5="",'상세일정'!AM72="제외"),"",IF($D72=$E72,IF(AND($D72&gt;=CL$5,$D72&lt;CL$5+7),"◆",""),IF(AND($D72&lt;CL$5+7,$E72&gt;CL$5),"■","")))</x:f>
      </x:c>
      <x:c r="CM72" s="7" t="str">
        <x:f>IF(OR($D72="",CM$5="",'상세일정'!AM72="제외"),"",IF($D72=$E72,IF(AND($D72&gt;=CM$5,$D72&lt;CM$5+7),"◆",""),IF(AND($D72&lt;CM$5+7,$E72&gt;CM$5),"■","")))</x:f>
      </x:c>
      <x:c r="CN72" s="7" t="str">
        <x:f>IF(OR($D72="",CN$5="",'상세일정'!AM72="제외"),"",IF($D72=$E72,IF(AND($D72&gt;=CN$5,$D72&lt;CN$5+7),"◆",""),IF(AND($D72&lt;CN$5+7,$E72&gt;CN$5),"■","")))</x:f>
      </x:c>
      <x:c r="CO72" s="7" t="str">
        <x:f>IF(OR($D72="",CO$5="",'상세일정'!AM72="제외"),"",IF($D72=$E72,IF(AND($D72&gt;=CO$5,$D72&lt;CO$5+7),"◆",""),IF(AND($D72&lt;CO$5+7,$E72&gt;CO$5),"■","")))</x:f>
      </x:c>
      <x:c r="CP72" s="7" t="str">
        <x:f>IF(OR($D72="",CP$5="",'상세일정'!AM72="제외"),"",IF($D72=$E72,IF(AND($D72&gt;=CP$5,$D72&lt;CP$5+7),"◆",""),IF(AND($D72&lt;CP$5+7,$E72&gt;CP$5),"■","")))</x:f>
      </x:c>
      <x:c r="CQ72" s="7" t="str">
        <x:f>IF(OR($D72="",CQ$5="",'상세일정'!AM72="제외"),"",IF($D72=$E72,IF(AND($D72&gt;=CQ$5,$D72&lt;CQ$5+7),"◆",""),IF(AND($D72&lt;CQ$5+7,$E72&gt;CQ$5),"■","")))</x:f>
      </x:c>
      <x:c r="CR72" s="7" t="str">
        <x:f>IF(OR($D72="",CR$5="",'상세일정'!AM72="제외"),"",IF($D72=$E72,IF(AND($D72&gt;=CR$5,$D72&lt;CR$5+7),"◆",""),IF(AND($D72&lt;CR$5+7,$E72&gt;CR$5),"■","")))</x:f>
      </x:c>
      <x:c r="CS72" s="7" t="str">
        <x:f>IF(OR($D72="",CS$5="",'상세일정'!AM72="제외"),"",IF($D72=$E72,IF(AND($D72&gt;=CS$5,$D72&lt;CS$5+7),"◆",""),IF(AND($D72&lt;CS$5+7,$E72&gt;CS$5),"■","")))</x:f>
      </x:c>
      <x:c r="CT72" s="7" t="str">
        <x:f>IF(OR($D72="",CT$5="",'상세일정'!AM72="제외"),"",IF($D72=$E72,IF(AND($D72&gt;=CT$5,$D72&lt;CT$5+7),"◆",""),IF(AND($D72&lt;CT$5+7,$E72&gt;CT$5),"■","")))</x:f>
      </x:c>
      <x:c r="CU72" s="7" t="str">
        <x:f>IF(OR($D72="",CU$5="",'상세일정'!AM72="제외"),"",IF($D72=$E72,IF(AND($D72&gt;=CU$5,$D72&lt;CU$5+7),"◆",""),IF(AND($D72&lt;CU$5+7,$E72&gt;CU$5),"■","")))</x:f>
      </x:c>
      <x:c r="CV72" s="7" t="str">
        <x:f>IF(OR($D72="",CV$5="",'상세일정'!AM72="제외"),"",IF($D72=$E72,IF(AND($D72&gt;=CV$5,$D72&lt;CV$5+7),"◆",""),IF(AND($D72&lt;CV$5+7,$E72&gt;CV$5),"■","")))</x:f>
      </x:c>
      <x:c r="CW72" s="7" t="str">
        <x:f>IF(OR($D72="",CW$5="",'상세일정'!AM72="제외"),"",IF($D72=$E72,IF(AND($D72&gt;=CW$5,$D72&lt;CW$5+7),"◆",""),IF(AND($D72&lt;CW$5+7,$E72&gt;CW$5),"■","")))</x:f>
      </x:c>
      <x:c r="CX72" s="7" t="str">
        <x:f>IF(OR($D72="",CX$5="",'상세일정'!AM72="제외"),"",IF($D72=$E72,IF(AND($D72&gt;=CX$5,$D72&lt;CX$5+7),"◆",""),IF(AND($D72&lt;CX$5+7,$E72&gt;CX$5),"■","")))</x:f>
      </x:c>
      <x:c r="CY72" s="7" t="str">
        <x:f>IF(OR($D72="",CY$5="",'상세일정'!AM72="제외"),"",IF($D72=$E72,IF(AND($D72&gt;=CY$5,$D72&lt;CY$5+7),"◆",""),IF(AND($D72&lt;CY$5+7,$E72&gt;CY$5),"■","")))</x:f>
      </x:c>
      <x:c r="CZ72" s="7" t="str">
        <x:f>IF(OR($D72="",CZ$5="",'상세일정'!AM72="제외"),"",IF($D72=$E72,IF(AND($D72&gt;=CZ$5,$D72&lt;CZ$5+7),"◆",""),IF(AND($D72&lt;CZ$5+7,$E72&gt;CZ$5),"■","")))</x:f>
      </x:c>
      <x:c r="DA72" s="7" t="str">
        <x:f>IF(OR($D72="",DA$5="",'상세일정'!AM72="제외"),"",IF($D72=$E72,IF(AND($D72&gt;=DA$5,$D72&lt;DA$5+7),"◆",""),IF(AND($D72&lt;DA$5+7,$E72&gt;DA$5),"■","")))</x:f>
      </x:c>
      <x:c r="DB72" s="7" t="str">
        <x:f>IF(OR($D72="",DB$5="",'상세일정'!AM72="제외"),"",IF($D72=$E72,IF(AND($D72&gt;=DB$5,$D72&lt;DB$5+7),"◆",""),IF(AND($D72&lt;DB$5+7,$E72&gt;DB$5),"■","")))</x:f>
      </x:c>
      <x:c r="DC72" s="7" t="str">
        <x:f>IF(OR($D72="",DC$5="",'상세일정'!AM72="제외"),"",IF($D72=$E72,IF(AND($D72&gt;=DC$5,$D72&lt;DC$5+7),"◆",""),IF(AND($D72&lt;DC$5+7,$E72&gt;DC$5),"■","")))</x:f>
      </x:c>
      <x:c r="DD72" s="7" t="str">
        <x:f>IF(OR($D72="",DD$5="",'상세일정'!AM72="제외"),"",IF($D72=$E72,IF(AND($D72&gt;=DD$5,$D72&lt;DD$5+7),"◆",""),IF(AND($D72&lt;DD$5+7,$E72&gt;DD$5),"■","")))</x:f>
      </x:c>
      <x:c r="DE72" s="7" t="str">
        <x:f>IF(OR($D72="",DE$5="",'상세일정'!AM72="제외"),"",IF($D72=$E72,IF(AND($D72&gt;=DE$5,$D72&lt;DE$5+7),"◆",""),IF(AND($D72&lt;DE$5+7,$E72&gt;DE$5),"■","")))</x:f>
      </x:c>
    </x:row>
    <x:row r="73" ht="34" customHeight="1">
      <x:c r="A73" s="7" t="str">
        <x:v>HZ04</x:v>
      </x:c>
      <x:c r="B73" s="7" t="str">
        <x:v>11 위험성평가</x:v>
      </x:c>
      <x:c r="C73" s="7" t="str">
        <x:v>안전장치·인터록·비상정지 보완</x:v>
      </x:c>
      <x:c r="D73" s="10" t="str">
        <x:f>'상세일정'!AJ73</x:f>
      </x:c>
      <x:c r="E73" s="10" t="str">
        <x:f>'상세일정'!AK73</x:f>
      </x:c>
      <x:c r="F73" s="7" t="str">
        <x:f>IF(OR($D73="",F$5="",'상세일정'!AM73="제외"),"",IF($D73=$E73,IF(AND($D73&gt;=F$5,$D73&lt;F$5+7),"◆",""),IF(AND($D73&lt;F$5+7,$E73&gt;F$5),"■","")))</x:f>
      </x:c>
      <x:c r="G73" s="7" t="str">
        <x:f>IF(OR($D73="",G$5="",'상세일정'!AM73="제외"),"",IF($D73=$E73,IF(AND($D73&gt;=G$5,$D73&lt;G$5+7),"◆",""),IF(AND($D73&lt;G$5+7,$E73&gt;G$5),"■","")))</x:f>
      </x:c>
      <x:c r="H73" s="7" t="str">
        <x:f>IF(OR($D73="",H$5="",'상세일정'!AM73="제외"),"",IF($D73=$E73,IF(AND($D73&gt;=H$5,$D73&lt;H$5+7),"◆",""),IF(AND($D73&lt;H$5+7,$E73&gt;H$5),"■","")))</x:f>
      </x:c>
      <x:c r="I73" s="7" t="str">
        <x:f>IF(OR($D73="",I$5="",'상세일정'!AM73="제외"),"",IF($D73=$E73,IF(AND($D73&gt;=I$5,$D73&lt;I$5+7),"◆",""),IF(AND($D73&lt;I$5+7,$E73&gt;I$5),"■","")))</x:f>
      </x:c>
      <x:c r="J73" s="7" t="str">
        <x:f>IF(OR($D73="",J$5="",'상세일정'!AM73="제외"),"",IF($D73=$E73,IF(AND($D73&gt;=J$5,$D73&lt;J$5+7),"◆",""),IF(AND($D73&lt;J$5+7,$E73&gt;J$5),"■","")))</x:f>
      </x:c>
      <x:c r="K73" s="7" t="str">
        <x:f>IF(OR($D73="",K$5="",'상세일정'!AM73="제외"),"",IF($D73=$E73,IF(AND($D73&gt;=K$5,$D73&lt;K$5+7),"◆",""),IF(AND($D73&lt;K$5+7,$E73&gt;K$5),"■","")))</x:f>
      </x:c>
      <x:c r="L73" s="7" t="str">
        <x:f>IF(OR($D73="",L$5="",'상세일정'!AM73="제외"),"",IF($D73=$E73,IF(AND($D73&gt;=L$5,$D73&lt;L$5+7),"◆",""),IF(AND($D73&lt;L$5+7,$E73&gt;L$5),"■","")))</x:f>
      </x:c>
      <x:c r="M73" s="7" t="str">
        <x:f>IF(OR($D73="",M$5="",'상세일정'!AM73="제외"),"",IF($D73=$E73,IF(AND($D73&gt;=M$5,$D73&lt;M$5+7),"◆",""),IF(AND($D73&lt;M$5+7,$E73&gt;M$5),"■","")))</x:f>
      </x:c>
      <x:c r="N73" s="7" t="str">
        <x:f>IF(OR($D73="",N$5="",'상세일정'!AM73="제외"),"",IF($D73=$E73,IF(AND($D73&gt;=N$5,$D73&lt;N$5+7),"◆",""),IF(AND($D73&lt;N$5+7,$E73&gt;N$5),"■","")))</x:f>
      </x:c>
      <x:c r="O73" s="7" t="str">
        <x:f>IF(OR($D73="",O$5="",'상세일정'!AM73="제외"),"",IF($D73=$E73,IF(AND($D73&gt;=O$5,$D73&lt;O$5+7),"◆",""),IF(AND($D73&lt;O$5+7,$E73&gt;O$5),"■","")))</x:f>
      </x:c>
      <x:c r="P73" s="7" t="str">
        <x:f>IF(OR($D73="",P$5="",'상세일정'!AM73="제외"),"",IF($D73=$E73,IF(AND($D73&gt;=P$5,$D73&lt;P$5+7),"◆",""),IF(AND($D73&lt;P$5+7,$E73&gt;P$5),"■","")))</x:f>
      </x:c>
      <x:c r="Q73" s="7" t="str">
        <x:f>IF(OR($D73="",Q$5="",'상세일정'!AM73="제외"),"",IF($D73=$E73,IF(AND($D73&gt;=Q$5,$D73&lt;Q$5+7),"◆",""),IF(AND($D73&lt;Q$5+7,$E73&gt;Q$5),"■","")))</x:f>
      </x:c>
      <x:c r="R73" s="7" t="str">
        <x:f>IF(OR($D73="",R$5="",'상세일정'!AM73="제외"),"",IF($D73=$E73,IF(AND($D73&gt;=R$5,$D73&lt;R$5+7),"◆",""),IF(AND($D73&lt;R$5+7,$E73&gt;R$5),"■","")))</x:f>
      </x:c>
      <x:c r="S73" s="7" t="str">
        <x:f>IF(OR($D73="",S$5="",'상세일정'!AM73="제외"),"",IF($D73=$E73,IF(AND($D73&gt;=S$5,$D73&lt;S$5+7),"◆",""),IF(AND($D73&lt;S$5+7,$E73&gt;S$5),"■","")))</x:f>
      </x:c>
      <x:c r="T73" s="7" t="str">
        <x:f>IF(OR($D73="",T$5="",'상세일정'!AM73="제외"),"",IF($D73=$E73,IF(AND($D73&gt;=T$5,$D73&lt;T$5+7),"◆",""),IF(AND($D73&lt;T$5+7,$E73&gt;T$5),"■","")))</x:f>
      </x:c>
      <x:c r="U73" s="7" t="str">
        <x:f>IF(OR($D73="",U$5="",'상세일정'!AM73="제외"),"",IF($D73=$E73,IF(AND($D73&gt;=U$5,$D73&lt;U$5+7),"◆",""),IF(AND($D73&lt;U$5+7,$E73&gt;U$5),"■","")))</x:f>
      </x:c>
      <x:c r="V73" s="7" t="str">
        <x:f>IF(OR($D73="",V$5="",'상세일정'!AM73="제외"),"",IF($D73=$E73,IF(AND($D73&gt;=V$5,$D73&lt;V$5+7),"◆",""),IF(AND($D73&lt;V$5+7,$E73&gt;V$5),"■","")))</x:f>
      </x:c>
      <x:c r="W73" s="7" t="str">
        <x:f>IF(OR($D73="",W$5="",'상세일정'!AM73="제외"),"",IF($D73=$E73,IF(AND($D73&gt;=W$5,$D73&lt;W$5+7),"◆",""),IF(AND($D73&lt;W$5+7,$E73&gt;W$5),"■","")))</x:f>
      </x:c>
      <x:c r="X73" s="7" t="str">
        <x:f>IF(OR($D73="",X$5="",'상세일정'!AM73="제외"),"",IF($D73=$E73,IF(AND($D73&gt;=X$5,$D73&lt;X$5+7),"◆",""),IF(AND($D73&lt;X$5+7,$E73&gt;X$5),"■","")))</x:f>
      </x:c>
      <x:c r="Y73" s="7" t="str">
        <x:f>IF(OR($D73="",Y$5="",'상세일정'!AM73="제외"),"",IF($D73=$E73,IF(AND($D73&gt;=Y$5,$D73&lt;Y$5+7),"◆",""),IF(AND($D73&lt;Y$5+7,$E73&gt;Y$5),"■","")))</x:f>
      </x:c>
      <x:c r="Z73" s="7" t="str">
        <x:f>IF(OR($D73="",Z$5="",'상세일정'!AM73="제외"),"",IF($D73=$E73,IF(AND($D73&gt;=Z$5,$D73&lt;Z$5+7),"◆",""),IF(AND($D73&lt;Z$5+7,$E73&gt;Z$5),"■","")))</x:f>
      </x:c>
      <x:c r="AA73" s="7" t="str">
        <x:f>IF(OR($D73="",AA$5="",'상세일정'!AM73="제외"),"",IF($D73=$E73,IF(AND($D73&gt;=AA$5,$D73&lt;AA$5+7),"◆",""),IF(AND($D73&lt;AA$5+7,$E73&gt;AA$5),"■","")))</x:f>
      </x:c>
      <x:c r="AB73" s="7" t="str">
        <x:f>IF(OR($D73="",AB$5="",'상세일정'!AM73="제외"),"",IF($D73=$E73,IF(AND($D73&gt;=AB$5,$D73&lt;AB$5+7),"◆",""),IF(AND($D73&lt;AB$5+7,$E73&gt;AB$5),"■","")))</x:f>
      </x:c>
      <x:c r="AC73" s="7" t="str">
        <x:f>IF(OR($D73="",AC$5="",'상세일정'!AM73="제외"),"",IF($D73=$E73,IF(AND($D73&gt;=AC$5,$D73&lt;AC$5+7),"◆",""),IF(AND($D73&lt;AC$5+7,$E73&gt;AC$5),"■","")))</x:f>
      </x:c>
      <x:c r="AD73" s="7" t="str">
        <x:f>IF(OR($D73="",AD$5="",'상세일정'!AM73="제외"),"",IF($D73=$E73,IF(AND($D73&gt;=AD$5,$D73&lt;AD$5+7),"◆",""),IF(AND($D73&lt;AD$5+7,$E73&gt;AD$5),"■","")))</x:f>
      </x:c>
      <x:c r="AE73" s="7" t="str">
        <x:f>IF(OR($D73="",AE$5="",'상세일정'!AM73="제외"),"",IF($D73=$E73,IF(AND($D73&gt;=AE$5,$D73&lt;AE$5+7),"◆",""),IF(AND($D73&lt;AE$5+7,$E73&gt;AE$5),"■","")))</x:f>
      </x:c>
      <x:c r="AF73" s="7" t="str">
        <x:f>IF(OR($D73="",AF$5="",'상세일정'!AM73="제외"),"",IF($D73=$E73,IF(AND($D73&gt;=AF$5,$D73&lt;AF$5+7),"◆",""),IF(AND($D73&lt;AF$5+7,$E73&gt;AF$5),"■","")))</x:f>
      </x:c>
      <x:c r="AG73" s="7" t="str">
        <x:f>IF(OR($D73="",AG$5="",'상세일정'!AM73="제외"),"",IF($D73=$E73,IF(AND($D73&gt;=AG$5,$D73&lt;AG$5+7),"◆",""),IF(AND($D73&lt;AG$5+7,$E73&gt;AG$5),"■","")))</x:f>
      </x:c>
      <x:c r="AH73" s="7" t="str">
        <x:f>IF(OR($D73="",AH$5="",'상세일정'!AM73="제외"),"",IF($D73=$E73,IF(AND($D73&gt;=AH$5,$D73&lt;AH$5+7),"◆",""),IF(AND($D73&lt;AH$5+7,$E73&gt;AH$5),"■","")))</x:f>
      </x:c>
      <x:c r="AI73" s="7" t="str">
        <x:f>IF(OR($D73="",AI$5="",'상세일정'!AM73="제외"),"",IF($D73=$E73,IF(AND($D73&gt;=AI$5,$D73&lt;AI$5+7),"◆",""),IF(AND($D73&lt;AI$5+7,$E73&gt;AI$5),"■","")))</x:f>
      </x:c>
      <x:c r="AJ73" s="7" t="str">
        <x:f>IF(OR($D73="",AJ$5="",'상세일정'!AM73="제외"),"",IF($D73=$E73,IF(AND($D73&gt;=AJ$5,$D73&lt;AJ$5+7),"◆",""),IF(AND($D73&lt;AJ$5+7,$E73&gt;AJ$5),"■","")))</x:f>
      </x:c>
      <x:c r="AK73" s="7" t="str">
        <x:f>IF(OR($D73="",AK$5="",'상세일정'!AM73="제외"),"",IF($D73=$E73,IF(AND($D73&gt;=AK$5,$D73&lt;AK$5+7),"◆",""),IF(AND($D73&lt;AK$5+7,$E73&gt;AK$5),"■","")))</x:f>
      </x:c>
      <x:c r="AL73" s="7" t="str">
        <x:f>IF(OR($D73="",AL$5="",'상세일정'!AM73="제외"),"",IF($D73=$E73,IF(AND($D73&gt;=AL$5,$D73&lt;AL$5+7),"◆",""),IF(AND($D73&lt;AL$5+7,$E73&gt;AL$5),"■","")))</x:f>
      </x:c>
      <x:c r="AM73" s="7" t="str">
        <x:f>IF(OR($D73="",AM$5="",'상세일정'!AM73="제외"),"",IF($D73=$E73,IF(AND($D73&gt;=AM$5,$D73&lt;AM$5+7),"◆",""),IF(AND($D73&lt;AM$5+7,$E73&gt;AM$5),"■","")))</x:f>
      </x:c>
      <x:c r="AN73" s="7" t="str">
        <x:f>IF(OR($D73="",AN$5="",'상세일정'!AM73="제외"),"",IF($D73=$E73,IF(AND($D73&gt;=AN$5,$D73&lt;AN$5+7),"◆",""),IF(AND($D73&lt;AN$5+7,$E73&gt;AN$5),"■","")))</x:f>
      </x:c>
      <x:c r="AO73" s="7" t="str">
        <x:f>IF(OR($D73="",AO$5="",'상세일정'!AM73="제외"),"",IF($D73=$E73,IF(AND($D73&gt;=AO$5,$D73&lt;AO$5+7),"◆",""),IF(AND($D73&lt;AO$5+7,$E73&gt;AO$5),"■","")))</x:f>
      </x:c>
      <x:c r="AP73" s="7" t="str">
        <x:f>IF(OR($D73="",AP$5="",'상세일정'!AM73="제외"),"",IF($D73=$E73,IF(AND($D73&gt;=AP$5,$D73&lt;AP$5+7),"◆",""),IF(AND($D73&lt;AP$5+7,$E73&gt;AP$5),"■","")))</x:f>
      </x:c>
      <x:c r="AQ73" s="7" t="str">
        <x:f>IF(OR($D73="",AQ$5="",'상세일정'!AM73="제외"),"",IF($D73=$E73,IF(AND($D73&gt;=AQ$5,$D73&lt;AQ$5+7),"◆",""),IF(AND($D73&lt;AQ$5+7,$E73&gt;AQ$5),"■","")))</x:f>
      </x:c>
      <x:c r="AR73" s="7" t="str">
        <x:f>IF(OR($D73="",AR$5="",'상세일정'!AM73="제외"),"",IF($D73=$E73,IF(AND($D73&gt;=AR$5,$D73&lt;AR$5+7),"◆",""),IF(AND($D73&lt;AR$5+7,$E73&gt;AR$5),"■","")))</x:f>
      </x:c>
      <x:c r="AS73" s="7" t="str">
        <x:f>IF(OR($D73="",AS$5="",'상세일정'!AM73="제외"),"",IF($D73=$E73,IF(AND($D73&gt;=AS$5,$D73&lt;AS$5+7),"◆",""),IF(AND($D73&lt;AS$5+7,$E73&gt;AS$5),"■","")))</x:f>
      </x:c>
      <x:c r="AT73" s="7" t="str">
        <x:f>IF(OR($D73="",AT$5="",'상세일정'!AM73="제외"),"",IF($D73=$E73,IF(AND($D73&gt;=AT$5,$D73&lt;AT$5+7),"◆",""),IF(AND($D73&lt;AT$5+7,$E73&gt;AT$5),"■","")))</x:f>
      </x:c>
      <x:c r="AU73" s="7" t="str">
        <x:f>IF(OR($D73="",AU$5="",'상세일정'!AM73="제외"),"",IF($D73=$E73,IF(AND($D73&gt;=AU$5,$D73&lt;AU$5+7),"◆",""),IF(AND($D73&lt;AU$5+7,$E73&gt;AU$5),"■","")))</x:f>
      </x:c>
      <x:c r="AV73" s="7" t="str">
        <x:f>IF(OR($D73="",AV$5="",'상세일정'!AM73="제외"),"",IF($D73=$E73,IF(AND($D73&gt;=AV$5,$D73&lt;AV$5+7),"◆",""),IF(AND($D73&lt;AV$5+7,$E73&gt;AV$5),"■","")))</x:f>
      </x:c>
      <x:c r="AW73" s="7" t="str">
        <x:f>IF(OR($D73="",AW$5="",'상세일정'!AM73="제외"),"",IF($D73=$E73,IF(AND($D73&gt;=AW$5,$D73&lt;AW$5+7),"◆",""),IF(AND($D73&lt;AW$5+7,$E73&gt;AW$5),"■","")))</x:f>
      </x:c>
      <x:c r="AX73" s="7" t="str">
        <x:f>IF(OR($D73="",AX$5="",'상세일정'!AM73="제외"),"",IF($D73=$E73,IF(AND($D73&gt;=AX$5,$D73&lt;AX$5+7),"◆",""),IF(AND($D73&lt;AX$5+7,$E73&gt;AX$5),"■","")))</x:f>
      </x:c>
      <x:c r="AY73" s="7" t="str">
        <x:f>IF(OR($D73="",AY$5="",'상세일정'!AM73="제외"),"",IF($D73=$E73,IF(AND($D73&gt;=AY$5,$D73&lt;AY$5+7),"◆",""),IF(AND($D73&lt;AY$5+7,$E73&gt;AY$5),"■","")))</x:f>
      </x:c>
      <x:c r="AZ73" s="7" t="str">
        <x:f>IF(OR($D73="",AZ$5="",'상세일정'!AM73="제외"),"",IF($D73=$E73,IF(AND($D73&gt;=AZ$5,$D73&lt;AZ$5+7),"◆",""),IF(AND($D73&lt;AZ$5+7,$E73&gt;AZ$5),"■","")))</x:f>
      </x:c>
      <x:c r="BA73" s="7" t="str">
        <x:f>IF(OR($D73="",BA$5="",'상세일정'!AM73="제외"),"",IF($D73=$E73,IF(AND($D73&gt;=BA$5,$D73&lt;BA$5+7),"◆",""),IF(AND($D73&lt;BA$5+7,$E73&gt;BA$5),"■","")))</x:f>
      </x:c>
      <x:c r="BB73" s="7" t="str">
        <x:f>IF(OR($D73="",BB$5="",'상세일정'!AM73="제외"),"",IF($D73=$E73,IF(AND($D73&gt;=BB$5,$D73&lt;BB$5+7),"◆",""),IF(AND($D73&lt;BB$5+7,$E73&gt;BB$5),"■","")))</x:f>
      </x:c>
      <x:c r="BC73" s="7" t="str">
        <x:f>IF(OR($D73="",BC$5="",'상세일정'!AM73="제외"),"",IF($D73=$E73,IF(AND($D73&gt;=BC$5,$D73&lt;BC$5+7),"◆",""),IF(AND($D73&lt;BC$5+7,$E73&gt;BC$5),"■","")))</x:f>
      </x:c>
      <x:c r="BD73" s="7" t="str">
        <x:f>IF(OR($D73="",BD$5="",'상세일정'!AM73="제외"),"",IF($D73=$E73,IF(AND($D73&gt;=BD$5,$D73&lt;BD$5+7),"◆",""),IF(AND($D73&lt;BD$5+7,$E73&gt;BD$5),"■","")))</x:f>
      </x:c>
      <x:c r="BE73" s="7" t="str">
        <x:f>IF(OR($D73="",BE$5="",'상세일정'!AM73="제외"),"",IF($D73=$E73,IF(AND($D73&gt;=BE$5,$D73&lt;BE$5+7),"◆",""),IF(AND($D73&lt;BE$5+7,$E73&gt;BE$5),"■","")))</x:f>
      </x:c>
      <x:c r="BF73" s="7" t="str">
        <x:f>IF(OR($D73="",BF$5="",'상세일정'!AM73="제외"),"",IF($D73=$E73,IF(AND($D73&gt;=BF$5,$D73&lt;BF$5+7),"◆",""),IF(AND($D73&lt;BF$5+7,$E73&gt;BF$5),"■","")))</x:f>
      </x:c>
      <x:c r="BG73" s="7" t="str">
        <x:f>IF(OR($D73="",BG$5="",'상세일정'!AM73="제외"),"",IF($D73=$E73,IF(AND($D73&gt;=BG$5,$D73&lt;BG$5+7),"◆",""),IF(AND($D73&lt;BG$5+7,$E73&gt;BG$5),"■","")))</x:f>
      </x:c>
      <x:c r="BH73" s="7" t="str">
        <x:f>IF(OR($D73="",BH$5="",'상세일정'!AM73="제외"),"",IF($D73=$E73,IF(AND($D73&gt;=BH$5,$D73&lt;BH$5+7),"◆",""),IF(AND($D73&lt;BH$5+7,$E73&gt;BH$5),"■","")))</x:f>
      </x:c>
      <x:c r="BI73" s="7" t="str">
        <x:f>IF(OR($D73="",BI$5="",'상세일정'!AM73="제외"),"",IF($D73=$E73,IF(AND($D73&gt;=BI$5,$D73&lt;BI$5+7),"◆",""),IF(AND($D73&lt;BI$5+7,$E73&gt;BI$5),"■","")))</x:f>
      </x:c>
      <x:c r="BJ73" s="7" t="str">
        <x:f>IF(OR($D73="",BJ$5="",'상세일정'!AM73="제외"),"",IF($D73=$E73,IF(AND($D73&gt;=BJ$5,$D73&lt;BJ$5+7),"◆",""),IF(AND($D73&lt;BJ$5+7,$E73&gt;BJ$5),"■","")))</x:f>
      </x:c>
      <x:c r="BK73" s="7" t="str">
        <x:f>IF(OR($D73="",BK$5="",'상세일정'!AM73="제외"),"",IF($D73=$E73,IF(AND($D73&gt;=BK$5,$D73&lt;BK$5+7),"◆",""),IF(AND($D73&lt;BK$5+7,$E73&gt;BK$5),"■","")))</x:f>
      </x:c>
      <x:c r="BL73" s="7" t="str">
        <x:f>IF(OR($D73="",BL$5="",'상세일정'!AM73="제외"),"",IF($D73=$E73,IF(AND($D73&gt;=BL$5,$D73&lt;BL$5+7),"◆",""),IF(AND($D73&lt;BL$5+7,$E73&gt;BL$5),"■","")))</x:f>
      </x:c>
      <x:c r="BM73" s="7" t="str">
        <x:f>IF(OR($D73="",BM$5="",'상세일정'!AM73="제외"),"",IF($D73=$E73,IF(AND($D73&gt;=BM$5,$D73&lt;BM$5+7),"◆",""),IF(AND($D73&lt;BM$5+7,$E73&gt;BM$5),"■","")))</x:f>
      </x:c>
      <x:c r="BN73" s="7" t="str">
        <x:f>IF(OR($D73="",BN$5="",'상세일정'!AM73="제외"),"",IF($D73=$E73,IF(AND($D73&gt;=BN$5,$D73&lt;BN$5+7),"◆",""),IF(AND($D73&lt;BN$5+7,$E73&gt;BN$5),"■","")))</x:f>
      </x:c>
      <x:c r="BO73" s="7" t="str">
        <x:f>IF(OR($D73="",BO$5="",'상세일정'!AM73="제외"),"",IF($D73=$E73,IF(AND($D73&gt;=BO$5,$D73&lt;BO$5+7),"◆",""),IF(AND($D73&lt;BO$5+7,$E73&gt;BO$5),"■","")))</x:f>
      </x:c>
      <x:c r="BP73" s="7" t="str">
        <x:f>IF(OR($D73="",BP$5="",'상세일정'!AM73="제외"),"",IF($D73=$E73,IF(AND($D73&gt;=BP$5,$D73&lt;BP$5+7),"◆",""),IF(AND($D73&lt;BP$5+7,$E73&gt;BP$5),"■","")))</x:f>
      </x:c>
      <x:c r="BQ73" s="7" t="str">
        <x:f>IF(OR($D73="",BQ$5="",'상세일정'!AM73="제외"),"",IF($D73=$E73,IF(AND($D73&gt;=BQ$5,$D73&lt;BQ$5+7),"◆",""),IF(AND($D73&lt;BQ$5+7,$E73&gt;BQ$5),"■","")))</x:f>
      </x:c>
      <x:c r="BR73" s="7" t="str">
        <x:f>IF(OR($D73="",BR$5="",'상세일정'!AM73="제외"),"",IF($D73=$E73,IF(AND($D73&gt;=BR$5,$D73&lt;BR$5+7),"◆",""),IF(AND($D73&lt;BR$5+7,$E73&gt;BR$5),"■","")))</x:f>
      </x:c>
      <x:c r="BS73" s="7" t="str">
        <x:f>IF(OR($D73="",BS$5="",'상세일정'!AM73="제외"),"",IF($D73=$E73,IF(AND($D73&gt;=BS$5,$D73&lt;BS$5+7),"◆",""),IF(AND($D73&lt;BS$5+7,$E73&gt;BS$5),"■","")))</x:f>
      </x:c>
      <x:c r="BT73" s="7" t="str">
        <x:f>IF(OR($D73="",BT$5="",'상세일정'!AM73="제외"),"",IF($D73=$E73,IF(AND($D73&gt;=BT$5,$D73&lt;BT$5+7),"◆",""),IF(AND($D73&lt;BT$5+7,$E73&gt;BT$5),"■","")))</x:f>
      </x:c>
      <x:c r="BU73" s="7" t="str">
        <x:f>IF(OR($D73="",BU$5="",'상세일정'!AM73="제외"),"",IF($D73=$E73,IF(AND($D73&gt;=BU$5,$D73&lt;BU$5+7),"◆",""),IF(AND($D73&lt;BU$5+7,$E73&gt;BU$5),"■","")))</x:f>
      </x:c>
      <x:c r="BV73" s="7" t="str">
        <x:f>IF(OR($D73="",BV$5="",'상세일정'!AM73="제외"),"",IF($D73=$E73,IF(AND($D73&gt;=BV$5,$D73&lt;BV$5+7),"◆",""),IF(AND($D73&lt;BV$5+7,$E73&gt;BV$5),"■","")))</x:f>
      </x:c>
      <x:c r="BW73" s="7" t="str">
        <x:f>IF(OR($D73="",BW$5="",'상세일정'!AM73="제외"),"",IF($D73=$E73,IF(AND($D73&gt;=BW$5,$D73&lt;BW$5+7),"◆",""),IF(AND($D73&lt;BW$5+7,$E73&gt;BW$5),"■","")))</x:f>
      </x:c>
      <x:c r="BX73" s="7" t="str">
        <x:f>IF(OR($D73="",BX$5="",'상세일정'!AM73="제외"),"",IF($D73=$E73,IF(AND($D73&gt;=BX$5,$D73&lt;BX$5+7),"◆",""),IF(AND($D73&lt;BX$5+7,$E73&gt;BX$5),"■","")))</x:f>
      </x:c>
      <x:c r="BY73" s="7" t="str">
        <x:f>IF(OR($D73="",BY$5="",'상세일정'!AM73="제외"),"",IF($D73=$E73,IF(AND($D73&gt;=BY$5,$D73&lt;BY$5+7),"◆",""),IF(AND($D73&lt;BY$5+7,$E73&gt;BY$5),"■","")))</x:f>
      </x:c>
      <x:c r="BZ73" s="7" t="str">
        <x:f>IF(OR($D73="",BZ$5="",'상세일정'!AM73="제외"),"",IF($D73=$E73,IF(AND($D73&gt;=BZ$5,$D73&lt;BZ$5+7),"◆",""),IF(AND($D73&lt;BZ$5+7,$E73&gt;BZ$5),"■","")))</x:f>
      </x:c>
      <x:c r="CA73" s="7" t="str">
        <x:f>IF(OR($D73="",CA$5="",'상세일정'!AM73="제외"),"",IF($D73=$E73,IF(AND($D73&gt;=CA$5,$D73&lt;CA$5+7),"◆",""),IF(AND($D73&lt;CA$5+7,$E73&gt;CA$5),"■","")))</x:f>
      </x:c>
      <x:c r="CB73" s="7" t="str">
        <x:f>IF(OR($D73="",CB$5="",'상세일정'!AM73="제외"),"",IF($D73=$E73,IF(AND($D73&gt;=CB$5,$D73&lt;CB$5+7),"◆",""),IF(AND($D73&lt;CB$5+7,$E73&gt;CB$5),"■","")))</x:f>
      </x:c>
      <x:c r="CC73" s="7" t="str">
        <x:f>IF(OR($D73="",CC$5="",'상세일정'!AM73="제외"),"",IF($D73=$E73,IF(AND($D73&gt;=CC$5,$D73&lt;CC$5+7),"◆",""),IF(AND($D73&lt;CC$5+7,$E73&gt;CC$5),"■","")))</x:f>
      </x:c>
      <x:c r="CD73" s="7" t="str">
        <x:f>IF(OR($D73="",CD$5="",'상세일정'!AM73="제외"),"",IF($D73=$E73,IF(AND($D73&gt;=CD$5,$D73&lt;CD$5+7),"◆",""),IF(AND($D73&lt;CD$5+7,$E73&gt;CD$5),"■","")))</x:f>
      </x:c>
      <x:c r="CE73" s="7" t="str">
        <x:f>IF(OR($D73="",CE$5="",'상세일정'!AM73="제외"),"",IF($D73=$E73,IF(AND($D73&gt;=CE$5,$D73&lt;CE$5+7),"◆",""),IF(AND($D73&lt;CE$5+7,$E73&gt;CE$5),"■","")))</x:f>
      </x:c>
      <x:c r="CF73" s="7" t="str">
        <x:f>IF(OR($D73="",CF$5="",'상세일정'!AM73="제외"),"",IF($D73=$E73,IF(AND($D73&gt;=CF$5,$D73&lt;CF$5+7),"◆",""),IF(AND($D73&lt;CF$5+7,$E73&gt;CF$5),"■","")))</x:f>
      </x:c>
      <x:c r="CG73" s="7" t="str">
        <x:f>IF(OR($D73="",CG$5="",'상세일정'!AM73="제외"),"",IF($D73=$E73,IF(AND($D73&gt;=CG$5,$D73&lt;CG$5+7),"◆",""),IF(AND($D73&lt;CG$5+7,$E73&gt;CG$5),"■","")))</x:f>
      </x:c>
      <x:c r="CH73" s="7" t="str">
        <x:f>IF(OR($D73="",CH$5="",'상세일정'!AM73="제외"),"",IF($D73=$E73,IF(AND($D73&gt;=CH$5,$D73&lt;CH$5+7),"◆",""),IF(AND($D73&lt;CH$5+7,$E73&gt;CH$5),"■","")))</x:f>
      </x:c>
      <x:c r="CI73" s="7" t="str">
        <x:f>IF(OR($D73="",CI$5="",'상세일정'!AM73="제외"),"",IF($D73=$E73,IF(AND($D73&gt;=CI$5,$D73&lt;CI$5+7),"◆",""),IF(AND($D73&lt;CI$5+7,$E73&gt;CI$5),"■","")))</x:f>
      </x:c>
      <x:c r="CJ73" s="7" t="str">
        <x:f>IF(OR($D73="",CJ$5="",'상세일정'!AM73="제외"),"",IF($D73=$E73,IF(AND($D73&gt;=CJ$5,$D73&lt;CJ$5+7),"◆",""),IF(AND($D73&lt;CJ$5+7,$E73&gt;CJ$5),"■","")))</x:f>
      </x:c>
      <x:c r="CK73" s="7" t="str">
        <x:f>IF(OR($D73="",CK$5="",'상세일정'!AM73="제외"),"",IF($D73=$E73,IF(AND($D73&gt;=CK$5,$D73&lt;CK$5+7),"◆",""),IF(AND($D73&lt;CK$5+7,$E73&gt;CK$5),"■","")))</x:f>
      </x:c>
      <x:c r="CL73" s="7" t="str">
        <x:f>IF(OR($D73="",CL$5="",'상세일정'!AM73="제외"),"",IF($D73=$E73,IF(AND($D73&gt;=CL$5,$D73&lt;CL$5+7),"◆",""),IF(AND($D73&lt;CL$5+7,$E73&gt;CL$5),"■","")))</x:f>
      </x:c>
      <x:c r="CM73" s="7" t="str">
        <x:f>IF(OR($D73="",CM$5="",'상세일정'!AM73="제외"),"",IF($D73=$E73,IF(AND($D73&gt;=CM$5,$D73&lt;CM$5+7),"◆",""),IF(AND($D73&lt;CM$5+7,$E73&gt;CM$5),"■","")))</x:f>
      </x:c>
      <x:c r="CN73" s="7" t="str">
        <x:f>IF(OR($D73="",CN$5="",'상세일정'!AM73="제외"),"",IF($D73=$E73,IF(AND($D73&gt;=CN$5,$D73&lt;CN$5+7),"◆",""),IF(AND($D73&lt;CN$5+7,$E73&gt;CN$5),"■","")))</x:f>
      </x:c>
      <x:c r="CO73" s="7" t="str">
        <x:f>IF(OR($D73="",CO$5="",'상세일정'!AM73="제외"),"",IF($D73=$E73,IF(AND($D73&gt;=CO$5,$D73&lt;CO$5+7),"◆",""),IF(AND($D73&lt;CO$5+7,$E73&gt;CO$5),"■","")))</x:f>
      </x:c>
      <x:c r="CP73" s="7" t="str">
        <x:f>IF(OR($D73="",CP$5="",'상세일정'!AM73="제외"),"",IF($D73=$E73,IF(AND($D73&gt;=CP$5,$D73&lt;CP$5+7),"◆",""),IF(AND($D73&lt;CP$5+7,$E73&gt;CP$5),"■","")))</x:f>
      </x:c>
      <x:c r="CQ73" s="7" t="str">
        <x:f>IF(OR($D73="",CQ$5="",'상세일정'!AM73="제외"),"",IF($D73=$E73,IF(AND($D73&gt;=CQ$5,$D73&lt;CQ$5+7),"◆",""),IF(AND($D73&lt;CQ$5+7,$E73&gt;CQ$5),"■","")))</x:f>
      </x:c>
      <x:c r="CR73" s="7" t="str">
        <x:f>IF(OR($D73="",CR$5="",'상세일정'!AM73="제외"),"",IF($D73=$E73,IF(AND($D73&gt;=CR$5,$D73&lt;CR$5+7),"◆",""),IF(AND($D73&lt;CR$5+7,$E73&gt;CR$5),"■","")))</x:f>
      </x:c>
      <x:c r="CS73" s="7" t="str">
        <x:f>IF(OR($D73="",CS$5="",'상세일정'!AM73="제외"),"",IF($D73=$E73,IF(AND($D73&gt;=CS$5,$D73&lt;CS$5+7),"◆",""),IF(AND($D73&lt;CS$5+7,$E73&gt;CS$5),"■","")))</x:f>
      </x:c>
      <x:c r="CT73" s="7" t="str">
        <x:f>IF(OR($D73="",CT$5="",'상세일정'!AM73="제외"),"",IF($D73=$E73,IF(AND($D73&gt;=CT$5,$D73&lt;CT$5+7),"◆",""),IF(AND($D73&lt;CT$5+7,$E73&gt;CT$5),"■","")))</x:f>
      </x:c>
      <x:c r="CU73" s="7" t="str">
        <x:f>IF(OR($D73="",CU$5="",'상세일정'!AM73="제외"),"",IF($D73=$E73,IF(AND($D73&gt;=CU$5,$D73&lt;CU$5+7),"◆",""),IF(AND($D73&lt;CU$5+7,$E73&gt;CU$5),"■","")))</x:f>
      </x:c>
      <x:c r="CV73" s="7" t="str">
        <x:f>IF(OR($D73="",CV$5="",'상세일정'!AM73="제외"),"",IF($D73=$E73,IF(AND($D73&gt;=CV$5,$D73&lt;CV$5+7),"◆",""),IF(AND($D73&lt;CV$5+7,$E73&gt;CV$5),"■","")))</x:f>
      </x:c>
      <x:c r="CW73" s="7" t="str">
        <x:f>IF(OR($D73="",CW$5="",'상세일정'!AM73="제외"),"",IF($D73=$E73,IF(AND($D73&gt;=CW$5,$D73&lt;CW$5+7),"◆",""),IF(AND($D73&lt;CW$5+7,$E73&gt;CW$5),"■","")))</x:f>
      </x:c>
      <x:c r="CX73" s="7" t="str">
        <x:f>IF(OR($D73="",CX$5="",'상세일정'!AM73="제외"),"",IF($D73=$E73,IF(AND($D73&gt;=CX$5,$D73&lt;CX$5+7),"◆",""),IF(AND($D73&lt;CX$5+7,$E73&gt;CX$5),"■","")))</x:f>
      </x:c>
      <x:c r="CY73" s="7" t="str">
        <x:f>IF(OR($D73="",CY$5="",'상세일정'!AM73="제외"),"",IF($D73=$E73,IF(AND($D73&gt;=CY$5,$D73&lt;CY$5+7),"◆",""),IF(AND($D73&lt;CY$5+7,$E73&gt;CY$5),"■","")))</x:f>
      </x:c>
      <x:c r="CZ73" s="7" t="str">
        <x:f>IF(OR($D73="",CZ$5="",'상세일정'!AM73="제외"),"",IF($D73=$E73,IF(AND($D73&gt;=CZ$5,$D73&lt;CZ$5+7),"◆",""),IF(AND($D73&lt;CZ$5+7,$E73&gt;CZ$5),"■","")))</x:f>
      </x:c>
      <x:c r="DA73" s="7" t="str">
        <x:f>IF(OR($D73="",DA$5="",'상세일정'!AM73="제외"),"",IF($D73=$E73,IF(AND($D73&gt;=DA$5,$D73&lt;DA$5+7),"◆",""),IF(AND($D73&lt;DA$5+7,$E73&gt;DA$5),"■","")))</x:f>
      </x:c>
      <x:c r="DB73" s="7" t="str">
        <x:f>IF(OR($D73="",DB$5="",'상세일정'!AM73="제외"),"",IF($D73=$E73,IF(AND($D73&gt;=DB$5,$D73&lt;DB$5+7),"◆",""),IF(AND($D73&lt;DB$5+7,$E73&gt;DB$5),"■","")))</x:f>
      </x:c>
      <x:c r="DC73" s="7" t="str">
        <x:f>IF(OR($D73="",DC$5="",'상세일정'!AM73="제외"),"",IF($D73=$E73,IF(AND($D73&gt;=DC$5,$D73&lt;DC$5+7),"◆",""),IF(AND($D73&lt;DC$5+7,$E73&gt;DC$5),"■","")))</x:f>
      </x:c>
      <x:c r="DD73" s="7" t="str">
        <x:f>IF(OR($D73="",DD$5="",'상세일정'!AM73="제외"),"",IF($D73=$E73,IF(AND($D73&gt;=DD$5,$D73&lt;DD$5+7),"◆",""),IF(AND($D73&lt;DD$5+7,$E73&gt;DD$5),"■","")))</x:f>
      </x:c>
      <x:c r="DE73" s="7" t="str">
        <x:f>IF(OR($D73="",DE$5="",'상세일정'!AM73="제외"),"",IF($D73=$E73,IF(AND($D73&gt;=DE$5,$D73&lt;DE$5+7),"◆",""),IF(AND($D73&lt;DE$5+7,$E73&gt;DE$5),"■","")))</x:f>
      </x:c>
    </x:row>
    <x:row r="74" ht="34" customHeight="1">
      <x:c r="A74" s="7" t="str">
        <x:v>HZ05</x:v>
      </x:c>
      <x:c r="B74" s="7" t="str">
        <x:v>11 위험성평가</x:v>
      </x:c>
      <x:c r="C74" s="7" t="str">
        <x:v>위험성평가 조치 확인 및 보고서 승인</x:v>
      </x:c>
      <x:c r="D74" s="10" t="str">
        <x:f>'상세일정'!AJ74</x:f>
      </x:c>
      <x:c r="E74" s="10" t="str">
        <x:f>'상세일정'!AK74</x:f>
      </x:c>
      <x:c r="F74" s="7" t="str">
        <x:f>IF(OR($D74="",F$5="",'상세일정'!AM74="제외"),"",IF($D74=$E74,IF(AND($D74&gt;=F$5,$D74&lt;F$5+7),"◆",""),IF(AND($D74&lt;F$5+7,$E74&gt;F$5),"■","")))</x:f>
      </x:c>
      <x:c r="G74" s="7" t="str">
        <x:f>IF(OR($D74="",G$5="",'상세일정'!AM74="제외"),"",IF($D74=$E74,IF(AND($D74&gt;=G$5,$D74&lt;G$5+7),"◆",""),IF(AND($D74&lt;G$5+7,$E74&gt;G$5),"■","")))</x:f>
      </x:c>
      <x:c r="H74" s="7" t="str">
        <x:f>IF(OR($D74="",H$5="",'상세일정'!AM74="제외"),"",IF($D74=$E74,IF(AND($D74&gt;=H$5,$D74&lt;H$5+7),"◆",""),IF(AND($D74&lt;H$5+7,$E74&gt;H$5),"■","")))</x:f>
      </x:c>
      <x:c r="I74" s="7" t="str">
        <x:f>IF(OR($D74="",I$5="",'상세일정'!AM74="제외"),"",IF($D74=$E74,IF(AND($D74&gt;=I$5,$D74&lt;I$5+7),"◆",""),IF(AND($D74&lt;I$5+7,$E74&gt;I$5),"■","")))</x:f>
      </x:c>
      <x:c r="J74" s="7" t="str">
        <x:f>IF(OR($D74="",J$5="",'상세일정'!AM74="제외"),"",IF($D74=$E74,IF(AND($D74&gt;=J$5,$D74&lt;J$5+7),"◆",""),IF(AND($D74&lt;J$5+7,$E74&gt;J$5),"■","")))</x:f>
      </x:c>
      <x:c r="K74" s="7" t="str">
        <x:f>IF(OR($D74="",K$5="",'상세일정'!AM74="제외"),"",IF($D74=$E74,IF(AND($D74&gt;=K$5,$D74&lt;K$5+7),"◆",""),IF(AND($D74&lt;K$5+7,$E74&gt;K$5),"■","")))</x:f>
      </x:c>
      <x:c r="L74" s="7" t="str">
        <x:f>IF(OR($D74="",L$5="",'상세일정'!AM74="제외"),"",IF($D74=$E74,IF(AND($D74&gt;=L$5,$D74&lt;L$5+7),"◆",""),IF(AND($D74&lt;L$5+7,$E74&gt;L$5),"■","")))</x:f>
      </x:c>
      <x:c r="M74" s="7" t="str">
        <x:f>IF(OR($D74="",M$5="",'상세일정'!AM74="제외"),"",IF($D74=$E74,IF(AND($D74&gt;=M$5,$D74&lt;M$5+7),"◆",""),IF(AND($D74&lt;M$5+7,$E74&gt;M$5),"■","")))</x:f>
      </x:c>
      <x:c r="N74" s="7" t="str">
        <x:f>IF(OR($D74="",N$5="",'상세일정'!AM74="제외"),"",IF($D74=$E74,IF(AND($D74&gt;=N$5,$D74&lt;N$5+7),"◆",""),IF(AND($D74&lt;N$5+7,$E74&gt;N$5),"■","")))</x:f>
      </x:c>
      <x:c r="O74" s="7" t="str">
        <x:f>IF(OR($D74="",O$5="",'상세일정'!AM74="제외"),"",IF($D74=$E74,IF(AND($D74&gt;=O$5,$D74&lt;O$5+7),"◆",""),IF(AND($D74&lt;O$5+7,$E74&gt;O$5),"■","")))</x:f>
      </x:c>
      <x:c r="P74" s="7" t="str">
        <x:f>IF(OR($D74="",P$5="",'상세일정'!AM74="제외"),"",IF($D74=$E74,IF(AND($D74&gt;=P$5,$D74&lt;P$5+7),"◆",""),IF(AND($D74&lt;P$5+7,$E74&gt;P$5),"■","")))</x:f>
      </x:c>
      <x:c r="Q74" s="7" t="str">
        <x:f>IF(OR($D74="",Q$5="",'상세일정'!AM74="제외"),"",IF($D74=$E74,IF(AND($D74&gt;=Q$5,$D74&lt;Q$5+7),"◆",""),IF(AND($D74&lt;Q$5+7,$E74&gt;Q$5),"■","")))</x:f>
      </x:c>
      <x:c r="R74" s="7" t="str">
        <x:f>IF(OR($D74="",R$5="",'상세일정'!AM74="제외"),"",IF($D74=$E74,IF(AND($D74&gt;=R$5,$D74&lt;R$5+7),"◆",""),IF(AND($D74&lt;R$5+7,$E74&gt;R$5),"■","")))</x:f>
      </x:c>
      <x:c r="S74" s="7" t="str">
        <x:f>IF(OR($D74="",S$5="",'상세일정'!AM74="제외"),"",IF($D74=$E74,IF(AND($D74&gt;=S$5,$D74&lt;S$5+7),"◆",""),IF(AND($D74&lt;S$5+7,$E74&gt;S$5),"■","")))</x:f>
      </x:c>
      <x:c r="T74" s="7" t="str">
        <x:f>IF(OR($D74="",T$5="",'상세일정'!AM74="제외"),"",IF($D74=$E74,IF(AND($D74&gt;=T$5,$D74&lt;T$5+7),"◆",""),IF(AND($D74&lt;T$5+7,$E74&gt;T$5),"■","")))</x:f>
      </x:c>
      <x:c r="U74" s="7" t="str">
        <x:f>IF(OR($D74="",U$5="",'상세일정'!AM74="제외"),"",IF($D74=$E74,IF(AND($D74&gt;=U$5,$D74&lt;U$5+7),"◆",""),IF(AND($D74&lt;U$5+7,$E74&gt;U$5),"■","")))</x:f>
      </x:c>
      <x:c r="V74" s="7" t="str">
        <x:f>IF(OR($D74="",V$5="",'상세일정'!AM74="제외"),"",IF($D74=$E74,IF(AND($D74&gt;=V$5,$D74&lt;V$5+7),"◆",""),IF(AND($D74&lt;V$5+7,$E74&gt;V$5),"■","")))</x:f>
      </x:c>
      <x:c r="W74" s="7" t="str">
        <x:f>IF(OR($D74="",W$5="",'상세일정'!AM74="제외"),"",IF($D74=$E74,IF(AND($D74&gt;=W$5,$D74&lt;W$5+7),"◆",""),IF(AND($D74&lt;W$5+7,$E74&gt;W$5),"■","")))</x:f>
      </x:c>
      <x:c r="X74" s="7" t="str">
        <x:f>IF(OR($D74="",X$5="",'상세일정'!AM74="제외"),"",IF($D74=$E74,IF(AND($D74&gt;=X$5,$D74&lt;X$5+7),"◆",""),IF(AND($D74&lt;X$5+7,$E74&gt;X$5),"■","")))</x:f>
      </x:c>
      <x:c r="Y74" s="7" t="str">
        <x:f>IF(OR($D74="",Y$5="",'상세일정'!AM74="제외"),"",IF($D74=$E74,IF(AND($D74&gt;=Y$5,$D74&lt;Y$5+7),"◆",""),IF(AND($D74&lt;Y$5+7,$E74&gt;Y$5),"■","")))</x:f>
      </x:c>
      <x:c r="Z74" s="7" t="str">
        <x:f>IF(OR($D74="",Z$5="",'상세일정'!AM74="제외"),"",IF($D74=$E74,IF(AND($D74&gt;=Z$5,$D74&lt;Z$5+7),"◆",""),IF(AND($D74&lt;Z$5+7,$E74&gt;Z$5),"■","")))</x:f>
      </x:c>
      <x:c r="AA74" s="7" t="str">
        <x:f>IF(OR($D74="",AA$5="",'상세일정'!AM74="제외"),"",IF($D74=$E74,IF(AND($D74&gt;=AA$5,$D74&lt;AA$5+7),"◆",""),IF(AND($D74&lt;AA$5+7,$E74&gt;AA$5),"■","")))</x:f>
      </x:c>
      <x:c r="AB74" s="7" t="str">
        <x:f>IF(OR($D74="",AB$5="",'상세일정'!AM74="제외"),"",IF($D74=$E74,IF(AND($D74&gt;=AB$5,$D74&lt;AB$5+7),"◆",""),IF(AND($D74&lt;AB$5+7,$E74&gt;AB$5),"■","")))</x:f>
      </x:c>
      <x:c r="AC74" s="7" t="str">
        <x:f>IF(OR($D74="",AC$5="",'상세일정'!AM74="제외"),"",IF($D74=$E74,IF(AND($D74&gt;=AC$5,$D74&lt;AC$5+7),"◆",""),IF(AND($D74&lt;AC$5+7,$E74&gt;AC$5),"■","")))</x:f>
      </x:c>
      <x:c r="AD74" s="7" t="str">
        <x:f>IF(OR($D74="",AD$5="",'상세일정'!AM74="제외"),"",IF($D74=$E74,IF(AND($D74&gt;=AD$5,$D74&lt;AD$5+7),"◆",""),IF(AND($D74&lt;AD$5+7,$E74&gt;AD$5),"■","")))</x:f>
      </x:c>
      <x:c r="AE74" s="7" t="str">
        <x:f>IF(OR($D74="",AE$5="",'상세일정'!AM74="제외"),"",IF($D74=$E74,IF(AND($D74&gt;=AE$5,$D74&lt;AE$5+7),"◆",""),IF(AND($D74&lt;AE$5+7,$E74&gt;AE$5),"■","")))</x:f>
      </x:c>
      <x:c r="AF74" s="7" t="str">
        <x:f>IF(OR($D74="",AF$5="",'상세일정'!AM74="제외"),"",IF($D74=$E74,IF(AND($D74&gt;=AF$5,$D74&lt;AF$5+7),"◆",""),IF(AND($D74&lt;AF$5+7,$E74&gt;AF$5),"■","")))</x:f>
      </x:c>
      <x:c r="AG74" s="7" t="str">
        <x:f>IF(OR($D74="",AG$5="",'상세일정'!AM74="제외"),"",IF($D74=$E74,IF(AND($D74&gt;=AG$5,$D74&lt;AG$5+7),"◆",""),IF(AND($D74&lt;AG$5+7,$E74&gt;AG$5),"■","")))</x:f>
      </x:c>
      <x:c r="AH74" s="7" t="str">
        <x:f>IF(OR($D74="",AH$5="",'상세일정'!AM74="제외"),"",IF($D74=$E74,IF(AND($D74&gt;=AH$5,$D74&lt;AH$5+7),"◆",""),IF(AND($D74&lt;AH$5+7,$E74&gt;AH$5),"■","")))</x:f>
      </x:c>
      <x:c r="AI74" s="7" t="str">
        <x:f>IF(OR($D74="",AI$5="",'상세일정'!AM74="제외"),"",IF($D74=$E74,IF(AND($D74&gt;=AI$5,$D74&lt;AI$5+7),"◆",""),IF(AND($D74&lt;AI$5+7,$E74&gt;AI$5),"■","")))</x:f>
      </x:c>
      <x:c r="AJ74" s="7" t="str">
        <x:f>IF(OR($D74="",AJ$5="",'상세일정'!AM74="제외"),"",IF($D74=$E74,IF(AND($D74&gt;=AJ$5,$D74&lt;AJ$5+7),"◆",""),IF(AND($D74&lt;AJ$5+7,$E74&gt;AJ$5),"■","")))</x:f>
      </x:c>
      <x:c r="AK74" s="7" t="str">
        <x:f>IF(OR($D74="",AK$5="",'상세일정'!AM74="제외"),"",IF($D74=$E74,IF(AND($D74&gt;=AK$5,$D74&lt;AK$5+7),"◆",""),IF(AND($D74&lt;AK$5+7,$E74&gt;AK$5),"■","")))</x:f>
      </x:c>
      <x:c r="AL74" s="7" t="str">
        <x:f>IF(OR($D74="",AL$5="",'상세일정'!AM74="제외"),"",IF($D74=$E74,IF(AND($D74&gt;=AL$5,$D74&lt;AL$5+7),"◆",""),IF(AND($D74&lt;AL$5+7,$E74&gt;AL$5),"■","")))</x:f>
      </x:c>
      <x:c r="AM74" s="7" t="str">
        <x:f>IF(OR($D74="",AM$5="",'상세일정'!AM74="제외"),"",IF($D74=$E74,IF(AND($D74&gt;=AM$5,$D74&lt;AM$5+7),"◆",""),IF(AND($D74&lt;AM$5+7,$E74&gt;AM$5),"■","")))</x:f>
      </x:c>
      <x:c r="AN74" s="7" t="str">
        <x:f>IF(OR($D74="",AN$5="",'상세일정'!AM74="제외"),"",IF($D74=$E74,IF(AND($D74&gt;=AN$5,$D74&lt;AN$5+7),"◆",""),IF(AND($D74&lt;AN$5+7,$E74&gt;AN$5),"■","")))</x:f>
      </x:c>
      <x:c r="AO74" s="7" t="str">
        <x:f>IF(OR($D74="",AO$5="",'상세일정'!AM74="제외"),"",IF($D74=$E74,IF(AND($D74&gt;=AO$5,$D74&lt;AO$5+7),"◆",""),IF(AND($D74&lt;AO$5+7,$E74&gt;AO$5),"■","")))</x:f>
      </x:c>
      <x:c r="AP74" s="7" t="str">
        <x:f>IF(OR($D74="",AP$5="",'상세일정'!AM74="제외"),"",IF($D74=$E74,IF(AND($D74&gt;=AP$5,$D74&lt;AP$5+7),"◆",""),IF(AND($D74&lt;AP$5+7,$E74&gt;AP$5),"■","")))</x:f>
      </x:c>
      <x:c r="AQ74" s="7" t="str">
        <x:f>IF(OR($D74="",AQ$5="",'상세일정'!AM74="제외"),"",IF($D74=$E74,IF(AND($D74&gt;=AQ$5,$D74&lt;AQ$5+7),"◆",""),IF(AND($D74&lt;AQ$5+7,$E74&gt;AQ$5),"■","")))</x:f>
      </x:c>
      <x:c r="AR74" s="7" t="str">
        <x:f>IF(OR($D74="",AR$5="",'상세일정'!AM74="제외"),"",IF($D74=$E74,IF(AND($D74&gt;=AR$5,$D74&lt;AR$5+7),"◆",""),IF(AND($D74&lt;AR$5+7,$E74&gt;AR$5),"■","")))</x:f>
      </x:c>
      <x:c r="AS74" s="7" t="str">
        <x:f>IF(OR($D74="",AS$5="",'상세일정'!AM74="제외"),"",IF($D74=$E74,IF(AND($D74&gt;=AS$5,$D74&lt;AS$5+7),"◆",""),IF(AND($D74&lt;AS$5+7,$E74&gt;AS$5),"■","")))</x:f>
      </x:c>
      <x:c r="AT74" s="7" t="str">
        <x:f>IF(OR($D74="",AT$5="",'상세일정'!AM74="제외"),"",IF($D74=$E74,IF(AND($D74&gt;=AT$5,$D74&lt;AT$5+7),"◆",""),IF(AND($D74&lt;AT$5+7,$E74&gt;AT$5),"■","")))</x:f>
      </x:c>
      <x:c r="AU74" s="7" t="str">
        <x:f>IF(OR($D74="",AU$5="",'상세일정'!AM74="제외"),"",IF($D74=$E74,IF(AND($D74&gt;=AU$5,$D74&lt;AU$5+7),"◆",""),IF(AND($D74&lt;AU$5+7,$E74&gt;AU$5),"■","")))</x:f>
      </x:c>
      <x:c r="AV74" s="7" t="str">
        <x:f>IF(OR($D74="",AV$5="",'상세일정'!AM74="제외"),"",IF($D74=$E74,IF(AND($D74&gt;=AV$5,$D74&lt;AV$5+7),"◆",""),IF(AND($D74&lt;AV$5+7,$E74&gt;AV$5),"■","")))</x:f>
      </x:c>
      <x:c r="AW74" s="7" t="str">
        <x:f>IF(OR($D74="",AW$5="",'상세일정'!AM74="제외"),"",IF($D74=$E74,IF(AND($D74&gt;=AW$5,$D74&lt;AW$5+7),"◆",""),IF(AND($D74&lt;AW$5+7,$E74&gt;AW$5),"■","")))</x:f>
      </x:c>
      <x:c r="AX74" s="7" t="str">
        <x:f>IF(OR($D74="",AX$5="",'상세일정'!AM74="제외"),"",IF($D74=$E74,IF(AND($D74&gt;=AX$5,$D74&lt;AX$5+7),"◆",""),IF(AND($D74&lt;AX$5+7,$E74&gt;AX$5),"■","")))</x:f>
      </x:c>
      <x:c r="AY74" s="7" t="str">
        <x:f>IF(OR($D74="",AY$5="",'상세일정'!AM74="제외"),"",IF($D74=$E74,IF(AND($D74&gt;=AY$5,$D74&lt;AY$5+7),"◆",""),IF(AND($D74&lt;AY$5+7,$E74&gt;AY$5),"■","")))</x:f>
      </x:c>
      <x:c r="AZ74" s="7" t="str">
        <x:f>IF(OR($D74="",AZ$5="",'상세일정'!AM74="제외"),"",IF($D74=$E74,IF(AND($D74&gt;=AZ$5,$D74&lt;AZ$5+7),"◆",""),IF(AND($D74&lt;AZ$5+7,$E74&gt;AZ$5),"■","")))</x:f>
      </x:c>
      <x:c r="BA74" s="7" t="str">
        <x:f>IF(OR($D74="",BA$5="",'상세일정'!AM74="제외"),"",IF($D74=$E74,IF(AND($D74&gt;=BA$5,$D74&lt;BA$5+7),"◆",""),IF(AND($D74&lt;BA$5+7,$E74&gt;BA$5),"■","")))</x:f>
      </x:c>
      <x:c r="BB74" s="7" t="str">
        <x:f>IF(OR($D74="",BB$5="",'상세일정'!AM74="제외"),"",IF($D74=$E74,IF(AND($D74&gt;=BB$5,$D74&lt;BB$5+7),"◆",""),IF(AND($D74&lt;BB$5+7,$E74&gt;BB$5),"■","")))</x:f>
      </x:c>
      <x:c r="BC74" s="7" t="str">
        <x:f>IF(OR($D74="",BC$5="",'상세일정'!AM74="제외"),"",IF($D74=$E74,IF(AND($D74&gt;=BC$5,$D74&lt;BC$5+7),"◆",""),IF(AND($D74&lt;BC$5+7,$E74&gt;BC$5),"■","")))</x:f>
      </x:c>
      <x:c r="BD74" s="7" t="str">
        <x:f>IF(OR($D74="",BD$5="",'상세일정'!AM74="제외"),"",IF($D74=$E74,IF(AND($D74&gt;=BD$5,$D74&lt;BD$5+7),"◆",""),IF(AND($D74&lt;BD$5+7,$E74&gt;BD$5),"■","")))</x:f>
      </x:c>
      <x:c r="BE74" s="7" t="str">
        <x:f>IF(OR($D74="",BE$5="",'상세일정'!AM74="제외"),"",IF($D74=$E74,IF(AND($D74&gt;=BE$5,$D74&lt;BE$5+7),"◆",""),IF(AND($D74&lt;BE$5+7,$E74&gt;BE$5),"■","")))</x:f>
      </x:c>
      <x:c r="BF74" s="7" t="str">
        <x:f>IF(OR($D74="",BF$5="",'상세일정'!AM74="제외"),"",IF($D74=$E74,IF(AND($D74&gt;=BF$5,$D74&lt;BF$5+7),"◆",""),IF(AND($D74&lt;BF$5+7,$E74&gt;BF$5),"■","")))</x:f>
      </x:c>
      <x:c r="BG74" s="7" t="str">
        <x:f>IF(OR($D74="",BG$5="",'상세일정'!AM74="제외"),"",IF($D74=$E74,IF(AND($D74&gt;=BG$5,$D74&lt;BG$5+7),"◆",""),IF(AND($D74&lt;BG$5+7,$E74&gt;BG$5),"■","")))</x:f>
      </x:c>
      <x:c r="BH74" s="7" t="str">
        <x:f>IF(OR($D74="",BH$5="",'상세일정'!AM74="제외"),"",IF($D74=$E74,IF(AND($D74&gt;=BH$5,$D74&lt;BH$5+7),"◆",""),IF(AND($D74&lt;BH$5+7,$E74&gt;BH$5),"■","")))</x:f>
      </x:c>
      <x:c r="BI74" s="7" t="str">
        <x:f>IF(OR($D74="",BI$5="",'상세일정'!AM74="제외"),"",IF($D74=$E74,IF(AND($D74&gt;=BI$5,$D74&lt;BI$5+7),"◆",""),IF(AND($D74&lt;BI$5+7,$E74&gt;BI$5),"■","")))</x:f>
      </x:c>
      <x:c r="BJ74" s="7" t="str">
        <x:f>IF(OR($D74="",BJ$5="",'상세일정'!AM74="제외"),"",IF($D74=$E74,IF(AND($D74&gt;=BJ$5,$D74&lt;BJ$5+7),"◆",""),IF(AND($D74&lt;BJ$5+7,$E74&gt;BJ$5),"■","")))</x:f>
      </x:c>
      <x:c r="BK74" s="7" t="str">
        <x:f>IF(OR($D74="",BK$5="",'상세일정'!AM74="제외"),"",IF($D74=$E74,IF(AND($D74&gt;=BK$5,$D74&lt;BK$5+7),"◆",""),IF(AND($D74&lt;BK$5+7,$E74&gt;BK$5),"■","")))</x:f>
      </x:c>
      <x:c r="BL74" s="7" t="str">
        <x:f>IF(OR($D74="",BL$5="",'상세일정'!AM74="제외"),"",IF($D74=$E74,IF(AND($D74&gt;=BL$5,$D74&lt;BL$5+7),"◆",""),IF(AND($D74&lt;BL$5+7,$E74&gt;BL$5),"■","")))</x:f>
      </x:c>
      <x:c r="BM74" s="7" t="str">
        <x:f>IF(OR($D74="",BM$5="",'상세일정'!AM74="제외"),"",IF($D74=$E74,IF(AND($D74&gt;=BM$5,$D74&lt;BM$5+7),"◆",""),IF(AND($D74&lt;BM$5+7,$E74&gt;BM$5),"■","")))</x:f>
      </x:c>
      <x:c r="BN74" s="7" t="str">
        <x:f>IF(OR($D74="",BN$5="",'상세일정'!AM74="제외"),"",IF($D74=$E74,IF(AND($D74&gt;=BN$5,$D74&lt;BN$5+7),"◆",""),IF(AND($D74&lt;BN$5+7,$E74&gt;BN$5),"■","")))</x:f>
      </x:c>
      <x:c r="BO74" s="7" t="str">
        <x:f>IF(OR($D74="",BO$5="",'상세일정'!AM74="제외"),"",IF($D74=$E74,IF(AND($D74&gt;=BO$5,$D74&lt;BO$5+7),"◆",""),IF(AND($D74&lt;BO$5+7,$E74&gt;BO$5),"■","")))</x:f>
      </x:c>
      <x:c r="BP74" s="7" t="str">
        <x:f>IF(OR($D74="",BP$5="",'상세일정'!AM74="제외"),"",IF($D74=$E74,IF(AND($D74&gt;=BP$5,$D74&lt;BP$5+7),"◆",""),IF(AND($D74&lt;BP$5+7,$E74&gt;BP$5),"■","")))</x:f>
      </x:c>
      <x:c r="BQ74" s="7" t="str">
        <x:f>IF(OR($D74="",BQ$5="",'상세일정'!AM74="제외"),"",IF($D74=$E74,IF(AND($D74&gt;=BQ$5,$D74&lt;BQ$5+7),"◆",""),IF(AND($D74&lt;BQ$5+7,$E74&gt;BQ$5),"■","")))</x:f>
      </x:c>
      <x:c r="BR74" s="7" t="str">
        <x:f>IF(OR($D74="",BR$5="",'상세일정'!AM74="제외"),"",IF($D74=$E74,IF(AND($D74&gt;=BR$5,$D74&lt;BR$5+7),"◆",""),IF(AND($D74&lt;BR$5+7,$E74&gt;BR$5),"■","")))</x:f>
      </x:c>
      <x:c r="BS74" s="7" t="str">
        <x:f>IF(OR($D74="",BS$5="",'상세일정'!AM74="제외"),"",IF($D74=$E74,IF(AND($D74&gt;=BS$5,$D74&lt;BS$5+7),"◆",""),IF(AND($D74&lt;BS$5+7,$E74&gt;BS$5),"■","")))</x:f>
      </x:c>
      <x:c r="BT74" s="7" t="str">
        <x:f>IF(OR($D74="",BT$5="",'상세일정'!AM74="제외"),"",IF($D74=$E74,IF(AND($D74&gt;=BT$5,$D74&lt;BT$5+7),"◆",""),IF(AND($D74&lt;BT$5+7,$E74&gt;BT$5),"■","")))</x:f>
      </x:c>
      <x:c r="BU74" s="7" t="str">
        <x:f>IF(OR($D74="",BU$5="",'상세일정'!AM74="제외"),"",IF($D74=$E74,IF(AND($D74&gt;=BU$5,$D74&lt;BU$5+7),"◆",""),IF(AND($D74&lt;BU$5+7,$E74&gt;BU$5),"■","")))</x:f>
      </x:c>
      <x:c r="BV74" s="7" t="str">
        <x:f>IF(OR($D74="",BV$5="",'상세일정'!AM74="제외"),"",IF($D74=$E74,IF(AND($D74&gt;=BV$5,$D74&lt;BV$5+7),"◆",""),IF(AND($D74&lt;BV$5+7,$E74&gt;BV$5),"■","")))</x:f>
      </x:c>
      <x:c r="BW74" s="7" t="str">
        <x:f>IF(OR($D74="",BW$5="",'상세일정'!AM74="제외"),"",IF($D74=$E74,IF(AND($D74&gt;=BW$5,$D74&lt;BW$5+7),"◆",""),IF(AND($D74&lt;BW$5+7,$E74&gt;BW$5),"■","")))</x:f>
      </x:c>
      <x:c r="BX74" s="7" t="str">
        <x:f>IF(OR($D74="",BX$5="",'상세일정'!AM74="제외"),"",IF($D74=$E74,IF(AND($D74&gt;=BX$5,$D74&lt;BX$5+7),"◆",""),IF(AND($D74&lt;BX$5+7,$E74&gt;BX$5),"■","")))</x:f>
      </x:c>
      <x:c r="BY74" s="7" t="str">
        <x:f>IF(OR($D74="",BY$5="",'상세일정'!AM74="제외"),"",IF($D74=$E74,IF(AND($D74&gt;=BY$5,$D74&lt;BY$5+7),"◆",""),IF(AND($D74&lt;BY$5+7,$E74&gt;BY$5),"■","")))</x:f>
      </x:c>
      <x:c r="BZ74" s="7" t="str">
        <x:f>IF(OR($D74="",BZ$5="",'상세일정'!AM74="제외"),"",IF($D74=$E74,IF(AND($D74&gt;=BZ$5,$D74&lt;BZ$5+7),"◆",""),IF(AND($D74&lt;BZ$5+7,$E74&gt;BZ$5),"■","")))</x:f>
      </x:c>
      <x:c r="CA74" s="7" t="str">
        <x:f>IF(OR($D74="",CA$5="",'상세일정'!AM74="제외"),"",IF($D74=$E74,IF(AND($D74&gt;=CA$5,$D74&lt;CA$5+7),"◆",""),IF(AND($D74&lt;CA$5+7,$E74&gt;CA$5),"■","")))</x:f>
      </x:c>
      <x:c r="CB74" s="7" t="str">
        <x:f>IF(OR($D74="",CB$5="",'상세일정'!AM74="제외"),"",IF($D74=$E74,IF(AND($D74&gt;=CB$5,$D74&lt;CB$5+7),"◆",""),IF(AND($D74&lt;CB$5+7,$E74&gt;CB$5),"■","")))</x:f>
      </x:c>
      <x:c r="CC74" s="7" t="str">
        <x:f>IF(OR($D74="",CC$5="",'상세일정'!AM74="제외"),"",IF($D74=$E74,IF(AND($D74&gt;=CC$5,$D74&lt;CC$5+7),"◆",""),IF(AND($D74&lt;CC$5+7,$E74&gt;CC$5),"■","")))</x:f>
      </x:c>
      <x:c r="CD74" s="7" t="str">
        <x:f>IF(OR($D74="",CD$5="",'상세일정'!AM74="제외"),"",IF($D74=$E74,IF(AND($D74&gt;=CD$5,$D74&lt;CD$5+7),"◆",""),IF(AND($D74&lt;CD$5+7,$E74&gt;CD$5),"■","")))</x:f>
      </x:c>
      <x:c r="CE74" s="7" t="str">
        <x:f>IF(OR($D74="",CE$5="",'상세일정'!AM74="제외"),"",IF($D74=$E74,IF(AND($D74&gt;=CE$5,$D74&lt;CE$5+7),"◆",""),IF(AND($D74&lt;CE$5+7,$E74&gt;CE$5),"■","")))</x:f>
      </x:c>
      <x:c r="CF74" s="7" t="str">
        <x:f>IF(OR($D74="",CF$5="",'상세일정'!AM74="제외"),"",IF($D74=$E74,IF(AND($D74&gt;=CF$5,$D74&lt;CF$5+7),"◆",""),IF(AND($D74&lt;CF$5+7,$E74&gt;CF$5),"■","")))</x:f>
      </x:c>
      <x:c r="CG74" s="7" t="str">
        <x:f>IF(OR($D74="",CG$5="",'상세일정'!AM74="제외"),"",IF($D74=$E74,IF(AND($D74&gt;=CG$5,$D74&lt;CG$5+7),"◆",""),IF(AND($D74&lt;CG$5+7,$E74&gt;CG$5),"■","")))</x:f>
      </x:c>
      <x:c r="CH74" s="7" t="str">
        <x:f>IF(OR($D74="",CH$5="",'상세일정'!AM74="제외"),"",IF($D74=$E74,IF(AND($D74&gt;=CH$5,$D74&lt;CH$5+7),"◆",""),IF(AND($D74&lt;CH$5+7,$E74&gt;CH$5),"■","")))</x:f>
      </x:c>
      <x:c r="CI74" s="7" t="str">
        <x:f>IF(OR($D74="",CI$5="",'상세일정'!AM74="제외"),"",IF($D74=$E74,IF(AND($D74&gt;=CI$5,$D74&lt;CI$5+7),"◆",""),IF(AND($D74&lt;CI$5+7,$E74&gt;CI$5),"■","")))</x:f>
      </x:c>
      <x:c r="CJ74" s="7" t="str">
        <x:f>IF(OR($D74="",CJ$5="",'상세일정'!AM74="제외"),"",IF($D74=$E74,IF(AND($D74&gt;=CJ$5,$D74&lt;CJ$5+7),"◆",""),IF(AND($D74&lt;CJ$5+7,$E74&gt;CJ$5),"■","")))</x:f>
      </x:c>
      <x:c r="CK74" s="7" t="str">
        <x:f>IF(OR($D74="",CK$5="",'상세일정'!AM74="제외"),"",IF($D74=$E74,IF(AND($D74&gt;=CK$5,$D74&lt;CK$5+7),"◆",""),IF(AND($D74&lt;CK$5+7,$E74&gt;CK$5),"■","")))</x:f>
      </x:c>
      <x:c r="CL74" s="7" t="str">
        <x:f>IF(OR($D74="",CL$5="",'상세일정'!AM74="제외"),"",IF($D74=$E74,IF(AND($D74&gt;=CL$5,$D74&lt;CL$5+7),"◆",""),IF(AND($D74&lt;CL$5+7,$E74&gt;CL$5),"■","")))</x:f>
      </x:c>
      <x:c r="CM74" s="7" t="str">
        <x:f>IF(OR($D74="",CM$5="",'상세일정'!AM74="제외"),"",IF($D74=$E74,IF(AND($D74&gt;=CM$5,$D74&lt;CM$5+7),"◆",""),IF(AND($D74&lt;CM$5+7,$E74&gt;CM$5),"■","")))</x:f>
      </x:c>
      <x:c r="CN74" s="7" t="str">
        <x:f>IF(OR($D74="",CN$5="",'상세일정'!AM74="제외"),"",IF($D74=$E74,IF(AND($D74&gt;=CN$5,$D74&lt;CN$5+7),"◆",""),IF(AND($D74&lt;CN$5+7,$E74&gt;CN$5),"■","")))</x:f>
      </x:c>
      <x:c r="CO74" s="7" t="str">
        <x:f>IF(OR($D74="",CO$5="",'상세일정'!AM74="제외"),"",IF($D74=$E74,IF(AND($D74&gt;=CO$5,$D74&lt;CO$5+7),"◆",""),IF(AND($D74&lt;CO$5+7,$E74&gt;CO$5),"■","")))</x:f>
      </x:c>
      <x:c r="CP74" s="7" t="str">
        <x:f>IF(OR($D74="",CP$5="",'상세일정'!AM74="제외"),"",IF($D74=$E74,IF(AND($D74&gt;=CP$5,$D74&lt;CP$5+7),"◆",""),IF(AND($D74&lt;CP$5+7,$E74&gt;CP$5),"■","")))</x:f>
      </x:c>
      <x:c r="CQ74" s="7" t="str">
        <x:f>IF(OR($D74="",CQ$5="",'상세일정'!AM74="제외"),"",IF($D74=$E74,IF(AND($D74&gt;=CQ$5,$D74&lt;CQ$5+7),"◆",""),IF(AND($D74&lt;CQ$5+7,$E74&gt;CQ$5),"■","")))</x:f>
      </x:c>
      <x:c r="CR74" s="7" t="str">
        <x:f>IF(OR($D74="",CR$5="",'상세일정'!AM74="제외"),"",IF($D74=$E74,IF(AND($D74&gt;=CR$5,$D74&lt;CR$5+7),"◆",""),IF(AND($D74&lt;CR$5+7,$E74&gt;CR$5),"■","")))</x:f>
      </x:c>
      <x:c r="CS74" s="7" t="str">
        <x:f>IF(OR($D74="",CS$5="",'상세일정'!AM74="제외"),"",IF($D74=$E74,IF(AND($D74&gt;=CS$5,$D74&lt;CS$5+7),"◆",""),IF(AND($D74&lt;CS$5+7,$E74&gt;CS$5),"■","")))</x:f>
      </x:c>
      <x:c r="CT74" s="7" t="str">
        <x:f>IF(OR($D74="",CT$5="",'상세일정'!AM74="제외"),"",IF($D74=$E74,IF(AND($D74&gt;=CT$5,$D74&lt;CT$5+7),"◆",""),IF(AND($D74&lt;CT$5+7,$E74&gt;CT$5),"■","")))</x:f>
      </x:c>
      <x:c r="CU74" s="7" t="str">
        <x:f>IF(OR($D74="",CU$5="",'상세일정'!AM74="제외"),"",IF($D74=$E74,IF(AND($D74&gt;=CU$5,$D74&lt;CU$5+7),"◆",""),IF(AND($D74&lt;CU$5+7,$E74&gt;CU$5),"■","")))</x:f>
      </x:c>
      <x:c r="CV74" s="7" t="str">
        <x:f>IF(OR($D74="",CV$5="",'상세일정'!AM74="제외"),"",IF($D74=$E74,IF(AND($D74&gt;=CV$5,$D74&lt;CV$5+7),"◆",""),IF(AND($D74&lt;CV$5+7,$E74&gt;CV$5),"■","")))</x:f>
      </x:c>
      <x:c r="CW74" s="7" t="str">
        <x:f>IF(OR($D74="",CW$5="",'상세일정'!AM74="제외"),"",IF($D74=$E74,IF(AND($D74&gt;=CW$5,$D74&lt;CW$5+7),"◆",""),IF(AND($D74&lt;CW$5+7,$E74&gt;CW$5),"■","")))</x:f>
      </x:c>
      <x:c r="CX74" s="7" t="str">
        <x:f>IF(OR($D74="",CX$5="",'상세일정'!AM74="제외"),"",IF($D74=$E74,IF(AND($D74&gt;=CX$5,$D74&lt;CX$5+7),"◆",""),IF(AND($D74&lt;CX$5+7,$E74&gt;CX$5),"■","")))</x:f>
      </x:c>
      <x:c r="CY74" s="7" t="str">
        <x:f>IF(OR($D74="",CY$5="",'상세일정'!AM74="제외"),"",IF($D74=$E74,IF(AND($D74&gt;=CY$5,$D74&lt;CY$5+7),"◆",""),IF(AND($D74&lt;CY$5+7,$E74&gt;CY$5),"■","")))</x:f>
      </x:c>
      <x:c r="CZ74" s="7" t="str">
        <x:f>IF(OR($D74="",CZ$5="",'상세일정'!AM74="제외"),"",IF($D74=$E74,IF(AND($D74&gt;=CZ$5,$D74&lt;CZ$5+7),"◆",""),IF(AND($D74&lt;CZ$5+7,$E74&gt;CZ$5),"■","")))</x:f>
      </x:c>
      <x:c r="DA74" s="7" t="str">
        <x:f>IF(OR($D74="",DA$5="",'상세일정'!AM74="제외"),"",IF($D74=$E74,IF(AND($D74&gt;=DA$5,$D74&lt;DA$5+7),"◆",""),IF(AND($D74&lt;DA$5+7,$E74&gt;DA$5),"■","")))</x:f>
      </x:c>
      <x:c r="DB74" s="7" t="str">
        <x:f>IF(OR($D74="",DB$5="",'상세일정'!AM74="제외"),"",IF($D74=$E74,IF(AND($D74&gt;=DB$5,$D74&lt;DB$5+7),"◆",""),IF(AND($D74&lt;DB$5+7,$E74&gt;DB$5),"■","")))</x:f>
      </x:c>
      <x:c r="DC74" s="7" t="str">
        <x:f>IF(OR($D74="",DC$5="",'상세일정'!AM74="제외"),"",IF($D74=$E74,IF(AND($D74&gt;=DC$5,$D74&lt;DC$5+7),"◆",""),IF(AND($D74&lt;DC$5+7,$E74&gt;DC$5),"■","")))</x:f>
      </x:c>
      <x:c r="DD74" s="7" t="str">
        <x:f>IF(OR($D74="",DD$5="",'상세일정'!AM74="제외"),"",IF($D74=$E74,IF(AND($D74&gt;=DD$5,$D74&lt;DD$5+7),"◆",""),IF(AND($D74&lt;DD$5+7,$E74&gt;DD$5),"■","")))</x:f>
      </x:c>
      <x:c r="DE74" s="7" t="str">
        <x:f>IF(OR($D74="",DE$5="",'상세일정'!AM74="제외"),"",IF($D74=$E74,IF(AND($D74&gt;=DE$5,$D74&lt;DE$5+7),"◆",""),IF(AND($D74&lt;DE$5+7,$E74&gt;DE$5),"■","")))</x:f>
      </x:c>
    </x:row>
    <x:row r="75" ht="34" customHeight="1">
      <x:c r="A75" s="7" t="str">
        <x:v>KG01</x:v>
      </x:c>
      <x:c r="B75" s="7" t="str">
        <x:v>12 KGS 기술검토·허가</x:v>
      </x:c>
      <x:c r="C75" s="7" t="str">
        <x:v>시설별 기술검토 범위·적용코드 기관 사전협의</x:v>
      </x:c>
      <x:c r="D75" s="10" t="str">
        <x:f>'상세일정'!AJ75</x:f>
      </x:c>
      <x:c r="E75" s="10" t="str">
        <x:f>'상세일정'!AK75</x:f>
      </x:c>
      <x:c r="F75" s="7" t="str">
        <x:f>IF(OR($D75="",F$5="",'상세일정'!AM75="제외"),"",IF($D75=$E75,IF(AND($D75&gt;=F$5,$D75&lt;F$5+7),"◆",""),IF(AND($D75&lt;F$5+7,$E75&gt;F$5),"■","")))</x:f>
      </x:c>
      <x:c r="G75" s="7" t="str">
        <x:f>IF(OR($D75="",G$5="",'상세일정'!AM75="제외"),"",IF($D75=$E75,IF(AND($D75&gt;=G$5,$D75&lt;G$5+7),"◆",""),IF(AND($D75&lt;G$5+7,$E75&gt;G$5),"■","")))</x:f>
      </x:c>
      <x:c r="H75" s="7" t="str">
        <x:f>IF(OR($D75="",H$5="",'상세일정'!AM75="제외"),"",IF($D75=$E75,IF(AND($D75&gt;=H$5,$D75&lt;H$5+7),"◆",""),IF(AND($D75&lt;H$5+7,$E75&gt;H$5),"■","")))</x:f>
      </x:c>
      <x:c r="I75" s="7" t="str">
        <x:f>IF(OR($D75="",I$5="",'상세일정'!AM75="제외"),"",IF($D75=$E75,IF(AND($D75&gt;=I$5,$D75&lt;I$5+7),"◆",""),IF(AND($D75&lt;I$5+7,$E75&gt;I$5),"■","")))</x:f>
      </x:c>
      <x:c r="J75" s="7" t="str">
        <x:f>IF(OR($D75="",J$5="",'상세일정'!AM75="제외"),"",IF($D75=$E75,IF(AND($D75&gt;=J$5,$D75&lt;J$5+7),"◆",""),IF(AND($D75&lt;J$5+7,$E75&gt;J$5),"■","")))</x:f>
      </x:c>
      <x:c r="K75" s="7" t="str">
        <x:f>IF(OR($D75="",K$5="",'상세일정'!AM75="제외"),"",IF($D75=$E75,IF(AND($D75&gt;=K$5,$D75&lt;K$5+7),"◆",""),IF(AND($D75&lt;K$5+7,$E75&gt;K$5),"■","")))</x:f>
      </x:c>
      <x:c r="L75" s="7" t="str">
        <x:f>IF(OR($D75="",L$5="",'상세일정'!AM75="제외"),"",IF($D75=$E75,IF(AND($D75&gt;=L$5,$D75&lt;L$5+7),"◆",""),IF(AND($D75&lt;L$5+7,$E75&gt;L$5),"■","")))</x:f>
      </x:c>
      <x:c r="M75" s="7" t="str">
        <x:f>IF(OR($D75="",M$5="",'상세일정'!AM75="제외"),"",IF($D75=$E75,IF(AND($D75&gt;=M$5,$D75&lt;M$5+7),"◆",""),IF(AND($D75&lt;M$5+7,$E75&gt;M$5),"■","")))</x:f>
      </x:c>
      <x:c r="N75" s="7" t="str">
        <x:f>IF(OR($D75="",N$5="",'상세일정'!AM75="제외"),"",IF($D75=$E75,IF(AND($D75&gt;=N$5,$D75&lt;N$5+7),"◆",""),IF(AND($D75&lt;N$5+7,$E75&gt;N$5),"■","")))</x:f>
      </x:c>
      <x:c r="O75" s="7" t="str">
        <x:f>IF(OR($D75="",O$5="",'상세일정'!AM75="제외"),"",IF($D75=$E75,IF(AND($D75&gt;=O$5,$D75&lt;O$5+7),"◆",""),IF(AND($D75&lt;O$5+7,$E75&gt;O$5),"■","")))</x:f>
      </x:c>
      <x:c r="P75" s="7" t="str">
        <x:f>IF(OR($D75="",P$5="",'상세일정'!AM75="제외"),"",IF($D75=$E75,IF(AND($D75&gt;=P$5,$D75&lt;P$5+7),"◆",""),IF(AND($D75&lt;P$5+7,$E75&gt;P$5),"■","")))</x:f>
      </x:c>
      <x:c r="Q75" s="7" t="str">
        <x:f>IF(OR($D75="",Q$5="",'상세일정'!AM75="제외"),"",IF($D75=$E75,IF(AND($D75&gt;=Q$5,$D75&lt;Q$5+7),"◆",""),IF(AND($D75&lt;Q$5+7,$E75&gt;Q$5),"■","")))</x:f>
      </x:c>
      <x:c r="R75" s="7" t="str">
        <x:f>IF(OR($D75="",R$5="",'상세일정'!AM75="제외"),"",IF($D75=$E75,IF(AND($D75&gt;=R$5,$D75&lt;R$5+7),"◆",""),IF(AND($D75&lt;R$5+7,$E75&gt;R$5),"■","")))</x:f>
      </x:c>
      <x:c r="S75" s="7" t="str">
        <x:f>IF(OR($D75="",S$5="",'상세일정'!AM75="제외"),"",IF($D75=$E75,IF(AND($D75&gt;=S$5,$D75&lt;S$5+7),"◆",""),IF(AND($D75&lt;S$5+7,$E75&gt;S$5),"■","")))</x:f>
      </x:c>
      <x:c r="T75" s="7" t="str">
        <x:f>IF(OR($D75="",T$5="",'상세일정'!AM75="제외"),"",IF($D75=$E75,IF(AND($D75&gt;=T$5,$D75&lt;T$5+7),"◆",""),IF(AND($D75&lt;T$5+7,$E75&gt;T$5),"■","")))</x:f>
      </x:c>
      <x:c r="U75" s="7" t="str">
        <x:f>IF(OR($D75="",U$5="",'상세일정'!AM75="제외"),"",IF($D75=$E75,IF(AND($D75&gt;=U$5,$D75&lt;U$5+7),"◆",""),IF(AND($D75&lt;U$5+7,$E75&gt;U$5),"■","")))</x:f>
      </x:c>
      <x:c r="V75" s="7" t="str">
        <x:f>IF(OR($D75="",V$5="",'상세일정'!AM75="제외"),"",IF($D75=$E75,IF(AND($D75&gt;=V$5,$D75&lt;V$5+7),"◆",""),IF(AND($D75&lt;V$5+7,$E75&gt;V$5),"■","")))</x:f>
      </x:c>
      <x:c r="W75" s="7" t="str">
        <x:f>IF(OR($D75="",W$5="",'상세일정'!AM75="제외"),"",IF($D75=$E75,IF(AND($D75&gt;=W$5,$D75&lt;W$5+7),"◆",""),IF(AND($D75&lt;W$5+7,$E75&gt;W$5),"■","")))</x:f>
      </x:c>
      <x:c r="X75" s="7" t="str">
        <x:f>IF(OR($D75="",X$5="",'상세일정'!AM75="제외"),"",IF($D75=$E75,IF(AND($D75&gt;=X$5,$D75&lt;X$5+7),"◆",""),IF(AND($D75&lt;X$5+7,$E75&gt;X$5),"■","")))</x:f>
      </x:c>
      <x:c r="Y75" s="7" t="str">
        <x:f>IF(OR($D75="",Y$5="",'상세일정'!AM75="제외"),"",IF($D75=$E75,IF(AND($D75&gt;=Y$5,$D75&lt;Y$5+7),"◆",""),IF(AND($D75&lt;Y$5+7,$E75&gt;Y$5),"■","")))</x:f>
      </x:c>
      <x:c r="Z75" s="7" t="str">
        <x:f>IF(OR($D75="",Z$5="",'상세일정'!AM75="제외"),"",IF($D75=$E75,IF(AND($D75&gt;=Z$5,$D75&lt;Z$5+7),"◆",""),IF(AND($D75&lt;Z$5+7,$E75&gt;Z$5),"■","")))</x:f>
      </x:c>
      <x:c r="AA75" s="7" t="str">
        <x:f>IF(OR($D75="",AA$5="",'상세일정'!AM75="제외"),"",IF($D75=$E75,IF(AND($D75&gt;=AA$5,$D75&lt;AA$5+7),"◆",""),IF(AND($D75&lt;AA$5+7,$E75&gt;AA$5),"■","")))</x:f>
      </x:c>
      <x:c r="AB75" s="7" t="str">
        <x:f>IF(OR($D75="",AB$5="",'상세일정'!AM75="제외"),"",IF($D75=$E75,IF(AND($D75&gt;=AB$5,$D75&lt;AB$5+7),"◆",""),IF(AND($D75&lt;AB$5+7,$E75&gt;AB$5),"■","")))</x:f>
      </x:c>
      <x:c r="AC75" s="7" t="str">
        <x:f>IF(OR($D75="",AC$5="",'상세일정'!AM75="제외"),"",IF($D75=$E75,IF(AND($D75&gt;=AC$5,$D75&lt;AC$5+7),"◆",""),IF(AND($D75&lt;AC$5+7,$E75&gt;AC$5),"■","")))</x:f>
      </x:c>
      <x:c r="AD75" s="7" t="str">
        <x:f>IF(OR($D75="",AD$5="",'상세일정'!AM75="제외"),"",IF($D75=$E75,IF(AND($D75&gt;=AD$5,$D75&lt;AD$5+7),"◆",""),IF(AND($D75&lt;AD$5+7,$E75&gt;AD$5),"■","")))</x:f>
      </x:c>
      <x:c r="AE75" s="7" t="str">
        <x:f>IF(OR($D75="",AE$5="",'상세일정'!AM75="제외"),"",IF($D75=$E75,IF(AND($D75&gt;=AE$5,$D75&lt;AE$5+7),"◆",""),IF(AND($D75&lt;AE$5+7,$E75&gt;AE$5),"■","")))</x:f>
      </x:c>
      <x:c r="AF75" s="7" t="str">
        <x:f>IF(OR($D75="",AF$5="",'상세일정'!AM75="제외"),"",IF($D75=$E75,IF(AND($D75&gt;=AF$5,$D75&lt;AF$5+7),"◆",""),IF(AND($D75&lt;AF$5+7,$E75&gt;AF$5),"■","")))</x:f>
      </x:c>
      <x:c r="AG75" s="7" t="str">
        <x:f>IF(OR($D75="",AG$5="",'상세일정'!AM75="제외"),"",IF($D75=$E75,IF(AND($D75&gt;=AG$5,$D75&lt;AG$5+7),"◆",""),IF(AND($D75&lt;AG$5+7,$E75&gt;AG$5),"■","")))</x:f>
      </x:c>
      <x:c r="AH75" s="7" t="str">
        <x:f>IF(OR($D75="",AH$5="",'상세일정'!AM75="제외"),"",IF($D75=$E75,IF(AND($D75&gt;=AH$5,$D75&lt;AH$5+7),"◆",""),IF(AND($D75&lt;AH$5+7,$E75&gt;AH$5),"■","")))</x:f>
      </x:c>
      <x:c r="AI75" s="7" t="str">
        <x:f>IF(OR($D75="",AI$5="",'상세일정'!AM75="제외"),"",IF($D75=$E75,IF(AND($D75&gt;=AI$5,$D75&lt;AI$5+7),"◆",""),IF(AND($D75&lt;AI$5+7,$E75&gt;AI$5),"■","")))</x:f>
      </x:c>
      <x:c r="AJ75" s="7" t="str">
        <x:f>IF(OR($D75="",AJ$5="",'상세일정'!AM75="제외"),"",IF($D75=$E75,IF(AND($D75&gt;=AJ$5,$D75&lt;AJ$5+7),"◆",""),IF(AND($D75&lt;AJ$5+7,$E75&gt;AJ$5),"■","")))</x:f>
      </x:c>
      <x:c r="AK75" s="7" t="str">
        <x:f>IF(OR($D75="",AK$5="",'상세일정'!AM75="제외"),"",IF($D75=$E75,IF(AND($D75&gt;=AK$5,$D75&lt;AK$5+7),"◆",""),IF(AND($D75&lt;AK$5+7,$E75&gt;AK$5),"■","")))</x:f>
      </x:c>
      <x:c r="AL75" s="7" t="str">
        <x:f>IF(OR($D75="",AL$5="",'상세일정'!AM75="제외"),"",IF($D75=$E75,IF(AND($D75&gt;=AL$5,$D75&lt;AL$5+7),"◆",""),IF(AND($D75&lt;AL$5+7,$E75&gt;AL$5),"■","")))</x:f>
      </x:c>
      <x:c r="AM75" s="7" t="str">
        <x:f>IF(OR($D75="",AM$5="",'상세일정'!AM75="제외"),"",IF($D75=$E75,IF(AND($D75&gt;=AM$5,$D75&lt;AM$5+7),"◆",""),IF(AND($D75&lt;AM$5+7,$E75&gt;AM$5),"■","")))</x:f>
      </x:c>
      <x:c r="AN75" s="7" t="str">
        <x:f>IF(OR($D75="",AN$5="",'상세일정'!AM75="제외"),"",IF($D75=$E75,IF(AND($D75&gt;=AN$5,$D75&lt;AN$5+7),"◆",""),IF(AND($D75&lt;AN$5+7,$E75&gt;AN$5),"■","")))</x:f>
      </x:c>
      <x:c r="AO75" s="7" t="str">
        <x:f>IF(OR($D75="",AO$5="",'상세일정'!AM75="제외"),"",IF($D75=$E75,IF(AND($D75&gt;=AO$5,$D75&lt;AO$5+7),"◆",""),IF(AND($D75&lt;AO$5+7,$E75&gt;AO$5),"■","")))</x:f>
      </x:c>
      <x:c r="AP75" s="7" t="str">
        <x:f>IF(OR($D75="",AP$5="",'상세일정'!AM75="제외"),"",IF($D75=$E75,IF(AND($D75&gt;=AP$5,$D75&lt;AP$5+7),"◆",""),IF(AND($D75&lt;AP$5+7,$E75&gt;AP$5),"■","")))</x:f>
      </x:c>
      <x:c r="AQ75" s="7" t="str">
        <x:f>IF(OR($D75="",AQ$5="",'상세일정'!AM75="제외"),"",IF($D75=$E75,IF(AND($D75&gt;=AQ$5,$D75&lt;AQ$5+7),"◆",""),IF(AND($D75&lt;AQ$5+7,$E75&gt;AQ$5),"■","")))</x:f>
      </x:c>
      <x:c r="AR75" s="7" t="str">
        <x:f>IF(OR($D75="",AR$5="",'상세일정'!AM75="제외"),"",IF($D75=$E75,IF(AND($D75&gt;=AR$5,$D75&lt;AR$5+7),"◆",""),IF(AND($D75&lt;AR$5+7,$E75&gt;AR$5),"■","")))</x:f>
      </x:c>
      <x:c r="AS75" s="7" t="str">
        <x:f>IF(OR($D75="",AS$5="",'상세일정'!AM75="제외"),"",IF($D75=$E75,IF(AND($D75&gt;=AS$5,$D75&lt;AS$5+7),"◆",""),IF(AND($D75&lt;AS$5+7,$E75&gt;AS$5),"■","")))</x:f>
      </x:c>
      <x:c r="AT75" s="7" t="str">
        <x:f>IF(OR($D75="",AT$5="",'상세일정'!AM75="제외"),"",IF($D75=$E75,IF(AND($D75&gt;=AT$5,$D75&lt;AT$5+7),"◆",""),IF(AND($D75&lt;AT$5+7,$E75&gt;AT$5),"■","")))</x:f>
      </x:c>
      <x:c r="AU75" s="7" t="str">
        <x:f>IF(OR($D75="",AU$5="",'상세일정'!AM75="제외"),"",IF($D75=$E75,IF(AND($D75&gt;=AU$5,$D75&lt;AU$5+7),"◆",""),IF(AND($D75&lt;AU$5+7,$E75&gt;AU$5),"■","")))</x:f>
      </x:c>
      <x:c r="AV75" s="7" t="str">
        <x:f>IF(OR($D75="",AV$5="",'상세일정'!AM75="제외"),"",IF($D75=$E75,IF(AND($D75&gt;=AV$5,$D75&lt;AV$5+7),"◆",""),IF(AND($D75&lt;AV$5+7,$E75&gt;AV$5),"■","")))</x:f>
      </x:c>
      <x:c r="AW75" s="7" t="str">
        <x:f>IF(OR($D75="",AW$5="",'상세일정'!AM75="제외"),"",IF($D75=$E75,IF(AND($D75&gt;=AW$5,$D75&lt;AW$5+7),"◆",""),IF(AND($D75&lt;AW$5+7,$E75&gt;AW$5),"■","")))</x:f>
      </x:c>
      <x:c r="AX75" s="7" t="str">
        <x:f>IF(OR($D75="",AX$5="",'상세일정'!AM75="제외"),"",IF($D75=$E75,IF(AND($D75&gt;=AX$5,$D75&lt;AX$5+7),"◆",""),IF(AND($D75&lt;AX$5+7,$E75&gt;AX$5),"■","")))</x:f>
      </x:c>
      <x:c r="AY75" s="7" t="str">
        <x:f>IF(OR($D75="",AY$5="",'상세일정'!AM75="제외"),"",IF($D75=$E75,IF(AND($D75&gt;=AY$5,$D75&lt;AY$5+7),"◆",""),IF(AND($D75&lt;AY$5+7,$E75&gt;AY$5),"■","")))</x:f>
      </x:c>
      <x:c r="AZ75" s="7" t="str">
        <x:f>IF(OR($D75="",AZ$5="",'상세일정'!AM75="제외"),"",IF($D75=$E75,IF(AND($D75&gt;=AZ$5,$D75&lt;AZ$5+7),"◆",""),IF(AND($D75&lt;AZ$5+7,$E75&gt;AZ$5),"■","")))</x:f>
      </x:c>
      <x:c r="BA75" s="7" t="str">
        <x:f>IF(OR($D75="",BA$5="",'상세일정'!AM75="제외"),"",IF($D75=$E75,IF(AND($D75&gt;=BA$5,$D75&lt;BA$5+7),"◆",""),IF(AND($D75&lt;BA$5+7,$E75&gt;BA$5),"■","")))</x:f>
      </x:c>
      <x:c r="BB75" s="7" t="str">
        <x:f>IF(OR($D75="",BB$5="",'상세일정'!AM75="제외"),"",IF($D75=$E75,IF(AND($D75&gt;=BB$5,$D75&lt;BB$5+7),"◆",""),IF(AND($D75&lt;BB$5+7,$E75&gt;BB$5),"■","")))</x:f>
      </x:c>
      <x:c r="BC75" s="7" t="str">
        <x:f>IF(OR($D75="",BC$5="",'상세일정'!AM75="제외"),"",IF($D75=$E75,IF(AND($D75&gt;=BC$5,$D75&lt;BC$5+7),"◆",""),IF(AND($D75&lt;BC$5+7,$E75&gt;BC$5),"■","")))</x:f>
      </x:c>
      <x:c r="BD75" s="7" t="str">
        <x:f>IF(OR($D75="",BD$5="",'상세일정'!AM75="제외"),"",IF($D75=$E75,IF(AND($D75&gt;=BD$5,$D75&lt;BD$5+7),"◆",""),IF(AND($D75&lt;BD$5+7,$E75&gt;BD$5),"■","")))</x:f>
      </x:c>
      <x:c r="BE75" s="7" t="str">
        <x:f>IF(OR($D75="",BE$5="",'상세일정'!AM75="제외"),"",IF($D75=$E75,IF(AND($D75&gt;=BE$5,$D75&lt;BE$5+7),"◆",""),IF(AND($D75&lt;BE$5+7,$E75&gt;BE$5),"■","")))</x:f>
      </x:c>
      <x:c r="BF75" s="7" t="str">
        <x:f>IF(OR($D75="",BF$5="",'상세일정'!AM75="제외"),"",IF($D75=$E75,IF(AND($D75&gt;=BF$5,$D75&lt;BF$5+7),"◆",""),IF(AND($D75&lt;BF$5+7,$E75&gt;BF$5),"■","")))</x:f>
      </x:c>
      <x:c r="BG75" s="7" t="str">
        <x:f>IF(OR($D75="",BG$5="",'상세일정'!AM75="제외"),"",IF($D75=$E75,IF(AND($D75&gt;=BG$5,$D75&lt;BG$5+7),"◆",""),IF(AND($D75&lt;BG$5+7,$E75&gt;BG$5),"■","")))</x:f>
      </x:c>
      <x:c r="BH75" s="7" t="str">
        <x:f>IF(OR($D75="",BH$5="",'상세일정'!AM75="제외"),"",IF($D75=$E75,IF(AND($D75&gt;=BH$5,$D75&lt;BH$5+7),"◆",""),IF(AND($D75&lt;BH$5+7,$E75&gt;BH$5),"■","")))</x:f>
      </x:c>
      <x:c r="BI75" s="7" t="str">
        <x:f>IF(OR($D75="",BI$5="",'상세일정'!AM75="제외"),"",IF($D75=$E75,IF(AND($D75&gt;=BI$5,$D75&lt;BI$5+7),"◆",""),IF(AND($D75&lt;BI$5+7,$E75&gt;BI$5),"■","")))</x:f>
      </x:c>
      <x:c r="BJ75" s="7" t="str">
        <x:f>IF(OR($D75="",BJ$5="",'상세일정'!AM75="제외"),"",IF($D75=$E75,IF(AND($D75&gt;=BJ$5,$D75&lt;BJ$5+7),"◆",""),IF(AND($D75&lt;BJ$5+7,$E75&gt;BJ$5),"■","")))</x:f>
      </x:c>
      <x:c r="BK75" s="7" t="str">
        <x:f>IF(OR($D75="",BK$5="",'상세일정'!AM75="제외"),"",IF($D75=$E75,IF(AND($D75&gt;=BK$5,$D75&lt;BK$5+7),"◆",""),IF(AND($D75&lt;BK$5+7,$E75&gt;BK$5),"■","")))</x:f>
      </x:c>
      <x:c r="BL75" s="7" t="str">
        <x:f>IF(OR($D75="",BL$5="",'상세일정'!AM75="제외"),"",IF($D75=$E75,IF(AND($D75&gt;=BL$5,$D75&lt;BL$5+7),"◆",""),IF(AND($D75&lt;BL$5+7,$E75&gt;BL$5),"■","")))</x:f>
      </x:c>
      <x:c r="BM75" s="7" t="str">
        <x:f>IF(OR($D75="",BM$5="",'상세일정'!AM75="제외"),"",IF($D75=$E75,IF(AND($D75&gt;=BM$5,$D75&lt;BM$5+7),"◆",""),IF(AND($D75&lt;BM$5+7,$E75&gt;BM$5),"■","")))</x:f>
      </x:c>
      <x:c r="BN75" s="7" t="str">
        <x:f>IF(OR($D75="",BN$5="",'상세일정'!AM75="제외"),"",IF($D75=$E75,IF(AND($D75&gt;=BN$5,$D75&lt;BN$5+7),"◆",""),IF(AND($D75&lt;BN$5+7,$E75&gt;BN$5),"■","")))</x:f>
      </x:c>
      <x:c r="BO75" s="7" t="str">
        <x:f>IF(OR($D75="",BO$5="",'상세일정'!AM75="제외"),"",IF($D75=$E75,IF(AND($D75&gt;=BO$5,$D75&lt;BO$5+7),"◆",""),IF(AND($D75&lt;BO$5+7,$E75&gt;BO$5),"■","")))</x:f>
      </x:c>
      <x:c r="BP75" s="7" t="str">
        <x:f>IF(OR($D75="",BP$5="",'상세일정'!AM75="제외"),"",IF($D75=$E75,IF(AND($D75&gt;=BP$5,$D75&lt;BP$5+7),"◆",""),IF(AND($D75&lt;BP$5+7,$E75&gt;BP$5),"■","")))</x:f>
      </x:c>
      <x:c r="BQ75" s="7" t="str">
        <x:f>IF(OR($D75="",BQ$5="",'상세일정'!AM75="제외"),"",IF($D75=$E75,IF(AND($D75&gt;=BQ$5,$D75&lt;BQ$5+7),"◆",""),IF(AND($D75&lt;BQ$5+7,$E75&gt;BQ$5),"■","")))</x:f>
      </x:c>
      <x:c r="BR75" s="7" t="str">
        <x:f>IF(OR($D75="",BR$5="",'상세일정'!AM75="제외"),"",IF($D75=$E75,IF(AND($D75&gt;=BR$5,$D75&lt;BR$5+7),"◆",""),IF(AND($D75&lt;BR$5+7,$E75&gt;BR$5),"■","")))</x:f>
      </x:c>
      <x:c r="BS75" s="7" t="str">
        <x:f>IF(OR($D75="",BS$5="",'상세일정'!AM75="제외"),"",IF($D75=$E75,IF(AND($D75&gt;=BS$5,$D75&lt;BS$5+7),"◆",""),IF(AND($D75&lt;BS$5+7,$E75&gt;BS$5),"■","")))</x:f>
      </x:c>
      <x:c r="BT75" s="7" t="str">
        <x:f>IF(OR($D75="",BT$5="",'상세일정'!AM75="제외"),"",IF($D75=$E75,IF(AND($D75&gt;=BT$5,$D75&lt;BT$5+7),"◆",""),IF(AND($D75&lt;BT$5+7,$E75&gt;BT$5),"■","")))</x:f>
      </x:c>
      <x:c r="BU75" s="7" t="str">
        <x:f>IF(OR($D75="",BU$5="",'상세일정'!AM75="제외"),"",IF($D75=$E75,IF(AND($D75&gt;=BU$5,$D75&lt;BU$5+7),"◆",""),IF(AND($D75&lt;BU$5+7,$E75&gt;BU$5),"■","")))</x:f>
      </x:c>
      <x:c r="BV75" s="7" t="str">
        <x:f>IF(OR($D75="",BV$5="",'상세일정'!AM75="제외"),"",IF($D75=$E75,IF(AND($D75&gt;=BV$5,$D75&lt;BV$5+7),"◆",""),IF(AND($D75&lt;BV$5+7,$E75&gt;BV$5),"■","")))</x:f>
      </x:c>
      <x:c r="BW75" s="7" t="str">
        <x:f>IF(OR($D75="",BW$5="",'상세일정'!AM75="제외"),"",IF($D75=$E75,IF(AND($D75&gt;=BW$5,$D75&lt;BW$5+7),"◆",""),IF(AND($D75&lt;BW$5+7,$E75&gt;BW$5),"■","")))</x:f>
      </x:c>
      <x:c r="BX75" s="7" t="str">
        <x:f>IF(OR($D75="",BX$5="",'상세일정'!AM75="제외"),"",IF($D75=$E75,IF(AND($D75&gt;=BX$5,$D75&lt;BX$5+7),"◆",""),IF(AND($D75&lt;BX$5+7,$E75&gt;BX$5),"■","")))</x:f>
      </x:c>
      <x:c r="BY75" s="7" t="str">
        <x:f>IF(OR($D75="",BY$5="",'상세일정'!AM75="제외"),"",IF($D75=$E75,IF(AND($D75&gt;=BY$5,$D75&lt;BY$5+7),"◆",""),IF(AND($D75&lt;BY$5+7,$E75&gt;BY$5),"■","")))</x:f>
      </x:c>
      <x:c r="BZ75" s="7" t="str">
        <x:f>IF(OR($D75="",BZ$5="",'상세일정'!AM75="제외"),"",IF($D75=$E75,IF(AND($D75&gt;=BZ$5,$D75&lt;BZ$5+7),"◆",""),IF(AND($D75&lt;BZ$5+7,$E75&gt;BZ$5),"■","")))</x:f>
      </x:c>
      <x:c r="CA75" s="7" t="str">
        <x:f>IF(OR($D75="",CA$5="",'상세일정'!AM75="제외"),"",IF($D75=$E75,IF(AND($D75&gt;=CA$5,$D75&lt;CA$5+7),"◆",""),IF(AND($D75&lt;CA$5+7,$E75&gt;CA$5),"■","")))</x:f>
      </x:c>
      <x:c r="CB75" s="7" t="str">
        <x:f>IF(OR($D75="",CB$5="",'상세일정'!AM75="제외"),"",IF($D75=$E75,IF(AND($D75&gt;=CB$5,$D75&lt;CB$5+7),"◆",""),IF(AND($D75&lt;CB$5+7,$E75&gt;CB$5),"■","")))</x:f>
      </x:c>
      <x:c r="CC75" s="7" t="str">
        <x:f>IF(OR($D75="",CC$5="",'상세일정'!AM75="제외"),"",IF($D75=$E75,IF(AND($D75&gt;=CC$5,$D75&lt;CC$5+7),"◆",""),IF(AND($D75&lt;CC$5+7,$E75&gt;CC$5),"■","")))</x:f>
      </x:c>
      <x:c r="CD75" s="7" t="str">
        <x:f>IF(OR($D75="",CD$5="",'상세일정'!AM75="제외"),"",IF($D75=$E75,IF(AND($D75&gt;=CD$5,$D75&lt;CD$5+7),"◆",""),IF(AND($D75&lt;CD$5+7,$E75&gt;CD$5),"■","")))</x:f>
      </x:c>
      <x:c r="CE75" s="7" t="str">
        <x:f>IF(OR($D75="",CE$5="",'상세일정'!AM75="제외"),"",IF($D75=$E75,IF(AND($D75&gt;=CE$5,$D75&lt;CE$5+7),"◆",""),IF(AND($D75&lt;CE$5+7,$E75&gt;CE$5),"■","")))</x:f>
      </x:c>
      <x:c r="CF75" s="7" t="str">
        <x:f>IF(OR($D75="",CF$5="",'상세일정'!AM75="제외"),"",IF($D75=$E75,IF(AND($D75&gt;=CF$5,$D75&lt;CF$5+7),"◆",""),IF(AND($D75&lt;CF$5+7,$E75&gt;CF$5),"■","")))</x:f>
      </x:c>
      <x:c r="CG75" s="7" t="str">
        <x:f>IF(OR($D75="",CG$5="",'상세일정'!AM75="제외"),"",IF($D75=$E75,IF(AND($D75&gt;=CG$5,$D75&lt;CG$5+7),"◆",""),IF(AND($D75&lt;CG$5+7,$E75&gt;CG$5),"■","")))</x:f>
      </x:c>
      <x:c r="CH75" s="7" t="str">
        <x:f>IF(OR($D75="",CH$5="",'상세일정'!AM75="제외"),"",IF($D75=$E75,IF(AND($D75&gt;=CH$5,$D75&lt;CH$5+7),"◆",""),IF(AND($D75&lt;CH$5+7,$E75&gt;CH$5),"■","")))</x:f>
      </x:c>
      <x:c r="CI75" s="7" t="str">
        <x:f>IF(OR($D75="",CI$5="",'상세일정'!AM75="제외"),"",IF($D75=$E75,IF(AND($D75&gt;=CI$5,$D75&lt;CI$5+7),"◆",""),IF(AND($D75&lt;CI$5+7,$E75&gt;CI$5),"■","")))</x:f>
      </x:c>
      <x:c r="CJ75" s="7" t="str">
        <x:f>IF(OR($D75="",CJ$5="",'상세일정'!AM75="제외"),"",IF($D75=$E75,IF(AND($D75&gt;=CJ$5,$D75&lt;CJ$5+7),"◆",""),IF(AND($D75&lt;CJ$5+7,$E75&gt;CJ$5),"■","")))</x:f>
      </x:c>
      <x:c r="CK75" s="7" t="str">
        <x:f>IF(OR($D75="",CK$5="",'상세일정'!AM75="제외"),"",IF($D75=$E75,IF(AND($D75&gt;=CK$5,$D75&lt;CK$5+7),"◆",""),IF(AND($D75&lt;CK$5+7,$E75&gt;CK$5),"■","")))</x:f>
      </x:c>
      <x:c r="CL75" s="7" t="str">
        <x:f>IF(OR($D75="",CL$5="",'상세일정'!AM75="제외"),"",IF($D75=$E75,IF(AND($D75&gt;=CL$5,$D75&lt;CL$5+7),"◆",""),IF(AND($D75&lt;CL$5+7,$E75&gt;CL$5),"■","")))</x:f>
      </x:c>
      <x:c r="CM75" s="7" t="str">
        <x:f>IF(OR($D75="",CM$5="",'상세일정'!AM75="제외"),"",IF($D75=$E75,IF(AND($D75&gt;=CM$5,$D75&lt;CM$5+7),"◆",""),IF(AND($D75&lt;CM$5+7,$E75&gt;CM$5),"■","")))</x:f>
      </x:c>
      <x:c r="CN75" s="7" t="str">
        <x:f>IF(OR($D75="",CN$5="",'상세일정'!AM75="제외"),"",IF($D75=$E75,IF(AND($D75&gt;=CN$5,$D75&lt;CN$5+7),"◆",""),IF(AND($D75&lt;CN$5+7,$E75&gt;CN$5),"■","")))</x:f>
      </x:c>
      <x:c r="CO75" s="7" t="str">
        <x:f>IF(OR($D75="",CO$5="",'상세일정'!AM75="제외"),"",IF($D75=$E75,IF(AND($D75&gt;=CO$5,$D75&lt;CO$5+7),"◆",""),IF(AND($D75&lt;CO$5+7,$E75&gt;CO$5),"■","")))</x:f>
      </x:c>
      <x:c r="CP75" s="7" t="str">
        <x:f>IF(OR($D75="",CP$5="",'상세일정'!AM75="제외"),"",IF($D75=$E75,IF(AND($D75&gt;=CP$5,$D75&lt;CP$5+7),"◆",""),IF(AND($D75&lt;CP$5+7,$E75&gt;CP$5),"■","")))</x:f>
      </x:c>
      <x:c r="CQ75" s="7" t="str">
        <x:f>IF(OR($D75="",CQ$5="",'상세일정'!AM75="제외"),"",IF($D75=$E75,IF(AND($D75&gt;=CQ$5,$D75&lt;CQ$5+7),"◆",""),IF(AND($D75&lt;CQ$5+7,$E75&gt;CQ$5),"■","")))</x:f>
      </x:c>
      <x:c r="CR75" s="7" t="str">
        <x:f>IF(OR($D75="",CR$5="",'상세일정'!AM75="제외"),"",IF($D75=$E75,IF(AND($D75&gt;=CR$5,$D75&lt;CR$5+7),"◆",""),IF(AND($D75&lt;CR$5+7,$E75&gt;CR$5),"■","")))</x:f>
      </x:c>
      <x:c r="CS75" s="7" t="str">
        <x:f>IF(OR($D75="",CS$5="",'상세일정'!AM75="제외"),"",IF($D75=$E75,IF(AND($D75&gt;=CS$5,$D75&lt;CS$5+7),"◆",""),IF(AND($D75&lt;CS$5+7,$E75&gt;CS$5),"■","")))</x:f>
      </x:c>
      <x:c r="CT75" s="7" t="str">
        <x:f>IF(OR($D75="",CT$5="",'상세일정'!AM75="제외"),"",IF($D75=$E75,IF(AND($D75&gt;=CT$5,$D75&lt;CT$5+7),"◆",""),IF(AND($D75&lt;CT$5+7,$E75&gt;CT$5),"■","")))</x:f>
      </x:c>
      <x:c r="CU75" s="7" t="str">
        <x:f>IF(OR($D75="",CU$5="",'상세일정'!AM75="제외"),"",IF($D75=$E75,IF(AND($D75&gt;=CU$5,$D75&lt;CU$5+7),"◆",""),IF(AND($D75&lt;CU$5+7,$E75&gt;CU$5),"■","")))</x:f>
      </x:c>
      <x:c r="CV75" s="7" t="str">
        <x:f>IF(OR($D75="",CV$5="",'상세일정'!AM75="제외"),"",IF($D75=$E75,IF(AND($D75&gt;=CV$5,$D75&lt;CV$5+7),"◆",""),IF(AND($D75&lt;CV$5+7,$E75&gt;CV$5),"■","")))</x:f>
      </x:c>
      <x:c r="CW75" s="7" t="str">
        <x:f>IF(OR($D75="",CW$5="",'상세일정'!AM75="제외"),"",IF($D75=$E75,IF(AND($D75&gt;=CW$5,$D75&lt;CW$5+7),"◆",""),IF(AND($D75&lt;CW$5+7,$E75&gt;CW$5),"■","")))</x:f>
      </x:c>
      <x:c r="CX75" s="7" t="str">
        <x:f>IF(OR($D75="",CX$5="",'상세일정'!AM75="제외"),"",IF($D75=$E75,IF(AND($D75&gt;=CX$5,$D75&lt;CX$5+7),"◆",""),IF(AND($D75&lt;CX$5+7,$E75&gt;CX$5),"■","")))</x:f>
      </x:c>
      <x:c r="CY75" s="7" t="str">
        <x:f>IF(OR($D75="",CY$5="",'상세일정'!AM75="제외"),"",IF($D75=$E75,IF(AND($D75&gt;=CY$5,$D75&lt;CY$5+7),"◆",""),IF(AND($D75&lt;CY$5+7,$E75&gt;CY$5),"■","")))</x:f>
      </x:c>
      <x:c r="CZ75" s="7" t="str">
        <x:f>IF(OR($D75="",CZ$5="",'상세일정'!AM75="제외"),"",IF($D75=$E75,IF(AND($D75&gt;=CZ$5,$D75&lt;CZ$5+7),"◆",""),IF(AND($D75&lt;CZ$5+7,$E75&gt;CZ$5),"■","")))</x:f>
      </x:c>
      <x:c r="DA75" s="7" t="str">
        <x:f>IF(OR($D75="",DA$5="",'상세일정'!AM75="제외"),"",IF($D75=$E75,IF(AND($D75&gt;=DA$5,$D75&lt;DA$5+7),"◆",""),IF(AND($D75&lt;DA$5+7,$E75&gt;DA$5),"■","")))</x:f>
      </x:c>
      <x:c r="DB75" s="7" t="str">
        <x:f>IF(OR($D75="",DB$5="",'상세일정'!AM75="제외"),"",IF($D75=$E75,IF(AND($D75&gt;=DB$5,$D75&lt;DB$5+7),"◆",""),IF(AND($D75&lt;DB$5+7,$E75&gt;DB$5),"■","")))</x:f>
      </x:c>
      <x:c r="DC75" s="7" t="str">
        <x:f>IF(OR($D75="",DC$5="",'상세일정'!AM75="제외"),"",IF($D75=$E75,IF(AND($D75&gt;=DC$5,$D75&lt;DC$5+7),"◆",""),IF(AND($D75&lt;DC$5+7,$E75&gt;DC$5),"■","")))</x:f>
      </x:c>
      <x:c r="DD75" s="7" t="str">
        <x:f>IF(OR($D75="",DD$5="",'상세일정'!AM75="제외"),"",IF($D75=$E75,IF(AND($D75&gt;=DD$5,$D75&lt;DD$5+7),"◆",""),IF(AND($D75&lt;DD$5+7,$E75&gt;DD$5),"■","")))</x:f>
      </x:c>
      <x:c r="DE75" s="7" t="str">
        <x:f>IF(OR($D75="",DE$5="",'상세일정'!AM75="제외"),"",IF($D75=$E75,IF(AND($D75&gt;=DE$5,$D75&lt;DE$5+7),"◆",""),IF(AND($D75&lt;DE$5+7,$E75&gt;DE$5),"■","")))</x:f>
      </x:c>
    </x:row>
    <x:row r="76" ht="34" customHeight="1">
      <x:c r="A76" s="7" t="str">
        <x:v>KG02</x:v>
      </x:c>
      <x:c r="B76" s="7" t="str">
        <x:v>12 KGS 기술검토·허가</x:v>
      </x:c>
      <x:c r="C76" s="7" t="str">
        <x:v>시설설치계획서·배치·안전거리 자료 취합</x:v>
      </x:c>
      <x:c r="D76" s="10" t="str">
        <x:f>'상세일정'!AJ76</x:f>
      </x:c>
      <x:c r="E76" s="10" t="str">
        <x:f>'상세일정'!AK76</x:f>
      </x:c>
      <x:c r="F76" s="7" t="str">
        <x:f>IF(OR($D76="",F$5="",'상세일정'!AM76="제외"),"",IF($D76=$E76,IF(AND($D76&gt;=F$5,$D76&lt;F$5+7),"◆",""),IF(AND($D76&lt;F$5+7,$E76&gt;F$5),"■","")))</x:f>
      </x:c>
      <x:c r="G76" s="7" t="str">
        <x:f>IF(OR($D76="",G$5="",'상세일정'!AM76="제외"),"",IF($D76=$E76,IF(AND($D76&gt;=G$5,$D76&lt;G$5+7),"◆",""),IF(AND($D76&lt;G$5+7,$E76&gt;G$5),"■","")))</x:f>
      </x:c>
      <x:c r="H76" s="7" t="str">
        <x:f>IF(OR($D76="",H$5="",'상세일정'!AM76="제외"),"",IF($D76=$E76,IF(AND($D76&gt;=H$5,$D76&lt;H$5+7),"◆",""),IF(AND($D76&lt;H$5+7,$E76&gt;H$5),"■","")))</x:f>
      </x:c>
      <x:c r="I76" s="7" t="str">
        <x:f>IF(OR($D76="",I$5="",'상세일정'!AM76="제외"),"",IF($D76=$E76,IF(AND($D76&gt;=I$5,$D76&lt;I$5+7),"◆",""),IF(AND($D76&lt;I$5+7,$E76&gt;I$5),"■","")))</x:f>
      </x:c>
      <x:c r="J76" s="7" t="str">
        <x:f>IF(OR($D76="",J$5="",'상세일정'!AM76="제외"),"",IF($D76=$E76,IF(AND($D76&gt;=J$5,$D76&lt;J$5+7),"◆",""),IF(AND($D76&lt;J$5+7,$E76&gt;J$5),"■","")))</x:f>
      </x:c>
      <x:c r="K76" s="7" t="str">
        <x:f>IF(OR($D76="",K$5="",'상세일정'!AM76="제외"),"",IF($D76=$E76,IF(AND($D76&gt;=K$5,$D76&lt;K$5+7),"◆",""),IF(AND($D76&lt;K$5+7,$E76&gt;K$5),"■","")))</x:f>
      </x:c>
      <x:c r="L76" s="7" t="str">
        <x:f>IF(OR($D76="",L$5="",'상세일정'!AM76="제외"),"",IF($D76=$E76,IF(AND($D76&gt;=L$5,$D76&lt;L$5+7),"◆",""),IF(AND($D76&lt;L$5+7,$E76&gt;L$5),"■","")))</x:f>
      </x:c>
      <x:c r="M76" s="7" t="str">
        <x:f>IF(OR($D76="",M$5="",'상세일정'!AM76="제외"),"",IF($D76=$E76,IF(AND($D76&gt;=M$5,$D76&lt;M$5+7),"◆",""),IF(AND($D76&lt;M$5+7,$E76&gt;M$5),"■","")))</x:f>
      </x:c>
      <x:c r="N76" s="7" t="str">
        <x:f>IF(OR($D76="",N$5="",'상세일정'!AM76="제외"),"",IF($D76=$E76,IF(AND($D76&gt;=N$5,$D76&lt;N$5+7),"◆",""),IF(AND($D76&lt;N$5+7,$E76&gt;N$5),"■","")))</x:f>
      </x:c>
      <x:c r="O76" s="7" t="str">
        <x:f>IF(OR($D76="",O$5="",'상세일정'!AM76="제외"),"",IF($D76=$E76,IF(AND($D76&gt;=O$5,$D76&lt;O$5+7),"◆",""),IF(AND($D76&lt;O$5+7,$E76&gt;O$5),"■","")))</x:f>
      </x:c>
      <x:c r="P76" s="7" t="str">
        <x:f>IF(OR($D76="",P$5="",'상세일정'!AM76="제외"),"",IF($D76=$E76,IF(AND($D76&gt;=P$5,$D76&lt;P$5+7),"◆",""),IF(AND($D76&lt;P$5+7,$E76&gt;P$5),"■","")))</x:f>
      </x:c>
      <x:c r="Q76" s="7" t="str">
        <x:f>IF(OR($D76="",Q$5="",'상세일정'!AM76="제외"),"",IF($D76=$E76,IF(AND($D76&gt;=Q$5,$D76&lt;Q$5+7),"◆",""),IF(AND($D76&lt;Q$5+7,$E76&gt;Q$5),"■","")))</x:f>
      </x:c>
      <x:c r="R76" s="7" t="str">
        <x:f>IF(OR($D76="",R$5="",'상세일정'!AM76="제외"),"",IF($D76=$E76,IF(AND($D76&gt;=R$5,$D76&lt;R$5+7),"◆",""),IF(AND($D76&lt;R$5+7,$E76&gt;R$5),"■","")))</x:f>
      </x:c>
      <x:c r="S76" s="7" t="str">
        <x:f>IF(OR($D76="",S$5="",'상세일정'!AM76="제외"),"",IF($D76=$E76,IF(AND($D76&gt;=S$5,$D76&lt;S$5+7),"◆",""),IF(AND($D76&lt;S$5+7,$E76&gt;S$5),"■","")))</x:f>
      </x:c>
      <x:c r="T76" s="7" t="str">
        <x:f>IF(OR($D76="",T$5="",'상세일정'!AM76="제외"),"",IF($D76=$E76,IF(AND($D76&gt;=T$5,$D76&lt;T$5+7),"◆",""),IF(AND($D76&lt;T$5+7,$E76&gt;T$5),"■","")))</x:f>
      </x:c>
      <x:c r="U76" s="7" t="str">
        <x:f>IF(OR($D76="",U$5="",'상세일정'!AM76="제외"),"",IF($D76=$E76,IF(AND($D76&gt;=U$5,$D76&lt;U$5+7),"◆",""),IF(AND($D76&lt;U$5+7,$E76&gt;U$5),"■","")))</x:f>
      </x:c>
      <x:c r="V76" s="7" t="str">
        <x:f>IF(OR($D76="",V$5="",'상세일정'!AM76="제외"),"",IF($D76=$E76,IF(AND($D76&gt;=V$5,$D76&lt;V$5+7),"◆",""),IF(AND($D76&lt;V$5+7,$E76&gt;V$5),"■","")))</x:f>
      </x:c>
      <x:c r="W76" s="7" t="str">
        <x:f>IF(OR($D76="",W$5="",'상세일정'!AM76="제외"),"",IF($D76=$E76,IF(AND($D76&gt;=W$5,$D76&lt;W$5+7),"◆",""),IF(AND($D76&lt;W$5+7,$E76&gt;W$5),"■","")))</x:f>
      </x:c>
      <x:c r="X76" s="7" t="str">
        <x:f>IF(OR($D76="",X$5="",'상세일정'!AM76="제외"),"",IF($D76=$E76,IF(AND($D76&gt;=X$5,$D76&lt;X$5+7),"◆",""),IF(AND($D76&lt;X$5+7,$E76&gt;X$5),"■","")))</x:f>
      </x:c>
      <x:c r="Y76" s="7" t="str">
        <x:f>IF(OR($D76="",Y$5="",'상세일정'!AM76="제외"),"",IF($D76=$E76,IF(AND($D76&gt;=Y$5,$D76&lt;Y$5+7),"◆",""),IF(AND($D76&lt;Y$5+7,$E76&gt;Y$5),"■","")))</x:f>
      </x:c>
      <x:c r="Z76" s="7" t="str">
        <x:f>IF(OR($D76="",Z$5="",'상세일정'!AM76="제외"),"",IF($D76=$E76,IF(AND($D76&gt;=Z$5,$D76&lt;Z$5+7),"◆",""),IF(AND($D76&lt;Z$5+7,$E76&gt;Z$5),"■","")))</x:f>
      </x:c>
      <x:c r="AA76" s="7" t="str">
        <x:f>IF(OR($D76="",AA$5="",'상세일정'!AM76="제외"),"",IF($D76=$E76,IF(AND($D76&gt;=AA$5,$D76&lt;AA$5+7),"◆",""),IF(AND($D76&lt;AA$5+7,$E76&gt;AA$5),"■","")))</x:f>
      </x:c>
      <x:c r="AB76" s="7" t="str">
        <x:f>IF(OR($D76="",AB$5="",'상세일정'!AM76="제외"),"",IF($D76=$E76,IF(AND($D76&gt;=AB$5,$D76&lt;AB$5+7),"◆",""),IF(AND($D76&lt;AB$5+7,$E76&gt;AB$5),"■","")))</x:f>
      </x:c>
      <x:c r="AC76" s="7" t="str">
        <x:f>IF(OR($D76="",AC$5="",'상세일정'!AM76="제외"),"",IF($D76=$E76,IF(AND($D76&gt;=AC$5,$D76&lt;AC$5+7),"◆",""),IF(AND($D76&lt;AC$5+7,$E76&gt;AC$5),"■","")))</x:f>
      </x:c>
      <x:c r="AD76" s="7" t="str">
        <x:f>IF(OR($D76="",AD$5="",'상세일정'!AM76="제외"),"",IF($D76=$E76,IF(AND($D76&gt;=AD$5,$D76&lt;AD$5+7),"◆",""),IF(AND($D76&lt;AD$5+7,$E76&gt;AD$5),"■","")))</x:f>
      </x:c>
      <x:c r="AE76" s="7" t="str">
        <x:f>IF(OR($D76="",AE$5="",'상세일정'!AM76="제외"),"",IF($D76=$E76,IF(AND($D76&gt;=AE$5,$D76&lt;AE$5+7),"◆",""),IF(AND($D76&lt;AE$5+7,$E76&gt;AE$5),"■","")))</x:f>
      </x:c>
      <x:c r="AF76" s="7" t="str">
        <x:f>IF(OR($D76="",AF$5="",'상세일정'!AM76="제외"),"",IF($D76=$E76,IF(AND($D76&gt;=AF$5,$D76&lt;AF$5+7),"◆",""),IF(AND($D76&lt;AF$5+7,$E76&gt;AF$5),"■","")))</x:f>
      </x:c>
      <x:c r="AG76" s="7" t="str">
        <x:f>IF(OR($D76="",AG$5="",'상세일정'!AM76="제외"),"",IF($D76=$E76,IF(AND($D76&gt;=AG$5,$D76&lt;AG$5+7),"◆",""),IF(AND($D76&lt;AG$5+7,$E76&gt;AG$5),"■","")))</x:f>
      </x:c>
      <x:c r="AH76" s="7" t="str">
        <x:f>IF(OR($D76="",AH$5="",'상세일정'!AM76="제외"),"",IF($D76=$E76,IF(AND($D76&gt;=AH$5,$D76&lt;AH$5+7),"◆",""),IF(AND($D76&lt;AH$5+7,$E76&gt;AH$5),"■","")))</x:f>
      </x:c>
      <x:c r="AI76" s="7" t="str">
        <x:f>IF(OR($D76="",AI$5="",'상세일정'!AM76="제외"),"",IF($D76=$E76,IF(AND($D76&gt;=AI$5,$D76&lt;AI$5+7),"◆",""),IF(AND($D76&lt;AI$5+7,$E76&gt;AI$5),"■","")))</x:f>
      </x:c>
      <x:c r="AJ76" s="7" t="str">
        <x:f>IF(OR($D76="",AJ$5="",'상세일정'!AM76="제외"),"",IF($D76=$E76,IF(AND($D76&gt;=AJ$5,$D76&lt;AJ$5+7),"◆",""),IF(AND($D76&lt;AJ$5+7,$E76&gt;AJ$5),"■","")))</x:f>
      </x:c>
      <x:c r="AK76" s="7" t="str">
        <x:f>IF(OR($D76="",AK$5="",'상세일정'!AM76="제외"),"",IF($D76=$E76,IF(AND($D76&gt;=AK$5,$D76&lt;AK$5+7),"◆",""),IF(AND($D76&lt;AK$5+7,$E76&gt;AK$5),"■","")))</x:f>
      </x:c>
      <x:c r="AL76" s="7" t="str">
        <x:f>IF(OR($D76="",AL$5="",'상세일정'!AM76="제외"),"",IF($D76=$E76,IF(AND($D76&gt;=AL$5,$D76&lt;AL$5+7),"◆",""),IF(AND($D76&lt;AL$5+7,$E76&gt;AL$5),"■","")))</x:f>
      </x:c>
      <x:c r="AM76" s="7" t="str">
        <x:f>IF(OR($D76="",AM$5="",'상세일정'!AM76="제외"),"",IF($D76=$E76,IF(AND($D76&gt;=AM$5,$D76&lt;AM$5+7),"◆",""),IF(AND($D76&lt;AM$5+7,$E76&gt;AM$5),"■","")))</x:f>
      </x:c>
      <x:c r="AN76" s="7" t="str">
        <x:f>IF(OR($D76="",AN$5="",'상세일정'!AM76="제외"),"",IF($D76=$E76,IF(AND($D76&gt;=AN$5,$D76&lt;AN$5+7),"◆",""),IF(AND($D76&lt;AN$5+7,$E76&gt;AN$5),"■","")))</x:f>
      </x:c>
      <x:c r="AO76" s="7" t="str">
        <x:f>IF(OR($D76="",AO$5="",'상세일정'!AM76="제외"),"",IF($D76=$E76,IF(AND($D76&gt;=AO$5,$D76&lt;AO$5+7),"◆",""),IF(AND($D76&lt;AO$5+7,$E76&gt;AO$5),"■","")))</x:f>
      </x:c>
      <x:c r="AP76" s="7" t="str">
        <x:f>IF(OR($D76="",AP$5="",'상세일정'!AM76="제외"),"",IF($D76=$E76,IF(AND($D76&gt;=AP$5,$D76&lt;AP$5+7),"◆",""),IF(AND($D76&lt;AP$5+7,$E76&gt;AP$5),"■","")))</x:f>
      </x:c>
      <x:c r="AQ76" s="7" t="str">
        <x:f>IF(OR($D76="",AQ$5="",'상세일정'!AM76="제외"),"",IF($D76=$E76,IF(AND($D76&gt;=AQ$5,$D76&lt;AQ$5+7),"◆",""),IF(AND($D76&lt;AQ$5+7,$E76&gt;AQ$5),"■","")))</x:f>
      </x:c>
      <x:c r="AR76" s="7" t="str">
        <x:f>IF(OR($D76="",AR$5="",'상세일정'!AM76="제외"),"",IF($D76=$E76,IF(AND($D76&gt;=AR$5,$D76&lt;AR$5+7),"◆",""),IF(AND($D76&lt;AR$5+7,$E76&gt;AR$5),"■","")))</x:f>
      </x:c>
      <x:c r="AS76" s="7" t="str">
        <x:f>IF(OR($D76="",AS$5="",'상세일정'!AM76="제외"),"",IF($D76=$E76,IF(AND($D76&gt;=AS$5,$D76&lt;AS$5+7),"◆",""),IF(AND($D76&lt;AS$5+7,$E76&gt;AS$5),"■","")))</x:f>
      </x:c>
      <x:c r="AT76" s="7" t="str">
        <x:f>IF(OR($D76="",AT$5="",'상세일정'!AM76="제외"),"",IF($D76=$E76,IF(AND($D76&gt;=AT$5,$D76&lt;AT$5+7),"◆",""),IF(AND($D76&lt;AT$5+7,$E76&gt;AT$5),"■","")))</x:f>
      </x:c>
      <x:c r="AU76" s="7" t="str">
        <x:f>IF(OR($D76="",AU$5="",'상세일정'!AM76="제외"),"",IF($D76=$E76,IF(AND($D76&gt;=AU$5,$D76&lt;AU$5+7),"◆",""),IF(AND($D76&lt;AU$5+7,$E76&gt;AU$5),"■","")))</x:f>
      </x:c>
      <x:c r="AV76" s="7" t="str">
        <x:f>IF(OR($D76="",AV$5="",'상세일정'!AM76="제외"),"",IF($D76=$E76,IF(AND($D76&gt;=AV$5,$D76&lt;AV$5+7),"◆",""),IF(AND($D76&lt;AV$5+7,$E76&gt;AV$5),"■","")))</x:f>
      </x:c>
      <x:c r="AW76" s="7" t="str">
        <x:f>IF(OR($D76="",AW$5="",'상세일정'!AM76="제외"),"",IF($D76=$E76,IF(AND($D76&gt;=AW$5,$D76&lt;AW$5+7),"◆",""),IF(AND($D76&lt;AW$5+7,$E76&gt;AW$5),"■","")))</x:f>
      </x:c>
      <x:c r="AX76" s="7" t="str">
        <x:f>IF(OR($D76="",AX$5="",'상세일정'!AM76="제외"),"",IF($D76=$E76,IF(AND($D76&gt;=AX$5,$D76&lt;AX$5+7),"◆",""),IF(AND($D76&lt;AX$5+7,$E76&gt;AX$5),"■","")))</x:f>
      </x:c>
      <x:c r="AY76" s="7" t="str">
        <x:f>IF(OR($D76="",AY$5="",'상세일정'!AM76="제외"),"",IF($D76=$E76,IF(AND($D76&gt;=AY$5,$D76&lt;AY$5+7),"◆",""),IF(AND($D76&lt;AY$5+7,$E76&gt;AY$5),"■","")))</x:f>
      </x:c>
      <x:c r="AZ76" s="7" t="str">
        <x:f>IF(OR($D76="",AZ$5="",'상세일정'!AM76="제외"),"",IF($D76=$E76,IF(AND($D76&gt;=AZ$5,$D76&lt;AZ$5+7),"◆",""),IF(AND($D76&lt;AZ$5+7,$E76&gt;AZ$5),"■","")))</x:f>
      </x:c>
      <x:c r="BA76" s="7" t="str">
        <x:f>IF(OR($D76="",BA$5="",'상세일정'!AM76="제외"),"",IF($D76=$E76,IF(AND($D76&gt;=BA$5,$D76&lt;BA$5+7),"◆",""),IF(AND($D76&lt;BA$5+7,$E76&gt;BA$5),"■","")))</x:f>
      </x:c>
      <x:c r="BB76" s="7" t="str">
        <x:f>IF(OR($D76="",BB$5="",'상세일정'!AM76="제외"),"",IF($D76=$E76,IF(AND($D76&gt;=BB$5,$D76&lt;BB$5+7),"◆",""),IF(AND($D76&lt;BB$5+7,$E76&gt;BB$5),"■","")))</x:f>
      </x:c>
      <x:c r="BC76" s="7" t="str">
        <x:f>IF(OR($D76="",BC$5="",'상세일정'!AM76="제외"),"",IF($D76=$E76,IF(AND($D76&gt;=BC$5,$D76&lt;BC$5+7),"◆",""),IF(AND($D76&lt;BC$5+7,$E76&gt;BC$5),"■","")))</x:f>
      </x:c>
      <x:c r="BD76" s="7" t="str">
        <x:f>IF(OR($D76="",BD$5="",'상세일정'!AM76="제외"),"",IF($D76=$E76,IF(AND($D76&gt;=BD$5,$D76&lt;BD$5+7),"◆",""),IF(AND($D76&lt;BD$5+7,$E76&gt;BD$5),"■","")))</x:f>
      </x:c>
      <x:c r="BE76" s="7" t="str">
        <x:f>IF(OR($D76="",BE$5="",'상세일정'!AM76="제외"),"",IF($D76=$E76,IF(AND($D76&gt;=BE$5,$D76&lt;BE$5+7),"◆",""),IF(AND($D76&lt;BE$5+7,$E76&gt;BE$5),"■","")))</x:f>
      </x:c>
      <x:c r="BF76" s="7" t="str">
        <x:f>IF(OR($D76="",BF$5="",'상세일정'!AM76="제외"),"",IF($D76=$E76,IF(AND($D76&gt;=BF$5,$D76&lt;BF$5+7),"◆",""),IF(AND($D76&lt;BF$5+7,$E76&gt;BF$5),"■","")))</x:f>
      </x:c>
      <x:c r="BG76" s="7" t="str">
        <x:f>IF(OR($D76="",BG$5="",'상세일정'!AM76="제외"),"",IF($D76=$E76,IF(AND($D76&gt;=BG$5,$D76&lt;BG$5+7),"◆",""),IF(AND($D76&lt;BG$5+7,$E76&gt;BG$5),"■","")))</x:f>
      </x:c>
      <x:c r="BH76" s="7" t="str">
        <x:f>IF(OR($D76="",BH$5="",'상세일정'!AM76="제외"),"",IF($D76=$E76,IF(AND($D76&gt;=BH$5,$D76&lt;BH$5+7),"◆",""),IF(AND($D76&lt;BH$5+7,$E76&gt;BH$5),"■","")))</x:f>
      </x:c>
      <x:c r="BI76" s="7" t="str">
        <x:f>IF(OR($D76="",BI$5="",'상세일정'!AM76="제외"),"",IF($D76=$E76,IF(AND($D76&gt;=BI$5,$D76&lt;BI$5+7),"◆",""),IF(AND($D76&lt;BI$5+7,$E76&gt;BI$5),"■","")))</x:f>
      </x:c>
      <x:c r="BJ76" s="7" t="str">
        <x:f>IF(OR($D76="",BJ$5="",'상세일정'!AM76="제외"),"",IF($D76=$E76,IF(AND($D76&gt;=BJ$5,$D76&lt;BJ$5+7),"◆",""),IF(AND($D76&lt;BJ$5+7,$E76&gt;BJ$5),"■","")))</x:f>
      </x:c>
      <x:c r="BK76" s="7" t="str">
        <x:f>IF(OR($D76="",BK$5="",'상세일정'!AM76="제외"),"",IF($D76=$E76,IF(AND($D76&gt;=BK$5,$D76&lt;BK$5+7),"◆",""),IF(AND($D76&lt;BK$5+7,$E76&gt;BK$5),"■","")))</x:f>
      </x:c>
      <x:c r="BL76" s="7" t="str">
        <x:f>IF(OR($D76="",BL$5="",'상세일정'!AM76="제외"),"",IF($D76=$E76,IF(AND($D76&gt;=BL$5,$D76&lt;BL$5+7),"◆",""),IF(AND($D76&lt;BL$5+7,$E76&gt;BL$5),"■","")))</x:f>
      </x:c>
      <x:c r="BM76" s="7" t="str">
        <x:f>IF(OR($D76="",BM$5="",'상세일정'!AM76="제외"),"",IF($D76=$E76,IF(AND($D76&gt;=BM$5,$D76&lt;BM$5+7),"◆",""),IF(AND($D76&lt;BM$5+7,$E76&gt;BM$5),"■","")))</x:f>
      </x:c>
      <x:c r="BN76" s="7" t="str">
        <x:f>IF(OR($D76="",BN$5="",'상세일정'!AM76="제외"),"",IF($D76=$E76,IF(AND($D76&gt;=BN$5,$D76&lt;BN$5+7),"◆",""),IF(AND($D76&lt;BN$5+7,$E76&gt;BN$5),"■","")))</x:f>
      </x:c>
      <x:c r="BO76" s="7" t="str">
        <x:f>IF(OR($D76="",BO$5="",'상세일정'!AM76="제외"),"",IF($D76=$E76,IF(AND($D76&gt;=BO$5,$D76&lt;BO$5+7),"◆",""),IF(AND($D76&lt;BO$5+7,$E76&gt;BO$5),"■","")))</x:f>
      </x:c>
      <x:c r="BP76" s="7" t="str">
        <x:f>IF(OR($D76="",BP$5="",'상세일정'!AM76="제외"),"",IF($D76=$E76,IF(AND($D76&gt;=BP$5,$D76&lt;BP$5+7),"◆",""),IF(AND($D76&lt;BP$5+7,$E76&gt;BP$5),"■","")))</x:f>
      </x:c>
      <x:c r="BQ76" s="7" t="str">
        <x:f>IF(OR($D76="",BQ$5="",'상세일정'!AM76="제외"),"",IF($D76=$E76,IF(AND($D76&gt;=BQ$5,$D76&lt;BQ$5+7),"◆",""),IF(AND($D76&lt;BQ$5+7,$E76&gt;BQ$5),"■","")))</x:f>
      </x:c>
      <x:c r="BR76" s="7" t="str">
        <x:f>IF(OR($D76="",BR$5="",'상세일정'!AM76="제외"),"",IF($D76=$E76,IF(AND($D76&gt;=BR$5,$D76&lt;BR$5+7),"◆",""),IF(AND($D76&lt;BR$5+7,$E76&gt;BR$5),"■","")))</x:f>
      </x:c>
      <x:c r="BS76" s="7" t="str">
        <x:f>IF(OR($D76="",BS$5="",'상세일정'!AM76="제외"),"",IF($D76=$E76,IF(AND($D76&gt;=BS$5,$D76&lt;BS$5+7),"◆",""),IF(AND($D76&lt;BS$5+7,$E76&gt;BS$5),"■","")))</x:f>
      </x:c>
      <x:c r="BT76" s="7" t="str">
        <x:f>IF(OR($D76="",BT$5="",'상세일정'!AM76="제외"),"",IF($D76=$E76,IF(AND($D76&gt;=BT$5,$D76&lt;BT$5+7),"◆",""),IF(AND($D76&lt;BT$5+7,$E76&gt;BT$5),"■","")))</x:f>
      </x:c>
      <x:c r="BU76" s="7" t="str">
        <x:f>IF(OR($D76="",BU$5="",'상세일정'!AM76="제외"),"",IF($D76=$E76,IF(AND($D76&gt;=BU$5,$D76&lt;BU$5+7),"◆",""),IF(AND($D76&lt;BU$5+7,$E76&gt;BU$5),"■","")))</x:f>
      </x:c>
      <x:c r="BV76" s="7" t="str">
        <x:f>IF(OR($D76="",BV$5="",'상세일정'!AM76="제외"),"",IF($D76=$E76,IF(AND($D76&gt;=BV$5,$D76&lt;BV$5+7),"◆",""),IF(AND($D76&lt;BV$5+7,$E76&gt;BV$5),"■","")))</x:f>
      </x:c>
      <x:c r="BW76" s="7" t="str">
        <x:f>IF(OR($D76="",BW$5="",'상세일정'!AM76="제외"),"",IF($D76=$E76,IF(AND($D76&gt;=BW$5,$D76&lt;BW$5+7),"◆",""),IF(AND($D76&lt;BW$5+7,$E76&gt;BW$5),"■","")))</x:f>
      </x:c>
      <x:c r="BX76" s="7" t="str">
        <x:f>IF(OR($D76="",BX$5="",'상세일정'!AM76="제외"),"",IF($D76=$E76,IF(AND($D76&gt;=BX$5,$D76&lt;BX$5+7),"◆",""),IF(AND($D76&lt;BX$5+7,$E76&gt;BX$5),"■","")))</x:f>
      </x:c>
      <x:c r="BY76" s="7" t="str">
        <x:f>IF(OR($D76="",BY$5="",'상세일정'!AM76="제외"),"",IF($D76=$E76,IF(AND($D76&gt;=BY$5,$D76&lt;BY$5+7),"◆",""),IF(AND($D76&lt;BY$5+7,$E76&gt;BY$5),"■","")))</x:f>
      </x:c>
      <x:c r="BZ76" s="7" t="str">
        <x:f>IF(OR($D76="",BZ$5="",'상세일정'!AM76="제외"),"",IF($D76=$E76,IF(AND($D76&gt;=BZ$5,$D76&lt;BZ$5+7),"◆",""),IF(AND($D76&lt;BZ$5+7,$E76&gt;BZ$5),"■","")))</x:f>
      </x:c>
      <x:c r="CA76" s="7" t="str">
        <x:f>IF(OR($D76="",CA$5="",'상세일정'!AM76="제외"),"",IF($D76=$E76,IF(AND($D76&gt;=CA$5,$D76&lt;CA$5+7),"◆",""),IF(AND($D76&lt;CA$5+7,$E76&gt;CA$5),"■","")))</x:f>
      </x:c>
      <x:c r="CB76" s="7" t="str">
        <x:f>IF(OR($D76="",CB$5="",'상세일정'!AM76="제외"),"",IF($D76=$E76,IF(AND($D76&gt;=CB$5,$D76&lt;CB$5+7),"◆",""),IF(AND($D76&lt;CB$5+7,$E76&gt;CB$5),"■","")))</x:f>
      </x:c>
      <x:c r="CC76" s="7" t="str">
        <x:f>IF(OR($D76="",CC$5="",'상세일정'!AM76="제외"),"",IF($D76=$E76,IF(AND($D76&gt;=CC$5,$D76&lt;CC$5+7),"◆",""),IF(AND($D76&lt;CC$5+7,$E76&gt;CC$5),"■","")))</x:f>
      </x:c>
      <x:c r="CD76" s="7" t="str">
        <x:f>IF(OR($D76="",CD$5="",'상세일정'!AM76="제외"),"",IF($D76=$E76,IF(AND($D76&gt;=CD$5,$D76&lt;CD$5+7),"◆",""),IF(AND($D76&lt;CD$5+7,$E76&gt;CD$5),"■","")))</x:f>
      </x:c>
      <x:c r="CE76" s="7" t="str">
        <x:f>IF(OR($D76="",CE$5="",'상세일정'!AM76="제외"),"",IF($D76=$E76,IF(AND($D76&gt;=CE$5,$D76&lt;CE$5+7),"◆",""),IF(AND($D76&lt;CE$5+7,$E76&gt;CE$5),"■","")))</x:f>
      </x:c>
      <x:c r="CF76" s="7" t="str">
        <x:f>IF(OR($D76="",CF$5="",'상세일정'!AM76="제외"),"",IF($D76=$E76,IF(AND($D76&gt;=CF$5,$D76&lt;CF$5+7),"◆",""),IF(AND($D76&lt;CF$5+7,$E76&gt;CF$5),"■","")))</x:f>
      </x:c>
      <x:c r="CG76" s="7" t="str">
        <x:f>IF(OR($D76="",CG$5="",'상세일정'!AM76="제외"),"",IF($D76=$E76,IF(AND($D76&gt;=CG$5,$D76&lt;CG$5+7),"◆",""),IF(AND($D76&lt;CG$5+7,$E76&gt;CG$5),"■","")))</x:f>
      </x:c>
      <x:c r="CH76" s="7" t="str">
        <x:f>IF(OR($D76="",CH$5="",'상세일정'!AM76="제외"),"",IF($D76=$E76,IF(AND($D76&gt;=CH$5,$D76&lt;CH$5+7),"◆",""),IF(AND($D76&lt;CH$5+7,$E76&gt;CH$5),"■","")))</x:f>
      </x:c>
      <x:c r="CI76" s="7" t="str">
        <x:f>IF(OR($D76="",CI$5="",'상세일정'!AM76="제외"),"",IF($D76=$E76,IF(AND($D76&gt;=CI$5,$D76&lt;CI$5+7),"◆",""),IF(AND($D76&lt;CI$5+7,$E76&gt;CI$5),"■","")))</x:f>
      </x:c>
      <x:c r="CJ76" s="7" t="str">
        <x:f>IF(OR($D76="",CJ$5="",'상세일정'!AM76="제외"),"",IF($D76=$E76,IF(AND($D76&gt;=CJ$5,$D76&lt;CJ$5+7),"◆",""),IF(AND($D76&lt;CJ$5+7,$E76&gt;CJ$5),"■","")))</x:f>
      </x:c>
      <x:c r="CK76" s="7" t="str">
        <x:f>IF(OR($D76="",CK$5="",'상세일정'!AM76="제외"),"",IF($D76=$E76,IF(AND($D76&gt;=CK$5,$D76&lt;CK$5+7),"◆",""),IF(AND($D76&lt;CK$5+7,$E76&gt;CK$5),"■","")))</x:f>
      </x:c>
      <x:c r="CL76" s="7" t="str">
        <x:f>IF(OR($D76="",CL$5="",'상세일정'!AM76="제외"),"",IF($D76=$E76,IF(AND($D76&gt;=CL$5,$D76&lt;CL$5+7),"◆",""),IF(AND($D76&lt;CL$5+7,$E76&gt;CL$5),"■","")))</x:f>
      </x:c>
      <x:c r="CM76" s="7" t="str">
        <x:f>IF(OR($D76="",CM$5="",'상세일정'!AM76="제외"),"",IF($D76=$E76,IF(AND($D76&gt;=CM$5,$D76&lt;CM$5+7),"◆",""),IF(AND($D76&lt;CM$5+7,$E76&gt;CM$5),"■","")))</x:f>
      </x:c>
      <x:c r="CN76" s="7" t="str">
        <x:f>IF(OR($D76="",CN$5="",'상세일정'!AM76="제외"),"",IF($D76=$E76,IF(AND($D76&gt;=CN$5,$D76&lt;CN$5+7),"◆",""),IF(AND($D76&lt;CN$5+7,$E76&gt;CN$5),"■","")))</x:f>
      </x:c>
      <x:c r="CO76" s="7" t="str">
        <x:f>IF(OR($D76="",CO$5="",'상세일정'!AM76="제외"),"",IF($D76=$E76,IF(AND($D76&gt;=CO$5,$D76&lt;CO$5+7),"◆",""),IF(AND($D76&lt;CO$5+7,$E76&gt;CO$5),"■","")))</x:f>
      </x:c>
      <x:c r="CP76" s="7" t="str">
        <x:f>IF(OR($D76="",CP$5="",'상세일정'!AM76="제외"),"",IF($D76=$E76,IF(AND($D76&gt;=CP$5,$D76&lt;CP$5+7),"◆",""),IF(AND($D76&lt;CP$5+7,$E76&gt;CP$5),"■","")))</x:f>
      </x:c>
      <x:c r="CQ76" s="7" t="str">
        <x:f>IF(OR($D76="",CQ$5="",'상세일정'!AM76="제외"),"",IF($D76=$E76,IF(AND($D76&gt;=CQ$5,$D76&lt;CQ$5+7),"◆",""),IF(AND($D76&lt;CQ$5+7,$E76&gt;CQ$5),"■","")))</x:f>
      </x:c>
      <x:c r="CR76" s="7" t="str">
        <x:f>IF(OR($D76="",CR$5="",'상세일정'!AM76="제외"),"",IF($D76=$E76,IF(AND($D76&gt;=CR$5,$D76&lt;CR$5+7),"◆",""),IF(AND($D76&lt;CR$5+7,$E76&gt;CR$5),"■","")))</x:f>
      </x:c>
      <x:c r="CS76" s="7" t="str">
        <x:f>IF(OR($D76="",CS$5="",'상세일정'!AM76="제외"),"",IF($D76=$E76,IF(AND($D76&gt;=CS$5,$D76&lt;CS$5+7),"◆",""),IF(AND($D76&lt;CS$5+7,$E76&gt;CS$5),"■","")))</x:f>
      </x:c>
      <x:c r="CT76" s="7" t="str">
        <x:f>IF(OR($D76="",CT$5="",'상세일정'!AM76="제외"),"",IF($D76=$E76,IF(AND($D76&gt;=CT$5,$D76&lt;CT$5+7),"◆",""),IF(AND($D76&lt;CT$5+7,$E76&gt;CT$5),"■","")))</x:f>
      </x:c>
      <x:c r="CU76" s="7" t="str">
        <x:f>IF(OR($D76="",CU$5="",'상세일정'!AM76="제외"),"",IF($D76=$E76,IF(AND($D76&gt;=CU$5,$D76&lt;CU$5+7),"◆",""),IF(AND($D76&lt;CU$5+7,$E76&gt;CU$5),"■","")))</x:f>
      </x:c>
      <x:c r="CV76" s="7" t="str">
        <x:f>IF(OR($D76="",CV$5="",'상세일정'!AM76="제외"),"",IF($D76=$E76,IF(AND($D76&gt;=CV$5,$D76&lt;CV$5+7),"◆",""),IF(AND($D76&lt;CV$5+7,$E76&gt;CV$5),"■","")))</x:f>
      </x:c>
      <x:c r="CW76" s="7" t="str">
        <x:f>IF(OR($D76="",CW$5="",'상세일정'!AM76="제외"),"",IF($D76=$E76,IF(AND($D76&gt;=CW$5,$D76&lt;CW$5+7),"◆",""),IF(AND($D76&lt;CW$5+7,$E76&gt;CW$5),"■","")))</x:f>
      </x:c>
      <x:c r="CX76" s="7" t="str">
        <x:f>IF(OR($D76="",CX$5="",'상세일정'!AM76="제외"),"",IF($D76=$E76,IF(AND($D76&gt;=CX$5,$D76&lt;CX$5+7),"◆",""),IF(AND($D76&lt;CX$5+7,$E76&gt;CX$5),"■","")))</x:f>
      </x:c>
      <x:c r="CY76" s="7" t="str">
        <x:f>IF(OR($D76="",CY$5="",'상세일정'!AM76="제외"),"",IF($D76=$E76,IF(AND($D76&gt;=CY$5,$D76&lt;CY$5+7),"◆",""),IF(AND($D76&lt;CY$5+7,$E76&gt;CY$5),"■","")))</x:f>
      </x:c>
      <x:c r="CZ76" s="7" t="str">
        <x:f>IF(OR($D76="",CZ$5="",'상세일정'!AM76="제외"),"",IF($D76=$E76,IF(AND($D76&gt;=CZ$5,$D76&lt;CZ$5+7),"◆",""),IF(AND($D76&lt;CZ$5+7,$E76&gt;CZ$5),"■","")))</x:f>
      </x:c>
      <x:c r="DA76" s="7" t="str">
        <x:f>IF(OR($D76="",DA$5="",'상세일정'!AM76="제외"),"",IF($D76=$E76,IF(AND($D76&gt;=DA$5,$D76&lt;DA$5+7),"◆",""),IF(AND($D76&lt;DA$5+7,$E76&gt;DA$5),"■","")))</x:f>
      </x:c>
      <x:c r="DB76" s="7" t="str">
        <x:f>IF(OR($D76="",DB$5="",'상세일정'!AM76="제외"),"",IF($D76=$E76,IF(AND($D76&gt;=DB$5,$D76&lt;DB$5+7),"◆",""),IF(AND($D76&lt;DB$5+7,$E76&gt;DB$5),"■","")))</x:f>
      </x:c>
      <x:c r="DC76" s="7" t="str">
        <x:f>IF(OR($D76="",DC$5="",'상세일정'!AM76="제외"),"",IF($D76=$E76,IF(AND($D76&gt;=DC$5,$D76&lt;DC$5+7),"◆",""),IF(AND($D76&lt;DC$5+7,$E76&gt;DC$5),"■","")))</x:f>
      </x:c>
      <x:c r="DD76" s="7" t="str">
        <x:f>IF(OR($D76="",DD$5="",'상세일정'!AM76="제외"),"",IF($D76=$E76,IF(AND($D76&gt;=DD$5,$D76&lt;DD$5+7),"◆",""),IF(AND($D76&lt;DD$5+7,$E76&gt;DD$5),"■","")))</x:f>
      </x:c>
      <x:c r="DE76" s="7" t="str">
        <x:f>IF(OR($D76="",DE$5="",'상세일정'!AM76="제외"),"",IF($D76=$E76,IF(AND($D76&gt;=DE$5,$D76&lt;DE$5+7),"◆",""),IF(AND($D76&lt;DE$5+7,$E76&gt;DE$5),"■","")))</x:f>
      </x:c>
    </x:row>
    <x:row r="77" ht="34" customHeight="1">
      <x:c r="A77" s="7" t="str">
        <x:v>KG03</x:v>
      </x:c>
      <x:c r="B77" s="7" t="str">
        <x:v>12 KGS 기술검토·허가</x:v>
      </x:c>
      <x:c r="C77" s="7" t="str">
        <x:v>PFD·P&amp;ID·장비·배관 사양 및 계산서 취합</x:v>
      </x:c>
      <x:c r="D77" s="10" t="str">
        <x:f>'상세일정'!AJ77</x:f>
      </x:c>
      <x:c r="E77" s="10" t="str">
        <x:f>'상세일정'!AK77</x:f>
      </x:c>
      <x:c r="F77" s="7" t="str">
        <x:f>IF(OR($D77="",F$5="",'상세일정'!AM77="제외"),"",IF($D77=$E77,IF(AND($D77&gt;=F$5,$D77&lt;F$5+7),"◆",""),IF(AND($D77&lt;F$5+7,$E77&gt;F$5),"■","")))</x:f>
      </x:c>
      <x:c r="G77" s="7" t="str">
        <x:f>IF(OR($D77="",G$5="",'상세일정'!AM77="제외"),"",IF($D77=$E77,IF(AND($D77&gt;=G$5,$D77&lt;G$5+7),"◆",""),IF(AND($D77&lt;G$5+7,$E77&gt;G$5),"■","")))</x:f>
      </x:c>
      <x:c r="H77" s="7" t="str">
        <x:f>IF(OR($D77="",H$5="",'상세일정'!AM77="제외"),"",IF($D77=$E77,IF(AND($D77&gt;=H$5,$D77&lt;H$5+7),"◆",""),IF(AND($D77&lt;H$5+7,$E77&gt;H$5),"■","")))</x:f>
      </x:c>
      <x:c r="I77" s="7" t="str">
        <x:f>IF(OR($D77="",I$5="",'상세일정'!AM77="제외"),"",IF($D77=$E77,IF(AND($D77&gt;=I$5,$D77&lt;I$5+7),"◆",""),IF(AND($D77&lt;I$5+7,$E77&gt;I$5),"■","")))</x:f>
      </x:c>
      <x:c r="J77" s="7" t="str">
        <x:f>IF(OR($D77="",J$5="",'상세일정'!AM77="제외"),"",IF($D77=$E77,IF(AND($D77&gt;=J$5,$D77&lt;J$5+7),"◆",""),IF(AND($D77&lt;J$5+7,$E77&gt;J$5),"■","")))</x:f>
      </x:c>
      <x:c r="K77" s="7" t="str">
        <x:f>IF(OR($D77="",K$5="",'상세일정'!AM77="제외"),"",IF($D77=$E77,IF(AND($D77&gt;=K$5,$D77&lt;K$5+7),"◆",""),IF(AND($D77&lt;K$5+7,$E77&gt;K$5),"■","")))</x:f>
      </x:c>
      <x:c r="L77" s="7" t="str">
        <x:f>IF(OR($D77="",L$5="",'상세일정'!AM77="제외"),"",IF($D77=$E77,IF(AND($D77&gt;=L$5,$D77&lt;L$5+7),"◆",""),IF(AND($D77&lt;L$5+7,$E77&gt;L$5),"■","")))</x:f>
      </x:c>
      <x:c r="M77" s="7" t="str">
        <x:f>IF(OR($D77="",M$5="",'상세일정'!AM77="제외"),"",IF($D77=$E77,IF(AND($D77&gt;=M$5,$D77&lt;M$5+7),"◆",""),IF(AND($D77&lt;M$5+7,$E77&gt;M$5),"■","")))</x:f>
      </x:c>
      <x:c r="N77" s="7" t="str">
        <x:f>IF(OR($D77="",N$5="",'상세일정'!AM77="제외"),"",IF($D77=$E77,IF(AND($D77&gt;=N$5,$D77&lt;N$5+7),"◆",""),IF(AND($D77&lt;N$5+7,$E77&gt;N$5),"■","")))</x:f>
      </x:c>
      <x:c r="O77" s="7" t="str">
        <x:f>IF(OR($D77="",O$5="",'상세일정'!AM77="제외"),"",IF($D77=$E77,IF(AND($D77&gt;=O$5,$D77&lt;O$5+7),"◆",""),IF(AND($D77&lt;O$5+7,$E77&gt;O$5),"■","")))</x:f>
      </x:c>
      <x:c r="P77" s="7" t="str">
        <x:f>IF(OR($D77="",P$5="",'상세일정'!AM77="제외"),"",IF($D77=$E77,IF(AND($D77&gt;=P$5,$D77&lt;P$5+7),"◆",""),IF(AND($D77&lt;P$5+7,$E77&gt;P$5),"■","")))</x:f>
      </x:c>
      <x:c r="Q77" s="7" t="str">
        <x:f>IF(OR($D77="",Q$5="",'상세일정'!AM77="제외"),"",IF($D77=$E77,IF(AND($D77&gt;=Q$5,$D77&lt;Q$5+7),"◆",""),IF(AND($D77&lt;Q$5+7,$E77&gt;Q$5),"■","")))</x:f>
      </x:c>
      <x:c r="R77" s="7" t="str">
        <x:f>IF(OR($D77="",R$5="",'상세일정'!AM77="제외"),"",IF($D77=$E77,IF(AND($D77&gt;=R$5,$D77&lt;R$5+7),"◆",""),IF(AND($D77&lt;R$5+7,$E77&gt;R$5),"■","")))</x:f>
      </x:c>
      <x:c r="S77" s="7" t="str">
        <x:f>IF(OR($D77="",S$5="",'상세일정'!AM77="제외"),"",IF($D77=$E77,IF(AND($D77&gt;=S$5,$D77&lt;S$5+7),"◆",""),IF(AND($D77&lt;S$5+7,$E77&gt;S$5),"■","")))</x:f>
      </x:c>
      <x:c r="T77" s="7" t="str">
        <x:f>IF(OR($D77="",T$5="",'상세일정'!AM77="제외"),"",IF($D77=$E77,IF(AND($D77&gt;=T$5,$D77&lt;T$5+7),"◆",""),IF(AND($D77&lt;T$5+7,$E77&gt;T$5),"■","")))</x:f>
      </x:c>
      <x:c r="U77" s="7" t="str">
        <x:f>IF(OR($D77="",U$5="",'상세일정'!AM77="제외"),"",IF($D77=$E77,IF(AND($D77&gt;=U$5,$D77&lt;U$5+7),"◆",""),IF(AND($D77&lt;U$5+7,$E77&gt;U$5),"■","")))</x:f>
      </x:c>
      <x:c r="V77" s="7" t="str">
        <x:f>IF(OR($D77="",V$5="",'상세일정'!AM77="제외"),"",IF($D77=$E77,IF(AND($D77&gt;=V$5,$D77&lt;V$5+7),"◆",""),IF(AND($D77&lt;V$5+7,$E77&gt;V$5),"■","")))</x:f>
      </x:c>
      <x:c r="W77" s="7" t="str">
        <x:f>IF(OR($D77="",W$5="",'상세일정'!AM77="제외"),"",IF($D77=$E77,IF(AND($D77&gt;=W$5,$D77&lt;W$5+7),"◆",""),IF(AND($D77&lt;W$5+7,$E77&gt;W$5),"■","")))</x:f>
      </x:c>
      <x:c r="X77" s="7" t="str">
        <x:f>IF(OR($D77="",X$5="",'상세일정'!AM77="제외"),"",IF($D77=$E77,IF(AND($D77&gt;=X$5,$D77&lt;X$5+7),"◆",""),IF(AND($D77&lt;X$5+7,$E77&gt;X$5),"■","")))</x:f>
      </x:c>
      <x:c r="Y77" s="7" t="str">
        <x:f>IF(OR($D77="",Y$5="",'상세일정'!AM77="제외"),"",IF($D77=$E77,IF(AND($D77&gt;=Y$5,$D77&lt;Y$5+7),"◆",""),IF(AND($D77&lt;Y$5+7,$E77&gt;Y$5),"■","")))</x:f>
      </x:c>
      <x:c r="Z77" s="7" t="str">
        <x:f>IF(OR($D77="",Z$5="",'상세일정'!AM77="제외"),"",IF($D77=$E77,IF(AND($D77&gt;=Z$5,$D77&lt;Z$5+7),"◆",""),IF(AND($D77&lt;Z$5+7,$E77&gt;Z$5),"■","")))</x:f>
      </x:c>
      <x:c r="AA77" s="7" t="str">
        <x:f>IF(OR($D77="",AA$5="",'상세일정'!AM77="제외"),"",IF($D77=$E77,IF(AND($D77&gt;=AA$5,$D77&lt;AA$5+7),"◆",""),IF(AND($D77&lt;AA$5+7,$E77&gt;AA$5),"■","")))</x:f>
      </x:c>
      <x:c r="AB77" s="7" t="str">
        <x:f>IF(OR($D77="",AB$5="",'상세일정'!AM77="제외"),"",IF($D77=$E77,IF(AND($D77&gt;=AB$5,$D77&lt;AB$5+7),"◆",""),IF(AND($D77&lt;AB$5+7,$E77&gt;AB$5),"■","")))</x:f>
      </x:c>
      <x:c r="AC77" s="7" t="str">
        <x:f>IF(OR($D77="",AC$5="",'상세일정'!AM77="제외"),"",IF($D77=$E77,IF(AND($D77&gt;=AC$5,$D77&lt;AC$5+7),"◆",""),IF(AND($D77&lt;AC$5+7,$E77&gt;AC$5),"■","")))</x:f>
      </x:c>
      <x:c r="AD77" s="7" t="str">
        <x:f>IF(OR($D77="",AD$5="",'상세일정'!AM77="제외"),"",IF($D77=$E77,IF(AND($D77&gt;=AD$5,$D77&lt;AD$5+7),"◆",""),IF(AND($D77&lt;AD$5+7,$E77&gt;AD$5),"■","")))</x:f>
      </x:c>
      <x:c r="AE77" s="7" t="str">
        <x:f>IF(OR($D77="",AE$5="",'상세일정'!AM77="제외"),"",IF($D77=$E77,IF(AND($D77&gt;=AE$5,$D77&lt;AE$5+7),"◆",""),IF(AND($D77&lt;AE$5+7,$E77&gt;AE$5),"■","")))</x:f>
      </x:c>
      <x:c r="AF77" s="7" t="str">
        <x:f>IF(OR($D77="",AF$5="",'상세일정'!AM77="제외"),"",IF($D77=$E77,IF(AND($D77&gt;=AF$5,$D77&lt;AF$5+7),"◆",""),IF(AND($D77&lt;AF$5+7,$E77&gt;AF$5),"■","")))</x:f>
      </x:c>
      <x:c r="AG77" s="7" t="str">
        <x:f>IF(OR($D77="",AG$5="",'상세일정'!AM77="제외"),"",IF($D77=$E77,IF(AND($D77&gt;=AG$5,$D77&lt;AG$5+7),"◆",""),IF(AND($D77&lt;AG$5+7,$E77&gt;AG$5),"■","")))</x:f>
      </x:c>
      <x:c r="AH77" s="7" t="str">
        <x:f>IF(OR($D77="",AH$5="",'상세일정'!AM77="제외"),"",IF($D77=$E77,IF(AND($D77&gt;=AH$5,$D77&lt;AH$5+7),"◆",""),IF(AND($D77&lt;AH$5+7,$E77&gt;AH$5),"■","")))</x:f>
      </x:c>
      <x:c r="AI77" s="7" t="str">
        <x:f>IF(OR($D77="",AI$5="",'상세일정'!AM77="제외"),"",IF($D77=$E77,IF(AND($D77&gt;=AI$5,$D77&lt;AI$5+7),"◆",""),IF(AND($D77&lt;AI$5+7,$E77&gt;AI$5),"■","")))</x:f>
      </x:c>
      <x:c r="AJ77" s="7" t="str">
        <x:f>IF(OR($D77="",AJ$5="",'상세일정'!AM77="제외"),"",IF($D77=$E77,IF(AND($D77&gt;=AJ$5,$D77&lt;AJ$5+7),"◆",""),IF(AND($D77&lt;AJ$5+7,$E77&gt;AJ$5),"■","")))</x:f>
      </x:c>
      <x:c r="AK77" s="7" t="str">
        <x:f>IF(OR($D77="",AK$5="",'상세일정'!AM77="제외"),"",IF($D77=$E77,IF(AND($D77&gt;=AK$5,$D77&lt;AK$5+7),"◆",""),IF(AND($D77&lt;AK$5+7,$E77&gt;AK$5),"■","")))</x:f>
      </x:c>
      <x:c r="AL77" s="7" t="str">
        <x:f>IF(OR($D77="",AL$5="",'상세일정'!AM77="제외"),"",IF($D77=$E77,IF(AND($D77&gt;=AL$5,$D77&lt;AL$5+7),"◆",""),IF(AND($D77&lt;AL$5+7,$E77&gt;AL$5),"■","")))</x:f>
      </x:c>
      <x:c r="AM77" s="7" t="str">
        <x:f>IF(OR($D77="",AM$5="",'상세일정'!AM77="제외"),"",IF($D77=$E77,IF(AND($D77&gt;=AM$5,$D77&lt;AM$5+7),"◆",""),IF(AND($D77&lt;AM$5+7,$E77&gt;AM$5),"■","")))</x:f>
      </x:c>
      <x:c r="AN77" s="7" t="str">
        <x:f>IF(OR($D77="",AN$5="",'상세일정'!AM77="제외"),"",IF($D77=$E77,IF(AND($D77&gt;=AN$5,$D77&lt;AN$5+7),"◆",""),IF(AND($D77&lt;AN$5+7,$E77&gt;AN$5),"■","")))</x:f>
      </x:c>
      <x:c r="AO77" s="7" t="str">
        <x:f>IF(OR($D77="",AO$5="",'상세일정'!AM77="제외"),"",IF($D77=$E77,IF(AND($D77&gt;=AO$5,$D77&lt;AO$5+7),"◆",""),IF(AND($D77&lt;AO$5+7,$E77&gt;AO$5),"■","")))</x:f>
      </x:c>
      <x:c r="AP77" s="7" t="str">
        <x:f>IF(OR($D77="",AP$5="",'상세일정'!AM77="제외"),"",IF($D77=$E77,IF(AND($D77&gt;=AP$5,$D77&lt;AP$5+7),"◆",""),IF(AND($D77&lt;AP$5+7,$E77&gt;AP$5),"■","")))</x:f>
      </x:c>
      <x:c r="AQ77" s="7" t="str">
        <x:f>IF(OR($D77="",AQ$5="",'상세일정'!AM77="제외"),"",IF($D77=$E77,IF(AND($D77&gt;=AQ$5,$D77&lt;AQ$5+7),"◆",""),IF(AND($D77&lt;AQ$5+7,$E77&gt;AQ$5),"■","")))</x:f>
      </x:c>
      <x:c r="AR77" s="7" t="str">
        <x:f>IF(OR($D77="",AR$5="",'상세일정'!AM77="제외"),"",IF($D77=$E77,IF(AND($D77&gt;=AR$5,$D77&lt;AR$5+7),"◆",""),IF(AND($D77&lt;AR$5+7,$E77&gt;AR$5),"■","")))</x:f>
      </x:c>
      <x:c r="AS77" s="7" t="str">
        <x:f>IF(OR($D77="",AS$5="",'상세일정'!AM77="제외"),"",IF($D77=$E77,IF(AND($D77&gt;=AS$5,$D77&lt;AS$5+7),"◆",""),IF(AND($D77&lt;AS$5+7,$E77&gt;AS$5),"■","")))</x:f>
      </x:c>
      <x:c r="AT77" s="7" t="str">
        <x:f>IF(OR($D77="",AT$5="",'상세일정'!AM77="제외"),"",IF($D77=$E77,IF(AND($D77&gt;=AT$5,$D77&lt;AT$5+7),"◆",""),IF(AND($D77&lt;AT$5+7,$E77&gt;AT$5),"■","")))</x:f>
      </x:c>
      <x:c r="AU77" s="7" t="str">
        <x:f>IF(OR($D77="",AU$5="",'상세일정'!AM77="제외"),"",IF($D77=$E77,IF(AND($D77&gt;=AU$5,$D77&lt;AU$5+7),"◆",""),IF(AND($D77&lt;AU$5+7,$E77&gt;AU$5),"■","")))</x:f>
      </x:c>
      <x:c r="AV77" s="7" t="str">
        <x:f>IF(OR($D77="",AV$5="",'상세일정'!AM77="제외"),"",IF($D77=$E77,IF(AND($D77&gt;=AV$5,$D77&lt;AV$5+7),"◆",""),IF(AND($D77&lt;AV$5+7,$E77&gt;AV$5),"■","")))</x:f>
      </x:c>
      <x:c r="AW77" s="7" t="str">
        <x:f>IF(OR($D77="",AW$5="",'상세일정'!AM77="제외"),"",IF($D77=$E77,IF(AND($D77&gt;=AW$5,$D77&lt;AW$5+7),"◆",""),IF(AND($D77&lt;AW$5+7,$E77&gt;AW$5),"■","")))</x:f>
      </x:c>
      <x:c r="AX77" s="7" t="str">
        <x:f>IF(OR($D77="",AX$5="",'상세일정'!AM77="제외"),"",IF($D77=$E77,IF(AND($D77&gt;=AX$5,$D77&lt;AX$5+7),"◆",""),IF(AND($D77&lt;AX$5+7,$E77&gt;AX$5),"■","")))</x:f>
      </x:c>
      <x:c r="AY77" s="7" t="str">
        <x:f>IF(OR($D77="",AY$5="",'상세일정'!AM77="제외"),"",IF($D77=$E77,IF(AND($D77&gt;=AY$5,$D77&lt;AY$5+7),"◆",""),IF(AND($D77&lt;AY$5+7,$E77&gt;AY$5),"■","")))</x:f>
      </x:c>
      <x:c r="AZ77" s="7" t="str">
        <x:f>IF(OR($D77="",AZ$5="",'상세일정'!AM77="제외"),"",IF($D77=$E77,IF(AND($D77&gt;=AZ$5,$D77&lt;AZ$5+7),"◆",""),IF(AND($D77&lt;AZ$5+7,$E77&gt;AZ$5),"■","")))</x:f>
      </x:c>
      <x:c r="BA77" s="7" t="str">
        <x:f>IF(OR($D77="",BA$5="",'상세일정'!AM77="제외"),"",IF($D77=$E77,IF(AND($D77&gt;=BA$5,$D77&lt;BA$5+7),"◆",""),IF(AND($D77&lt;BA$5+7,$E77&gt;BA$5),"■","")))</x:f>
      </x:c>
      <x:c r="BB77" s="7" t="str">
        <x:f>IF(OR($D77="",BB$5="",'상세일정'!AM77="제외"),"",IF($D77=$E77,IF(AND($D77&gt;=BB$5,$D77&lt;BB$5+7),"◆",""),IF(AND($D77&lt;BB$5+7,$E77&gt;BB$5),"■","")))</x:f>
      </x:c>
      <x:c r="BC77" s="7" t="str">
        <x:f>IF(OR($D77="",BC$5="",'상세일정'!AM77="제외"),"",IF($D77=$E77,IF(AND($D77&gt;=BC$5,$D77&lt;BC$5+7),"◆",""),IF(AND($D77&lt;BC$5+7,$E77&gt;BC$5),"■","")))</x:f>
      </x:c>
      <x:c r="BD77" s="7" t="str">
        <x:f>IF(OR($D77="",BD$5="",'상세일정'!AM77="제외"),"",IF($D77=$E77,IF(AND($D77&gt;=BD$5,$D77&lt;BD$5+7),"◆",""),IF(AND($D77&lt;BD$5+7,$E77&gt;BD$5),"■","")))</x:f>
      </x:c>
      <x:c r="BE77" s="7" t="str">
        <x:f>IF(OR($D77="",BE$5="",'상세일정'!AM77="제외"),"",IF($D77=$E77,IF(AND($D77&gt;=BE$5,$D77&lt;BE$5+7),"◆",""),IF(AND($D77&lt;BE$5+7,$E77&gt;BE$5),"■","")))</x:f>
      </x:c>
      <x:c r="BF77" s="7" t="str">
        <x:f>IF(OR($D77="",BF$5="",'상세일정'!AM77="제외"),"",IF($D77=$E77,IF(AND($D77&gt;=BF$5,$D77&lt;BF$5+7),"◆",""),IF(AND($D77&lt;BF$5+7,$E77&gt;BF$5),"■","")))</x:f>
      </x:c>
      <x:c r="BG77" s="7" t="str">
        <x:f>IF(OR($D77="",BG$5="",'상세일정'!AM77="제외"),"",IF($D77=$E77,IF(AND($D77&gt;=BG$5,$D77&lt;BG$5+7),"◆",""),IF(AND($D77&lt;BG$5+7,$E77&gt;BG$5),"■","")))</x:f>
      </x:c>
      <x:c r="BH77" s="7" t="str">
        <x:f>IF(OR($D77="",BH$5="",'상세일정'!AM77="제외"),"",IF($D77=$E77,IF(AND($D77&gt;=BH$5,$D77&lt;BH$5+7),"◆",""),IF(AND($D77&lt;BH$5+7,$E77&gt;BH$5),"■","")))</x:f>
      </x:c>
      <x:c r="BI77" s="7" t="str">
        <x:f>IF(OR($D77="",BI$5="",'상세일정'!AM77="제외"),"",IF($D77=$E77,IF(AND($D77&gt;=BI$5,$D77&lt;BI$5+7),"◆",""),IF(AND($D77&lt;BI$5+7,$E77&gt;BI$5),"■","")))</x:f>
      </x:c>
      <x:c r="BJ77" s="7" t="str">
        <x:f>IF(OR($D77="",BJ$5="",'상세일정'!AM77="제외"),"",IF($D77=$E77,IF(AND($D77&gt;=BJ$5,$D77&lt;BJ$5+7),"◆",""),IF(AND($D77&lt;BJ$5+7,$E77&gt;BJ$5),"■","")))</x:f>
      </x:c>
      <x:c r="BK77" s="7" t="str">
        <x:f>IF(OR($D77="",BK$5="",'상세일정'!AM77="제외"),"",IF($D77=$E77,IF(AND($D77&gt;=BK$5,$D77&lt;BK$5+7),"◆",""),IF(AND($D77&lt;BK$5+7,$E77&gt;BK$5),"■","")))</x:f>
      </x:c>
      <x:c r="BL77" s="7" t="str">
        <x:f>IF(OR($D77="",BL$5="",'상세일정'!AM77="제외"),"",IF($D77=$E77,IF(AND($D77&gt;=BL$5,$D77&lt;BL$5+7),"◆",""),IF(AND($D77&lt;BL$5+7,$E77&gt;BL$5),"■","")))</x:f>
      </x:c>
      <x:c r="BM77" s="7" t="str">
        <x:f>IF(OR($D77="",BM$5="",'상세일정'!AM77="제외"),"",IF($D77=$E77,IF(AND($D77&gt;=BM$5,$D77&lt;BM$5+7),"◆",""),IF(AND($D77&lt;BM$5+7,$E77&gt;BM$5),"■","")))</x:f>
      </x:c>
      <x:c r="BN77" s="7" t="str">
        <x:f>IF(OR($D77="",BN$5="",'상세일정'!AM77="제외"),"",IF($D77=$E77,IF(AND($D77&gt;=BN$5,$D77&lt;BN$5+7),"◆",""),IF(AND($D77&lt;BN$5+7,$E77&gt;BN$5),"■","")))</x:f>
      </x:c>
      <x:c r="BO77" s="7" t="str">
        <x:f>IF(OR($D77="",BO$5="",'상세일정'!AM77="제외"),"",IF($D77=$E77,IF(AND($D77&gt;=BO$5,$D77&lt;BO$5+7),"◆",""),IF(AND($D77&lt;BO$5+7,$E77&gt;BO$5),"■","")))</x:f>
      </x:c>
      <x:c r="BP77" s="7" t="str">
        <x:f>IF(OR($D77="",BP$5="",'상세일정'!AM77="제외"),"",IF($D77=$E77,IF(AND($D77&gt;=BP$5,$D77&lt;BP$5+7),"◆",""),IF(AND($D77&lt;BP$5+7,$E77&gt;BP$5),"■","")))</x:f>
      </x:c>
      <x:c r="BQ77" s="7" t="str">
        <x:f>IF(OR($D77="",BQ$5="",'상세일정'!AM77="제외"),"",IF($D77=$E77,IF(AND($D77&gt;=BQ$5,$D77&lt;BQ$5+7),"◆",""),IF(AND($D77&lt;BQ$5+7,$E77&gt;BQ$5),"■","")))</x:f>
      </x:c>
      <x:c r="BR77" s="7" t="str">
        <x:f>IF(OR($D77="",BR$5="",'상세일정'!AM77="제외"),"",IF($D77=$E77,IF(AND($D77&gt;=BR$5,$D77&lt;BR$5+7),"◆",""),IF(AND($D77&lt;BR$5+7,$E77&gt;BR$5),"■","")))</x:f>
      </x:c>
      <x:c r="BS77" s="7" t="str">
        <x:f>IF(OR($D77="",BS$5="",'상세일정'!AM77="제외"),"",IF($D77=$E77,IF(AND($D77&gt;=BS$5,$D77&lt;BS$5+7),"◆",""),IF(AND($D77&lt;BS$5+7,$E77&gt;BS$5),"■","")))</x:f>
      </x:c>
      <x:c r="BT77" s="7" t="str">
        <x:f>IF(OR($D77="",BT$5="",'상세일정'!AM77="제외"),"",IF($D77=$E77,IF(AND($D77&gt;=BT$5,$D77&lt;BT$5+7),"◆",""),IF(AND($D77&lt;BT$5+7,$E77&gt;BT$5),"■","")))</x:f>
      </x:c>
      <x:c r="BU77" s="7" t="str">
        <x:f>IF(OR($D77="",BU$5="",'상세일정'!AM77="제외"),"",IF($D77=$E77,IF(AND($D77&gt;=BU$5,$D77&lt;BU$5+7),"◆",""),IF(AND($D77&lt;BU$5+7,$E77&gt;BU$5),"■","")))</x:f>
      </x:c>
      <x:c r="BV77" s="7" t="str">
        <x:f>IF(OR($D77="",BV$5="",'상세일정'!AM77="제외"),"",IF($D77=$E77,IF(AND($D77&gt;=BV$5,$D77&lt;BV$5+7),"◆",""),IF(AND($D77&lt;BV$5+7,$E77&gt;BV$5),"■","")))</x:f>
      </x:c>
      <x:c r="BW77" s="7" t="str">
        <x:f>IF(OR($D77="",BW$5="",'상세일정'!AM77="제외"),"",IF($D77=$E77,IF(AND($D77&gt;=BW$5,$D77&lt;BW$5+7),"◆",""),IF(AND($D77&lt;BW$5+7,$E77&gt;BW$5),"■","")))</x:f>
      </x:c>
      <x:c r="BX77" s="7" t="str">
        <x:f>IF(OR($D77="",BX$5="",'상세일정'!AM77="제외"),"",IF($D77=$E77,IF(AND($D77&gt;=BX$5,$D77&lt;BX$5+7),"◆",""),IF(AND($D77&lt;BX$5+7,$E77&gt;BX$5),"■","")))</x:f>
      </x:c>
      <x:c r="BY77" s="7" t="str">
        <x:f>IF(OR($D77="",BY$5="",'상세일정'!AM77="제외"),"",IF($D77=$E77,IF(AND($D77&gt;=BY$5,$D77&lt;BY$5+7),"◆",""),IF(AND($D77&lt;BY$5+7,$E77&gt;BY$5),"■","")))</x:f>
      </x:c>
      <x:c r="BZ77" s="7" t="str">
        <x:f>IF(OR($D77="",BZ$5="",'상세일정'!AM77="제외"),"",IF($D77=$E77,IF(AND($D77&gt;=BZ$5,$D77&lt;BZ$5+7),"◆",""),IF(AND($D77&lt;BZ$5+7,$E77&gt;BZ$5),"■","")))</x:f>
      </x:c>
      <x:c r="CA77" s="7" t="str">
        <x:f>IF(OR($D77="",CA$5="",'상세일정'!AM77="제외"),"",IF($D77=$E77,IF(AND($D77&gt;=CA$5,$D77&lt;CA$5+7),"◆",""),IF(AND($D77&lt;CA$5+7,$E77&gt;CA$5),"■","")))</x:f>
      </x:c>
      <x:c r="CB77" s="7" t="str">
        <x:f>IF(OR($D77="",CB$5="",'상세일정'!AM77="제외"),"",IF($D77=$E77,IF(AND($D77&gt;=CB$5,$D77&lt;CB$5+7),"◆",""),IF(AND($D77&lt;CB$5+7,$E77&gt;CB$5),"■","")))</x:f>
      </x:c>
      <x:c r="CC77" s="7" t="str">
        <x:f>IF(OR($D77="",CC$5="",'상세일정'!AM77="제외"),"",IF($D77=$E77,IF(AND($D77&gt;=CC$5,$D77&lt;CC$5+7),"◆",""),IF(AND($D77&lt;CC$5+7,$E77&gt;CC$5),"■","")))</x:f>
      </x:c>
      <x:c r="CD77" s="7" t="str">
        <x:f>IF(OR($D77="",CD$5="",'상세일정'!AM77="제외"),"",IF($D77=$E77,IF(AND($D77&gt;=CD$5,$D77&lt;CD$5+7),"◆",""),IF(AND($D77&lt;CD$5+7,$E77&gt;CD$5),"■","")))</x:f>
      </x:c>
      <x:c r="CE77" s="7" t="str">
        <x:f>IF(OR($D77="",CE$5="",'상세일정'!AM77="제외"),"",IF($D77=$E77,IF(AND($D77&gt;=CE$5,$D77&lt;CE$5+7),"◆",""),IF(AND($D77&lt;CE$5+7,$E77&gt;CE$5),"■","")))</x:f>
      </x:c>
      <x:c r="CF77" s="7" t="str">
        <x:f>IF(OR($D77="",CF$5="",'상세일정'!AM77="제외"),"",IF($D77=$E77,IF(AND($D77&gt;=CF$5,$D77&lt;CF$5+7),"◆",""),IF(AND($D77&lt;CF$5+7,$E77&gt;CF$5),"■","")))</x:f>
      </x:c>
      <x:c r="CG77" s="7" t="str">
        <x:f>IF(OR($D77="",CG$5="",'상세일정'!AM77="제외"),"",IF($D77=$E77,IF(AND($D77&gt;=CG$5,$D77&lt;CG$5+7),"◆",""),IF(AND($D77&lt;CG$5+7,$E77&gt;CG$5),"■","")))</x:f>
      </x:c>
      <x:c r="CH77" s="7" t="str">
        <x:f>IF(OR($D77="",CH$5="",'상세일정'!AM77="제외"),"",IF($D77=$E77,IF(AND($D77&gt;=CH$5,$D77&lt;CH$5+7),"◆",""),IF(AND($D77&lt;CH$5+7,$E77&gt;CH$5),"■","")))</x:f>
      </x:c>
      <x:c r="CI77" s="7" t="str">
        <x:f>IF(OR($D77="",CI$5="",'상세일정'!AM77="제외"),"",IF($D77=$E77,IF(AND($D77&gt;=CI$5,$D77&lt;CI$5+7),"◆",""),IF(AND($D77&lt;CI$5+7,$E77&gt;CI$5),"■","")))</x:f>
      </x:c>
      <x:c r="CJ77" s="7" t="str">
        <x:f>IF(OR($D77="",CJ$5="",'상세일정'!AM77="제외"),"",IF($D77=$E77,IF(AND($D77&gt;=CJ$5,$D77&lt;CJ$5+7),"◆",""),IF(AND($D77&lt;CJ$5+7,$E77&gt;CJ$5),"■","")))</x:f>
      </x:c>
      <x:c r="CK77" s="7" t="str">
        <x:f>IF(OR($D77="",CK$5="",'상세일정'!AM77="제외"),"",IF($D77=$E77,IF(AND($D77&gt;=CK$5,$D77&lt;CK$5+7),"◆",""),IF(AND($D77&lt;CK$5+7,$E77&gt;CK$5),"■","")))</x:f>
      </x:c>
      <x:c r="CL77" s="7" t="str">
        <x:f>IF(OR($D77="",CL$5="",'상세일정'!AM77="제외"),"",IF($D77=$E77,IF(AND($D77&gt;=CL$5,$D77&lt;CL$5+7),"◆",""),IF(AND($D77&lt;CL$5+7,$E77&gt;CL$5),"■","")))</x:f>
      </x:c>
      <x:c r="CM77" s="7" t="str">
        <x:f>IF(OR($D77="",CM$5="",'상세일정'!AM77="제외"),"",IF($D77=$E77,IF(AND($D77&gt;=CM$5,$D77&lt;CM$5+7),"◆",""),IF(AND($D77&lt;CM$5+7,$E77&gt;CM$5),"■","")))</x:f>
      </x:c>
      <x:c r="CN77" s="7" t="str">
        <x:f>IF(OR($D77="",CN$5="",'상세일정'!AM77="제외"),"",IF($D77=$E77,IF(AND($D77&gt;=CN$5,$D77&lt;CN$5+7),"◆",""),IF(AND($D77&lt;CN$5+7,$E77&gt;CN$5),"■","")))</x:f>
      </x:c>
      <x:c r="CO77" s="7" t="str">
        <x:f>IF(OR($D77="",CO$5="",'상세일정'!AM77="제외"),"",IF($D77=$E77,IF(AND($D77&gt;=CO$5,$D77&lt;CO$5+7),"◆",""),IF(AND($D77&lt;CO$5+7,$E77&gt;CO$5),"■","")))</x:f>
      </x:c>
      <x:c r="CP77" s="7" t="str">
        <x:f>IF(OR($D77="",CP$5="",'상세일정'!AM77="제외"),"",IF($D77=$E77,IF(AND($D77&gt;=CP$5,$D77&lt;CP$5+7),"◆",""),IF(AND($D77&lt;CP$5+7,$E77&gt;CP$5),"■","")))</x:f>
      </x:c>
      <x:c r="CQ77" s="7" t="str">
        <x:f>IF(OR($D77="",CQ$5="",'상세일정'!AM77="제외"),"",IF($D77=$E77,IF(AND($D77&gt;=CQ$5,$D77&lt;CQ$5+7),"◆",""),IF(AND($D77&lt;CQ$5+7,$E77&gt;CQ$5),"■","")))</x:f>
      </x:c>
      <x:c r="CR77" s="7" t="str">
        <x:f>IF(OR($D77="",CR$5="",'상세일정'!AM77="제외"),"",IF($D77=$E77,IF(AND($D77&gt;=CR$5,$D77&lt;CR$5+7),"◆",""),IF(AND($D77&lt;CR$5+7,$E77&gt;CR$5),"■","")))</x:f>
      </x:c>
      <x:c r="CS77" s="7" t="str">
        <x:f>IF(OR($D77="",CS$5="",'상세일정'!AM77="제외"),"",IF($D77=$E77,IF(AND($D77&gt;=CS$5,$D77&lt;CS$5+7),"◆",""),IF(AND($D77&lt;CS$5+7,$E77&gt;CS$5),"■","")))</x:f>
      </x:c>
      <x:c r="CT77" s="7" t="str">
        <x:f>IF(OR($D77="",CT$5="",'상세일정'!AM77="제외"),"",IF($D77=$E77,IF(AND($D77&gt;=CT$5,$D77&lt;CT$5+7),"◆",""),IF(AND($D77&lt;CT$5+7,$E77&gt;CT$5),"■","")))</x:f>
      </x:c>
      <x:c r="CU77" s="7" t="str">
        <x:f>IF(OR($D77="",CU$5="",'상세일정'!AM77="제외"),"",IF($D77=$E77,IF(AND($D77&gt;=CU$5,$D77&lt;CU$5+7),"◆",""),IF(AND($D77&lt;CU$5+7,$E77&gt;CU$5),"■","")))</x:f>
      </x:c>
      <x:c r="CV77" s="7" t="str">
        <x:f>IF(OR($D77="",CV$5="",'상세일정'!AM77="제외"),"",IF($D77=$E77,IF(AND($D77&gt;=CV$5,$D77&lt;CV$5+7),"◆",""),IF(AND($D77&lt;CV$5+7,$E77&gt;CV$5),"■","")))</x:f>
      </x:c>
      <x:c r="CW77" s="7" t="str">
        <x:f>IF(OR($D77="",CW$5="",'상세일정'!AM77="제외"),"",IF($D77=$E77,IF(AND($D77&gt;=CW$5,$D77&lt;CW$5+7),"◆",""),IF(AND($D77&lt;CW$5+7,$E77&gt;CW$5),"■","")))</x:f>
      </x:c>
      <x:c r="CX77" s="7" t="str">
        <x:f>IF(OR($D77="",CX$5="",'상세일정'!AM77="제외"),"",IF($D77=$E77,IF(AND($D77&gt;=CX$5,$D77&lt;CX$5+7),"◆",""),IF(AND($D77&lt;CX$5+7,$E77&gt;CX$5),"■","")))</x:f>
      </x:c>
      <x:c r="CY77" s="7" t="str">
        <x:f>IF(OR($D77="",CY$5="",'상세일정'!AM77="제외"),"",IF($D77=$E77,IF(AND($D77&gt;=CY$5,$D77&lt;CY$5+7),"◆",""),IF(AND($D77&lt;CY$5+7,$E77&gt;CY$5),"■","")))</x:f>
      </x:c>
      <x:c r="CZ77" s="7" t="str">
        <x:f>IF(OR($D77="",CZ$5="",'상세일정'!AM77="제외"),"",IF($D77=$E77,IF(AND($D77&gt;=CZ$5,$D77&lt;CZ$5+7),"◆",""),IF(AND($D77&lt;CZ$5+7,$E77&gt;CZ$5),"■","")))</x:f>
      </x:c>
      <x:c r="DA77" s="7" t="str">
        <x:f>IF(OR($D77="",DA$5="",'상세일정'!AM77="제외"),"",IF($D77=$E77,IF(AND($D77&gt;=DA$5,$D77&lt;DA$5+7),"◆",""),IF(AND($D77&lt;DA$5+7,$E77&gt;DA$5),"■","")))</x:f>
      </x:c>
      <x:c r="DB77" s="7" t="str">
        <x:f>IF(OR($D77="",DB$5="",'상세일정'!AM77="제외"),"",IF($D77=$E77,IF(AND($D77&gt;=DB$5,$D77&lt;DB$5+7),"◆",""),IF(AND($D77&lt;DB$5+7,$E77&gt;DB$5),"■","")))</x:f>
      </x:c>
      <x:c r="DC77" s="7" t="str">
        <x:f>IF(OR($D77="",DC$5="",'상세일정'!AM77="제외"),"",IF($D77=$E77,IF(AND($D77&gt;=DC$5,$D77&lt;DC$5+7),"◆",""),IF(AND($D77&lt;DC$5+7,$E77&gt;DC$5),"■","")))</x:f>
      </x:c>
      <x:c r="DD77" s="7" t="str">
        <x:f>IF(OR($D77="",DD$5="",'상세일정'!AM77="제외"),"",IF($D77=$E77,IF(AND($D77&gt;=DD$5,$D77&lt;DD$5+7),"◆",""),IF(AND($D77&lt;DD$5+7,$E77&gt;DD$5),"■","")))</x:f>
      </x:c>
      <x:c r="DE77" s="7" t="str">
        <x:f>IF(OR($D77="",DE$5="",'상세일정'!AM77="제외"),"",IF($D77=$E77,IF(AND($D77&gt;=DE$5,$D77&lt;DE$5+7),"◆",""),IF(AND($D77&lt;DE$5+7,$E77&gt;DE$5),"■","")))</x:f>
      </x:c>
    </x:row>
    <x:row r="78" ht="34" customHeight="1">
      <x:c r="A78" s="7" t="str">
        <x:v>KG04</x:v>
      </x:c>
      <x:c r="B78" s="7" t="str">
        <x:v>12 KGS 기술검토·허가</x:v>
      </x:c>
      <x:c r="C78" s="7" t="str">
        <x:v>KGS 제출본 작성·사업주 검토·날인</x:v>
      </x:c>
      <x:c r="D78" s="10" t="str">
        <x:f>'상세일정'!AJ78</x:f>
      </x:c>
      <x:c r="E78" s="10" t="str">
        <x:f>'상세일정'!AK78</x:f>
      </x:c>
      <x:c r="F78" s="7" t="str">
        <x:f>IF(OR($D78="",F$5="",'상세일정'!AM78="제외"),"",IF($D78=$E78,IF(AND($D78&gt;=F$5,$D78&lt;F$5+7),"◆",""),IF(AND($D78&lt;F$5+7,$E78&gt;F$5),"■","")))</x:f>
      </x:c>
      <x:c r="G78" s="7" t="str">
        <x:f>IF(OR($D78="",G$5="",'상세일정'!AM78="제외"),"",IF($D78=$E78,IF(AND($D78&gt;=G$5,$D78&lt;G$5+7),"◆",""),IF(AND($D78&lt;G$5+7,$E78&gt;G$5),"■","")))</x:f>
      </x:c>
      <x:c r="H78" s="7" t="str">
        <x:f>IF(OR($D78="",H$5="",'상세일정'!AM78="제외"),"",IF($D78=$E78,IF(AND($D78&gt;=H$5,$D78&lt;H$5+7),"◆",""),IF(AND($D78&lt;H$5+7,$E78&gt;H$5),"■","")))</x:f>
      </x:c>
      <x:c r="I78" s="7" t="str">
        <x:f>IF(OR($D78="",I$5="",'상세일정'!AM78="제외"),"",IF($D78=$E78,IF(AND($D78&gt;=I$5,$D78&lt;I$5+7),"◆",""),IF(AND($D78&lt;I$5+7,$E78&gt;I$5),"■","")))</x:f>
      </x:c>
      <x:c r="J78" s="7" t="str">
        <x:f>IF(OR($D78="",J$5="",'상세일정'!AM78="제외"),"",IF($D78=$E78,IF(AND($D78&gt;=J$5,$D78&lt;J$5+7),"◆",""),IF(AND($D78&lt;J$5+7,$E78&gt;J$5),"■","")))</x:f>
      </x:c>
      <x:c r="K78" s="7" t="str">
        <x:f>IF(OR($D78="",K$5="",'상세일정'!AM78="제외"),"",IF($D78=$E78,IF(AND($D78&gt;=K$5,$D78&lt;K$5+7),"◆",""),IF(AND($D78&lt;K$5+7,$E78&gt;K$5),"■","")))</x:f>
      </x:c>
      <x:c r="L78" s="7" t="str">
        <x:f>IF(OR($D78="",L$5="",'상세일정'!AM78="제외"),"",IF($D78=$E78,IF(AND($D78&gt;=L$5,$D78&lt;L$5+7),"◆",""),IF(AND($D78&lt;L$5+7,$E78&gt;L$5),"■","")))</x:f>
      </x:c>
      <x:c r="M78" s="7" t="str">
        <x:f>IF(OR($D78="",M$5="",'상세일정'!AM78="제외"),"",IF($D78=$E78,IF(AND($D78&gt;=M$5,$D78&lt;M$5+7),"◆",""),IF(AND($D78&lt;M$5+7,$E78&gt;M$5),"■","")))</x:f>
      </x:c>
      <x:c r="N78" s="7" t="str">
        <x:f>IF(OR($D78="",N$5="",'상세일정'!AM78="제외"),"",IF($D78=$E78,IF(AND($D78&gt;=N$5,$D78&lt;N$5+7),"◆",""),IF(AND($D78&lt;N$5+7,$E78&gt;N$5),"■","")))</x:f>
      </x:c>
      <x:c r="O78" s="7" t="str">
        <x:f>IF(OR($D78="",O$5="",'상세일정'!AM78="제외"),"",IF($D78=$E78,IF(AND($D78&gt;=O$5,$D78&lt;O$5+7),"◆",""),IF(AND($D78&lt;O$5+7,$E78&gt;O$5),"■","")))</x:f>
      </x:c>
      <x:c r="P78" s="7" t="str">
        <x:f>IF(OR($D78="",P$5="",'상세일정'!AM78="제외"),"",IF($D78=$E78,IF(AND($D78&gt;=P$5,$D78&lt;P$5+7),"◆",""),IF(AND($D78&lt;P$5+7,$E78&gt;P$5),"■","")))</x:f>
      </x:c>
      <x:c r="Q78" s="7" t="str">
        <x:f>IF(OR($D78="",Q$5="",'상세일정'!AM78="제외"),"",IF($D78=$E78,IF(AND($D78&gt;=Q$5,$D78&lt;Q$5+7),"◆",""),IF(AND($D78&lt;Q$5+7,$E78&gt;Q$5),"■","")))</x:f>
      </x:c>
      <x:c r="R78" s="7" t="str">
        <x:f>IF(OR($D78="",R$5="",'상세일정'!AM78="제외"),"",IF($D78=$E78,IF(AND($D78&gt;=R$5,$D78&lt;R$5+7),"◆",""),IF(AND($D78&lt;R$5+7,$E78&gt;R$5),"■","")))</x:f>
      </x:c>
      <x:c r="S78" s="7" t="str">
        <x:f>IF(OR($D78="",S$5="",'상세일정'!AM78="제외"),"",IF($D78=$E78,IF(AND($D78&gt;=S$5,$D78&lt;S$5+7),"◆",""),IF(AND($D78&lt;S$5+7,$E78&gt;S$5),"■","")))</x:f>
      </x:c>
      <x:c r="T78" s="7" t="str">
        <x:f>IF(OR($D78="",T$5="",'상세일정'!AM78="제외"),"",IF($D78=$E78,IF(AND($D78&gt;=T$5,$D78&lt;T$5+7),"◆",""),IF(AND($D78&lt;T$5+7,$E78&gt;T$5),"■","")))</x:f>
      </x:c>
      <x:c r="U78" s="7" t="str">
        <x:f>IF(OR($D78="",U$5="",'상세일정'!AM78="제외"),"",IF($D78=$E78,IF(AND($D78&gt;=U$5,$D78&lt;U$5+7),"◆",""),IF(AND($D78&lt;U$5+7,$E78&gt;U$5),"■","")))</x:f>
      </x:c>
      <x:c r="V78" s="7" t="str">
        <x:f>IF(OR($D78="",V$5="",'상세일정'!AM78="제외"),"",IF($D78=$E78,IF(AND($D78&gt;=V$5,$D78&lt;V$5+7),"◆",""),IF(AND($D78&lt;V$5+7,$E78&gt;V$5),"■","")))</x:f>
      </x:c>
      <x:c r="W78" s="7" t="str">
        <x:f>IF(OR($D78="",W$5="",'상세일정'!AM78="제외"),"",IF($D78=$E78,IF(AND($D78&gt;=W$5,$D78&lt;W$5+7),"◆",""),IF(AND($D78&lt;W$5+7,$E78&gt;W$5),"■","")))</x:f>
      </x:c>
      <x:c r="X78" s="7" t="str">
        <x:f>IF(OR($D78="",X$5="",'상세일정'!AM78="제외"),"",IF($D78=$E78,IF(AND($D78&gt;=X$5,$D78&lt;X$5+7),"◆",""),IF(AND($D78&lt;X$5+7,$E78&gt;X$5),"■","")))</x:f>
      </x:c>
      <x:c r="Y78" s="7" t="str">
        <x:f>IF(OR($D78="",Y$5="",'상세일정'!AM78="제외"),"",IF($D78=$E78,IF(AND($D78&gt;=Y$5,$D78&lt;Y$5+7),"◆",""),IF(AND($D78&lt;Y$5+7,$E78&gt;Y$5),"■","")))</x:f>
      </x:c>
      <x:c r="Z78" s="7" t="str">
        <x:f>IF(OR($D78="",Z$5="",'상세일정'!AM78="제외"),"",IF($D78=$E78,IF(AND($D78&gt;=Z$5,$D78&lt;Z$5+7),"◆",""),IF(AND($D78&lt;Z$5+7,$E78&gt;Z$5),"■","")))</x:f>
      </x:c>
      <x:c r="AA78" s="7" t="str">
        <x:f>IF(OR($D78="",AA$5="",'상세일정'!AM78="제외"),"",IF($D78=$E78,IF(AND($D78&gt;=AA$5,$D78&lt;AA$5+7),"◆",""),IF(AND($D78&lt;AA$5+7,$E78&gt;AA$5),"■","")))</x:f>
      </x:c>
      <x:c r="AB78" s="7" t="str">
        <x:f>IF(OR($D78="",AB$5="",'상세일정'!AM78="제외"),"",IF($D78=$E78,IF(AND($D78&gt;=AB$5,$D78&lt;AB$5+7),"◆",""),IF(AND($D78&lt;AB$5+7,$E78&gt;AB$5),"■","")))</x:f>
      </x:c>
      <x:c r="AC78" s="7" t="str">
        <x:f>IF(OR($D78="",AC$5="",'상세일정'!AM78="제외"),"",IF($D78=$E78,IF(AND($D78&gt;=AC$5,$D78&lt;AC$5+7),"◆",""),IF(AND($D78&lt;AC$5+7,$E78&gt;AC$5),"■","")))</x:f>
      </x:c>
      <x:c r="AD78" s="7" t="str">
        <x:f>IF(OR($D78="",AD$5="",'상세일정'!AM78="제외"),"",IF($D78=$E78,IF(AND($D78&gt;=AD$5,$D78&lt;AD$5+7),"◆",""),IF(AND($D78&lt;AD$5+7,$E78&gt;AD$5),"■","")))</x:f>
      </x:c>
      <x:c r="AE78" s="7" t="str">
        <x:f>IF(OR($D78="",AE$5="",'상세일정'!AM78="제외"),"",IF($D78=$E78,IF(AND($D78&gt;=AE$5,$D78&lt;AE$5+7),"◆",""),IF(AND($D78&lt;AE$5+7,$E78&gt;AE$5),"■","")))</x:f>
      </x:c>
      <x:c r="AF78" s="7" t="str">
        <x:f>IF(OR($D78="",AF$5="",'상세일정'!AM78="제외"),"",IF($D78=$E78,IF(AND($D78&gt;=AF$5,$D78&lt;AF$5+7),"◆",""),IF(AND($D78&lt;AF$5+7,$E78&gt;AF$5),"■","")))</x:f>
      </x:c>
      <x:c r="AG78" s="7" t="str">
        <x:f>IF(OR($D78="",AG$5="",'상세일정'!AM78="제외"),"",IF($D78=$E78,IF(AND($D78&gt;=AG$5,$D78&lt;AG$5+7),"◆",""),IF(AND($D78&lt;AG$5+7,$E78&gt;AG$5),"■","")))</x:f>
      </x:c>
      <x:c r="AH78" s="7" t="str">
        <x:f>IF(OR($D78="",AH$5="",'상세일정'!AM78="제외"),"",IF($D78=$E78,IF(AND($D78&gt;=AH$5,$D78&lt;AH$5+7),"◆",""),IF(AND($D78&lt;AH$5+7,$E78&gt;AH$5),"■","")))</x:f>
      </x:c>
      <x:c r="AI78" s="7" t="str">
        <x:f>IF(OR($D78="",AI$5="",'상세일정'!AM78="제외"),"",IF($D78=$E78,IF(AND($D78&gt;=AI$5,$D78&lt;AI$5+7),"◆",""),IF(AND($D78&lt;AI$5+7,$E78&gt;AI$5),"■","")))</x:f>
      </x:c>
      <x:c r="AJ78" s="7" t="str">
        <x:f>IF(OR($D78="",AJ$5="",'상세일정'!AM78="제외"),"",IF($D78=$E78,IF(AND($D78&gt;=AJ$5,$D78&lt;AJ$5+7),"◆",""),IF(AND($D78&lt;AJ$5+7,$E78&gt;AJ$5),"■","")))</x:f>
      </x:c>
      <x:c r="AK78" s="7" t="str">
        <x:f>IF(OR($D78="",AK$5="",'상세일정'!AM78="제외"),"",IF($D78=$E78,IF(AND($D78&gt;=AK$5,$D78&lt;AK$5+7),"◆",""),IF(AND($D78&lt;AK$5+7,$E78&gt;AK$5),"■","")))</x:f>
      </x:c>
      <x:c r="AL78" s="7" t="str">
        <x:f>IF(OR($D78="",AL$5="",'상세일정'!AM78="제외"),"",IF($D78=$E78,IF(AND($D78&gt;=AL$5,$D78&lt;AL$5+7),"◆",""),IF(AND($D78&lt;AL$5+7,$E78&gt;AL$5),"■","")))</x:f>
      </x:c>
      <x:c r="AM78" s="7" t="str">
        <x:f>IF(OR($D78="",AM$5="",'상세일정'!AM78="제외"),"",IF($D78=$E78,IF(AND($D78&gt;=AM$5,$D78&lt;AM$5+7),"◆",""),IF(AND($D78&lt;AM$5+7,$E78&gt;AM$5),"■","")))</x:f>
      </x:c>
      <x:c r="AN78" s="7" t="str">
        <x:f>IF(OR($D78="",AN$5="",'상세일정'!AM78="제외"),"",IF($D78=$E78,IF(AND($D78&gt;=AN$5,$D78&lt;AN$5+7),"◆",""),IF(AND($D78&lt;AN$5+7,$E78&gt;AN$5),"■","")))</x:f>
      </x:c>
      <x:c r="AO78" s="7" t="str">
        <x:f>IF(OR($D78="",AO$5="",'상세일정'!AM78="제외"),"",IF($D78=$E78,IF(AND($D78&gt;=AO$5,$D78&lt;AO$5+7),"◆",""),IF(AND($D78&lt;AO$5+7,$E78&gt;AO$5),"■","")))</x:f>
      </x:c>
      <x:c r="AP78" s="7" t="str">
        <x:f>IF(OR($D78="",AP$5="",'상세일정'!AM78="제외"),"",IF($D78=$E78,IF(AND($D78&gt;=AP$5,$D78&lt;AP$5+7),"◆",""),IF(AND($D78&lt;AP$5+7,$E78&gt;AP$5),"■","")))</x:f>
      </x:c>
      <x:c r="AQ78" s="7" t="str">
        <x:f>IF(OR($D78="",AQ$5="",'상세일정'!AM78="제외"),"",IF($D78=$E78,IF(AND($D78&gt;=AQ$5,$D78&lt;AQ$5+7),"◆",""),IF(AND($D78&lt;AQ$5+7,$E78&gt;AQ$5),"■","")))</x:f>
      </x:c>
      <x:c r="AR78" s="7" t="str">
        <x:f>IF(OR($D78="",AR$5="",'상세일정'!AM78="제외"),"",IF($D78=$E78,IF(AND($D78&gt;=AR$5,$D78&lt;AR$5+7),"◆",""),IF(AND($D78&lt;AR$5+7,$E78&gt;AR$5),"■","")))</x:f>
      </x:c>
      <x:c r="AS78" s="7" t="str">
        <x:f>IF(OR($D78="",AS$5="",'상세일정'!AM78="제외"),"",IF($D78=$E78,IF(AND($D78&gt;=AS$5,$D78&lt;AS$5+7),"◆",""),IF(AND($D78&lt;AS$5+7,$E78&gt;AS$5),"■","")))</x:f>
      </x:c>
      <x:c r="AT78" s="7" t="str">
        <x:f>IF(OR($D78="",AT$5="",'상세일정'!AM78="제외"),"",IF($D78=$E78,IF(AND($D78&gt;=AT$5,$D78&lt;AT$5+7),"◆",""),IF(AND($D78&lt;AT$5+7,$E78&gt;AT$5),"■","")))</x:f>
      </x:c>
      <x:c r="AU78" s="7" t="str">
        <x:f>IF(OR($D78="",AU$5="",'상세일정'!AM78="제외"),"",IF($D78=$E78,IF(AND($D78&gt;=AU$5,$D78&lt;AU$5+7),"◆",""),IF(AND($D78&lt;AU$5+7,$E78&gt;AU$5),"■","")))</x:f>
      </x:c>
      <x:c r="AV78" s="7" t="str">
        <x:f>IF(OR($D78="",AV$5="",'상세일정'!AM78="제외"),"",IF($D78=$E78,IF(AND($D78&gt;=AV$5,$D78&lt;AV$5+7),"◆",""),IF(AND($D78&lt;AV$5+7,$E78&gt;AV$5),"■","")))</x:f>
      </x:c>
      <x:c r="AW78" s="7" t="str">
        <x:f>IF(OR($D78="",AW$5="",'상세일정'!AM78="제외"),"",IF($D78=$E78,IF(AND($D78&gt;=AW$5,$D78&lt;AW$5+7),"◆",""),IF(AND($D78&lt;AW$5+7,$E78&gt;AW$5),"■","")))</x:f>
      </x:c>
      <x:c r="AX78" s="7" t="str">
        <x:f>IF(OR($D78="",AX$5="",'상세일정'!AM78="제외"),"",IF($D78=$E78,IF(AND($D78&gt;=AX$5,$D78&lt;AX$5+7),"◆",""),IF(AND($D78&lt;AX$5+7,$E78&gt;AX$5),"■","")))</x:f>
      </x:c>
      <x:c r="AY78" s="7" t="str">
        <x:f>IF(OR($D78="",AY$5="",'상세일정'!AM78="제외"),"",IF($D78=$E78,IF(AND($D78&gt;=AY$5,$D78&lt;AY$5+7),"◆",""),IF(AND($D78&lt;AY$5+7,$E78&gt;AY$5),"■","")))</x:f>
      </x:c>
      <x:c r="AZ78" s="7" t="str">
        <x:f>IF(OR($D78="",AZ$5="",'상세일정'!AM78="제외"),"",IF($D78=$E78,IF(AND($D78&gt;=AZ$5,$D78&lt;AZ$5+7),"◆",""),IF(AND($D78&lt;AZ$5+7,$E78&gt;AZ$5),"■","")))</x:f>
      </x:c>
      <x:c r="BA78" s="7" t="str">
        <x:f>IF(OR($D78="",BA$5="",'상세일정'!AM78="제외"),"",IF($D78=$E78,IF(AND($D78&gt;=BA$5,$D78&lt;BA$5+7),"◆",""),IF(AND($D78&lt;BA$5+7,$E78&gt;BA$5),"■","")))</x:f>
      </x:c>
      <x:c r="BB78" s="7" t="str">
        <x:f>IF(OR($D78="",BB$5="",'상세일정'!AM78="제외"),"",IF($D78=$E78,IF(AND($D78&gt;=BB$5,$D78&lt;BB$5+7),"◆",""),IF(AND($D78&lt;BB$5+7,$E78&gt;BB$5),"■","")))</x:f>
      </x:c>
      <x:c r="BC78" s="7" t="str">
        <x:f>IF(OR($D78="",BC$5="",'상세일정'!AM78="제외"),"",IF($D78=$E78,IF(AND($D78&gt;=BC$5,$D78&lt;BC$5+7),"◆",""),IF(AND($D78&lt;BC$5+7,$E78&gt;BC$5),"■","")))</x:f>
      </x:c>
      <x:c r="BD78" s="7" t="str">
        <x:f>IF(OR($D78="",BD$5="",'상세일정'!AM78="제외"),"",IF($D78=$E78,IF(AND($D78&gt;=BD$5,$D78&lt;BD$5+7),"◆",""),IF(AND($D78&lt;BD$5+7,$E78&gt;BD$5),"■","")))</x:f>
      </x:c>
      <x:c r="BE78" s="7" t="str">
        <x:f>IF(OR($D78="",BE$5="",'상세일정'!AM78="제외"),"",IF($D78=$E78,IF(AND($D78&gt;=BE$5,$D78&lt;BE$5+7),"◆",""),IF(AND($D78&lt;BE$5+7,$E78&gt;BE$5),"■","")))</x:f>
      </x:c>
      <x:c r="BF78" s="7" t="str">
        <x:f>IF(OR($D78="",BF$5="",'상세일정'!AM78="제외"),"",IF($D78=$E78,IF(AND($D78&gt;=BF$5,$D78&lt;BF$5+7),"◆",""),IF(AND($D78&lt;BF$5+7,$E78&gt;BF$5),"■","")))</x:f>
      </x:c>
      <x:c r="BG78" s="7" t="str">
        <x:f>IF(OR($D78="",BG$5="",'상세일정'!AM78="제외"),"",IF($D78=$E78,IF(AND($D78&gt;=BG$5,$D78&lt;BG$5+7),"◆",""),IF(AND($D78&lt;BG$5+7,$E78&gt;BG$5),"■","")))</x:f>
      </x:c>
      <x:c r="BH78" s="7" t="str">
        <x:f>IF(OR($D78="",BH$5="",'상세일정'!AM78="제외"),"",IF($D78=$E78,IF(AND($D78&gt;=BH$5,$D78&lt;BH$5+7),"◆",""),IF(AND($D78&lt;BH$5+7,$E78&gt;BH$5),"■","")))</x:f>
      </x:c>
      <x:c r="BI78" s="7" t="str">
        <x:f>IF(OR($D78="",BI$5="",'상세일정'!AM78="제외"),"",IF($D78=$E78,IF(AND($D78&gt;=BI$5,$D78&lt;BI$5+7),"◆",""),IF(AND($D78&lt;BI$5+7,$E78&gt;BI$5),"■","")))</x:f>
      </x:c>
      <x:c r="BJ78" s="7" t="str">
        <x:f>IF(OR($D78="",BJ$5="",'상세일정'!AM78="제외"),"",IF($D78=$E78,IF(AND($D78&gt;=BJ$5,$D78&lt;BJ$5+7),"◆",""),IF(AND($D78&lt;BJ$5+7,$E78&gt;BJ$5),"■","")))</x:f>
      </x:c>
      <x:c r="BK78" s="7" t="str">
        <x:f>IF(OR($D78="",BK$5="",'상세일정'!AM78="제외"),"",IF($D78=$E78,IF(AND($D78&gt;=BK$5,$D78&lt;BK$5+7),"◆",""),IF(AND($D78&lt;BK$5+7,$E78&gt;BK$5),"■","")))</x:f>
      </x:c>
      <x:c r="BL78" s="7" t="str">
        <x:f>IF(OR($D78="",BL$5="",'상세일정'!AM78="제외"),"",IF($D78=$E78,IF(AND($D78&gt;=BL$5,$D78&lt;BL$5+7),"◆",""),IF(AND($D78&lt;BL$5+7,$E78&gt;BL$5),"■","")))</x:f>
      </x:c>
      <x:c r="BM78" s="7" t="str">
        <x:f>IF(OR($D78="",BM$5="",'상세일정'!AM78="제외"),"",IF($D78=$E78,IF(AND($D78&gt;=BM$5,$D78&lt;BM$5+7),"◆",""),IF(AND($D78&lt;BM$5+7,$E78&gt;BM$5),"■","")))</x:f>
      </x:c>
      <x:c r="BN78" s="7" t="str">
        <x:f>IF(OR($D78="",BN$5="",'상세일정'!AM78="제외"),"",IF($D78=$E78,IF(AND($D78&gt;=BN$5,$D78&lt;BN$5+7),"◆",""),IF(AND($D78&lt;BN$5+7,$E78&gt;BN$5),"■","")))</x:f>
      </x:c>
      <x:c r="BO78" s="7" t="str">
        <x:f>IF(OR($D78="",BO$5="",'상세일정'!AM78="제외"),"",IF($D78=$E78,IF(AND($D78&gt;=BO$5,$D78&lt;BO$5+7),"◆",""),IF(AND($D78&lt;BO$5+7,$E78&gt;BO$5),"■","")))</x:f>
      </x:c>
      <x:c r="BP78" s="7" t="str">
        <x:f>IF(OR($D78="",BP$5="",'상세일정'!AM78="제외"),"",IF($D78=$E78,IF(AND($D78&gt;=BP$5,$D78&lt;BP$5+7),"◆",""),IF(AND($D78&lt;BP$5+7,$E78&gt;BP$5),"■","")))</x:f>
      </x:c>
      <x:c r="BQ78" s="7" t="str">
        <x:f>IF(OR($D78="",BQ$5="",'상세일정'!AM78="제외"),"",IF($D78=$E78,IF(AND($D78&gt;=BQ$5,$D78&lt;BQ$5+7),"◆",""),IF(AND($D78&lt;BQ$5+7,$E78&gt;BQ$5),"■","")))</x:f>
      </x:c>
      <x:c r="BR78" s="7" t="str">
        <x:f>IF(OR($D78="",BR$5="",'상세일정'!AM78="제외"),"",IF($D78=$E78,IF(AND($D78&gt;=BR$5,$D78&lt;BR$5+7),"◆",""),IF(AND($D78&lt;BR$5+7,$E78&gt;BR$5),"■","")))</x:f>
      </x:c>
      <x:c r="BS78" s="7" t="str">
        <x:f>IF(OR($D78="",BS$5="",'상세일정'!AM78="제외"),"",IF($D78=$E78,IF(AND($D78&gt;=BS$5,$D78&lt;BS$5+7),"◆",""),IF(AND($D78&lt;BS$5+7,$E78&gt;BS$5),"■","")))</x:f>
      </x:c>
      <x:c r="BT78" s="7" t="str">
        <x:f>IF(OR($D78="",BT$5="",'상세일정'!AM78="제외"),"",IF($D78=$E78,IF(AND($D78&gt;=BT$5,$D78&lt;BT$5+7),"◆",""),IF(AND($D78&lt;BT$5+7,$E78&gt;BT$5),"■","")))</x:f>
      </x:c>
      <x:c r="BU78" s="7" t="str">
        <x:f>IF(OR($D78="",BU$5="",'상세일정'!AM78="제외"),"",IF($D78=$E78,IF(AND($D78&gt;=BU$5,$D78&lt;BU$5+7),"◆",""),IF(AND($D78&lt;BU$5+7,$E78&gt;BU$5),"■","")))</x:f>
      </x:c>
      <x:c r="BV78" s="7" t="str">
        <x:f>IF(OR($D78="",BV$5="",'상세일정'!AM78="제외"),"",IF($D78=$E78,IF(AND($D78&gt;=BV$5,$D78&lt;BV$5+7),"◆",""),IF(AND($D78&lt;BV$5+7,$E78&gt;BV$5),"■","")))</x:f>
      </x:c>
      <x:c r="BW78" s="7" t="str">
        <x:f>IF(OR($D78="",BW$5="",'상세일정'!AM78="제외"),"",IF($D78=$E78,IF(AND($D78&gt;=BW$5,$D78&lt;BW$5+7),"◆",""),IF(AND($D78&lt;BW$5+7,$E78&gt;BW$5),"■","")))</x:f>
      </x:c>
      <x:c r="BX78" s="7" t="str">
        <x:f>IF(OR($D78="",BX$5="",'상세일정'!AM78="제외"),"",IF($D78=$E78,IF(AND($D78&gt;=BX$5,$D78&lt;BX$5+7),"◆",""),IF(AND($D78&lt;BX$5+7,$E78&gt;BX$5),"■","")))</x:f>
      </x:c>
      <x:c r="BY78" s="7" t="str">
        <x:f>IF(OR($D78="",BY$5="",'상세일정'!AM78="제외"),"",IF($D78=$E78,IF(AND($D78&gt;=BY$5,$D78&lt;BY$5+7),"◆",""),IF(AND($D78&lt;BY$5+7,$E78&gt;BY$5),"■","")))</x:f>
      </x:c>
      <x:c r="BZ78" s="7" t="str">
        <x:f>IF(OR($D78="",BZ$5="",'상세일정'!AM78="제외"),"",IF($D78=$E78,IF(AND($D78&gt;=BZ$5,$D78&lt;BZ$5+7),"◆",""),IF(AND($D78&lt;BZ$5+7,$E78&gt;BZ$5),"■","")))</x:f>
      </x:c>
      <x:c r="CA78" s="7" t="str">
        <x:f>IF(OR($D78="",CA$5="",'상세일정'!AM78="제외"),"",IF($D78=$E78,IF(AND($D78&gt;=CA$5,$D78&lt;CA$5+7),"◆",""),IF(AND($D78&lt;CA$5+7,$E78&gt;CA$5),"■","")))</x:f>
      </x:c>
      <x:c r="CB78" s="7" t="str">
        <x:f>IF(OR($D78="",CB$5="",'상세일정'!AM78="제외"),"",IF($D78=$E78,IF(AND($D78&gt;=CB$5,$D78&lt;CB$5+7),"◆",""),IF(AND($D78&lt;CB$5+7,$E78&gt;CB$5),"■","")))</x:f>
      </x:c>
      <x:c r="CC78" s="7" t="str">
        <x:f>IF(OR($D78="",CC$5="",'상세일정'!AM78="제외"),"",IF($D78=$E78,IF(AND($D78&gt;=CC$5,$D78&lt;CC$5+7),"◆",""),IF(AND($D78&lt;CC$5+7,$E78&gt;CC$5),"■","")))</x:f>
      </x:c>
      <x:c r="CD78" s="7" t="str">
        <x:f>IF(OR($D78="",CD$5="",'상세일정'!AM78="제외"),"",IF($D78=$E78,IF(AND($D78&gt;=CD$5,$D78&lt;CD$5+7),"◆",""),IF(AND($D78&lt;CD$5+7,$E78&gt;CD$5),"■","")))</x:f>
      </x:c>
      <x:c r="CE78" s="7" t="str">
        <x:f>IF(OR($D78="",CE$5="",'상세일정'!AM78="제외"),"",IF($D78=$E78,IF(AND($D78&gt;=CE$5,$D78&lt;CE$5+7),"◆",""),IF(AND($D78&lt;CE$5+7,$E78&gt;CE$5),"■","")))</x:f>
      </x:c>
      <x:c r="CF78" s="7" t="str">
        <x:f>IF(OR($D78="",CF$5="",'상세일정'!AM78="제외"),"",IF($D78=$E78,IF(AND($D78&gt;=CF$5,$D78&lt;CF$5+7),"◆",""),IF(AND($D78&lt;CF$5+7,$E78&gt;CF$5),"■","")))</x:f>
      </x:c>
      <x:c r="CG78" s="7" t="str">
        <x:f>IF(OR($D78="",CG$5="",'상세일정'!AM78="제외"),"",IF($D78=$E78,IF(AND($D78&gt;=CG$5,$D78&lt;CG$5+7),"◆",""),IF(AND($D78&lt;CG$5+7,$E78&gt;CG$5),"■","")))</x:f>
      </x:c>
      <x:c r="CH78" s="7" t="str">
        <x:f>IF(OR($D78="",CH$5="",'상세일정'!AM78="제외"),"",IF($D78=$E78,IF(AND($D78&gt;=CH$5,$D78&lt;CH$5+7),"◆",""),IF(AND($D78&lt;CH$5+7,$E78&gt;CH$5),"■","")))</x:f>
      </x:c>
      <x:c r="CI78" s="7" t="str">
        <x:f>IF(OR($D78="",CI$5="",'상세일정'!AM78="제외"),"",IF($D78=$E78,IF(AND($D78&gt;=CI$5,$D78&lt;CI$5+7),"◆",""),IF(AND($D78&lt;CI$5+7,$E78&gt;CI$5),"■","")))</x:f>
      </x:c>
      <x:c r="CJ78" s="7" t="str">
        <x:f>IF(OR($D78="",CJ$5="",'상세일정'!AM78="제외"),"",IF($D78=$E78,IF(AND($D78&gt;=CJ$5,$D78&lt;CJ$5+7),"◆",""),IF(AND($D78&lt;CJ$5+7,$E78&gt;CJ$5),"■","")))</x:f>
      </x:c>
      <x:c r="CK78" s="7" t="str">
        <x:f>IF(OR($D78="",CK$5="",'상세일정'!AM78="제외"),"",IF($D78=$E78,IF(AND($D78&gt;=CK$5,$D78&lt;CK$5+7),"◆",""),IF(AND($D78&lt;CK$5+7,$E78&gt;CK$5),"■","")))</x:f>
      </x:c>
      <x:c r="CL78" s="7" t="str">
        <x:f>IF(OR($D78="",CL$5="",'상세일정'!AM78="제외"),"",IF($D78=$E78,IF(AND($D78&gt;=CL$5,$D78&lt;CL$5+7),"◆",""),IF(AND($D78&lt;CL$5+7,$E78&gt;CL$5),"■","")))</x:f>
      </x:c>
      <x:c r="CM78" s="7" t="str">
        <x:f>IF(OR($D78="",CM$5="",'상세일정'!AM78="제외"),"",IF($D78=$E78,IF(AND($D78&gt;=CM$5,$D78&lt;CM$5+7),"◆",""),IF(AND($D78&lt;CM$5+7,$E78&gt;CM$5),"■","")))</x:f>
      </x:c>
      <x:c r="CN78" s="7" t="str">
        <x:f>IF(OR($D78="",CN$5="",'상세일정'!AM78="제외"),"",IF($D78=$E78,IF(AND($D78&gt;=CN$5,$D78&lt;CN$5+7),"◆",""),IF(AND($D78&lt;CN$5+7,$E78&gt;CN$5),"■","")))</x:f>
      </x:c>
      <x:c r="CO78" s="7" t="str">
        <x:f>IF(OR($D78="",CO$5="",'상세일정'!AM78="제외"),"",IF($D78=$E78,IF(AND($D78&gt;=CO$5,$D78&lt;CO$5+7),"◆",""),IF(AND($D78&lt;CO$5+7,$E78&gt;CO$5),"■","")))</x:f>
      </x:c>
      <x:c r="CP78" s="7" t="str">
        <x:f>IF(OR($D78="",CP$5="",'상세일정'!AM78="제외"),"",IF($D78=$E78,IF(AND($D78&gt;=CP$5,$D78&lt;CP$5+7),"◆",""),IF(AND($D78&lt;CP$5+7,$E78&gt;CP$5),"■","")))</x:f>
      </x:c>
      <x:c r="CQ78" s="7" t="str">
        <x:f>IF(OR($D78="",CQ$5="",'상세일정'!AM78="제외"),"",IF($D78=$E78,IF(AND($D78&gt;=CQ$5,$D78&lt;CQ$5+7),"◆",""),IF(AND($D78&lt;CQ$5+7,$E78&gt;CQ$5),"■","")))</x:f>
      </x:c>
      <x:c r="CR78" s="7" t="str">
        <x:f>IF(OR($D78="",CR$5="",'상세일정'!AM78="제외"),"",IF($D78=$E78,IF(AND($D78&gt;=CR$5,$D78&lt;CR$5+7),"◆",""),IF(AND($D78&lt;CR$5+7,$E78&gt;CR$5),"■","")))</x:f>
      </x:c>
      <x:c r="CS78" s="7" t="str">
        <x:f>IF(OR($D78="",CS$5="",'상세일정'!AM78="제외"),"",IF($D78=$E78,IF(AND($D78&gt;=CS$5,$D78&lt;CS$5+7),"◆",""),IF(AND($D78&lt;CS$5+7,$E78&gt;CS$5),"■","")))</x:f>
      </x:c>
      <x:c r="CT78" s="7" t="str">
        <x:f>IF(OR($D78="",CT$5="",'상세일정'!AM78="제외"),"",IF($D78=$E78,IF(AND($D78&gt;=CT$5,$D78&lt;CT$5+7),"◆",""),IF(AND($D78&lt;CT$5+7,$E78&gt;CT$5),"■","")))</x:f>
      </x:c>
      <x:c r="CU78" s="7" t="str">
        <x:f>IF(OR($D78="",CU$5="",'상세일정'!AM78="제외"),"",IF($D78=$E78,IF(AND($D78&gt;=CU$5,$D78&lt;CU$5+7),"◆",""),IF(AND($D78&lt;CU$5+7,$E78&gt;CU$5),"■","")))</x:f>
      </x:c>
      <x:c r="CV78" s="7" t="str">
        <x:f>IF(OR($D78="",CV$5="",'상세일정'!AM78="제외"),"",IF($D78=$E78,IF(AND($D78&gt;=CV$5,$D78&lt;CV$5+7),"◆",""),IF(AND($D78&lt;CV$5+7,$E78&gt;CV$5),"■","")))</x:f>
      </x:c>
      <x:c r="CW78" s="7" t="str">
        <x:f>IF(OR($D78="",CW$5="",'상세일정'!AM78="제외"),"",IF($D78=$E78,IF(AND($D78&gt;=CW$5,$D78&lt;CW$5+7),"◆",""),IF(AND($D78&lt;CW$5+7,$E78&gt;CW$5),"■","")))</x:f>
      </x:c>
      <x:c r="CX78" s="7" t="str">
        <x:f>IF(OR($D78="",CX$5="",'상세일정'!AM78="제외"),"",IF($D78=$E78,IF(AND($D78&gt;=CX$5,$D78&lt;CX$5+7),"◆",""),IF(AND($D78&lt;CX$5+7,$E78&gt;CX$5),"■","")))</x:f>
      </x:c>
      <x:c r="CY78" s="7" t="str">
        <x:f>IF(OR($D78="",CY$5="",'상세일정'!AM78="제외"),"",IF($D78=$E78,IF(AND($D78&gt;=CY$5,$D78&lt;CY$5+7),"◆",""),IF(AND($D78&lt;CY$5+7,$E78&gt;CY$5),"■","")))</x:f>
      </x:c>
      <x:c r="CZ78" s="7" t="str">
        <x:f>IF(OR($D78="",CZ$5="",'상세일정'!AM78="제외"),"",IF($D78=$E78,IF(AND($D78&gt;=CZ$5,$D78&lt;CZ$5+7),"◆",""),IF(AND($D78&lt;CZ$5+7,$E78&gt;CZ$5),"■","")))</x:f>
      </x:c>
      <x:c r="DA78" s="7" t="str">
        <x:f>IF(OR($D78="",DA$5="",'상세일정'!AM78="제외"),"",IF($D78=$E78,IF(AND($D78&gt;=DA$5,$D78&lt;DA$5+7),"◆",""),IF(AND($D78&lt;DA$5+7,$E78&gt;DA$5),"■","")))</x:f>
      </x:c>
      <x:c r="DB78" s="7" t="str">
        <x:f>IF(OR($D78="",DB$5="",'상세일정'!AM78="제외"),"",IF($D78=$E78,IF(AND($D78&gt;=DB$5,$D78&lt;DB$5+7),"◆",""),IF(AND($D78&lt;DB$5+7,$E78&gt;DB$5),"■","")))</x:f>
      </x:c>
      <x:c r="DC78" s="7" t="str">
        <x:f>IF(OR($D78="",DC$5="",'상세일정'!AM78="제외"),"",IF($D78=$E78,IF(AND($D78&gt;=DC$5,$D78&lt;DC$5+7),"◆",""),IF(AND($D78&lt;DC$5+7,$E78&gt;DC$5),"■","")))</x:f>
      </x:c>
      <x:c r="DD78" s="7" t="str">
        <x:f>IF(OR($D78="",DD$5="",'상세일정'!AM78="제외"),"",IF($D78=$E78,IF(AND($D78&gt;=DD$5,$D78&lt;DD$5+7),"◆",""),IF(AND($D78&lt;DD$5+7,$E78&gt;DD$5),"■","")))</x:f>
      </x:c>
      <x:c r="DE78" s="7" t="str">
        <x:f>IF(OR($D78="",DE$5="",'상세일정'!AM78="제외"),"",IF($D78=$E78,IF(AND($D78&gt;=DE$5,$D78&lt;DE$5+7),"◆",""),IF(AND($D78&lt;DE$5+7,$E78&gt;DE$5),"■","")))</x:f>
      </x:c>
    </x:row>
    <x:row r="79" ht="34" customHeight="1">
      <x:c r="A79" s="7" t="str">
        <x:v>KG05</x:v>
      </x:c>
      <x:c r="B79" s="7" t="str">
        <x:v>12 KGS 기술검토·허가</x:v>
      </x:c>
      <x:c r="C79" s="7" t="str">
        <x:v>KGS 기술검토 접수 및 보완창구 지정</x:v>
      </x:c>
      <x:c r="D79" s="10" t="str">
        <x:f>'상세일정'!AJ79</x:f>
      </x:c>
      <x:c r="E79" s="10" t="str">
        <x:f>'상세일정'!AK79</x:f>
      </x:c>
      <x:c r="F79" s="7" t="str">
        <x:f>IF(OR($D79="",F$5="",'상세일정'!AM79="제외"),"",IF($D79=$E79,IF(AND($D79&gt;=F$5,$D79&lt;F$5+7),"◆",""),IF(AND($D79&lt;F$5+7,$E79&gt;F$5),"■","")))</x:f>
      </x:c>
      <x:c r="G79" s="7" t="str">
        <x:f>IF(OR($D79="",G$5="",'상세일정'!AM79="제외"),"",IF($D79=$E79,IF(AND($D79&gt;=G$5,$D79&lt;G$5+7),"◆",""),IF(AND($D79&lt;G$5+7,$E79&gt;G$5),"■","")))</x:f>
      </x:c>
      <x:c r="H79" s="7" t="str">
        <x:f>IF(OR($D79="",H$5="",'상세일정'!AM79="제외"),"",IF($D79=$E79,IF(AND($D79&gt;=H$5,$D79&lt;H$5+7),"◆",""),IF(AND($D79&lt;H$5+7,$E79&gt;H$5),"■","")))</x:f>
      </x:c>
      <x:c r="I79" s="7" t="str">
        <x:f>IF(OR($D79="",I$5="",'상세일정'!AM79="제외"),"",IF($D79=$E79,IF(AND($D79&gt;=I$5,$D79&lt;I$5+7),"◆",""),IF(AND($D79&lt;I$5+7,$E79&gt;I$5),"■","")))</x:f>
      </x:c>
      <x:c r="J79" s="7" t="str">
        <x:f>IF(OR($D79="",J$5="",'상세일정'!AM79="제외"),"",IF($D79=$E79,IF(AND($D79&gt;=J$5,$D79&lt;J$5+7),"◆",""),IF(AND($D79&lt;J$5+7,$E79&gt;J$5),"■","")))</x:f>
      </x:c>
      <x:c r="K79" s="7" t="str">
        <x:f>IF(OR($D79="",K$5="",'상세일정'!AM79="제외"),"",IF($D79=$E79,IF(AND($D79&gt;=K$5,$D79&lt;K$5+7),"◆",""),IF(AND($D79&lt;K$5+7,$E79&gt;K$5),"■","")))</x:f>
      </x:c>
      <x:c r="L79" s="7" t="str">
        <x:f>IF(OR($D79="",L$5="",'상세일정'!AM79="제외"),"",IF($D79=$E79,IF(AND($D79&gt;=L$5,$D79&lt;L$5+7),"◆",""),IF(AND($D79&lt;L$5+7,$E79&gt;L$5),"■","")))</x:f>
      </x:c>
      <x:c r="M79" s="7" t="str">
        <x:f>IF(OR($D79="",M$5="",'상세일정'!AM79="제외"),"",IF($D79=$E79,IF(AND($D79&gt;=M$5,$D79&lt;M$5+7),"◆",""),IF(AND($D79&lt;M$5+7,$E79&gt;M$5),"■","")))</x:f>
      </x:c>
      <x:c r="N79" s="7" t="str">
        <x:f>IF(OR($D79="",N$5="",'상세일정'!AM79="제외"),"",IF($D79=$E79,IF(AND($D79&gt;=N$5,$D79&lt;N$5+7),"◆",""),IF(AND($D79&lt;N$5+7,$E79&gt;N$5),"■","")))</x:f>
      </x:c>
      <x:c r="O79" s="7" t="str">
        <x:f>IF(OR($D79="",O$5="",'상세일정'!AM79="제외"),"",IF($D79=$E79,IF(AND($D79&gt;=O$5,$D79&lt;O$5+7),"◆",""),IF(AND($D79&lt;O$5+7,$E79&gt;O$5),"■","")))</x:f>
      </x:c>
      <x:c r="P79" s="7" t="str">
        <x:f>IF(OR($D79="",P$5="",'상세일정'!AM79="제외"),"",IF($D79=$E79,IF(AND($D79&gt;=P$5,$D79&lt;P$5+7),"◆",""),IF(AND($D79&lt;P$5+7,$E79&gt;P$5),"■","")))</x:f>
      </x:c>
      <x:c r="Q79" s="7" t="str">
        <x:f>IF(OR($D79="",Q$5="",'상세일정'!AM79="제외"),"",IF($D79=$E79,IF(AND($D79&gt;=Q$5,$D79&lt;Q$5+7),"◆",""),IF(AND($D79&lt;Q$5+7,$E79&gt;Q$5),"■","")))</x:f>
      </x:c>
      <x:c r="R79" s="7" t="str">
        <x:f>IF(OR($D79="",R$5="",'상세일정'!AM79="제외"),"",IF($D79=$E79,IF(AND($D79&gt;=R$5,$D79&lt;R$5+7),"◆",""),IF(AND($D79&lt;R$5+7,$E79&gt;R$5),"■","")))</x:f>
      </x:c>
      <x:c r="S79" s="7" t="str">
        <x:f>IF(OR($D79="",S$5="",'상세일정'!AM79="제외"),"",IF($D79=$E79,IF(AND($D79&gt;=S$5,$D79&lt;S$5+7),"◆",""),IF(AND($D79&lt;S$5+7,$E79&gt;S$5),"■","")))</x:f>
      </x:c>
      <x:c r="T79" s="7" t="str">
        <x:f>IF(OR($D79="",T$5="",'상세일정'!AM79="제외"),"",IF($D79=$E79,IF(AND($D79&gt;=T$5,$D79&lt;T$5+7),"◆",""),IF(AND($D79&lt;T$5+7,$E79&gt;T$5),"■","")))</x:f>
      </x:c>
      <x:c r="U79" s="7" t="str">
        <x:f>IF(OR($D79="",U$5="",'상세일정'!AM79="제외"),"",IF($D79=$E79,IF(AND($D79&gt;=U$5,$D79&lt;U$5+7),"◆",""),IF(AND($D79&lt;U$5+7,$E79&gt;U$5),"■","")))</x:f>
      </x:c>
      <x:c r="V79" s="7" t="str">
        <x:f>IF(OR($D79="",V$5="",'상세일정'!AM79="제외"),"",IF($D79=$E79,IF(AND($D79&gt;=V$5,$D79&lt;V$5+7),"◆",""),IF(AND($D79&lt;V$5+7,$E79&gt;V$5),"■","")))</x:f>
      </x:c>
      <x:c r="W79" s="7" t="str">
        <x:f>IF(OR($D79="",W$5="",'상세일정'!AM79="제외"),"",IF($D79=$E79,IF(AND($D79&gt;=W$5,$D79&lt;W$5+7),"◆",""),IF(AND($D79&lt;W$5+7,$E79&gt;W$5),"■","")))</x:f>
      </x:c>
      <x:c r="X79" s="7" t="str">
        <x:f>IF(OR($D79="",X$5="",'상세일정'!AM79="제외"),"",IF($D79=$E79,IF(AND($D79&gt;=X$5,$D79&lt;X$5+7),"◆",""),IF(AND($D79&lt;X$5+7,$E79&gt;X$5),"■","")))</x:f>
      </x:c>
      <x:c r="Y79" s="7" t="str">
        <x:f>IF(OR($D79="",Y$5="",'상세일정'!AM79="제외"),"",IF($D79=$E79,IF(AND($D79&gt;=Y$5,$D79&lt;Y$5+7),"◆",""),IF(AND($D79&lt;Y$5+7,$E79&gt;Y$5),"■","")))</x:f>
      </x:c>
      <x:c r="Z79" s="7" t="str">
        <x:f>IF(OR($D79="",Z$5="",'상세일정'!AM79="제외"),"",IF($D79=$E79,IF(AND($D79&gt;=Z$5,$D79&lt;Z$5+7),"◆",""),IF(AND($D79&lt;Z$5+7,$E79&gt;Z$5),"■","")))</x:f>
      </x:c>
      <x:c r="AA79" s="7" t="str">
        <x:f>IF(OR($D79="",AA$5="",'상세일정'!AM79="제외"),"",IF($D79=$E79,IF(AND($D79&gt;=AA$5,$D79&lt;AA$5+7),"◆",""),IF(AND($D79&lt;AA$5+7,$E79&gt;AA$5),"■","")))</x:f>
      </x:c>
      <x:c r="AB79" s="7" t="str">
        <x:f>IF(OR($D79="",AB$5="",'상세일정'!AM79="제외"),"",IF($D79=$E79,IF(AND($D79&gt;=AB$5,$D79&lt;AB$5+7),"◆",""),IF(AND($D79&lt;AB$5+7,$E79&gt;AB$5),"■","")))</x:f>
      </x:c>
      <x:c r="AC79" s="7" t="str">
        <x:f>IF(OR($D79="",AC$5="",'상세일정'!AM79="제외"),"",IF($D79=$E79,IF(AND($D79&gt;=AC$5,$D79&lt;AC$5+7),"◆",""),IF(AND($D79&lt;AC$5+7,$E79&gt;AC$5),"■","")))</x:f>
      </x:c>
      <x:c r="AD79" s="7" t="str">
        <x:f>IF(OR($D79="",AD$5="",'상세일정'!AM79="제외"),"",IF($D79=$E79,IF(AND($D79&gt;=AD$5,$D79&lt;AD$5+7),"◆",""),IF(AND($D79&lt;AD$5+7,$E79&gt;AD$5),"■","")))</x:f>
      </x:c>
      <x:c r="AE79" s="7" t="str">
        <x:f>IF(OR($D79="",AE$5="",'상세일정'!AM79="제외"),"",IF($D79=$E79,IF(AND($D79&gt;=AE$5,$D79&lt;AE$5+7),"◆",""),IF(AND($D79&lt;AE$5+7,$E79&gt;AE$5),"■","")))</x:f>
      </x:c>
      <x:c r="AF79" s="7" t="str">
        <x:f>IF(OR($D79="",AF$5="",'상세일정'!AM79="제외"),"",IF($D79=$E79,IF(AND($D79&gt;=AF$5,$D79&lt;AF$5+7),"◆",""),IF(AND($D79&lt;AF$5+7,$E79&gt;AF$5),"■","")))</x:f>
      </x:c>
      <x:c r="AG79" s="7" t="str">
        <x:f>IF(OR($D79="",AG$5="",'상세일정'!AM79="제외"),"",IF($D79=$E79,IF(AND($D79&gt;=AG$5,$D79&lt;AG$5+7),"◆",""),IF(AND($D79&lt;AG$5+7,$E79&gt;AG$5),"■","")))</x:f>
      </x:c>
      <x:c r="AH79" s="7" t="str">
        <x:f>IF(OR($D79="",AH$5="",'상세일정'!AM79="제외"),"",IF($D79=$E79,IF(AND($D79&gt;=AH$5,$D79&lt;AH$5+7),"◆",""),IF(AND($D79&lt;AH$5+7,$E79&gt;AH$5),"■","")))</x:f>
      </x:c>
      <x:c r="AI79" s="7" t="str">
        <x:f>IF(OR($D79="",AI$5="",'상세일정'!AM79="제외"),"",IF($D79=$E79,IF(AND($D79&gt;=AI$5,$D79&lt;AI$5+7),"◆",""),IF(AND($D79&lt;AI$5+7,$E79&gt;AI$5),"■","")))</x:f>
      </x:c>
      <x:c r="AJ79" s="7" t="str">
        <x:f>IF(OR($D79="",AJ$5="",'상세일정'!AM79="제외"),"",IF($D79=$E79,IF(AND($D79&gt;=AJ$5,$D79&lt;AJ$5+7),"◆",""),IF(AND($D79&lt;AJ$5+7,$E79&gt;AJ$5),"■","")))</x:f>
      </x:c>
      <x:c r="AK79" s="7" t="str">
        <x:f>IF(OR($D79="",AK$5="",'상세일정'!AM79="제외"),"",IF($D79=$E79,IF(AND($D79&gt;=AK$5,$D79&lt;AK$5+7),"◆",""),IF(AND($D79&lt;AK$5+7,$E79&gt;AK$5),"■","")))</x:f>
      </x:c>
      <x:c r="AL79" s="7" t="str">
        <x:f>IF(OR($D79="",AL$5="",'상세일정'!AM79="제외"),"",IF($D79=$E79,IF(AND($D79&gt;=AL$5,$D79&lt;AL$5+7),"◆",""),IF(AND($D79&lt;AL$5+7,$E79&gt;AL$5),"■","")))</x:f>
      </x:c>
      <x:c r="AM79" s="7" t="str">
        <x:f>IF(OR($D79="",AM$5="",'상세일정'!AM79="제외"),"",IF($D79=$E79,IF(AND($D79&gt;=AM$5,$D79&lt;AM$5+7),"◆",""),IF(AND($D79&lt;AM$5+7,$E79&gt;AM$5),"■","")))</x:f>
      </x:c>
      <x:c r="AN79" s="7" t="str">
        <x:f>IF(OR($D79="",AN$5="",'상세일정'!AM79="제외"),"",IF($D79=$E79,IF(AND($D79&gt;=AN$5,$D79&lt;AN$5+7),"◆",""),IF(AND($D79&lt;AN$5+7,$E79&gt;AN$5),"■","")))</x:f>
      </x:c>
      <x:c r="AO79" s="7" t="str">
        <x:f>IF(OR($D79="",AO$5="",'상세일정'!AM79="제외"),"",IF($D79=$E79,IF(AND($D79&gt;=AO$5,$D79&lt;AO$5+7),"◆",""),IF(AND($D79&lt;AO$5+7,$E79&gt;AO$5),"■","")))</x:f>
      </x:c>
      <x:c r="AP79" s="7" t="str">
        <x:f>IF(OR($D79="",AP$5="",'상세일정'!AM79="제외"),"",IF($D79=$E79,IF(AND($D79&gt;=AP$5,$D79&lt;AP$5+7),"◆",""),IF(AND($D79&lt;AP$5+7,$E79&gt;AP$5),"■","")))</x:f>
      </x:c>
      <x:c r="AQ79" s="7" t="str">
        <x:f>IF(OR($D79="",AQ$5="",'상세일정'!AM79="제외"),"",IF($D79=$E79,IF(AND($D79&gt;=AQ$5,$D79&lt;AQ$5+7),"◆",""),IF(AND($D79&lt;AQ$5+7,$E79&gt;AQ$5),"■","")))</x:f>
      </x:c>
      <x:c r="AR79" s="7" t="str">
        <x:f>IF(OR($D79="",AR$5="",'상세일정'!AM79="제외"),"",IF($D79=$E79,IF(AND($D79&gt;=AR$5,$D79&lt;AR$5+7),"◆",""),IF(AND($D79&lt;AR$5+7,$E79&gt;AR$5),"■","")))</x:f>
      </x:c>
      <x:c r="AS79" s="7" t="str">
        <x:f>IF(OR($D79="",AS$5="",'상세일정'!AM79="제외"),"",IF($D79=$E79,IF(AND($D79&gt;=AS$5,$D79&lt;AS$5+7),"◆",""),IF(AND($D79&lt;AS$5+7,$E79&gt;AS$5),"■","")))</x:f>
      </x:c>
      <x:c r="AT79" s="7" t="str">
        <x:f>IF(OR($D79="",AT$5="",'상세일정'!AM79="제외"),"",IF($D79=$E79,IF(AND($D79&gt;=AT$5,$D79&lt;AT$5+7),"◆",""),IF(AND($D79&lt;AT$5+7,$E79&gt;AT$5),"■","")))</x:f>
      </x:c>
      <x:c r="AU79" s="7" t="str">
        <x:f>IF(OR($D79="",AU$5="",'상세일정'!AM79="제외"),"",IF($D79=$E79,IF(AND($D79&gt;=AU$5,$D79&lt;AU$5+7),"◆",""),IF(AND($D79&lt;AU$5+7,$E79&gt;AU$5),"■","")))</x:f>
      </x:c>
      <x:c r="AV79" s="7" t="str">
        <x:f>IF(OR($D79="",AV$5="",'상세일정'!AM79="제외"),"",IF($D79=$E79,IF(AND($D79&gt;=AV$5,$D79&lt;AV$5+7),"◆",""),IF(AND($D79&lt;AV$5+7,$E79&gt;AV$5),"■","")))</x:f>
      </x:c>
      <x:c r="AW79" s="7" t="str">
        <x:f>IF(OR($D79="",AW$5="",'상세일정'!AM79="제외"),"",IF($D79=$E79,IF(AND($D79&gt;=AW$5,$D79&lt;AW$5+7),"◆",""),IF(AND($D79&lt;AW$5+7,$E79&gt;AW$5),"■","")))</x:f>
      </x:c>
      <x:c r="AX79" s="7" t="str">
        <x:f>IF(OR($D79="",AX$5="",'상세일정'!AM79="제외"),"",IF($D79=$E79,IF(AND($D79&gt;=AX$5,$D79&lt;AX$5+7),"◆",""),IF(AND($D79&lt;AX$5+7,$E79&gt;AX$5),"■","")))</x:f>
      </x:c>
      <x:c r="AY79" s="7" t="str">
        <x:f>IF(OR($D79="",AY$5="",'상세일정'!AM79="제외"),"",IF($D79=$E79,IF(AND($D79&gt;=AY$5,$D79&lt;AY$5+7),"◆",""),IF(AND($D79&lt;AY$5+7,$E79&gt;AY$5),"■","")))</x:f>
      </x:c>
      <x:c r="AZ79" s="7" t="str">
        <x:f>IF(OR($D79="",AZ$5="",'상세일정'!AM79="제외"),"",IF($D79=$E79,IF(AND($D79&gt;=AZ$5,$D79&lt;AZ$5+7),"◆",""),IF(AND($D79&lt;AZ$5+7,$E79&gt;AZ$5),"■","")))</x:f>
      </x:c>
      <x:c r="BA79" s="7" t="str">
        <x:f>IF(OR($D79="",BA$5="",'상세일정'!AM79="제외"),"",IF($D79=$E79,IF(AND($D79&gt;=BA$5,$D79&lt;BA$5+7),"◆",""),IF(AND($D79&lt;BA$5+7,$E79&gt;BA$5),"■","")))</x:f>
      </x:c>
      <x:c r="BB79" s="7" t="str">
        <x:f>IF(OR($D79="",BB$5="",'상세일정'!AM79="제외"),"",IF($D79=$E79,IF(AND($D79&gt;=BB$5,$D79&lt;BB$5+7),"◆",""),IF(AND($D79&lt;BB$5+7,$E79&gt;BB$5),"■","")))</x:f>
      </x:c>
      <x:c r="BC79" s="7" t="str">
        <x:f>IF(OR($D79="",BC$5="",'상세일정'!AM79="제외"),"",IF($D79=$E79,IF(AND($D79&gt;=BC$5,$D79&lt;BC$5+7),"◆",""),IF(AND($D79&lt;BC$5+7,$E79&gt;BC$5),"■","")))</x:f>
      </x:c>
      <x:c r="BD79" s="7" t="str">
        <x:f>IF(OR($D79="",BD$5="",'상세일정'!AM79="제외"),"",IF($D79=$E79,IF(AND($D79&gt;=BD$5,$D79&lt;BD$5+7),"◆",""),IF(AND($D79&lt;BD$5+7,$E79&gt;BD$5),"■","")))</x:f>
      </x:c>
      <x:c r="BE79" s="7" t="str">
        <x:f>IF(OR($D79="",BE$5="",'상세일정'!AM79="제외"),"",IF($D79=$E79,IF(AND($D79&gt;=BE$5,$D79&lt;BE$5+7),"◆",""),IF(AND($D79&lt;BE$5+7,$E79&gt;BE$5),"■","")))</x:f>
      </x:c>
      <x:c r="BF79" s="7" t="str">
        <x:f>IF(OR($D79="",BF$5="",'상세일정'!AM79="제외"),"",IF($D79=$E79,IF(AND($D79&gt;=BF$5,$D79&lt;BF$5+7),"◆",""),IF(AND($D79&lt;BF$5+7,$E79&gt;BF$5),"■","")))</x:f>
      </x:c>
      <x:c r="BG79" s="7" t="str">
        <x:f>IF(OR($D79="",BG$5="",'상세일정'!AM79="제외"),"",IF($D79=$E79,IF(AND($D79&gt;=BG$5,$D79&lt;BG$5+7),"◆",""),IF(AND($D79&lt;BG$5+7,$E79&gt;BG$5),"■","")))</x:f>
      </x:c>
      <x:c r="BH79" s="7" t="str">
        <x:f>IF(OR($D79="",BH$5="",'상세일정'!AM79="제외"),"",IF($D79=$E79,IF(AND($D79&gt;=BH$5,$D79&lt;BH$5+7),"◆",""),IF(AND($D79&lt;BH$5+7,$E79&gt;BH$5),"■","")))</x:f>
      </x:c>
      <x:c r="BI79" s="7" t="str">
        <x:f>IF(OR($D79="",BI$5="",'상세일정'!AM79="제외"),"",IF($D79=$E79,IF(AND($D79&gt;=BI$5,$D79&lt;BI$5+7),"◆",""),IF(AND($D79&lt;BI$5+7,$E79&gt;BI$5),"■","")))</x:f>
      </x:c>
      <x:c r="BJ79" s="7" t="str">
        <x:f>IF(OR($D79="",BJ$5="",'상세일정'!AM79="제외"),"",IF($D79=$E79,IF(AND($D79&gt;=BJ$5,$D79&lt;BJ$5+7),"◆",""),IF(AND($D79&lt;BJ$5+7,$E79&gt;BJ$5),"■","")))</x:f>
      </x:c>
      <x:c r="BK79" s="7" t="str">
        <x:f>IF(OR($D79="",BK$5="",'상세일정'!AM79="제외"),"",IF($D79=$E79,IF(AND($D79&gt;=BK$5,$D79&lt;BK$5+7),"◆",""),IF(AND($D79&lt;BK$5+7,$E79&gt;BK$5),"■","")))</x:f>
      </x:c>
      <x:c r="BL79" s="7" t="str">
        <x:f>IF(OR($D79="",BL$5="",'상세일정'!AM79="제외"),"",IF($D79=$E79,IF(AND($D79&gt;=BL$5,$D79&lt;BL$5+7),"◆",""),IF(AND($D79&lt;BL$5+7,$E79&gt;BL$5),"■","")))</x:f>
      </x:c>
      <x:c r="BM79" s="7" t="str">
        <x:f>IF(OR($D79="",BM$5="",'상세일정'!AM79="제외"),"",IF($D79=$E79,IF(AND($D79&gt;=BM$5,$D79&lt;BM$5+7),"◆",""),IF(AND($D79&lt;BM$5+7,$E79&gt;BM$5),"■","")))</x:f>
      </x:c>
      <x:c r="BN79" s="7" t="str">
        <x:f>IF(OR($D79="",BN$5="",'상세일정'!AM79="제외"),"",IF($D79=$E79,IF(AND($D79&gt;=BN$5,$D79&lt;BN$5+7),"◆",""),IF(AND($D79&lt;BN$5+7,$E79&gt;BN$5),"■","")))</x:f>
      </x:c>
      <x:c r="BO79" s="7" t="str">
        <x:f>IF(OR($D79="",BO$5="",'상세일정'!AM79="제외"),"",IF($D79=$E79,IF(AND($D79&gt;=BO$5,$D79&lt;BO$5+7),"◆",""),IF(AND($D79&lt;BO$5+7,$E79&gt;BO$5),"■","")))</x:f>
      </x:c>
      <x:c r="BP79" s="7" t="str">
        <x:f>IF(OR($D79="",BP$5="",'상세일정'!AM79="제외"),"",IF($D79=$E79,IF(AND($D79&gt;=BP$5,$D79&lt;BP$5+7),"◆",""),IF(AND($D79&lt;BP$5+7,$E79&gt;BP$5),"■","")))</x:f>
      </x:c>
      <x:c r="BQ79" s="7" t="str">
        <x:f>IF(OR($D79="",BQ$5="",'상세일정'!AM79="제외"),"",IF($D79=$E79,IF(AND($D79&gt;=BQ$5,$D79&lt;BQ$5+7),"◆",""),IF(AND($D79&lt;BQ$5+7,$E79&gt;BQ$5),"■","")))</x:f>
      </x:c>
      <x:c r="BR79" s="7" t="str">
        <x:f>IF(OR($D79="",BR$5="",'상세일정'!AM79="제외"),"",IF($D79=$E79,IF(AND($D79&gt;=BR$5,$D79&lt;BR$5+7),"◆",""),IF(AND($D79&lt;BR$5+7,$E79&gt;BR$5),"■","")))</x:f>
      </x:c>
      <x:c r="BS79" s="7" t="str">
        <x:f>IF(OR($D79="",BS$5="",'상세일정'!AM79="제외"),"",IF($D79=$E79,IF(AND($D79&gt;=BS$5,$D79&lt;BS$5+7),"◆",""),IF(AND($D79&lt;BS$5+7,$E79&gt;BS$5),"■","")))</x:f>
      </x:c>
      <x:c r="BT79" s="7" t="str">
        <x:f>IF(OR($D79="",BT$5="",'상세일정'!AM79="제외"),"",IF($D79=$E79,IF(AND($D79&gt;=BT$5,$D79&lt;BT$5+7),"◆",""),IF(AND($D79&lt;BT$5+7,$E79&gt;BT$5),"■","")))</x:f>
      </x:c>
      <x:c r="BU79" s="7" t="str">
        <x:f>IF(OR($D79="",BU$5="",'상세일정'!AM79="제외"),"",IF($D79=$E79,IF(AND($D79&gt;=BU$5,$D79&lt;BU$5+7),"◆",""),IF(AND($D79&lt;BU$5+7,$E79&gt;BU$5),"■","")))</x:f>
      </x:c>
      <x:c r="BV79" s="7" t="str">
        <x:f>IF(OR($D79="",BV$5="",'상세일정'!AM79="제외"),"",IF($D79=$E79,IF(AND($D79&gt;=BV$5,$D79&lt;BV$5+7),"◆",""),IF(AND($D79&lt;BV$5+7,$E79&gt;BV$5),"■","")))</x:f>
      </x:c>
      <x:c r="BW79" s="7" t="str">
        <x:f>IF(OR($D79="",BW$5="",'상세일정'!AM79="제외"),"",IF($D79=$E79,IF(AND($D79&gt;=BW$5,$D79&lt;BW$5+7),"◆",""),IF(AND($D79&lt;BW$5+7,$E79&gt;BW$5),"■","")))</x:f>
      </x:c>
      <x:c r="BX79" s="7" t="str">
        <x:f>IF(OR($D79="",BX$5="",'상세일정'!AM79="제외"),"",IF($D79=$E79,IF(AND($D79&gt;=BX$5,$D79&lt;BX$5+7),"◆",""),IF(AND($D79&lt;BX$5+7,$E79&gt;BX$5),"■","")))</x:f>
      </x:c>
      <x:c r="BY79" s="7" t="str">
        <x:f>IF(OR($D79="",BY$5="",'상세일정'!AM79="제외"),"",IF($D79=$E79,IF(AND($D79&gt;=BY$5,$D79&lt;BY$5+7),"◆",""),IF(AND($D79&lt;BY$5+7,$E79&gt;BY$5),"■","")))</x:f>
      </x:c>
      <x:c r="BZ79" s="7" t="str">
        <x:f>IF(OR($D79="",BZ$5="",'상세일정'!AM79="제외"),"",IF($D79=$E79,IF(AND($D79&gt;=BZ$5,$D79&lt;BZ$5+7),"◆",""),IF(AND($D79&lt;BZ$5+7,$E79&gt;BZ$5),"■","")))</x:f>
      </x:c>
      <x:c r="CA79" s="7" t="str">
        <x:f>IF(OR($D79="",CA$5="",'상세일정'!AM79="제외"),"",IF($D79=$E79,IF(AND($D79&gt;=CA$5,$D79&lt;CA$5+7),"◆",""),IF(AND($D79&lt;CA$5+7,$E79&gt;CA$5),"■","")))</x:f>
      </x:c>
      <x:c r="CB79" s="7" t="str">
        <x:f>IF(OR($D79="",CB$5="",'상세일정'!AM79="제외"),"",IF($D79=$E79,IF(AND($D79&gt;=CB$5,$D79&lt;CB$5+7),"◆",""),IF(AND($D79&lt;CB$5+7,$E79&gt;CB$5),"■","")))</x:f>
      </x:c>
      <x:c r="CC79" s="7" t="str">
        <x:f>IF(OR($D79="",CC$5="",'상세일정'!AM79="제외"),"",IF($D79=$E79,IF(AND($D79&gt;=CC$5,$D79&lt;CC$5+7),"◆",""),IF(AND($D79&lt;CC$5+7,$E79&gt;CC$5),"■","")))</x:f>
      </x:c>
      <x:c r="CD79" s="7" t="str">
        <x:f>IF(OR($D79="",CD$5="",'상세일정'!AM79="제외"),"",IF($D79=$E79,IF(AND($D79&gt;=CD$5,$D79&lt;CD$5+7),"◆",""),IF(AND($D79&lt;CD$5+7,$E79&gt;CD$5),"■","")))</x:f>
      </x:c>
      <x:c r="CE79" s="7" t="str">
        <x:f>IF(OR($D79="",CE$5="",'상세일정'!AM79="제외"),"",IF($D79=$E79,IF(AND($D79&gt;=CE$5,$D79&lt;CE$5+7),"◆",""),IF(AND($D79&lt;CE$5+7,$E79&gt;CE$5),"■","")))</x:f>
      </x:c>
      <x:c r="CF79" s="7" t="str">
        <x:f>IF(OR($D79="",CF$5="",'상세일정'!AM79="제외"),"",IF($D79=$E79,IF(AND($D79&gt;=CF$5,$D79&lt;CF$5+7),"◆",""),IF(AND($D79&lt;CF$5+7,$E79&gt;CF$5),"■","")))</x:f>
      </x:c>
      <x:c r="CG79" s="7" t="str">
        <x:f>IF(OR($D79="",CG$5="",'상세일정'!AM79="제외"),"",IF($D79=$E79,IF(AND($D79&gt;=CG$5,$D79&lt;CG$5+7),"◆",""),IF(AND($D79&lt;CG$5+7,$E79&gt;CG$5),"■","")))</x:f>
      </x:c>
      <x:c r="CH79" s="7" t="str">
        <x:f>IF(OR($D79="",CH$5="",'상세일정'!AM79="제외"),"",IF($D79=$E79,IF(AND($D79&gt;=CH$5,$D79&lt;CH$5+7),"◆",""),IF(AND($D79&lt;CH$5+7,$E79&gt;CH$5),"■","")))</x:f>
      </x:c>
      <x:c r="CI79" s="7" t="str">
        <x:f>IF(OR($D79="",CI$5="",'상세일정'!AM79="제외"),"",IF($D79=$E79,IF(AND($D79&gt;=CI$5,$D79&lt;CI$5+7),"◆",""),IF(AND($D79&lt;CI$5+7,$E79&gt;CI$5),"■","")))</x:f>
      </x:c>
      <x:c r="CJ79" s="7" t="str">
        <x:f>IF(OR($D79="",CJ$5="",'상세일정'!AM79="제외"),"",IF($D79=$E79,IF(AND($D79&gt;=CJ$5,$D79&lt;CJ$5+7),"◆",""),IF(AND($D79&lt;CJ$5+7,$E79&gt;CJ$5),"■","")))</x:f>
      </x:c>
      <x:c r="CK79" s="7" t="str">
        <x:f>IF(OR($D79="",CK$5="",'상세일정'!AM79="제외"),"",IF($D79=$E79,IF(AND($D79&gt;=CK$5,$D79&lt;CK$5+7),"◆",""),IF(AND($D79&lt;CK$5+7,$E79&gt;CK$5),"■","")))</x:f>
      </x:c>
      <x:c r="CL79" s="7" t="str">
        <x:f>IF(OR($D79="",CL$5="",'상세일정'!AM79="제외"),"",IF($D79=$E79,IF(AND($D79&gt;=CL$5,$D79&lt;CL$5+7),"◆",""),IF(AND($D79&lt;CL$5+7,$E79&gt;CL$5),"■","")))</x:f>
      </x:c>
      <x:c r="CM79" s="7" t="str">
        <x:f>IF(OR($D79="",CM$5="",'상세일정'!AM79="제외"),"",IF($D79=$E79,IF(AND($D79&gt;=CM$5,$D79&lt;CM$5+7),"◆",""),IF(AND($D79&lt;CM$5+7,$E79&gt;CM$5),"■","")))</x:f>
      </x:c>
      <x:c r="CN79" s="7" t="str">
        <x:f>IF(OR($D79="",CN$5="",'상세일정'!AM79="제외"),"",IF($D79=$E79,IF(AND($D79&gt;=CN$5,$D79&lt;CN$5+7),"◆",""),IF(AND($D79&lt;CN$5+7,$E79&gt;CN$5),"■","")))</x:f>
      </x:c>
      <x:c r="CO79" s="7" t="str">
        <x:f>IF(OR($D79="",CO$5="",'상세일정'!AM79="제외"),"",IF($D79=$E79,IF(AND($D79&gt;=CO$5,$D79&lt;CO$5+7),"◆",""),IF(AND($D79&lt;CO$5+7,$E79&gt;CO$5),"■","")))</x:f>
      </x:c>
      <x:c r="CP79" s="7" t="str">
        <x:f>IF(OR($D79="",CP$5="",'상세일정'!AM79="제외"),"",IF($D79=$E79,IF(AND($D79&gt;=CP$5,$D79&lt;CP$5+7),"◆",""),IF(AND($D79&lt;CP$5+7,$E79&gt;CP$5),"■","")))</x:f>
      </x:c>
      <x:c r="CQ79" s="7" t="str">
        <x:f>IF(OR($D79="",CQ$5="",'상세일정'!AM79="제외"),"",IF($D79=$E79,IF(AND($D79&gt;=CQ$5,$D79&lt;CQ$5+7),"◆",""),IF(AND($D79&lt;CQ$5+7,$E79&gt;CQ$5),"■","")))</x:f>
      </x:c>
      <x:c r="CR79" s="7" t="str">
        <x:f>IF(OR($D79="",CR$5="",'상세일정'!AM79="제외"),"",IF($D79=$E79,IF(AND($D79&gt;=CR$5,$D79&lt;CR$5+7),"◆",""),IF(AND($D79&lt;CR$5+7,$E79&gt;CR$5),"■","")))</x:f>
      </x:c>
      <x:c r="CS79" s="7" t="str">
        <x:f>IF(OR($D79="",CS$5="",'상세일정'!AM79="제외"),"",IF($D79=$E79,IF(AND($D79&gt;=CS$5,$D79&lt;CS$5+7),"◆",""),IF(AND($D79&lt;CS$5+7,$E79&gt;CS$5),"■","")))</x:f>
      </x:c>
      <x:c r="CT79" s="7" t="str">
        <x:f>IF(OR($D79="",CT$5="",'상세일정'!AM79="제외"),"",IF($D79=$E79,IF(AND($D79&gt;=CT$5,$D79&lt;CT$5+7),"◆",""),IF(AND($D79&lt;CT$5+7,$E79&gt;CT$5),"■","")))</x:f>
      </x:c>
      <x:c r="CU79" s="7" t="str">
        <x:f>IF(OR($D79="",CU$5="",'상세일정'!AM79="제외"),"",IF($D79=$E79,IF(AND($D79&gt;=CU$5,$D79&lt;CU$5+7),"◆",""),IF(AND($D79&lt;CU$5+7,$E79&gt;CU$5),"■","")))</x:f>
      </x:c>
      <x:c r="CV79" s="7" t="str">
        <x:f>IF(OR($D79="",CV$5="",'상세일정'!AM79="제외"),"",IF($D79=$E79,IF(AND($D79&gt;=CV$5,$D79&lt;CV$5+7),"◆",""),IF(AND($D79&lt;CV$5+7,$E79&gt;CV$5),"■","")))</x:f>
      </x:c>
      <x:c r="CW79" s="7" t="str">
        <x:f>IF(OR($D79="",CW$5="",'상세일정'!AM79="제외"),"",IF($D79=$E79,IF(AND($D79&gt;=CW$5,$D79&lt;CW$5+7),"◆",""),IF(AND($D79&lt;CW$5+7,$E79&gt;CW$5),"■","")))</x:f>
      </x:c>
      <x:c r="CX79" s="7" t="str">
        <x:f>IF(OR($D79="",CX$5="",'상세일정'!AM79="제외"),"",IF($D79=$E79,IF(AND($D79&gt;=CX$5,$D79&lt;CX$5+7),"◆",""),IF(AND($D79&lt;CX$5+7,$E79&gt;CX$5),"■","")))</x:f>
      </x:c>
      <x:c r="CY79" s="7" t="str">
        <x:f>IF(OR($D79="",CY$5="",'상세일정'!AM79="제외"),"",IF($D79=$E79,IF(AND($D79&gt;=CY$5,$D79&lt;CY$5+7),"◆",""),IF(AND($D79&lt;CY$5+7,$E79&gt;CY$5),"■","")))</x:f>
      </x:c>
      <x:c r="CZ79" s="7" t="str">
        <x:f>IF(OR($D79="",CZ$5="",'상세일정'!AM79="제외"),"",IF($D79=$E79,IF(AND($D79&gt;=CZ$5,$D79&lt;CZ$5+7),"◆",""),IF(AND($D79&lt;CZ$5+7,$E79&gt;CZ$5),"■","")))</x:f>
      </x:c>
      <x:c r="DA79" s="7" t="str">
        <x:f>IF(OR($D79="",DA$5="",'상세일정'!AM79="제외"),"",IF($D79=$E79,IF(AND($D79&gt;=DA$5,$D79&lt;DA$5+7),"◆",""),IF(AND($D79&lt;DA$5+7,$E79&gt;DA$5),"■","")))</x:f>
      </x:c>
      <x:c r="DB79" s="7" t="str">
        <x:f>IF(OR($D79="",DB$5="",'상세일정'!AM79="제외"),"",IF($D79=$E79,IF(AND($D79&gt;=DB$5,$D79&lt;DB$5+7),"◆",""),IF(AND($D79&lt;DB$5+7,$E79&gt;DB$5),"■","")))</x:f>
      </x:c>
      <x:c r="DC79" s="7" t="str">
        <x:f>IF(OR($D79="",DC$5="",'상세일정'!AM79="제외"),"",IF($D79=$E79,IF(AND($D79&gt;=DC$5,$D79&lt;DC$5+7),"◆",""),IF(AND($D79&lt;DC$5+7,$E79&gt;DC$5),"■","")))</x:f>
      </x:c>
      <x:c r="DD79" s="7" t="str">
        <x:f>IF(OR($D79="",DD$5="",'상세일정'!AM79="제외"),"",IF($D79=$E79,IF(AND($D79&gt;=DD$5,$D79&lt;DD$5+7),"◆",""),IF(AND($D79&lt;DD$5+7,$E79&gt;DD$5),"■","")))</x:f>
      </x:c>
      <x:c r="DE79" s="7" t="str">
        <x:f>IF(OR($D79="",DE$5="",'상세일정'!AM79="제외"),"",IF($D79=$E79,IF(AND($D79&gt;=DE$5,$D79&lt;DE$5+7),"◆",""),IF(AND($D79&lt;DE$5+7,$E79&gt;DE$5),"■","")))</x:f>
      </x:c>
    </x:row>
    <x:row r="80" ht="34" customHeight="1">
      <x:c r="A80" s="7" t="str">
        <x:v>KG06</x:v>
      </x:c>
      <x:c r="B80" s="7" t="str">
        <x:v>12 KGS 기술검토·허가</x:v>
      </x:c>
      <x:c r="C80" s="7" t="str">
        <x:v>KGS 1차 검토 대기 및 질의 접수</x:v>
      </x:c>
      <x:c r="D80" s="10" t="str">
        <x:f>'상세일정'!AJ80</x:f>
      </x:c>
      <x:c r="E80" s="10" t="str">
        <x:f>'상세일정'!AK80</x:f>
      </x:c>
      <x:c r="F80" s="7" t="str">
        <x:f>IF(OR($D80="",F$5="",'상세일정'!AM80="제외"),"",IF($D80=$E80,IF(AND($D80&gt;=F$5,$D80&lt;F$5+7),"◆",""),IF(AND($D80&lt;F$5+7,$E80&gt;F$5),"■","")))</x:f>
      </x:c>
      <x:c r="G80" s="7" t="str">
        <x:f>IF(OR($D80="",G$5="",'상세일정'!AM80="제외"),"",IF($D80=$E80,IF(AND($D80&gt;=G$5,$D80&lt;G$5+7),"◆",""),IF(AND($D80&lt;G$5+7,$E80&gt;G$5),"■","")))</x:f>
      </x:c>
      <x:c r="H80" s="7" t="str">
        <x:f>IF(OR($D80="",H$5="",'상세일정'!AM80="제외"),"",IF($D80=$E80,IF(AND($D80&gt;=H$5,$D80&lt;H$5+7),"◆",""),IF(AND($D80&lt;H$5+7,$E80&gt;H$5),"■","")))</x:f>
      </x:c>
      <x:c r="I80" s="7" t="str">
        <x:f>IF(OR($D80="",I$5="",'상세일정'!AM80="제외"),"",IF($D80=$E80,IF(AND($D80&gt;=I$5,$D80&lt;I$5+7),"◆",""),IF(AND($D80&lt;I$5+7,$E80&gt;I$5),"■","")))</x:f>
      </x:c>
      <x:c r="J80" s="7" t="str">
        <x:f>IF(OR($D80="",J$5="",'상세일정'!AM80="제외"),"",IF($D80=$E80,IF(AND($D80&gt;=J$5,$D80&lt;J$5+7),"◆",""),IF(AND($D80&lt;J$5+7,$E80&gt;J$5),"■","")))</x:f>
      </x:c>
      <x:c r="K80" s="7" t="str">
        <x:f>IF(OR($D80="",K$5="",'상세일정'!AM80="제외"),"",IF($D80=$E80,IF(AND($D80&gt;=K$5,$D80&lt;K$5+7),"◆",""),IF(AND($D80&lt;K$5+7,$E80&gt;K$5),"■","")))</x:f>
      </x:c>
      <x:c r="L80" s="7" t="str">
        <x:f>IF(OR($D80="",L$5="",'상세일정'!AM80="제외"),"",IF($D80=$E80,IF(AND($D80&gt;=L$5,$D80&lt;L$5+7),"◆",""),IF(AND($D80&lt;L$5+7,$E80&gt;L$5),"■","")))</x:f>
      </x:c>
      <x:c r="M80" s="7" t="str">
        <x:f>IF(OR($D80="",M$5="",'상세일정'!AM80="제외"),"",IF($D80=$E80,IF(AND($D80&gt;=M$5,$D80&lt;M$5+7),"◆",""),IF(AND($D80&lt;M$5+7,$E80&gt;M$5),"■","")))</x:f>
      </x:c>
      <x:c r="N80" s="7" t="str">
        <x:f>IF(OR($D80="",N$5="",'상세일정'!AM80="제외"),"",IF($D80=$E80,IF(AND($D80&gt;=N$5,$D80&lt;N$5+7),"◆",""),IF(AND($D80&lt;N$5+7,$E80&gt;N$5),"■","")))</x:f>
      </x:c>
      <x:c r="O80" s="7" t="str">
        <x:f>IF(OR($D80="",O$5="",'상세일정'!AM80="제외"),"",IF($D80=$E80,IF(AND($D80&gt;=O$5,$D80&lt;O$5+7),"◆",""),IF(AND($D80&lt;O$5+7,$E80&gt;O$5),"■","")))</x:f>
      </x:c>
      <x:c r="P80" s="7" t="str">
        <x:f>IF(OR($D80="",P$5="",'상세일정'!AM80="제외"),"",IF($D80=$E80,IF(AND($D80&gt;=P$5,$D80&lt;P$5+7),"◆",""),IF(AND($D80&lt;P$5+7,$E80&gt;P$5),"■","")))</x:f>
      </x:c>
      <x:c r="Q80" s="7" t="str">
        <x:f>IF(OR($D80="",Q$5="",'상세일정'!AM80="제외"),"",IF($D80=$E80,IF(AND($D80&gt;=Q$5,$D80&lt;Q$5+7),"◆",""),IF(AND($D80&lt;Q$5+7,$E80&gt;Q$5),"■","")))</x:f>
      </x:c>
      <x:c r="R80" s="7" t="str">
        <x:f>IF(OR($D80="",R$5="",'상세일정'!AM80="제외"),"",IF($D80=$E80,IF(AND($D80&gt;=R$5,$D80&lt;R$5+7),"◆",""),IF(AND($D80&lt;R$5+7,$E80&gt;R$5),"■","")))</x:f>
      </x:c>
      <x:c r="S80" s="7" t="str">
        <x:f>IF(OR($D80="",S$5="",'상세일정'!AM80="제외"),"",IF($D80=$E80,IF(AND($D80&gt;=S$5,$D80&lt;S$5+7),"◆",""),IF(AND($D80&lt;S$5+7,$E80&gt;S$5),"■","")))</x:f>
      </x:c>
      <x:c r="T80" s="7" t="str">
        <x:f>IF(OR($D80="",T$5="",'상세일정'!AM80="제외"),"",IF($D80=$E80,IF(AND($D80&gt;=T$5,$D80&lt;T$5+7),"◆",""),IF(AND($D80&lt;T$5+7,$E80&gt;T$5),"■","")))</x:f>
      </x:c>
      <x:c r="U80" s="7" t="str">
        <x:f>IF(OR($D80="",U$5="",'상세일정'!AM80="제외"),"",IF($D80=$E80,IF(AND($D80&gt;=U$5,$D80&lt;U$5+7),"◆",""),IF(AND($D80&lt;U$5+7,$E80&gt;U$5),"■","")))</x:f>
      </x:c>
      <x:c r="V80" s="7" t="str">
        <x:f>IF(OR($D80="",V$5="",'상세일정'!AM80="제외"),"",IF($D80=$E80,IF(AND($D80&gt;=V$5,$D80&lt;V$5+7),"◆",""),IF(AND($D80&lt;V$5+7,$E80&gt;V$5),"■","")))</x:f>
      </x:c>
      <x:c r="W80" s="7" t="str">
        <x:f>IF(OR($D80="",W$5="",'상세일정'!AM80="제외"),"",IF($D80=$E80,IF(AND($D80&gt;=W$5,$D80&lt;W$5+7),"◆",""),IF(AND($D80&lt;W$5+7,$E80&gt;W$5),"■","")))</x:f>
      </x:c>
      <x:c r="X80" s="7" t="str">
        <x:f>IF(OR($D80="",X$5="",'상세일정'!AM80="제외"),"",IF($D80=$E80,IF(AND($D80&gt;=X$5,$D80&lt;X$5+7),"◆",""),IF(AND($D80&lt;X$5+7,$E80&gt;X$5),"■","")))</x:f>
      </x:c>
      <x:c r="Y80" s="7" t="str">
        <x:f>IF(OR($D80="",Y$5="",'상세일정'!AM80="제외"),"",IF($D80=$E80,IF(AND($D80&gt;=Y$5,$D80&lt;Y$5+7),"◆",""),IF(AND($D80&lt;Y$5+7,$E80&gt;Y$5),"■","")))</x:f>
      </x:c>
      <x:c r="Z80" s="7" t="str">
        <x:f>IF(OR($D80="",Z$5="",'상세일정'!AM80="제외"),"",IF($D80=$E80,IF(AND($D80&gt;=Z$5,$D80&lt;Z$5+7),"◆",""),IF(AND($D80&lt;Z$5+7,$E80&gt;Z$5),"■","")))</x:f>
      </x:c>
      <x:c r="AA80" s="7" t="str">
        <x:f>IF(OR($D80="",AA$5="",'상세일정'!AM80="제외"),"",IF($D80=$E80,IF(AND($D80&gt;=AA$5,$D80&lt;AA$5+7),"◆",""),IF(AND($D80&lt;AA$5+7,$E80&gt;AA$5),"■","")))</x:f>
      </x:c>
      <x:c r="AB80" s="7" t="str">
        <x:f>IF(OR($D80="",AB$5="",'상세일정'!AM80="제외"),"",IF($D80=$E80,IF(AND($D80&gt;=AB$5,$D80&lt;AB$5+7),"◆",""),IF(AND($D80&lt;AB$5+7,$E80&gt;AB$5),"■","")))</x:f>
      </x:c>
      <x:c r="AC80" s="7" t="str">
        <x:f>IF(OR($D80="",AC$5="",'상세일정'!AM80="제외"),"",IF($D80=$E80,IF(AND($D80&gt;=AC$5,$D80&lt;AC$5+7),"◆",""),IF(AND($D80&lt;AC$5+7,$E80&gt;AC$5),"■","")))</x:f>
      </x:c>
      <x:c r="AD80" s="7" t="str">
        <x:f>IF(OR($D80="",AD$5="",'상세일정'!AM80="제외"),"",IF($D80=$E80,IF(AND($D80&gt;=AD$5,$D80&lt;AD$5+7),"◆",""),IF(AND($D80&lt;AD$5+7,$E80&gt;AD$5),"■","")))</x:f>
      </x:c>
      <x:c r="AE80" s="7" t="str">
        <x:f>IF(OR($D80="",AE$5="",'상세일정'!AM80="제외"),"",IF($D80=$E80,IF(AND($D80&gt;=AE$5,$D80&lt;AE$5+7),"◆",""),IF(AND($D80&lt;AE$5+7,$E80&gt;AE$5),"■","")))</x:f>
      </x:c>
      <x:c r="AF80" s="7" t="str">
        <x:f>IF(OR($D80="",AF$5="",'상세일정'!AM80="제외"),"",IF($D80=$E80,IF(AND($D80&gt;=AF$5,$D80&lt;AF$5+7),"◆",""),IF(AND($D80&lt;AF$5+7,$E80&gt;AF$5),"■","")))</x:f>
      </x:c>
      <x:c r="AG80" s="7" t="str">
        <x:f>IF(OR($D80="",AG$5="",'상세일정'!AM80="제외"),"",IF($D80=$E80,IF(AND($D80&gt;=AG$5,$D80&lt;AG$5+7),"◆",""),IF(AND($D80&lt;AG$5+7,$E80&gt;AG$5),"■","")))</x:f>
      </x:c>
      <x:c r="AH80" s="7" t="str">
        <x:f>IF(OR($D80="",AH$5="",'상세일정'!AM80="제외"),"",IF($D80=$E80,IF(AND($D80&gt;=AH$5,$D80&lt;AH$5+7),"◆",""),IF(AND($D80&lt;AH$5+7,$E80&gt;AH$5),"■","")))</x:f>
      </x:c>
      <x:c r="AI80" s="7" t="str">
        <x:f>IF(OR($D80="",AI$5="",'상세일정'!AM80="제외"),"",IF($D80=$E80,IF(AND($D80&gt;=AI$5,$D80&lt;AI$5+7),"◆",""),IF(AND($D80&lt;AI$5+7,$E80&gt;AI$5),"■","")))</x:f>
      </x:c>
      <x:c r="AJ80" s="7" t="str">
        <x:f>IF(OR($D80="",AJ$5="",'상세일정'!AM80="제외"),"",IF($D80=$E80,IF(AND($D80&gt;=AJ$5,$D80&lt;AJ$5+7),"◆",""),IF(AND($D80&lt;AJ$5+7,$E80&gt;AJ$5),"■","")))</x:f>
      </x:c>
      <x:c r="AK80" s="7" t="str">
        <x:f>IF(OR($D80="",AK$5="",'상세일정'!AM80="제외"),"",IF($D80=$E80,IF(AND($D80&gt;=AK$5,$D80&lt;AK$5+7),"◆",""),IF(AND($D80&lt;AK$5+7,$E80&gt;AK$5),"■","")))</x:f>
      </x:c>
      <x:c r="AL80" s="7" t="str">
        <x:f>IF(OR($D80="",AL$5="",'상세일정'!AM80="제외"),"",IF($D80=$E80,IF(AND($D80&gt;=AL$5,$D80&lt;AL$5+7),"◆",""),IF(AND($D80&lt;AL$5+7,$E80&gt;AL$5),"■","")))</x:f>
      </x:c>
      <x:c r="AM80" s="7" t="str">
        <x:f>IF(OR($D80="",AM$5="",'상세일정'!AM80="제외"),"",IF($D80=$E80,IF(AND($D80&gt;=AM$5,$D80&lt;AM$5+7),"◆",""),IF(AND($D80&lt;AM$5+7,$E80&gt;AM$5),"■","")))</x:f>
      </x:c>
      <x:c r="AN80" s="7" t="str">
        <x:f>IF(OR($D80="",AN$5="",'상세일정'!AM80="제외"),"",IF($D80=$E80,IF(AND($D80&gt;=AN$5,$D80&lt;AN$5+7),"◆",""),IF(AND($D80&lt;AN$5+7,$E80&gt;AN$5),"■","")))</x:f>
      </x:c>
      <x:c r="AO80" s="7" t="str">
        <x:f>IF(OR($D80="",AO$5="",'상세일정'!AM80="제외"),"",IF($D80=$E80,IF(AND($D80&gt;=AO$5,$D80&lt;AO$5+7),"◆",""),IF(AND($D80&lt;AO$5+7,$E80&gt;AO$5),"■","")))</x:f>
      </x:c>
      <x:c r="AP80" s="7" t="str">
        <x:f>IF(OR($D80="",AP$5="",'상세일정'!AM80="제외"),"",IF($D80=$E80,IF(AND($D80&gt;=AP$5,$D80&lt;AP$5+7),"◆",""),IF(AND($D80&lt;AP$5+7,$E80&gt;AP$5),"■","")))</x:f>
      </x:c>
      <x:c r="AQ80" s="7" t="str">
        <x:f>IF(OR($D80="",AQ$5="",'상세일정'!AM80="제외"),"",IF($D80=$E80,IF(AND($D80&gt;=AQ$5,$D80&lt;AQ$5+7),"◆",""),IF(AND($D80&lt;AQ$5+7,$E80&gt;AQ$5),"■","")))</x:f>
      </x:c>
      <x:c r="AR80" s="7" t="str">
        <x:f>IF(OR($D80="",AR$5="",'상세일정'!AM80="제외"),"",IF($D80=$E80,IF(AND($D80&gt;=AR$5,$D80&lt;AR$5+7),"◆",""),IF(AND($D80&lt;AR$5+7,$E80&gt;AR$5),"■","")))</x:f>
      </x:c>
      <x:c r="AS80" s="7" t="str">
        <x:f>IF(OR($D80="",AS$5="",'상세일정'!AM80="제외"),"",IF($D80=$E80,IF(AND($D80&gt;=AS$5,$D80&lt;AS$5+7),"◆",""),IF(AND($D80&lt;AS$5+7,$E80&gt;AS$5),"■","")))</x:f>
      </x:c>
      <x:c r="AT80" s="7" t="str">
        <x:f>IF(OR($D80="",AT$5="",'상세일정'!AM80="제외"),"",IF($D80=$E80,IF(AND($D80&gt;=AT$5,$D80&lt;AT$5+7),"◆",""),IF(AND($D80&lt;AT$5+7,$E80&gt;AT$5),"■","")))</x:f>
      </x:c>
      <x:c r="AU80" s="7" t="str">
        <x:f>IF(OR($D80="",AU$5="",'상세일정'!AM80="제외"),"",IF($D80=$E80,IF(AND($D80&gt;=AU$5,$D80&lt;AU$5+7),"◆",""),IF(AND($D80&lt;AU$5+7,$E80&gt;AU$5),"■","")))</x:f>
      </x:c>
      <x:c r="AV80" s="7" t="str">
        <x:f>IF(OR($D80="",AV$5="",'상세일정'!AM80="제외"),"",IF($D80=$E80,IF(AND($D80&gt;=AV$5,$D80&lt;AV$5+7),"◆",""),IF(AND($D80&lt;AV$5+7,$E80&gt;AV$5),"■","")))</x:f>
      </x:c>
      <x:c r="AW80" s="7" t="str">
        <x:f>IF(OR($D80="",AW$5="",'상세일정'!AM80="제외"),"",IF($D80=$E80,IF(AND($D80&gt;=AW$5,$D80&lt;AW$5+7),"◆",""),IF(AND($D80&lt;AW$5+7,$E80&gt;AW$5),"■","")))</x:f>
      </x:c>
      <x:c r="AX80" s="7" t="str">
        <x:f>IF(OR($D80="",AX$5="",'상세일정'!AM80="제외"),"",IF($D80=$E80,IF(AND($D80&gt;=AX$5,$D80&lt;AX$5+7),"◆",""),IF(AND($D80&lt;AX$5+7,$E80&gt;AX$5),"■","")))</x:f>
      </x:c>
      <x:c r="AY80" s="7" t="str">
        <x:f>IF(OR($D80="",AY$5="",'상세일정'!AM80="제외"),"",IF($D80=$E80,IF(AND($D80&gt;=AY$5,$D80&lt;AY$5+7),"◆",""),IF(AND($D80&lt;AY$5+7,$E80&gt;AY$5),"■","")))</x:f>
      </x:c>
      <x:c r="AZ80" s="7" t="str">
        <x:f>IF(OR($D80="",AZ$5="",'상세일정'!AM80="제외"),"",IF($D80=$E80,IF(AND($D80&gt;=AZ$5,$D80&lt;AZ$5+7),"◆",""),IF(AND($D80&lt;AZ$5+7,$E80&gt;AZ$5),"■","")))</x:f>
      </x:c>
      <x:c r="BA80" s="7" t="str">
        <x:f>IF(OR($D80="",BA$5="",'상세일정'!AM80="제외"),"",IF($D80=$E80,IF(AND($D80&gt;=BA$5,$D80&lt;BA$5+7),"◆",""),IF(AND($D80&lt;BA$5+7,$E80&gt;BA$5),"■","")))</x:f>
      </x:c>
      <x:c r="BB80" s="7" t="str">
        <x:f>IF(OR($D80="",BB$5="",'상세일정'!AM80="제외"),"",IF($D80=$E80,IF(AND($D80&gt;=BB$5,$D80&lt;BB$5+7),"◆",""),IF(AND($D80&lt;BB$5+7,$E80&gt;BB$5),"■","")))</x:f>
      </x:c>
      <x:c r="BC80" s="7" t="str">
        <x:f>IF(OR($D80="",BC$5="",'상세일정'!AM80="제외"),"",IF($D80=$E80,IF(AND($D80&gt;=BC$5,$D80&lt;BC$5+7),"◆",""),IF(AND($D80&lt;BC$5+7,$E80&gt;BC$5),"■","")))</x:f>
      </x:c>
      <x:c r="BD80" s="7" t="str">
        <x:f>IF(OR($D80="",BD$5="",'상세일정'!AM80="제외"),"",IF($D80=$E80,IF(AND($D80&gt;=BD$5,$D80&lt;BD$5+7),"◆",""),IF(AND($D80&lt;BD$5+7,$E80&gt;BD$5),"■","")))</x:f>
      </x:c>
      <x:c r="BE80" s="7" t="str">
        <x:f>IF(OR($D80="",BE$5="",'상세일정'!AM80="제외"),"",IF($D80=$E80,IF(AND($D80&gt;=BE$5,$D80&lt;BE$5+7),"◆",""),IF(AND($D80&lt;BE$5+7,$E80&gt;BE$5),"■","")))</x:f>
      </x:c>
      <x:c r="BF80" s="7" t="str">
        <x:f>IF(OR($D80="",BF$5="",'상세일정'!AM80="제외"),"",IF($D80=$E80,IF(AND($D80&gt;=BF$5,$D80&lt;BF$5+7),"◆",""),IF(AND($D80&lt;BF$5+7,$E80&gt;BF$5),"■","")))</x:f>
      </x:c>
      <x:c r="BG80" s="7" t="str">
        <x:f>IF(OR($D80="",BG$5="",'상세일정'!AM80="제외"),"",IF($D80=$E80,IF(AND($D80&gt;=BG$5,$D80&lt;BG$5+7),"◆",""),IF(AND($D80&lt;BG$5+7,$E80&gt;BG$5),"■","")))</x:f>
      </x:c>
      <x:c r="BH80" s="7" t="str">
        <x:f>IF(OR($D80="",BH$5="",'상세일정'!AM80="제외"),"",IF($D80=$E80,IF(AND($D80&gt;=BH$5,$D80&lt;BH$5+7),"◆",""),IF(AND($D80&lt;BH$5+7,$E80&gt;BH$5),"■","")))</x:f>
      </x:c>
      <x:c r="BI80" s="7" t="str">
        <x:f>IF(OR($D80="",BI$5="",'상세일정'!AM80="제외"),"",IF($D80=$E80,IF(AND($D80&gt;=BI$5,$D80&lt;BI$5+7),"◆",""),IF(AND($D80&lt;BI$5+7,$E80&gt;BI$5),"■","")))</x:f>
      </x:c>
      <x:c r="BJ80" s="7" t="str">
        <x:f>IF(OR($D80="",BJ$5="",'상세일정'!AM80="제외"),"",IF($D80=$E80,IF(AND($D80&gt;=BJ$5,$D80&lt;BJ$5+7),"◆",""),IF(AND($D80&lt;BJ$5+7,$E80&gt;BJ$5),"■","")))</x:f>
      </x:c>
      <x:c r="BK80" s="7" t="str">
        <x:f>IF(OR($D80="",BK$5="",'상세일정'!AM80="제외"),"",IF($D80=$E80,IF(AND($D80&gt;=BK$5,$D80&lt;BK$5+7),"◆",""),IF(AND($D80&lt;BK$5+7,$E80&gt;BK$5),"■","")))</x:f>
      </x:c>
      <x:c r="BL80" s="7" t="str">
        <x:f>IF(OR($D80="",BL$5="",'상세일정'!AM80="제외"),"",IF($D80=$E80,IF(AND($D80&gt;=BL$5,$D80&lt;BL$5+7),"◆",""),IF(AND($D80&lt;BL$5+7,$E80&gt;BL$5),"■","")))</x:f>
      </x:c>
      <x:c r="BM80" s="7" t="str">
        <x:f>IF(OR($D80="",BM$5="",'상세일정'!AM80="제외"),"",IF($D80=$E80,IF(AND($D80&gt;=BM$5,$D80&lt;BM$5+7),"◆",""),IF(AND($D80&lt;BM$5+7,$E80&gt;BM$5),"■","")))</x:f>
      </x:c>
      <x:c r="BN80" s="7" t="str">
        <x:f>IF(OR($D80="",BN$5="",'상세일정'!AM80="제외"),"",IF($D80=$E80,IF(AND($D80&gt;=BN$5,$D80&lt;BN$5+7),"◆",""),IF(AND($D80&lt;BN$5+7,$E80&gt;BN$5),"■","")))</x:f>
      </x:c>
      <x:c r="BO80" s="7" t="str">
        <x:f>IF(OR($D80="",BO$5="",'상세일정'!AM80="제외"),"",IF($D80=$E80,IF(AND($D80&gt;=BO$5,$D80&lt;BO$5+7),"◆",""),IF(AND($D80&lt;BO$5+7,$E80&gt;BO$5),"■","")))</x:f>
      </x:c>
      <x:c r="BP80" s="7" t="str">
        <x:f>IF(OR($D80="",BP$5="",'상세일정'!AM80="제외"),"",IF($D80=$E80,IF(AND($D80&gt;=BP$5,$D80&lt;BP$5+7),"◆",""),IF(AND($D80&lt;BP$5+7,$E80&gt;BP$5),"■","")))</x:f>
      </x:c>
      <x:c r="BQ80" s="7" t="str">
        <x:f>IF(OR($D80="",BQ$5="",'상세일정'!AM80="제외"),"",IF($D80=$E80,IF(AND($D80&gt;=BQ$5,$D80&lt;BQ$5+7),"◆",""),IF(AND($D80&lt;BQ$5+7,$E80&gt;BQ$5),"■","")))</x:f>
      </x:c>
      <x:c r="BR80" s="7" t="str">
        <x:f>IF(OR($D80="",BR$5="",'상세일정'!AM80="제외"),"",IF($D80=$E80,IF(AND($D80&gt;=BR$5,$D80&lt;BR$5+7),"◆",""),IF(AND($D80&lt;BR$5+7,$E80&gt;BR$5),"■","")))</x:f>
      </x:c>
      <x:c r="BS80" s="7" t="str">
        <x:f>IF(OR($D80="",BS$5="",'상세일정'!AM80="제외"),"",IF($D80=$E80,IF(AND($D80&gt;=BS$5,$D80&lt;BS$5+7),"◆",""),IF(AND($D80&lt;BS$5+7,$E80&gt;BS$5),"■","")))</x:f>
      </x:c>
      <x:c r="BT80" s="7" t="str">
        <x:f>IF(OR($D80="",BT$5="",'상세일정'!AM80="제외"),"",IF($D80=$E80,IF(AND($D80&gt;=BT$5,$D80&lt;BT$5+7),"◆",""),IF(AND($D80&lt;BT$5+7,$E80&gt;BT$5),"■","")))</x:f>
      </x:c>
      <x:c r="BU80" s="7" t="str">
        <x:f>IF(OR($D80="",BU$5="",'상세일정'!AM80="제외"),"",IF($D80=$E80,IF(AND($D80&gt;=BU$5,$D80&lt;BU$5+7),"◆",""),IF(AND($D80&lt;BU$5+7,$E80&gt;BU$5),"■","")))</x:f>
      </x:c>
      <x:c r="BV80" s="7" t="str">
        <x:f>IF(OR($D80="",BV$5="",'상세일정'!AM80="제외"),"",IF($D80=$E80,IF(AND($D80&gt;=BV$5,$D80&lt;BV$5+7),"◆",""),IF(AND($D80&lt;BV$5+7,$E80&gt;BV$5),"■","")))</x:f>
      </x:c>
      <x:c r="BW80" s="7" t="str">
        <x:f>IF(OR($D80="",BW$5="",'상세일정'!AM80="제외"),"",IF($D80=$E80,IF(AND($D80&gt;=BW$5,$D80&lt;BW$5+7),"◆",""),IF(AND($D80&lt;BW$5+7,$E80&gt;BW$5),"■","")))</x:f>
      </x:c>
      <x:c r="BX80" s="7" t="str">
        <x:f>IF(OR($D80="",BX$5="",'상세일정'!AM80="제외"),"",IF($D80=$E80,IF(AND($D80&gt;=BX$5,$D80&lt;BX$5+7),"◆",""),IF(AND($D80&lt;BX$5+7,$E80&gt;BX$5),"■","")))</x:f>
      </x:c>
      <x:c r="BY80" s="7" t="str">
        <x:f>IF(OR($D80="",BY$5="",'상세일정'!AM80="제외"),"",IF($D80=$E80,IF(AND($D80&gt;=BY$5,$D80&lt;BY$5+7),"◆",""),IF(AND($D80&lt;BY$5+7,$E80&gt;BY$5),"■","")))</x:f>
      </x:c>
      <x:c r="BZ80" s="7" t="str">
        <x:f>IF(OR($D80="",BZ$5="",'상세일정'!AM80="제외"),"",IF($D80=$E80,IF(AND($D80&gt;=BZ$5,$D80&lt;BZ$5+7),"◆",""),IF(AND($D80&lt;BZ$5+7,$E80&gt;BZ$5),"■","")))</x:f>
      </x:c>
      <x:c r="CA80" s="7" t="str">
        <x:f>IF(OR($D80="",CA$5="",'상세일정'!AM80="제외"),"",IF($D80=$E80,IF(AND($D80&gt;=CA$5,$D80&lt;CA$5+7),"◆",""),IF(AND($D80&lt;CA$5+7,$E80&gt;CA$5),"■","")))</x:f>
      </x:c>
      <x:c r="CB80" s="7" t="str">
        <x:f>IF(OR($D80="",CB$5="",'상세일정'!AM80="제외"),"",IF($D80=$E80,IF(AND($D80&gt;=CB$5,$D80&lt;CB$5+7),"◆",""),IF(AND($D80&lt;CB$5+7,$E80&gt;CB$5),"■","")))</x:f>
      </x:c>
      <x:c r="CC80" s="7" t="str">
        <x:f>IF(OR($D80="",CC$5="",'상세일정'!AM80="제외"),"",IF($D80=$E80,IF(AND($D80&gt;=CC$5,$D80&lt;CC$5+7),"◆",""),IF(AND($D80&lt;CC$5+7,$E80&gt;CC$5),"■","")))</x:f>
      </x:c>
      <x:c r="CD80" s="7" t="str">
        <x:f>IF(OR($D80="",CD$5="",'상세일정'!AM80="제외"),"",IF($D80=$E80,IF(AND($D80&gt;=CD$5,$D80&lt;CD$5+7),"◆",""),IF(AND($D80&lt;CD$5+7,$E80&gt;CD$5),"■","")))</x:f>
      </x:c>
      <x:c r="CE80" s="7" t="str">
        <x:f>IF(OR($D80="",CE$5="",'상세일정'!AM80="제외"),"",IF($D80=$E80,IF(AND($D80&gt;=CE$5,$D80&lt;CE$5+7),"◆",""),IF(AND($D80&lt;CE$5+7,$E80&gt;CE$5),"■","")))</x:f>
      </x:c>
      <x:c r="CF80" s="7" t="str">
        <x:f>IF(OR($D80="",CF$5="",'상세일정'!AM80="제외"),"",IF($D80=$E80,IF(AND($D80&gt;=CF$5,$D80&lt;CF$5+7),"◆",""),IF(AND($D80&lt;CF$5+7,$E80&gt;CF$5),"■","")))</x:f>
      </x:c>
      <x:c r="CG80" s="7" t="str">
        <x:f>IF(OR($D80="",CG$5="",'상세일정'!AM80="제외"),"",IF($D80=$E80,IF(AND($D80&gt;=CG$5,$D80&lt;CG$5+7),"◆",""),IF(AND($D80&lt;CG$5+7,$E80&gt;CG$5),"■","")))</x:f>
      </x:c>
      <x:c r="CH80" s="7" t="str">
        <x:f>IF(OR($D80="",CH$5="",'상세일정'!AM80="제외"),"",IF($D80=$E80,IF(AND($D80&gt;=CH$5,$D80&lt;CH$5+7),"◆",""),IF(AND($D80&lt;CH$5+7,$E80&gt;CH$5),"■","")))</x:f>
      </x:c>
      <x:c r="CI80" s="7" t="str">
        <x:f>IF(OR($D80="",CI$5="",'상세일정'!AM80="제외"),"",IF($D80=$E80,IF(AND($D80&gt;=CI$5,$D80&lt;CI$5+7),"◆",""),IF(AND($D80&lt;CI$5+7,$E80&gt;CI$5),"■","")))</x:f>
      </x:c>
      <x:c r="CJ80" s="7" t="str">
        <x:f>IF(OR($D80="",CJ$5="",'상세일정'!AM80="제외"),"",IF($D80=$E80,IF(AND($D80&gt;=CJ$5,$D80&lt;CJ$5+7),"◆",""),IF(AND($D80&lt;CJ$5+7,$E80&gt;CJ$5),"■","")))</x:f>
      </x:c>
      <x:c r="CK80" s="7" t="str">
        <x:f>IF(OR($D80="",CK$5="",'상세일정'!AM80="제외"),"",IF($D80=$E80,IF(AND($D80&gt;=CK$5,$D80&lt;CK$5+7),"◆",""),IF(AND($D80&lt;CK$5+7,$E80&gt;CK$5),"■","")))</x:f>
      </x:c>
      <x:c r="CL80" s="7" t="str">
        <x:f>IF(OR($D80="",CL$5="",'상세일정'!AM80="제외"),"",IF($D80=$E80,IF(AND($D80&gt;=CL$5,$D80&lt;CL$5+7),"◆",""),IF(AND($D80&lt;CL$5+7,$E80&gt;CL$5),"■","")))</x:f>
      </x:c>
      <x:c r="CM80" s="7" t="str">
        <x:f>IF(OR($D80="",CM$5="",'상세일정'!AM80="제외"),"",IF($D80=$E80,IF(AND($D80&gt;=CM$5,$D80&lt;CM$5+7),"◆",""),IF(AND($D80&lt;CM$5+7,$E80&gt;CM$5),"■","")))</x:f>
      </x:c>
      <x:c r="CN80" s="7" t="str">
        <x:f>IF(OR($D80="",CN$5="",'상세일정'!AM80="제외"),"",IF($D80=$E80,IF(AND($D80&gt;=CN$5,$D80&lt;CN$5+7),"◆",""),IF(AND($D80&lt;CN$5+7,$E80&gt;CN$5),"■","")))</x:f>
      </x:c>
      <x:c r="CO80" s="7" t="str">
        <x:f>IF(OR($D80="",CO$5="",'상세일정'!AM80="제외"),"",IF($D80=$E80,IF(AND($D80&gt;=CO$5,$D80&lt;CO$5+7),"◆",""),IF(AND($D80&lt;CO$5+7,$E80&gt;CO$5),"■","")))</x:f>
      </x:c>
      <x:c r="CP80" s="7" t="str">
        <x:f>IF(OR($D80="",CP$5="",'상세일정'!AM80="제외"),"",IF($D80=$E80,IF(AND($D80&gt;=CP$5,$D80&lt;CP$5+7),"◆",""),IF(AND($D80&lt;CP$5+7,$E80&gt;CP$5),"■","")))</x:f>
      </x:c>
      <x:c r="CQ80" s="7" t="str">
        <x:f>IF(OR($D80="",CQ$5="",'상세일정'!AM80="제외"),"",IF($D80=$E80,IF(AND($D80&gt;=CQ$5,$D80&lt;CQ$5+7),"◆",""),IF(AND($D80&lt;CQ$5+7,$E80&gt;CQ$5),"■","")))</x:f>
      </x:c>
      <x:c r="CR80" s="7" t="str">
        <x:f>IF(OR($D80="",CR$5="",'상세일정'!AM80="제외"),"",IF($D80=$E80,IF(AND($D80&gt;=CR$5,$D80&lt;CR$5+7),"◆",""),IF(AND($D80&lt;CR$5+7,$E80&gt;CR$5),"■","")))</x:f>
      </x:c>
      <x:c r="CS80" s="7" t="str">
        <x:f>IF(OR($D80="",CS$5="",'상세일정'!AM80="제외"),"",IF($D80=$E80,IF(AND($D80&gt;=CS$5,$D80&lt;CS$5+7),"◆",""),IF(AND($D80&lt;CS$5+7,$E80&gt;CS$5),"■","")))</x:f>
      </x:c>
      <x:c r="CT80" s="7" t="str">
        <x:f>IF(OR($D80="",CT$5="",'상세일정'!AM80="제외"),"",IF($D80=$E80,IF(AND($D80&gt;=CT$5,$D80&lt;CT$5+7),"◆",""),IF(AND($D80&lt;CT$5+7,$E80&gt;CT$5),"■","")))</x:f>
      </x:c>
      <x:c r="CU80" s="7" t="str">
        <x:f>IF(OR($D80="",CU$5="",'상세일정'!AM80="제외"),"",IF($D80=$E80,IF(AND($D80&gt;=CU$5,$D80&lt;CU$5+7),"◆",""),IF(AND($D80&lt;CU$5+7,$E80&gt;CU$5),"■","")))</x:f>
      </x:c>
      <x:c r="CV80" s="7" t="str">
        <x:f>IF(OR($D80="",CV$5="",'상세일정'!AM80="제외"),"",IF($D80=$E80,IF(AND($D80&gt;=CV$5,$D80&lt;CV$5+7),"◆",""),IF(AND($D80&lt;CV$5+7,$E80&gt;CV$5),"■","")))</x:f>
      </x:c>
      <x:c r="CW80" s="7" t="str">
        <x:f>IF(OR($D80="",CW$5="",'상세일정'!AM80="제외"),"",IF($D80=$E80,IF(AND($D80&gt;=CW$5,$D80&lt;CW$5+7),"◆",""),IF(AND($D80&lt;CW$5+7,$E80&gt;CW$5),"■","")))</x:f>
      </x:c>
      <x:c r="CX80" s="7" t="str">
        <x:f>IF(OR($D80="",CX$5="",'상세일정'!AM80="제외"),"",IF($D80=$E80,IF(AND($D80&gt;=CX$5,$D80&lt;CX$5+7),"◆",""),IF(AND($D80&lt;CX$5+7,$E80&gt;CX$5),"■","")))</x:f>
      </x:c>
      <x:c r="CY80" s="7" t="str">
        <x:f>IF(OR($D80="",CY$5="",'상세일정'!AM80="제외"),"",IF($D80=$E80,IF(AND($D80&gt;=CY$5,$D80&lt;CY$5+7),"◆",""),IF(AND($D80&lt;CY$5+7,$E80&gt;CY$5),"■","")))</x:f>
      </x:c>
      <x:c r="CZ80" s="7" t="str">
        <x:f>IF(OR($D80="",CZ$5="",'상세일정'!AM80="제외"),"",IF($D80=$E80,IF(AND($D80&gt;=CZ$5,$D80&lt;CZ$5+7),"◆",""),IF(AND($D80&lt;CZ$5+7,$E80&gt;CZ$5),"■","")))</x:f>
      </x:c>
      <x:c r="DA80" s="7" t="str">
        <x:f>IF(OR($D80="",DA$5="",'상세일정'!AM80="제외"),"",IF($D80=$E80,IF(AND($D80&gt;=DA$5,$D80&lt;DA$5+7),"◆",""),IF(AND($D80&lt;DA$5+7,$E80&gt;DA$5),"■","")))</x:f>
      </x:c>
      <x:c r="DB80" s="7" t="str">
        <x:f>IF(OR($D80="",DB$5="",'상세일정'!AM80="제외"),"",IF($D80=$E80,IF(AND($D80&gt;=DB$5,$D80&lt;DB$5+7),"◆",""),IF(AND($D80&lt;DB$5+7,$E80&gt;DB$5),"■","")))</x:f>
      </x:c>
      <x:c r="DC80" s="7" t="str">
        <x:f>IF(OR($D80="",DC$5="",'상세일정'!AM80="제외"),"",IF($D80=$E80,IF(AND($D80&gt;=DC$5,$D80&lt;DC$5+7),"◆",""),IF(AND($D80&lt;DC$5+7,$E80&gt;DC$5),"■","")))</x:f>
      </x:c>
      <x:c r="DD80" s="7" t="str">
        <x:f>IF(OR($D80="",DD$5="",'상세일정'!AM80="제외"),"",IF($D80=$E80,IF(AND($D80&gt;=DD$5,$D80&lt;DD$5+7),"◆",""),IF(AND($D80&lt;DD$5+7,$E80&gt;DD$5),"■","")))</x:f>
      </x:c>
      <x:c r="DE80" s="7" t="str">
        <x:f>IF(OR($D80="",DE$5="",'상세일정'!AM80="제외"),"",IF($D80=$E80,IF(AND($D80&gt;=DE$5,$D80&lt;DE$5+7),"◆",""),IF(AND($D80&lt;DE$5+7,$E80&gt;DE$5),"■","")))</x:f>
      </x:c>
    </x:row>
    <x:row r="81" ht="34" customHeight="1">
      <x:c r="A81" s="7" t="str">
        <x:v>KG07</x:v>
      </x:c>
      <x:c r="B81" s="7" t="str">
        <x:v>12 KGS 기술검토·허가</x:v>
      </x:c>
      <x:c r="C81" s="7" t="str">
        <x:v>설계/벤더 보완 및 재제출</x:v>
      </x:c>
      <x:c r="D81" s="10" t="str">
        <x:f>'상세일정'!AJ81</x:f>
      </x:c>
      <x:c r="E81" s="10" t="str">
        <x:f>'상세일정'!AK81</x:f>
      </x:c>
      <x:c r="F81" s="7" t="str">
        <x:f>IF(OR($D81="",F$5="",'상세일정'!AM81="제외"),"",IF($D81=$E81,IF(AND($D81&gt;=F$5,$D81&lt;F$5+7),"◆",""),IF(AND($D81&lt;F$5+7,$E81&gt;F$5),"■","")))</x:f>
      </x:c>
      <x:c r="G81" s="7" t="str">
        <x:f>IF(OR($D81="",G$5="",'상세일정'!AM81="제외"),"",IF($D81=$E81,IF(AND($D81&gt;=G$5,$D81&lt;G$5+7),"◆",""),IF(AND($D81&lt;G$5+7,$E81&gt;G$5),"■","")))</x:f>
      </x:c>
      <x:c r="H81" s="7" t="str">
        <x:f>IF(OR($D81="",H$5="",'상세일정'!AM81="제외"),"",IF($D81=$E81,IF(AND($D81&gt;=H$5,$D81&lt;H$5+7),"◆",""),IF(AND($D81&lt;H$5+7,$E81&gt;H$5),"■","")))</x:f>
      </x:c>
      <x:c r="I81" s="7" t="str">
        <x:f>IF(OR($D81="",I$5="",'상세일정'!AM81="제외"),"",IF($D81=$E81,IF(AND($D81&gt;=I$5,$D81&lt;I$5+7),"◆",""),IF(AND($D81&lt;I$5+7,$E81&gt;I$5),"■","")))</x:f>
      </x:c>
      <x:c r="J81" s="7" t="str">
        <x:f>IF(OR($D81="",J$5="",'상세일정'!AM81="제외"),"",IF($D81=$E81,IF(AND($D81&gt;=J$5,$D81&lt;J$5+7),"◆",""),IF(AND($D81&lt;J$5+7,$E81&gt;J$5),"■","")))</x:f>
      </x:c>
      <x:c r="K81" s="7" t="str">
        <x:f>IF(OR($D81="",K$5="",'상세일정'!AM81="제외"),"",IF($D81=$E81,IF(AND($D81&gt;=K$5,$D81&lt;K$5+7),"◆",""),IF(AND($D81&lt;K$5+7,$E81&gt;K$5),"■","")))</x:f>
      </x:c>
      <x:c r="L81" s="7" t="str">
        <x:f>IF(OR($D81="",L$5="",'상세일정'!AM81="제외"),"",IF($D81=$E81,IF(AND($D81&gt;=L$5,$D81&lt;L$5+7),"◆",""),IF(AND($D81&lt;L$5+7,$E81&gt;L$5),"■","")))</x:f>
      </x:c>
      <x:c r="M81" s="7" t="str">
        <x:f>IF(OR($D81="",M$5="",'상세일정'!AM81="제외"),"",IF($D81=$E81,IF(AND($D81&gt;=M$5,$D81&lt;M$5+7),"◆",""),IF(AND($D81&lt;M$5+7,$E81&gt;M$5),"■","")))</x:f>
      </x:c>
      <x:c r="N81" s="7" t="str">
        <x:f>IF(OR($D81="",N$5="",'상세일정'!AM81="제외"),"",IF($D81=$E81,IF(AND($D81&gt;=N$5,$D81&lt;N$5+7),"◆",""),IF(AND($D81&lt;N$5+7,$E81&gt;N$5),"■","")))</x:f>
      </x:c>
      <x:c r="O81" s="7" t="str">
        <x:f>IF(OR($D81="",O$5="",'상세일정'!AM81="제외"),"",IF($D81=$E81,IF(AND($D81&gt;=O$5,$D81&lt;O$5+7),"◆",""),IF(AND($D81&lt;O$5+7,$E81&gt;O$5),"■","")))</x:f>
      </x:c>
      <x:c r="P81" s="7" t="str">
        <x:f>IF(OR($D81="",P$5="",'상세일정'!AM81="제외"),"",IF($D81=$E81,IF(AND($D81&gt;=P$5,$D81&lt;P$5+7),"◆",""),IF(AND($D81&lt;P$5+7,$E81&gt;P$5),"■","")))</x:f>
      </x:c>
      <x:c r="Q81" s="7" t="str">
        <x:f>IF(OR($D81="",Q$5="",'상세일정'!AM81="제외"),"",IF($D81=$E81,IF(AND($D81&gt;=Q$5,$D81&lt;Q$5+7),"◆",""),IF(AND($D81&lt;Q$5+7,$E81&gt;Q$5),"■","")))</x:f>
      </x:c>
      <x:c r="R81" s="7" t="str">
        <x:f>IF(OR($D81="",R$5="",'상세일정'!AM81="제외"),"",IF($D81=$E81,IF(AND($D81&gt;=R$5,$D81&lt;R$5+7),"◆",""),IF(AND($D81&lt;R$5+7,$E81&gt;R$5),"■","")))</x:f>
      </x:c>
      <x:c r="S81" s="7" t="str">
        <x:f>IF(OR($D81="",S$5="",'상세일정'!AM81="제외"),"",IF($D81=$E81,IF(AND($D81&gt;=S$5,$D81&lt;S$5+7),"◆",""),IF(AND($D81&lt;S$5+7,$E81&gt;S$5),"■","")))</x:f>
      </x:c>
      <x:c r="T81" s="7" t="str">
        <x:f>IF(OR($D81="",T$5="",'상세일정'!AM81="제외"),"",IF($D81=$E81,IF(AND($D81&gt;=T$5,$D81&lt;T$5+7),"◆",""),IF(AND($D81&lt;T$5+7,$E81&gt;T$5),"■","")))</x:f>
      </x:c>
      <x:c r="U81" s="7" t="str">
        <x:f>IF(OR($D81="",U$5="",'상세일정'!AM81="제외"),"",IF($D81=$E81,IF(AND($D81&gt;=U$5,$D81&lt;U$5+7),"◆",""),IF(AND($D81&lt;U$5+7,$E81&gt;U$5),"■","")))</x:f>
      </x:c>
      <x:c r="V81" s="7" t="str">
        <x:f>IF(OR($D81="",V$5="",'상세일정'!AM81="제외"),"",IF($D81=$E81,IF(AND($D81&gt;=V$5,$D81&lt;V$5+7),"◆",""),IF(AND($D81&lt;V$5+7,$E81&gt;V$5),"■","")))</x:f>
      </x:c>
      <x:c r="W81" s="7" t="str">
        <x:f>IF(OR($D81="",W$5="",'상세일정'!AM81="제외"),"",IF($D81=$E81,IF(AND($D81&gt;=W$5,$D81&lt;W$5+7),"◆",""),IF(AND($D81&lt;W$5+7,$E81&gt;W$5),"■","")))</x:f>
      </x:c>
      <x:c r="X81" s="7" t="str">
        <x:f>IF(OR($D81="",X$5="",'상세일정'!AM81="제외"),"",IF($D81=$E81,IF(AND($D81&gt;=X$5,$D81&lt;X$5+7),"◆",""),IF(AND($D81&lt;X$5+7,$E81&gt;X$5),"■","")))</x:f>
      </x:c>
      <x:c r="Y81" s="7" t="str">
        <x:f>IF(OR($D81="",Y$5="",'상세일정'!AM81="제외"),"",IF($D81=$E81,IF(AND($D81&gt;=Y$5,$D81&lt;Y$5+7),"◆",""),IF(AND($D81&lt;Y$5+7,$E81&gt;Y$5),"■","")))</x:f>
      </x:c>
      <x:c r="Z81" s="7" t="str">
        <x:f>IF(OR($D81="",Z$5="",'상세일정'!AM81="제외"),"",IF($D81=$E81,IF(AND($D81&gt;=Z$5,$D81&lt;Z$5+7),"◆",""),IF(AND($D81&lt;Z$5+7,$E81&gt;Z$5),"■","")))</x:f>
      </x:c>
      <x:c r="AA81" s="7" t="str">
        <x:f>IF(OR($D81="",AA$5="",'상세일정'!AM81="제외"),"",IF($D81=$E81,IF(AND($D81&gt;=AA$5,$D81&lt;AA$5+7),"◆",""),IF(AND($D81&lt;AA$5+7,$E81&gt;AA$5),"■","")))</x:f>
      </x:c>
      <x:c r="AB81" s="7" t="str">
        <x:f>IF(OR($D81="",AB$5="",'상세일정'!AM81="제외"),"",IF($D81=$E81,IF(AND($D81&gt;=AB$5,$D81&lt;AB$5+7),"◆",""),IF(AND($D81&lt;AB$5+7,$E81&gt;AB$5),"■","")))</x:f>
      </x:c>
      <x:c r="AC81" s="7" t="str">
        <x:f>IF(OR($D81="",AC$5="",'상세일정'!AM81="제외"),"",IF($D81=$E81,IF(AND($D81&gt;=AC$5,$D81&lt;AC$5+7),"◆",""),IF(AND($D81&lt;AC$5+7,$E81&gt;AC$5),"■","")))</x:f>
      </x:c>
      <x:c r="AD81" s="7" t="str">
        <x:f>IF(OR($D81="",AD$5="",'상세일정'!AM81="제외"),"",IF($D81=$E81,IF(AND($D81&gt;=AD$5,$D81&lt;AD$5+7),"◆",""),IF(AND($D81&lt;AD$5+7,$E81&gt;AD$5),"■","")))</x:f>
      </x:c>
      <x:c r="AE81" s="7" t="str">
        <x:f>IF(OR($D81="",AE$5="",'상세일정'!AM81="제외"),"",IF($D81=$E81,IF(AND($D81&gt;=AE$5,$D81&lt;AE$5+7),"◆",""),IF(AND($D81&lt;AE$5+7,$E81&gt;AE$5),"■","")))</x:f>
      </x:c>
      <x:c r="AF81" s="7" t="str">
        <x:f>IF(OR($D81="",AF$5="",'상세일정'!AM81="제외"),"",IF($D81=$E81,IF(AND($D81&gt;=AF$5,$D81&lt;AF$5+7),"◆",""),IF(AND($D81&lt;AF$5+7,$E81&gt;AF$5),"■","")))</x:f>
      </x:c>
      <x:c r="AG81" s="7" t="str">
        <x:f>IF(OR($D81="",AG$5="",'상세일정'!AM81="제외"),"",IF($D81=$E81,IF(AND($D81&gt;=AG$5,$D81&lt;AG$5+7),"◆",""),IF(AND($D81&lt;AG$5+7,$E81&gt;AG$5),"■","")))</x:f>
      </x:c>
      <x:c r="AH81" s="7" t="str">
        <x:f>IF(OR($D81="",AH$5="",'상세일정'!AM81="제외"),"",IF($D81=$E81,IF(AND($D81&gt;=AH$5,$D81&lt;AH$5+7),"◆",""),IF(AND($D81&lt;AH$5+7,$E81&gt;AH$5),"■","")))</x:f>
      </x:c>
      <x:c r="AI81" s="7" t="str">
        <x:f>IF(OR($D81="",AI$5="",'상세일정'!AM81="제외"),"",IF($D81=$E81,IF(AND($D81&gt;=AI$5,$D81&lt;AI$5+7),"◆",""),IF(AND($D81&lt;AI$5+7,$E81&gt;AI$5),"■","")))</x:f>
      </x:c>
      <x:c r="AJ81" s="7" t="str">
        <x:f>IF(OR($D81="",AJ$5="",'상세일정'!AM81="제외"),"",IF($D81=$E81,IF(AND($D81&gt;=AJ$5,$D81&lt;AJ$5+7),"◆",""),IF(AND($D81&lt;AJ$5+7,$E81&gt;AJ$5),"■","")))</x:f>
      </x:c>
      <x:c r="AK81" s="7" t="str">
        <x:f>IF(OR($D81="",AK$5="",'상세일정'!AM81="제외"),"",IF($D81=$E81,IF(AND($D81&gt;=AK$5,$D81&lt;AK$5+7),"◆",""),IF(AND($D81&lt;AK$5+7,$E81&gt;AK$5),"■","")))</x:f>
      </x:c>
      <x:c r="AL81" s="7" t="str">
        <x:f>IF(OR($D81="",AL$5="",'상세일정'!AM81="제외"),"",IF($D81=$E81,IF(AND($D81&gt;=AL$5,$D81&lt;AL$5+7),"◆",""),IF(AND($D81&lt;AL$5+7,$E81&gt;AL$5),"■","")))</x:f>
      </x:c>
      <x:c r="AM81" s="7" t="str">
        <x:f>IF(OR($D81="",AM$5="",'상세일정'!AM81="제외"),"",IF($D81=$E81,IF(AND($D81&gt;=AM$5,$D81&lt;AM$5+7),"◆",""),IF(AND($D81&lt;AM$5+7,$E81&gt;AM$5),"■","")))</x:f>
      </x:c>
      <x:c r="AN81" s="7" t="str">
        <x:f>IF(OR($D81="",AN$5="",'상세일정'!AM81="제외"),"",IF($D81=$E81,IF(AND($D81&gt;=AN$5,$D81&lt;AN$5+7),"◆",""),IF(AND($D81&lt;AN$5+7,$E81&gt;AN$5),"■","")))</x:f>
      </x:c>
      <x:c r="AO81" s="7" t="str">
        <x:f>IF(OR($D81="",AO$5="",'상세일정'!AM81="제외"),"",IF($D81=$E81,IF(AND($D81&gt;=AO$5,$D81&lt;AO$5+7),"◆",""),IF(AND($D81&lt;AO$5+7,$E81&gt;AO$5),"■","")))</x:f>
      </x:c>
      <x:c r="AP81" s="7" t="str">
        <x:f>IF(OR($D81="",AP$5="",'상세일정'!AM81="제외"),"",IF($D81=$E81,IF(AND($D81&gt;=AP$5,$D81&lt;AP$5+7),"◆",""),IF(AND($D81&lt;AP$5+7,$E81&gt;AP$5),"■","")))</x:f>
      </x:c>
      <x:c r="AQ81" s="7" t="str">
        <x:f>IF(OR($D81="",AQ$5="",'상세일정'!AM81="제외"),"",IF($D81=$E81,IF(AND($D81&gt;=AQ$5,$D81&lt;AQ$5+7),"◆",""),IF(AND($D81&lt;AQ$5+7,$E81&gt;AQ$5),"■","")))</x:f>
      </x:c>
      <x:c r="AR81" s="7" t="str">
        <x:f>IF(OR($D81="",AR$5="",'상세일정'!AM81="제외"),"",IF($D81=$E81,IF(AND($D81&gt;=AR$5,$D81&lt;AR$5+7),"◆",""),IF(AND($D81&lt;AR$5+7,$E81&gt;AR$5),"■","")))</x:f>
      </x:c>
      <x:c r="AS81" s="7" t="str">
        <x:f>IF(OR($D81="",AS$5="",'상세일정'!AM81="제외"),"",IF($D81=$E81,IF(AND($D81&gt;=AS$5,$D81&lt;AS$5+7),"◆",""),IF(AND($D81&lt;AS$5+7,$E81&gt;AS$5),"■","")))</x:f>
      </x:c>
      <x:c r="AT81" s="7" t="str">
        <x:f>IF(OR($D81="",AT$5="",'상세일정'!AM81="제외"),"",IF($D81=$E81,IF(AND($D81&gt;=AT$5,$D81&lt;AT$5+7),"◆",""),IF(AND($D81&lt;AT$5+7,$E81&gt;AT$5),"■","")))</x:f>
      </x:c>
      <x:c r="AU81" s="7" t="str">
        <x:f>IF(OR($D81="",AU$5="",'상세일정'!AM81="제외"),"",IF($D81=$E81,IF(AND($D81&gt;=AU$5,$D81&lt;AU$5+7),"◆",""),IF(AND($D81&lt;AU$5+7,$E81&gt;AU$5),"■","")))</x:f>
      </x:c>
      <x:c r="AV81" s="7" t="str">
        <x:f>IF(OR($D81="",AV$5="",'상세일정'!AM81="제외"),"",IF($D81=$E81,IF(AND($D81&gt;=AV$5,$D81&lt;AV$5+7),"◆",""),IF(AND($D81&lt;AV$5+7,$E81&gt;AV$5),"■","")))</x:f>
      </x:c>
      <x:c r="AW81" s="7" t="str">
        <x:f>IF(OR($D81="",AW$5="",'상세일정'!AM81="제외"),"",IF($D81=$E81,IF(AND($D81&gt;=AW$5,$D81&lt;AW$5+7),"◆",""),IF(AND($D81&lt;AW$5+7,$E81&gt;AW$5),"■","")))</x:f>
      </x:c>
      <x:c r="AX81" s="7" t="str">
        <x:f>IF(OR($D81="",AX$5="",'상세일정'!AM81="제외"),"",IF($D81=$E81,IF(AND($D81&gt;=AX$5,$D81&lt;AX$5+7),"◆",""),IF(AND($D81&lt;AX$5+7,$E81&gt;AX$5),"■","")))</x:f>
      </x:c>
      <x:c r="AY81" s="7" t="str">
        <x:f>IF(OR($D81="",AY$5="",'상세일정'!AM81="제외"),"",IF($D81=$E81,IF(AND($D81&gt;=AY$5,$D81&lt;AY$5+7),"◆",""),IF(AND($D81&lt;AY$5+7,$E81&gt;AY$5),"■","")))</x:f>
      </x:c>
      <x:c r="AZ81" s="7" t="str">
        <x:f>IF(OR($D81="",AZ$5="",'상세일정'!AM81="제외"),"",IF($D81=$E81,IF(AND($D81&gt;=AZ$5,$D81&lt;AZ$5+7),"◆",""),IF(AND($D81&lt;AZ$5+7,$E81&gt;AZ$5),"■","")))</x:f>
      </x:c>
      <x:c r="BA81" s="7" t="str">
        <x:f>IF(OR($D81="",BA$5="",'상세일정'!AM81="제외"),"",IF($D81=$E81,IF(AND($D81&gt;=BA$5,$D81&lt;BA$5+7),"◆",""),IF(AND($D81&lt;BA$5+7,$E81&gt;BA$5),"■","")))</x:f>
      </x:c>
      <x:c r="BB81" s="7" t="str">
        <x:f>IF(OR($D81="",BB$5="",'상세일정'!AM81="제외"),"",IF($D81=$E81,IF(AND($D81&gt;=BB$5,$D81&lt;BB$5+7),"◆",""),IF(AND($D81&lt;BB$5+7,$E81&gt;BB$5),"■","")))</x:f>
      </x:c>
      <x:c r="BC81" s="7" t="str">
        <x:f>IF(OR($D81="",BC$5="",'상세일정'!AM81="제외"),"",IF($D81=$E81,IF(AND($D81&gt;=BC$5,$D81&lt;BC$5+7),"◆",""),IF(AND($D81&lt;BC$5+7,$E81&gt;BC$5),"■","")))</x:f>
      </x:c>
      <x:c r="BD81" s="7" t="str">
        <x:f>IF(OR($D81="",BD$5="",'상세일정'!AM81="제외"),"",IF($D81=$E81,IF(AND($D81&gt;=BD$5,$D81&lt;BD$5+7),"◆",""),IF(AND($D81&lt;BD$5+7,$E81&gt;BD$5),"■","")))</x:f>
      </x:c>
      <x:c r="BE81" s="7" t="str">
        <x:f>IF(OR($D81="",BE$5="",'상세일정'!AM81="제외"),"",IF($D81=$E81,IF(AND($D81&gt;=BE$5,$D81&lt;BE$5+7),"◆",""),IF(AND($D81&lt;BE$5+7,$E81&gt;BE$5),"■","")))</x:f>
      </x:c>
      <x:c r="BF81" s="7" t="str">
        <x:f>IF(OR($D81="",BF$5="",'상세일정'!AM81="제외"),"",IF($D81=$E81,IF(AND($D81&gt;=BF$5,$D81&lt;BF$5+7),"◆",""),IF(AND($D81&lt;BF$5+7,$E81&gt;BF$5),"■","")))</x:f>
      </x:c>
      <x:c r="BG81" s="7" t="str">
        <x:f>IF(OR($D81="",BG$5="",'상세일정'!AM81="제외"),"",IF($D81=$E81,IF(AND($D81&gt;=BG$5,$D81&lt;BG$5+7),"◆",""),IF(AND($D81&lt;BG$5+7,$E81&gt;BG$5),"■","")))</x:f>
      </x:c>
      <x:c r="BH81" s="7" t="str">
        <x:f>IF(OR($D81="",BH$5="",'상세일정'!AM81="제외"),"",IF($D81=$E81,IF(AND($D81&gt;=BH$5,$D81&lt;BH$5+7),"◆",""),IF(AND($D81&lt;BH$5+7,$E81&gt;BH$5),"■","")))</x:f>
      </x:c>
      <x:c r="BI81" s="7" t="str">
        <x:f>IF(OR($D81="",BI$5="",'상세일정'!AM81="제외"),"",IF($D81=$E81,IF(AND($D81&gt;=BI$5,$D81&lt;BI$5+7),"◆",""),IF(AND($D81&lt;BI$5+7,$E81&gt;BI$5),"■","")))</x:f>
      </x:c>
      <x:c r="BJ81" s="7" t="str">
        <x:f>IF(OR($D81="",BJ$5="",'상세일정'!AM81="제외"),"",IF($D81=$E81,IF(AND($D81&gt;=BJ$5,$D81&lt;BJ$5+7),"◆",""),IF(AND($D81&lt;BJ$5+7,$E81&gt;BJ$5),"■","")))</x:f>
      </x:c>
      <x:c r="BK81" s="7" t="str">
        <x:f>IF(OR($D81="",BK$5="",'상세일정'!AM81="제외"),"",IF($D81=$E81,IF(AND($D81&gt;=BK$5,$D81&lt;BK$5+7),"◆",""),IF(AND($D81&lt;BK$5+7,$E81&gt;BK$5),"■","")))</x:f>
      </x:c>
      <x:c r="BL81" s="7" t="str">
        <x:f>IF(OR($D81="",BL$5="",'상세일정'!AM81="제외"),"",IF($D81=$E81,IF(AND($D81&gt;=BL$5,$D81&lt;BL$5+7),"◆",""),IF(AND($D81&lt;BL$5+7,$E81&gt;BL$5),"■","")))</x:f>
      </x:c>
      <x:c r="BM81" s="7" t="str">
        <x:f>IF(OR($D81="",BM$5="",'상세일정'!AM81="제외"),"",IF($D81=$E81,IF(AND($D81&gt;=BM$5,$D81&lt;BM$5+7),"◆",""),IF(AND($D81&lt;BM$5+7,$E81&gt;BM$5),"■","")))</x:f>
      </x:c>
      <x:c r="BN81" s="7" t="str">
        <x:f>IF(OR($D81="",BN$5="",'상세일정'!AM81="제외"),"",IF($D81=$E81,IF(AND($D81&gt;=BN$5,$D81&lt;BN$5+7),"◆",""),IF(AND($D81&lt;BN$5+7,$E81&gt;BN$5),"■","")))</x:f>
      </x:c>
      <x:c r="BO81" s="7" t="str">
        <x:f>IF(OR($D81="",BO$5="",'상세일정'!AM81="제외"),"",IF($D81=$E81,IF(AND($D81&gt;=BO$5,$D81&lt;BO$5+7),"◆",""),IF(AND($D81&lt;BO$5+7,$E81&gt;BO$5),"■","")))</x:f>
      </x:c>
      <x:c r="BP81" s="7" t="str">
        <x:f>IF(OR($D81="",BP$5="",'상세일정'!AM81="제외"),"",IF($D81=$E81,IF(AND($D81&gt;=BP$5,$D81&lt;BP$5+7),"◆",""),IF(AND($D81&lt;BP$5+7,$E81&gt;BP$5),"■","")))</x:f>
      </x:c>
      <x:c r="BQ81" s="7" t="str">
        <x:f>IF(OR($D81="",BQ$5="",'상세일정'!AM81="제외"),"",IF($D81=$E81,IF(AND($D81&gt;=BQ$5,$D81&lt;BQ$5+7),"◆",""),IF(AND($D81&lt;BQ$5+7,$E81&gt;BQ$5),"■","")))</x:f>
      </x:c>
      <x:c r="BR81" s="7" t="str">
        <x:f>IF(OR($D81="",BR$5="",'상세일정'!AM81="제외"),"",IF($D81=$E81,IF(AND($D81&gt;=BR$5,$D81&lt;BR$5+7),"◆",""),IF(AND($D81&lt;BR$5+7,$E81&gt;BR$5),"■","")))</x:f>
      </x:c>
      <x:c r="BS81" s="7" t="str">
        <x:f>IF(OR($D81="",BS$5="",'상세일정'!AM81="제외"),"",IF($D81=$E81,IF(AND($D81&gt;=BS$5,$D81&lt;BS$5+7),"◆",""),IF(AND($D81&lt;BS$5+7,$E81&gt;BS$5),"■","")))</x:f>
      </x:c>
      <x:c r="BT81" s="7" t="str">
        <x:f>IF(OR($D81="",BT$5="",'상세일정'!AM81="제외"),"",IF($D81=$E81,IF(AND($D81&gt;=BT$5,$D81&lt;BT$5+7),"◆",""),IF(AND($D81&lt;BT$5+7,$E81&gt;BT$5),"■","")))</x:f>
      </x:c>
      <x:c r="BU81" s="7" t="str">
        <x:f>IF(OR($D81="",BU$5="",'상세일정'!AM81="제외"),"",IF($D81=$E81,IF(AND($D81&gt;=BU$5,$D81&lt;BU$5+7),"◆",""),IF(AND($D81&lt;BU$5+7,$E81&gt;BU$5),"■","")))</x:f>
      </x:c>
      <x:c r="BV81" s="7" t="str">
        <x:f>IF(OR($D81="",BV$5="",'상세일정'!AM81="제외"),"",IF($D81=$E81,IF(AND($D81&gt;=BV$5,$D81&lt;BV$5+7),"◆",""),IF(AND($D81&lt;BV$5+7,$E81&gt;BV$5),"■","")))</x:f>
      </x:c>
      <x:c r="BW81" s="7" t="str">
        <x:f>IF(OR($D81="",BW$5="",'상세일정'!AM81="제외"),"",IF($D81=$E81,IF(AND($D81&gt;=BW$5,$D81&lt;BW$5+7),"◆",""),IF(AND($D81&lt;BW$5+7,$E81&gt;BW$5),"■","")))</x:f>
      </x:c>
      <x:c r="BX81" s="7" t="str">
        <x:f>IF(OR($D81="",BX$5="",'상세일정'!AM81="제외"),"",IF($D81=$E81,IF(AND($D81&gt;=BX$5,$D81&lt;BX$5+7),"◆",""),IF(AND($D81&lt;BX$5+7,$E81&gt;BX$5),"■","")))</x:f>
      </x:c>
      <x:c r="BY81" s="7" t="str">
        <x:f>IF(OR($D81="",BY$5="",'상세일정'!AM81="제외"),"",IF($D81=$E81,IF(AND($D81&gt;=BY$5,$D81&lt;BY$5+7),"◆",""),IF(AND($D81&lt;BY$5+7,$E81&gt;BY$5),"■","")))</x:f>
      </x:c>
      <x:c r="BZ81" s="7" t="str">
        <x:f>IF(OR($D81="",BZ$5="",'상세일정'!AM81="제외"),"",IF($D81=$E81,IF(AND($D81&gt;=BZ$5,$D81&lt;BZ$5+7),"◆",""),IF(AND($D81&lt;BZ$5+7,$E81&gt;BZ$5),"■","")))</x:f>
      </x:c>
      <x:c r="CA81" s="7" t="str">
        <x:f>IF(OR($D81="",CA$5="",'상세일정'!AM81="제외"),"",IF($D81=$E81,IF(AND($D81&gt;=CA$5,$D81&lt;CA$5+7),"◆",""),IF(AND($D81&lt;CA$5+7,$E81&gt;CA$5),"■","")))</x:f>
      </x:c>
      <x:c r="CB81" s="7" t="str">
        <x:f>IF(OR($D81="",CB$5="",'상세일정'!AM81="제외"),"",IF($D81=$E81,IF(AND($D81&gt;=CB$5,$D81&lt;CB$5+7),"◆",""),IF(AND($D81&lt;CB$5+7,$E81&gt;CB$5),"■","")))</x:f>
      </x:c>
      <x:c r="CC81" s="7" t="str">
        <x:f>IF(OR($D81="",CC$5="",'상세일정'!AM81="제외"),"",IF($D81=$E81,IF(AND($D81&gt;=CC$5,$D81&lt;CC$5+7),"◆",""),IF(AND($D81&lt;CC$5+7,$E81&gt;CC$5),"■","")))</x:f>
      </x:c>
      <x:c r="CD81" s="7" t="str">
        <x:f>IF(OR($D81="",CD$5="",'상세일정'!AM81="제외"),"",IF($D81=$E81,IF(AND($D81&gt;=CD$5,$D81&lt;CD$5+7),"◆",""),IF(AND($D81&lt;CD$5+7,$E81&gt;CD$5),"■","")))</x:f>
      </x:c>
      <x:c r="CE81" s="7" t="str">
        <x:f>IF(OR($D81="",CE$5="",'상세일정'!AM81="제외"),"",IF($D81=$E81,IF(AND($D81&gt;=CE$5,$D81&lt;CE$5+7),"◆",""),IF(AND($D81&lt;CE$5+7,$E81&gt;CE$5),"■","")))</x:f>
      </x:c>
      <x:c r="CF81" s="7" t="str">
        <x:f>IF(OR($D81="",CF$5="",'상세일정'!AM81="제외"),"",IF($D81=$E81,IF(AND($D81&gt;=CF$5,$D81&lt;CF$5+7),"◆",""),IF(AND($D81&lt;CF$5+7,$E81&gt;CF$5),"■","")))</x:f>
      </x:c>
      <x:c r="CG81" s="7" t="str">
        <x:f>IF(OR($D81="",CG$5="",'상세일정'!AM81="제외"),"",IF($D81=$E81,IF(AND($D81&gt;=CG$5,$D81&lt;CG$5+7),"◆",""),IF(AND($D81&lt;CG$5+7,$E81&gt;CG$5),"■","")))</x:f>
      </x:c>
      <x:c r="CH81" s="7" t="str">
        <x:f>IF(OR($D81="",CH$5="",'상세일정'!AM81="제외"),"",IF($D81=$E81,IF(AND($D81&gt;=CH$5,$D81&lt;CH$5+7),"◆",""),IF(AND($D81&lt;CH$5+7,$E81&gt;CH$5),"■","")))</x:f>
      </x:c>
      <x:c r="CI81" s="7" t="str">
        <x:f>IF(OR($D81="",CI$5="",'상세일정'!AM81="제외"),"",IF($D81=$E81,IF(AND($D81&gt;=CI$5,$D81&lt;CI$5+7),"◆",""),IF(AND($D81&lt;CI$5+7,$E81&gt;CI$5),"■","")))</x:f>
      </x:c>
      <x:c r="CJ81" s="7" t="str">
        <x:f>IF(OR($D81="",CJ$5="",'상세일정'!AM81="제외"),"",IF($D81=$E81,IF(AND($D81&gt;=CJ$5,$D81&lt;CJ$5+7),"◆",""),IF(AND($D81&lt;CJ$5+7,$E81&gt;CJ$5),"■","")))</x:f>
      </x:c>
      <x:c r="CK81" s="7" t="str">
        <x:f>IF(OR($D81="",CK$5="",'상세일정'!AM81="제외"),"",IF($D81=$E81,IF(AND($D81&gt;=CK$5,$D81&lt;CK$5+7),"◆",""),IF(AND($D81&lt;CK$5+7,$E81&gt;CK$5),"■","")))</x:f>
      </x:c>
      <x:c r="CL81" s="7" t="str">
        <x:f>IF(OR($D81="",CL$5="",'상세일정'!AM81="제외"),"",IF($D81=$E81,IF(AND($D81&gt;=CL$5,$D81&lt;CL$5+7),"◆",""),IF(AND($D81&lt;CL$5+7,$E81&gt;CL$5),"■","")))</x:f>
      </x:c>
      <x:c r="CM81" s="7" t="str">
        <x:f>IF(OR($D81="",CM$5="",'상세일정'!AM81="제외"),"",IF($D81=$E81,IF(AND($D81&gt;=CM$5,$D81&lt;CM$5+7),"◆",""),IF(AND($D81&lt;CM$5+7,$E81&gt;CM$5),"■","")))</x:f>
      </x:c>
      <x:c r="CN81" s="7" t="str">
        <x:f>IF(OR($D81="",CN$5="",'상세일정'!AM81="제외"),"",IF($D81=$E81,IF(AND($D81&gt;=CN$5,$D81&lt;CN$5+7),"◆",""),IF(AND($D81&lt;CN$5+7,$E81&gt;CN$5),"■","")))</x:f>
      </x:c>
      <x:c r="CO81" s="7" t="str">
        <x:f>IF(OR($D81="",CO$5="",'상세일정'!AM81="제외"),"",IF($D81=$E81,IF(AND($D81&gt;=CO$5,$D81&lt;CO$5+7),"◆",""),IF(AND($D81&lt;CO$5+7,$E81&gt;CO$5),"■","")))</x:f>
      </x:c>
      <x:c r="CP81" s="7" t="str">
        <x:f>IF(OR($D81="",CP$5="",'상세일정'!AM81="제외"),"",IF($D81=$E81,IF(AND($D81&gt;=CP$5,$D81&lt;CP$5+7),"◆",""),IF(AND($D81&lt;CP$5+7,$E81&gt;CP$5),"■","")))</x:f>
      </x:c>
      <x:c r="CQ81" s="7" t="str">
        <x:f>IF(OR($D81="",CQ$5="",'상세일정'!AM81="제외"),"",IF($D81=$E81,IF(AND($D81&gt;=CQ$5,$D81&lt;CQ$5+7),"◆",""),IF(AND($D81&lt;CQ$5+7,$E81&gt;CQ$5),"■","")))</x:f>
      </x:c>
      <x:c r="CR81" s="7" t="str">
        <x:f>IF(OR($D81="",CR$5="",'상세일정'!AM81="제외"),"",IF($D81=$E81,IF(AND($D81&gt;=CR$5,$D81&lt;CR$5+7),"◆",""),IF(AND($D81&lt;CR$5+7,$E81&gt;CR$5),"■","")))</x:f>
      </x:c>
      <x:c r="CS81" s="7" t="str">
        <x:f>IF(OR($D81="",CS$5="",'상세일정'!AM81="제외"),"",IF($D81=$E81,IF(AND($D81&gt;=CS$5,$D81&lt;CS$5+7),"◆",""),IF(AND($D81&lt;CS$5+7,$E81&gt;CS$5),"■","")))</x:f>
      </x:c>
      <x:c r="CT81" s="7" t="str">
        <x:f>IF(OR($D81="",CT$5="",'상세일정'!AM81="제외"),"",IF($D81=$E81,IF(AND($D81&gt;=CT$5,$D81&lt;CT$5+7),"◆",""),IF(AND($D81&lt;CT$5+7,$E81&gt;CT$5),"■","")))</x:f>
      </x:c>
      <x:c r="CU81" s="7" t="str">
        <x:f>IF(OR($D81="",CU$5="",'상세일정'!AM81="제외"),"",IF($D81=$E81,IF(AND($D81&gt;=CU$5,$D81&lt;CU$5+7),"◆",""),IF(AND($D81&lt;CU$5+7,$E81&gt;CU$5),"■","")))</x:f>
      </x:c>
      <x:c r="CV81" s="7" t="str">
        <x:f>IF(OR($D81="",CV$5="",'상세일정'!AM81="제외"),"",IF($D81=$E81,IF(AND($D81&gt;=CV$5,$D81&lt;CV$5+7),"◆",""),IF(AND($D81&lt;CV$5+7,$E81&gt;CV$5),"■","")))</x:f>
      </x:c>
      <x:c r="CW81" s="7" t="str">
        <x:f>IF(OR($D81="",CW$5="",'상세일정'!AM81="제외"),"",IF($D81=$E81,IF(AND($D81&gt;=CW$5,$D81&lt;CW$5+7),"◆",""),IF(AND($D81&lt;CW$5+7,$E81&gt;CW$5),"■","")))</x:f>
      </x:c>
      <x:c r="CX81" s="7" t="str">
        <x:f>IF(OR($D81="",CX$5="",'상세일정'!AM81="제외"),"",IF($D81=$E81,IF(AND($D81&gt;=CX$5,$D81&lt;CX$5+7),"◆",""),IF(AND($D81&lt;CX$5+7,$E81&gt;CX$5),"■","")))</x:f>
      </x:c>
      <x:c r="CY81" s="7" t="str">
        <x:f>IF(OR($D81="",CY$5="",'상세일정'!AM81="제외"),"",IF($D81=$E81,IF(AND($D81&gt;=CY$5,$D81&lt;CY$5+7),"◆",""),IF(AND($D81&lt;CY$5+7,$E81&gt;CY$5),"■","")))</x:f>
      </x:c>
      <x:c r="CZ81" s="7" t="str">
        <x:f>IF(OR($D81="",CZ$5="",'상세일정'!AM81="제외"),"",IF($D81=$E81,IF(AND($D81&gt;=CZ$5,$D81&lt;CZ$5+7),"◆",""),IF(AND($D81&lt;CZ$5+7,$E81&gt;CZ$5),"■","")))</x:f>
      </x:c>
      <x:c r="DA81" s="7" t="str">
        <x:f>IF(OR($D81="",DA$5="",'상세일정'!AM81="제외"),"",IF($D81=$E81,IF(AND($D81&gt;=DA$5,$D81&lt;DA$5+7),"◆",""),IF(AND($D81&lt;DA$5+7,$E81&gt;DA$5),"■","")))</x:f>
      </x:c>
      <x:c r="DB81" s="7" t="str">
        <x:f>IF(OR($D81="",DB$5="",'상세일정'!AM81="제외"),"",IF($D81=$E81,IF(AND($D81&gt;=DB$5,$D81&lt;DB$5+7),"◆",""),IF(AND($D81&lt;DB$5+7,$E81&gt;DB$5),"■","")))</x:f>
      </x:c>
      <x:c r="DC81" s="7" t="str">
        <x:f>IF(OR($D81="",DC$5="",'상세일정'!AM81="제외"),"",IF($D81=$E81,IF(AND($D81&gt;=DC$5,$D81&lt;DC$5+7),"◆",""),IF(AND($D81&lt;DC$5+7,$E81&gt;DC$5),"■","")))</x:f>
      </x:c>
      <x:c r="DD81" s="7" t="str">
        <x:f>IF(OR($D81="",DD$5="",'상세일정'!AM81="제외"),"",IF($D81=$E81,IF(AND($D81&gt;=DD$5,$D81&lt;DD$5+7),"◆",""),IF(AND($D81&lt;DD$5+7,$E81&gt;DD$5),"■","")))</x:f>
      </x:c>
      <x:c r="DE81" s="7" t="str">
        <x:f>IF(OR($D81="",DE$5="",'상세일정'!AM81="제외"),"",IF($D81=$E81,IF(AND($D81&gt;=DE$5,$D81&lt;DE$5+7),"◆",""),IF(AND($D81&lt;DE$5+7,$E81&gt;DE$5),"■","")))</x:f>
      </x:c>
    </x:row>
    <x:row r="82" ht="34" customHeight="1">
      <x:c r="A82" s="7" t="str">
        <x:v>KG08</x:v>
      </x:c>
      <x:c r="B82" s="7" t="str">
        <x:v>12 KGS 기술검토·허가</x:v>
      </x:c>
      <x:c r="C82" s="7" t="str">
        <x:v>재검토·기술검토 결과서 확보</x:v>
      </x:c>
      <x:c r="D82" s="10" t="str">
        <x:f>'상세일정'!AJ82</x:f>
      </x:c>
      <x:c r="E82" s="10" t="str">
        <x:f>'상세일정'!AK82</x:f>
      </x:c>
      <x:c r="F82" s="7" t="str">
        <x:f>IF(OR($D82="",F$5="",'상세일정'!AM82="제외"),"",IF($D82=$E82,IF(AND($D82&gt;=F$5,$D82&lt;F$5+7),"◆",""),IF(AND($D82&lt;F$5+7,$E82&gt;F$5),"■","")))</x:f>
      </x:c>
      <x:c r="G82" s="7" t="str">
        <x:f>IF(OR($D82="",G$5="",'상세일정'!AM82="제외"),"",IF($D82=$E82,IF(AND($D82&gt;=G$5,$D82&lt;G$5+7),"◆",""),IF(AND($D82&lt;G$5+7,$E82&gt;G$5),"■","")))</x:f>
      </x:c>
      <x:c r="H82" s="7" t="str">
        <x:f>IF(OR($D82="",H$5="",'상세일정'!AM82="제외"),"",IF($D82=$E82,IF(AND($D82&gt;=H$5,$D82&lt;H$5+7),"◆",""),IF(AND($D82&lt;H$5+7,$E82&gt;H$5),"■","")))</x:f>
      </x:c>
      <x:c r="I82" s="7" t="str">
        <x:f>IF(OR($D82="",I$5="",'상세일정'!AM82="제외"),"",IF($D82=$E82,IF(AND($D82&gt;=I$5,$D82&lt;I$5+7),"◆",""),IF(AND($D82&lt;I$5+7,$E82&gt;I$5),"■","")))</x:f>
      </x:c>
      <x:c r="J82" s="7" t="str">
        <x:f>IF(OR($D82="",J$5="",'상세일정'!AM82="제외"),"",IF($D82=$E82,IF(AND($D82&gt;=J$5,$D82&lt;J$5+7),"◆",""),IF(AND($D82&lt;J$5+7,$E82&gt;J$5),"■","")))</x:f>
      </x:c>
      <x:c r="K82" s="7" t="str">
        <x:f>IF(OR($D82="",K$5="",'상세일정'!AM82="제외"),"",IF($D82=$E82,IF(AND($D82&gt;=K$5,$D82&lt;K$5+7),"◆",""),IF(AND($D82&lt;K$5+7,$E82&gt;K$5),"■","")))</x:f>
      </x:c>
      <x:c r="L82" s="7" t="str">
        <x:f>IF(OR($D82="",L$5="",'상세일정'!AM82="제외"),"",IF($D82=$E82,IF(AND($D82&gt;=L$5,$D82&lt;L$5+7),"◆",""),IF(AND($D82&lt;L$5+7,$E82&gt;L$5),"■","")))</x:f>
      </x:c>
      <x:c r="M82" s="7" t="str">
        <x:f>IF(OR($D82="",M$5="",'상세일정'!AM82="제외"),"",IF($D82=$E82,IF(AND($D82&gt;=M$5,$D82&lt;M$5+7),"◆",""),IF(AND($D82&lt;M$5+7,$E82&gt;M$5),"■","")))</x:f>
      </x:c>
      <x:c r="N82" s="7" t="str">
        <x:f>IF(OR($D82="",N$5="",'상세일정'!AM82="제외"),"",IF($D82=$E82,IF(AND($D82&gt;=N$5,$D82&lt;N$5+7),"◆",""),IF(AND($D82&lt;N$5+7,$E82&gt;N$5),"■","")))</x:f>
      </x:c>
      <x:c r="O82" s="7" t="str">
        <x:f>IF(OR($D82="",O$5="",'상세일정'!AM82="제외"),"",IF($D82=$E82,IF(AND($D82&gt;=O$5,$D82&lt;O$5+7),"◆",""),IF(AND($D82&lt;O$5+7,$E82&gt;O$5),"■","")))</x:f>
      </x:c>
      <x:c r="P82" s="7" t="str">
        <x:f>IF(OR($D82="",P$5="",'상세일정'!AM82="제외"),"",IF($D82=$E82,IF(AND($D82&gt;=P$5,$D82&lt;P$5+7),"◆",""),IF(AND($D82&lt;P$5+7,$E82&gt;P$5),"■","")))</x:f>
      </x:c>
      <x:c r="Q82" s="7" t="str">
        <x:f>IF(OR($D82="",Q$5="",'상세일정'!AM82="제외"),"",IF($D82=$E82,IF(AND($D82&gt;=Q$5,$D82&lt;Q$5+7),"◆",""),IF(AND($D82&lt;Q$5+7,$E82&gt;Q$5),"■","")))</x:f>
      </x:c>
      <x:c r="R82" s="7" t="str">
        <x:f>IF(OR($D82="",R$5="",'상세일정'!AM82="제외"),"",IF($D82=$E82,IF(AND($D82&gt;=R$5,$D82&lt;R$5+7),"◆",""),IF(AND($D82&lt;R$5+7,$E82&gt;R$5),"■","")))</x:f>
      </x:c>
      <x:c r="S82" s="7" t="str">
        <x:f>IF(OR($D82="",S$5="",'상세일정'!AM82="제외"),"",IF($D82=$E82,IF(AND($D82&gt;=S$5,$D82&lt;S$5+7),"◆",""),IF(AND($D82&lt;S$5+7,$E82&gt;S$5),"■","")))</x:f>
      </x:c>
      <x:c r="T82" s="7" t="str">
        <x:f>IF(OR($D82="",T$5="",'상세일정'!AM82="제외"),"",IF($D82=$E82,IF(AND($D82&gt;=T$5,$D82&lt;T$5+7),"◆",""),IF(AND($D82&lt;T$5+7,$E82&gt;T$5),"■","")))</x:f>
      </x:c>
      <x:c r="U82" s="7" t="str">
        <x:f>IF(OR($D82="",U$5="",'상세일정'!AM82="제외"),"",IF($D82=$E82,IF(AND($D82&gt;=U$5,$D82&lt;U$5+7),"◆",""),IF(AND($D82&lt;U$5+7,$E82&gt;U$5),"■","")))</x:f>
      </x:c>
      <x:c r="V82" s="7" t="str">
        <x:f>IF(OR($D82="",V$5="",'상세일정'!AM82="제외"),"",IF($D82=$E82,IF(AND($D82&gt;=V$5,$D82&lt;V$5+7),"◆",""),IF(AND($D82&lt;V$5+7,$E82&gt;V$5),"■","")))</x:f>
      </x:c>
      <x:c r="W82" s="7" t="str">
        <x:f>IF(OR($D82="",W$5="",'상세일정'!AM82="제외"),"",IF($D82=$E82,IF(AND($D82&gt;=W$5,$D82&lt;W$5+7),"◆",""),IF(AND($D82&lt;W$5+7,$E82&gt;W$5),"■","")))</x:f>
      </x:c>
      <x:c r="X82" s="7" t="str">
        <x:f>IF(OR($D82="",X$5="",'상세일정'!AM82="제외"),"",IF($D82=$E82,IF(AND($D82&gt;=X$5,$D82&lt;X$5+7),"◆",""),IF(AND($D82&lt;X$5+7,$E82&gt;X$5),"■","")))</x:f>
      </x:c>
      <x:c r="Y82" s="7" t="str">
        <x:f>IF(OR($D82="",Y$5="",'상세일정'!AM82="제외"),"",IF($D82=$E82,IF(AND($D82&gt;=Y$5,$D82&lt;Y$5+7),"◆",""),IF(AND($D82&lt;Y$5+7,$E82&gt;Y$5),"■","")))</x:f>
      </x:c>
      <x:c r="Z82" s="7" t="str">
        <x:f>IF(OR($D82="",Z$5="",'상세일정'!AM82="제외"),"",IF($D82=$E82,IF(AND($D82&gt;=Z$5,$D82&lt;Z$5+7),"◆",""),IF(AND($D82&lt;Z$5+7,$E82&gt;Z$5),"■","")))</x:f>
      </x:c>
      <x:c r="AA82" s="7" t="str">
        <x:f>IF(OR($D82="",AA$5="",'상세일정'!AM82="제외"),"",IF($D82=$E82,IF(AND($D82&gt;=AA$5,$D82&lt;AA$5+7),"◆",""),IF(AND($D82&lt;AA$5+7,$E82&gt;AA$5),"■","")))</x:f>
      </x:c>
      <x:c r="AB82" s="7" t="str">
        <x:f>IF(OR($D82="",AB$5="",'상세일정'!AM82="제외"),"",IF($D82=$E82,IF(AND($D82&gt;=AB$5,$D82&lt;AB$5+7),"◆",""),IF(AND($D82&lt;AB$5+7,$E82&gt;AB$5),"■","")))</x:f>
      </x:c>
      <x:c r="AC82" s="7" t="str">
        <x:f>IF(OR($D82="",AC$5="",'상세일정'!AM82="제외"),"",IF($D82=$E82,IF(AND($D82&gt;=AC$5,$D82&lt;AC$5+7),"◆",""),IF(AND($D82&lt;AC$5+7,$E82&gt;AC$5),"■","")))</x:f>
      </x:c>
      <x:c r="AD82" s="7" t="str">
        <x:f>IF(OR($D82="",AD$5="",'상세일정'!AM82="제외"),"",IF($D82=$E82,IF(AND($D82&gt;=AD$5,$D82&lt;AD$5+7),"◆",""),IF(AND($D82&lt;AD$5+7,$E82&gt;AD$5),"■","")))</x:f>
      </x:c>
      <x:c r="AE82" s="7" t="str">
        <x:f>IF(OR($D82="",AE$5="",'상세일정'!AM82="제외"),"",IF($D82=$E82,IF(AND($D82&gt;=AE$5,$D82&lt;AE$5+7),"◆",""),IF(AND($D82&lt;AE$5+7,$E82&gt;AE$5),"■","")))</x:f>
      </x:c>
      <x:c r="AF82" s="7" t="str">
        <x:f>IF(OR($D82="",AF$5="",'상세일정'!AM82="제외"),"",IF($D82=$E82,IF(AND($D82&gt;=AF$5,$D82&lt;AF$5+7),"◆",""),IF(AND($D82&lt;AF$5+7,$E82&gt;AF$5),"■","")))</x:f>
      </x:c>
      <x:c r="AG82" s="7" t="str">
        <x:f>IF(OR($D82="",AG$5="",'상세일정'!AM82="제외"),"",IF($D82=$E82,IF(AND($D82&gt;=AG$5,$D82&lt;AG$5+7),"◆",""),IF(AND($D82&lt;AG$5+7,$E82&gt;AG$5),"■","")))</x:f>
      </x:c>
      <x:c r="AH82" s="7" t="str">
        <x:f>IF(OR($D82="",AH$5="",'상세일정'!AM82="제외"),"",IF($D82=$E82,IF(AND($D82&gt;=AH$5,$D82&lt;AH$5+7),"◆",""),IF(AND($D82&lt;AH$5+7,$E82&gt;AH$5),"■","")))</x:f>
      </x:c>
      <x:c r="AI82" s="7" t="str">
        <x:f>IF(OR($D82="",AI$5="",'상세일정'!AM82="제외"),"",IF($D82=$E82,IF(AND($D82&gt;=AI$5,$D82&lt;AI$5+7),"◆",""),IF(AND($D82&lt;AI$5+7,$E82&gt;AI$5),"■","")))</x:f>
      </x:c>
      <x:c r="AJ82" s="7" t="str">
        <x:f>IF(OR($D82="",AJ$5="",'상세일정'!AM82="제외"),"",IF($D82=$E82,IF(AND($D82&gt;=AJ$5,$D82&lt;AJ$5+7),"◆",""),IF(AND($D82&lt;AJ$5+7,$E82&gt;AJ$5),"■","")))</x:f>
      </x:c>
      <x:c r="AK82" s="7" t="str">
        <x:f>IF(OR($D82="",AK$5="",'상세일정'!AM82="제외"),"",IF($D82=$E82,IF(AND($D82&gt;=AK$5,$D82&lt;AK$5+7),"◆",""),IF(AND($D82&lt;AK$5+7,$E82&gt;AK$5),"■","")))</x:f>
      </x:c>
      <x:c r="AL82" s="7" t="str">
        <x:f>IF(OR($D82="",AL$5="",'상세일정'!AM82="제외"),"",IF($D82=$E82,IF(AND($D82&gt;=AL$5,$D82&lt;AL$5+7),"◆",""),IF(AND($D82&lt;AL$5+7,$E82&gt;AL$5),"■","")))</x:f>
      </x:c>
      <x:c r="AM82" s="7" t="str">
        <x:f>IF(OR($D82="",AM$5="",'상세일정'!AM82="제외"),"",IF($D82=$E82,IF(AND($D82&gt;=AM$5,$D82&lt;AM$5+7),"◆",""),IF(AND($D82&lt;AM$5+7,$E82&gt;AM$5),"■","")))</x:f>
      </x:c>
      <x:c r="AN82" s="7" t="str">
        <x:f>IF(OR($D82="",AN$5="",'상세일정'!AM82="제외"),"",IF($D82=$E82,IF(AND($D82&gt;=AN$5,$D82&lt;AN$5+7),"◆",""),IF(AND($D82&lt;AN$5+7,$E82&gt;AN$5),"■","")))</x:f>
      </x:c>
      <x:c r="AO82" s="7" t="str">
        <x:f>IF(OR($D82="",AO$5="",'상세일정'!AM82="제외"),"",IF($D82=$E82,IF(AND($D82&gt;=AO$5,$D82&lt;AO$5+7),"◆",""),IF(AND($D82&lt;AO$5+7,$E82&gt;AO$5),"■","")))</x:f>
      </x:c>
      <x:c r="AP82" s="7" t="str">
        <x:f>IF(OR($D82="",AP$5="",'상세일정'!AM82="제외"),"",IF($D82=$E82,IF(AND($D82&gt;=AP$5,$D82&lt;AP$5+7),"◆",""),IF(AND($D82&lt;AP$5+7,$E82&gt;AP$5),"■","")))</x:f>
      </x:c>
      <x:c r="AQ82" s="7" t="str">
        <x:f>IF(OR($D82="",AQ$5="",'상세일정'!AM82="제외"),"",IF($D82=$E82,IF(AND($D82&gt;=AQ$5,$D82&lt;AQ$5+7),"◆",""),IF(AND($D82&lt;AQ$5+7,$E82&gt;AQ$5),"■","")))</x:f>
      </x:c>
      <x:c r="AR82" s="7" t="str">
        <x:f>IF(OR($D82="",AR$5="",'상세일정'!AM82="제외"),"",IF($D82=$E82,IF(AND($D82&gt;=AR$5,$D82&lt;AR$5+7),"◆",""),IF(AND($D82&lt;AR$5+7,$E82&gt;AR$5),"■","")))</x:f>
      </x:c>
      <x:c r="AS82" s="7" t="str">
        <x:f>IF(OR($D82="",AS$5="",'상세일정'!AM82="제외"),"",IF($D82=$E82,IF(AND($D82&gt;=AS$5,$D82&lt;AS$5+7),"◆",""),IF(AND($D82&lt;AS$5+7,$E82&gt;AS$5),"■","")))</x:f>
      </x:c>
      <x:c r="AT82" s="7" t="str">
        <x:f>IF(OR($D82="",AT$5="",'상세일정'!AM82="제외"),"",IF($D82=$E82,IF(AND($D82&gt;=AT$5,$D82&lt;AT$5+7),"◆",""),IF(AND($D82&lt;AT$5+7,$E82&gt;AT$5),"■","")))</x:f>
      </x:c>
      <x:c r="AU82" s="7" t="str">
        <x:f>IF(OR($D82="",AU$5="",'상세일정'!AM82="제외"),"",IF($D82=$E82,IF(AND($D82&gt;=AU$5,$D82&lt;AU$5+7),"◆",""),IF(AND($D82&lt;AU$5+7,$E82&gt;AU$5),"■","")))</x:f>
      </x:c>
      <x:c r="AV82" s="7" t="str">
        <x:f>IF(OR($D82="",AV$5="",'상세일정'!AM82="제외"),"",IF($D82=$E82,IF(AND($D82&gt;=AV$5,$D82&lt;AV$5+7),"◆",""),IF(AND($D82&lt;AV$5+7,$E82&gt;AV$5),"■","")))</x:f>
      </x:c>
      <x:c r="AW82" s="7" t="str">
        <x:f>IF(OR($D82="",AW$5="",'상세일정'!AM82="제외"),"",IF($D82=$E82,IF(AND($D82&gt;=AW$5,$D82&lt;AW$5+7),"◆",""),IF(AND($D82&lt;AW$5+7,$E82&gt;AW$5),"■","")))</x:f>
      </x:c>
      <x:c r="AX82" s="7" t="str">
        <x:f>IF(OR($D82="",AX$5="",'상세일정'!AM82="제외"),"",IF($D82=$E82,IF(AND($D82&gt;=AX$5,$D82&lt;AX$5+7),"◆",""),IF(AND($D82&lt;AX$5+7,$E82&gt;AX$5),"■","")))</x:f>
      </x:c>
      <x:c r="AY82" s="7" t="str">
        <x:f>IF(OR($D82="",AY$5="",'상세일정'!AM82="제외"),"",IF($D82=$E82,IF(AND($D82&gt;=AY$5,$D82&lt;AY$5+7),"◆",""),IF(AND($D82&lt;AY$5+7,$E82&gt;AY$5),"■","")))</x:f>
      </x:c>
      <x:c r="AZ82" s="7" t="str">
        <x:f>IF(OR($D82="",AZ$5="",'상세일정'!AM82="제외"),"",IF($D82=$E82,IF(AND($D82&gt;=AZ$5,$D82&lt;AZ$5+7),"◆",""),IF(AND($D82&lt;AZ$5+7,$E82&gt;AZ$5),"■","")))</x:f>
      </x:c>
      <x:c r="BA82" s="7" t="str">
        <x:f>IF(OR($D82="",BA$5="",'상세일정'!AM82="제외"),"",IF($D82=$E82,IF(AND($D82&gt;=BA$5,$D82&lt;BA$5+7),"◆",""),IF(AND($D82&lt;BA$5+7,$E82&gt;BA$5),"■","")))</x:f>
      </x:c>
      <x:c r="BB82" s="7" t="str">
        <x:f>IF(OR($D82="",BB$5="",'상세일정'!AM82="제외"),"",IF($D82=$E82,IF(AND($D82&gt;=BB$5,$D82&lt;BB$5+7),"◆",""),IF(AND($D82&lt;BB$5+7,$E82&gt;BB$5),"■","")))</x:f>
      </x:c>
      <x:c r="BC82" s="7" t="str">
        <x:f>IF(OR($D82="",BC$5="",'상세일정'!AM82="제외"),"",IF($D82=$E82,IF(AND($D82&gt;=BC$5,$D82&lt;BC$5+7),"◆",""),IF(AND($D82&lt;BC$5+7,$E82&gt;BC$5),"■","")))</x:f>
      </x:c>
      <x:c r="BD82" s="7" t="str">
        <x:f>IF(OR($D82="",BD$5="",'상세일정'!AM82="제외"),"",IF($D82=$E82,IF(AND($D82&gt;=BD$5,$D82&lt;BD$5+7),"◆",""),IF(AND($D82&lt;BD$5+7,$E82&gt;BD$5),"■","")))</x:f>
      </x:c>
      <x:c r="BE82" s="7" t="str">
        <x:f>IF(OR($D82="",BE$5="",'상세일정'!AM82="제외"),"",IF($D82=$E82,IF(AND($D82&gt;=BE$5,$D82&lt;BE$5+7),"◆",""),IF(AND($D82&lt;BE$5+7,$E82&gt;BE$5),"■","")))</x:f>
      </x:c>
      <x:c r="BF82" s="7" t="str">
        <x:f>IF(OR($D82="",BF$5="",'상세일정'!AM82="제외"),"",IF($D82=$E82,IF(AND($D82&gt;=BF$5,$D82&lt;BF$5+7),"◆",""),IF(AND($D82&lt;BF$5+7,$E82&gt;BF$5),"■","")))</x:f>
      </x:c>
      <x:c r="BG82" s="7" t="str">
        <x:f>IF(OR($D82="",BG$5="",'상세일정'!AM82="제외"),"",IF($D82=$E82,IF(AND($D82&gt;=BG$5,$D82&lt;BG$5+7),"◆",""),IF(AND($D82&lt;BG$5+7,$E82&gt;BG$5),"■","")))</x:f>
      </x:c>
      <x:c r="BH82" s="7" t="str">
        <x:f>IF(OR($D82="",BH$5="",'상세일정'!AM82="제외"),"",IF($D82=$E82,IF(AND($D82&gt;=BH$5,$D82&lt;BH$5+7),"◆",""),IF(AND($D82&lt;BH$5+7,$E82&gt;BH$5),"■","")))</x:f>
      </x:c>
      <x:c r="BI82" s="7" t="str">
        <x:f>IF(OR($D82="",BI$5="",'상세일정'!AM82="제외"),"",IF($D82=$E82,IF(AND($D82&gt;=BI$5,$D82&lt;BI$5+7),"◆",""),IF(AND($D82&lt;BI$5+7,$E82&gt;BI$5),"■","")))</x:f>
      </x:c>
      <x:c r="BJ82" s="7" t="str">
        <x:f>IF(OR($D82="",BJ$5="",'상세일정'!AM82="제외"),"",IF($D82=$E82,IF(AND($D82&gt;=BJ$5,$D82&lt;BJ$5+7),"◆",""),IF(AND($D82&lt;BJ$5+7,$E82&gt;BJ$5),"■","")))</x:f>
      </x:c>
      <x:c r="BK82" s="7" t="str">
        <x:f>IF(OR($D82="",BK$5="",'상세일정'!AM82="제외"),"",IF($D82=$E82,IF(AND($D82&gt;=BK$5,$D82&lt;BK$5+7),"◆",""),IF(AND($D82&lt;BK$5+7,$E82&gt;BK$5),"■","")))</x:f>
      </x:c>
      <x:c r="BL82" s="7" t="str">
        <x:f>IF(OR($D82="",BL$5="",'상세일정'!AM82="제외"),"",IF($D82=$E82,IF(AND($D82&gt;=BL$5,$D82&lt;BL$5+7),"◆",""),IF(AND($D82&lt;BL$5+7,$E82&gt;BL$5),"■","")))</x:f>
      </x:c>
      <x:c r="BM82" s="7" t="str">
        <x:f>IF(OR($D82="",BM$5="",'상세일정'!AM82="제외"),"",IF($D82=$E82,IF(AND($D82&gt;=BM$5,$D82&lt;BM$5+7),"◆",""),IF(AND($D82&lt;BM$5+7,$E82&gt;BM$5),"■","")))</x:f>
      </x:c>
      <x:c r="BN82" s="7" t="str">
        <x:f>IF(OR($D82="",BN$5="",'상세일정'!AM82="제외"),"",IF($D82=$E82,IF(AND($D82&gt;=BN$5,$D82&lt;BN$5+7),"◆",""),IF(AND($D82&lt;BN$5+7,$E82&gt;BN$5),"■","")))</x:f>
      </x:c>
      <x:c r="BO82" s="7" t="str">
        <x:f>IF(OR($D82="",BO$5="",'상세일정'!AM82="제외"),"",IF($D82=$E82,IF(AND($D82&gt;=BO$5,$D82&lt;BO$5+7),"◆",""),IF(AND($D82&lt;BO$5+7,$E82&gt;BO$5),"■","")))</x:f>
      </x:c>
      <x:c r="BP82" s="7" t="str">
        <x:f>IF(OR($D82="",BP$5="",'상세일정'!AM82="제외"),"",IF($D82=$E82,IF(AND($D82&gt;=BP$5,$D82&lt;BP$5+7),"◆",""),IF(AND($D82&lt;BP$5+7,$E82&gt;BP$5),"■","")))</x:f>
      </x:c>
      <x:c r="BQ82" s="7" t="str">
        <x:f>IF(OR($D82="",BQ$5="",'상세일정'!AM82="제외"),"",IF($D82=$E82,IF(AND($D82&gt;=BQ$5,$D82&lt;BQ$5+7),"◆",""),IF(AND($D82&lt;BQ$5+7,$E82&gt;BQ$5),"■","")))</x:f>
      </x:c>
      <x:c r="BR82" s="7" t="str">
        <x:f>IF(OR($D82="",BR$5="",'상세일정'!AM82="제외"),"",IF($D82=$E82,IF(AND($D82&gt;=BR$5,$D82&lt;BR$5+7),"◆",""),IF(AND($D82&lt;BR$5+7,$E82&gt;BR$5),"■","")))</x:f>
      </x:c>
      <x:c r="BS82" s="7" t="str">
        <x:f>IF(OR($D82="",BS$5="",'상세일정'!AM82="제외"),"",IF($D82=$E82,IF(AND($D82&gt;=BS$5,$D82&lt;BS$5+7),"◆",""),IF(AND($D82&lt;BS$5+7,$E82&gt;BS$5),"■","")))</x:f>
      </x:c>
      <x:c r="BT82" s="7" t="str">
        <x:f>IF(OR($D82="",BT$5="",'상세일정'!AM82="제외"),"",IF($D82=$E82,IF(AND($D82&gt;=BT$5,$D82&lt;BT$5+7),"◆",""),IF(AND($D82&lt;BT$5+7,$E82&gt;BT$5),"■","")))</x:f>
      </x:c>
      <x:c r="BU82" s="7" t="str">
        <x:f>IF(OR($D82="",BU$5="",'상세일정'!AM82="제외"),"",IF($D82=$E82,IF(AND($D82&gt;=BU$5,$D82&lt;BU$5+7),"◆",""),IF(AND($D82&lt;BU$5+7,$E82&gt;BU$5),"■","")))</x:f>
      </x:c>
      <x:c r="BV82" s="7" t="str">
        <x:f>IF(OR($D82="",BV$5="",'상세일정'!AM82="제외"),"",IF($D82=$E82,IF(AND($D82&gt;=BV$5,$D82&lt;BV$5+7),"◆",""),IF(AND($D82&lt;BV$5+7,$E82&gt;BV$5),"■","")))</x:f>
      </x:c>
      <x:c r="BW82" s="7" t="str">
        <x:f>IF(OR($D82="",BW$5="",'상세일정'!AM82="제외"),"",IF($D82=$E82,IF(AND($D82&gt;=BW$5,$D82&lt;BW$5+7),"◆",""),IF(AND($D82&lt;BW$5+7,$E82&gt;BW$5),"■","")))</x:f>
      </x:c>
      <x:c r="BX82" s="7" t="str">
        <x:f>IF(OR($D82="",BX$5="",'상세일정'!AM82="제외"),"",IF($D82=$E82,IF(AND($D82&gt;=BX$5,$D82&lt;BX$5+7),"◆",""),IF(AND($D82&lt;BX$5+7,$E82&gt;BX$5),"■","")))</x:f>
      </x:c>
      <x:c r="BY82" s="7" t="str">
        <x:f>IF(OR($D82="",BY$5="",'상세일정'!AM82="제외"),"",IF($D82=$E82,IF(AND($D82&gt;=BY$5,$D82&lt;BY$5+7),"◆",""),IF(AND($D82&lt;BY$5+7,$E82&gt;BY$5),"■","")))</x:f>
      </x:c>
      <x:c r="BZ82" s="7" t="str">
        <x:f>IF(OR($D82="",BZ$5="",'상세일정'!AM82="제외"),"",IF($D82=$E82,IF(AND($D82&gt;=BZ$5,$D82&lt;BZ$5+7),"◆",""),IF(AND($D82&lt;BZ$5+7,$E82&gt;BZ$5),"■","")))</x:f>
      </x:c>
      <x:c r="CA82" s="7" t="str">
        <x:f>IF(OR($D82="",CA$5="",'상세일정'!AM82="제외"),"",IF($D82=$E82,IF(AND($D82&gt;=CA$5,$D82&lt;CA$5+7),"◆",""),IF(AND($D82&lt;CA$5+7,$E82&gt;CA$5),"■","")))</x:f>
      </x:c>
      <x:c r="CB82" s="7" t="str">
        <x:f>IF(OR($D82="",CB$5="",'상세일정'!AM82="제외"),"",IF($D82=$E82,IF(AND($D82&gt;=CB$5,$D82&lt;CB$5+7),"◆",""),IF(AND($D82&lt;CB$5+7,$E82&gt;CB$5),"■","")))</x:f>
      </x:c>
      <x:c r="CC82" s="7" t="str">
        <x:f>IF(OR($D82="",CC$5="",'상세일정'!AM82="제외"),"",IF($D82=$E82,IF(AND($D82&gt;=CC$5,$D82&lt;CC$5+7),"◆",""),IF(AND($D82&lt;CC$5+7,$E82&gt;CC$5),"■","")))</x:f>
      </x:c>
      <x:c r="CD82" s="7" t="str">
        <x:f>IF(OR($D82="",CD$5="",'상세일정'!AM82="제외"),"",IF($D82=$E82,IF(AND($D82&gt;=CD$5,$D82&lt;CD$5+7),"◆",""),IF(AND($D82&lt;CD$5+7,$E82&gt;CD$5),"■","")))</x:f>
      </x:c>
      <x:c r="CE82" s="7" t="str">
        <x:f>IF(OR($D82="",CE$5="",'상세일정'!AM82="제외"),"",IF($D82=$E82,IF(AND($D82&gt;=CE$5,$D82&lt;CE$5+7),"◆",""),IF(AND($D82&lt;CE$5+7,$E82&gt;CE$5),"■","")))</x:f>
      </x:c>
      <x:c r="CF82" s="7" t="str">
        <x:f>IF(OR($D82="",CF$5="",'상세일정'!AM82="제외"),"",IF($D82=$E82,IF(AND($D82&gt;=CF$5,$D82&lt;CF$5+7),"◆",""),IF(AND($D82&lt;CF$5+7,$E82&gt;CF$5),"■","")))</x:f>
      </x:c>
      <x:c r="CG82" s="7" t="str">
        <x:f>IF(OR($D82="",CG$5="",'상세일정'!AM82="제외"),"",IF($D82=$E82,IF(AND($D82&gt;=CG$5,$D82&lt;CG$5+7),"◆",""),IF(AND($D82&lt;CG$5+7,$E82&gt;CG$5),"■","")))</x:f>
      </x:c>
      <x:c r="CH82" s="7" t="str">
        <x:f>IF(OR($D82="",CH$5="",'상세일정'!AM82="제외"),"",IF($D82=$E82,IF(AND($D82&gt;=CH$5,$D82&lt;CH$5+7),"◆",""),IF(AND($D82&lt;CH$5+7,$E82&gt;CH$5),"■","")))</x:f>
      </x:c>
      <x:c r="CI82" s="7" t="str">
        <x:f>IF(OR($D82="",CI$5="",'상세일정'!AM82="제외"),"",IF($D82=$E82,IF(AND($D82&gt;=CI$5,$D82&lt;CI$5+7),"◆",""),IF(AND($D82&lt;CI$5+7,$E82&gt;CI$5),"■","")))</x:f>
      </x:c>
      <x:c r="CJ82" s="7" t="str">
        <x:f>IF(OR($D82="",CJ$5="",'상세일정'!AM82="제외"),"",IF($D82=$E82,IF(AND($D82&gt;=CJ$5,$D82&lt;CJ$5+7),"◆",""),IF(AND($D82&lt;CJ$5+7,$E82&gt;CJ$5),"■","")))</x:f>
      </x:c>
      <x:c r="CK82" s="7" t="str">
        <x:f>IF(OR($D82="",CK$5="",'상세일정'!AM82="제외"),"",IF($D82=$E82,IF(AND($D82&gt;=CK$5,$D82&lt;CK$5+7),"◆",""),IF(AND($D82&lt;CK$5+7,$E82&gt;CK$5),"■","")))</x:f>
      </x:c>
      <x:c r="CL82" s="7" t="str">
        <x:f>IF(OR($D82="",CL$5="",'상세일정'!AM82="제외"),"",IF($D82=$E82,IF(AND($D82&gt;=CL$5,$D82&lt;CL$5+7),"◆",""),IF(AND($D82&lt;CL$5+7,$E82&gt;CL$5),"■","")))</x:f>
      </x:c>
      <x:c r="CM82" s="7" t="str">
        <x:f>IF(OR($D82="",CM$5="",'상세일정'!AM82="제외"),"",IF($D82=$E82,IF(AND($D82&gt;=CM$5,$D82&lt;CM$5+7),"◆",""),IF(AND($D82&lt;CM$5+7,$E82&gt;CM$5),"■","")))</x:f>
      </x:c>
      <x:c r="CN82" s="7" t="str">
        <x:f>IF(OR($D82="",CN$5="",'상세일정'!AM82="제외"),"",IF($D82=$E82,IF(AND($D82&gt;=CN$5,$D82&lt;CN$5+7),"◆",""),IF(AND($D82&lt;CN$5+7,$E82&gt;CN$5),"■","")))</x:f>
      </x:c>
      <x:c r="CO82" s="7" t="str">
        <x:f>IF(OR($D82="",CO$5="",'상세일정'!AM82="제외"),"",IF($D82=$E82,IF(AND($D82&gt;=CO$5,$D82&lt;CO$5+7),"◆",""),IF(AND($D82&lt;CO$5+7,$E82&gt;CO$5),"■","")))</x:f>
      </x:c>
      <x:c r="CP82" s="7" t="str">
        <x:f>IF(OR($D82="",CP$5="",'상세일정'!AM82="제외"),"",IF($D82=$E82,IF(AND($D82&gt;=CP$5,$D82&lt;CP$5+7),"◆",""),IF(AND($D82&lt;CP$5+7,$E82&gt;CP$5),"■","")))</x:f>
      </x:c>
      <x:c r="CQ82" s="7" t="str">
        <x:f>IF(OR($D82="",CQ$5="",'상세일정'!AM82="제외"),"",IF($D82=$E82,IF(AND($D82&gt;=CQ$5,$D82&lt;CQ$5+7),"◆",""),IF(AND($D82&lt;CQ$5+7,$E82&gt;CQ$5),"■","")))</x:f>
      </x:c>
      <x:c r="CR82" s="7" t="str">
        <x:f>IF(OR($D82="",CR$5="",'상세일정'!AM82="제외"),"",IF($D82=$E82,IF(AND($D82&gt;=CR$5,$D82&lt;CR$5+7),"◆",""),IF(AND($D82&lt;CR$5+7,$E82&gt;CR$5),"■","")))</x:f>
      </x:c>
      <x:c r="CS82" s="7" t="str">
        <x:f>IF(OR($D82="",CS$5="",'상세일정'!AM82="제외"),"",IF($D82=$E82,IF(AND($D82&gt;=CS$5,$D82&lt;CS$5+7),"◆",""),IF(AND($D82&lt;CS$5+7,$E82&gt;CS$5),"■","")))</x:f>
      </x:c>
      <x:c r="CT82" s="7" t="str">
        <x:f>IF(OR($D82="",CT$5="",'상세일정'!AM82="제외"),"",IF($D82=$E82,IF(AND($D82&gt;=CT$5,$D82&lt;CT$5+7),"◆",""),IF(AND($D82&lt;CT$5+7,$E82&gt;CT$5),"■","")))</x:f>
      </x:c>
      <x:c r="CU82" s="7" t="str">
        <x:f>IF(OR($D82="",CU$5="",'상세일정'!AM82="제외"),"",IF($D82=$E82,IF(AND($D82&gt;=CU$5,$D82&lt;CU$5+7),"◆",""),IF(AND($D82&lt;CU$5+7,$E82&gt;CU$5),"■","")))</x:f>
      </x:c>
      <x:c r="CV82" s="7" t="str">
        <x:f>IF(OR($D82="",CV$5="",'상세일정'!AM82="제외"),"",IF($D82=$E82,IF(AND($D82&gt;=CV$5,$D82&lt;CV$5+7),"◆",""),IF(AND($D82&lt;CV$5+7,$E82&gt;CV$5),"■","")))</x:f>
      </x:c>
      <x:c r="CW82" s="7" t="str">
        <x:f>IF(OR($D82="",CW$5="",'상세일정'!AM82="제외"),"",IF($D82=$E82,IF(AND($D82&gt;=CW$5,$D82&lt;CW$5+7),"◆",""),IF(AND($D82&lt;CW$5+7,$E82&gt;CW$5),"■","")))</x:f>
      </x:c>
      <x:c r="CX82" s="7" t="str">
        <x:f>IF(OR($D82="",CX$5="",'상세일정'!AM82="제외"),"",IF($D82=$E82,IF(AND($D82&gt;=CX$5,$D82&lt;CX$5+7),"◆",""),IF(AND($D82&lt;CX$5+7,$E82&gt;CX$5),"■","")))</x:f>
      </x:c>
      <x:c r="CY82" s="7" t="str">
        <x:f>IF(OR($D82="",CY$5="",'상세일정'!AM82="제외"),"",IF($D82=$E82,IF(AND($D82&gt;=CY$5,$D82&lt;CY$5+7),"◆",""),IF(AND($D82&lt;CY$5+7,$E82&gt;CY$5),"■","")))</x:f>
      </x:c>
      <x:c r="CZ82" s="7" t="str">
        <x:f>IF(OR($D82="",CZ$5="",'상세일정'!AM82="제외"),"",IF($D82=$E82,IF(AND($D82&gt;=CZ$5,$D82&lt;CZ$5+7),"◆",""),IF(AND($D82&lt;CZ$5+7,$E82&gt;CZ$5),"■","")))</x:f>
      </x:c>
      <x:c r="DA82" s="7" t="str">
        <x:f>IF(OR($D82="",DA$5="",'상세일정'!AM82="제외"),"",IF($D82=$E82,IF(AND($D82&gt;=DA$5,$D82&lt;DA$5+7),"◆",""),IF(AND($D82&lt;DA$5+7,$E82&gt;DA$5),"■","")))</x:f>
      </x:c>
      <x:c r="DB82" s="7" t="str">
        <x:f>IF(OR($D82="",DB$5="",'상세일정'!AM82="제외"),"",IF($D82=$E82,IF(AND($D82&gt;=DB$5,$D82&lt;DB$5+7),"◆",""),IF(AND($D82&lt;DB$5+7,$E82&gt;DB$5),"■","")))</x:f>
      </x:c>
      <x:c r="DC82" s="7" t="str">
        <x:f>IF(OR($D82="",DC$5="",'상세일정'!AM82="제외"),"",IF($D82=$E82,IF(AND($D82&gt;=DC$5,$D82&lt;DC$5+7),"◆",""),IF(AND($D82&lt;DC$5+7,$E82&gt;DC$5),"■","")))</x:f>
      </x:c>
      <x:c r="DD82" s="7" t="str">
        <x:f>IF(OR($D82="",DD$5="",'상세일정'!AM82="제외"),"",IF($D82=$E82,IF(AND($D82&gt;=DD$5,$D82&lt;DD$5+7),"◆",""),IF(AND($D82&lt;DD$5+7,$E82&gt;DD$5),"■","")))</x:f>
      </x:c>
      <x:c r="DE82" s="7" t="str">
        <x:f>IF(OR($D82="",DE$5="",'상세일정'!AM82="제외"),"",IF($D82=$E82,IF(AND($D82&gt;=DE$5,$D82&lt;DE$5+7),"◆",""),IF(AND($D82&lt;DE$5+7,$E82&gt;DE$5),"■","")))</x:f>
      </x:c>
    </x:row>
    <x:row r="83" ht="34" customHeight="1">
      <x:c r="A83" s="7" t="str">
        <x:v>KG09</x:v>
      </x:c>
      <x:c r="B83" s="7" t="str">
        <x:v>12 KGS 기술검토·허가</x:v>
      </x:c>
      <x:c r="C83" s="7" t="str">
        <x:v>고압가스 제조허가 신청자료 취합</x:v>
      </x:c>
      <x:c r="D83" s="10" t="str">
        <x:f>'상세일정'!AJ83</x:f>
      </x:c>
      <x:c r="E83" s="10" t="str">
        <x:f>'상세일정'!AK83</x:f>
      </x:c>
      <x:c r="F83" s="7" t="str">
        <x:f>IF(OR($D83="",F$5="",'상세일정'!AM83="제외"),"",IF($D83=$E83,IF(AND($D83&gt;=F$5,$D83&lt;F$5+7),"◆",""),IF(AND($D83&lt;F$5+7,$E83&gt;F$5),"■","")))</x:f>
      </x:c>
      <x:c r="G83" s="7" t="str">
        <x:f>IF(OR($D83="",G$5="",'상세일정'!AM83="제외"),"",IF($D83=$E83,IF(AND($D83&gt;=G$5,$D83&lt;G$5+7),"◆",""),IF(AND($D83&lt;G$5+7,$E83&gt;G$5),"■","")))</x:f>
      </x:c>
      <x:c r="H83" s="7" t="str">
        <x:f>IF(OR($D83="",H$5="",'상세일정'!AM83="제외"),"",IF($D83=$E83,IF(AND($D83&gt;=H$5,$D83&lt;H$5+7),"◆",""),IF(AND($D83&lt;H$5+7,$E83&gt;H$5),"■","")))</x:f>
      </x:c>
      <x:c r="I83" s="7" t="str">
        <x:f>IF(OR($D83="",I$5="",'상세일정'!AM83="제외"),"",IF($D83=$E83,IF(AND($D83&gt;=I$5,$D83&lt;I$5+7),"◆",""),IF(AND($D83&lt;I$5+7,$E83&gt;I$5),"■","")))</x:f>
      </x:c>
      <x:c r="J83" s="7" t="str">
        <x:f>IF(OR($D83="",J$5="",'상세일정'!AM83="제외"),"",IF($D83=$E83,IF(AND($D83&gt;=J$5,$D83&lt;J$5+7),"◆",""),IF(AND($D83&lt;J$5+7,$E83&gt;J$5),"■","")))</x:f>
      </x:c>
      <x:c r="K83" s="7" t="str">
        <x:f>IF(OR($D83="",K$5="",'상세일정'!AM83="제외"),"",IF($D83=$E83,IF(AND($D83&gt;=K$5,$D83&lt;K$5+7),"◆",""),IF(AND($D83&lt;K$5+7,$E83&gt;K$5),"■","")))</x:f>
      </x:c>
      <x:c r="L83" s="7" t="str">
        <x:f>IF(OR($D83="",L$5="",'상세일정'!AM83="제외"),"",IF($D83=$E83,IF(AND($D83&gt;=L$5,$D83&lt;L$5+7),"◆",""),IF(AND($D83&lt;L$5+7,$E83&gt;L$5),"■","")))</x:f>
      </x:c>
      <x:c r="M83" s="7" t="str">
        <x:f>IF(OR($D83="",M$5="",'상세일정'!AM83="제외"),"",IF($D83=$E83,IF(AND($D83&gt;=M$5,$D83&lt;M$5+7),"◆",""),IF(AND($D83&lt;M$5+7,$E83&gt;M$5),"■","")))</x:f>
      </x:c>
      <x:c r="N83" s="7" t="str">
        <x:f>IF(OR($D83="",N$5="",'상세일정'!AM83="제외"),"",IF($D83=$E83,IF(AND($D83&gt;=N$5,$D83&lt;N$5+7),"◆",""),IF(AND($D83&lt;N$5+7,$E83&gt;N$5),"■","")))</x:f>
      </x:c>
      <x:c r="O83" s="7" t="str">
        <x:f>IF(OR($D83="",O$5="",'상세일정'!AM83="제외"),"",IF($D83=$E83,IF(AND($D83&gt;=O$5,$D83&lt;O$5+7),"◆",""),IF(AND($D83&lt;O$5+7,$E83&gt;O$5),"■","")))</x:f>
      </x:c>
      <x:c r="P83" s="7" t="str">
        <x:f>IF(OR($D83="",P$5="",'상세일정'!AM83="제외"),"",IF($D83=$E83,IF(AND($D83&gt;=P$5,$D83&lt;P$5+7),"◆",""),IF(AND($D83&lt;P$5+7,$E83&gt;P$5),"■","")))</x:f>
      </x:c>
      <x:c r="Q83" s="7" t="str">
        <x:f>IF(OR($D83="",Q$5="",'상세일정'!AM83="제외"),"",IF($D83=$E83,IF(AND($D83&gt;=Q$5,$D83&lt;Q$5+7),"◆",""),IF(AND($D83&lt;Q$5+7,$E83&gt;Q$5),"■","")))</x:f>
      </x:c>
      <x:c r="R83" s="7" t="str">
        <x:f>IF(OR($D83="",R$5="",'상세일정'!AM83="제외"),"",IF($D83=$E83,IF(AND($D83&gt;=R$5,$D83&lt;R$5+7),"◆",""),IF(AND($D83&lt;R$5+7,$E83&gt;R$5),"■","")))</x:f>
      </x:c>
      <x:c r="S83" s="7" t="str">
        <x:f>IF(OR($D83="",S$5="",'상세일정'!AM83="제외"),"",IF($D83=$E83,IF(AND($D83&gt;=S$5,$D83&lt;S$5+7),"◆",""),IF(AND($D83&lt;S$5+7,$E83&gt;S$5),"■","")))</x:f>
      </x:c>
      <x:c r="T83" s="7" t="str">
        <x:f>IF(OR($D83="",T$5="",'상세일정'!AM83="제외"),"",IF($D83=$E83,IF(AND($D83&gt;=T$5,$D83&lt;T$5+7),"◆",""),IF(AND($D83&lt;T$5+7,$E83&gt;T$5),"■","")))</x:f>
      </x:c>
      <x:c r="U83" s="7" t="str">
        <x:f>IF(OR($D83="",U$5="",'상세일정'!AM83="제외"),"",IF($D83=$E83,IF(AND($D83&gt;=U$5,$D83&lt;U$5+7),"◆",""),IF(AND($D83&lt;U$5+7,$E83&gt;U$5),"■","")))</x:f>
      </x:c>
      <x:c r="V83" s="7" t="str">
        <x:f>IF(OR($D83="",V$5="",'상세일정'!AM83="제외"),"",IF($D83=$E83,IF(AND($D83&gt;=V$5,$D83&lt;V$5+7),"◆",""),IF(AND($D83&lt;V$5+7,$E83&gt;V$5),"■","")))</x:f>
      </x:c>
      <x:c r="W83" s="7" t="str">
        <x:f>IF(OR($D83="",W$5="",'상세일정'!AM83="제외"),"",IF($D83=$E83,IF(AND($D83&gt;=W$5,$D83&lt;W$5+7),"◆",""),IF(AND($D83&lt;W$5+7,$E83&gt;W$5),"■","")))</x:f>
      </x:c>
      <x:c r="X83" s="7" t="str">
        <x:f>IF(OR($D83="",X$5="",'상세일정'!AM83="제외"),"",IF($D83=$E83,IF(AND($D83&gt;=X$5,$D83&lt;X$5+7),"◆",""),IF(AND($D83&lt;X$5+7,$E83&gt;X$5),"■","")))</x:f>
      </x:c>
      <x:c r="Y83" s="7" t="str">
        <x:f>IF(OR($D83="",Y$5="",'상세일정'!AM83="제외"),"",IF($D83=$E83,IF(AND($D83&gt;=Y$5,$D83&lt;Y$5+7),"◆",""),IF(AND($D83&lt;Y$5+7,$E83&gt;Y$5),"■","")))</x:f>
      </x:c>
      <x:c r="Z83" s="7" t="str">
        <x:f>IF(OR($D83="",Z$5="",'상세일정'!AM83="제외"),"",IF($D83=$E83,IF(AND($D83&gt;=Z$5,$D83&lt;Z$5+7),"◆",""),IF(AND($D83&lt;Z$5+7,$E83&gt;Z$5),"■","")))</x:f>
      </x:c>
      <x:c r="AA83" s="7" t="str">
        <x:f>IF(OR($D83="",AA$5="",'상세일정'!AM83="제외"),"",IF($D83=$E83,IF(AND($D83&gt;=AA$5,$D83&lt;AA$5+7),"◆",""),IF(AND($D83&lt;AA$5+7,$E83&gt;AA$5),"■","")))</x:f>
      </x:c>
      <x:c r="AB83" s="7" t="str">
        <x:f>IF(OR($D83="",AB$5="",'상세일정'!AM83="제외"),"",IF($D83=$E83,IF(AND($D83&gt;=AB$5,$D83&lt;AB$5+7),"◆",""),IF(AND($D83&lt;AB$5+7,$E83&gt;AB$5),"■","")))</x:f>
      </x:c>
      <x:c r="AC83" s="7" t="str">
        <x:f>IF(OR($D83="",AC$5="",'상세일정'!AM83="제외"),"",IF($D83=$E83,IF(AND($D83&gt;=AC$5,$D83&lt;AC$5+7),"◆",""),IF(AND($D83&lt;AC$5+7,$E83&gt;AC$5),"■","")))</x:f>
      </x:c>
      <x:c r="AD83" s="7" t="str">
        <x:f>IF(OR($D83="",AD$5="",'상세일정'!AM83="제외"),"",IF($D83=$E83,IF(AND($D83&gt;=AD$5,$D83&lt;AD$5+7),"◆",""),IF(AND($D83&lt;AD$5+7,$E83&gt;AD$5),"■","")))</x:f>
      </x:c>
      <x:c r="AE83" s="7" t="str">
        <x:f>IF(OR($D83="",AE$5="",'상세일정'!AM83="제외"),"",IF($D83=$E83,IF(AND($D83&gt;=AE$5,$D83&lt;AE$5+7),"◆",""),IF(AND($D83&lt;AE$5+7,$E83&gt;AE$5),"■","")))</x:f>
      </x:c>
      <x:c r="AF83" s="7" t="str">
        <x:f>IF(OR($D83="",AF$5="",'상세일정'!AM83="제외"),"",IF($D83=$E83,IF(AND($D83&gt;=AF$5,$D83&lt;AF$5+7),"◆",""),IF(AND($D83&lt;AF$5+7,$E83&gt;AF$5),"■","")))</x:f>
      </x:c>
      <x:c r="AG83" s="7" t="str">
        <x:f>IF(OR($D83="",AG$5="",'상세일정'!AM83="제외"),"",IF($D83=$E83,IF(AND($D83&gt;=AG$5,$D83&lt;AG$5+7),"◆",""),IF(AND($D83&lt;AG$5+7,$E83&gt;AG$5),"■","")))</x:f>
      </x:c>
      <x:c r="AH83" s="7" t="str">
        <x:f>IF(OR($D83="",AH$5="",'상세일정'!AM83="제외"),"",IF($D83=$E83,IF(AND($D83&gt;=AH$5,$D83&lt;AH$5+7),"◆",""),IF(AND($D83&lt;AH$5+7,$E83&gt;AH$5),"■","")))</x:f>
      </x:c>
      <x:c r="AI83" s="7" t="str">
        <x:f>IF(OR($D83="",AI$5="",'상세일정'!AM83="제외"),"",IF($D83=$E83,IF(AND($D83&gt;=AI$5,$D83&lt;AI$5+7),"◆",""),IF(AND($D83&lt;AI$5+7,$E83&gt;AI$5),"■","")))</x:f>
      </x:c>
      <x:c r="AJ83" s="7" t="str">
        <x:f>IF(OR($D83="",AJ$5="",'상세일정'!AM83="제외"),"",IF($D83=$E83,IF(AND($D83&gt;=AJ$5,$D83&lt;AJ$5+7),"◆",""),IF(AND($D83&lt;AJ$5+7,$E83&gt;AJ$5),"■","")))</x:f>
      </x:c>
      <x:c r="AK83" s="7" t="str">
        <x:f>IF(OR($D83="",AK$5="",'상세일정'!AM83="제외"),"",IF($D83=$E83,IF(AND($D83&gt;=AK$5,$D83&lt;AK$5+7),"◆",""),IF(AND($D83&lt;AK$5+7,$E83&gt;AK$5),"■","")))</x:f>
      </x:c>
      <x:c r="AL83" s="7" t="str">
        <x:f>IF(OR($D83="",AL$5="",'상세일정'!AM83="제외"),"",IF($D83=$E83,IF(AND($D83&gt;=AL$5,$D83&lt;AL$5+7),"◆",""),IF(AND($D83&lt;AL$5+7,$E83&gt;AL$5),"■","")))</x:f>
      </x:c>
      <x:c r="AM83" s="7" t="str">
        <x:f>IF(OR($D83="",AM$5="",'상세일정'!AM83="제외"),"",IF($D83=$E83,IF(AND($D83&gt;=AM$5,$D83&lt;AM$5+7),"◆",""),IF(AND($D83&lt;AM$5+7,$E83&gt;AM$5),"■","")))</x:f>
      </x:c>
      <x:c r="AN83" s="7" t="str">
        <x:f>IF(OR($D83="",AN$5="",'상세일정'!AM83="제외"),"",IF($D83=$E83,IF(AND($D83&gt;=AN$5,$D83&lt;AN$5+7),"◆",""),IF(AND($D83&lt;AN$5+7,$E83&gt;AN$5),"■","")))</x:f>
      </x:c>
      <x:c r="AO83" s="7" t="str">
        <x:f>IF(OR($D83="",AO$5="",'상세일정'!AM83="제외"),"",IF($D83=$E83,IF(AND($D83&gt;=AO$5,$D83&lt;AO$5+7),"◆",""),IF(AND($D83&lt;AO$5+7,$E83&gt;AO$5),"■","")))</x:f>
      </x:c>
      <x:c r="AP83" s="7" t="str">
        <x:f>IF(OR($D83="",AP$5="",'상세일정'!AM83="제외"),"",IF($D83=$E83,IF(AND($D83&gt;=AP$5,$D83&lt;AP$5+7),"◆",""),IF(AND($D83&lt;AP$5+7,$E83&gt;AP$5),"■","")))</x:f>
      </x:c>
      <x:c r="AQ83" s="7" t="str">
        <x:f>IF(OR($D83="",AQ$5="",'상세일정'!AM83="제외"),"",IF($D83=$E83,IF(AND($D83&gt;=AQ$5,$D83&lt;AQ$5+7),"◆",""),IF(AND($D83&lt;AQ$5+7,$E83&gt;AQ$5),"■","")))</x:f>
      </x:c>
      <x:c r="AR83" s="7" t="str">
        <x:f>IF(OR($D83="",AR$5="",'상세일정'!AM83="제외"),"",IF($D83=$E83,IF(AND($D83&gt;=AR$5,$D83&lt;AR$5+7),"◆",""),IF(AND($D83&lt;AR$5+7,$E83&gt;AR$5),"■","")))</x:f>
      </x:c>
      <x:c r="AS83" s="7" t="str">
        <x:f>IF(OR($D83="",AS$5="",'상세일정'!AM83="제외"),"",IF($D83=$E83,IF(AND($D83&gt;=AS$5,$D83&lt;AS$5+7),"◆",""),IF(AND($D83&lt;AS$5+7,$E83&gt;AS$5),"■","")))</x:f>
      </x:c>
      <x:c r="AT83" s="7" t="str">
        <x:f>IF(OR($D83="",AT$5="",'상세일정'!AM83="제외"),"",IF($D83=$E83,IF(AND($D83&gt;=AT$5,$D83&lt;AT$5+7),"◆",""),IF(AND($D83&lt;AT$5+7,$E83&gt;AT$5),"■","")))</x:f>
      </x:c>
      <x:c r="AU83" s="7" t="str">
        <x:f>IF(OR($D83="",AU$5="",'상세일정'!AM83="제외"),"",IF($D83=$E83,IF(AND($D83&gt;=AU$5,$D83&lt;AU$5+7),"◆",""),IF(AND($D83&lt;AU$5+7,$E83&gt;AU$5),"■","")))</x:f>
      </x:c>
      <x:c r="AV83" s="7" t="str">
        <x:f>IF(OR($D83="",AV$5="",'상세일정'!AM83="제외"),"",IF($D83=$E83,IF(AND($D83&gt;=AV$5,$D83&lt;AV$5+7),"◆",""),IF(AND($D83&lt;AV$5+7,$E83&gt;AV$5),"■","")))</x:f>
      </x:c>
      <x:c r="AW83" s="7" t="str">
        <x:f>IF(OR($D83="",AW$5="",'상세일정'!AM83="제외"),"",IF($D83=$E83,IF(AND($D83&gt;=AW$5,$D83&lt;AW$5+7),"◆",""),IF(AND($D83&lt;AW$5+7,$E83&gt;AW$5),"■","")))</x:f>
      </x:c>
      <x:c r="AX83" s="7" t="str">
        <x:f>IF(OR($D83="",AX$5="",'상세일정'!AM83="제외"),"",IF($D83=$E83,IF(AND($D83&gt;=AX$5,$D83&lt;AX$5+7),"◆",""),IF(AND($D83&lt;AX$5+7,$E83&gt;AX$5),"■","")))</x:f>
      </x:c>
      <x:c r="AY83" s="7" t="str">
        <x:f>IF(OR($D83="",AY$5="",'상세일정'!AM83="제외"),"",IF($D83=$E83,IF(AND($D83&gt;=AY$5,$D83&lt;AY$5+7),"◆",""),IF(AND($D83&lt;AY$5+7,$E83&gt;AY$5),"■","")))</x:f>
      </x:c>
      <x:c r="AZ83" s="7" t="str">
        <x:f>IF(OR($D83="",AZ$5="",'상세일정'!AM83="제외"),"",IF($D83=$E83,IF(AND($D83&gt;=AZ$5,$D83&lt;AZ$5+7),"◆",""),IF(AND($D83&lt;AZ$5+7,$E83&gt;AZ$5),"■","")))</x:f>
      </x:c>
      <x:c r="BA83" s="7" t="str">
        <x:f>IF(OR($D83="",BA$5="",'상세일정'!AM83="제외"),"",IF($D83=$E83,IF(AND($D83&gt;=BA$5,$D83&lt;BA$5+7),"◆",""),IF(AND($D83&lt;BA$5+7,$E83&gt;BA$5),"■","")))</x:f>
      </x:c>
      <x:c r="BB83" s="7" t="str">
        <x:f>IF(OR($D83="",BB$5="",'상세일정'!AM83="제외"),"",IF($D83=$E83,IF(AND($D83&gt;=BB$5,$D83&lt;BB$5+7),"◆",""),IF(AND($D83&lt;BB$5+7,$E83&gt;BB$5),"■","")))</x:f>
      </x:c>
      <x:c r="BC83" s="7" t="str">
        <x:f>IF(OR($D83="",BC$5="",'상세일정'!AM83="제외"),"",IF($D83=$E83,IF(AND($D83&gt;=BC$5,$D83&lt;BC$5+7),"◆",""),IF(AND($D83&lt;BC$5+7,$E83&gt;BC$5),"■","")))</x:f>
      </x:c>
      <x:c r="BD83" s="7" t="str">
        <x:f>IF(OR($D83="",BD$5="",'상세일정'!AM83="제외"),"",IF($D83=$E83,IF(AND($D83&gt;=BD$5,$D83&lt;BD$5+7),"◆",""),IF(AND($D83&lt;BD$5+7,$E83&gt;BD$5),"■","")))</x:f>
      </x:c>
      <x:c r="BE83" s="7" t="str">
        <x:f>IF(OR($D83="",BE$5="",'상세일정'!AM83="제외"),"",IF($D83=$E83,IF(AND($D83&gt;=BE$5,$D83&lt;BE$5+7),"◆",""),IF(AND($D83&lt;BE$5+7,$E83&gt;BE$5),"■","")))</x:f>
      </x:c>
      <x:c r="BF83" s="7" t="str">
        <x:f>IF(OR($D83="",BF$5="",'상세일정'!AM83="제외"),"",IF($D83=$E83,IF(AND($D83&gt;=BF$5,$D83&lt;BF$5+7),"◆",""),IF(AND($D83&lt;BF$5+7,$E83&gt;BF$5),"■","")))</x:f>
      </x:c>
      <x:c r="BG83" s="7" t="str">
        <x:f>IF(OR($D83="",BG$5="",'상세일정'!AM83="제외"),"",IF($D83=$E83,IF(AND($D83&gt;=BG$5,$D83&lt;BG$5+7),"◆",""),IF(AND($D83&lt;BG$5+7,$E83&gt;BG$5),"■","")))</x:f>
      </x:c>
      <x:c r="BH83" s="7" t="str">
        <x:f>IF(OR($D83="",BH$5="",'상세일정'!AM83="제외"),"",IF($D83=$E83,IF(AND($D83&gt;=BH$5,$D83&lt;BH$5+7),"◆",""),IF(AND($D83&lt;BH$5+7,$E83&gt;BH$5),"■","")))</x:f>
      </x:c>
      <x:c r="BI83" s="7" t="str">
        <x:f>IF(OR($D83="",BI$5="",'상세일정'!AM83="제외"),"",IF($D83=$E83,IF(AND($D83&gt;=BI$5,$D83&lt;BI$5+7),"◆",""),IF(AND($D83&lt;BI$5+7,$E83&gt;BI$5),"■","")))</x:f>
      </x:c>
      <x:c r="BJ83" s="7" t="str">
        <x:f>IF(OR($D83="",BJ$5="",'상세일정'!AM83="제외"),"",IF($D83=$E83,IF(AND($D83&gt;=BJ$5,$D83&lt;BJ$5+7),"◆",""),IF(AND($D83&lt;BJ$5+7,$E83&gt;BJ$5),"■","")))</x:f>
      </x:c>
      <x:c r="BK83" s="7" t="str">
        <x:f>IF(OR($D83="",BK$5="",'상세일정'!AM83="제외"),"",IF($D83=$E83,IF(AND($D83&gt;=BK$5,$D83&lt;BK$5+7),"◆",""),IF(AND($D83&lt;BK$5+7,$E83&gt;BK$5),"■","")))</x:f>
      </x:c>
      <x:c r="BL83" s="7" t="str">
        <x:f>IF(OR($D83="",BL$5="",'상세일정'!AM83="제외"),"",IF($D83=$E83,IF(AND($D83&gt;=BL$5,$D83&lt;BL$5+7),"◆",""),IF(AND($D83&lt;BL$5+7,$E83&gt;BL$5),"■","")))</x:f>
      </x:c>
      <x:c r="BM83" s="7" t="str">
        <x:f>IF(OR($D83="",BM$5="",'상세일정'!AM83="제외"),"",IF($D83=$E83,IF(AND($D83&gt;=BM$5,$D83&lt;BM$5+7),"◆",""),IF(AND($D83&lt;BM$5+7,$E83&gt;BM$5),"■","")))</x:f>
      </x:c>
      <x:c r="BN83" s="7" t="str">
        <x:f>IF(OR($D83="",BN$5="",'상세일정'!AM83="제외"),"",IF($D83=$E83,IF(AND($D83&gt;=BN$5,$D83&lt;BN$5+7),"◆",""),IF(AND($D83&lt;BN$5+7,$E83&gt;BN$5),"■","")))</x:f>
      </x:c>
      <x:c r="BO83" s="7" t="str">
        <x:f>IF(OR($D83="",BO$5="",'상세일정'!AM83="제외"),"",IF($D83=$E83,IF(AND($D83&gt;=BO$5,$D83&lt;BO$5+7),"◆",""),IF(AND($D83&lt;BO$5+7,$E83&gt;BO$5),"■","")))</x:f>
      </x:c>
      <x:c r="BP83" s="7" t="str">
        <x:f>IF(OR($D83="",BP$5="",'상세일정'!AM83="제외"),"",IF($D83=$E83,IF(AND($D83&gt;=BP$5,$D83&lt;BP$5+7),"◆",""),IF(AND($D83&lt;BP$5+7,$E83&gt;BP$5),"■","")))</x:f>
      </x:c>
      <x:c r="BQ83" s="7" t="str">
        <x:f>IF(OR($D83="",BQ$5="",'상세일정'!AM83="제외"),"",IF($D83=$E83,IF(AND($D83&gt;=BQ$5,$D83&lt;BQ$5+7),"◆",""),IF(AND($D83&lt;BQ$5+7,$E83&gt;BQ$5),"■","")))</x:f>
      </x:c>
      <x:c r="BR83" s="7" t="str">
        <x:f>IF(OR($D83="",BR$5="",'상세일정'!AM83="제외"),"",IF($D83=$E83,IF(AND($D83&gt;=BR$5,$D83&lt;BR$5+7),"◆",""),IF(AND($D83&lt;BR$5+7,$E83&gt;BR$5),"■","")))</x:f>
      </x:c>
      <x:c r="BS83" s="7" t="str">
        <x:f>IF(OR($D83="",BS$5="",'상세일정'!AM83="제외"),"",IF($D83=$E83,IF(AND($D83&gt;=BS$5,$D83&lt;BS$5+7),"◆",""),IF(AND($D83&lt;BS$5+7,$E83&gt;BS$5),"■","")))</x:f>
      </x:c>
      <x:c r="BT83" s="7" t="str">
        <x:f>IF(OR($D83="",BT$5="",'상세일정'!AM83="제외"),"",IF($D83=$E83,IF(AND($D83&gt;=BT$5,$D83&lt;BT$5+7),"◆",""),IF(AND($D83&lt;BT$5+7,$E83&gt;BT$5),"■","")))</x:f>
      </x:c>
      <x:c r="BU83" s="7" t="str">
        <x:f>IF(OR($D83="",BU$5="",'상세일정'!AM83="제외"),"",IF($D83=$E83,IF(AND($D83&gt;=BU$5,$D83&lt;BU$5+7),"◆",""),IF(AND($D83&lt;BU$5+7,$E83&gt;BU$5),"■","")))</x:f>
      </x:c>
      <x:c r="BV83" s="7" t="str">
        <x:f>IF(OR($D83="",BV$5="",'상세일정'!AM83="제외"),"",IF($D83=$E83,IF(AND($D83&gt;=BV$5,$D83&lt;BV$5+7),"◆",""),IF(AND($D83&lt;BV$5+7,$E83&gt;BV$5),"■","")))</x:f>
      </x:c>
      <x:c r="BW83" s="7" t="str">
        <x:f>IF(OR($D83="",BW$5="",'상세일정'!AM83="제외"),"",IF($D83=$E83,IF(AND($D83&gt;=BW$5,$D83&lt;BW$5+7),"◆",""),IF(AND($D83&lt;BW$5+7,$E83&gt;BW$5),"■","")))</x:f>
      </x:c>
      <x:c r="BX83" s="7" t="str">
        <x:f>IF(OR($D83="",BX$5="",'상세일정'!AM83="제외"),"",IF($D83=$E83,IF(AND($D83&gt;=BX$5,$D83&lt;BX$5+7),"◆",""),IF(AND($D83&lt;BX$5+7,$E83&gt;BX$5),"■","")))</x:f>
      </x:c>
      <x:c r="BY83" s="7" t="str">
        <x:f>IF(OR($D83="",BY$5="",'상세일정'!AM83="제외"),"",IF($D83=$E83,IF(AND($D83&gt;=BY$5,$D83&lt;BY$5+7),"◆",""),IF(AND($D83&lt;BY$5+7,$E83&gt;BY$5),"■","")))</x:f>
      </x:c>
      <x:c r="BZ83" s="7" t="str">
        <x:f>IF(OR($D83="",BZ$5="",'상세일정'!AM83="제외"),"",IF($D83=$E83,IF(AND($D83&gt;=BZ$5,$D83&lt;BZ$5+7),"◆",""),IF(AND($D83&lt;BZ$5+7,$E83&gt;BZ$5),"■","")))</x:f>
      </x:c>
      <x:c r="CA83" s="7" t="str">
        <x:f>IF(OR($D83="",CA$5="",'상세일정'!AM83="제외"),"",IF($D83=$E83,IF(AND($D83&gt;=CA$5,$D83&lt;CA$5+7),"◆",""),IF(AND($D83&lt;CA$5+7,$E83&gt;CA$5),"■","")))</x:f>
      </x:c>
      <x:c r="CB83" s="7" t="str">
        <x:f>IF(OR($D83="",CB$5="",'상세일정'!AM83="제외"),"",IF($D83=$E83,IF(AND($D83&gt;=CB$5,$D83&lt;CB$5+7),"◆",""),IF(AND($D83&lt;CB$5+7,$E83&gt;CB$5),"■","")))</x:f>
      </x:c>
      <x:c r="CC83" s="7" t="str">
        <x:f>IF(OR($D83="",CC$5="",'상세일정'!AM83="제외"),"",IF($D83=$E83,IF(AND($D83&gt;=CC$5,$D83&lt;CC$5+7),"◆",""),IF(AND($D83&lt;CC$5+7,$E83&gt;CC$5),"■","")))</x:f>
      </x:c>
      <x:c r="CD83" s="7" t="str">
        <x:f>IF(OR($D83="",CD$5="",'상세일정'!AM83="제외"),"",IF($D83=$E83,IF(AND($D83&gt;=CD$5,$D83&lt;CD$5+7),"◆",""),IF(AND($D83&lt;CD$5+7,$E83&gt;CD$5),"■","")))</x:f>
      </x:c>
      <x:c r="CE83" s="7" t="str">
        <x:f>IF(OR($D83="",CE$5="",'상세일정'!AM83="제외"),"",IF($D83=$E83,IF(AND($D83&gt;=CE$5,$D83&lt;CE$5+7),"◆",""),IF(AND($D83&lt;CE$5+7,$E83&gt;CE$5),"■","")))</x:f>
      </x:c>
      <x:c r="CF83" s="7" t="str">
        <x:f>IF(OR($D83="",CF$5="",'상세일정'!AM83="제외"),"",IF($D83=$E83,IF(AND($D83&gt;=CF$5,$D83&lt;CF$5+7),"◆",""),IF(AND($D83&lt;CF$5+7,$E83&gt;CF$5),"■","")))</x:f>
      </x:c>
      <x:c r="CG83" s="7" t="str">
        <x:f>IF(OR($D83="",CG$5="",'상세일정'!AM83="제외"),"",IF($D83=$E83,IF(AND($D83&gt;=CG$5,$D83&lt;CG$5+7),"◆",""),IF(AND($D83&lt;CG$5+7,$E83&gt;CG$5),"■","")))</x:f>
      </x:c>
      <x:c r="CH83" s="7" t="str">
        <x:f>IF(OR($D83="",CH$5="",'상세일정'!AM83="제외"),"",IF($D83=$E83,IF(AND($D83&gt;=CH$5,$D83&lt;CH$5+7),"◆",""),IF(AND($D83&lt;CH$5+7,$E83&gt;CH$5),"■","")))</x:f>
      </x:c>
      <x:c r="CI83" s="7" t="str">
        <x:f>IF(OR($D83="",CI$5="",'상세일정'!AM83="제외"),"",IF($D83=$E83,IF(AND($D83&gt;=CI$5,$D83&lt;CI$5+7),"◆",""),IF(AND($D83&lt;CI$5+7,$E83&gt;CI$5),"■","")))</x:f>
      </x:c>
      <x:c r="CJ83" s="7" t="str">
        <x:f>IF(OR($D83="",CJ$5="",'상세일정'!AM83="제외"),"",IF($D83=$E83,IF(AND($D83&gt;=CJ$5,$D83&lt;CJ$5+7),"◆",""),IF(AND($D83&lt;CJ$5+7,$E83&gt;CJ$5),"■","")))</x:f>
      </x:c>
      <x:c r="CK83" s="7" t="str">
        <x:f>IF(OR($D83="",CK$5="",'상세일정'!AM83="제외"),"",IF($D83=$E83,IF(AND($D83&gt;=CK$5,$D83&lt;CK$5+7),"◆",""),IF(AND($D83&lt;CK$5+7,$E83&gt;CK$5),"■","")))</x:f>
      </x:c>
      <x:c r="CL83" s="7" t="str">
        <x:f>IF(OR($D83="",CL$5="",'상세일정'!AM83="제외"),"",IF($D83=$E83,IF(AND($D83&gt;=CL$5,$D83&lt;CL$5+7),"◆",""),IF(AND($D83&lt;CL$5+7,$E83&gt;CL$5),"■","")))</x:f>
      </x:c>
      <x:c r="CM83" s="7" t="str">
        <x:f>IF(OR($D83="",CM$5="",'상세일정'!AM83="제외"),"",IF($D83=$E83,IF(AND($D83&gt;=CM$5,$D83&lt;CM$5+7),"◆",""),IF(AND($D83&lt;CM$5+7,$E83&gt;CM$5),"■","")))</x:f>
      </x:c>
      <x:c r="CN83" s="7" t="str">
        <x:f>IF(OR($D83="",CN$5="",'상세일정'!AM83="제외"),"",IF($D83=$E83,IF(AND($D83&gt;=CN$5,$D83&lt;CN$5+7),"◆",""),IF(AND($D83&lt;CN$5+7,$E83&gt;CN$5),"■","")))</x:f>
      </x:c>
      <x:c r="CO83" s="7" t="str">
        <x:f>IF(OR($D83="",CO$5="",'상세일정'!AM83="제외"),"",IF($D83=$E83,IF(AND($D83&gt;=CO$5,$D83&lt;CO$5+7),"◆",""),IF(AND($D83&lt;CO$5+7,$E83&gt;CO$5),"■","")))</x:f>
      </x:c>
      <x:c r="CP83" s="7" t="str">
        <x:f>IF(OR($D83="",CP$5="",'상세일정'!AM83="제외"),"",IF($D83=$E83,IF(AND($D83&gt;=CP$5,$D83&lt;CP$5+7),"◆",""),IF(AND($D83&lt;CP$5+7,$E83&gt;CP$5),"■","")))</x:f>
      </x:c>
      <x:c r="CQ83" s="7" t="str">
        <x:f>IF(OR($D83="",CQ$5="",'상세일정'!AM83="제외"),"",IF($D83=$E83,IF(AND($D83&gt;=CQ$5,$D83&lt;CQ$5+7),"◆",""),IF(AND($D83&lt;CQ$5+7,$E83&gt;CQ$5),"■","")))</x:f>
      </x:c>
      <x:c r="CR83" s="7" t="str">
        <x:f>IF(OR($D83="",CR$5="",'상세일정'!AM83="제외"),"",IF($D83=$E83,IF(AND($D83&gt;=CR$5,$D83&lt;CR$5+7),"◆",""),IF(AND($D83&lt;CR$5+7,$E83&gt;CR$5),"■","")))</x:f>
      </x:c>
      <x:c r="CS83" s="7" t="str">
        <x:f>IF(OR($D83="",CS$5="",'상세일정'!AM83="제외"),"",IF($D83=$E83,IF(AND($D83&gt;=CS$5,$D83&lt;CS$5+7),"◆",""),IF(AND($D83&lt;CS$5+7,$E83&gt;CS$5),"■","")))</x:f>
      </x:c>
      <x:c r="CT83" s="7" t="str">
        <x:f>IF(OR($D83="",CT$5="",'상세일정'!AM83="제외"),"",IF($D83=$E83,IF(AND($D83&gt;=CT$5,$D83&lt;CT$5+7),"◆",""),IF(AND($D83&lt;CT$5+7,$E83&gt;CT$5),"■","")))</x:f>
      </x:c>
      <x:c r="CU83" s="7" t="str">
        <x:f>IF(OR($D83="",CU$5="",'상세일정'!AM83="제외"),"",IF($D83=$E83,IF(AND($D83&gt;=CU$5,$D83&lt;CU$5+7),"◆",""),IF(AND($D83&lt;CU$5+7,$E83&gt;CU$5),"■","")))</x:f>
      </x:c>
      <x:c r="CV83" s="7" t="str">
        <x:f>IF(OR($D83="",CV$5="",'상세일정'!AM83="제외"),"",IF($D83=$E83,IF(AND($D83&gt;=CV$5,$D83&lt;CV$5+7),"◆",""),IF(AND($D83&lt;CV$5+7,$E83&gt;CV$5),"■","")))</x:f>
      </x:c>
      <x:c r="CW83" s="7" t="str">
        <x:f>IF(OR($D83="",CW$5="",'상세일정'!AM83="제외"),"",IF($D83=$E83,IF(AND($D83&gt;=CW$5,$D83&lt;CW$5+7),"◆",""),IF(AND($D83&lt;CW$5+7,$E83&gt;CW$5),"■","")))</x:f>
      </x:c>
      <x:c r="CX83" s="7" t="str">
        <x:f>IF(OR($D83="",CX$5="",'상세일정'!AM83="제외"),"",IF($D83=$E83,IF(AND($D83&gt;=CX$5,$D83&lt;CX$5+7),"◆",""),IF(AND($D83&lt;CX$5+7,$E83&gt;CX$5),"■","")))</x:f>
      </x:c>
      <x:c r="CY83" s="7" t="str">
        <x:f>IF(OR($D83="",CY$5="",'상세일정'!AM83="제외"),"",IF($D83=$E83,IF(AND($D83&gt;=CY$5,$D83&lt;CY$5+7),"◆",""),IF(AND($D83&lt;CY$5+7,$E83&gt;CY$5),"■","")))</x:f>
      </x:c>
      <x:c r="CZ83" s="7" t="str">
        <x:f>IF(OR($D83="",CZ$5="",'상세일정'!AM83="제외"),"",IF($D83=$E83,IF(AND($D83&gt;=CZ$5,$D83&lt;CZ$5+7),"◆",""),IF(AND($D83&lt;CZ$5+7,$E83&gt;CZ$5),"■","")))</x:f>
      </x:c>
      <x:c r="DA83" s="7" t="str">
        <x:f>IF(OR($D83="",DA$5="",'상세일정'!AM83="제외"),"",IF($D83=$E83,IF(AND($D83&gt;=DA$5,$D83&lt;DA$5+7),"◆",""),IF(AND($D83&lt;DA$5+7,$E83&gt;DA$5),"■","")))</x:f>
      </x:c>
      <x:c r="DB83" s="7" t="str">
        <x:f>IF(OR($D83="",DB$5="",'상세일정'!AM83="제외"),"",IF($D83=$E83,IF(AND($D83&gt;=DB$5,$D83&lt;DB$5+7),"◆",""),IF(AND($D83&lt;DB$5+7,$E83&gt;DB$5),"■","")))</x:f>
      </x:c>
      <x:c r="DC83" s="7" t="str">
        <x:f>IF(OR($D83="",DC$5="",'상세일정'!AM83="제외"),"",IF($D83=$E83,IF(AND($D83&gt;=DC$5,$D83&lt;DC$5+7),"◆",""),IF(AND($D83&lt;DC$5+7,$E83&gt;DC$5),"■","")))</x:f>
      </x:c>
      <x:c r="DD83" s="7" t="str">
        <x:f>IF(OR($D83="",DD$5="",'상세일정'!AM83="제외"),"",IF($D83=$E83,IF(AND($D83&gt;=DD$5,$D83&lt;DD$5+7),"◆",""),IF(AND($D83&lt;DD$5+7,$E83&gt;DD$5),"■","")))</x:f>
      </x:c>
      <x:c r="DE83" s="7" t="str">
        <x:f>IF(OR($D83="",DE$5="",'상세일정'!AM83="제외"),"",IF($D83=$E83,IF(AND($D83&gt;=DE$5,$D83&lt;DE$5+7),"◆",""),IF(AND($D83&lt;DE$5+7,$E83&gt;DE$5),"■","")))</x:f>
      </x:c>
    </x:row>
    <x:row r="84" ht="34" customHeight="1">
      <x:c r="A84" s="7" t="str">
        <x:v>KG10</x:v>
      </x:c>
      <x:c r="B84" s="7" t="str">
        <x:v>12 KGS 기술검토·허가</x:v>
      </x:c>
      <x:c r="C84" s="7" t="str">
        <x:v>허가관청 신청·보완·제조허가 확보</x:v>
      </x:c>
      <x:c r="D84" s="10" t="str">
        <x:f>'상세일정'!AJ84</x:f>
      </x:c>
      <x:c r="E84" s="10" t="str">
        <x:f>'상세일정'!AK84</x:f>
      </x:c>
      <x:c r="F84" s="7" t="str">
        <x:f>IF(OR($D84="",F$5="",'상세일정'!AM84="제외"),"",IF($D84=$E84,IF(AND($D84&gt;=F$5,$D84&lt;F$5+7),"◆",""),IF(AND($D84&lt;F$5+7,$E84&gt;F$5),"■","")))</x:f>
      </x:c>
      <x:c r="G84" s="7" t="str">
        <x:f>IF(OR($D84="",G$5="",'상세일정'!AM84="제외"),"",IF($D84=$E84,IF(AND($D84&gt;=G$5,$D84&lt;G$5+7),"◆",""),IF(AND($D84&lt;G$5+7,$E84&gt;G$5),"■","")))</x:f>
      </x:c>
      <x:c r="H84" s="7" t="str">
        <x:f>IF(OR($D84="",H$5="",'상세일정'!AM84="제외"),"",IF($D84=$E84,IF(AND($D84&gt;=H$5,$D84&lt;H$5+7),"◆",""),IF(AND($D84&lt;H$5+7,$E84&gt;H$5),"■","")))</x:f>
      </x:c>
      <x:c r="I84" s="7" t="str">
        <x:f>IF(OR($D84="",I$5="",'상세일정'!AM84="제외"),"",IF($D84=$E84,IF(AND($D84&gt;=I$5,$D84&lt;I$5+7),"◆",""),IF(AND($D84&lt;I$5+7,$E84&gt;I$5),"■","")))</x:f>
      </x:c>
      <x:c r="J84" s="7" t="str">
        <x:f>IF(OR($D84="",J$5="",'상세일정'!AM84="제외"),"",IF($D84=$E84,IF(AND($D84&gt;=J$5,$D84&lt;J$5+7),"◆",""),IF(AND($D84&lt;J$5+7,$E84&gt;J$5),"■","")))</x:f>
      </x:c>
      <x:c r="K84" s="7" t="str">
        <x:f>IF(OR($D84="",K$5="",'상세일정'!AM84="제외"),"",IF($D84=$E84,IF(AND($D84&gt;=K$5,$D84&lt;K$5+7),"◆",""),IF(AND($D84&lt;K$5+7,$E84&gt;K$5),"■","")))</x:f>
      </x:c>
      <x:c r="L84" s="7" t="str">
        <x:f>IF(OR($D84="",L$5="",'상세일정'!AM84="제외"),"",IF($D84=$E84,IF(AND($D84&gt;=L$5,$D84&lt;L$5+7),"◆",""),IF(AND($D84&lt;L$5+7,$E84&gt;L$5),"■","")))</x:f>
      </x:c>
      <x:c r="M84" s="7" t="str">
        <x:f>IF(OR($D84="",M$5="",'상세일정'!AM84="제외"),"",IF($D84=$E84,IF(AND($D84&gt;=M$5,$D84&lt;M$5+7),"◆",""),IF(AND($D84&lt;M$5+7,$E84&gt;M$5),"■","")))</x:f>
      </x:c>
      <x:c r="N84" s="7" t="str">
        <x:f>IF(OR($D84="",N$5="",'상세일정'!AM84="제외"),"",IF($D84=$E84,IF(AND($D84&gt;=N$5,$D84&lt;N$5+7),"◆",""),IF(AND($D84&lt;N$5+7,$E84&gt;N$5),"■","")))</x:f>
      </x:c>
      <x:c r="O84" s="7" t="str">
        <x:f>IF(OR($D84="",O$5="",'상세일정'!AM84="제외"),"",IF($D84=$E84,IF(AND($D84&gt;=O$5,$D84&lt;O$5+7),"◆",""),IF(AND($D84&lt;O$5+7,$E84&gt;O$5),"■","")))</x:f>
      </x:c>
      <x:c r="P84" s="7" t="str">
        <x:f>IF(OR($D84="",P$5="",'상세일정'!AM84="제외"),"",IF($D84=$E84,IF(AND($D84&gt;=P$5,$D84&lt;P$5+7),"◆",""),IF(AND($D84&lt;P$5+7,$E84&gt;P$5),"■","")))</x:f>
      </x:c>
      <x:c r="Q84" s="7" t="str">
        <x:f>IF(OR($D84="",Q$5="",'상세일정'!AM84="제외"),"",IF($D84=$E84,IF(AND($D84&gt;=Q$5,$D84&lt;Q$5+7),"◆",""),IF(AND($D84&lt;Q$5+7,$E84&gt;Q$5),"■","")))</x:f>
      </x:c>
      <x:c r="R84" s="7" t="str">
        <x:f>IF(OR($D84="",R$5="",'상세일정'!AM84="제외"),"",IF($D84=$E84,IF(AND($D84&gt;=R$5,$D84&lt;R$5+7),"◆",""),IF(AND($D84&lt;R$5+7,$E84&gt;R$5),"■","")))</x:f>
      </x:c>
      <x:c r="S84" s="7" t="str">
        <x:f>IF(OR($D84="",S$5="",'상세일정'!AM84="제외"),"",IF($D84=$E84,IF(AND($D84&gt;=S$5,$D84&lt;S$5+7),"◆",""),IF(AND($D84&lt;S$5+7,$E84&gt;S$5),"■","")))</x:f>
      </x:c>
      <x:c r="T84" s="7" t="str">
        <x:f>IF(OR($D84="",T$5="",'상세일정'!AM84="제외"),"",IF($D84=$E84,IF(AND($D84&gt;=T$5,$D84&lt;T$5+7),"◆",""),IF(AND($D84&lt;T$5+7,$E84&gt;T$5),"■","")))</x:f>
      </x:c>
      <x:c r="U84" s="7" t="str">
        <x:f>IF(OR($D84="",U$5="",'상세일정'!AM84="제외"),"",IF($D84=$E84,IF(AND($D84&gt;=U$5,$D84&lt;U$5+7),"◆",""),IF(AND($D84&lt;U$5+7,$E84&gt;U$5),"■","")))</x:f>
      </x:c>
      <x:c r="V84" s="7" t="str">
        <x:f>IF(OR($D84="",V$5="",'상세일정'!AM84="제외"),"",IF($D84=$E84,IF(AND($D84&gt;=V$5,$D84&lt;V$5+7),"◆",""),IF(AND($D84&lt;V$5+7,$E84&gt;V$5),"■","")))</x:f>
      </x:c>
      <x:c r="W84" s="7" t="str">
        <x:f>IF(OR($D84="",W$5="",'상세일정'!AM84="제외"),"",IF($D84=$E84,IF(AND($D84&gt;=W$5,$D84&lt;W$5+7),"◆",""),IF(AND($D84&lt;W$5+7,$E84&gt;W$5),"■","")))</x:f>
      </x:c>
      <x:c r="X84" s="7" t="str">
        <x:f>IF(OR($D84="",X$5="",'상세일정'!AM84="제외"),"",IF($D84=$E84,IF(AND($D84&gt;=X$5,$D84&lt;X$5+7),"◆",""),IF(AND($D84&lt;X$5+7,$E84&gt;X$5),"■","")))</x:f>
      </x:c>
      <x:c r="Y84" s="7" t="str">
        <x:f>IF(OR($D84="",Y$5="",'상세일정'!AM84="제외"),"",IF($D84=$E84,IF(AND($D84&gt;=Y$5,$D84&lt;Y$5+7),"◆",""),IF(AND($D84&lt;Y$5+7,$E84&gt;Y$5),"■","")))</x:f>
      </x:c>
      <x:c r="Z84" s="7" t="str">
        <x:f>IF(OR($D84="",Z$5="",'상세일정'!AM84="제외"),"",IF($D84=$E84,IF(AND($D84&gt;=Z$5,$D84&lt;Z$5+7),"◆",""),IF(AND($D84&lt;Z$5+7,$E84&gt;Z$5),"■","")))</x:f>
      </x:c>
      <x:c r="AA84" s="7" t="str">
        <x:f>IF(OR($D84="",AA$5="",'상세일정'!AM84="제외"),"",IF($D84=$E84,IF(AND($D84&gt;=AA$5,$D84&lt;AA$5+7),"◆",""),IF(AND($D84&lt;AA$5+7,$E84&gt;AA$5),"■","")))</x:f>
      </x:c>
      <x:c r="AB84" s="7" t="str">
        <x:f>IF(OR($D84="",AB$5="",'상세일정'!AM84="제외"),"",IF($D84=$E84,IF(AND($D84&gt;=AB$5,$D84&lt;AB$5+7),"◆",""),IF(AND($D84&lt;AB$5+7,$E84&gt;AB$5),"■","")))</x:f>
      </x:c>
      <x:c r="AC84" s="7" t="str">
        <x:f>IF(OR($D84="",AC$5="",'상세일정'!AM84="제외"),"",IF($D84=$E84,IF(AND($D84&gt;=AC$5,$D84&lt;AC$5+7),"◆",""),IF(AND($D84&lt;AC$5+7,$E84&gt;AC$5),"■","")))</x:f>
      </x:c>
      <x:c r="AD84" s="7" t="str">
        <x:f>IF(OR($D84="",AD$5="",'상세일정'!AM84="제외"),"",IF($D84=$E84,IF(AND($D84&gt;=AD$5,$D84&lt;AD$5+7),"◆",""),IF(AND($D84&lt;AD$5+7,$E84&gt;AD$5),"■","")))</x:f>
      </x:c>
      <x:c r="AE84" s="7" t="str">
        <x:f>IF(OR($D84="",AE$5="",'상세일정'!AM84="제외"),"",IF($D84=$E84,IF(AND($D84&gt;=AE$5,$D84&lt;AE$5+7),"◆",""),IF(AND($D84&lt;AE$5+7,$E84&gt;AE$5),"■","")))</x:f>
      </x:c>
      <x:c r="AF84" s="7" t="str">
        <x:f>IF(OR($D84="",AF$5="",'상세일정'!AM84="제외"),"",IF($D84=$E84,IF(AND($D84&gt;=AF$5,$D84&lt;AF$5+7),"◆",""),IF(AND($D84&lt;AF$5+7,$E84&gt;AF$5),"■","")))</x:f>
      </x:c>
      <x:c r="AG84" s="7" t="str">
        <x:f>IF(OR($D84="",AG$5="",'상세일정'!AM84="제외"),"",IF($D84=$E84,IF(AND($D84&gt;=AG$5,$D84&lt;AG$5+7),"◆",""),IF(AND($D84&lt;AG$5+7,$E84&gt;AG$5),"■","")))</x:f>
      </x:c>
      <x:c r="AH84" s="7" t="str">
        <x:f>IF(OR($D84="",AH$5="",'상세일정'!AM84="제외"),"",IF($D84=$E84,IF(AND($D84&gt;=AH$5,$D84&lt;AH$5+7),"◆",""),IF(AND($D84&lt;AH$5+7,$E84&gt;AH$5),"■","")))</x:f>
      </x:c>
      <x:c r="AI84" s="7" t="str">
        <x:f>IF(OR($D84="",AI$5="",'상세일정'!AM84="제외"),"",IF($D84=$E84,IF(AND($D84&gt;=AI$5,$D84&lt;AI$5+7),"◆",""),IF(AND($D84&lt;AI$5+7,$E84&gt;AI$5),"■","")))</x:f>
      </x:c>
      <x:c r="AJ84" s="7" t="str">
        <x:f>IF(OR($D84="",AJ$5="",'상세일정'!AM84="제외"),"",IF($D84=$E84,IF(AND($D84&gt;=AJ$5,$D84&lt;AJ$5+7),"◆",""),IF(AND($D84&lt;AJ$5+7,$E84&gt;AJ$5),"■","")))</x:f>
      </x:c>
      <x:c r="AK84" s="7" t="str">
        <x:f>IF(OR($D84="",AK$5="",'상세일정'!AM84="제외"),"",IF($D84=$E84,IF(AND($D84&gt;=AK$5,$D84&lt;AK$5+7),"◆",""),IF(AND($D84&lt;AK$5+7,$E84&gt;AK$5),"■","")))</x:f>
      </x:c>
      <x:c r="AL84" s="7" t="str">
        <x:f>IF(OR($D84="",AL$5="",'상세일정'!AM84="제외"),"",IF($D84=$E84,IF(AND($D84&gt;=AL$5,$D84&lt;AL$5+7),"◆",""),IF(AND($D84&lt;AL$5+7,$E84&gt;AL$5),"■","")))</x:f>
      </x:c>
      <x:c r="AM84" s="7" t="str">
        <x:f>IF(OR($D84="",AM$5="",'상세일정'!AM84="제외"),"",IF($D84=$E84,IF(AND($D84&gt;=AM$5,$D84&lt;AM$5+7),"◆",""),IF(AND($D84&lt;AM$5+7,$E84&gt;AM$5),"■","")))</x:f>
      </x:c>
      <x:c r="AN84" s="7" t="str">
        <x:f>IF(OR($D84="",AN$5="",'상세일정'!AM84="제외"),"",IF($D84=$E84,IF(AND($D84&gt;=AN$5,$D84&lt;AN$5+7),"◆",""),IF(AND($D84&lt;AN$5+7,$E84&gt;AN$5),"■","")))</x:f>
      </x:c>
      <x:c r="AO84" s="7" t="str">
        <x:f>IF(OR($D84="",AO$5="",'상세일정'!AM84="제외"),"",IF($D84=$E84,IF(AND($D84&gt;=AO$5,$D84&lt;AO$5+7),"◆",""),IF(AND($D84&lt;AO$5+7,$E84&gt;AO$5),"■","")))</x:f>
      </x:c>
      <x:c r="AP84" s="7" t="str">
        <x:f>IF(OR($D84="",AP$5="",'상세일정'!AM84="제외"),"",IF($D84=$E84,IF(AND($D84&gt;=AP$5,$D84&lt;AP$5+7),"◆",""),IF(AND($D84&lt;AP$5+7,$E84&gt;AP$5),"■","")))</x:f>
      </x:c>
      <x:c r="AQ84" s="7" t="str">
        <x:f>IF(OR($D84="",AQ$5="",'상세일정'!AM84="제외"),"",IF($D84=$E84,IF(AND($D84&gt;=AQ$5,$D84&lt;AQ$5+7),"◆",""),IF(AND($D84&lt;AQ$5+7,$E84&gt;AQ$5),"■","")))</x:f>
      </x:c>
      <x:c r="AR84" s="7" t="str">
        <x:f>IF(OR($D84="",AR$5="",'상세일정'!AM84="제외"),"",IF($D84=$E84,IF(AND($D84&gt;=AR$5,$D84&lt;AR$5+7),"◆",""),IF(AND($D84&lt;AR$5+7,$E84&gt;AR$5),"■","")))</x:f>
      </x:c>
      <x:c r="AS84" s="7" t="str">
        <x:f>IF(OR($D84="",AS$5="",'상세일정'!AM84="제외"),"",IF($D84=$E84,IF(AND($D84&gt;=AS$5,$D84&lt;AS$5+7),"◆",""),IF(AND($D84&lt;AS$5+7,$E84&gt;AS$5),"■","")))</x:f>
      </x:c>
      <x:c r="AT84" s="7" t="str">
        <x:f>IF(OR($D84="",AT$5="",'상세일정'!AM84="제외"),"",IF($D84=$E84,IF(AND($D84&gt;=AT$5,$D84&lt;AT$5+7),"◆",""),IF(AND($D84&lt;AT$5+7,$E84&gt;AT$5),"■","")))</x:f>
      </x:c>
      <x:c r="AU84" s="7" t="str">
        <x:f>IF(OR($D84="",AU$5="",'상세일정'!AM84="제외"),"",IF($D84=$E84,IF(AND($D84&gt;=AU$5,$D84&lt;AU$5+7),"◆",""),IF(AND($D84&lt;AU$5+7,$E84&gt;AU$5),"■","")))</x:f>
      </x:c>
      <x:c r="AV84" s="7" t="str">
        <x:f>IF(OR($D84="",AV$5="",'상세일정'!AM84="제외"),"",IF($D84=$E84,IF(AND($D84&gt;=AV$5,$D84&lt;AV$5+7),"◆",""),IF(AND($D84&lt;AV$5+7,$E84&gt;AV$5),"■","")))</x:f>
      </x:c>
      <x:c r="AW84" s="7" t="str">
        <x:f>IF(OR($D84="",AW$5="",'상세일정'!AM84="제외"),"",IF($D84=$E84,IF(AND($D84&gt;=AW$5,$D84&lt;AW$5+7),"◆",""),IF(AND($D84&lt;AW$5+7,$E84&gt;AW$5),"■","")))</x:f>
      </x:c>
      <x:c r="AX84" s="7" t="str">
        <x:f>IF(OR($D84="",AX$5="",'상세일정'!AM84="제외"),"",IF($D84=$E84,IF(AND($D84&gt;=AX$5,$D84&lt;AX$5+7),"◆",""),IF(AND($D84&lt;AX$5+7,$E84&gt;AX$5),"■","")))</x:f>
      </x:c>
      <x:c r="AY84" s="7" t="str">
        <x:f>IF(OR($D84="",AY$5="",'상세일정'!AM84="제외"),"",IF($D84=$E84,IF(AND($D84&gt;=AY$5,$D84&lt;AY$5+7),"◆",""),IF(AND($D84&lt;AY$5+7,$E84&gt;AY$5),"■","")))</x:f>
      </x:c>
      <x:c r="AZ84" s="7" t="str">
        <x:f>IF(OR($D84="",AZ$5="",'상세일정'!AM84="제외"),"",IF($D84=$E84,IF(AND($D84&gt;=AZ$5,$D84&lt;AZ$5+7),"◆",""),IF(AND($D84&lt;AZ$5+7,$E84&gt;AZ$5),"■","")))</x:f>
      </x:c>
      <x:c r="BA84" s="7" t="str">
        <x:f>IF(OR($D84="",BA$5="",'상세일정'!AM84="제외"),"",IF($D84=$E84,IF(AND($D84&gt;=BA$5,$D84&lt;BA$5+7),"◆",""),IF(AND($D84&lt;BA$5+7,$E84&gt;BA$5),"■","")))</x:f>
      </x:c>
      <x:c r="BB84" s="7" t="str">
        <x:f>IF(OR($D84="",BB$5="",'상세일정'!AM84="제외"),"",IF($D84=$E84,IF(AND($D84&gt;=BB$5,$D84&lt;BB$5+7),"◆",""),IF(AND($D84&lt;BB$5+7,$E84&gt;BB$5),"■","")))</x:f>
      </x:c>
      <x:c r="BC84" s="7" t="str">
        <x:f>IF(OR($D84="",BC$5="",'상세일정'!AM84="제외"),"",IF($D84=$E84,IF(AND($D84&gt;=BC$5,$D84&lt;BC$5+7),"◆",""),IF(AND($D84&lt;BC$5+7,$E84&gt;BC$5),"■","")))</x:f>
      </x:c>
      <x:c r="BD84" s="7" t="str">
        <x:f>IF(OR($D84="",BD$5="",'상세일정'!AM84="제외"),"",IF($D84=$E84,IF(AND($D84&gt;=BD$5,$D84&lt;BD$5+7),"◆",""),IF(AND($D84&lt;BD$5+7,$E84&gt;BD$5),"■","")))</x:f>
      </x:c>
      <x:c r="BE84" s="7" t="str">
        <x:f>IF(OR($D84="",BE$5="",'상세일정'!AM84="제외"),"",IF($D84=$E84,IF(AND($D84&gt;=BE$5,$D84&lt;BE$5+7),"◆",""),IF(AND($D84&lt;BE$5+7,$E84&gt;BE$5),"■","")))</x:f>
      </x:c>
      <x:c r="BF84" s="7" t="str">
        <x:f>IF(OR($D84="",BF$5="",'상세일정'!AM84="제외"),"",IF($D84=$E84,IF(AND($D84&gt;=BF$5,$D84&lt;BF$5+7),"◆",""),IF(AND($D84&lt;BF$5+7,$E84&gt;BF$5),"■","")))</x:f>
      </x:c>
      <x:c r="BG84" s="7" t="str">
        <x:f>IF(OR($D84="",BG$5="",'상세일정'!AM84="제외"),"",IF($D84=$E84,IF(AND($D84&gt;=BG$5,$D84&lt;BG$5+7),"◆",""),IF(AND($D84&lt;BG$5+7,$E84&gt;BG$5),"■","")))</x:f>
      </x:c>
      <x:c r="BH84" s="7" t="str">
        <x:f>IF(OR($D84="",BH$5="",'상세일정'!AM84="제외"),"",IF($D84=$E84,IF(AND($D84&gt;=BH$5,$D84&lt;BH$5+7),"◆",""),IF(AND($D84&lt;BH$5+7,$E84&gt;BH$5),"■","")))</x:f>
      </x:c>
      <x:c r="BI84" s="7" t="str">
        <x:f>IF(OR($D84="",BI$5="",'상세일정'!AM84="제외"),"",IF($D84=$E84,IF(AND($D84&gt;=BI$5,$D84&lt;BI$5+7),"◆",""),IF(AND($D84&lt;BI$5+7,$E84&gt;BI$5),"■","")))</x:f>
      </x:c>
      <x:c r="BJ84" s="7" t="str">
        <x:f>IF(OR($D84="",BJ$5="",'상세일정'!AM84="제외"),"",IF($D84=$E84,IF(AND($D84&gt;=BJ$5,$D84&lt;BJ$5+7),"◆",""),IF(AND($D84&lt;BJ$5+7,$E84&gt;BJ$5),"■","")))</x:f>
      </x:c>
      <x:c r="BK84" s="7" t="str">
        <x:f>IF(OR($D84="",BK$5="",'상세일정'!AM84="제외"),"",IF($D84=$E84,IF(AND($D84&gt;=BK$5,$D84&lt;BK$5+7),"◆",""),IF(AND($D84&lt;BK$5+7,$E84&gt;BK$5),"■","")))</x:f>
      </x:c>
      <x:c r="BL84" s="7" t="str">
        <x:f>IF(OR($D84="",BL$5="",'상세일정'!AM84="제외"),"",IF($D84=$E84,IF(AND($D84&gt;=BL$5,$D84&lt;BL$5+7),"◆",""),IF(AND($D84&lt;BL$5+7,$E84&gt;BL$5),"■","")))</x:f>
      </x:c>
      <x:c r="BM84" s="7" t="str">
        <x:f>IF(OR($D84="",BM$5="",'상세일정'!AM84="제외"),"",IF($D84=$E84,IF(AND($D84&gt;=BM$5,$D84&lt;BM$5+7),"◆",""),IF(AND($D84&lt;BM$5+7,$E84&gt;BM$5),"■","")))</x:f>
      </x:c>
      <x:c r="BN84" s="7" t="str">
        <x:f>IF(OR($D84="",BN$5="",'상세일정'!AM84="제외"),"",IF($D84=$E84,IF(AND($D84&gt;=BN$5,$D84&lt;BN$5+7),"◆",""),IF(AND($D84&lt;BN$5+7,$E84&gt;BN$5),"■","")))</x:f>
      </x:c>
      <x:c r="BO84" s="7" t="str">
        <x:f>IF(OR($D84="",BO$5="",'상세일정'!AM84="제외"),"",IF($D84=$E84,IF(AND($D84&gt;=BO$5,$D84&lt;BO$5+7),"◆",""),IF(AND($D84&lt;BO$5+7,$E84&gt;BO$5),"■","")))</x:f>
      </x:c>
      <x:c r="BP84" s="7" t="str">
        <x:f>IF(OR($D84="",BP$5="",'상세일정'!AM84="제외"),"",IF($D84=$E84,IF(AND($D84&gt;=BP$5,$D84&lt;BP$5+7),"◆",""),IF(AND($D84&lt;BP$5+7,$E84&gt;BP$5),"■","")))</x:f>
      </x:c>
      <x:c r="BQ84" s="7" t="str">
        <x:f>IF(OR($D84="",BQ$5="",'상세일정'!AM84="제외"),"",IF($D84=$E84,IF(AND($D84&gt;=BQ$5,$D84&lt;BQ$5+7),"◆",""),IF(AND($D84&lt;BQ$5+7,$E84&gt;BQ$5),"■","")))</x:f>
      </x:c>
      <x:c r="BR84" s="7" t="str">
        <x:f>IF(OR($D84="",BR$5="",'상세일정'!AM84="제외"),"",IF($D84=$E84,IF(AND($D84&gt;=BR$5,$D84&lt;BR$5+7),"◆",""),IF(AND($D84&lt;BR$5+7,$E84&gt;BR$5),"■","")))</x:f>
      </x:c>
      <x:c r="BS84" s="7" t="str">
        <x:f>IF(OR($D84="",BS$5="",'상세일정'!AM84="제외"),"",IF($D84=$E84,IF(AND($D84&gt;=BS$5,$D84&lt;BS$5+7),"◆",""),IF(AND($D84&lt;BS$5+7,$E84&gt;BS$5),"■","")))</x:f>
      </x:c>
      <x:c r="BT84" s="7" t="str">
        <x:f>IF(OR($D84="",BT$5="",'상세일정'!AM84="제외"),"",IF($D84=$E84,IF(AND($D84&gt;=BT$5,$D84&lt;BT$5+7),"◆",""),IF(AND($D84&lt;BT$5+7,$E84&gt;BT$5),"■","")))</x:f>
      </x:c>
      <x:c r="BU84" s="7" t="str">
        <x:f>IF(OR($D84="",BU$5="",'상세일정'!AM84="제외"),"",IF($D84=$E84,IF(AND($D84&gt;=BU$5,$D84&lt;BU$5+7),"◆",""),IF(AND($D84&lt;BU$5+7,$E84&gt;BU$5),"■","")))</x:f>
      </x:c>
      <x:c r="BV84" s="7" t="str">
        <x:f>IF(OR($D84="",BV$5="",'상세일정'!AM84="제외"),"",IF($D84=$E84,IF(AND($D84&gt;=BV$5,$D84&lt;BV$5+7),"◆",""),IF(AND($D84&lt;BV$5+7,$E84&gt;BV$5),"■","")))</x:f>
      </x:c>
      <x:c r="BW84" s="7" t="str">
        <x:f>IF(OR($D84="",BW$5="",'상세일정'!AM84="제외"),"",IF($D84=$E84,IF(AND($D84&gt;=BW$5,$D84&lt;BW$5+7),"◆",""),IF(AND($D84&lt;BW$5+7,$E84&gt;BW$5),"■","")))</x:f>
      </x:c>
      <x:c r="BX84" s="7" t="str">
        <x:f>IF(OR($D84="",BX$5="",'상세일정'!AM84="제외"),"",IF($D84=$E84,IF(AND($D84&gt;=BX$5,$D84&lt;BX$5+7),"◆",""),IF(AND($D84&lt;BX$5+7,$E84&gt;BX$5),"■","")))</x:f>
      </x:c>
      <x:c r="BY84" s="7" t="str">
        <x:f>IF(OR($D84="",BY$5="",'상세일정'!AM84="제외"),"",IF($D84=$E84,IF(AND($D84&gt;=BY$5,$D84&lt;BY$5+7),"◆",""),IF(AND($D84&lt;BY$5+7,$E84&gt;BY$5),"■","")))</x:f>
      </x:c>
      <x:c r="BZ84" s="7" t="str">
        <x:f>IF(OR($D84="",BZ$5="",'상세일정'!AM84="제외"),"",IF($D84=$E84,IF(AND($D84&gt;=BZ$5,$D84&lt;BZ$5+7),"◆",""),IF(AND($D84&lt;BZ$5+7,$E84&gt;BZ$5),"■","")))</x:f>
      </x:c>
      <x:c r="CA84" s="7" t="str">
        <x:f>IF(OR($D84="",CA$5="",'상세일정'!AM84="제외"),"",IF($D84=$E84,IF(AND($D84&gt;=CA$5,$D84&lt;CA$5+7),"◆",""),IF(AND($D84&lt;CA$5+7,$E84&gt;CA$5),"■","")))</x:f>
      </x:c>
      <x:c r="CB84" s="7" t="str">
        <x:f>IF(OR($D84="",CB$5="",'상세일정'!AM84="제외"),"",IF($D84=$E84,IF(AND($D84&gt;=CB$5,$D84&lt;CB$5+7),"◆",""),IF(AND($D84&lt;CB$5+7,$E84&gt;CB$5),"■","")))</x:f>
      </x:c>
      <x:c r="CC84" s="7" t="str">
        <x:f>IF(OR($D84="",CC$5="",'상세일정'!AM84="제외"),"",IF($D84=$E84,IF(AND($D84&gt;=CC$5,$D84&lt;CC$5+7),"◆",""),IF(AND($D84&lt;CC$5+7,$E84&gt;CC$5),"■","")))</x:f>
      </x:c>
      <x:c r="CD84" s="7" t="str">
        <x:f>IF(OR($D84="",CD$5="",'상세일정'!AM84="제외"),"",IF($D84=$E84,IF(AND($D84&gt;=CD$5,$D84&lt;CD$5+7),"◆",""),IF(AND($D84&lt;CD$5+7,$E84&gt;CD$5),"■","")))</x:f>
      </x:c>
      <x:c r="CE84" s="7" t="str">
        <x:f>IF(OR($D84="",CE$5="",'상세일정'!AM84="제외"),"",IF($D84=$E84,IF(AND($D84&gt;=CE$5,$D84&lt;CE$5+7),"◆",""),IF(AND($D84&lt;CE$5+7,$E84&gt;CE$5),"■","")))</x:f>
      </x:c>
      <x:c r="CF84" s="7" t="str">
        <x:f>IF(OR($D84="",CF$5="",'상세일정'!AM84="제외"),"",IF($D84=$E84,IF(AND($D84&gt;=CF$5,$D84&lt;CF$5+7),"◆",""),IF(AND($D84&lt;CF$5+7,$E84&gt;CF$5),"■","")))</x:f>
      </x:c>
      <x:c r="CG84" s="7" t="str">
        <x:f>IF(OR($D84="",CG$5="",'상세일정'!AM84="제외"),"",IF($D84=$E84,IF(AND($D84&gt;=CG$5,$D84&lt;CG$5+7),"◆",""),IF(AND($D84&lt;CG$5+7,$E84&gt;CG$5),"■","")))</x:f>
      </x:c>
      <x:c r="CH84" s="7" t="str">
        <x:f>IF(OR($D84="",CH$5="",'상세일정'!AM84="제외"),"",IF($D84=$E84,IF(AND($D84&gt;=CH$5,$D84&lt;CH$5+7),"◆",""),IF(AND($D84&lt;CH$5+7,$E84&gt;CH$5),"■","")))</x:f>
      </x:c>
      <x:c r="CI84" s="7" t="str">
        <x:f>IF(OR($D84="",CI$5="",'상세일정'!AM84="제외"),"",IF($D84=$E84,IF(AND($D84&gt;=CI$5,$D84&lt;CI$5+7),"◆",""),IF(AND($D84&lt;CI$5+7,$E84&gt;CI$5),"■","")))</x:f>
      </x:c>
      <x:c r="CJ84" s="7" t="str">
        <x:f>IF(OR($D84="",CJ$5="",'상세일정'!AM84="제외"),"",IF($D84=$E84,IF(AND($D84&gt;=CJ$5,$D84&lt;CJ$5+7),"◆",""),IF(AND($D84&lt;CJ$5+7,$E84&gt;CJ$5),"■","")))</x:f>
      </x:c>
      <x:c r="CK84" s="7" t="str">
        <x:f>IF(OR($D84="",CK$5="",'상세일정'!AM84="제외"),"",IF($D84=$E84,IF(AND($D84&gt;=CK$5,$D84&lt;CK$5+7),"◆",""),IF(AND($D84&lt;CK$5+7,$E84&gt;CK$5),"■","")))</x:f>
      </x:c>
      <x:c r="CL84" s="7" t="str">
        <x:f>IF(OR($D84="",CL$5="",'상세일정'!AM84="제외"),"",IF($D84=$E84,IF(AND($D84&gt;=CL$5,$D84&lt;CL$5+7),"◆",""),IF(AND($D84&lt;CL$5+7,$E84&gt;CL$5),"■","")))</x:f>
      </x:c>
      <x:c r="CM84" s="7" t="str">
        <x:f>IF(OR($D84="",CM$5="",'상세일정'!AM84="제외"),"",IF($D84=$E84,IF(AND($D84&gt;=CM$5,$D84&lt;CM$5+7),"◆",""),IF(AND($D84&lt;CM$5+7,$E84&gt;CM$5),"■","")))</x:f>
      </x:c>
      <x:c r="CN84" s="7" t="str">
        <x:f>IF(OR($D84="",CN$5="",'상세일정'!AM84="제외"),"",IF($D84=$E84,IF(AND($D84&gt;=CN$5,$D84&lt;CN$5+7),"◆",""),IF(AND($D84&lt;CN$5+7,$E84&gt;CN$5),"■","")))</x:f>
      </x:c>
      <x:c r="CO84" s="7" t="str">
        <x:f>IF(OR($D84="",CO$5="",'상세일정'!AM84="제외"),"",IF($D84=$E84,IF(AND($D84&gt;=CO$5,$D84&lt;CO$5+7),"◆",""),IF(AND($D84&lt;CO$5+7,$E84&gt;CO$5),"■","")))</x:f>
      </x:c>
      <x:c r="CP84" s="7" t="str">
        <x:f>IF(OR($D84="",CP$5="",'상세일정'!AM84="제외"),"",IF($D84=$E84,IF(AND($D84&gt;=CP$5,$D84&lt;CP$5+7),"◆",""),IF(AND($D84&lt;CP$5+7,$E84&gt;CP$5),"■","")))</x:f>
      </x:c>
      <x:c r="CQ84" s="7" t="str">
        <x:f>IF(OR($D84="",CQ$5="",'상세일정'!AM84="제외"),"",IF($D84=$E84,IF(AND($D84&gt;=CQ$5,$D84&lt;CQ$5+7),"◆",""),IF(AND($D84&lt;CQ$5+7,$E84&gt;CQ$5),"■","")))</x:f>
      </x:c>
      <x:c r="CR84" s="7" t="str">
        <x:f>IF(OR($D84="",CR$5="",'상세일정'!AM84="제외"),"",IF($D84=$E84,IF(AND($D84&gt;=CR$5,$D84&lt;CR$5+7),"◆",""),IF(AND($D84&lt;CR$5+7,$E84&gt;CR$5),"■","")))</x:f>
      </x:c>
      <x:c r="CS84" s="7" t="str">
        <x:f>IF(OR($D84="",CS$5="",'상세일정'!AM84="제외"),"",IF($D84=$E84,IF(AND($D84&gt;=CS$5,$D84&lt;CS$5+7),"◆",""),IF(AND($D84&lt;CS$5+7,$E84&gt;CS$5),"■","")))</x:f>
      </x:c>
      <x:c r="CT84" s="7" t="str">
        <x:f>IF(OR($D84="",CT$5="",'상세일정'!AM84="제외"),"",IF($D84=$E84,IF(AND($D84&gt;=CT$5,$D84&lt;CT$5+7),"◆",""),IF(AND($D84&lt;CT$5+7,$E84&gt;CT$5),"■","")))</x:f>
      </x:c>
      <x:c r="CU84" s="7" t="str">
        <x:f>IF(OR($D84="",CU$5="",'상세일정'!AM84="제외"),"",IF($D84=$E84,IF(AND($D84&gt;=CU$5,$D84&lt;CU$5+7),"◆",""),IF(AND($D84&lt;CU$5+7,$E84&gt;CU$5),"■","")))</x:f>
      </x:c>
      <x:c r="CV84" s="7" t="str">
        <x:f>IF(OR($D84="",CV$5="",'상세일정'!AM84="제외"),"",IF($D84=$E84,IF(AND($D84&gt;=CV$5,$D84&lt;CV$5+7),"◆",""),IF(AND($D84&lt;CV$5+7,$E84&gt;CV$5),"■","")))</x:f>
      </x:c>
      <x:c r="CW84" s="7" t="str">
        <x:f>IF(OR($D84="",CW$5="",'상세일정'!AM84="제외"),"",IF($D84=$E84,IF(AND($D84&gt;=CW$5,$D84&lt;CW$5+7),"◆",""),IF(AND($D84&lt;CW$5+7,$E84&gt;CW$5),"■","")))</x:f>
      </x:c>
      <x:c r="CX84" s="7" t="str">
        <x:f>IF(OR($D84="",CX$5="",'상세일정'!AM84="제외"),"",IF($D84=$E84,IF(AND($D84&gt;=CX$5,$D84&lt;CX$5+7),"◆",""),IF(AND($D84&lt;CX$5+7,$E84&gt;CX$5),"■","")))</x:f>
      </x:c>
      <x:c r="CY84" s="7" t="str">
        <x:f>IF(OR($D84="",CY$5="",'상세일정'!AM84="제외"),"",IF($D84=$E84,IF(AND($D84&gt;=CY$5,$D84&lt;CY$5+7),"◆",""),IF(AND($D84&lt;CY$5+7,$E84&gt;CY$5),"■","")))</x:f>
      </x:c>
      <x:c r="CZ84" s="7" t="str">
        <x:f>IF(OR($D84="",CZ$5="",'상세일정'!AM84="제외"),"",IF($D84=$E84,IF(AND($D84&gt;=CZ$5,$D84&lt;CZ$5+7),"◆",""),IF(AND($D84&lt;CZ$5+7,$E84&gt;CZ$5),"■","")))</x:f>
      </x:c>
      <x:c r="DA84" s="7" t="str">
        <x:f>IF(OR($D84="",DA$5="",'상세일정'!AM84="제외"),"",IF($D84=$E84,IF(AND($D84&gt;=DA$5,$D84&lt;DA$5+7),"◆",""),IF(AND($D84&lt;DA$5+7,$E84&gt;DA$5),"■","")))</x:f>
      </x:c>
      <x:c r="DB84" s="7" t="str">
        <x:f>IF(OR($D84="",DB$5="",'상세일정'!AM84="제외"),"",IF($D84=$E84,IF(AND($D84&gt;=DB$5,$D84&lt;DB$5+7),"◆",""),IF(AND($D84&lt;DB$5+7,$E84&gt;DB$5),"■","")))</x:f>
      </x:c>
      <x:c r="DC84" s="7" t="str">
        <x:f>IF(OR($D84="",DC$5="",'상세일정'!AM84="제외"),"",IF($D84=$E84,IF(AND($D84&gt;=DC$5,$D84&lt;DC$5+7),"◆",""),IF(AND($D84&lt;DC$5+7,$E84&gt;DC$5),"■","")))</x:f>
      </x:c>
      <x:c r="DD84" s="7" t="str">
        <x:f>IF(OR($D84="",DD$5="",'상세일정'!AM84="제외"),"",IF($D84=$E84,IF(AND($D84&gt;=DD$5,$D84&lt;DD$5+7),"◆",""),IF(AND($D84&lt;DD$5+7,$E84&gt;DD$5),"■","")))</x:f>
      </x:c>
      <x:c r="DE84" s="7" t="str">
        <x:f>IF(OR($D84="",DE$5="",'상세일정'!AM84="제외"),"",IF($D84=$E84,IF(AND($D84&gt;=DE$5,$D84&lt;DE$5+7),"◆",""),IF(AND($D84&lt;DE$5+7,$E84&gt;DE$5),"■","")))</x:f>
      </x:c>
    </x:row>
    <x:row r="85" ht="34" customHeight="1">
      <x:c r="A85" s="7" t="str">
        <x:v>SH01</x:v>
      </x:c>
      <x:c r="B85" s="7" t="str">
        <x:v>13 유해위험방지계획</x:v>
      </x:c>
      <x:c r="C85" s="7" t="str">
        <x:v>제조설비·건설공사 등 적용대상 및 제출경계 확인</x:v>
      </x:c>
      <x:c r="D85" s="10" t="str">
        <x:f>'상세일정'!AJ85</x:f>
      </x:c>
      <x:c r="E85" s="10" t="str">
        <x:f>'상세일정'!AK85</x:f>
      </x:c>
      <x:c r="F85" s="7" t="str">
        <x:f>IF(OR($D85="",F$5="",'상세일정'!AM85="제외"),"",IF($D85=$E85,IF(AND($D85&gt;=F$5,$D85&lt;F$5+7),"◆",""),IF(AND($D85&lt;F$5+7,$E85&gt;F$5),"■","")))</x:f>
      </x:c>
      <x:c r="G85" s="7" t="str">
        <x:f>IF(OR($D85="",G$5="",'상세일정'!AM85="제외"),"",IF($D85=$E85,IF(AND($D85&gt;=G$5,$D85&lt;G$5+7),"◆",""),IF(AND($D85&lt;G$5+7,$E85&gt;G$5),"■","")))</x:f>
      </x:c>
      <x:c r="H85" s="7" t="str">
        <x:f>IF(OR($D85="",H$5="",'상세일정'!AM85="제외"),"",IF($D85=$E85,IF(AND($D85&gt;=H$5,$D85&lt;H$5+7),"◆",""),IF(AND($D85&lt;H$5+7,$E85&gt;H$5),"■","")))</x:f>
      </x:c>
      <x:c r="I85" s="7" t="str">
        <x:f>IF(OR($D85="",I$5="",'상세일정'!AM85="제외"),"",IF($D85=$E85,IF(AND($D85&gt;=I$5,$D85&lt;I$5+7),"◆",""),IF(AND($D85&lt;I$5+7,$E85&gt;I$5),"■","")))</x:f>
      </x:c>
      <x:c r="J85" s="7" t="str">
        <x:f>IF(OR($D85="",J$5="",'상세일정'!AM85="제외"),"",IF($D85=$E85,IF(AND($D85&gt;=J$5,$D85&lt;J$5+7),"◆",""),IF(AND($D85&lt;J$5+7,$E85&gt;J$5),"■","")))</x:f>
      </x:c>
      <x:c r="K85" s="7" t="str">
        <x:f>IF(OR($D85="",K$5="",'상세일정'!AM85="제외"),"",IF($D85=$E85,IF(AND($D85&gt;=K$5,$D85&lt;K$5+7),"◆",""),IF(AND($D85&lt;K$5+7,$E85&gt;K$5),"■","")))</x:f>
      </x:c>
      <x:c r="L85" s="7" t="str">
        <x:f>IF(OR($D85="",L$5="",'상세일정'!AM85="제외"),"",IF($D85=$E85,IF(AND($D85&gt;=L$5,$D85&lt;L$5+7),"◆",""),IF(AND($D85&lt;L$5+7,$E85&gt;L$5),"■","")))</x:f>
      </x:c>
      <x:c r="M85" s="7" t="str">
        <x:f>IF(OR($D85="",M$5="",'상세일정'!AM85="제외"),"",IF($D85=$E85,IF(AND($D85&gt;=M$5,$D85&lt;M$5+7),"◆",""),IF(AND($D85&lt;M$5+7,$E85&gt;M$5),"■","")))</x:f>
      </x:c>
      <x:c r="N85" s="7" t="str">
        <x:f>IF(OR($D85="",N$5="",'상세일정'!AM85="제외"),"",IF($D85=$E85,IF(AND($D85&gt;=N$5,$D85&lt;N$5+7),"◆",""),IF(AND($D85&lt;N$5+7,$E85&gt;N$5),"■","")))</x:f>
      </x:c>
      <x:c r="O85" s="7" t="str">
        <x:f>IF(OR($D85="",O$5="",'상세일정'!AM85="제외"),"",IF($D85=$E85,IF(AND($D85&gt;=O$5,$D85&lt;O$5+7),"◆",""),IF(AND($D85&lt;O$5+7,$E85&gt;O$5),"■","")))</x:f>
      </x:c>
      <x:c r="P85" s="7" t="str">
        <x:f>IF(OR($D85="",P$5="",'상세일정'!AM85="제외"),"",IF($D85=$E85,IF(AND($D85&gt;=P$5,$D85&lt;P$5+7),"◆",""),IF(AND($D85&lt;P$5+7,$E85&gt;P$5),"■","")))</x:f>
      </x:c>
      <x:c r="Q85" s="7" t="str">
        <x:f>IF(OR($D85="",Q$5="",'상세일정'!AM85="제외"),"",IF($D85=$E85,IF(AND($D85&gt;=Q$5,$D85&lt;Q$5+7),"◆",""),IF(AND($D85&lt;Q$5+7,$E85&gt;Q$5),"■","")))</x:f>
      </x:c>
      <x:c r="R85" s="7" t="str">
        <x:f>IF(OR($D85="",R$5="",'상세일정'!AM85="제외"),"",IF($D85=$E85,IF(AND($D85&gt;=R$5,$D85&lt;R$5+7),"◆",""),IF(AND($D85&lt;R$5+7,$E85&gt;R$5),"■","")))</x:f>
      </x:c>
      <x:c r="S85" s="7" t="str">
        <x:f>IF(OR($D85="",S$5="",'상세일정'!AM85="제외"),"",IF($D85=$E85,IF(AND($D85&gt;=S$5,$D85&lt;S$5+7),"◆",""),IF(AND($D85&lt;S$5+7,$E85&gt;S$5),"■","")))</x:f>
      </x:c>
      <x:c r="T85" s="7" t="str">
        <x:f>IF(OR($D85="",T$5="",'상세일정'!AM85="제외"),"",IF($D85=$E85,IF(AND($D85&gt;=T$5,$D85&lt;T$5+7),"◆",""),IF(AND($D85&lt;T$5+7,$E85&gt;T$5),"■","")))</x:f>
      </x:c>
      <x:c r="U85" s="7" t="str">
        <x:f>IF(OR($D85="",U$5="",'상세일정'!AM85="제외"),"",IF($D85=$E85,IF(AND($D85&gt;=U$5,$D85&lt;U$5+7),"◆",""),IF(AND($D85&lt;U$5+7,$E85&gt;U$5),"■","")))</x:f>
      </x:c>
      <x:c r="V85" s="7" t="str">
        <x:f>IF(OR($D85="",V$5="",'상세일정'!AM85="제외"),"",IF($D85=$E85,IF(AND($D85&gt;=V$5,$D85&lt;V$5+7),"◆",""),IF(AND($D85&lt;V$5+7,$E85&gt;V$5),"■","")))</x:f>
      </x:c>
      <x:c r="W85" s="7" t="str">
        <x:f>IF(OR($D85="",W$5="",'상세일정'!AM85="제외"),"",IF($D85=$E85,IF(AND($D85&gt;=W$5,$D85&lt;W$5+7),"◆",""),IF(AND($D85&lt;W$5+7,$E85&gt;W$5),"■","")))</x:f>
      </x:c>
      <x:c r="X85" s="7" t="str">
        <x:f>IF(OR($D85="",X$5="",'상세일정'!AM85="제외"),"",IF($D85=$E85,IF(AND($D85&gt;=X$5,$D85&lt;X$5+7),"◆",""),IF(AND($D85&lt;X$5+7,$E85&gt;X$5),"■","")))</x:f>
      </x:c>
      <x:c r="Y85" s="7" t="str">
        <x:f>IF(OR($D85="",Y$5="",'상세일정'!AM85="제외"),"",IF($D85=$E85,IF(AND($D85&gt;=Y$5,$D85&lt;Y$5+7),"◆",""),IF(AND($D85&lt;Y$5+7,$E85&gt;Y$5),"■","")))</x:f>
      </x:c>
      <x:c r="Z85" s="7" t="str">
        <x:f>IF(OR($D85="",Z$5="",'상세일정'!AM85="제외"),"",IF($D85=$E85,IF(AND($D85&gt;=Z$5,$D85&lt;Z$5+7),"◆",""),IF(AND($D85&lt;Z$5+7,$E85&gt;Z$5),"■","")))</x:f>
      </x:c>
      <x:c r="AA85" s="7" t="str">
        <x:f>IF(OR($D85="",AA$5="",'상세일정'!AM85="제외"),"",IF($D85=$E85,IF(AND($D85&gt;=AA$5,$D85&lt;AA$5+7),"◆",""),IF(AND($D85&lt;AA$5+7,$E85&gt;AA$5),"■","")))</x:f>
      </x:c>
      <x:c r="AB85" s="7" t="str">
        <x:f>IF(OR($D85="",AB$5="",'상세일정'!AM85="제외"),"",IF($D85=$E85,IF(AND($D85&gt;=AB$5,$D85&lt;AB$5+7),"◆",""),IF(AND($D85&lt;AB$5+7,$E85&gt;AB$5),"■","")))</x:f>
      </x:c>
      <x:c r="AC85" s="7" t="str">
        <x:f>IF(OR($D85="",AC$5="",'상세일정'!AM85="제외"),"",IF($D85=$E85,IF(AND($D85&gt;=AC$5,$D85&lt;AC$5+7),"◆",""),IF(AND($D85&lt;AC$5+7,$E85&gt;AC$5),"■","")))</x:f>
      </x:c>
      <x:c r="AD85" s="7" t="str">
        <x:f>IF(OR($D85="",AD$5="",'상세일정'!AM85="제외"),"",IF($D85=$E85,IF(AND($D85&gt;=AD$5,$D85&lt;AD$5+7),"◆",""),IF(AND($D85&lt;AD$5+7,$E85&gt;AD$5),"■","")))</x:f>
      </x:c>
      <x:c r="AE85" s="7" t="str">
        <x:f>IF(OR($D85="",AE$5="",'상세일정'!AM85="제외"),"",IF($D85=$E85,IF(AND($D85&gt;=AE$5,$D85&lt;AE$5+7),"◆",""),IF(AND($D85&lt;AE$5+7,$E85&gt;AE$5),"■","")))</x:f>
      </x:c>
      <x:c r="AF85" s="7" t="str">
        <x:f>IF(OR($D85="",AF$5="",'상세일정'!AM85="제외"),"",IF($D85=$E85,IF(AND($D85&gt;=AF$5,$D85&lt;AF$5+7),"◆",""),IF(AND($D85&lt;AF$5+7,$E85&gt;AF$5),"■","")))</x:f>
      </x:c>
      <x:c r="AG85" s="7" t="str">
        <x:f>IF(OR($D85="",AG$5="",'상세일정'!AM85="제외"),"",IF($D85=$E85,IF(AND($D85&gt;=AG$5,$D85&lt;AG$5+7),"◆",""),IF(AND($D85&lt;AG$5+7,$E85&gt;AG$5),"■","")))</x:f>
      </x:c>
      <x:c r="AH85" s="7" t="str">
        <x:f>IF(OR($D85="",AH$5="",'상세일정'!AM85="제외"),"",IF($D85=$E85,IF(AND($D85&gt;=AH$5,$D85&lt;AH$5+7),"◆",""),IF(AND($D85&lt;AH$5+7,$E85&gt;AH$5),"■","")))</x:f>
      </x:c>
      <x:c r="AI85" s="7" t="str">
        <x:f>IF(OR($D85="",AI$5="",'상세일정'!AM85="제외"),"",IF($D85=$E85,IF(AND($D85&gt;=AI$5,$D85&lt;AI$5+7),"◆",""),IF(AND($D85&lt;AI$5+7,$E85&gt;AI$5),"■","")))</x:f>
      </x:c>
      <x:c r="AJ85" s="7" t="str">
        <x:f>IF(OR($D85="",AJ$5="",'상세일정'!AM85="제외"),"",IF($D85=$E85,IF(AND($D85&gt;=AJ$5,$D85&lt;AJ$5+7),"◆",""),IF(AND($D85&lt;AJ$5+7,$E85&gt;AJ$5),"■","")))</x:f>
      </x:c>
      <x:c r="AK85" s="7" t="str">
        <x:f>IF(OR($D85="",AK$5="",'상세일정'!AM85="제외"),"",IF($D85=$E85,IF(AND($D85&gt;=AK$5,$D85&lt;AK$5+7),"◆",""),IF(AND($D85&lt;AK$5+7,$E85&gt;AK$5),"■","")))</x:f>
      </x:c>
      <x:c r="AL85" s="7" t="str">
        <x:f>IF(OR($D85="",AL$5="",'상세일정'!AM85="제외"),"",IF($D85=$E85,IF(AND($D85&gt;=AL$5,$D85&lt;AL$5+7),"◆",""),IF(AND($D85&lt;AL$5+7,$E85&gt;AL$5),"■","")))</x:f>
      </x:c>
      <x:c r="AM85" s="7" t="str">
        <x:f>IF(OR($D85="",AM$5="",'상세일정'!AM85="제외"),"",IF($D85=$E85,IF(AND($D85&gt;=AM$5,$D85&lt;AM$5+7),"◆",""),IF(AND($D85&lt;AM$5+7,$E85&gt;AM$5),"■","")))</x:f>
      </x:c>
      <x:c r="AN85" s="7" t="str">
        <x:f>IF(OR($D85="",AN$5="",'상세일정'!AM85="제외"),"",IF($D85=$E85,IF(AND($D85&gt;=AN$5,$D85&lt;AN$5+7),"◆",""),IF(AND($D85&lt;AN$5+7,$E85&gt;AN$5),"■","")))</x:f>
      </x:c>
      <x:c r="AO85" s="7" t="str">
        <x:f>IF(OR($D85="",AO$5="",'상세일정'!AM85="제외"),"",IF($D85=$E85,IF(AND($D85&gt;=AO$5,$D85&lt;AO$5+7),"◆",""),IF(AND($D85&lt;AO$5+7,$E85&gt;AO$5),"■","")))</x:f>
      </x:c>
      <x:c r="AP85" s="7" t="str">
        <x:f>IF(OR($D85="",AP$5="",'상세일정'!AM85="제외"),"",IF($D85=$E85,IF(AND($D85&gt;=AP$5,$D85&lt;AP$5+7),"◆",""),IF(AND($D85&lt;AP$5+7,$E85&gt;AP$5),"■","")))</x:f>
      </x:c>
      <x:c r="AQ85" s="7" t="str">
        <x:f>IF(OR($D85="",AQ$5="",'상세일정'!AM85="제외"),"",IF($D85=$E85,IF(AND($D85&gt;=AQ$5,$D85&lt;AQ$5+7),"◆",""),IF(AND($D85&lt;AQ$5+7,$E85&gt;AQ$5),"■","")))</x:f>
      </x:c>
      <x:c r="AR85" s="7" t="str">
        <x:f>IF(OR($D85="",AR$5="",'상세일정'!AM85="제외"),"",IF($D85=$E85,IF(AND($D85&gt;=AR$5,$D85&lt;AR$5+7),"◆",""),IF(AND($D85&lt;AR$5+7,$E85&gt;AR$5),"■","")))</x:f>
      </x:c>
      <x:c r="AS85" s="7" t="str">
        <x:f>IF(OR($D85="",AS$5="",'상세일정'!AM85="제외"),"",IF($D85=$E85,IF(AND($D85&gt;=AS$5,$D85&lt;AS$5+7),"◆",""),IF(AND($D85&lt;AS$5+7,$E85&gt;AS$5),"■","")))</x:f>
      </x:c>
      <x:c r="AT85" s="7" t="str">
        <x:f>IF(OR($D85="",AT$5="",'상세일정'!AM85="제외"),"",IF($D85=$E85,IF(AND($D85&gt;=AT$5,$D85&lt;AT$5+7),"◆",""),IF(AND($D85&lt;AT$5+7,$E85&gt;AT$5),"■","")))</x:f>
      </x:c>
      <x:c r="AU85" s="7" t="str">
        <x:f>IF(OR($D85="",AU$5="",'상세일정'!AM85="제외"),"",IF($D85=$E85,IF(AND($D85&gt;=AU$5,$D85&lt;AU$5+7),"◆",""),IF(AND($D85&lt;AU$5+7,$E85&gt;AU$5),"■","")))</x:f>
      </x:c>
      <x:c r="AV85" s="7" t="str">
        <x:f>IF(OR($D85="",AV$5="",'상세일정'!AM85="제외"),"",IF($D85=$E85,IF(AND($D85&gt;=AV$5,$D85&lt;AV$5+7),"◆",""),IF(AND($D85&lt;AV$5+7,$E85&gt;AV$5),"■","")))</x:f>
      </x:c>
      <x:c r="AW85" s="7" t="str">
        <x:f>IF(OR($D85="",AW$5="",'상세일정'!AM85="제외"),"",IF($D85=$E85,IF(AND($D85&gt;=AW$5,$D85&lt;AW$5+7),"◆",""),IF(AND($D85&lt;AW$5+7,$E85&gt;AW$5),"■","")))</x:f>
      </x:c>
      <x:c r="AX85" s="7" t="str">
        <x:f>IF(OR($D85="",AX$5="",'상세일정'!AM85="제외"),"",IF($D85=$E85,IF(AND($D85&gt;=AX$5,$D85&lt;AX$5+7),"◆",""),IF(AND($D85&lt;AX$5+7,$E85&gt;AX$5),"■","")))</x:f>
      </x:c>
      <x:c r="AY85" s="7" t="str">
        <x:f>IF(OR($D85="",AY$5="",'상세일정'!AM85="제외"),"",IF($D85=$E85,IF(AND($D85&gt;=AY$5,$D85&lt;AY$5+7),"◆",""),IF(AND($D85&lt;AY$5+7,$E85&gt;AY$5),"■","")))</x:f>
      </x:c>
      <x:c r="AZ85" s="7" t="str">
        <x:f>IF(OR($D85="",AZ$5="",'상세일정'!AM85="제외"),"",IF($D85=$E85,IF(AND($D85&gt;=AZ$5,$D85&lt;AZ$5+7),"◆",""),IF(AND($D85&lt;AZ$5+7,$E85&gt;AZ$5),"■","")))</x:f>
      </x:c>
      <x:c r="BA85" s="7" t="str">
        <x:f>IF(OR($D85="",BA$5="",'상세일정'!AM85="제외"),"",IF($D85=$E85,IF(AND($D85&gt;=BA$5,$D85&lt;BA$5+7),"◆",""),IF(AND($D85&lt;BA$5+7,$E85&gt;BA$5),"■","")))</x:f>
      </x:c>
      <x:c r="BB85" s="7" t="str">
        <x:f>IF(OR($D85="",BB$5="",'상세일정'!AM85="제외"),"",IF($D85=$E85,IF(AND($D85&gt;=BB$5,$D85&lt;BB$5+7),"◆",""),IF(AND($D85&lt;BB$5+7,$E85&gt;BB$5),"■","")))</x:f>
      </x:c>
      <x:c r="BC85" s="7" t="str">
        <x:f>IF(OR($D85="",BC$5="",'상세일정'!AM85="제외"),"",IF($D85=$E85,IF(AND($D85&gt;=BC$5,$D85&lt;BC$5+7),"◆",""),IF(AND($D85&lt;BC$5+7,$E85&gt;BC$5),"■","")))</x:f>
      </x:c>
      <x:c r="BD85" s="7" t="str">
        <x:f>IF(OR($D85="",BD$5="",'상세일정'!AM85="제외"),"",IF($D85=$E85,IF(AND($D85&gt;=BD$5,$D85&lt;BD$5+7),"◆",""),IF(AND($D85&lt;BD$5+7,$E85&gt;BD$5),"■","")))</x:f>
      </x:c>
      <x:c r="BE85" s="7" t="str">
        <x:f>IF(OR($D85="",BE$5="",'상세일정'!AM85="제외"),"",IF($D85=$E85,IF(AND($D85&gt;=BE$5,$D85&lt;BE$5+7),"◆",""),IF(AND($D85&lt;BE$5+7,$E85&gt;BE$5),"■","")))</x:f>
      </x:c>
      <x:c r="BF85" s="7" t="str">
        <x:f>IF(OR($D85="",BF$5="",'상세일정'!AM85="제외"),"",IF($D85=$E85,IF(AND($D85&gt;=BF$5,$D85&lt;BF$5+7),"◆",""),IF(AND($D85&lt;BF$5+7,$E85&gt;BF$5),"■","")))</x:f>
      </x:c>
      <x:c r="BG85" s="7" t="str">
        <x:f>IF(OR($D85="",BG$5="",'상세일정'!AM85="제외"),"",IF($D85=$E85,IF(AND($D85&gt;=BG$5,$D85&lt;BG$5+7),"◆",""),IF(AND($D85&lt;BG$5+7,$E85&gt;BG$5),"■","")))</x:f>
      </x:c>
      <x:c r="BH85" s="7" t="str">
        <x:f>IF(OR($D85="",BH$5="",'상세일정'!AM85="제외"),"",IF($D85=$E85,IF(AND($D85&gt;=BH$5,$D85&lt;BH$5+7),"◆",""),IF(AND($D85&lt;BH$5+7,$E85&gt;BH$5),"■","")))</x:f>
      </x:c>
      <x:c r="BI85" s="7" t="str">
        <x:f>IF(OR($D85="",BI$5="",'상세일정'!AM85="제외"),"",IF($D85=$E85,IF(AND($D85&gt;=BI$5,$D85&lt;BI$5+7),"◆",""),IF(AND($D85&lt;BI$5+7,$E85&gt;BI$5),"■","")))</x:f>
      </x:c>
      <x:c r="BJ85" s="7" t="str">
        <x:f>IF(OR($D85="",BJ$5="",'상세일정'!AM85="제외"),"",IF($D85=$E85,IF(AND($D85&gt;=BJ$5,$D85&lt;BJ$5+7),"◆",""),IF(AND($D85&lt;BJ$5+7,$E85&gt;BJ$5),"■","")))</x:f>
      </x:c>
      <x:c r="BK85" s="7" t="str">
        <x:f>IF(OR($D85="",BK$5="",'상세일정'!AM85="제외"),"",IF($D85=$E85,IF(AND($D85&gt;=BK$5,$D85&lt;BK$5+7),"◆",""),IF(AND($D85&lt;BK$5+7,$E85&gt;BK$5),"■","")))</x:f>
      </x:c>
      <x:c r="BL85" s="7" t="str">
        <x:f>IF(OR($D85="",BL$5="",'상세일정'!AM85="제외"),"",IF($D85=$E85,IF(AND($D85&gt;=BL$5,$D85&lt;BL$5+7),"◆",""),IF(AND($D85&lt;BL$5+7,$E85&gt;BL$5),"■","")))</x:f>
      </x:c>
      <x:c r="BM85" s="7" t="str">
        <x:f>IF(OR($D85="",BM$5="",'상세일정'!AM85="제외"),"",IF($D85=$E85,IF(AND($D85&gt;=BM$5,$D85&lt;BM$5+7),"◆",""),IF(AND($D85&lt;BM$5+7,$E85&gt;BM$5),"■","")))</x:f>
      </x:c>
      <x:c r="BN85" s="7" t="str">
        <x:f>IF(OR($D85="",BN$5="",'상세일정'!AM85="제외"),"",IF($D85=$E85,IF(AND($D85&gt;=BN$5,$D85&lt;BN$5+7),"◆",""),IF(AND($D85&lt;BN$5+7,$E85&gt;BN$5),"■","")))</x:f>
      </x:c>
      <x:c r="BO85" s="7" t="str">
        <x:f>IF(OR($D85="",BO$5="",'상세일정'!AM85="제외"),"",IF($D85=$E85,IF(AND($D85&gt;=BO$5,$D85&lt;BO$5+7),"◆",""),IF(AND($D85&lt;BO$5+7,$E85&gt;BO$5),"■","")))</x:f>
      </x:c>
      <x:c r="BP85" s="7" t="str">
        <x:f>IF(OR($D85="",BP$5="",'상세일정'!AM85="제외"),"",IF($D85=$E85,IF(AND($D85&gt;=BP$5,$D85&lt;BP$5+7),"◆",""),IF(AND($D85&lt;BP$5+7,$E85&gt;BP$5),"■","")))</x:f>
      </x:c>
      <x:c r="BQ85" s="7" t="str">
        <x:f>IF(OR($D85="",BQ$5="",'상세일정'!AM85="제외"),"",IF($D85=$E85,IF(AND($D85&gt;=BQ$5,$D85&lt;BQ$5+7),"◆",""),IF(AND($D85&lt;BQ$5+7,$E85&gt;BQ$5),"■","")))</x:f>
      </x:c>
      <x:c r="BR85" s="7" t="str">
        <x:f>IF(OR($D85="",BR$5="",'상세일정'!AM85="제외"),"",IF($D85=$E85,IF(AND($D85&gt;=BR$5,$D85&lt;BR$5+7),"◆",""),IF(AND($D85&lt;BR$5+7,$E85&gt;BR$5),"■","")))</x:f>
      </x:c>
      <x:c r="BS85" s="7" t="str">
        <x:f>IF(OR($D85="",BS$5="",'상세일정'!AM85="제외"),"",IF($D85=$E85,IF(AND($D85&gt;=BS$5,$D85&lt;BS$5+7),"◆",""),IF(AND($D85&lt;BS$5+7,$E85&gt;BS$5),"■","")))</x:f>
      </x:c>
      <x:c r="BT85" s="7" t="str">
        <x:f>IF(OR($D85="",BT$5="",'상세일정'!AM85="제외"),"",IF($D85=$E85,IF(AND($D85&gt;=BT$5,$D85&lt;BT$5+7),"◆",""),IF(AND($D85&lt;BT$5+7,$E85&gt;BT$5),"■","")))</x:f>
      </x:c>
      <x:c r="BU85" s="7" t="str">
        <x:f>IF(OR($D85="",BU$5="",'상세일정'!AM85="제외"),"",IF($D85=$E85,IF(AND($D85&gt;=BU$5,$D85&lt;BU$5+7),"◆",""),IF(AND($D85&lt;BU$5+7,$E85&gt;BU$5),"■","")))</x:f>
      </x:c>
      <x:c r="BV85" s="7" t="str">
        <x:f>IF(OR($D85="",BV$5="",'상세일정'!AM85="제외"),"",IF($D85=$E85,IF(AND($D85&gt;=BV$5,$D85&lt;BV$5+7),"◆",""),IF(AND($D85&lt;BV$5+7,$E85&gt;BV$5),"■","")))</x:f>
      </x:c>
      <x:c r="BW85" s="7" t="str">
        <x:f>IF(OR($D85="",BW$5="",'상세일정'!AM85="제외"),"",IF($D85=$E85,IF(AND($D85&gt;=BW$5,$D85&lt;BW$5+7),"◆",""),IF(AND($D85&lt;BW$5+7,$E85&gt;BW$5),"■","")))</x:f>
      </x:c>
      <x:c r="BX85" s="7" t="str">
        <x:f>IF(OR($D85="",BX$5="",'상세일정'!AM85="제외"),"",IF($D85=$E85,IF(AND($D85&gt;=BX$5,$D85&lt;BX$5+7),"◆",""),IF(AND($D85&lt;BX$5+7,$E85&gt;BX$5),"■","")))</x:f>
      </x:c>
      <x:c r="BY85" s="7" t="str">
        <x:f>IF(OR($D85="",BY$5="",'상세일정'!AM85="제외"),"",IF($D85=$E85,IF(AND($D85&gt;=BY$5,$D85&lt;BY$5+7),"◆",""),IF(AND($D85&lt;BY$5+7,$E85&gt;BY$5),"■","")))</x:f>
      </x:c>
      <x:c r="BZ85" s="7" t="str">
        <x:f>IF(OR($D85="",BZ$5="",'상세일정'!AM85="제외"),"",IF($D85=$E85,IF(AND($D85&gt;=BZ$5,$D85&lt;BZ$5+7),"◆",""),IF(AND($D85&lt;BZ$5+7,$E85&gt;BZ$5),"■","")))</x:f>
      </x:c>
      <x:c r="CA85" s="7" t="str">
        <x:f>IF(OR($D85="",CA$5="",'상세일정'!AM85="제외"),"",IF($D85=$E85,IF(AND($D85&gt;=CA$5,$D85&lt;CA$5+7),"◆",""),IF(AND($D85&lt;CA$5+7,$E85&gt;CA$5),"■","")))</x:f>
      </x:c>
      <x:c r="CB85" s="7" t="str">
        <x:f>IF(OR($D85="",CB$5="",'상세일정'!AM85="제외"),"",IF($D85=$E85,IF(AND($D85&gt;=CB$5,$D85&lt;CB$5+7),"◆",""),IF(AND($D85&lt;CB$5+7,$E85&gt;CB$5),"■","")))</x:f>
      </x:c>
      <x:c r="CC85" s="7" t="str">
        <x:f>IF(OR($D85="",CC$5="",'상세일정'!AM85="제외"),"",IF($D85=$E85,IF(AND($D85&gt;=CC$5,$D85&lt;CC$5+7),"◆",""),IF(AND($D85&lt;CC$5+7,$E85&gt;CC$5),"■","")))</x:f>
      </x:c>
      <x:c r="CD85" s="7" t="str">
        <x:f>IF(OR($D85="",CD$5="",'상세일정'!AM85="제외"),"",IF($D85=$E85,IF(AND($D85&gt;=CD$5,$D85&lt;CD$5+7),"◆",""),IF(AND($D85&lt;CD$5+7,$E85&gt;CD$5),"■","")))</x:f>
      </x:c>
      <x:c r="CE85" s="7" t="str">
        <x:f>IF(OR($D85="",CE$5="",'상세일정'!AM85="제외"),"",IF($D85=$E85,IF(AND($D85&gt;=CE$5,$D85&lt;CE$5+7),"◆",""),IF(AND($D85&lt;CE$5+7,$E85&gt;CE$5),"■","")))</x:f>
      </x:c>
      <x:c r="CF85" s="7" t="str">
        <x:f>IF(OR($D85="",CF$5="",'상세일정'!AM85="제외"),"",IF($D85=$E85,IF(AND($D85&gt;=CF$5,$D85&lt;CF$5+7),"◆",""),IF(AND($D85&lt;CF$5+7,$E85&gt;CF$5),"■","")))</x:f>
      </x:c>
      <x:c r="CG85" s="7" t="str">
        <x:f>IF(OR($D85="",CG$5="",'상세일정'!AM85="제외"),"",IF($D85=$E85,IF(AND($D85&gt;=CG$5,$D85&lt;CG$5+7),"◆",""),IF(AND($D85&lt;CG$5+7,$E85&gt;CG$5),"■","")))</x:f>
      </x:c>
      <x:c r="CH85" s="7" t="str">
        <x:f>IF(OR($D85="",CH$5="",'상세일정'!AM85="제외"),"",IF($D85=$E85,IF(AND($D85&gt;=CH$5,$D85&lt;CH$5+7),"◆",""),IF(AND($D85&lt;CH$5+7,$E85&gt;CH$5),"■","")))</x:f>
      </x:c>
      <x:c r="CI85" s="7" t="str">
        <x:f>IF(OR($D85="",CI$5="",'상세일정'!AM85="제외"),"",IF($D85=$E85,IF(AND($D85&gt;=CI$5,$D85&lt;CI$5+7),"◆",""),IF(AND($D85&lt;CI$5+7,$E85&gt;CI$5),"■","")))</x:f>
      </x:c>
      <x:c r="CJ85" s="7" t="str">
        <x:f>IF(OR($D85="",CJ$5="",'상세일정'!AM85="제외"),"",IF($D85=$E85,IF(AND($D85&gt;=CJ$5,$D85&lt;CJ$5+7),"◆",""),IF(AND($D85&lt;CJ$5+7,$E85&gt;CJ$5),"■","")))</x:f>
      </x:c>
      <x:c r="CK85" s="7" t="str">
        <x:f>IF(OR($D85="",CK$5="",'상세일정'!AM85="제외"),"",IF($D85=$E85,IF(AND($D85&gt;=CK$5,$D85&lt;CK$5+7),"◆",""),IF(AND($D85&lt;CK$5+7,$E85&gt;CK$5),"■","")))</x:f>
      </x:c>
      <x:c r="CL85" s="7" t="str">
        <x:f>IF(OR($D85="",CL$5="",'상세일정'!AM85="제외"),"",IF($D85=$E85,IF(AND($D85&gt;=CL$5,$D85&lt;CL$5+7),"◆",""),IF(AND($D85&lt;CL$5+7,$E85&gt;CL$5),"■","")))</x:f>
      </x:c>
      <x:c r="CM85" s="7" t="str">
        <x:f>IF(OR($D85="",CM$5="",'상세일정'!AM85="제외"),"",IF($D85=$E85,IF(AND($D85&gt;=CM$5,$D85&lt;CM$5+7),"◆",""),IF(AND($D85&lt;CM$5+7,$E85&gt;CM$5),"■","")))</x:f>
      </x:c>
      <x:c r="CN85" s="7" t="str">
        <x:f>IF(OR($D85="",CN$5="",'상세일정'!AM85="제외"),"",IF($D85=$E85,IF(AND($D85&gt;=CN$5,$D85&lt;CN$5+7),"◆",""),IF(AND($D85&lt;CN$5+7,$E85&gt;CN$5),"■","")))</x:f>
      </x:c>
      <x:c r="CO85" s="7" t="str">
        <x:f>IF(OR($D85="",CO$5="",'상세일정'!AM85="제외"),"",IF($D85=$E85,IF(AND($D85&gt;=CO$5,$D85&lt;CO$5+7),"◆",""),IF(AND($D85&lt;CO$5+7,$E85&gt;CO$5),"■","")))</x:f>
      </x:c>
      <x:c r="CP85" s="7" t="str">
        <x:f>IF(OR($D85="",CP$5="",'상세일정'!AM85="제외"),"",IF($D85=$E85,IF(AND($D85&gt;=CP$5,$D85&lt;CP$5+7),"◆",""),IF(AND($D85&lt;CP$5+7,$E85&gt;CP$5),"■","")))</x:f>
      </x:c>
      <x:c r="CQ85" s="7" t="str">
        <x:f>IF(OR($D85="",CQ$5="",'상세일정'!AM85="제외"),"",IF($D85=$E85,IF(AND($D85&gt;=CQ$5,$D85&lt;CQ$5+7),"◆",""),IF(AND($D85&lt;CQ$5+7,$E85&gt;CQ$5),"■","")))</x:f>
      </x:c>
      <x:c r="CR85" s="7" t="str">
        <x:f>IF(OR($D85="",CR$5="",'상세일정'!AM85="제외"),"",IF($D85=$E85,IF(AND($D85&gt;=CR$5,$D85&lt;CR$5+7),"◆",""),IF(AND($D85&lt;CR$5+7,$E85&gt;CR$5),"■","")))</x:f>
      </x:c>
      <x:c r="CS85" s="7" t="str">
        <x:f>IF(OR($D85="",CS$5="",'상세일정'!AM85="제외"),"",IF($D85=$E85,IF(AND($D85&gt;=CS$5,$D85&lt;CS$5+7),"◆",""),IF(AND($D85&lt;CS$5+7,$E85&gt;CS$5),"■","")))</x:f>
      </x:c>
      <x:c r="CT85" s="7" t="str">
        <x:f>IF(OR($D85="",CT$5="",'상세일정'!AM85="제외"),"",IF($D85=$E85,IF(AND($D85&gt;=CT$5,$D85&lt;CT$5+7),"◆",""),IF(AND($D85&lt;CT$5+7,$E85&gt;CT$5),"■","")))</x:f>
      </x:c>
      <x:c r="CU85" s="7" t="str">
        <x:f>IF(OR($D85="",CU$5="",'상세일정'!AM85="제외"),"",IF($D85=$E85,IF(AND($D85&gt;=CU$5,$D85&lt;CU$5+7),"◆",""),IF(AND($D85&lt;CU$5+7,$E85&gt;CU$5),"■","")))</x:f>
      </x:c>
      <x:c r="CV85" s="7" t="str">
        <x:f>IF(OR($D85="",CV$5="",'상세일정'!AM85="제외"),"",IF($D85=$E85,IF(AND($D85&gt;=CV$5,$D85&lt;CV$5+7),"◆",""),IF(AND($D85&lt;CV$5+7,$E85&gt;CV$5),"■","")))</x:f>
      </x:c>
      <x:c r="CW85" s="7" t="str">
        <x:f>IF(OR($D85="",CW$5="",'상세일정'!AM85="제외"),"",IF($D85=$E85,IF(AND($D85&gt;=CW$5,$D85&lt;CW$5+7),"◆",""),IF(AND($D85&lt;CW$5+7,$E85&gt;CW$5),"■","")))</x:f>
      </x:c>
      <x:c r="CX85" s="7" t="str">
        <x:f>IF(OR($D85="",CX$5="",'상세일정'!AM85="제외"),"",IF($D85=$E85,IF(AND($D85&gt;=CX$5,$D85&lt;CX$5+7),"◆",""),IF(AND($D85&lt;CX$5+7,$E85&gt;CX$5),"■","")))</x:f>
      </x:c>
      <x:c r="CY85" s="7" t="str">
        <x:f>IF(OR($D85="",CY$5="",'상세일정'!AM85="제외"),"",IF($D85=$E85,IF(AND($D85&gt;=CY$5,$D85&lt;CY$5+7),"◆",""),IF(AND($D85&lt;CY$5+7,$E85&gt;CY$5),"■","")))</x:f>
      </x:c>
      <x:c r="CZ85" s="7" t="str">
        <x:f>IF(OR($D85="",CZ$5="",'상세일정'!AM85="제외"),"",IF($D85=$E85,IF(AND($D85&gt;=CZ$5,$D85&lt;CZ$5+7),"◆",""),IF(AND($D85&lt;CZ$5+7,$E85&gt;CZ$5),"■","")))</x:f>
      </x:c>
      <x:c r="DA85" s="7" t="str">
        <x:f>IF(OR($D85="",DA$5="",'상세일정'!AM85="제외"),"",IF($D85=$E85,IF(AND($D85&gt;=DA$5,$D85&lt;DA$5+7),"◆",""),IF(AND($D85&lt;DA$5+7,$E85&gt;DA$5),"■","")))</x:f>
      </x:c>
      <x:c r="DB85" s="7" t="str">
        <x:f>IF(OR($D85="",DB$5="",'상세일정'!AM85="제외"),"",IF($D85=$E85,IF(AND($D85&gt;=DB$5,$D85&lt;DB$5+7),"◆",""),IF(AND($D85&lt;DB$5+7,$E85&gt;DB$5),"■","")))</x:f>
      </x:c>
      <x:c r="DC85" s="7" t="str">
        <x:f>IF(OR($D85="",DC$5="",'상세일정'!AM85="제외"),"",IF($D85=$E85,IF(AND($D85&gt;=DC$5,$D85&lt;DC$5+7),"◆",""),IF(AND($D85&lt;DC$5+7,$E85&gt;DC$5),"■","")))</x:f>
      </x:c>
      <x:c r="DD85" s="7" t="str">
        <x:f>IF(OR($D85="",DD$5="",'상세일정'!AM85="제외"),"",IF($D85=$E85,IF(AND($D85&gt;=DD$5,$D85&lt;DD$5+7),"◆",""),IF(AND($D85&lt;DD$5+7,$E85&gt;DD$5),"■","")))</x:f>
      </x:c>
      <x:c r="DE85" s="7" t="str">
        <x:f>IF(OR($D85="",DE$5="",'상세일정'!AM85="제외"),"",IF($D85=$E85,IF(AND($D85&gt;=DE$5,$D85&lt;DE$5+7),"◆",""),IF(AND($D85&lt;DE$5+7,$E85&gt;DE$5),"■","")))</x:f>
      </x:c>
    </x:row>
    <x:row r="86" ht="34" customHeight="1">
      <x:c r="A86" s="7" t="str">
        <x:v>SH02</x:v>
      </x:c>
      <x:c r="B86" s="7" t="str">
        <x:v>13 유해위험방지계획</x:v>
      </x:c>
      <x:c r="C86" s="7" t="str">
        <x:v>계획서 필수 도면·설비·안전자료 완결성 확인</x:v>
      </x:c>
      <x:c r="D86" s="10" t="str">
        <x:f>'상세일정'!AJ86</x:f>
      </x:c>
      <x:c r="E86" s="10" t="str">
        <x:f>'상세일정'!AK86</x:f>
      </x:c>
      <x:c r="F86" s="7" t="str">
        <x:f>IF(OR($D86="",F$5="",'상세일정'!AM86="제외"),"",IF($D86=$E86,IF(AND($D86&gt;=F$5,$D86&lt;F$5+7),"◆",""),IF(AND($D86&lt;F$5+7,$E86&gt;F$5),"■","")))</x:f>
      </x:c>
      <x:c r="G86" s="7" t="str">
        <x:f>IF(OR($D86="",G$5="",'상세일정'!AM86="제외"),"",IF($D86=$E86,IF(AND($D86&gt;=G$5,$D86&lt;G$5+7),"◆",""),IF(AND($D86&lt;G$5+7,$E86&gt;G$5),"■","")))</x:f>
      </x:c>
      <x:c r="H86" s="7" t="str">
        <x:f>IF(OR($D86="",H$5="",'상세일정'!AM86="제외"),"",IF($D86=$E86,IF(AND($D86&gt;=H$5,$D86&lt;H$5+7),"◆",""),IF(AND($D86&lt;H$5+7,$E86&gt;H$5),"■","")))</x:f>
      </x:c>
      <x:c r="I86" s="7" t="str">
        <x:f>IF(OR($D86="",I$5="",'상세일정'!AM86="제외"),"",IF($D86=$E86,IF(AND($D86&gt;=I$5,$D86&lt;I$5+7),"◆",""),IF(AND($D86&lt;I$5+7,$E86&gt;I$5),"■","")))</x:f>
      </x:c>
      <x:c r="J86" s="7" t="str">
        <x:f>IF(OR($D86="",J$5="",'상세일정'!AM86="제외"),"",IF($D86=$E86,IF(AND($D86&gt;=J$5,$D86&lt;J$5+7),"◆",""),IF(AND($D86&lt;J$5+7,$E86&gt;J$5),"■","")))</x:f>
      </x:c>
      <x:c r="K86" s="7" t="str">
        <x:f>IF(OR($D86="",K$5="",'상세일정'!AM86="제외"),"",IF($D86=$E86,IF(AND($D86&gt;=K$5,$D86&lt;K$5+7),"◆",""),IF(AND($D86&lt;K$5+7,$E86&gt;K$5),"■","")))</x:f>
      </x:c>
      <x:c r="L86" s="7" t="str">
        <x:f>IF(OR($D86="",L$5="",'상세일정'!AM86="제외"),"",IF($D86=$E86,IF(AND($D86&gt;=L$5,$D86&lt;L$5+7),"◆",""),IF(AND($D86&lt;L$5+7,$E86&gt;L$5),"■","")))</x:f>
      </x:c>
      <x:c r="M86" s="7" t="str">
        <x:f>IF(OR($D86="",M$5="",'상세일정'!AM86="제외"),"",IF($D86=$E86,IF(AND($D86&gt;=M$5,$D86&lt;M$5+7),"◆",""),IF(AND($D86&lt;M$5+7,$E86&gt;M$5),"■","")))</x:f>
      </x:c>
      <x:c r="N86" s="7" t="str">
        <x:f>IF(OR($D86="",N$5="",'상세일정'!AM86="제외"),"",IF($D86=$E86,IF(AND($D86&gt;=N$5,$D86&lt;N$5+7),"◆",""),IF(AND($D86&lt;N$5+7,$E86&gt;N$5),"■","")))</x:f>
      </x:c>
      <x:c r="O86" s="7" t="str">
        <x:f>IF(OR($D86="",O$5="",'상세일정'!AM86="제외"),"",IF($D86=$E86,IF(AND($D86&gt;=O$5,$D86&lt;O$5+7),"◆",""),IF(AND($D86&lt;O$5+7,$E86&gt;O$5),"■","")))</x:f>
      </x:c>
      <x:c r="P86" s="7" t="str">
        <x:f>IF(OR($D86="",P$5="",'상세일정'!AM86="제외"),"",IF($D86=$E86,IF(AND($D86&gt;=P$5,$D86&lt;P$5+7),"◆",""),IF(AND($D86&lt;P$5+7,$E86&gt;P$5),"■","")))</x:f>
      </x:c>
      <x:c r="Q86" s="7" t="str">
        <x:f>IF(OR($D86="",Q$5="",'상세일정'!AM86="제외"),"",IF($D86=$E86,IF(AND($D86&gt;=Q$5,$D86&lt;Q$5+7),"◆",""),IF(AND($D86&lt;Q$5+7,$E86&gt;Q$5),"■","")))</x:f>
      </x:c>
      <x:c r="R86" s="7" t="str">
        <x:f>IF(OR($D86="",R$5="",'상세일정'!AM86="제외"),"",IF($D86=$E86,IF(AND($D86&gt;=R$5,$D86&lt;R$5+7),"◆",""),IF(AND($D86&lt;R$5+7,$E86&gt;R$5),"■","")))</x:f>
      </x:c>
      <x:c r="S86" s="7" t="str">
        <x:f>IF(OR($D86="",S$5="",'상세일정'!AM86="제외"),"",IF($D86=$E86,IF(AND($D86&gt;=S$5,$D86&lt;S$5+7),"◆",""),IF(AND($D86&lt;S$5+7,$E86&gt;S$5),"■","")))</x:f>
      </x:c>
      <x:c r="T86" s="7" t="str">
        <x:f>IF(OR($D86="",T$5="",'상세일정'!AM86="제외"),"",IF($D86=$E86,IF(AND($D86&gt;=T$5,$D86&lt;T$5+7),"◆",""),IF(AND($D86&lt;T$5+7,$E86&gt;T$5),"■","")))</x:f>
      </x:c>
      <x:c r="U86" s="7" t="str">
        <x:f>IF(OR($D86="",U$5="",'상세일정'!AM86="제외"),"",IF($D86=$E86,IF(AND($D86&gt;=U$5,$D86&lt;U$5+7),"◆",""),IF(AND($D86&lt;U$5+7,$E86&gt;U$5),"■","")))</x:f>
      </x:c>
      <x:c r="V86" s="7" t="str">
        <x:f>IF(OR($D86="",V$5="",'상세일정'!AM86="제외"),"",IF($D86=$E86,IF(AND($D86&gt;=V$5,$D86&lt;V$5+7),"◆",""),IF(AND($D86&lt;V$5+7,$E86&gt;V$5),"■","")))</x:f>
      </x:c>
      <x:c r="W86" s="7" t="str">
        <x:f>IF(OR($D86="",W$5="",'상세일정'!AM86="제외"),"",IF($D86=$E86,IF(AND($D86&gt;=W$5,$D86&lt;W$5+7),"◆",""),IF(AND($D86&lt;W$5+7,$E86&gt;W$5),"■","")))</x:f>
      </x:c>
      <x:c r="X86" s="7" t="str">
        <x:f>IF(OR($D86="",X$5="",'상세일정'!AM86="제외"),"",IF($D86=$E86,IF(AND($D86&gt;=X$5,$D86&lt;X$5+7),"◆",""),IF(AND($D86&lt;X$5+7,$E86&gt;X$5),"■","")))</x:f>
      </x:c>
      <x:c r="Y86" s="7" t="str">
        <x:f>IF(OR($D86="",Y$5="",'상세일정'!AM86="제외"),"",IF($D86=$E86,IF(AND($D86&gt;=Y$5,$D86&lt;Y$5+7),"◆",""),IF(AND($D86&lt;Y$5+7,$E86&gt;Y$5),"■","")))</x:f>
      </x:c>
      <x:c r="Z86" s="7" t="str">
        <x:f>IF(OR($D86="",Z$5="",'상세일정'!AM86="제외"),"",IF($D86=$E86,IF(AND($D86&gt;=Z$5,$D86&lt;Z$5+7),"◆",""),IF(AND($D86&lt;Z$5+7,$E86&gt;Z$5),"■","")))</x:f>
      </x:c>
      <x:c r="AA86" s="7" t="str">
        <x:f>IF(OR($D86="",AA$5="",'상세일정'!AM86="제외"),"",IF($D86=$E86,IF(AND($D86&gt;=AA$5,$D86&lt;AA$5+7),"◆",""),IF(AND($D86&lt;AA$5+7,$E86&gt;AA$5),"■","")))</x:f>
      </x:c>
      <x:c r="AB86" s="7" t="str">
        <x:f>IF(OR($D86="",AB$5="",'상세일정'!AM86="제외"),"",IF($D86=$E86,IF(AND($D86&gt;=AB$5,$D86&lt;AB$5+7),"◆",""),IF(AND($D86&lt;AB$5+7,$E86&gt;AB$5),"■","")))</x:f>
      </x:c>
      <x:c r="AC86" s="7" t="str">
        <x:f>IF(OR($D86="",AC$5="",'상세일정'!AM86="제외"),"",IF($D86=$E86,IF(AND($D86&gt;=AC$5,$D86&lt;AC$5+7),"◆",""),IF(AND($D86&lt;AC$5+7,$E86&gt;AC$5),"■","")))</x:f>
      </x:c>
      <x:c r="AD86" s="7" t="str">
        <x:f>IF(OR($D86="",AD$5="",'상세일정'!AM86="제외"),"",IF($D86=$E86,IF(AND($D86&gt;=AD$5,$D86&lt;AD$5+7),"◆",""),IF(AND($D86&lt;AD$5+7,$E86&gt;AD$5),"■","")))</x:f>
      </x:c>
      <x:c r="AE86" s="7" t="str">
        <x:f>IF(OR($D86="",AE$5="",'상세일정'!AM86="제외"),"",IF($D86=$E86,IF(AND($D86&gt;=AE$5,$D86&lt;AE$5+7),"◆",""),IF(AND($D86&lt;AE$5+7,$E86&gt;AE$5),"■","")))</x:f>
      </x:c>
      <x:c r="AF86" s="7" t="str">
        <x:f>IF(OR($D86="",AF$5="",'상세일정'!AM86="제외"),"",IF($D86=$E86,IF(AND($D86&gt;=AF$5,$D86&lt;AF$5+7),"◆",""),IF(AND($D86&lt;AF$5+7,$E86&gt;AF$5),"■","")))</x:f>
      </x:c>
      <x:c r="AG86" s="7" t="str">
        <x:f>IF(OR($D86="",AG$5="",'상세일정'!AM86="제외"),"",IF($D86=$E86,IF(AND($D86&gt;=AG$5,$D86&lt;AG$5+7),"◆",""),IF(AND($D86&lt;AG$5+7,$E86&gt;AG$5),"■","")))</x:f>
      </x:c>
      <x:c r="AH86" s="7" t="str">
        <x:f>IF(OR($D86="",AH$5="",'상세일정'!AM86="제외"),"",IF($D86=$E86,IF(AND($D86&gt;=AH$5,$D86&lt;AH$5+7),"◆",""),IF(AND($D86&lt;AH$5+7,$E86&gt;AH$5),"■","")))</x:f>
      </x:c>
      <x:c r="AI86" s="7" t="str">
        <x:f>IF(OR($D86="",AI$5="",'상세일정'!AM86="제외"),"",IF($D86=$E86,IF(AND($D86&gt;=AI$5,$D86&lt;AI$5+7),"◆",""),IF(AND($D86&lt;AI$5+7,$E86&gt;AI$5),"■","")))</x:f>
      </x:c>
      <x:c r="AJ86" s="7" t="str">
        <x:f>IF(OR($D86="",AJ$5="",'상세일정'!AM86="제외"),"",IF($D86=$E86,IF(AND($D86&gt;=AJ$5,$D86&lt;AJ$5+7),"◆",""),IF(AND($D86&lt;AJ$5+7,$E86&gt;AJ$5),"■","")))</x:f>
      </x:c>
      <x:c r="AK86" s="7" t="str">
        <x:f>IF(OR($D86="",AK$5="",'상세일정'!AM86="제외"),"",IF($D86=$E86,IF(AND($D86&gt;=AK$5,$D86&lt;AK$5+7),"◆",""),IF(AND($D86&lt;AK$5+7,$E86&gt;AK$5),"■","")))</x:f>
      </x:c>
      <x:c r="AL86" s="7" t="str">
        <x:f>IF(OR($D86="",AL$5="",'상세일정'!AM86="제외"),"",IF($D86=$E86,IF(AND($D86&gt;=AL$5,$D86&lt;AL$5+7),"◆",""),IF(AND($D86&lt;AL$5+7,$E86&gt;AL$5),"■","")))</x:f>
      </x:c>
      <x:c r="AM86" s="7" t="str">
        <x:f>IF(OR($D86="",AM$5="",'상세일정'!AM86="제외"),"",IF($D86=$E86,IF(AND($D86&gt;=AM$5,$D86&lt;AM$5+7),"◆",""),IF(AND($D86&lt;AM$5+7,$E86&gt;AM$5),"■","")))</x:f>
      </x:c>
      <x:c r="AN86" s="7" t="str">
        <x:f>IF(OR($D86="",AN$5="",'상세일정'!AM86="제외"),"",IF($D86=$E86,IF(AND($D86&gt;=AN$5,$D86&lt;AN$5+7),"◆",""),IF(AND($D86&lt;AN$5+7,$E86&gt;AN$5),"■","")))</x:f>
      </x:c>
      <x:c r="AO86" s="7" t="str">
        <x:f>IF(OR($D86="",AO$5="",'상세일정'!AM86="제외"),"",IF($D86=$E86,IF(AND($D86&gt;=AO$5,$D86&lt;AO$5+7),"◆",""),IF(AND($D86&lt;AO$5+7,$E86&gt;AO$5),"■","")))</x:f>
      </x:c>
      <x:c r="AP86" s="7" t="str">
        <x:f>IF(OR($D86="",AP$5="",'상세일정'!AM86="제외"),"",IF($D86=$E86,IF(AND($D86&gt;=AP$5,$D86&lt;AP$5+7),"◆",""),IF(AND($D86&lt;AP$5+7,$E86&gt;AP$5),"■","")))</x:f>
      </x:c>
      <x:c r="AQ86" s="7" t="str">
        <x:f>IF(OR($D86="",AQ$5="",'상세일정'!AM86="제외"),"",IF($D86=$E86,IF(AND($D86&gt;=AQ$5,$D86&lt;AQ$5+7),"◆",""),IF(AND($D86&lt;AQ$5+7,$E86&gt;AQ$5),"■","")))</x:f>
      </x:c>
      <x:c r="AR86" s="7" t="str">
        <x:f>IF(OR($D86="",AR$5="",'상세일정'!AM86="제외"),"",IF($D86=$E86,IF(AND($D86&gt;=AR$5,$D86&lt;AR$5+7),"◆",""),IF(AND($D86&lt;AR$5+7,$E86&gt;AR$5),"■","")))</x:f>
      </x:c>
      <x:c r="AS86" s="7" t="str">
        <x:f>IF(OR($D86="",AS$5="",'상세일정'!AM86="제외"),"",IF($D86=$E86,IF(AND($D86&gt;=AS$5,$D86&lt;AS$5+7),"◆",""),IF(AND($D86&lt;AS$5+7,$E86&gt;AS$5),"■","")))</x:f>
      </x:c>
      <x:c r="AT86" s="7" t="str">
        <x:f>IF(OR($D86="",AT$5="",'상세일정'!AM86="제외"),"",IF($D86=$E86,IF(AND($D86&gt;=AT$5,$D86&lt;AT$5+7),"◆",""),IF(AND($D86&lt;AT$5+7,$E86&gt;AT$5),"■","")))</x:f>
      </x:c>
      <x:c r="AU86" s="7" t="str">
        <x:f>IF(OR($D86="",AU$5="",'상세일정'!AM86="제외"),"",IF($D86=$E86,IF(AND($D86&gt;=AU$5,$D86&lt;AU$5+7),"◆",""),IF(AND($D86&lt;AU$5+7,$E86&gt;AU$5),"■","")))</x:f>
      </x:c>
      <x:c r="AV86" s="7" t="str">
        <x:f>IF(OR($D86="",AV$5="",'상세일정'!AM86="제외"),"",IF($D86=$E86,IF(AND($D86&gt;=AV$5,$D86&lt;AV$5+7),"◆",""),IF(AND($D86&lt;AV$5+7,$E86&gt;AV$5),"■","")))</x:f>
      </x:c>
      <x:c r="AW86" s="7" t="str">
        <x:f>IF(OR($D86="",AW$5="",'상세일정'!AM86="제외"),"",IF($D86=$E86,IF(AND($D86&gt;=AW$5,$D86&lt;AW$5+7),"◆",""),IF(AND($D86&lt;AW$5+7,$E86&gt;AW$5),"■","")))</x:f>
      </x:c>
      <x:c r="AX86" s="7" t="str">
        <x:f>IF(OR($D86="",AX$5="",'상세일정'!AM86="제외"),"",IF($D86=$E86,IF(AND($D86&gt;=AX$5,$D86&lt;AX$5+7),"◆",""),IF(AND($D86&lt;AX$5+7,$E86&gt;AX$5),"■","")))</x:f>
      </x:c>
      <x:c r="AY86" s="7" t="str">
        <x:f>IF(OR($D86="",AY$5="",'상세일정'!AM86="제외"),"",IF($D86=$E86,IF(AND($D86&gt;=AY$5,$D86&lt;AY$5+7),"◆",""),IF(AND($D86&lt;AY$5+7,$E86&gt;AY$5),"■","")))</x:f>
      </x:c>
      <x:c r="AZ86" s="7" t="str">
        <x:f>IF(OR($D86="",AZ$5="",'상세일정'!AM86="제외"),"",IF($D86=$E86,IF(AND($D86&gt;=AZ$5,$D86&lt;AZ$5+7),"◆",""),IF(AND($D86&lt;AZ$5+7,$E86&gt;AZ$5),"■","")))</x:f>
      </x:c>
      <x:c r="BA86" s="7" t="str">
        <x:f>IF(OR($D86="",BA$5="",'상세일정'!AM86="제외"),"",IF($D86=$E86,IF(AND($D86&gt;=BA$5,$D86&lt;BA$5+7),"◆",""),IF(AND($D86&lt;BA$5+7,$E86&gt;BA$5),"■","")))</x:f>
      </x:c>
      <x:c r="BB86" s="7" t="str">
        <x:f>IF(OR($D86="",BB$5="",'상세일정'!AM86="제외"),"",IF($D86=$E86,IF(AND($D86&gt;=BB$5,$D86&lt;BB$5+7),"◆",""),IF(AND($D86&lt;BB$5+7,$E86&gt;BB$5),"■","")))</x:f>
      </x:c>
      <x:c r="BC86" s="7" t="str">
        <x:f>IF(OR($D86="",BC$5="",'상세일정'!AM86="제외"),"",IF($D86=$E86,IF(AND($D86&gt;=BC$5,$D86&lt;BC$5+7),"◆",""),IF(AND($D86&lt;BC$5+7,$E86&gt;BC$5),"■","")))</x:f>
      </x:c>
      <x:c r="BD86" s="7" t="str">
        <x:f>IF(OR($D86="",BD$5="",'상세일정'!AM86="제외"),"",IF($D86=$E86,IF(AND($D86&gt;=BD$5,$D86&lt;BD$5+7),"◆",""),IF(AND($D86&lt;BD$5+7,$E86&gt;BD$5),"■","")))</x:f>
      </x:c>
      <x:c r="BE86" s="7" t="str">
        <x:f>IF(OR($D86="",BE$5="",'상세일정'!AM86="제외"),"",IF($D86=$E86,IF(AND($D86&gt;=BE$5,$D86&lt;BE$5+7),"◆",""),IF(AND($D86&lt;BE$5+7,$E86&gt;BE$5),"■","")))</x:f>
      </x:c>
      <x:c r="BF86" s="7" t="str">
        <x:f>IF(OR($D86="",BF$5="",'상세일정'!AM86="제외"),"",IF($D86=$E86,IF(AND($D86&gt;=BF$5,$D86&lt;BF$5+7),"◆",""),IF(AND($D86&lt;BF$5+7,$E86&gt;BF$5),"■","")))</x:f>
      </x:c>
      <x:c r="BG86" s="7" t="str">
        <x:f>IF(OR($D86="",BG$5="",'상세일정'!AM86="제외"),"",IF($D86=$E86,IF(AND($D86&gt;=BG$5,$D86&lt;BG$5+7),"◆",""),IF(AND($D86&lt;BG$5+7,$E86&gt;BG$5),"■","")))</x:f>
      </x:c>
      <x:c r="BH86" s="7" t="str">
        <x:f>IF(OR($D86="",BH$5="",'상세일정'!AM86="제외"),"",IF($D86=$E86,IF(AND($D86&gt;=BH$5,$D86&lt;BH$5+7),"◆",""),IF(AND($D86&lt;BH$5+7,$E86&gt;BH$5),"■","")))</x:f>
      </x:c>
      <x:c r="BI86" s="7" t="str">
        <x:f>IF(OR($D86="",BI$5="",'상세일정'!AM86="제외"),"",IF($D86=$E86,IF(AND($D86&gt;=BI$5,$D86&lt;BI$5+7),"◆",""),IF(AND($D86&lt;BI$5+7,$E86&gt;BI$5),"■","")))</x:f>
      </x:c>
      <x:c r="BJ86" s="7" t="str">
        <x:f>IF(OR($D86="",BJ$5="",'상세일정'!AM86="제외"),"",IF($D86=$E86,IF(AND($D86&gt;=BJ$5,$D86&lt;BJ$5+7),"◆",""),IF(AND($D86&lt;BJ$5+7,$E86&gt;BJ$5),"■","")))</x:f>
      </x:c>
      <x:c r="BK86" s="7" t="str">
        <x:f>IF(OR($D86="",BK$5="",'상세일정'!AM86="제외"),"",IF($D86=$E86,IF(AND($D86&gt;=BK$5,$D86&lt;BK$5+7),"◆",""),IF(AND($D86&lt;BK$5+7,$E86&gt;BK$5),"■","")))</x:f>
      </x:c>
      <x:c r="BL86" s="7" t="str">
        <x:f>IF(OR($D86="",BL$5="",'상세일정'!AM86="제외"),"",IF($D86=$E86,IF(AND($D86&gt;=BL$5,$D86&lt;BL$5+7),"◆",""),IF(AND($D86&lt;BL$5+7,$E86&gt;BL$5),"■","")))</x:f>
      </x:c>
      <x:c r="BM86" s="7" t="str">
        <x:f>IF(OR($D86="",BM$5="",'상세일정'!AM86="제외"),"",IF($D86=$E86,IF(AND($D86&gt;=BM$5,$D86&lt;BM$5+7),"◆",""),IF(AND($D86&lt;BM$5+7,$E86&gt;BM$5),"■","")))</x:f>
      </x:c>
      <x:c r="BN86" s="7" t="str">
        <x:f>IF(OR($D86="",BN$5="",'상세일정'!AM86="제외"),"",IF($D86=$E86,IF(AND($D86&gt;=BN$5,$D86&lt;BN$5+7),"◆",""),IF(AND($D86&lt;BN$5+7,$E86&gt;BN$5),"■","")))</x:f>
      </x:c>
      <x:c r="BO86" s="7" t="str">
        <x:f>IF(OR($D86="",BO$5="",'상세일정'!AM86="제외"),"",IF($D86=$E86,IF(AND($D86&gt;=BO$5,$D86&lt;BO$5+7),"◆",""),IF(AND($D86&lt;BO$5+7,$E86&gt;BO$5),"■","")))</x:f>
      </x:c>
      <x:c r="BP86" s="7" t="str">
        <x:f>IF(OR($D86="",BP$5="",'상세일정'!AM86="제외"),"",IF($D86=$E86,IF(AND($D86&gt;=BP$5,$D86&lt;BP$5+7),"◆",""),IF(AND($D86&lt;BP$5+7,$E86&gt;BP$5),"■","")))</x:f>
      </x:c>
      <x:c r="BQ86" s="7" t="str">
        <x:f>IF(OR($D86="",BQ$5="",'상세일정'!AM86="제외"),"",IF($D86=$E86,IF(AND($D86&gt;=BQ$5,$D86&lt;BQ$5+7),"◆",""),IF(AND($D86&lt;BQ$5+7,$E86&gt;BQ$5),"■","")))</x:f>
      </x:c>
      <x:c r="BR86" s="7" t="str">
        <x:f>IF(OR($D86="",BR$5="",'상세일정'!AM86="제외"),"",IF($D86=$E86,IF(AND($D86&gt;=BR$5,$D86&lt;BR$5+7),"◆",""),IF(AND($D86&lt;BR$5+7,$E86&gt;BR$5),"■","")))</x:f>
      </x:c>
      <x:c r="BS86" s="7" t="str">
        <x:f>IF(OR($D86="",BS$5="",'상세일정'!AM86="제외"),"",IF($D86=$E86,IF(AND($D86&gt;=BS$5,$D86&lt;BS$5+7),"◆",""),IF(AND($D86&lt;BS$5+7,$E86&gt;BS$5),"■","")))</x:f>
      </x:c>
      <x:c r="BT86" s="7" t="str">
        <x:f>IF(OR($D86="",BT$5="",'상세일정'!AM86="제외"),"",IF($D86=$E86,IF(AND($D86&gt;=BT$5,$D86&lt;BT$5+7),"◆",""),IF(AND($D86&lt;BT$5+7,$E86&gt;BT$5),"■","")))</x:f>
      </x:c>
      <x:c r="BU86" s="7" t="str">
        <x:f>IF(OR($D86="",BU$5="",'상세일정'!AM86="제외"),"",IF($D86=$E86,IF(AND($D86&gt;=BU$5,$D86&lt;BU$5+7),"◆",""),IF(AND($D86&lt;BU$5+7,$E86&gt;BU$5),"■","")))</x:f>
      </x:c>
      <x:c r="BV86" s="7" t="str">
        <x:f>IF(OR($D86="",BV$5="",'상세일정'!AM86="제외"),"",IF($D86=$E86,IF(AND($D86&gt;=BV$5,$D86&lt;BV$5+7),"◆",""),IF(AND($D86&lt;BV$5+7,$E86&gt;BV$5),"■","")))</x:f>
      </x:c>
      <x:c r="BW86" s="7" t="str">
        <x:f>IF(OR($D86="",BW$5="",'상세일정'!AM86="제외"),"",IF($D86=$E86,IF(AND($D86&gt;=BW$5,$D86&lt;BW$5+7),"◆",""),IF(AND($D86&lt;BW$5+7,$E86&gt;BW$5),"■","")))</x:f>
      </x:c>
      <x:c r="BX86" s="7" t="str">
        <x:f>IF(OR($D86="",BX$5="",'상세일정'!AM86="제외"),"",IF($D86=$E86,IF(AND($D86&gt;=BX$5,$D86&lt;BX$5+7),"◆",""),IF(AND($D86&lt;BX$5+7,$E86&gt;BX$5),"■","")))</x:f>
      </x:c>
      <x:c r="BY86" s="7" t="str">
        <x:f>IF(OR($D86="",BY$5="",'상세일정'!AM86="제외"),"",IF($D86=$E86,IF(AND($D86&gt;=BY$5,$D86&lt;BY$5+7),"◆",""),IF(AND($D86&lt;BY$5+7,$E86&gt;BY$5),"■","")))</x:f>
      </x:c>
      <x:c r="BZ86" s="7" t="str">
        <x:f>IF(OR($D86="",BZ$5="",'상세일정'!AM86="제외"),"",IF($D86=$E86,IF(AND($D86&gt;=BZ$5,$D86&lt;BZ$5+7),"◆",""),IF(AND($D86&lt;BZ$5+7,$E86&gt;BZ$5),"■","")))</x:f>
      </x:c>
      <x:c r="CA86" s="7" t="str">
        <x:f>IF(OR($D86="",CA$5="",'상세일정'!AM86="제외"),"",IF($D86=$E86,IF(AND($D86&gt;=CA$5,$D86&lt;CA$5+7),"◆",""),IF(AND($D86&lt;CA$5+7,$E86&gt;CA$5),"■","")))</x:f>
      </x:c>
      <x:c r="CB86" s="7" t="str">
        <x:f>IF(OR($D86="",CB$5="",'상세일정'!AM86="제외"),"",IF($D86=$E86,IF(AND($D86&gt;=CB$5,$D86&lt;CB$5+7),"◆",""),IF(AND($D86&lt;CB$5+7,$E86&gt;CB$5),"■","")))</x:f>
      </x:c>
      <x:c r="CC86" s="7" t="str">
        <x:f>IF(OR($D86="",CC$5="",'상세일정'!AM86="제외"),"",IF($D86=$E86,IF(AND($D86&gt;=CC$5,$D86&lt;CC$5+7),"◆",""),IF(AND($D86&lt;CC$5+7,$E86&gt;CC$5),"■","")))</x:f>
      </x:c>
      <x:c r="CD86" s="7" t="str">
        <x:f>IF(OR($D86="",CD$5="",'상세일정'!AM86="제외"),"",IF($D86=$E86,IF(AND($D86&gt;=CD$5,$D86&lt;CD$5+7),"◆",""),IF(AND($D86&lt;CD$5+7,$E86&gt;CD$5),"■","")))</x:f>
      </x:c>
      <x:c r="CE86" s="7" t="str">
        <x:f>IF(OR($D86="",CE$5="",'상세일정'!AM86="제외"),"",IF($D86=$E86,IF(AND($D86&gt;=CE$5,$D86&lt;CE$5+7),"◆",""),IF(AND($D86&lt;CE$5+7,$E86&gt;CE$5),"■","")))</x:f>
      </x:c>
      <x:c r="CF86" s="7" t="str">
        <x:f>IF(OR($D86="",CF$5="",'상세일정'!AM86="제외"),"",IF($D86=$E86,IF(AND($D86&gt;=CF$5,$D86&lt;CF$5+7),"◆",""),IF(AND($D86&lt;CF$5+7,$E86&gt;CF$5),"■","")))</x:f>
      </x:c>
      <x:c r="CG86" s="7" t="str">
        <x:f>IF(OR($D86="",CG$5="",'상세일정'!AM86="제외"),"",IF($D86=$E86,IF(AND($D86&gt;=CG$5,$D86&lt;CG$5+7),"◆",""),IF(AND($D86&lt;CG$5+7,$E86&gt;CG$5),"■","")))</x:f>
      </x:c>
      <x:c r="CH86" s="7" t="str">
        <x:f>IF(OR($D86="",CH$5="",'상세일정'!AM86="제외"),"",IF($D86=$E86,IF(AND($D86&gt;=CH$5,$D86&lt;CH$5+7),"◆",""),IF(AND($D86&lt;CH$5+7,$E86&gt;CH$5),"■","")))</x:f>
      </x:c>
      <x:c r="CI86" s="7" t="str">
        <x:f>IF(OR($D86="",CI$5="",'상세일정'!AM86="제외"),"",IF($D86=$E86,IF(AND($D86&gt;=CI$5,$D86&lt;CI$5+7),"◆",""),IF(AND($D86&lt;CI$5+7,$E86&gt;CI$5),"■","")))</x:f>
      </x:c>
      <x:c r="CJ86" s="7" t="str">
        <x:f>IF(OR($D86="",CJ$5="",'상세일정'!AM86="제외"),"",IF($D86=$E86,IF(AND($D86&gt;=CJ$5,$D86&lt;CJ$5+7),"◆",""),IF(AND($D86&lt;CJ$5+7,$E86&gt;CJ$5),"■","")))</x:f>
      </x:c>
      <x:c r="CK86" s="7" t="str">
        <x:f>IF(OR($D86="",CK$5="",'상세일정'!AM86="제외"),"",IF($D86=$E86,IF(AND($D86&gt;=CK$5,$D86&lt;CK$5+7),"◆",""),IF(AND($D86&lt;CK$5+7,$E86&gt;CK$5),"■","")))</x:f>
      </x:c>
      <x:c r="CL86" s="7" t="str">
        <x:f>IF(OR($D86="",CL$5="",'상세일정'!AM86="제외"),"",IF($D86=$E86,IF(AND($D86&gt;=CL$5,$D86&lt;CL$5+7),"◆",""),IF(AND($D86&lt;CL$5+7,$E86&gt;CL$5),"■","")))</x:f>
      </x:c>
      <x:c r="CM86" s="7" t="str">
        <x:f>IF(OR($D86="",CM$5="",'상세일정'!AM86="제외"),"",IF($D86=$E86,IF(AND($D86&gt;=CM$5,$D86&lt;CM$5+7),"◆",""),IF(AND($D86&lt;CM$5+7,$E86&gt;CM$5),"■","")))</x:f>
      </x:c>
      <x:c r="CN86" s="7" t="str">
        <x:f>IF(OR($D86="",CN$5="",'상세일정'!AM86="제외"),"",IF($D86=$E86,IF(AND($D86&gt;=CN$5,$D86&lt;CN$5+7),"◆",""),IF(AND($D86&lt;CN$5+7,$E86&gt;CN$5),"■","")))</x:f>
      </x:c>
      <x:c r="CO86" s="7" t="str">
        <x:f>IF(OR($D86="",CO$5="",'상세일정'!AM86="제외"),"",IF($D86=$E86,IF(AND($D86&gt;=CO$5,$D86&lt;CO$5+7),"◆",""),IF(AND($D86&lt;CO$5+7,$E86&gt;CO$5),"■","")))</x:f>
      </x:c>
      <x:c r="CP86" s="7" t="str">
        <x:f>IF(OR($D86="",CP$5="",'상세일정'!AM86="제외"),"",IF($D86=$E86,IF(AND($D86&gt;=CP$5,$D86&lt;CP$5+7),"◆",""),IF(AND($D86&lt;CP$5+7,$E86&gt;CP$5),"■","")))</x:f>
      </x:c>
      <x:c r="CQ86" s="7" t="str">
        <x:f>IF(OR($D86="",CQ$5="",'상세일정'!AM86="제외"),"",IF($D86=$E86,IF(AND($D86&gt;=CQ$5,$D86&lt;CQ$5+7),"◆",""),IF(AND($D86&lt;CQ$5+7,$E86&gt;CQ$5),"■","")))</x:f>
      </x:c>
      <x:c r="CR86" s="7" t="str">
        <x:f>IF(OR($D86="",CR$5="",'상세일정'!AM86="제외"),"",IF($D86=$E86,IF(AND($D86&gt;=CR$5,$D86&lt;CR$5+7),"◆",""),IF(AND($D86&lt;CR$5+7,$E86&gt;CR$5),"■","")))</x:f>
      </x:c>
      <x:c r="CS86" s="7" t="str">
        <x:f>IF(OR($D86="",CS$5="",'상세일정'!AM86="제외"),"",IF($D86=$E86,IF(AND($D86&gt;=CS$5,$D86&lt;CS$5+7),"◆",""),IF(AND($D86&lt;CS$5+7,$E86&gt;CS$5),"■","")))</x:f>
      </x:c>
      <x:c r="CT86" s="7" t="str">
        <x:f>IF(OR($D86="",CT$5="",'상세일정'!AM86="제외"),"",IF($D86=$E86,IF(AND($D86&gt;=CT$5,$D86&lt;CT$5+7),"◆",""),IF(AND($D86&lt;CT$5+7,$E86&gt;CT$5),"■","")))</x:f>
      </x:c>
      <x:c r="CU86" s="7" t="str">
        <x:f>IF(OR($D86="",CU$5="",'상세일정'!AM86="제외"),"",IF($D86=$E86,IF(AND($D86&gt;=CU$5,$D86&lt;CU$5+7),"◆",""),IF(AND($D86&lt;CU$5+7,$E86&gt;CU$5),"■","")))</x:f>
      </x:c>
      <x:c r="CV86" s="7" t="str">
        <x:f>IF(OR($D86="",CV$5="",'상세일정'!AM86="제외"),"",IF($D86=$E86,IF(AND($D86&gt;=CV$5,$D86&lt;CV$5+7),"◆",""),IF(AND($D86&lt;CV$5+7,$E86&gt;CV$5),"■","")))</x:f>
      </x:c>
      <x:c r="CW86" s="7" t="str">
        <x:f>IF(OR($D86="",CW$5="",'상세일정'!AM86="제외"),"",IF($D86=$E86,IF(AND($D86&gt;=CW$5,$D86&lt;CW$5+7),"◆",""),IF(AND($D86&lt;CW$5+7,$E86&gt;CW$5),"■","")))</x:f>
      </x:c>
      <x:c r="CX86" s="7" t="str">
        <x:f>IF(OR($D86="",CX$5="",'상세일정'!AM86="제외"),"",IF($D86=$E86,IF(AND($D86&gt;=CX$5,$D86&lt;CX$5+7),"◆",""),IF(AND($D86&lt;CX$5+7,$E86&gt;CX$5),"■","")))</x:f>
      </x:c>
      <x:c r="CY86" s="7" t="str">
        <x:f>IF(OR($D86="",CY$5="",'상세일정'!AM86="제외"),"",IF($D86=$E86,IF(AND($D86&gt;=CY$5,$D86&lt;CY$5+7),"◆",""),IF(AND($D86&lt;CY$5+7,$E86&gt;CY$5),"■","")))</x:f>
      </x:c>
      <x:c r="CZ86" s="7" t="str">
        <x:f>IF(OR($D86="",CZ$5="",'상세일정'!AM86="제외"),"",IF($D86=$E86,IF(AND($D86&gt;=CZ$5,$D86&lt;CZ$5+7),"◆",""),IF(AND($D86&lt;CZ$5+7,$E86&gt;CZ$5),"■","")))</x:f>
      </x:c>
      <x:c r="DA86" s="7" t="str">
        <x:f>IF(OR($D86="",DA$5="",'상세일정'!AM86="제외"),"",IF($D86=$E86,IF(AND($D86&gt;=DA$5,$D86&lt;DA$5+7),"◆",""),IF(AND($D86&lt;DA$5+7,$E86&gt;DA$5),"■","")))</x:f>
      </x:c>
      <x:c r="DB86" s="7" t="str">
        <x:f>IF(OR($D86="",DB$5="",'상세일정'!AM86="제외"),"",IF($D86=$E86,IF(AND($D86&gt;=DB$5,$D86&lt;DB$5+7),"◆",""),IF(AND($D86&lt;DB$5+7,$E86&gt;DB$5),"■","")))</x:f>
      </x:c>
      <x:c r="DC86" s="7" t="str">
        <x:f>IF(OR($D86="",DC$5="",'상세일정'!AM86="제외"),"",IF($D86=$E86,IF(AND($D86&gt;=DC$5,$D86&lt;DC$5+7),"◆",""),IF(AND($D86&lt;DC$5+7,$E86&gt;DC$5),"■","")))</x:f>
      </x:c>
      <x:c r="DD86" s="7" t="str">
        <x:f>IF(OR($D86="",DD$5="",'상세일정'!AM86="제외"),"",IF($D86=$E86,IF(AND($D86&gt;=DD$5,$D86&lt;DD$5+7),"◆",""),IF(AND($D86&lt;DD$5+7,$E86&gt;DD$5),"■","")))</x:f>
      </x:c>
      <x:c r="DE86" s="7" t="str">
        <x:f>IF(OR($D86="",DE$5="",'상세일정'!AM86="제외"),"",IF($D86=$E86,IF(AND($D86&gt;=DE$5,$D86&lt;DE$5+7),"◆",""),IF(AND($D86&lt;DE$5+7,$E86&gt;DE$5),"■","")))</x:f>
      </x:c>
    </x:row>
    <x:row r="87" ht="34" customHeight="1">
      <x:c r="A87" s="7" t="str">
        <x:v>SH03</x:v>
      </x:c>
      <x:c r="B87" s="7" t="str">
        <x:v>13 유해위험방지계획</x:v>
      </x:c>
      <x:c r="C87" s="7" t="str">
        <x:v>유해위험방지계획서 본문 및 첨부 작성</x:v>
      </x:c>
      <x:c r="D87" s="10" t="str">
        <x:f>'상세일정'!AJ87</x:f>
      </x:c>
      <x:c r="E87" s="10" t="str">
        <x:f>'상세일정'!AK87</x:f>
      </x:c>
      <x:c r="F87" s="7" t="str">
        <x:f>IF(OR($D87="",F$5="",'상세일정'!AM87="제외"),"",IF($D87=$E87,IF(AND($D87&gt;=F$5,$D87&lt;F$5+7),"◆",""),IF(AND($D87&lt;F$5+7,$E87&gt;F$5),"■","")))</x:f>
      </x:c>
      <x:c r="G87" s="7" t="str">
        <x:f>IF(OR($D87="",G$5="",'상세일정'!AM87="제외"),"",IF($D87=$E87,IF(AND($D87&gt;=G$5,$D87&lt;G$5+7),"◆",""),IF(AND($D87&lt;G$5+7,$E87&gt;G$5),"■","")))</x:f>
      </x:c>
      <x:c r="H87" s="7" t="str">
        <x:f>IF(OR($D87="",H$5="",'상세일정'!AM87="제외"),"",IF($D87=$E87,IF(AND($D87&gt;=H$5,$D87&lt;H$5+7),"◆",""),IF(AND($D87&lt;H$5+7,$E87&gt;H$5),"■","")))</x:f>
      </x:c>
      <x:c r="I87" s="7" t="str">
        <x:f>IF(OR($D87="",I$5="",'상세일정'!AM87="제외"),"",IF($D87=$E87,IF(AND($D87&gt;=I$5,$D87&lt;I$5+7),"◆",""),IF(AND($D87&lt;I$5+7,$E87&gt;I$5),"■","")))</x:f>
      </x:c>
      <x:c r="J87" s="7" t="str">
        <x:f>IF(OR($D87="",J$5="",'상세일정'!AM87="제외"),"",IF($D87=$E87,IF(AND($D87&gt;=J$5,$D87&lt;J$5+7),"◆",""),IF(AND($D87&lt;J$5+7,$E87&gt;J$5),"■","")))</x:f>
      </x:c>
      <x:c r="K87" s="7" t="str">
        <x:f>IF(OR($D87="",K$5="",'상세일정'!AM87="제외"),"",IF($D87=$E87,IF(AND($D87&gt;=K$5,$D87&lt;K$5+7),"◆",""),IF(AND($D87&lt;K$5+7,$E87&gt;K$5),"■","")))</x:f>
      </x:c>
      <x:c r="L87" s="7" t="str">
        <x:f>IF(OR($D87="",L$5="",'상세일정'!AM87="제외"),"",IF($D87=$E87,IF(AND($D87&gt;=L$5,$D87&lt;L$5+7),"◆",""),IF(AND($D87&lt;L$5+7,$E87&gt;L$5),"■","")))</x:f>
      </x:c>
      <x:c r="M87" s="7" t="str">
        <x:f>IF(OR($D87="",M$5="",'상세일정'!AM87="제외"),"",IF($D87=$E87,IF(AND($D87&gt;=M$5,$D87&lt;M$5+7),"◆",""),IF(AND($D87&lt;M$5+7,$E87&gt;M$5),"■","")))</x:f>
      </x:c>
      <x:c r="N87" s="7" t="str">
        <x:f>IF(OR($D87="",N$5="",'상세일정'!AM87="제외"),"",IF($D87=$E87,IF(AND($D87&gt;=N$5,$D87&lt;N$5+7),"◆",""),IF(AND($D87&lt;N$5+7,$E87&gt;N$5),"■","")))</x:f>
      </x:c>
      <x:c r="O87" s="7" t="str">
        <x:f>IF(OR($D87="",O$5="",'상세일정'!AM87="제외"),"",IF($D87=$E87,IF(AND($D87&gt;=O$5,$D87&lt;O$5+7),"◆",""),IF(AND($D87&lt;O$5+7,$E87&gt;O$5),"■","")))</x:f>
      </x:c>
      <x:c r="P87" s="7" t="str">
        <x:f>IF(OR($D87="",P$5="",'상세일정'!AM87="제외"),"",IF($D87=$E87,IF(AND($D87&gt;=P$5,$D87&lt;P$5+7),"◆",""),IF(AND($D87&lt;P$5+7,$E87&gt;P$5),"■","")))</x:f>
      </x:c>
      <x:c r="Q87" s="7" t="str">
        <x:f>IF(OR($D87="",Q$5="",'상세일정'!AM87="제외"),"",IF($D87=$E87,IF(AND($D87&gt;=Q$5,$D87&lt;Q$5+7),"◆",""),IF(AND($D87&lt;Q$5+7,$E87&gt;Q$5),"■","")))</x:f>
      </x:c>
      <x:c r="R87" s="7" t="str">
        <x:f>IF(OR($D87="",R$5="",'상세일정'!AM87="제외"),"",IF($D87=$E87,IF(AND($D87&gt;=R$5,$D87&lt;R$5+7),"◆",""),IF(AND($D87&lt;R$5+7,$E87&gt;R$5),"■","")))</x:f>
      </x:c>
      <x:c r="S87" s="7" t="str">
        <x:f>IF(OR($D87="",S$5="",'상세일정'!AM87="제외"),"",IF($D87=$E87,IF(AND($D87&gt;=S$5,$D87&lt;S$5+7),"◆",""),IF(AND($D87&lt;S$5+7,$E87&gt;S$5),"■","")))</x:f>
      </x:c>
      <x:c r="T87" s="7" t="str">
        <x:f>IF(OR($D87="",T$5="",'상세일정'!AM87="제외"),"",IF($D87=$E87,IF(AND($D87&gt;=T$5,$D87&lt;T$5+7),"◆",""),IF(AND($D87&lt;T$5+7,$E87&gt;T$5),"■","")))</x:f>
      </x:c>
      <x:c r="U87" s="7" t="str">
        <x:f>IF(OR($D87="",U$5="",'상세일정'!AM87="제외"),"",IF($D87=$E87,IF(AND($D87&gt;=U$5,$D87&lt;U$5+7),"◆",""),IF(AND($D87&lt;U$5+7,$E87&gt;U$5),"■","")))</x:f>
      </x:c>
      <x:c r="V87" s="7" t="str">
        <x:f>IF(OR($D87="",V$5="",'상세일정'!AM87="제외"),"",IF($D87=$E87,IF(AND($D87&gt;=V$5,$D87&lt;V$5+7),"◆",""),IF(AND($D87&lt;V$5+7,$E87&gt;V$5),"■","")))</x:f>
      </x:c>
      <x:c r="W87" s="7" t="str">
        <x:f>IF(OR($D87="",W$5="",'상세일정'!AM87="제외"),"",IF($D87=$E87,IF(AND($D87&gt;=W$5,$D87&lt;W$5+7),"◆",""),IF(AND($D87&lt;W$5+7,$E87&gt;W$5),"■","")))</x:f>
      </x:c>
      <x:c r="X87" s="7" t="str">
        <x:f>IF(OR($D87="",X$5="",'상세일정'!AM87="제외"),"",IF($D87=$E87,IF(AND($D87&gt;=X$5,$D87&lt;X$5+7),"◆",""),IF(AND($D87&lt;X$5+7,$E87&gt;X$5),"■","")))</x:f>
      </x:c>
      <x:c r="Y87" s="7" t="str">
        <x:f>IF(OR($D87="",Y$5="",'상세일정'!AM87="제외"),"",IF($D87=$E87,IF(AND($D87&gt;=Y$5,$D87&lt;Y$5+7),"◆",""),IF(AND($D87&lt;Y$5+7,$E87&gt;Y$5),"■","")))</x:f>
      </x:c>
      <x:c r="Z87" s="7" t="str">
        <x:f>IF(OR($D87="",Z$5="",'상세일정'!AM87="제외"),"",IF($D87=$E87,IF(AND($D87&gt;=Z$5,$D87&lt;Z$5+7),"◆",""),IF(AND($D87&lt;Z$5+7,$E87&gt;Z$5),"■","")))</x:f>
      </x:c>
      <x:c r="AA87" s="7" t="str">
        <x:f>IF(OR($D87="",AA$5="",'상세일정'!AM87="제외"),"",IF($D87=$E87,IF(AND($D87&gt;=AA$5,$D87&lt;AA$5+7),"◆",""),IF(AND($D87&lt;AA$5+7,$E87&gt;AA$5),"■","")))</x:f>
      </x:c>
      <x:c r="AB87" s="7" t="str">
        <x:f>IF(OR($D87="",AB$5="",'상세일정'!AM87="제외"),"",IF($D87=$E87,IF(AND($D87&gt;=AB$5,$D87&lt;AB$5+7),"◆",""),IF(AND($D87&lt;AB$5+7,$E87&gt;AB$5),"■","")))</x:f>
      </x:c>
      <x:c r="AC87" s="7" t="str">
        <x:f>IF(OR($D87="",AC$5="",'상세일정'!AM87="제외"),"",IF($D87=$E87,IF(AND($D87&gt;=AC$5,$D87&lt;AC$5+7),"◆",""),IF(AND($D87&lt;AC$5+7,$E87&gt;AC$5),"■","")))</x:f>
      </x:c>
      <x:c r="AD87" s="7" t="str">
        <x:f>IF(OR($D87="",AD$5="",'상세일정'!AM87="제외"),"",IF($D87=$E87,IF(AND($D87&gt;=AD$5,$D87&lt;AD$5+7),"◆",""),IF(AND($D87&lt;AD$5+7,$E87&gt;AD$5),"■","")))</x:f>
      </x:c>
      <x:c r="AE87" s="7" t="str">
        <x:f>IF(OR($D87="",AE$5="",'상세일정'!AM87="제외"),"",IF($D87=$E87,IF(AND($D87&gt;=AE$5,$D87&lt;AE$5+7),"◆",""),IF(AND($D87&lt;AE$5+7,$E87&gt;AE$5),"■","")))</x:f>
      </x:c>
      <x:c r="AF87" s="7" t="str">
        <x:f>IF(OR($D87="",AF$5="",'상세일정'!AM87="제외"),"",IF($D87=$E87,IF(AND($D87&gt;=AF$5,$D87&lt;AF$5+7),"◆",""),IF(AND($D87&lt;AF$5+7,$E87&gt;AF$5),"■","")))</x:f>
      </x:c>
      <x:c r="AG87" s="7" t="str">
        <x:f>IF(OR($D87="",AG$5="",'상세일정'!AM87="제외"),"",IF($D87=$E87,IF(AND($D87&gt;=AG$5,$D87&lt;AG$5+7),"◆",""),IF(AND($D87&lt;AG$5+7,$E87&gt;AG$5),"■","")))</x:f>
      </x:c>
      <x:c r="AH87" s="7" t="str">
        <x:f>IF(OR($D87="",AH$5="",'상세일정'!AM87="제외"),"",IF($D87=$E87,IF(AND($D87&gt;=AH$5,$D87&lt;AH$5+7),"◆",""),IF(AND($D87&lt;AH$5+7,$E87&gt;AH$5),"■","")))</x:f>
      </x:c>
      <x:c r="AI87" s="7" t="str">
        <x:f>IF(OR($D87="",AI$5="",'상세일정'!AM87="제외"),"",IF($D87=$E87,IF(AND($D87&gt;=AI$5,$D87&lt;AI$5+7),"◆",""),IF(AND($D87&lt;AI$5+7,$E87&gt;AI$5),"■","")))</x:f>
      </x:c>
      <x:c r="AJ87" s="7" t="str">
        <x:f>IF(OR($D87="",AJ$5="",'상세일정'!AM87="제외"),"",IF($D87=$E87,IF(AND($D87&gt;=AJ$5,$D87&lt;AJ$5+7),"◆",""),IF(AND($D87&lt;AJ$5+7,$E87&gt;AJ$5),"■","")))</x:f>
      </x:c>
      <x:c r="AK87" s="7" t="str">
        <x:f>IF(OR($D87="",AK$5="",'상세일정'!AM87="제외"),"",IF($D87=$E87,IF(AND($D87&gt;=AK$5,$D87&lt;AK$5+7),"◆",""),IF(AND($D87&lt;AK$5+7,$E87&gt;AK$5),"■","")))</x:f>
      </x:c>
      <x:c r="AL87" s="7" t="str">
        <x:f>IF(OR($D87="",AL$5="",'상세일정'!AM87="제외"),"",IF($D87=$E87,IF(AND($D87&gt;=AL$5,$D87&lt;AL$5+7),"◆",""),IF(AND($D87&lt;AL$5+7,$E87&gt;AL$5),"■","")))</x:f>
      </x:c>
      <x:c r="AM87" s="7" t="str">
        <x:f>IF(OR($D87="",AM$5="",'상세일정'!AM87="제외"),"",IF($D87=$E87,IF(AND($D87&gt;=AM$5,$D87&lt;AM$5+7),"◆",""),IF(AND($D87&lt;AM$5+7,$E87&gt;AM$5),"■","")))</x:f>
      </x:c>
      <x:c r="AN87" s="7" t="str">
        <x:f>IF(OR($D87="",AN$5="",'상세일정'!AM87="제외"),"",IF($D87=$E87,IF(AND($D87&gt;=AN$5,$D87&lt;AN$5+7),"◆",""),IF(AND($D87&lt;AN$5+7,$E87&gt;AN$5),"■","")))</x:f>
      </x:c>
      <x:c r="AO87" s="7" t="str">
        <x:f>IF(OR($D87="",AO$5="",'상세일정'!AM87="제외"),"",IF($D87=$E87,IF(AND($D87&gt;=AO$5,$D87&lt;AO$5+7),"◆",""),IF(AND($D87&lt;AO$5+7,$E87&gt;AO$5),"■","")))</x:f>
      </x:c>
      <x:c r="AP87" s="7" t="str">
        <x:f>IF(OR($D87="",AP$5="",'상세일정'!AM87="제외"),"",IF($D87=$E87,IF(AND($D87&gt;=AP$5,$D87&lt;AP$5+7),"◆",""),IF(AND($D87&lt;AP$5+7,$E87&gt;AP$5),"■","")))</x:f>
      </x:c>
      <x:c r="AQ87" s="7" t="str">
        <x:f>IF(OR($D87="",AQ$5="",'상세일정'!AM87="제외"),"",IF($D87=$E87,IF(AND($D87&gt;=AQ$5,$D87&lt;AQ$5+7),"◆",""),IF(AND($D87&lt;AQ$5+7,$E87&gt;AQ$5),"■","")))</x:f>
      </x:c>
      <x:c r="AR87" s="7" t="str">
        <x:f>IF(OR($D87="",AR$5="",'상세일정'!AM87="제외"),"",IF($D87=$E87,IF(AND($D87&gt;=AR$5,$D87&lt;AR$5+7),"◆",""),IF(AND($D87&lt;AR$5+7,$E87&gt;AR$5),"■","")))</x:f>
      </x:c>
      <x:c r="AS87" s="7" t="str">
        <x:f>IF(OR($D87="",AS$5="",'상세일정'!AM87="제외"),"",IF($D87=$E87,IF(AND($D87&gt;=AS$5,$D87&lt;AS$5+7),"◆",""),IF(AND($D87&lt;AS$5+7,$E87&gt;AS$5),"■","")))</x:f>
      </x:c>
      <x:c r="AT87" s="7" t="str">
        <x:f>IF(OR($D87="",AT$5="",'상세일정'!AM87="제외"),"",IF($D87=$E87,IF(AND($D87&gt;=AT$5,$D87&lt;AT$5+7),"◆",""),IF(AND($D87&lt;AT$5+7,$E87&gt;AT$5),"■","")))</x:f>
      </x:c>
      <x:c r="AU87" s="7" t="str">
        <x:f>IF(OR($D87="",AU$5="",'상세일정'!AM87="제외"),"",IF($D87=$E87,IF(AND($D87&gt;=AU$5,$D87&lt;AU$5+7),"◆",""),IF(AND($D87&lt;AU$5+7,$E87&gt;AU$5),"■","")))</x:f>
      </x:c>
      <x:c r="AV87" s="7" t="str">
        <x:f>IF(OR($D87="",AV$5="",'상세일정'!AM87="제외"),"",IF($D87=$E87,IF(AND($D87&gt;=AV$5,$D87&lt;AV$5+7),"◆",""),IF(AND($D87&lt;AV$5+7,$E87&gt;AV$5),"■","")))</x:f>
      </x:c>
      <x:c r="AW87" s="7" t="str">
        <x:f>IF(OR($D87="",AW$5="",'상세일정'!AM87="제외"),"",IF($D87=$E87,IF(AND($D87&gt;=AW$5,$D87&lt;AW$5+7),"◆",""),IF(AND($D87&lt;AW$5+7,$E87&gt;AW$5),"■","")))</x:f>
      </x:c>
      <x:c r="AX87" s="7" t="str">
        <x:f>IF(OR($D87="",AX$5="",'상세일정'!AM87="제외"),"",IF($D87=$E87,IF(AND($D87&gt;=AX$5,$D87&lt;AX$5+7),"◆",""),IF(AND($D87&lt;AX$5+7,$E87&gt;AX$5),"■","")))</x:f>
      </x:c>
      <x:c r="AY87" s="7" t="str">
        <x:f>IF(OR($D87="",AY$5="",'상세일정'!AM87="제외"),"",IF($D87=$E87,IF(AND($D87&gt;=AY$5,$D87&lt;AY$5+7),"◆",""),IF(AND($D87&lt;AY$5+7,$E87&gt;AY$5),"■","")))</x:f>
      </x:c>
      <x:c r="AZ87" s="7" t="str">
        <x:f>IF(OR($D87="",AZ$5="",'상세일정'!AM87="제외"),"",IF($D87=$E87,IF(AND($D87&gt;=AZ$5,$D87&lt;AZ$5+7),"◆",""),IF(AND($D87&lt;AZ$5+7,$E87&gt;AZ$5),"■","")))</x:f>
      </x:c>
      <x:c r="BA87" s="7" t="str">
        <x:f>IF(OR($D87="",BA$5="",'상세일정'!AM87="제외"),"",IF($D87=$E87,IF(AND($D87&gt;=BA$5,$D87&lt;BA$5+7),"◆",""),IF(AND($D87&lt;BA$5+7,$E87&gt;BA$5),"■","")))</x:f>
      </x:c>
      <x:c r="BB87" s="7" t="str">
        <x:f>IF(OR($D87="",BB$5="",'상세일정'!AM87="제외"),"",IF($D87=$E87,IF(AND($D87&gt;=BB$5,$D87&lt;BB$5+7),"◆",""),IF(AND($D87&lt;BB$5+7,$E87&gt;BB$5),"■","")))</x:f>
      </x:c>
      <x:c r="BC87" s="7" t="str">
        <x:f>IF(OR($D87="",BC$5="",'상세일정'!AM87="제외"),"",IF($D87=$E87,IF(AND($D87&gt;=BC$5,$D87&lt;BC$5+7),"◆",""),IF(AND($D87&lt;BC$5+7,$E87&gt;BC$5),"■","")))</x:f>
      </x:c>
      <x:c r="BD87" s="7" t="str">
        <x:f>IF(OR($D87="",BD$5="",'상세일정'!AM87="제외"),"",IF($D87=$E87,IF(AND($D87&gt;=BD$5,$D87&lt;BD$5+7),"◆",""),IF(AND($D87&lt;BD$5+7,$E87&gt;BD$5),"■","")))</x:f>
      </x:c>
      <x:c r="BE87" s="7" t="str">
        <x:f>IF(OR($D87="",BE$5="",'상세일정'!AM87="제외"),"",IF($D87=$E87,IF(AND($D87&gt;=BE$5,$D87&lt;BE$5+7),"◆",""),IF(AND($D87&lt;BE$5+7,$E87&gt;BE$5),"■","")))</x:f>
      </x:c>
      <x:c r="BF87" s="7" t="str">
        <x:f>IF(OR($D87="",BF$5="",'상세일정'!AM87="제외"),"",IF($D87=$E87,IF(AND($D87&gt;=BF$5,$D87&lt;BF$5+7),"◆",""),IF(AND($D87&lt;BF$5+7,$E87&gt;BF$5),"■","")))</x:f>
      </x:c>
      <x:c r="BG87" s="7" t="str">
        <x:f>IF(OR($D87="",BG$5="",'상세일정'!AM87="제외"),"",IF($D87=$E87,IF(AND($D87&gt;=BG$5,$D87&lt;BG$5+7),"◆",""),IF(AND($D87&lt;BG$5+7,$E87&gt;BG$5),"■","")))</x:f>
      </x:c>
      <x:c r="BH87" s="7" t="str">
        <x:f>IF(OR($D87="",BH$5="",'상세일정'!AM87="제외"),"",IF($D87=$E87,IF(AND($D87&gt;=BH$5,$D87&lt;BH$5+7),"◆",""),IF(AND($D87&lt;BH$5+7,$E87&gt;BH$5),"■","")))</x:f>
      </x:c>
      <x:c r="BI87" s="7" t="str">
        <x:f>IF(OR($D87="",BI$5="",'상세일정'!AM87="제외"),"",IF($D87=$E87,IF(AND($D87&gt;=BI$5,$D87&lt;BI$5+7),"◆",""),IF(AND($D87&lt;BI$5+7,$E87&gt;BI$5),"■","")))</x:f>
      </x:c>
      <x:c r="BJ87" s="7" t="str">
        <x:f>IF(OR($D87="",BJ$5="",'상세일정'!AM87="제외"),"",IF($D87=$E87,IF(AND($D87&gt;=BJ$5,$D87&lt;BJ$5+7),"◆",""),IF(AND($D87&lt;BJ$5+7,$E87&gt;BJ$5),"■","")))</x:f>
      </x:c>
      <x:c r="BK87" s="7" t="str">
        <x:f>IF(OR($D87="",BK$5="",'상세일정'!AM87="제외"),"",IF($D87=$E87,IF(AND($D87&gt;=BK$5,$D87&lt;BK$5+7),"◆",""),IF(AND($D87&lt;BK$5+7,$E87&gt;BK$5),"■","")))</x:f>
      </x:c>
      <x:c r="BL87" s="7" t="str">
        <x:f>IF(OR($D87="",BL$5="",'상세일정'!AM87="제외"),"",IF($D87=$E87,IF(AND($D87&gt;=BL$5,$D87&lt;BL$5+7),"◆",""),IF(AND($D87&lt;BL$5+7,$E87&gt;BL$5),"■","")))</x:f>
      </x:c>
      <x:c r="BM87" s="7" t="str">
        <x:f>IF(OR($D87="",BM$5="",'상세일정'!AM87="제외"),"",IF($D87=$E87,IF(AND($D87&gt;=BM$5,$D87&lt;BM$5+7),"◆",""),IF(AND($D87&lt;BM$5+7,$E87&gt;BM$5),"■","")))</x:f>
      </x:c>
      <x:c r="BN87" s="7" t="str">
        <x:f>IF(OR($D87="",BN$5="",'상세일정'!AM87="제외"),"",IF($D87=$E87,IF(AND($D87&gt;=BN$5,$D87&lt;BN$5+7),"◆",""),IF(AND($D87&lt;BN$5+7,$E87&gt;BN$5),"■","")))</x:f>
      </x:c>
      <x:c r="BO87" s="7" t="str">
        <x:f>IF(OR($D87="",BO$5="",'상세일정'!AM87="제외"),"",IF($D87=$E87,IF(AND($D87&gt;=BO$5,$D87&lt;BO$5+7),"◆",""),IF(AND($D87&lt;BO$5+7,$E87&gt;BO$5),"■","")))</x:f>
      </x:c>
      <x:c r="BP87" s="7" t="str">
        <x:f>IF(OR($D87="",BP$5="",'상세일정'!AM87="제외"),"",IF($D87=$E87,IF(AND($D87&gt;=BP$5,$D87&lt;BP$5+7),"◆",""),IF(AND($D87&lt;BP$5+7,$E87&gt;BP$5),"■","")))</x:f>
      </x:c>
      <x:c r="BQ87" s="7" t="str">
        <x:f>IF(OR($D87="",BQ$5="",'상세일정'!AM87="제외"),"",IF($D87=$E87,IF(AND($D87&gt;=BQ$5,$D87&lt;BQ$5+7),"◆",""),IF(AND($D87&lt;BQ$5+7,$E87&gt;BQ$5),"■","")))</x:f>
      </x:c>
      <x:c r="BR87" s="7" t="str">
        <x:f>IF(OR($D87="",BR$5="",'상세일정'!AM87="제외"),"",IF($D87=$E87,IF(AND($D87&gt;=BR$5,$D87&lt;BR$5+7),"◆",""),IF(AND($D87&lt;BR$5+7,$E87&gt;BR$5),"■","")))</x:f>
      </x:c>
      <x:c r="BS87" s="7" t="str">
        <x:f>IF(OR($D87="",BS$5="",'상세일정'!AM87="제외"),"",IF($D87=$E87,IF(AND($D87&gt;=BS$5,$D87&lt;BS$5+7),"◆",""),IF(AND($D87&lt;BS$5+7,$E87&gt;BS$5),"■","")))</x:f>
      </x:c>
      <x:c r="BT87" s="7" t="str">
        <x:f>IF(OR($D87="",BT$5="",'상세일정'!AM87="제외"),"",IF($D87=$E87,IF(AND($D87&gt;=BT$5,$D87&lt;BT$5+7),"◆",""),IF(AND($D87&lt;BT$5+7,$E87&gt;BT$5),"■","")))</x:f>
      </x:c>
      <x:c r="BU87" s="7" t="str">
        <x:f>IF(OR($D87="",BU$5="",'상세일정'!AM87="제외"),"",IF($D87=$E87,IF(AND($D87&gt;=BU$5,$D87&lt;BU$5+7),"◆",""),IF(AND($D87&lt;BU$5+7,$E87&gt;BU$5),"■","")))</x:f>
      </x:c>
      <x:c r="BV87" s="7" t="str">
        <x:f>IF(OR($D87="",BV$5="",'상세일정'!AM87="제외"),"",IF($D87=$E87,IF(AND($D87&gt;=BV$5,$D87&lt;BV$5+7),"◆",""),IF(AND($D87&lt;BV$5+7,$E87&gt;BV$5),"■","")))</x:f>
      </x:c>
      <x:c r="BW87" s="7" t="str">
        <x:f>IF(OR($D87="",BW$5="",'상세일정'!AM87="제외"),"",IF($D87=$E87,IF(AND($D87&gt;=BW$5,$D87&lt;BW$5+7),"◆",""),IF(AND($D87&lt;BW$5+7,$E87&gt;BW$5),"■","")))</x:f>
      </x:c>
      <x:c r="BX87" s="7" t="str">
        <x:f>IF(OR($D87="",BX$5="",'상세일정'!AM87="제외"),"",IF($D87=$E87,IF(AND($D87&gt;=BX$5,$D87&lt;BX$5+7),"◆",""),IF(AND($D87&lt;BX$5+7,$E87&gt;BX$5),"■","")))</x:f>
      </x:c>
      <x:c r="BY87" s="7" t="str">
        <x:f>IF(OR($D87="",BY$5="",'상세일정'!AM87="제외"),"",IF($D87=$E87,IF(AND($D87&gt;=BY$5,$D87&lt;BY$5+7),"◆",""),IF(AND($D87&lt;BY$5+7,$E87&gt;BY$5),"■","")))</x:f>
      </x:c>
      <x:c r="BZ87" s="7" t="str">
        <x:f>IF(OR($D87="",BZ$5="",'상세일정'!AM87="제외"),"",IF($D87=$E87,IF(AND($D87&gt;=BZ$5,$D87&lt;BZ$5+7),"◆",""),IF(AND($D87&lt;BZ$5+7,$E87&gt;BZ$5),"■","")))</x:f>
      </x:c>
      <x:c r="CA87" s="7" t="str">
        <x:f>IF(OR($D87="",CA$5="",'상세일정'!AM87="제외"),"",IF($D87=$E87,IF(AND($D87&gt;=CA$5,$D87&lt;CA$5+7),"◆",""),IF(AND($D87&lt;CA$5+7,$E87&gt;CA$5),"■","")))</x:f>
      </x:c>
      <x:c r="CB87" s="7" t="str">
        <x:f>IF(OR($D87="",CB$5="",'상세일정'!AM87="제외"),"",IF($D87=$E87,IF(AND($D87&gt;=CB$5,$D87&lt;CB$5+7),"◆",""),IF(AND($D87&lt;CB$5+7,$E87&gt;CB$5),"■","")))</x:f>
      </x:c>
      <x:c r="CC87" s="7" t="str">
        <x:f>IF(OR($D87="",CC$5="",'상세일정'!AM87="제외"),"",IF($D87=$E87,IF(AND($D87&gt;=CC$5,$D87&lt;CC$5+7),"◆",""),IF(AND($D87&lt;CC$5+7,$E87&gt;CC$5),"■","")))</x:f>
      </x:c>
      <x:c r="CD87" s="7" t="str">
        <x:f>IF(OR($D87="",CD$5="",'상세일정'!AM87="제외"),"",IF($D87=$E87,IF(AND($D87&gt;=CD$5,$D87&lt;CD$5+7),"◆",""),IF(AND($D87&lt;CD$5+7,$E87&gt;CD$5),"■","")))</x:f>
      </x:c>
      <x:c r="CE87" s="7" t="str">
        <x:f>IF(OR($D87="",CE$5="",'상세일정'!AM87="제외"),"",IF($D87=$E87,IF(AND($D87&gt;=CE$5,$D87&lt;CE$5+7),"◆",""),IF(AND($D87&lt;CE$5+7,$E87&gt;CE$5),"■","")))</x:f>
      </x:c>
      <x:c r="CF87" s="7" t="str">
        <x:f>IF(OR($D87="",CF$5="",'상세일정'!AM87="제외"),"",IF($D87=$E87,IF(AND($D87&gt;=CF$5,$D87&lt;CF$5+7),"◆",""),IF(AND($D87&lt;CF$5+7,$E87&gt;CF$5),"■","")))</x:f>
      </x:c>
      <x:c r="CG87" s="7" t="str">
        <x:f>IF(OR($D87="",CG$5="",'상세일정'!AM87="제외"),"",IF($D87=$E87,IF(AND($D87&gt;=CG$5,$D87&lt;CG$5+7),"◆",""),IF(AND($D87&lt;CG$5+7,$E87&gt;CG$5),"■","")))</x:f>
      </x:c>
      <x:c r="CH87" s="7" t="str">
        <x:f>IF(OR($D87="",CH$5="",'상세일정'!AM87="제외"),"",IF($D87=$E87,IF(AND($D87&gt;=CH$5,$D87&lt;CH$5+7),"◆",""),IF(AND($D87&lt;CH$5+7,$E87&gt;CH$5),"■","")))</x:f>
      </x:c>
      <x:c r="CI87" s="7" t="str">
        <x:f>IF(OR($D87="",CI$5="",'상세일정'!AM87="제외"),"",IF($D87=$E87,IF(AND($D87&gt;=CI$5,$D87&lt;CI$5+7),"◆",""),IF(AND($D87&lt;CI$5+7,$E87&gt;CI$5),"■","")))</x:f>
      </x:c>
      <x:c r="CJ87" s="7" t="str">
        <x:f>IF(OR($D87="",CJ$5="",'상세일정'!AM87="제외"),"",IF($D87=$E87,IF(AND($D87&gt;=CJ$5,$D87&lt;CJ$5+7),"◆",""),IF(AND($D87&lt;CJ$5+7,$E87&gt;CJ$5),"■","")))</x:f>
      </x:c>
      <x:c r="CK87" s="7" t="str">
        <x:f>IF(OR($D87="",CK$5="",'상세일정'!AM87="제외"),"",IF($D87=$E87,IF(AND($D87&gt;=CK$5,$D87&lt;CK$5+7),"◆",""),IF(AND($D87&lt;CK$5+7,$E87&gt;CK$5),"■","")))</x:f>
      </x:c>
      <x:c r="CL87" s="7" t="str">
        <x:f>IF(OR($D87="",CL$5="",'상세일정'!AM87="제외"),"",IF($D87=$E87,IF(AND($D87&gt;=CL$5,$D87&lt;CL$5+7),"◆",""),IF(AND($D87&lt;CL$5+7,$E87&gt;CL$5),"■","")))</x:f>
      </x:c>
      <x:c r="CM87" s="7" t="str">
        <x:f>IF(OR($D87="",CM$5="",'상세일정'!AM87="제외"),"",IF($D87=$E87,IF(AND($D87&gt;=CM$5,$D87&lt;CM$5+7),"◆",""),IF(AND($D87&lt;CM$5+7,$E87&gt;CM$5),"■","")))</x:f>
      </x:c>
      <x:c r="CN87" s="7" t="str">
        <x:f>IF(OR($D87="",CN$5="",'상세일정'!AM87="제외"),"",IF($D87=$E87,IF(AND($D87&gt;=CN$5,$D87&lt;CN$5+7),"◆",""),IF(AND($D87&lt;CN$5+7,$E87&gt;CN$5),"■","")))</x:f>
      </x:c>
      <x:c r="CO87" s="7" t="str">
        <x:f>IF(OR($D87="",CO$5="",'상세일정'!AM87="제외"),"",IF($D87=$E87,IF(AND($D87&gt;=CO$5,$D87&lt;CO$5+7),"◆",""),IF(AND($D87&lt;CO$5+7,$E87&gt;CO$5),"■","")))</x:f>
      </x:c>
      <x:c r="CP87" s="7" t="str">
        <x:f>IF(OR($D87="",CP$5="",'상세일정'!AM87="제외"),"",IF($D87=$E87,IF(AND($D87&gt;=CP$5,$D87&lt;CP$5+7),"◆",""),IF(AND($D87&lt;CP$5+7,$E87&gt;CP$5),"■","")))</x:f>
      </x:c>
      <x:c r="CQ87" s="7" t="str">
        <x:f>IF(OR($D87="",CQ$5="",'상세일정'!AM87="제외"),"",IF($D87=$E87,IF(AND($D87&gt;=CQ$5,$D87&lt;CQ$5+7),"◆",""),IF(AND($D87&lt;CQ$5+7,$E87&gt;CQ$5),"■","")))</x:f>
      </x:c>
      <x:c r="CR87" s="7" t="str">
        <x:f>IF(OR($D87="",CR$5="",'상세일정'!AM87="제외"),"",IF($D87=$E87,IF(AND($D87&gt;=CR$5,$D87&lt;CR$5+7),"◆",""),IF(AND($D87&lt;CR$5+7,$E87&gt;CR$5),"■","")))</x:f>
      </x:c>
      <x:c r="CS87" s="7" t="str">
        <x:f>IF(OR($D87="",CS$5="",'상세일정'!AM87="제외"),"",IF($D87=$E87,IF(AND($D87&gt;=CS$5,$D87&lt;CS$5+7),"◆",""),IF(AND($D87&lt;CS$5+7,$E87&gt;CS$5),"■","")))</x:f>
      </x:c>
      <x:c r="CT87" s="7" t="str">
        <x:f>IF(OR($D87="",CT$5="",'상세일정'!AM87="제외"),"",IF($D87=$E87,IF(AND($D87&gt;=CT$5,$D87&lt;CT$5+7),"◆",""),IF(AND($D87&lt;CT$5+7,$E87&gt;CT$5),"■","")))</x:f>
      </x:c>
      <x:c r="CU87" s="7" t="str">
        <x:f>IF(OR($D87="",CU$5="",'상세일정'!AM87="제외"),"",IF($D87=$E87,IF(AND($D87&gt;=CU$5,$D87&lt;CU$5+7),"◆",""),IF(AND($D87&lt;CU$5+7,$E87&gt;CU$5),"■","")))</x:f>
      </x:c>
      <x:c r="CV87" s="7" t="str">
        <x:f>IF(OR($D87="",CV$5="",'상세일정'!AM87="제외"),"",IF($D87=$E87,IF(AND($D87&gt;=CV$5,$D87&lt;CV$5+7),"◆",""),IF(AND($D87&lt;CV$5+7,$E87&gt;CV$5),"■","")))</x:f>
      </x:c>
      <x:c r="CW87" s="7" t="str">
        <x:f>IF(OR($D87="",CW$5="",'상세일정'!AM87="제외"),"",IF($D87=$E87,IF(AND($D87&gt;=CW$5,$D87&lt;CW$5+7),"◆",""),IF(AND($D87&lt;CW$5+7,$E87&gt;CW$5),"■","")))</x:f>
      </x:c>
      <x:c r="CX87" s="7" t="str">
        <x:f>IF(OR($D87="",CX$5="",'상세일정'!AM87="제외"),"",IF($D87=$E87,IF(AND($D87&gt;=CX$5,$D87&lt;CX$5+7),"◆",""),IF(AND($D87&lt;CX$5+7,$E87&gt;CX$5),"■","")))</x:f>
      </x:c>
      <x:c r="CY87" s="7" t="str">
        <x:f>IF(OR($D87="",CY$5="",'상세일정'!AM87="제외"),"",IF($D87=$E87,IF(AND($D87&gt;=CY$5,$D87&lt;CY$5+7),"◆",""),IF(AND($D87&lt;CY$5+7,$E87&gt;CY$5),"■","")))</x:f>
      </x:c>
      <x:c r="CZ87" s="7" t="str">
        <x:f>IF(OR($D87="",CZ$5="",'상세일정'!AM87="제외"),"",IF($D87=$E87,IF(AND($D87&gt;=CZ$5,$D87&lt;CZ$5+7),"◆",""),IF(AND($D87&lt;CZ$5+7,$E87&gt;CZ$5),"■","")))</x:f>
      </x:c>
      <x:c r="DA87" s="7" t="str">
        <x:f>IF(OR($D87="",DA$5="",'상세일정'!AM87="제외"),"",IF($D87=$E87,IF(AND($D87&gt;=DA$5,$D87&lt;DA$5+7),"◆",""),IF(AND($D87&lt;DA$5+7,$E87&gt;DA$5),"■","")))</x:f>
      </x:c>
      <x:c r="DB87" s="7" t="str">
        <x:f>IF(OR($D87="",DB$5="",'상세일정'!AM87="제외"),"",IF($D87=$E87,IF(AND($D87&gt;=DB$5,$D87&lt;DB$5+7),"◆",""),IF(AND($D87&lt;DB$5+7,$E87&gt;DB$5),"■","")))</x:f>
      </x:c>
      <x:c r="DC87" s="7" t="str">
        <x:f>IF(OR($D87="",DC$5="",'상세일정'!AM87="제외"),"",IF($D87=$E87,IF(AND($D87&gt;=DC$5,$D87&lt;DC$5+7),"◆",""),IF(AND($D87&lt;DC$5+7,$E87&gt;DC$5),"■","")))</x:f>
      </x:c>
      <x:c r="DD87" s="7" t="str">
        <x:f>IF(OR($D87="",DD$5="",'상세일정'!AM87="제외"),"",IF($D87=$E87,IF(AND($D87&gt;=DD$5,$D87&lt;DD$5+7),"◆",""),IF(AND($D87&lt;DD$5+7,$E87&gt;DD$5),"■","")))</x:f>
      </x:c>
      <x:c r="DE87" s="7" t="str">
        <x:f>IF(OR($D87="",DE$5="",'상세일정'!AM87="제외"),"",IF($D87=$E87,IF(AND($D87&gt;=DE$5,$D87&lt;DE$5+7),"◆",""),IF(AND($D87&lt;DE$5+7,$E87&gt;DE$5),"■","")))</x:f>
      </x:c>
    </x:row>
    <x:row r="88" ht="34" customHeight="1">
      <x:c r="A88" s="7" t="str">
        <x:v>SH04</x:v>
      </x:c>
      <x:c r="B88" s="7" t="str">
        <x:v>13 유해위험방지계획</x:v>
      </x:c>
      <x:c r="C88" s="7" t="str">
        <x:v>내부 검토·사업주 날인·제출</x:v>
      </x:c>
      <x:c r="D88" s="10" t="str">
        <x:f>'상세일정'!AJ88</x:f>
      </x:c>
      <x:c r="E88" s="10" t="str">
        <x:f>'상세일정'!AK88</x:f>
      </x:c>
      <x:c r="F88" s="7" t="str">
        <x:f>IF(OR($D88="",F$5="",'상세일정'!AM88="제외"),"",IF($D88=$E88,IF(AND($D88&gt;=F$5,$D88&lt;F$5+7),"◆",""),IF(AND($D88&lt;F$5+7,$E88&gt;F$5),"■","")))</x:f>
      </x:c>
      <x:c r="G88" s="7" t="str">
        <x:f>IF(OR($D88="",G$5="",'상세일정'!AM88="제외"),"",IF($D88=$E88,IF(AND($D88&gt;=G$5,$D88&lt;G$5+7),"◆",""),IF(AND($D88&lt;G$5+7,$E88&gt;G$5),"■","")))</x:f>
      </x:c>
      <x:c r="H88" s="7" t="str">
        <x:f>IF(OR($D88="",H$5="",'상세일정'!AM88="제외"),"",IF($D88=$E88,IF(AND($D88&gt;=H$5,$D88&lt;H$5+7),"◆",""),IF(AND($D88&lt;H$5+7,$E88&gt;H$5),"■","")))</x:f>
      </x:c>
      <x:c r="I88" s="7" t="str">
        <x:f>IF(OR($D88="",I$5="",'상세일정'!AM88="제외"),"",IF($D88=$E88,IF(AND($D88&gt;=I$5,$D88&lt;I$5+7),"◆",""),IF(AND($D88&lt;I$5+7,$E88&gt;I$5),"■","")))</x:f>
      </x:c>
      <x:c r="J88" s="7" t="str">
        <x:f>IF(OR($D88="",J$5="",'상세일정'!AM88="제외"),"",IF($D88=$E88,IF(AND($D88&gt;=J$5,$D88&lt;J$5+7),"◆",""),IF(AND($D88&lt;J$5+7,$E88&gt;J$5),"■","")))</x:f>
      </x:c>
      <x:c r="K88" s="7" t="str">
        <x:f>IF(OR($D88="",K$5="",'상세일정'!AM88="제외"),"",IF($D88=$E88,IF(AND($D88&gt;=K$5,$D88&lt;K$5+7),"◆",""),IF(AND($D88&lt;K$5+7,$E88&gt;K$5),"■","")))</x:f>
      </x:c>
      <x:c r="L88" s="7" t="str">
        <x:f>IF(OR($D88="",L$5="",'상세일정'!AM88="제외"),"",IF($D88=$E88,IF(AND($D88&gt;=L$5,$D88&lt;L$5+7),"◆",""),IF(AND($D88&lt;L$5+7,$E88&gt;L$5),"■","")))</x:f>
      </x:c>
      <x:c r="M88" s="7" t="str">
        <x:f>IF(OR($D88="",M$5="",'상세일정'!AM88="제외"),"",IF($D88=$E88,IF(AND($D88&gt;=M$5,$D88&lt;M$5+7),"◆",""),IF(AND($D88&lt;M$5+7,$E88&gt;M$5),"■","")))</x:f>
      </x:c>
      <x:c r="N88" s="7" t="str">
        <x:f>IF(OR($D88="",N$5="",'상세일정'!AM88="제외"),"",IF($D88=$E88,IF(AND($D88&gt;=N$5,$D88&lt;N$5+7),"◆",""),IF(AND($D88&lt;N$5+7,$E88&gt;N$5),"■","")))</x:f>
      </x:c>
      <x:c r="O88" s="7" t="str">
        <x:f>IF(OR($D88="",O$5="",'상세일정'!AM88="제외"),"",IF($D88=$E88,IF(AND($D88&gt;=O$5,$D88&lt;O$5+7),"◆",""),IF(AND($D88&lt;O$5+7,$E88&gt;O$5),"■","")))</x:f>
      </x:c>
      <x:c r="P88" s="7" t="str">
        <x:f>IF(OR($D88="",P$5="",'상세일정'!AM88="제외"),"",IF($D88=$E88,IF(AND($D88&gt;=P$5,$D88&lt;P$5+7),"◆",""),IF(AND($D88&lt;P$5+7,$E88&gt;P$5),"■","")))</x:f>
      </x:c>
      <x:c r="Q88" s="7" t="str">
        <x:f>IF(OR($D88="",Q$5="",'상세일정'!AM88="제외"),"",IF($D88=$E88,IF(AND($D88&gt;=Q$5,$D88&lt;Q$5+7),"◆",""),IF(AND($D88&lt;Q$5+7,$E88&gt;Q$5),"■","")))</x:f>
      </x:c>
      <x:c r="R88" s="7" t="str">
        <x:f>IF(OR($D88="",R$5="",'상세일정'!AM88="제외"),"",IF($D88=$E88,IF(AND($D88&gt;=R$5,$D88&lt;R$5+7),"◆",""),IF(AND($D88&lt;R$5+7,$E88&gt;R$5),"■","")))</x:f>
      </x:c>
      <x:c r="S88" s="7" t="str">
        <x:f>IF(OR($D88="",S$5="",'상세일정'!AM88="제외"),"",IF($D88=$E88,IF(AND($D88&gt;=S$5,$D88&lt;S$5+7),"◆",""),IF(AND($D88&lt;S$5+7,$E88&gt;S$5),"■","")))</x:f>
      </x:c>
      <x:c r="T88" s="7" t="str">
        <x:f>IF(OR($D88="",T$5="",'상세일정'!AM88="제외"),"",IF($D88=$E88,IF(AND($D88&gt;=T$5,$D88&lt;T$5+7),"◆",""),IF(AND($D88&lt;T$5+7,$E88&gt;T$5),"■","")))</x:f>
      </x:c>
      <x:c r="U88" s="7" t="str">
        <x:f>IF(OR($D88="",U$5="",'상세일정'!AM88="제외"),"",IF($D88=$E88,IF(AND($D88&gt;=U$5,$D88&lt;U$5+7),"◆",""),IF(AND($D88&lt;U$5+7,$E88&gt;U$5),"■","")))</x:f>
      </x:c>
      <x:c r="V88" s="7" t="str">
        <x:f>IF(OR($D88="",V$5="",'상세일정'!AM88="제외"),"",IF($D88=$E88,IF(AND($D88&gt;=V$5,$D88&lt;V$5+7),"◆",""),IF(AND($D88&lt;V$5+7,$E88&gt;V$5),"■","")))</x:f>
      </x:c>
      <x:c r="W88" s="7" t="str">
        <x:f>IF(OR($D88="",W$5="",'상세일정'!AM88="제외"),"",IF($D88=$E88,IF(AND($D88&gt;=W$5,$D88&lt;W$5+7),"◆",""),IF(AND($D88&lt;W$5+7,$E88&gt;W$5),"■","")))</x:f>
      </x:c>
      <x:c r="X88" s="7" t="str">
        <x:f>IF(OR($D88="",X$5="",'상세일정'!AM88="제외"),"",IF($D88=$E88,IF(AND($D88&gt;=X$5,$D88&lt;X$5+7),"◆",""),IF(AND($D88&lt;X$5+7,$E88&gt;X$5),"■","")))</x:f>
      </x:c>
      <x:c r="Y88" s="7" t="str">
        <x:f>IF(OR($D88="",Y$5="",'상세일정'!AM88="제외"),"",IF($D88=$E88,IF(AND($D88&gt;=Y$5,$D88&lt;Y$5+7),"◆",""),IF(AND($D88&lt;Y$5+7,$E88&gt;Y$5),"■","")))</x:f>
      </x:c>
      <x:c r="Z88" s="7" t="str">
        <x:f>IF(OR($D88="",Z$5="",'상세일정'!AM88="제외"),"",IF($D88=$E88,IF(AND($D88&gt;=Z$5,$D88&lt;Z$5+7),"◆",""),IF(AND($D88&lt;Z$5+7,$E88&gt;Z$5),"■","")))</x:f>
      </x:c>
      <x:c r="AA88" s="7" t="str">
        <x:f>IF(OR($D88="",AA$5="",'상세일정'!AM88="제외"),"",IF($D88=$E88,IF(AND($D88&gt;=AA$5,$D88&lt;AA$5+7),"◆",""),IF(AND($D88&lt;AA$5+7,$E88&gt;AA$5),"■","")))</x:f>
      </x:c>
      <x:c r="AB88" s="7" t="str">
        <x:f>IF(OR($D88="",AB$5="",'상세일정'!AM88="제외"),"",IF($D88=$E88,IF(AND($D88&gt;=AB$5,$D88&lt;AB$5+7),"◆",""),IF(AND($D88&lt;AB$5+7,$E88&gt;AB$5),"■","")))</x:f>
      </x:c>
      <x:c r="AC88" s="7" t="str">
        <x:f>IF(OR($D88="",AC$5="",'상세일정'!AM88="제외"),"",IF($D88=$E88,IF(AND($D88&gt;=AC$5,$D88&lt;AC$5+7),"◆",""),IF(AND($D88&lt;AC$5+7,$E88&gt;AC$5),"■","")))</x:f>
      </x:c>
      <x:c r="AD88" s="7" t="str">
        <x:f>IF(OR($D88="",AD$5="",'상세일정'!AM88="제외"),"",IF($D88=$E88,IF(AND($D88&gt;=AD$5,$D88&lt;AD$5+7),"◆",""),IF(AND($D88&lt;AD$5+7,$E88&gt;AD$5),"■","")))</x:f>
      </x:c>
      <x:c r="AE88" s="7" t="str">
        <x:f>IF(OR($D88="",AE$5="",'상세일정'!AM88="제외"),"",IF($D88=$E88,IF(AND($D88&gt;=AE$5,$D88&lt;AE$5+7),"◆",""),IF(AND($D88&lt;AE$5+7,$E88&gt;AE$5),"■","")))</x:f>
      </x:c>
      <x:c r="AF88" s="7" t="str">
        <x:f>IF(OR($D88="",AF$5="",'상세일정'!AM88="제외"),"",IF($D88=$E88,IF(AND($D88&gt;=AF$5,$D88&lt;AF$5+7),"◆",""),IF(AND($D88&lt;AF$5+7,$E88&gt;AF$5),"■","")))</x:f>
      </x:c>
      <x:c r="AG88" s="7" t="str">
        <x:f>IF(OR($D88="",AG$5="",'상세일정'!AM88="제외"),"",IF($D88=$E88,IF(AND($D88&gt;=AG$5,$D88&lt;AG$5+7),"◆",""),IF(AND($D88&lt;AG$5+7,$E88&gt;AG$5),"■","")))</x:f>
      </x:c>
      <x:c r="AH88" s="7" t="str">
        <x:f>IF(OR($D88="",AH$5="",'상세일정'!AM88="제외"),"",IF($D88=$E88,IF(AND($D88&gt;=AH$5,$D88&lt;AH$5+7),"◆",""),IF(AND($D88&lt;AH$5+7,$E88&gt;AH$5),"■","")))</x:f>
      </x:c>
      <x:c r="AI88" s="7" t="str">
        <x:f>IF(OR($D88="",AI$5="",'상세일정'!AM88="제외"),"",IF($D88=$E88,IF(AND($D88&gt;=AI$5,$D88&lt;AI$5+7),"◆",""),IF(AND($D88&lt;AI$5+7,$E88&gt;AI$5),"■","")))</x:f>
      </x:c>
      <x:c r="AJ88" s="7" t="str">
        <x:f>IF(OR($D88="",AJ$5="",'상세일정'!AM88="제외"),"",IF($D88=$E88,IF(AND($D88&gt;=AJ$5,$D88&lt;AJ$5+7),"◆",""),IF(AND($D88&lt;AJ$5+7,$E88&gt;AJ$5),"■","")))</x:f>
      </x:c>
      <x:c r="AK88" s="7" t="str">
        <x:f>IF(OR($D88="",AK$5="",'상세일정'!AM88="제외"),"",IF($D88=$E88,IF(AND($D88&gt;=AK$5,$D88&lt;AK$5+7),"◆",""),IF(AND($D88&lt;AK$5+7,$E88&gt;AK$5),"■","")))</x:f>
      </x:c>
      <x:c r="AL88" s="7" t="str">
        <x:f>IF(OR($D88="",AL$5="",'상세일정'!AM88="제외"),"",IF($D88=$E88,IF(AND($D88&gt;=AL$5,$D88&lt;AL$5+7),"◆",""),IF(AND($D88&lt;AL$5+7,$E88&gt;AL$5),"■","")))</x:f>
      </x:c>
      <x:c r="AM88" s="7" t="str">
        <x:f>IF(OR($D88="",AM$5="",'상세일정'!AM88="제외"),"",IF($D88=$E88,IF(AND($D88&gt;=AM$5,$D88&lt;AM$5+7),"◆",""),IF(AND($D88&lt;AM$5+7,$E88&gt;AM$5),"■","")))</x:f>
      </x:c>
      <x:c r="AN88" s="7" t="str">
        <x:f>IF(OR($D88="",AN$5="",'상세일정'!AM88="제외"),"",IF($D88=$E88,IF(AND($D88&gt;=AN$5,$D88&lt;AN$5+7),"◆",""),IF(AND($D88&lt;AN$5+7,$E88&gt;AN$5),"■","")))</x:f>
      </x:c>
      <x:c r="AO88" s="7" t="str">
        <x:f>IF(OR($D88="",AO$5="",'상세일정'!AM88="제외"),"",IF($D88=$E88,IF(AND($D88&gt;=AO$5,$D88&lt;AO$5+7),"◆",""),IF(AND($D88&lt;AO$5+7,$E88&gt;AO$5),"■","")))</x:f>
      </x:c>
      <x:c r="AP88" s="7" t="str">
        <x:f>IF(OR($D88="",AP$5="",'상세일정'!AM88="제외"),"",IF($D88=$E88,IF(AND($D88&gt;=AP$5,$D88&lt;AP$5+7),"◆",""),IF(AND($D88&lt;AP$5+7,$E88&gt;AP$5),"■","")))</x:f>
      </x:c>
      <x:c r="AQ88" s="7" t="str">
        <x:f>IF(OR($D88="",AQ$5="",'상세일정'!AM88="제외"),"",IF($D88=$E88,IF(AND($D88&gt;=AQ$5,$D88&lt;AQ$5+7),"◆",""),IF(AND($D88&lt;AQ$5+7,$E88&gt;AQ$5),"■","")))</x:f>
      </x:c>
      <x:c r="AR88" s="7" t="str">
        <x:f>IF(OR($D88="",AR$5="",'상세일정'!AM88="제외"),"",IF($D88=$E88,IF(AND($D88&gt;=AR$5,$D88&lt;AR$5+7),"◆",""),IF(AND($D88&lt;AR$5+7,$E88&gt;AR$5),"■","")))</x:f>
      </x:c>
      <x:c r="AS88" s="7" t="str">
        <x:f>IF(OR($D88="",AS$5="",'상세일정'!AM88="제외"),"",IF($D88=$E88,IF(AND($D88&gt;=AS$5,$D88&lt;AS$5+7),"◆",""),IF(AND($D88&lt;AS$5+7,$E88&gt;AS$5),"■","")))</x:f>
      </x:c>
      <x:c r="AT88" s="7" t="str">
        <x:f>IF(OR($D88="",AT$5="",'상세일정'!AM88="제외"),"",IF($D88=$E88,IF(AND($D88&gt;=AT$5,$D88&lt;AT$5+7),"◆",""),IF(AND($D88&lt;AT$5+7,$E88&gt;AT$5),"■","")))</x:f>
      </x:c>
      <x:c r="AU88" s="7" t="str">
        <x:f>IF(OR($D88="",AU$5="",'상세일정'!AM88="제외"),"",IF($D88=$E88,IF(AND($D88&gt;=AU$5,$D88&lt;AU$5+7),"◆",""),IF(AND($D88&lt;AU$5+7,$E88&gt;AU$5),"■","")))</x:f>
      </x:c>
      <x:c r="AV88" s="7" t="str">
        <x:f>IF(OR($D88="",AV$5="",'상세일정'!AM88="제외"),"",IF($D88=$E88,IF(AND($D88&gt;=AV$5,$D88&lt;AV$5+7),"◆",""),IF(AND($D88&lt;AV$5+7,$E88&gt;AV$5),"■","")))</x:f>
      </x:c>
      <x:c r="AW88" s="7" t="str">
        <x:f>IF(OR($D88="",AW$5="",'상세일정'!AM88="제외"),"",IF($D88=$E88,IF(AND($D88&gt;=AW$5,$D88&lt;AW$5+7),"◆",""),IF(AND($D88&lt;AW$5+7,$E88&gt;AW$5),"■","")))</x:f>
      </x:c>
      <x:c r="AX88" s="7" t="str">
        <x:f>IF(OR($D88="",AX$5="",'상세일정'!AM88="제외"),"",IF($D88=$E88,IF(AND($D88&gt;=AX$5,$D88&lt;AX$5+7),"◆",""),IF(AND($D88&lt;AX$5+7,$E88&gt;AX$5),"■","")))</x:f>
      </x:c>
      <x:c r="AY88" s="7" t="str">
        <x:f>IF(OR($D88="",AY$5="",'상세일정'!AM88="제외"),"",IF($D88=$E88,IF(AND($D88&gt;=AY$5,$D88&lt;AY$5+7),"◆",""),IF(AND($D88&lt;AY$5+7,$E88&gt;AY$5),"■","")))</x:f>
      </x:c>
      <x:c r="AZ88" s="7" t="str">
        <x:f>IF(OR($D88="",AZ$5="",'상세일정'!AM88="제외"),"",IF($D88=$E88,IF(AND($D88&gt;=AZ$5,$D88&lt;AZ$5+7),"◆",""),IF(AND($D88&lt;AZ$5+7,$E88&gt;AZ$5),"■","")))</x:f>
      </x:c>
      <x:c r="BA88" s="7" t="str">
        <x:f>IF(OR($D88="",BA$5="",'상세일정'!AM88="제외"),"",IF($D88=$E88,IF(AND($D88&gt;=BA$5,$D88&lt;BA$5+7),"◆",""),IF(AND($D88&lt;BA$5+7,$E88&gt;BA$5),"■","")))</x:f>
      </x:c>
      <x:c r="BB88" s="7" t="str">
        <x:f>IF(OR($D88="",BB$5="",'상세일정'!AM88="제외"),"",IF($D88=$E88,IF(AND($D88&gt;=BB$5,$D88&lt;BB$5+7),"◆",""),IF(AND($D88&lt;BB$5+7,$E88&gt;BB$5),"■","")))</x:f>
      </x:c>
      <x:c r="BC88" s="7" t="str">
        <x:f>IF(OR($D88="",BC$5="",'상세일정'!AM88="제외"),"",IF($D88=$E88,IF(AND($D88&gt;=BC$5,$D88&lt;BC$5+7),"◆",""),IF(AND($D88&lt;BC$5+7,$E88&gt;BC$5),"■","")))</x:f>
      </x:c>
      <x:c r="BD88" s="7" t="str">
        <x:f>IF(OR($D88="",BD$5="",'상세일정'!AM88="제외"),"",IF($D88=$E88,IF(AND($D88&gt;=BD$5,$D88&lt;BD$5+7),"◆",""),IF(AND($D88&lt;BD$5+7,$E88&gt;BD$5),"■","")))</x:f>
      </x:c>
      <x:c r="BE88" s="7" t="str">
        <x:f>IF(OR($D88="",BE$5="",'상세일정'!AM88="제외"),"",IF($D88=$E88,IF(AND($D88&gt;=BE$5,$D88&lt;BE$5+7),"◆",""),IF(AND($D88&lt;BE$5+7,$E88&gt;BE$5),"■","")))</x:f>
      </x:c>
      <x:c r="BF88" s="7" t="str">
        <x:f>IF(OR($D88="",BF$5="",'상세일정'!AM88="제외"),"",IF($D88=$E88,IF(AND($D88&gt;=BF$5,$D88&lt;BF$5+7),"◆",""),IF(AND($D88&lt;BF$5+7,$E88&gt;BF$5),"■","")))</x:f>
      </x:c>
      <x:c r="BG88" s="7" t="str">
        <x:f>IF(OR($D88="",BG$5="",'상세일정'!AM88="제외"),"",IF($D88=$E88,IF(AND($D88&gt;=BG$5,$D88&lt;BG$5+7),"◆",""),IF(AND($D88&lt;BG$5+7,$E88&gt;BG$5),"■","")))</x:f>
      </x:c>
      <x:c r="BH88" s="7" t="str">
        <x:f>IF(OR($D88="",BH$5="",'상세일정'!AM88="제외"),"",IF($D88=$E88,IF(AND($D88&gt;=BH$5,$D88&lt;BH$5+7),"◆",""),IF(AND($D88&lt;BH$5+7,$E88&gt;BH$5),"■","")))</x:f>
      </x:c>
      <x:c r="BI88" s="7" t="str">
        <x:f>IF(OR($D88="",BI$5="",'상세일정'!AM88="제외"),"",IF($D88=$E88,IF(AND($D88&gt;=BI$5,$D88&lt;BI$5+7),"◆",""),IF(AND($D88&lt;BI$5+7,$E88&gt;BI$5),"■","")))</x:f>
      </x:c>
      <x:c r="BJ88" s="7" t="str">
        <x:f>IF(OR($D88="",BJ$5="",'상세일정'!AM88="제외"),"",IF($D88=$E88,IF(AND($D88&gt;=BJ$5,$D88&lt;BJ$5+7),"◆",""),IF(AND($D88&lt;BJ$5+7,$E88&gt;BJ$5),"■","")))</x:f>
      </x:c>
      <x:c r="BK88" s="7" t="str">
        <x:f>IF(OR($D88="",BK$5="",'상세일정'!AM88="제외"),"",IF($D88=$E88,IF(AND($D88&gt;=BK$5,$D88&lt;BK$5+7),"◆",""),IF(AND($D88&lt;BK$5+7,$E88&gt;BK$5),"■","")))</x:f>
      </x:c>
      <x:c r="BL88" s="7" t="str">
        <x:f>IF(OR($D88="",BL$5="",'상세일정'!AM88="제외"),"",IF($D88=$E88,IF(AND($D88&gt;=BL$5,$D88&lt;BL$5+7),"◆",""),IF(AND($D88&lt;BL$5+7,$E88&gt;BL$5),"■","")))</x:f>
      </x:c>
      <x:c r="BM88" s="7" t="str">
        <x:f>IF(OR($D88="",BM$5="",'상세일정'!AM88="제외"),"",IF($D88=$E88,IF(AND($D88&gt;=BM$5,$D88&lt;BM$5+7),"◆",""),IF(AND($D88&lt;BM$5+7,$E88&gt;BM$5),"■","")))</x:f>
      </x:c>
      <x:c r="BN88" s="7" t="str">
        <x:f>IF(OR($D88="",BN$5="",'상세일정'!AM88="제외"),"",IF($D88=$E88,IF(AND($D88&gt;=BN$5,$D88&lt;BN$5+7),"◆",""),IF(AND($D88&lt;BN$5+7,$E88&gt;BN$5),"■","")))</x:f>
      </x:c>
      <x:c r="BO88" s="7" t="str">
        <x:f>IF(OR($D88="",BO$5="",'상세일정'!AM88="제외"),"",IF($D88=$E88,IF(AND($D88&gt;=BO$5,$D88&lt;BO$5+7),"◆",""),IF(AND($D88&lt;BO$5+7,$E88&gt;BO$5),"■","")))</x:f>
      </x:c>
      <x:c r="BP88" s="7" t="str">
        <x:f>IF(OR($D88="",BP$5="",'상세일정'!AM88="제외"),"",IF($D88=$E88,IF(AND($D88&gt;=BP$5,$D88&lt;BP$5+7),"◆",""),IF(AND($D88&lt;BP$5+7,$E88&gt;BP$5),"■","")))</x:f>
      </x:c>
      <x:c r="BQ88" s="7" t="str">
        <x:f>IF(OR($D88="",BQ$5="",'상세일정'!AM88="제외"),"",IF($D88=$E88,IF(AND($D88&gt;=BQ$5,$D88&lt;BQ$5+7),"◆",""),IF(AND($D88&lt;BQ$5+7,$E88&gt;BQ$5),"■","")))</x:f>
      </x:c>
      <x:c r="BR88" s="7" t="str">
        <x:f>IF(OR($D88="",BR$5="",'상세일정'!AM88="제외"),"",IF($D88=$E88,IF(AND($D88&gt;=BR$5,$D88&lt;BR$5+7),"◆",""),IF(AND($D88&lt;BR$5+7,$E88&gt;BR$5),"■","")))</x:f>
      </x:c>
      <x:c r="BS88" s="7" t="str">
        <x:f>IF(OR($D88="",BS$5="",'상세일정'!AM88="제외"),"",IF($D88=$E88,IF(AND($D88&gt;=BS$5,$D88&lt;BS$5+7),"◆",""),IF(AND($D88&lt;BS$5+7,$E88&gt;BS$5),"■","")))</x:f>
      </x:c>
      <x:c r="BT88" s="7" t="str">
        <x:f>IF(OR($D88="",BT$5="",'상세일정'!AM88="제외"),"",IF($D88=$E88,IF(AND($D88&gt;=BT$5,$D88&lt;BT$5+7),"◆",""),IF(AND($D88&lt;BT$5+7,$E88&gt;BT$5),"■","")))</x:f>
      </x:c>
      <x:c r="BU88" s="7" t="str">
        <x:f>IF(OR($D88="",BU$5="",'상세일정'!AM88="제외"),"",IF($D88=$E88,IF(AND($D88&gt;=BU$5,$D88&lt;BU$5+7),"◆",""),IF(AND($D88&lt;BU$5+7,$E88&gt;BU$5),"■","")))</x:f>
      </x:c>
      <x:c r="BV88" s="7" t="str">
        <x:f>IF(OR($D88="",BV$5="",'상세일정'!AM88="제외"),"",IF($D88=$E88,IF(AND($D88&gt;=BV$5,$D88&lt;BV$5+7),"◆",""),IF(AND($D88&lt;BV$5+7,$E88&gt;BV$5),"■","")))</x:f>
      </x:c>
      <x:c r="BW88" s="7" t="str">
        <x:f>IF(OR($D88="",BW$5="",'상세일정'!AM88="제외"),"",IF($D88=$E88,IF(AND($D88&gt;=BW$5,$D88&lt;BW$5+7),"◆",""),IF(AND($D88&lt;BW$5+7,$E88&gt;BW$5),"■","")))</x:f>
      </x:c>
      <x:c r="BX88" s="7" t="str">
        <x:f>IF(OR($D88="",BX$5="",'상세일정'!AM88="제외"),"",IF($D88=$E88,IF(AND($D88&gt;=BX$5,$D88&lt;BX$5+7),"◆",""),IF(AND($D88&lt;BX$5+7,$E88&gt;BX$5),"■","")))</x:f>
      </x:c>
      <x:c r="BY88" s="7" t="str">
        <x:f>IF(OR($D88="",BY$5="",'상세일정'!AM88="제외"),"",IF($D88=$E88,IF(AND($D88&gt;=BY$5,$D88&lt;BY$5+7),"◆",""),IF(AND($D88&lt;BY$5+7,$E88&gt;BY$5),"■","")))</x:f>
      </x:c>
      <x:c r="BZ88" s="7" t="str">
        <x:f>IF(OR($D88="",BZ$5="",'상세일정'!AM88="제외"),"",IF($D88=$E88,IF(AND($D88&gt;=BZ$5,$D88&lt;BZ$5+7),"◆",""),IF(AND($D88&lt;BZ$5+7,$E88&gt;BZ$5),"■","")))</x:f>
      </x:c>
      <x:c r="CA88" s="7" t="str">
        <x:f>IF(OR($D88="",CA$5="",'상세일정'!AM88="제외"),"",IF($D88=$E88,IF(AND($D88&gt;=CA$5,$D88&lt;CA$5+7),"◆",""),IF(AND($D88&lt;CA$5+7,$E88&gt;CA$5),"■","")))</x:f>
      </x:c>
      <x:c r="CB88" s="7" t="str">
        <x:f>IF(OR($D88="",CB$5="",'상세일정'!AM88="제외"),"",IF($D88=$E88,IF(AND($D88&gt;=CB$5,$D88&lt;CB$5+7),"◆",""),IF(AND($D88&lt;CB$5+7,$E88&gt;CB$5),"■","")))</x:f>
      </x:c>
      <x:c r="CC88" s="7" t="str">
        <x:f>IF(OR($D88="",CC$5="",'상세일정'!AM88="제외"),"",IF($D88=$E88,IF(AND($D88&gt;=CC$5,$D88&lt;CC$5+7),"◆",""),IF(AND($D88&lt;CC$5+7,$E88&gt;CC$5),"■","")))</x:f>
      </x:c>
      <x:c r="CD88" s="7" t="str">
        <x:f>IF(OR($D88="",CD$5="",'상세일정'!AM88="제외"),"",IF($D88=$E88,IF(AND($D88&gt;=CD$5,$D88&lt;CD$5+7),"◆",""),IF(AND($D88&lt;CD$5+7,$E88&gt;CD$5),"■","")))</x:f>
      </x:c>
      <x:c r="CE88" s="7" t="str">
        <x:f>IF(OR($D88="",CE$5="",'상세일정'!AM88="제외"),"",IF($D88=$E88,IF(AND($D88&gt;=CE$5,$D88&lt;CE$5+7),"◆",""),IF(AND($D88&lt;CE$5+7,$E88&gt;CE$5),"■","")))</x:f>
      </x:c>
      <x:c r="CF88" s="7" t="str">
        <x:f>IF(OR($D88="",CF$5="",'상세일정'!AM88="제외"),"",IF($D88=$E88,IF(AND($D88&gt;=CF$5,$D88&lt;CF$5+7),"◆",""),IF(AND($D88&lt;CF$5+7,$E88&gt;CF$5),"■","")))</x:f>
      </x:c>
      <x:c r="CG88" s="7" t="str">
        <x:f>IF(OR($D88="",CG$5="",'상세일정'!AM88="제외"),"",IF($D88=$E88,IF(AND($D88&gt;=CG$5,$D88&lt;CG$5+7),"◆",""),IF(AND($D88&lt;CG$5+7,$E88&gt;CG$5),"■","")))</x:f>
      </x:c>
      <x:c r="CH88" s="7" t="str">
        <x:f>IF(OR($D88="",CH$5="",'상세일정'!AM88="제외"),"",IF($D88=$E88,IF(AND($D88&gt;=CH$5,$D88&lt;CH$5+7),"◆",""),IF(AND($D88&lt;CH$5+7,$E88&gt;CH$5),"■","")))</x:f>
      </x:c>
      <x:c r="CI88" s="7" t="str">
        <x:f>IF(OR($D88="",CI$5="",'상세일정'!AM88="제외"),"",IF($D88=$E88,IF(AND($D88&gt;=CI$5,$D88&lt;CI$5+7),"◆",""),IF(AND($D88&lt;CI$5+7,$E88&gt;CI$5),"■","")))</x:f>
      </x:c>
      <x:c r="CJ88" s="7" t="str">
        <x:f>IF(OR($D88="",CJ$5="",'상세일정'!AM88="제외"),"",IF($D88=$E88,IF(AND($D88&gt;=CJ$5,$D88&lt;CJ$5+7),"◆",""),IF(AND($D88&lt;CJ$5+7,$E88&gt;CJ$5),"■","")))</x:f>
      </x:c>
      <x:c r="CK88" s="7" t="str">
        <x:f>IF(OR($D88="",CK$5="",'상세일정'!AM88="제외"),"",IF($D88=$E88,IF(AND($D88&gt;=CK$5,$D88&lt;CK$5+7),"◆",""),IF(AND($D88&lt;CK$5+7,$E88&gt;CK$5),"■","")))</x:f>
      </x:c>
      <x:c r="CL88" s="7" t="str">
        <x:f>IF(OR($D88="",CL$5="",'상세일정'!AM88="제외"),"",IF($D88=$E88,IF(AND($D88&gt;=CL$5,$D88&lt;CL$5+7),"◆",""),IF(AND($D88&lt;CL$5+7,$E88&gt;CL$5),"■","")))</x:f>
      </x:c>
      <x:c r="CM88" s="7" t="str">
        <x:f>IF(OR($D88="",CM$5="",'상세일정'!AM88="제외"),"",IF($D88=$E88,IF(AND($D88&gt;=CM$5,$D88&lt;CM$5+7),"◆",""),IF(AND($D88&lt;CM$5+7,$E88&gt;CM$5),"■","")))</x:f>
      </x:c>
      <x:c r="CN88" s="7" t="str">
        <x:f>IF(OR($D88="",CN$5="",'상세일정'!AM88="제외"),"",IF($D88=$E88,IF(AND($D88&gt;=CN$5,$D88&lt;CN$5+7),"◆",""),IF(AND($D88&lt;CN$5+7,$E88&gt;CN$5),"■","")))</x:f>
      </x:c>
      <x:c r="CO88" s="7" t="str">
        <x:f>IF(OR($D88="",CO$5="",'상세일정'!AM88="제외"),"",IF($D88=$E88,IF(AND($D88&gt;=CO$5,$D88&lt;CO$5+7),"◆",""),IF(AND($D88&lt;CO$5+7,$E88&gt;CO$5),"■","")))</x:f>
      </x:c>
      <x:c r="CP88" s="7" t="str">
        <x:f>IF(OR($D88="",CP$5="",'상세일정'!AM88="제외"),"",IF($D88=$E88,IF(AND($D88&gt;=CP$5,$D88&lt;CP$5+7),"◆",""),IF(AND($D88&lt;CP$5+7,$E88&gt;CP$5),"■","")))</x:f>
      </x:c>
      <x:c r="CQ88" s="7" t="str">
        <x:f>IF(OR($D88="",CQ$5="",'상세일정'!AM88="제외"),"",IF($D88=$E88,IF(AND($D88&gt;=CQ$5,$D88&lt;CQ$5+7),"◆",""),IF(AND($D88&lt;CQ$5+7,$E88&gt;CQ$5),"■","")))</x:f>
      </x:c>
      <x:c r="CR88" s="7" t="str">
        <x:f>IF(OR($D88="",CR$5="",'상세일정'!AM88="제외"),"",IF($D88=$E88,IF(AND($D88&gt;=CR$5,$D88&lt;CR$5+7),"◆",""),IF(AND($D88&lt;CR$5+7,$E88&gt;CR$5),"■","")))</x:f>
      </x:c>
      <x:c r="CS88" s="7" t="str">
        <x:f>IF(OR($D88="",CS$5="",'상세일정'!AM88="제외"),"",IF($D88=$E88,IF(AND($D88&gt;=CS$5,$D88&lt;CS$5+7),"◆",""),IF(AND($D88&lt;CS$5+7,$E88&gt;CS$5),"■","")))</x:f>
      </x:c>
      <x:c r="CT88" s="7" t="str">
        <x:f>IF(OR($D88="",CT$5="",'상세일정'!AM88="제외"),"",IF($D88=$E88,IF(AND($D88&gt;=CT$5,$D88&lt;CT$5+7),"◆",""),IF(AND($D88&lt;CT$5+7,$E88&gt;CT$5),"■","")))</x:f>
      </x:c>
      <x:c r="CU88" s="7" t="str">
        <x:f>IF(OR($D88="",CU$5="",'상세일정'!AM88="제외"),"",IF($D88=$E88,IF(AND($D88&gt;=CU$5,$D88&lt;CU$5+7),"◆",""),IF(AND($D88&lt;CU$5+7,$E88&gt;CU$5),"■","")))</x:f>
      </x:c>
      <x:c r="CV88" s="7" t="str">
        <x:f>IF(OR($D88="",CV$5="",'상세일정'!AM88="제외"),"",IF($D88=$E88,IF(AND($D88&gt;=CV$5,$D88&lt;CV$5+7),"◆",""),IF(AND($D88&lt;CV$5+7,$E88&gt;CV$5),"■","")))</x:f>
      </x:c>
      <x:c r="CW88" s="7" t="str">
        <x:f>IF(OR($D88="",CW$5="",'상세일정'!AM88="제외"),"",IF($D88=$E88,IF(AND($D88&gt;=CW$5,$D88&lt;CW$5+7),"◆",""),IF(AND($D88&lt;CW$5+7,$E88&gt;CW$5),"■","")))</x:f>
      </x:c>
      <x:c r="CX88" s="7" t="str">
        <x:f>IF(OR($D88="",CX$5="",'상세일정'!AM88="제외"),"",IF($D88=$E88,IF(AND($D88&gt;=CX$5,$D88&lt;CX$5+7),"◆",""),IF(AND($D88&lt;CX$5+7,$E88&gt;CX$5),"■","")))</x:f>
      </x:c>
      <x:c r="CY88" s="7" t="str">
        <x:f>IF(OR($D88="",CY$5="",'상세일정'!AM88="제외"),"",IF($D88=$E88,IF(AND($D88&gt;=CY$5,$D88&lt;CY$5+7),"◆",""),IF(AND($D88&lt;CY$5+7,$E88&gt;CY$5),"■","")))</x:f>
      </x:c>
      <x:c r="CZ88" s="7" t="str">
        <x:f>IF(OR($D88="",CZ$5="",'상세일정'!AM88="제외"),"",IF($D88=$E88,IF(AND($D88&gt;=CZ$5,$D88&lt;CZ$5+7),"◆",""),IF(AND($D88&lt;CZ$5+7,$E88&gt;CZ$5),"■","")))</x:f>
      </x:c>
      <x:c r="DA88" s="7" t="str">
        <x:f>IF(OR($D88="",DA$5="",'상세일정'!AM88="제외"),"",IF($D88=$E88,IF(AND($D88&gt;=DA$5,$D88&lt;DA$5+7),"◆",""),IF(AND($D88&lt;DA$5+7,$E88&gt;DA$5),"■","")))</x:f>
      </x:c>
      <x:c r="DB88" s="7" t="str">
        <x:f>IF(OR($D88="",DB$5="",'상세일정'!AM88="제외"),"",IF($D88=$E88,IF(AND($D88&gt;=DB$5,$D88&lt;DB$5+7),"◆",""),IF(AND($D88&lt;DB$5+7,$E88&gt;DB$5),"■","")))</x:f>
      </x:c>
      <x:c r="DC88" s="7" t="str">
        <x:f>IF(OR($D88="",DC$5="",'상세일정'!AM88="제외"),"",IF($D88=$E88,IF(AND($D88&gt;=DC$5,$D88&lt;DC$5+7),"◆",""),IF(AND($D88&lt;DC$5+7,$E88&gt;DC$5),"■","")))</x:f>
      </x:c>
      <x:c r="DD88" s="7" t="str">
        <x:f>IF(OR($D88="",DD$5="",'상세일정'!AM88="제외"),"",IF($D88=$E88,IF(AND($D88&gt;=DD$5,$D88&lt;DD$5+7),"◆",""),IF(AND($D88&lt;DD$5+7,$E88&gt;DD$5),"■","")))</x:f>
      </x:c>
      <x:c r="DE88" s="7" t="str">
        <x:f>IF(OR($D88="",DE$5="",'상세일정'!AM88="제외"),"",IF($D88=$E88,IF(AND($D88&gt;=DE$5,$D88&lt;DE$5+7),"◆",""),IF(AND($D88&lt;DE$5+7,$E88&gt;DE$5),"■","")))</x:f>
      </x:c>
    </x:row>
    <x:row r="89" ht="34" customHeight="1">
      <x:c r="A89" s="7" t="str">
        <x:v>SH05</x:v>
      </x:c>
      <x:c r="B89" s="7" t="str">
        <x:v>13 유해위험방지계획</x:v>
      </x:c>
      <x:c r="C89" s="7" t="str">
        <x:v>기관 심사·현장설명 및 질의 대응</x:v>
      </x:c>
      <x:c r="D89" s="10" t="str">
        <x:f>'상세일정'!AJ89</x:f>
      </x:c>
      <x:c r="E89" s="10" t="str">
        <x:f>'상세일정'!AK89</x:f>
      </x:c>
      <x:c r="F89" s="7" t="str">
        <x:f>IF(OR($D89="",F$5="",'상세일정'!AM89="제외"),"",IF($D89=$E89,IF(AND($D89&gt;=F$5,$D89&lt;F$5+7),"◆",""),IF(AND($D89&lt;F$5+7,$E89&gt;F$5),"■","")))</x:f>
      </x:c>
      <x:c r="G89" s="7" t="str">
        <x:f>IF(OR($D89="",G$5="",'상세일정'!AM89="제외"),"",IF($D89=$E89,IF(AND($D89&gt;=G$5,$D89&lt;G$5+7),"◆",""),IF(AND($D89&lt;G$5+7,$E89&gt;G$5),"■","")))</x:f>
      </x:c>
      <x:c r="H89" s="7" t="str">
        <x:f>IF(OR($D89="",H$5="",'상세일정'!AM89="제외"),"",IF($D89=$E89,IF(AND($D89&gt;=H$5,$D89&lt;H$5+7),"◆",""),IF(AND($D89&lt;H$5+7,$E89&gt;H$5),"■","")))</x:f>
      </x:c>
      <x:c r="I89" s="7" t="str">
        <x:f>IF(OR($D89="",I$5="",'상세일정'!AM89="제외"),"",IF($D89=$E89,IF(AND($D89&gt;=I$5,$D89&lt;I$5+7),"◆",""),IF(AND($D89&lt;I$5+7,$E89&gt;I$5),"■","")))</x:f>
      </x:c>
      <x:c r="J89" s="7" t="str">
        <x:f>IF(OR($D89="",J$5="",'상세일정'!AM89="제외"),"",IF($D89=$E89,IF(AND($D89&gt;=J$5,$D89&lt;J$5+7),"◆",""),IF(AND($D89&lt;J$5+7,$E89&gt;J$5),"■","")))</x:f>
      </x:c>
      <x:c r="K89" s="7" t="str">
        <x:f>IF(OR($D89="",K$5="",'상세일정'!AM89="제외"),"",IF($D89=$E89,IF(AND($D89&gt;=K$5,$D89&lt;K$5+7),"◆",""),IF(AND($D89&lt;K$5+7,$E89&gt;K$5),"■","")))</x:f>
      </x:c>
      <x:c r="L89" s="7" t="str">
        <x:f>IF(OR($D89="",L$5="",'상세일정'!AM89="제외"),"",IF($D89=$E89,IF(AND($D89&gt;=L$5,$D89&lt;L$5+7),"◆",""),IF(AND($D89&lt;L$5+7,$E89&gt;L$5),"■","")))</x:f>
      </x:c>
      <x:c r="M89" s="7" t="str">
        <x:f>IF(OR($D89="",M$5="",'상세일정'!AM89="제외"),"",IF($D89=$E89,IF(AND($D89&gt;=M$5,$D89&lt;M$5+7),"◆",""),IF(AND($D89&lt;M$5+7,$E89&gt;M$5),"■","")))</x:f>
      </x:c>
      <x:c r="N89" s="7" t="str">
        <x:f>IF(OR($D89="",N$5="",'상세일정'!AM89="제외"),"",IF($D89=$E89,IF(AND($D89&gt;=N$5,$D89&lt;N$5+7),"◆",""),IF(AND($D89&lt;N$5+7,$E89&gt;N$5),"■","")))</x:f>
      </x:c>
      <x:c r="O89" s="7" t="str">
        <x:f>IF(OR($D89="",O$5="",'상세일정'!AM89="제외"),"",IF($D89=$E89,IF(AND($D89&gt;=O$5,$D89&lt;O$5+7),"◆",""),IF(AND($D89&lt;O$5+7,$E89&gt;O$5),"■","")))</x:f>
      </x:c>
      <x:c r="P89" s="7" t="str">
        <x:f>IF(OR($D89="",P$5="",'상세일정'!AM89="제외"),"",IF($D89=$E89,IF(AND($D89&gt;=P$5,$D89&lt;P$5+7),"◆",""),IF(AND($D89&lt;P$5+7,$E89&gt;P$5),"■","")))</x:f>
      </x:c>
      <x:c r="Q89" s="7" t="str">
        <x:f>IF(OR($D89="",Q$5="",'상세일정'!AM89="제외"),"",IF($D89=$E89,IF(AND($D89&gt;=Q$5,$D89&lt;Q$5+7),"◆",""),IF(AND($D89&lt;Q$5+7,$E89&gt;Q$5),"■","")))</x:f>
      </x:c>
      <x:c r="R89" s="7" t="str">
        <x:f>IF(OR($D89="",R$5="",'상세일정'!AM89="제외"),"",IF($D89=$E89,IF(AND($D89&gt;=R$5,$D89&lt;R$5+7),"◆",""),IF(AND($D89&lt;R$5+7,$E89&gt;R$5),"■","")))</x:f>
      </x:c>
      <x:c r="S89" s="7" t="str">
        <x:f>IF(OR($D89="",S$5="",'상세일정'!AM89="제외"),"",IF($D89=$E89,IF(AND($D89&gt;=S$5,$D89&lt;S$5+7),"◆",""),IF(AND($D89&lt;S$5+7,$E89&gt;S$5),"■","")))</x:f>
      </x:c>
      <x:c r="T89" s="7" t="str">
        <x:f>IF(OR($D89="",T$5="",'상세일정'!AM89="제외"),"",IF($D89=$E89,IF(AND($D89&gt;=T$5,$D89&lt;T$5+7),"◆",""),IF(AND($D89&lt;T$5+7,$E89&gt;T$5),"■","")))</x:f>
      </x:c>
      <x:c r="U89" s="7" t="str">
        <x:f>IF(OR($D89="",U$5="",'상세일정'!AM89="제외"),"",IF($D89=$E89,IF(AND($D89&gt;=U$5,$D89&lt;U$5+7),"◆",""),IF(AND($D89&lt;U$5+7,$E89&gt;U$5),"■","")))</x:f>
      </x:c>
      <x:c r="V89" s="7" t="str">
        <x:f>IF(OR($D89="",V$5="",'상세일정'!AM89="제외"),"",IF($D89=$E89,IF(AND($D89&gt;=V$5,$D89&lt;V$5+7),"◆",""),IF(AND($D89&lt;V$5+7,$E89&gt;V$5),"■","")))</x:f>
      </x:c>
      <x:c r="W89" s="7" t="str">
        <x:f>IF(OR($D89="",W$5="",'상세일정'!AM89="제외"),"",IF($D89=$E89,IF(AND($D89&gt;=W$5,$D89&lt;W$5+7),"◆",""),IF(AND($D89&lt;W$5+7,$E89&gt;W$5),"■","")))</x:f>
      </x:c>
      <x:c r="X89" s="7" t="str">
        <x:f>IF(OR($D89="",X$5="",'상세일정'!AM89="제외"),"",IF($D89=$E89,IF(AND($D89&gt;=X$5,$D89&lt;X$5+7),"◆",""),IF(AND($D89&lt;X$5+7,$E89&gt;X$5),"■","")))</x:f>
      </x:c>
      <x:c r="Y89" s="7" t="str">
        <x:f>IF(OR($D89="",Y$5="",'상세일정'!AM89="제외"),"",IF($D89=$E89,IF(AND($D89&gt;=Y$5,$D89&lt;Y$5+7),"◆",""),IF(AND($D89&lt;Y$5+7,$E89&gt;Y$5),"■","")))</x:f>
      </x:c>
      <x:c r="Z89" s="7" t="str">
        <x:f>IF(OR($D89="",Z$5="",'상세일정'!AM89="제외"),"",IF($D89=$E89,IF(AND($D89&gt;=Z$5,$D89&lt;Z$5+7),"◆",""),IF(AND($D89&lt;Z$5+7,$E89&gt;Z$5),"■","")))</x:f>
      </x:c>
      <x:c r="AA89" s="7" t="str">
        <x:f>IF(OR($D89="",AA$5="",'상세일정'!AM89="제외"),"",IF($D89=$E89,IF(AND($D89&gt;=AA$5,$D89&lt;AA$5+7),"◆",""),IF(AND($D89&lt;AA$5+7,$E89&gt;AA$5),"■","")))</x:f>
      </x:c>
      <x:c r="AB89" s="7" t="str">
        <x:f>IF(OR($D89="",AB$5="",'상세일정'!AM89="제외"),"",IF($D89=$E89,IF(AND($D89&gt;=AB$5,$D89&lt;AB$5+7),"◆",""),IF(AND($D89&lt;AB$5+7,$E89&gt;AB$5),"■","")))</x:f>
      </x:c>
      <x:c r="AC89" s="7" t="str">
        <x:f>IF(OR($D89="",AC$5="",'상세일정'!AM89="제외"),"",IF($D89=$E89,IF(AND($D89&gt;=AC$5,$D89&lt;AC$5+7),"◆",""),IF(AND($D89&lt;AC$5+7,$E89&gt;AC$5),"■","")))</x:f>
      </x:c>
      <x:c r="AD89" s="7" t="str">
        <x:f>IF(OR($D89="",AD$5="",'상세일정'!AM89="제외"),"",IF($D89=$E89,IF(AND($D89&gt;=AD$5,$D89&lt;AD$5+7),"◆",""),IF(AND($D89&lt;AD$5+7,$E89&gt;AD$5),"■","")))</x:f>
      </x:c>
      <x:c r="AE89" s="7" t="str">
        <x:f>IF(OR($D89="",AE$5="",'상세일정'!AM89="제외"),"",IF($D89=$E89,IF(AND($D89&gt;=AE$5,$D89&lt;AE$5+7),"◆",""),IF(AND($D89&lt;AE$5+7,$E89&gt;AE$5),"■","")))</x:f>
      </x:c>
      <x:c r="AF89" s="7" t="str">
        <x:f>IF(OR($D89="",AF$5="",'상세일정'!AM89="제외"),"",IF($D89=$E89,IF(AND($D89&gt;=AF$5,$D89&lt;AF$5+7),"◆",""),IF(AND($D89&lt;AF$5+7,$E89&gt;AF$5),"■","")))</x:f>
      </x:c>
      <x:c r="AG89" s="7" t="str">
        <x:f>IF(OR($D89="",AG$5="",'상세일정'!AM89="제외"),"",IF($D89=$E89,IF(AND($D89&gt;=AG$5,$D89&lt;AG$5+7),"◆",""),IF(AND($D89&lt;AG$5+7,$E89&gt;AG$5),"■","")))</x:f>
      </x:c>
      <x:c r="AH89" s="7" t="str">
        <x:f>IF(OR($D89="",AH$5="",'상세일정'!AM89="제외"),"",IF($D89=$E89,IF(AND($D89&gt;=AH$5,$D89&lt;AH$5+7),"◆",""),IF(AND($D89&lt;AH$5+7,$E89&gt;AH$5),"■","")))</x:f>
      </x:c>
      <x:c r="AI89" s="7" t="str">
        <x:f>IF(OR($D89="",AI$5="",'상세일정'!AM89="제외"),"",IF($D89=$E89,IF(AND($D89&gt;=AI$5,$D89&lt;AI$5+7),"◆",""),IF(AND($D89&lt;AI$5+7,$E89&gt;AI$5),"■","")))</x:f>
      </x:c>
      <x:c r="AJ89" s="7" t="str">
        <x:f>IF(OR($D89="",AJ$5="",'상세일정'!AM89="제외"),"",IF($D89=$E89,IF(AND($D89&gt;=AJ$5,$D89&lt;AJ$5+7),"◆",""),IF(AND($D89&lt;AJ$5+7,$E89&gt;AJ$5),"■","")))</x:f>
      </x:c>
      <x:c r="AK89" s="7" t="str">
        <x:f>IF(OR($D89="",AK$5="",'상세일정'!AM89="제외"),"",IF($D89=$E89,IF(AND($D89&gt;=AK$5,$D89&lt;AK$5+7),"◆",""),IF(AND($D89&lt;AK$5+7,$E89&gt;AK$5),"■","")))</x:f>
      </x:c>
      <x:c r="AL89" s="7" t="str">
        <x:f>IF(OR($D89="",AL$5="",'상세일정'!AM89="제외"),"",IF($D89=$E89,IF(AND($D89&gt;=AL$5,$D89&lt;AL$5+7),"◆",""),IF(AND($D89&lt;AL$5+7,$E89&gt;AL$5),"■","")))</x:f>
      </x:c>
      <x:c r="AM89" s="7" t="str">
        <x:f>IF(OR($D89="",AM$5="",'상세일정'!AM89="제외"),"",IF($D89=$E89,IF(AND($D89&gt;=AM$5,$D89&lt;AM$5+7),"◆",""),IF(AND($D89&lt;AM$5+7,$E89&gt;AM$5),"■","")))</x:f>
      </x:c>
      <x:c r="AN89" s="7" t="str">
        <x:f>IF(OR($D89="",AN$5="",'상세일정'!AM89="제외"),"",IF($D89=$E89,IF(AND($D89&gt;=AN$5,$D89&lt;AN$5+7),"◆",""),IF(AND($D89&lt;AN$5+7,$E89&gt;AN$5),"■","")))</x:f>
      </x:c>
      <x:c r="AO89" s="7" t="str">
        <x:f>IF(OR($D89="",AO$5="",'상세일정'!AM89="제외"),"",IF($D89=$E89,IF(AND($D89&gt;=AO$5,$D89&lt;AO$5+7),"◆",""),IF(AND($D89&lt;AO$5+7,$E89&gt;AO$5),"■","")))</x:f>
      </x:c>
      <x:c r="AP89" s="7" t="str">
        <x:f>IF(OR($D89="",AP$5="",'상세일정'!AM89="제외"),"",IF($D89=$E89,IF(AND($D89&gt;=AP$5,$D89&lt;AP$5+7),"◆",""),IF(AND($D89&lt;AP$5+7,$E89&gt;AP$5),"■","")))</x:f>
      </x:c>
      <x:c r="AQ89" s="7" t="str">
        <x:f>IF(OR($D89="",AQ$5="",'상세일정'!AM89="제외"),"",IF($D89=$E89,IF(AND($D89&gt;=AQ$5,$D89&lt;AQ$5+7),"◆",""),IF(AND($D89&lt;AQ$5+7,$E89&gt;AQ$5),"■","")))</x:f>
      </x:c>
      <x:c r="AR89" s="7" t="str">
        <x:f>IF(OR($D89="",AR$5="",'상세일정'!AM89="제외"),"",IF($D89=$E89,IF(AND($D89&gt;=AR$5,$D89&lt;AR$5+7),"◆",""),IF(AND($D89&lt;AR$5+7,$E89&gt;AR$5),"■","")))</x:f>
      </x:c>
      <x:c r="AS89" s="7" t="str">
        <x:f>IF(OR($D89="",AS$5="",'상세일정'!AM89="제외"),"",IF($D89=$E89,IF(AND($D89&gt;=AS$5,$D89&lt;AS$5+7),"◆",""),IF(AND($D89&lt;AS$5+7,$E89&gt;AS$5),"■","")))</x:f>
      </x:c>
      <x:c r="AT89" s="7" t="str">
        <x:f>IF(OR($D89="",AT$5="",'상세일정'!AM89="제외"),"",IF($D89=$E89,IF(AND($D89&gt;=AT$5,$D89&lt;AT$5+7),"◆",""),IF(AND($D89&lt;AT$5+7,$E89&gt;AT$5),"■","")))</x:f>
      </x:c>
      <x:c r="AU89" s="7" t="str">
        <x:f>IF(OR($D89="",AU$5="",'상세일정'!AM89="제외"),"",IF($D89=$E89,IF(AND($D89&gt;=AU$5,$D89&lt;AU$5+7),"◆",""),IF(AND($D89&lt;AU$5+7,$E89&gt;AU$5),"■","")))</x:f>
      </x:c>
      <x:c r="AV89" s="7" t="str">
        <x:f>IF(OR($D89="",AV$5="",'상세일정'!AM89="제외"),"",IF($D89=$E89,IF(AND($D89&gt;=AV$5,$D89&lt;AV$5+7),"◆",""),IF(AND($D89&lt;AV$5+7,$E89&gt;AV$5),"■","")))</x:f>
      </x:c>
      <x:c r="AW89" s="7" t="str">
        <x:f>IF(OR($D89="",AW$5="",'상세일정'!AM89="제외"),"",IF($D89=$E89,IF(AND($D89&gt;=AW$5,$D89&lt;AW$5+7),"◆",""),IF(AND($D89&lt;AW$5+7,$E89&gt;AW$5),"■","")))</x:f>
      </x:c>
      <x:c r="AX89" s="7" t="str">
        <x:f>IF(OR($D89="",AX$5="",'상세일정'!AM89="제외"),"",IF($D89=$E89,IF(AND($D89&gt;=AX$5,$D89&lt;AX$5+7),"◆",""),IF(AND($D89&lt;AX$5+7,$E89&gt;AX$5),"■","")))</x:f>
      </x:c>
      <x:c r="AY89" s="7" t="str">
        <x:f>IF(OR($D89="",AY$5="",'상세일정'!AM89="제외"),"",IF($D89=$E89,IF(AND($D89&gt;=AY$5,$D89&lt;AY$5+7),"◆",""),IF(AND($D89&lt;AY$5+7,$E89&gt;AY$5),"■","")))</x:f>
      </x:c>
      <x:c r="AZ89" s="7" t="str">
        <x:f>IF(OR($D89="",AZ$5="",'상세일정'!AM89="제외"),"",IF($D89=$E89,IF(AND($D89&gt;=AZ$5,$D89&lt;AZ$5+7),"◆",""),IF(AND($D89&lt;AZ$5+7,$E89&gt;AZ$5),"■","")))</x:f>
      </x:c>
      <x:c r="BA89" s="7" t="str">
        <x:f>IF(OR($D89="",BA$5="",'상세일정'!AM89="제외"),"",IF($D89=$E89,IF(AND($D89&gt;=BA$5,$D89&lt;BA$5+7),"◆",""),IF(AND($D89&lt;BA$5+7,$E89&gt;BA$5),"■","")))</x:f>
      </x:c>
      <x:c r="BB89" s="7" t="str">
        <x:f>IF(OR($D89="",BB$5="",'상세일정'!AM89="제외"),"",IF($D89=$E89,IF(AND($D89&gt;=BB$5,$D89&lt;BB$5+7),"◆",""),IF(AND($D89&lt;BB$5+7,$E89&gt;BB$5),"■","")))</x:f>
      </x:c>
      <x:c r="BC89" s="7" t="str">
        <x:f>IF(OR($D89="",BC$5="",'상세일정'!AM89="제외"),"",IF($D89=$E89,IF(AND($D89&gt;=BC$5,$D89&lt;BC$5+7),"◆",""),IF(AND($D89&lt;BC$5+7,$E89&gt;BC$5),"■","")))</x:f>
      </x:c>
      <x:c r="BD89" s="7" t="str">
        <x:f>IF(OR($D89="",BD$5="",'상세일정'!AM89="제외"),"",IF($D89=$E89,IF(AND($D89&gt;=BD$5,$D89&lt;BD$5+7),"◆",""),IF(AND($D89&lt;BD$5+7,$E89&gt;BD$5),"■","")))</x:f>
      </x:c>
      <x:c r="BE89" s="7" t="str">
        <x:f>IF(OR($D89="",BE$5="",'상세일정'!AM89="제외"),"",IF($D89=$E89,IF(AND($D89&gt;=BE$5,$D89&lt;BE$5+7),"◆",""),IF(AND($D89&lt;BE$5+7,$E89&gt;BE$5),"■","")))</x:f>
      </x:c>
      <x:c r="BF89" s="7" t="str">
        <x:f>IF(OR($D89="",BF$5="",'상세일정'!AM89="제외"),"",IF($D89=$E89,IF(AND($D89&gt;=BF$5,$D89&lt;BF$5+7),"◆",""),IF(AND($D89&lt;BF$5+7,$E89&gt;BF$5),"■","")))</x:f>
      </x:c>
      <x:c r="BG89" s="7" t="str">
        <x:f>IF(OR($D89="",BG$5="",'상세일정'!AM89="제외"),"",IF($D89=$E89,IF(AND($D89&gt;=BG$5,$D89&lt;BG$5+7),"◆",""),IF(AND($D89&lt;BG$5+7,$E89&gt;BG$5),"■","")))</x:f>
      </x:c>
      <x:c r="BH89" s="7" t="str">
        <x:f>IF(OR($D89="",BH$5="",'상세일정'!AM89="제외"),"",IF($D89=$E89,IF(AND($D89&gt;=BH$5,$D89&lt;BH$5+7),"◆",""),IF(AND($D89&lt;BH$5+7,$E89&gt;BH$5),"■","")))</x:f>
      </x:c>
      <x:c r="BI89" s="7" t="str">
        <x:f>IF(OR($D89="",BI$5="",'상세일정'!AM89="제외"),"",IF($D89=$E89,IF(AND($D89&gt;=BI$5,$D89&lt;BI$5+7),"◆",""),IF(AND($D89&lt;BI$5+7,$E89&gt;BI$5),"■","")))</x:f>
      </x:c>
      <x:c r="BJ89" s="7" t="str">
        <x:f>IF(OR($D89="",BJ$5="",'상세일정'!AM89="제외"),"",IF($D89=$E89,IF(AND($D89&gt;=BJ$5,$D89&lt;BJ$5+7),"◆",""),IF(AND($D89&lt;BJ$5+7,$E89&gt;BJ$5),"■","")))</x:f>
      </x:c>
      <x:c r="BK89" s="7" t="str">
        <x:f>IF(OR($D89="",BK$5="",'상세일정'!AM89="제외"),"",IF($D89=$E89,IF(AND($D89&gt;=BK$5,$D89&lt;BK$5+7),"◆",""),IF(AND($D89&lt;BK$5+7,$E89&gt;BK$5),"■","")))</x:f>
      </x:c>
      <x:c r="BL89" s="7" t="str">
        <x:f>IF(OR($D89="",BL$5="",'상세일정'!AM89="제외"),"",IF($D89=$E89,IF(AND($D89&gt;=BL$5,$D89&lt;BL$5+7),"◆",""),IF(AND($D89&lt;BL$5+7,$E89&gt;BL$5),"■","")))</x:f>
      </x:c>
      <x:c r="BM89" s="7" t="str">
        <x:f>IF(OR($D89="",BM$5="",'상세일정'!AM89="제외"),"",IF($D89=$E89,IF(AND($D89&gt;=BM$5,$D89&lt;BM$5+7),"◆",""),IF(AND($D89&lt;BM$5+7,$E89&gt;BM$5),"■","")))</x:f>
      </x:c>
      <x:c r="BN89" s="7" t="str">
        <x:f>IF(OR($D89="",BN$5="",'상세일정'!AM89="제외"),"",IF($D89=$E89,IF(AND($D89&gt;=BN$5,$D89&lt;BN$5+7),"◆",""),IF(AND($D89&lt;BN$5+7,$E89&gt;BN$5),"■","")))</x:f>
      </x:c>
      <x:c r="BO89" s="7" t="str">
        <x:f>IF(OR($D89="",BO$5="",'상세일정'!AM89="제외"),"",IF($D89=$E89,IF(AND($D89&gt;=BO$5,$D89&lt;BO$5+7),"◆",""),IF(AND($D89&lt;BO$5+7,$E89&gt;BO$5),"■","")))</x:f>
      </x:c>
      <x:c r="BP89" s="7" t="str">
        <x:f>IF(OR($D89="",BP$5="",'상세일정'!AM89="제외"),"",IF($D89=$E89,IF(AND($D89&gt;=BP$5,$D89&lt;BP$5+7),"◆",""),IF(AND($D89&lt;BP$5+7,$E89&gt;BP$5),"■","")))</x:f>
      </x:c>
      <x:c r="BQ89" s="7" t="str">
        <x:f>IF(OR($D89="",BQ$5="",'상세일정'!AM89="제외"),"",IF($D89=$E89,IF(AND($D89&gt;=BQ$5,$D89&lt;BQ$5+7),"◆",""),IF(AND($D89&lt;BQ$5+7,$E89&gt;BQ$5),"■","")))</x:f>
      </x:c>
      <x:c r="BR89" s="7" t="str">
        <x:f>IF(OR($D89="",BR$5="",'상세일정'!AM89="제외"),"",IF($D89=$E89,IF(AND($D89&gt;=BR$5,$D89&lt;BR$5+7),"◆",""),IF(AND($D89&lt;BR$5+7,$E89&gt;BR$5),"■","")))</x:f>
      </x:c>
      <x:c r="BS89" s="7" t="str">
        <x:f>IF(OR($D89="",BS$5="",'상세일정'!AM89="제외"),"",IF($D89=$E89,IF(AND($D89&gt;=BS$5,$D89&lt;BS$5+7),"◆",""),IF(AND($D89&lt;BS$5+7,$E89&gt;BS$5),"■","")))</x:f>
      </x:c>
      <x:c r="BT89" s="7" t="str">
        <x:f>IF(OR($D89="",BT$5="",'상세일정'!AM89="제외"),"",IF($D89=$E89,IF(AND($D89&gt;=BT$5,$D89&lt;BT$5+7),"◆",""),IF(AND($D89&lt;BT$5+7,$E89&gt;BT$5),"■","")))</x:f>
      </x:c>
      <x:c r="BU89" s="7" t="str">
        <x:f>IF(OR($D89="",BU$5="",'상세일정'!AM89="제외"),"",IF($D89=$E89,IF(AND($D89&gt;=BU$5,$D89&lt;BU$5+7),"◆",""),IF(AND($D89&lt;BU$5+7,$E89&gt;BU$5),"■","")))</x:f>
      </x:c>
      <x:c r="BV89" s="7" t="str">
        <x:f>IF(OR($D89="",BV$5="",'상세일정'!AM89="제외"),"",IF($D89=$E89,IF(AND($D89&gt;=BV$5,$D89&lt;BV$5+7),"◆",""),IF(AND($D89&lt;BV$5+7,$E89&gt;BV$5),"■","")))</x:f>
      </x:c>
      <x:c r="BW89" s="7" t="str">
        <x:f>IF(OR($D89="",BW$5="",'상세일정'!AM89="제외"),"",IF($D89=$E89,IF(AND($D89&gt;=BW$5,$D89&lt;BW$5+7),"◆",""),IF(AND($D89&lt;BW$5+7,$E89&gt;BW$5),"■","")))</x:f>
      </x:c>
      <x:c r="BX89" s="7" t="str">
        <x:f>IF(OR($D89="",BX$5="",'상세일정'!AM89="제외"),"",IF($D89=$E89,IF(AND($D89&gt;=BX$5,$D89&lt;BX$5+7),"◆",""),IF(AND($D89&lt;BX$5+7,$E89&gt;BX$5),"■","")))</x:f>
      </x:c>
      <x:c r="BY89" s="7" t="str">
        <x:f>IF(OR($D89="",BY$5="",'상세일정'!AM89="제외"),"",IF($D89=$E89,IF(AND($D89&gt;=BY$5,$D89&lt;BY$5+7),"◆",""),IF(AND($D89&lt;BY$5+7,$E89&gt;BY$5),"■","")))</x:f>
      </x:c>
      <x:c r="BZ89" s="7" t="str">
        <x:f>IF(OR($D89="",BZ$5="",'상세일정'!AM89="제외"),"",IF($D89=$E89,IF(AND($D89&gt;=BZ$5,$D89&lt;BZ$5+7),"◆",""),IF(AND($D89&lt;BZ$5+7,$E89&gt;BZ$5),"■","")))</x:f>
      </x:c>
      <x:c r="CA89" s="7" t="str">
        <x:f>IF(OR($D89="",CA$5="",'상세일정'!AM89="제외"),"",IF($D89=$E89,IF(AND($D89&gt;=CA$5,$D89&lt;CA$5+7),"◆",""),IF(AND($D89&lt;CA$5+7,$E89&gt;CA$5),"■","")))</x:f>
      </x:c>
      <x:c r="CB89" s="7" t="str">
        <x:f>IF(OR($D89="",CB$5="",'상세일정'!AM89="제외"),"",IF($D89=$E89,IF(AND($D89&gt;=CB$5,$D89&lt;CB$5+7),"◆",""),IF(AND($D89&lt;CB$5+7,$E89&gt;CB$5),"■","")))</x:f>
      </x:c>
      <x:c r="CC89" s="7" t="str">
        <x:f>IF(OR($D89="",CC$5="",'상세일정'!AM89="제외"),"",IF($D89=$E89,IF(AND($D89&gt;=CC$5,$D89&lt;CC$5+7),"◆",""),IF(AND($D89&lt;CC$5+7,$E89&gt;CC$5),"■","")))</x:f>
      </x:c>
      <x:c r="CD89" s="7" t="str">
        <x:f>IF(OR($D89="",CD$5="",'상세일정'!AM89="제외"),"",IF($D89=$E89,IF(AND($D89&gt;=CD$5,$D89&lt;CD$5+7),"◆",""),IF(AND($D89&lt;CD$5+7,$E89&gt;CD$5),"■","")))</x:f>
      </x:c>
      <x:c r="CE89" s="7" t="str">
        <x:f>IF(OR($D89="",CE$5="",'상세일정'!AM89="제외"),"",IF($D89=$E89,IF(AND($D89&gt;=CE$5,$D89&lt;CE$5+7),"◆",""),IF(AND($D89&lt;CE$5+7,$E89&gt;CE$5),"■","")))</x:f>
      </x:c>
      <x:c r="CF89" s="7" t="str">
        <x:f>IF(OR($D89="",CF$5="",'상세일정'!AM89="제외"),"",IF($D89=$E89,IF(AND($D89&gt;=CF$5,$D89&lt;CF$5+7),"◆",""),IF(AND($D89&lt;CF$5+7,$E89&gt;CF$5),"■","")))</x:f>
      </x:c>
      <x:c r="CG89" s="7" t="str">
        <x:f>IF(OR($D89="",CG$5="",'상세일정'!AM89="제외"),"",IF($D89=$E89,IF(AND($D89&gt;=CG$5,$D89&lt;CG$5+7),"◆",""),IF(AND($D89&lt;CG$5+7,$E89&gt;CG$5),"■","")))</x:f>
      </x:c>
      <x:c r="CH89" s="7" t="str">
        <x:f>IF(OR($D89="",CH$5="",'상세일정'!AM89="제외"),"",IF($D89=$E89,IF(AND($D89&gt;=CH$5,$D89&lt;CH$5+7),"◆",""),IF(AND($D89&lt;CH$5+7,$E89&gt;CH$5),"■","")))</x:f>
      </x:c>
      <x:c r="CI89" s="7" t="str">
        <x:f>IF(OR($D89="",CI$5="",'상세일정'!AM89="제외"),"",IF($D89=$E89,IF(AND($D89&gt;=CI$5,$D89&lt;CI$5+7),"◆",""),IF(AND($D89&lt;CI$5+7,$E89&gt;CI$5),"■","")))</x:f>
      </x:c>
      <x:c r="CJ89" s="7" t="str">
        <x:f>IF(OR($D89="",CJ$5="",'상세일정'!AM89="제외"),"",IF($D89=$E89,IF(AND($D89&gt;=CJ$5,$D89&lt;CJ$5+7),"◆",""),IF(AND($D89&lt;CJ$5+7,$E89&gt;CJ$5),"■","")))</x:f>
      </x:c>
      <x:c r="CK89" s="7" t="str">
        <x:f>IF(OR($D89="",CK$5="",'상세일정'!AM89="제외"),"",IF($D89=$E89,IF(AND($D89&gt;=CK$5,$D89&lt;CK$5+7),"◆",""),IF(AND($D89&lt;CK$5+7,$E89&gt;CK$5),"■","")))</x:f>
      </x:c>
      <x:c r="CL89" s="7" t="str">
        <x:f>IF(OR($D89="",CL$5="",'상세일정'!AM89="제외"),"",IF($D89=$E89,IF(AND($D89&gt;=CL$5,$D89&lt;CL$5+7),"◆",""),IF(AND($D89&lt;CL$5+7,$E89&gt;CL$5),"■","")))</x:f>
      </x:c>
      <x:c r="CM89" s="7" t="str">
        <x:f>IF(OR($D89="",CM$5="",'상세일정'!AM89="제외"),"",IF($D89=$E89,IF(AND($D89&gt;=CM$5,$D89&lt;CM$5+7),"◆",""),IF(AND($D89&lt;CM$5+7,$E89&gt;CM$5),"■","")))</x:f>
      </x:c>
      <x:c r="CN89" s="7" t="str">
        <x:f>IF(OR($D89="",CN$5="",'상세일정'!AM89="제외"),"",IF($D89=$E89,IF(AND($D89&gt;=CN$5,$D89&lt;CN$5+7),"◆",""),IF(AND($D89&lt;CN$5+7,$E89&gt;CN$5),"■","")))</x:f>
      </x:c>
      <x:c r="CO89" s="7" t="str">
        <x:f>IF(OR($D89="",CO$5="",'상세일정'!AM89="제외"),"",IF($D89=$E89,IF(AND($D89&gt;=CO$5,$D89&lt;CO$5+7),"◆",""),IF(AND($D89&lt;CO$5+7,$E89&gt;CO$5),"■","")))</x:f>
      </x:c>
      <x:c r="CP89" s="7" t="str">
        <x:f>IF(OR($D89="",CP$5="",'상세일정'!AM89="제외"),"",IF($D89=$E89,IF(AND($D89&gt;=CP$5,$D89&lt;CP$5+7),"◆",""),IF(AND($D89&lt;CP$5+7,$E89&gt;CP$5),"■","")))</x:f>
      </x:c>
      <x:c r="CQ89" s="7" t="str">
        <x:f>IF(OR($D89="",CQ$5="",'상세일정'!AM89="제외"),"",IF($D89=$E89,IF(AND($D89&gt;=CQ$5,$D89&lt;CQ$5+7),"◆",""),IF(AND($D89&lt;CQ$5+7,$E89&gt;CQ$5),"■","")))</x:f>
      </x:c>
      <x:c r="CR89" s="7" t="str">
        <x:f>IF(OR($D89="",CR$5="",'상세일정'!AM89="제외"),"",IF($D89=$E89,IF(AND($D89&gt;=CR$5,$D89&lt;CR$5+7),"◆",""),IF(AND($D89&lt;CR$5+7,$E89&gt;CR$5),"■","")))</x:f>
      </x:c>
      <x:c r="CS89" s="7" t="str">
        <x:f>IF(OR($D89="",CS$5="",'상세일정'!AM89="제외"),"",IF($D89=$E89,IF(AND($D89&gt;=CS$5,$D89&lt;CS$5+7),"◆",""),IF(AND($D89&lt;CS$5+7,$E89&gt;CS$5),"■","")))</x:f>
      </x:c>
      <x:c r="CT89" s="7" t="str">
        <x:f>IF(OR($D89="",CT$5="",'상세일정'!AM89="제외"),"",IF($D89=$E89,IF(AND($D89&gt;=CT$5,$D89&lt;CT$5+7),"◆",""),IF(AND($D89&lt;CT$5+7,$E89&gt;CT$5),"■","")))</x:f>
      </x:c>
      <x:c r="CU89" s="7" t="str">
        <x:f>IF(OR($D89="",CU$5="",'상세일정'!AM89="제외"),"",IF($D89=$E89,IF(AND($D89&gt;=CU$5,$D89&lt;CU$5+7),"◆",""),IF(AND($D89&lt;CU$5+7,$E89&gt;CU$5),"■","")))</x:f>
      </x:c>
      <x:c r="CV89" s="7" t="str">
        <x:f>IF(OR($D89="",CV$5="",'상세일정'!AM89="제외"),"",IF($D89=$E89,IF(AND($D89&gt;=CV$5,$D89&lt;CV$5+7),"◆",""),IF(AND($D89&lt;CV$5+7,$E89&gt;CV$5),"■","")))</x:f>
      </x:c>
      <x:c r="CW89" s="7" t="str">
        <x:f>IF(OR($D89="",CW$5="",'상세일정'!AM89="제외"),"",IF($D89=$E89,IF(AND($D89&gt;=CW$5,$D89&lt;CW$5+7),"◆",""),IF(AND($D89&lt;CW$5+7,$E89&gt;CW$5),"■","")))</x:f>
      </x:c>
      <x:c r="CX89" s="7" t="str">
        <x:f>IF(OR($D89="",CX$5="",'상세일정'!AM89="제외"),"",IF($D89=$E89,IF(AND($D89&gt;=CX$5,$D89&lt;CX$5+7),"◆",""),IF(AND($D89&lt;CX$5+7,$E89&gt;CX$5),"■","")))</x:f>
      </x:c>
      <x:c r="CY89" s="7" t="str">
        <x:f>IF(OR($D89="",CY$5="",'상세일정'!AM89="제외"),"",IF($D89=$E89,IF(AND($D89&gt;=CY$5,$D89&lt;CY$5+7),"◆",""),IF(AND($D89&lt;CY$5+7,$E89&gt;CY$5),"■","")))</x:f>
      </x:c>
      <x:c r="CZ89" s="7" t="str">
        <x:f>IF(OR($D89="",CZ$5="",'상세일정'!AM89="제외"),"",IF($D89=$E89,IF(AND($D89&gt;=CZ$5,$D89&lt;CZ$5+7),"◆",""),IF(AND($D89&lt;CZ$5+7,$E89&gt;CZ$5),"■","")))</x:f>
      </x:c>
      <x:c r="DA89" s="7" t="str">
        <x:f>IF(OR($D89="",DA$5="",'상세일정'!AM89="제외"),"",IF($D89=$E89,IF(AND($D89&gt;=DA$5,$D89&lt;DA$5+7),"◆",""),IF(AND($D89&lt;DA$5+7,$E89&gt;DA$5),"■","")))</x:f>
      </x:c>
      <x:c r="DB89" s="7" t="str">
        <x:f>IF(OR($D89="",DB$5="",'상세일정'!AM89="제외"),"",IF($D89=$E89,IF(AND($D89&gt;=DB$5,$D89&lt;DB$5+7),"◆",""),IF(AND($D89&lt;DB$5+7,$E89&gt;DB$5),"■","")))</x:f>
      </x:c>
      <x:c r="DC89" s="7" t="str">
        <x:f>IF(OR($D89="",DC$5="",'상세일정'!AM89="제외"),"",IF($D89=$E89,IF(AND($D89&gt;=DC$5,$D89&lt;DC$5+7),"◆",""),IF(AND($D89&lt;DC$5+7,$E89&gt;DC$5),"■","")))</x:f>
      </x:c>
      <x:c r="DD89" s="7" t="str">
        <x:f>IF(OR($D89="",DD$5="",'상세일정'!AM89="제외"),"",IF($D89=$E89,IF(AND($D89&gt;=DD$5,$D89&lt;DD$5+7),"◆",""),IF(AND($D89&lt;DD$5+7,$E89&gt;DD$5),"■","")))</x:f>
      </x:c>
      <x:c r="DE89" s="7" t="str">
        <x:f>IF(OR($D89="",DE$5="",'상세일정'!AM89="제외"),"",IF($D89=$E89,IF(AND($D89&gt;=DE$5,$D89&lt;DE$5+7),"◆",""),IF(AND($D89&lt;DE$5+7,$E89&gt;DE$5),"■","")))</x:f>
      </x:c>
    </x:row>
    <x:row r="90" ht="34" customHeight="1">
      <x:c r="A90" s="7" t="str">
        <x:v>SH06</x:v>
      </x:c>
      <x:c r="B90" s="7" t="str">
        <x:v>13 유해위험방지계획</x:v>
      </x:c>
      <x:c r="C90" s="7" t="str">
        <x:v>보완도서 작성 및 재심사</x:v>
      </x:c>
      <x:c r="D90" s="10" t="str">
        <x:f>'상세일정'!AJ90</x:f>
      </x:c>
      <x:c r="E90" s="10" t="str">
        <x:f>'상세일정'!AK90</x:f>
      </x:c>
      <x:c r="F90" s="7" t="str">
        <x:f>IF(OR($D90="",F$5="",'상세일정'!AM90="제외"),"",IF($D90=$E90,IF(AND($D90&gt;=F$5,$D90&lt;F$5+7),"◆",""),IF(AND($D90&lt;F$5+7,$E90&gt;F$5),"■","")))</x:f>
      </x:c>
      <x:c r="G90" s="7" t="str">
        <x:f>IF(OR($D90="",G$5="",'상세일정'!AM90="제외"),"",IF($D90=$E90,IF(AND($D90&gt;=G$5,$D90&lt;G$5+7),"◆",""),IF(AND($D90&lt;G$5+7,$E90&gt;G$5),"■","")))</x:f>
      </x:c>
      <x:c r="H90" s="7" t="str">
        <x:f>IF(OR($D90="",H$5="",'상세일정'!AM90="제외"),"",IF($D90=$E90,IF(AND($D90&gt;=H$5,$D90&lt;H$5+7),"◆",""),IF(AND($D90&lt;H$5+7,$E90&gt;H$5),"■","")))</x:f>
      </x:c>
      <x:c r="I90" s="7" t="str">
        <x:f>IF(OR($D90="",I$5="",'상세일정'!AM90="제외"),"",IF($D90=$E90,IF(AND($D90&gt;=I$5,$D90&lt;I$5+7),"◆",""),IF(AND($D90&lt;I$5+7,$E90&gt;I$5),"■","")))</x:f>
      </x:c>
      <x:c r="J90" s="7" t="str">
        <x:f>IF(OR($D90="",J$5="",'상세일정'!AM90="제외"),"",IF($D90=$E90,IF(AND($D90&gt;=J$5,$D90&lt;J$5+7),"◆",""),IF(AND($D90&lt;J$5+7,$E90&gt;J$5),"■","")))</x:f>
      </x:c>
      <x:c r="K90" s="7" t="str">
        <x:f>IF(OR($D90="",K$5="",'상세일정'!AM90="제외"),"",IF($D90=$E90,IF(AND($D90&gt;=K$5,$D90&lt;K$5+7),"◆",""),IF(AND($D90&lt;K$5+7,$E90&gt;K$5),"■","")))</x:f>
      </x:c>
      <x:c r="L90" s="7" t="str">
        <x:f>IF(OR($D90="",L$5="",'상세일정'!AM90="제외"),"",IF($D90=$E90,IF(AND($D90&gt;=L$5,$D90&lt;L$5+7),"◆",""),IF(AND($D90&lt;L$5+7,$E90&gt;L$5),"■","")))</x:f>
      </x:c>
      <x:c r="M90" s="7" t="str">
        <x:f>IF(OR($D90="",M$5="",'상세일정'!AM90="제외"),"",IF($D90=$E90,IF(AND($D90&gt;=M$5,$D90&lt;M$5+7),"◆",""),IF(AND($D90&lt;M$5+7,$E90&gt;M$5),"■","")))</x:f>
      </x:c>
      <x:c r="N90" s="7" t="str">
        <x:f>IF(OR($D90="",N$5="",'상세일정'!AM90="제외"),"",IF($D90=$E90,IF(AND($D90&gt;=N$5,$D90&lt;N$5+7),"◆",""),IF(AND($D90&lt;N$5+7,$E90&gt;N$5),"■","")))</x:f>
      </x:c>
      <x:c r="O90" s="7" t="str">
        <x:f>IF(OR($D90="",O$5="",'상세일정'!AM90="제외"),"",IF($D90=$E90,IF(AND($D90&gt;=O$5,$D90&lt;O$5+7),"◆",""),IF(AND($D90&lt;O$5+7,$E90&gt;O$5),"■","")))</x:f>
      </x:c>
      <x:c r="P90" s="7" t="str">
        <x:f>IF(OR($D90="",P$5="",'상세일정'!AM90="제외"),"",IF($D90=$E90,IF(AND($D90&gt;=P$5,$D90&lt;P$5+7),"◆",""),IF(AND($D90&lt;P$5+7,$E90&gt;P$5),"■","")))</x:f>
      </x:c>
      <x:c r="Q90" s="7" t="str">
        <x:f>IF(OR($D90="",Q$5="",'상세일정'!AM90="제외"),"",IF($D90=$E90,IF(AND($D90&gt;=Q$5,$D90&lt;Q$5+7),"◆",""),IF(AND($D90&lt;Q$5+7,$E90&gt;Q$5),"■","")))</x:f>
      </x:c>
      <x:c r="R90" s="7" t="str">
        <x:f>IF(OR($D90="",R$5="",'상세일정'!AM90="제외"),"",IF($D90=$E90,IF(AND($D90&gt;=R$5,$D90&lt;R$5+7),"◆",""),IF(AND($D90&lt;R$5+7,$E90&gt;R$5),"■","")))</x:f>
      </x:c>
      <x:c r="S90" s="7" t="str">
        <x:f>IF(OR($D90="",S$5="",'상세일정'!AM90="제외"),"",IF($D90=$E90,IF(AND($D90&gt;=S$5,$D90&lt;S$5+7),"◆",""),IF(AND($D90&lt;S$5+7,$E90&gt;S$5),"■","")))</x:f>
      </x:c>
      <x:c r="T90" s="7" t="str">
        <x:f>IF(OR($D90="",T$5="",'상세일정'!AM90="제외"),"",IF($D90=$E90,IF(AND($D90&gt;=T$5,$D90&lt;T$5+7),"◆",""),IF(AND($D90&lt;T$5+7,$E90&gt;T$5),"■","")))</x:f>
      </x:c>
      <x:c r="U90" s="7" t="str">
        <x:f>IF(OR($D90="",U$5="",'상세일정'!AM90="제외"),"",IF($D90=$E90,IF(AND($D90&gt;=U$5,$D90&lt;U$5+7),"◆",""),IF(AND($D90&lt;U$5+7,$E90&gt;U$5),"■","")))</x:f>
      </x:c>
      <x:c r="V90" s="7" t="str">
        <x:f>IF(OR($D90="",V$5="",'상세일정'!AM90="제외"),"",IF($D90=$E90,IF(AND($D90&gt;=V$5,$D90&lt;V$5+7),"◆",""),IF(AND($D90&lt;V$5+7,$E90&gt;V$5),"■","")))</x:f>
      </x:c>
      <x:c r="W90" s="7" t="str">
        <x:f>IF(OR($D90="",W$5="",'상세일정'!AM90="제외"),"",IF($D90=$E90,IF(AND($D90&gt;=W$5,$D90&lt;W$5+7),"◆",""),IF(AND($D90&lt;W$5+7,$E90&gt;W$5),"■","")))</x:f>
      </x:c>
      <x:c r="X90" s="7" t="str">
        <x:f>IF(OR($D90="",X$5="",'상세일정'!AM90="제외"),"",IF($D90=$E90,IF(AND($D90&gt;=X$5,$D90&lt;X$5+7),"◆",""),IF(AND($D90&lt;X$5+7,$E90&gt;X$5),"■","")))</x:f>
      </x:c>
      <x:c r="Y90" s="7" t="str">
        <x:f>IF(OR($D90="",Y$5="",'상세일정'!AM90="제외"),"",IF($D90=$E90,IF(AND($D90&gt;=Y$5,$D90&lt;Y$5+7),"◆",""),IF(AND($D90&lt;Y$5+7,$E90&gt;Y$5),"■","")))</x:f>
      </x:c>
      <x:c r="Z90" s="7" t="str">
        <x:f>IF(OR($D90="",Z$5="",'상세일정'!AM90="제외"),"",IF($D90=$E90,IF(AND($D90&gt;=Z$5,$D90&lt;Z$5+7),"◆",""),IF(AND($D90&lt;Z$5+7,$E90&gt;Z$5),"■","")))</x:f>
      </x:c>
      <x:c r="AA90" s="7" t="str">
        <x:f>IF(OR($D90="",AA$5="",'상세일정'!AM90="제외"),"",IF($D90=$E90,IF(AND($D90&gt;=AA$5,$D90&lt;AA$5+7),"◆",""),IF(AND($D90&lt;AA$5+7,$E90&gt;AA$5),"■","")))</x:f>
      </x:c>
      <x:c r="AB90" s="7" t="str">
        <x:f>IF(OR($D90="",AB$5="",'상세일정'!AM90="제외"),"",IF($D90=$E90,IF(AND($D90&gt;=AB$5,$D90&lt;AB$5+7),"◆",""),IF(AND($D90&lt;AB$5+7,$E90&gt;AB$5),"■","")))</x:f>
      </x:c>
      <x:c r="AC90" s="7" t="str">
        <x:f>IF(OR($D90="",AC$5="",'상세일정'!AM90="제외"),"",IF($D90=$E90,IF(AND($D90&gt;=AC$5,$D90&lt;AC$5+7),"◆",""),IF(AND($D90&lt;AC$5+7,$E90&gt;AC$5),"■","")))</x:f>
      </x:c>
      <x:c r="AD90" s="7" t="str">
        <x:f>IF(OR($D90="",AD$5="",'상세일정'!AM90="제외"),"",IF($D90=$E90,IF(AND($D90&gt;=AD$5,$D90&lt;AD$5+7),"◆",""),IF(AND($D90&lt;AD$5+7,$E90&gt;AD$5),"■","")))</x:f>
      </x:c>
      <x:c r="AE90" s="7" t="str">
        <x:f>IF(OR($D90="",AE$5="",'상세일정'!AM90="제외"),"",IF($D90=$E90,IF(AND($D90&gt;=AE$5,$D90&lt;AE$5+7),"◆",""),IF(AND($D90&lt;AE$5+7,$E90&gt;AE$5),"■","")))</x:f>
      </x:c>
      <x:c r="AF90" s="7" t="str">
        <x:f>IF(OR($D90="",AF$5="",'상세일정'!AM90="제외"),"",IF($D90=$E90,IF(AND($D90&gt;=AF$5,$D90&lt;AF$5+7),"◆",""),IF(AND($D90&lt;AF$5+7,$E90&gt;AF$5),"■","")))</x:f>
      </x:c>
      <x:c r="AG90" s="7" t="str">
        <x:f>IF(OR($D90="",AG$5="",'상세일정'!AM90="제외"),"",IF($D90=$E90,IF(AND($D90&gt;=AG$5,$D90&lt;AG$5+7),"◆",""),IF(AND($D90&lt;AG$5+7,$E90&gt;AG$5),"■","")))</x:f>
      </x:c>
      <x:c r="AH90" s="7" t="str">
        <x:f>IF(OR($D90="",AH$5="",'상세일정'!AM90="제외"),"",IF($D90=$E90,IF(AND($D90&gt;=AH$5,$D90&lt;AH$5+7),"◆",""),IF(AND($D90&lt;AH$5+7,$E90&gt;AH$5),"■","")))</x:f>
      </x:c>
      <x:c r="AI90" s="7" t="str">
        <x:f>IF(OR($D90="",AI$5="",'상세일정'!AM90="제외"),"",IF($D90=$E90,IF(AND($D90&gt;=AI$5,$D90&lt;AI$5+7),"◆",""),IF(AND($D90&lt;AI$5+7,$E90&gt;AI$5),"■","")))</x:f>
      </x:c>
      <x:c r="AJ90" s="7" t="str">
        <x:f>IF(OR($D90="",AJ$5="",'상세일정'!AM90="제외"),"",IF($D90=$E90,IF(AND($D90&gt;=AJ$5,$D90&lt;AJ$5+7),"◆",""),IF(AND($D90&lt;AJ$5+7,$E90&gt;AJ$5),"■","")))</x:f>
      </x:c>
      <x:c r="AK90" s="7" t="str">
        <x:f>IF(OR($D90="",AK$5="",'상세일정'!AM90="제외"),"",IF($D90=$E90,IF(AND($D90&gt;=AK$5,$D90&lt;AK$5+7),"◆",""),IF(AND($D90&lt;AK$5+7,$E90&gt;AK$5),"■","")))</x:f>
      </x:c>
      <x:c r="AL90" s="7" t="str">
        <x:f>IF(OR($D90="",AL$5="",'상세일정'!AM90="제외"),"",IF($D90=$E90,IF(AND($D90&gt;=AL$5,$D90&lt;AL$5+7),"◆",""),IF(AND($D90&lt;AL$5+7,$E90&gt;AL$5),"■","")))</x:f>
      </x:c>
      <x:c r="AM90" s="7" t="str">
        <x:f>IF(OR($D90="",AM$5="",'상세일정'!AM90="제외"),"",IF($D90=$E90,IF(AND($D90&gt;=AM$5,$D90&lt;AM$5+7),"◆",""),IF(AND($D90&lt;AM$5+7,$E90&gt;AM$5),"■","")))</x:f>
      </x:c>
      <x:c r="AN90" s="7" t="str">
        <x:f>IF(OR($D90="",AN$5="",'상세일정'!AM90="제외"),"",IF($D90=$E90,IF(AND($D90&gt;=AN$5,$D90&lt;AN$5+7),"◆",""),IF(AND($D90&lt;AN$5+7,$E90&gt;AN$5),"■","")))</x:f>
      </x:c>
      <x:c r="AO90" s="7" t="str">
        <x:f>IF(OR($D90="",AO$5="",'상세일정'!AM90="제외"),"",IF($D90=$E90,IF(AND($D90&gt;=AO$5,$D90&lt;AO$5+7),"◆",""),IF(AND($D90&lt;AO$5+7,$E90&gt;AO$5),"■","")))</x:f>
      </x:c>
      <x:c r="AP90" s="7" t="str">
        <x:f>IF(OR($D90="",AP$5="",'상세일정'!AM90="제외"),"",IF($D90=$E90,IF(AND($D90&gt;=AP$5,$D90&lt;AP$5+7),"◆",""),IF(AND($D90&lt;AP$5+7,$E90&gt;AP$5),"■","")))</x:f>
      </x:c>
      <x:c r="AQ90" s="7" t="str">
        <x:f>IF(OR($D90="",AQ$5="",'상세일정'!AM90="제외"),"",IF($D90=$E90,IF(AND($D90&gt;=AQ$5,$D90&lt;AQ$5+7),"◆",""),IF(AND($D90&lt;AQ$5+7,$E90&gt;AQ$5),"■","")))</x:f>
      </x:c>
      <x:c r="AR90" s="7" t="str">
        <x:f>IF(OR($D90="",AR$5="",'상세일정'!AM90="제외"),"",IF($D90=$E90,IF(AND($D90&gt;=AR$5,$D90&lt;AR$5+7),"◆",""),IF(AND($D90&lt;AR$5+7,$E90&gt;AR$5),"■","")))</x:f>
      </x:c>
      <x:c r="AS90" s="7" t="str">
        <x:f>IF(OR($D90="",AS$5="",'상세일정'!AM90="제외"),"",IF($D90=$E90,IF(AND($D90&gt;=AS$5,$D90&lt;AS$5+7),"◆",""),IF(AND($D90&lt;AS$5+7,$E90&gt;AS$5),"■","")))</x:f>
      </x:c>
      <x:c r="AT90" s="7" t="str">
        <x:f>IF(OR($D90="",AT$5="",'상세일정'!AM90="제외"),"",IF($D90=$E90,IF(AND($D90&gt;=AT$5,$D90&lt;AT$5+7),"◆",""),IF(AND($D90&lt;AT$5+7,$E90&gt;AT$5),"■","")))</x:f>
      </x:c>
      <x:c r="AU90" s="7" t="str">
        <x:f>IF(OR($D90="",AU$5="",'상세일정'!AM90="제외"),"",IF($D90=$E90,IF(AND($D90&gt;=AU$5,$D90&lt;AU$5+7),"◆",""),IF(AND($D90&lt;AU$5+7,$E90&gt;AU$5),"■","")))</x:f>
      </x:c>
      <x:c r="AV90" s="7" t="str">
        <x:f>IF(OR($D90="",AV$5="",'상세일정'!AM90="제외"),"",IF($D90=$E90,IF(AND($D90&gt;=AV$5,$D90&lt;AV$5+7),"◆",""),IF(AND($D90&lt;AV$5+7,$E90&gt;AV$5),"■","")))</x:f>
      </x:c>
      <x:c r="AW90" s="7" t="str">
        <x:f>IF(OR($D90="",AW$5="",'상세일정'!AM90="제외"),"",IF($D90=$E90,IF(AND($D90&gt;=AW$5,$D90&lt;AW$5+7),"◆",""),IF(AND($D90&lt;AW$5+7,$E90&gt;AW$5),"■","")))</x:f>
      </x:c>
      <x:c r="AX90" s="7" t="str">
        <x:f>IF(OR($D90="",AX$5="",'상세일정'!AM90="제외"),"",IF($D90=$E90,IF(AND($D90&gt;=AX$5,$D90&lt;AX$5+7),"◆",""),IF(AND($D90&lt;AX$5+7,$E90&gt;AX$5),"■","")))</x:f>
      </x:c>
      <x:c r="AY90" s="7" t="str">
        <x:f>IF(OR($D90="",AY$5="",'상세일정'!AM90="제외"),"",IF($D90=$E90,IF(AND($D90&gt;=AY$5,$D90&lt;AY$5+7),"◆",""),IF(AND($D90&lt;AY$5+7,$E90&gt;AY$5),"■","")))</x:f>
      </x:c>
      <x:c r="AZ90" s="7" t="str">
        <x:f>IF(OR($D90="",AZ$5="",'상세일정'!AM90="제외"),"",IF($D90=$E90,IF(AND($D90&gt;=AZ$5,$D90&lt;AZ$5+7),"◆",""),IF(AND($D90&lt;AZ$5+7,$E90&gt;AZ$5),"■","")))</x:f>
      </x:c>
      <x:c r="BA90" s="7" t="str">
        <x:f>IF(OR($D90="",BA$5="",'상세일정'!AM90="제외"),"",IF($D90=$E90,IF(AND($D90&gt;=BA$5,$D90&lt;BA$5+7),"◆",""),IF(AND($D90&lt;BA$5+7,$E90&gt;BA$5),"■","")))</x:f>
      </x:c>
      <x:c r="BB90" s="7" t="str">
        <x:f>IF(OR($D90="",BB$5="",'상세일정'!AM90="제외"),"",IF($D90=$E90,IF(AND($D90&gt;=BB$5,$D90&lt;BB$5+7),"◆",""),IF(AND($D90&lt;BB$5+7,$E90&gt;BB$5),"■","")))</x:f>
      </x:c>
      <x:c r="BC90" s="7" t="str">
        <x:f>IF(OR($D90="",BC$5="",'상세일정'!AM90="제외"),"",IF($D90=$E90,IF(AND($D90&gt;=BC$5,$D90&lt;BC$5+7),"◆",""),IF(AND($D90&lt;BC$5+7,$E90&gt;BC$5),"■","")))</x:f>
      </x:c>
      <x:c r="BD90" s="7" t="str">
        <x:f>IF(OR($D90="",BD$5="",'상세일정'!AM90="제외"),"",IF($D90=$E90,IF(AND($D90&gt;=BD$5,$D90&lt;BD$5+7),"◆",""),IF(AND($D90&lt;BD$5+7,$E90&gt;BD$5),"■","")))</x:f>
      </x:c>
      <x:c r="BE90" s="7" t="str">
        <x:f>IF(OR($D90="",BE$5="",'상세일정'!AM90="제외"),"",IF($D90=$E90,IF(AND($D90&gt;=BE$5,$D90&lt;BE$5+7),"◆",""),IF(AND($D90&lt;BE$5+7,$E90&gt;BE$5),"■","")))</x:f>
      </x:c>
      <x:c r="BF90" s="7" t="str">
        <x:f>IF(OR($D90="",BF$5="",'상세일정'!AM90="제외"),"",IF($D90=$E90,IF(AND($D90&gt;=BF$5,$D90&lt;BF$5+7),"◆",""),IF(AND($D90&lt;BF$5+7,$E90&gt;BF$5),"■","")))</x:f>
      </x:c>
      <x:c r="BG90" s="7" t="str">
        <x:f>IF(OR($D90="",BG$5="",'상세일정'!AM90="제외"),"",IF($D90=$E90,IF(AND($D90&gt;=BG$5,$D90&lt;BG$5+7),"◆",""),IF(AND($D90&lt;BG$5+7,$E90&gt;BG$5),"■","")))</x:f>
      </x:c>
      <x:c r="BH90" s="7" t="str">
        <x:f>IF(OR($D90="",BH$5="",'상세일정'!AM90="제외"),"",IF($D90=$E90,IF(AND($D90&gt;=BH$5,$D90&lt;BH$5+7),"◆",""),IF(AND($D90&lt;BH$5+7,$E90&gt;BH$5),"■","")))</x:f>
      </x:c>
      <x:c r="BI90" s="7" t="str">
        <x:f>IF(OR($D90="",BI$5="",'상세일정'!AM90="제외"),"",IF($D90=$E90,IF(AND($D90&gt;=BI$5,$D90&lt;BI$5+7),"◆",""),IF(AND($D90&lt;BI$5+7,$E90&gt;BI$5),"■","")))</x:f>
      </x:c>
      <x:c r="BJ90" s="7" t="str">
        <x:f>IF(OR($D90="",BJ$5="",'상세일정'!AM90="제외"),"",IF($D90=$E90,IF(AND($D90&gt;=BJ$5,$D90&lt;BJ$5+7),"◆",""),IF(AND($D90&lt;BJ$5+7,$E90&gt;BJ$5),"■","")))</x:f>
      </x:c>
      <x:c r="BK90" s="7" t="str">
        <x:f>IF(OR($D90="",BK$5="",'상세일정'!AM90="제외"),"",IF($D90=$E90,IF(AND($D90&gt;=BK$5,$D90&lt;BK$5+7),"◆",""),IF(AND($D90&lt;BK$5+7,$E90&gt;BK$5),"■","")))</x:f>
      </x:c>
      <x:c r="BL90" s="7" t="str">
        <x:f>IF(OR($D90="",BL$5="",'상세일정'!AM90="제외"),"",IF($D90=$E90,IF(AND($D90&gt;=BL$5,$D90&lt;BL$5+7),"◆",""),IF(AND($D90&lt;BL$5+7,$E90&gt;BL$5),"■","")))</x:f>
      </x:c>
      <x:c r="BM90" s="7" t="str">
        <x:f>IF(OR($D90="",BM$5="",'상세일정'!AM90="제외"),"",IF($D90=$E90,IF(AND($D90&gt;=BM$5,$D90&lt;BM$5+7),"◆",""),IF(AND($D90&lt;BM$5+7,$E90&gt;BM$5),"■","")))</x:f>
      </x:c>
      <x:c r="BN90" s="7" t="str">
        <x:f>IF(OR($D90="",BN$5="",'상세일정'!AM90="제외"),"",IF($D90=$E90,IF(AND($D90&gt;=BN$5,$D90&lt;BN$5+7),"◆",""),IF(AND($D90&lt;BN$5+7,$E90&gt;BN$5),"■","")))</x:f>
      </x:c>
      <x:c r="BO90" s="7" t="str">
        <x:f>IF(OR($D90="",BO$5="",'상세일정'!AM90="제외"),"",IF($D90=$E90,IF(AND($D90&gt;=BO$5,$D90&lt;BO$5+7),"◆",""),IF(AND($D90&lt;BO$5+7,$E90&gt;BO$5),"■","")))</x:f>
      </x:c>
      <x:c r="BP90" s="7" t="str">
        <x:f>IF(OR($D90="",BP$5="",'상세일정'!AM90="제외"),"",IF($D90=$E90,IF(AND($D90&gt;=BP$5,$D90&lt;BP$5+7),"◆",""),IF(AND($D90&lt;BP$5+7,$E90&gt;BP$5),"■","")))</x:f>
      </x:c>
      <x:c r="BQ90" s="7" t="str">
        <x:f>IF(OR($D90="",BQ$5="",'상세일정'!AM90="제외"),"",IF($D90=$E90,IF(AND($D90&gt;=BQ$5,$D90&lt;BQ$5+7),"◆",""),IF(AND($D90&lt;BQ$5+7,$E90&gt;BQ$5),"■","")))</x:f>
      </x:c>
      <x:c r="BR90" s="7" t="str">
        <x:f>IF(OR($D90="",BR$5="",'상세일정'!AM90="제외"),"",IF($D90=$E90,IF(AND($D90&gt;=BR$5,$D90&lt;BR$5+7),"◆",""),IF(AND($D90&lt;BR$5+7,$E90&gt;BR$5),"■","")))</x:f>
      </x:c>
      <x:c r="BS90" s="7" t="str">
        <x:f>IF(OR($D90="",BS$5="",'상세일정'!AM90="제외"),"",IF($D90=$E90,IF(AND($D90&gt;=BS$5,$D90&lt;BS$5+7),"◆",""),IF(AND($D90&lt;BS$5+7,$E90&gt;BS$5),"■","")))</x:f>
      </x:c>
      <x:c r="BT90" s="7" t="str">
        <x:f>IF(OR($D90="",BT$5="",'상세일정'!AM90="제외"),"",IF($D90=$E90,IF(AND($D90&gt;=BT$5,$D90&lt;BT$5+7),"◆",""),IF(AND($D90&lt;BT$5+7,$E90&gt;BT$5),"■","")))</x:f>
      </x:c>
      <x:c r="BU90" s="7" t="str">
        <x:f>IF(OR($D90="",BU$5="",'상세일정'!AM90="제외"),"",IF($D90=$E90,IF(AND($D90&gt;=BU$5,$D90&lt;BU$5+7),"◆",""),IF(AND($D90&lt;BU$5+7,$E90&gt;BU$5),"■","")))</x:f>
      </x:c>
      <x:c r="BV90" s="7" t="str">
        <x:f>IF(OR($D90="",BV$5="",'상세일정'!AM90="제외"),"",IF($D90=$E90,IF(AND($D90&gt;=BV$5,$D90&lt;BV$5+7),"◆",""),IF(AND($D90&lt;BV$5+7,$E90&gt;BV$5),"■","")))</x:f>
      </x:c>
      <x:c r="BW90" s="7" t="str">
        <x:f>IF(OR($D90="",BW$5="",'상세일정'!AM90="제외"),"",IF($D90=$E90,IF(AND($D90&gt;=BW$5,$D90&lt;BW$5+7),"◆",""),IF(AND($D90&lt;BW$5+7,$E90&gt;BW$5),"■","")))</x:f>
      </x:c>
      <x:c r="BX90" s="7" t="str">
        <x:f>IF(OR($D90="",BX$5="",'상세일정'!AM90="제외"),"",IF($D90=$E90,IF(AND($D90&gt;=BX$5,$D90&lt;BX$5+7),"◆",""),IF(AND($D90&lt;BX$5+7,$E90&gt;BX$5),"■","")))</x:f>
      </x:c>
      <x:c r="BY90" s="7" t="str">
        <x:f>IF(OR($D90="",BY$5="",'상세일정'!AM90="제외"),"",IF($D90=$E90,IF(AND($D90&gt;=BY$5,$D90&lt;BY$5+7),"◆",""),IF(AND($D90&lt;BY$5+7,$E90&gt;BY$5),"■","")))</x:f>
      </x:c>
      <x:c r="BZ90" s="7" t="str">
        <x:f>IF(OR($D90="",BZ$5="",'상세일정'!AM90="제외"),"",IF($D90=$E90,IF(AND($D90&gt;=BZ$5,$D90&lt;BZ$5+7),"◆",""),IF(AND($D90&lt;BZ$5+7,$E90&gt;BZ$5),"■","")))</x:f>
      </x:c>
      <x:c r="CA90" s="7" t="str">
        <x:f>IF(OR($D90="",CA$5="",'상세일정'!AM90="제외"),"",IF($D90=$E90,IF(AND($D90&gt;=CA$5,$D90&lt;CA$5+7),"◆",""),IF(AND($D90&lt;CA$5+7,$E90&gt;CA$5),"■","")))</x:f>
      </x:c>
      <x:c r="CB90" s="7" t="str">
        <x:f>IF(OR($D90="",CB$5="",'상세일정'!AM90="제외"),"",IF($D90=$E90,IF(AND($D90&gt;=CB$5,$D90&lt;CB$5+7),"◆",""),IF(AND($D90&lt;CB$5+7,$E90&gt;CB$5),"■","")))</x:f>
      </x:c>
      <x:c r="CC90" s="7" t="str">
        <x:f>IF(OR($D90="",CC$5="",'상세일정'!AM90="제외"),"",IF($D90=$E90,IF(AND($D90&gt;=CC$5,$D90&lt;CC$5+7),"◆",""),IF(AND($D90&lt;CC$5+7,$E90&gt;CC$5),"■","")))</x:f>
      </x:c>
      <x:c r="CD90" s="7" t="str">
        <x:f>IF(OR($D90="",CD$5="",'상세일정'!AM90="제외"),"",IF($D90=$E90,IF(AND($D90&gt;=CD$5,$D90&lt;CD$5+7),"◆",""),IF(AND($D90&lt;CD$5+7,$E90&gt;CD$5),"■","")))</x:f>
      </x:c>
      <x:c r="CE90" s="7" t="str">
        <x:f>IF(OR($D90="",CE$5="",'상세일정'!AM90="제외"),"",IF($D90=$E90,IF(AND($D90&gt;=CE$5,$D90&lt;CE$5+7),"◆",""),IF(AND($D90&lt;CE$5+7,$E90&gt;CE$5),"■","")))</x:f>
      </x:c>
      <x:c r="CF90" s="7" t="str">
        <x:f>IF(OR($D90="",CF$5="",'상세일정'!AM90="제외"),"",IF($D90=$E90,IF(AND($D90&gt;=CF$5,$D90&lt;CF$5+7),"◆",""),IF(AND($D90&lt;CF$5+7,$E90&gt;CF$5),"■","")))</x:f>
      </x:c>
      <x:c r="CG90" s="7" t="str">
        <x:f>IF(OR($D90="",CG$5="",'상세일정'!AM90="제외"),"",IF($D90=$E90,IF(AND($D90&gt;=CG$5,$D90&lt;CG$5+7),"◆",""),IF(AND($D90&lt;CG$5+7,$E90&gt;CG$5),"■","")))</x:f>
      </x:c>
      <x:c r="CH90" s="7" t="str">
        <x:f>IF(OR($D90="",CH$5="",'상세일정'!AM90="제외"),"",IF($D90=$E90,IF(AND($D90&gt;=CH$5,$D90&lt;CH$5+7),"◆",""),IF(AND($D90&lt;CH$5+7,$E90&gt;CH$5),"■","")))</x:f>
      </x:c>
      <x:c r="CI90" s="7" t="str">
        <x:f>IF(OR($D90="",CI$5="",'상세일정'!AM90="제외"),"",IF($D90=$E90,IF(AND($D90&gt;=CI$5,$D90&lt;CI$5+7),"◆",""),IF(AND($D90&lt;CI$5+7,$E90&gt;CI$5),"■","")))</x:f>
      </x:c>
      <x:c r="CJ90" s="7" t="str">
        <x:f>IF(OR($D90="",CJ$5="",'상세일정'!AM90="제외"),"",IF($D90=$E90,IF(AND($D90&gt;=CJ$5,$D90&lt;CJ$5+7),"◆",""),IF(AND($D90&lt;CJ$5+7,$E90&gt;CJ$5),"■","")))</x:f>
      </x:c>
      <x:c r="CK90" s="7" t="str">
        <x:f>IF(OR($D90="",CK$5="",'상세일정'!AM90="제외"),"",IF($D90=$E90,IF(AND($D90&gt;=CK$5,$D90&lt;CK$5+7),"◆",""),IF(AND($D90&lt;CK$5+7,$E90&gt;CK$5),"■","")))</x:f>
      </x:c>
      <x:c r="CL90" s="7" t="str">
        <x:f>IF(OR($D90="",CL$5="",'상세일정'!AM90="제외"),"",IF($D90=$E90,IF(AND($D90&gt;=CL$5,$D90&lt;CL$5+7),"◆",""),IF(AND($D90&lt;CL$5+7,$E90&gt;CL$5),"■","")))</x:f>
      </x:c>
      <x:c r="CM90" s="7" t="str">
        <x:f>IF(OR($D90="",CM$5="",'상세일정'!AM90="제외"),"",IF($D90=$E90,IF(AND($D90&gt;=CM$5,$D90&lt;CM$5+7),"◆",""),IF(AND($D90&lt;CM$5+7,$E90&gt;CM$5),"■","")))</x:f>
      </x:c>
      <x:c r="CN90" s="7" t="str">
        <x:f>IF(OR($D90="",CN$5="",'상세일정'!AM90="제외"),"",IF($D90=$E90,IF(AND($D90&gt;=CN$5,$D90&lt;CN$5+7),"◆",""),IF(AND($D90&lt;CN$5+7,$E90&gt;CN$5),"■","")))</x:f>
      </x:c>
      <x:c r="CO90" s="7" t="str">
        <x:f>IF(OR($D90="",CO$5="",'상세일정'!AM90="제외"),"",IF($D90=$E90,IF(AND($D90&gt;=CO$5,$D90&lt;CO$5+7),"◆",""),IF(AND($D90&lt;CO$5+7,$E90&gt;CO$5),"■","")))</x:f>
      </x:c>
      <x:c r="CP90" s="7" t="str">
        <x:f>IF(OR($D90="",CP$5="",'상세일정'!AM90="제외"),"",IF($D90=$E90,IF(AND($D90&gt;=CP$5,$D90&lt;CP$5+7),"◆",""),IF(AND($D90&lt;CP$5+7,$E90&gt;CP$5),"■","")))</x:f>
      </x:c>
      <x:c r="CQ90" s="7" t="str">
        <x:f>IF(OR($D90="",CQ$5="",'상세일정'!AM90="제외"),"",IF($D90=$E90,IF(AND($D90&gt;=CQ$5,$D90&lt;CQ$5+7),"◆",""),IF(AND($D90&lt;CQ$5+7,$E90&gt;CQ$5),"■","")))</x:f>
      </x:c>
      <x:c r="CR90" s="7" t="str">
        <x:f>IF(OR($D90="",CR$5="",'상세일정'!AM90="제외"),"",IF($D90=$E90,IF(AND($D90&gt;=CR$5,$D90&lt;CR$5+7),"◆",""),IF(AND($D90&lt;CR$5+7,$E90&gt;CR$5),"■","")))</x:f>
      </x:c>
      <x:c r="CS90" s="7" t="str">
        <x:f>IF(OR($D90="",CS$5="",'상세일정'!AM90="제외"),"",IF($D90=$E90,IF(AND($D90&gt;=CS$5,$D90&lt;CS$5+7),"◆",""),IF(AND($D90&lt;CS$5+7,$E90&gt;CS$5),"■","")))</x:f>
      </x:c>
      <x:c r="CT90" s="7" t="str">
        <x:f>IF(OR($D90="",CT$5="",'상세일정'!AM90="제외"),"",IF($D90=$E90,IF(AND($D90&gt;=CT$5,$D90&lt;CT$5+7),"◆",""),IF(AND($D90&lt;CT$5+7,$E90&gt;CT$5),"■","")))</x:f>
      </x:c>
      <x:c r="CU90" s="7" t="str">
        <x:f>IF(OR($D90="",CU$5="",'상세일정'!AM90="제외"),"",IF($D90=$E90,IF(AND($D90&gt;=CU$5,$D90&lt;CU$5+7),"◆",""),IF(AND($D90&lt;CU$5+7,$E90&gt;CU$5),"■","")))</x:f>
      </x:c>
      <x:c r="CV90" s="7" t="str">
        <x:f>IF(OR($D90="",CV$5="",'상세일정'!AM90="제외"),"",IF($D90=$E90,IF(AND($D90&gt;=CV$5,$D90&lt;CV$5+7),"◆",""),IF(AND($D90&lt;CV$5+7,$E90&gt;CV$5),"■","")))</x:f>
      </x:c>
      <x:c r="CW90" s="7" t="str">
        <x:f>IF(OR($D90="",CW$5="",'상세일정'!AM90="제외"),"",IF($D90=$E90,IF(AND($D90&gt;=CW$5,$D90&lt;CW$5+7),"◆",""),IF(AND($D90&lt;CW$5+7,$E90&gt;CW$5),"■","")))</x:f>
      </x:c>
      <x:c r="CX90" s="7" t="str">
        <x:f>IF(OR($D90="",CX$5="",'상세일정'!AM90="제외"),"",IF($D90=$E90,IF(AND($D90&gt;=CX$5,$D90&lt;CX$5+7),"◆",""),IF(AND($D90&lt;CX$5+7,$E90&gt;CX$5),"■","")))</x:f>
      </x:c>
      <x:c r="CY90" s="7" t="str">
        <x:f>IF(OR($D90="",CY$5="",'상세일정'!AM90="제외"),"",IF($D90=$E90,IF(AND($D90&gt;=CY$5,$D90&lt;CY$5+7),"◆",""),IF(AND($D90&lt;CY$5+7,$E90&gt;CY$5),"■","")))</x:f>
      </x:c>
      <x:c r="CZ90" s="7" t="str">
        <x:f>IF(OR($D90="",CZ$5="",'상세일정'!AM90="제외"),"",IF($D90=$E90,IF(AND($D90&gt;=CZ$5,$D90&lt;CZ$5+7),"◆",""),IF(AND($D90&lt;CZ$5+7,$E90&gt;CZ$5),"■","")))</x:f>
      </x:c>
      <x:c r="DA90" s="7" t="str">
        <x:f>IF(OR($D90="",DA$5="",'상세일정'!AM90="제외"),"",IF($D90=$E90,IF(AND($D90&gt;=DA$5,$D90&lt;DA$5+7),"◆",""),IF(AND($D90&lt;DA$5+7,$E90&gt;DA$5),"■","")))</x:f>
      </x:c>
      <x:c r="DB90" s="7" t="str">
        <x:f>IF(OR($D90="",DB$5="",'상세일정'!AM90="제외"),"",IF($D90=$E90,IF(AND($D90&gt;=DB$5,$D90&lt;DB$5+7),"◆",""),IF(AND($D90&lt;DB$5+7,$E90&gt;DB$5),"■","")))</x:f>
      </x:c>
      <x:c r="DC90" s="7" t="str">
        <x:f>IF(OR($D90="",DC$5="",'상세일정'!AM90="제외"),"",IF($D90=$E90,IF(AND($D90&gt;=DC$5,$D90&lt;DC$5+7),"◆",""),IF(AND($D90&lt;DC$5+7,$E90&gt;DC$5),"■","")))</x:f>
      </x:c>
      <x:c r="DD90" s="7" t="str">
        <x:f>IF(OR($D90="",DD$5="",'상세일정'!AM90="제외"),"",IF($D90=$E90,IF(AND($D90&gt;=DD$5,$D90&lt;DD$5+7),"◆",""),IF(AND($D90&lt;DD$5+7,$E90&gt;DD$5),"■","")))</x:f>
      </x:c>
      <x:c r="DE90" s="7" t="str">
        <x:f>IF(OR($D90="",DE$5="",'상세일정'!AM90="제외"),"",IF($D90=$E90,IF(AND($D90&gt;=DE$5,$D90&lt;DE$5+7),"◆",""),IF(AND($D90&lt;DE$5+7,$E90&gt;DE$5),"■","")))</x:f>
      </x:c>
    </x:row>
    <x:row r="91" ht="34" customHeight="1">
      <x:c r="A91" s="7" t="str">
        <x:v>SH07</x:v>
      </x:c>
      <x:c r="B91" s="7" t="str">
        <x:v>13 유해위험방지계획</x:v>
      </x:c>
      <x:c r="C91" s="7" t="str">
        <x:v>심사결과 확보 및 착수조건 반영</x:v>
      </x:c>
      <x:c r="D91" s="10" t="str">
        <x:f>'상세일정'!AJ91</x:f>
      </x:c>
      <x:c r="E91" s="10" t="str">
        <x:f>'상세일정'!AK91</x:f>
      </x:c>
      <x:c r="F91" s="7" t="str">
        <x:f>IF(OR($D91="",F$5="",'상세일정'!AM91="제외"),"",IF($D91=$E91,IF(AND($D91&gt;=F$5,$D91&lt;F$5+7),"◆",""),IF(AND($D91&lt;F$5+7,$E91&gt;F$5),"■","")))</x:f>
      </x:c>
      <x:c r="G91" s="7" t="str">
        <x:f>IF(OR($D91="",G$5="",'상세일정'!AM91="제외"),"",IF($D91=$E91,IF(AND($D91&gt;=G$5,$D91&lt;G$5+7),"◆",""),IF(AND($D91&lt;G$5+7,$E91&gt;G$5),"■","")))</x:f>
      </x:c>
      <x:c r="H91" s="7" t="str">
        <x:f>IF(OR($D91="",H$5="",'상세일정'!AM91="제외"),"",IF($D91=$E91,IF(AND($D91&gt;=H$5,$D91&lt;H$5+7),"◆",""),IF(AND($D91&lt;H$5+7,$E91&gt;H$5),"■","")))</x:f>
      </x:c>
      <x:c r="I91" s="7" t="str">
        <x:f>IF(OR($D91="",I$5="",'상세일정'!AM91="제외"),"",IF($D91=$E91,IF(AND($D91&gt;=I$5,$D91&lt;I$5+7),"◆",""),IF(AND($D91&lt;I$5+7,$E91&gt;I$5),"■","")))</x:f>
      </x:c>
      <x:c r="J91" s="7" t="str">
        <x:f>IF(OR($D91="",J$5="",'상세일정'!AM91="제외"),"",IF($D91=$E91,IF(AND($D91&gt;=J$5,$D91&lt;J$5+7),"◆",""),IF(AND($D91&lt;J$5+7,$E91&gt;J$5),"■","")))</x:f>
      </x:c>
      <x:c r="K91" s="7" t="str">
        <x:f>IF(OR($D91="",K$5="",'상세일정'!AM91="제외"),"",IF($D91=$E91,IF(AND($D91&gt;=K$5,$D91&lt;K$5+7),"◆",""),IF(AND($D91&lt;K$5+7,$E91&gt;K$5),"■","")))</x:f>
      </x:c>
      <x:c r="L91" s="7" t="str">
        <x:f>IF(OR($D91="",L$5="",'상세일정'!AM91="제외"),"",IF($D91=$E91,IF(AND($D91&gt;=L$5,$D91&lt;L$5+7),"◆",""),IF(AND($D91&lt;L$5+7,$E91&gt;L$5),"■","")))</x:f>
      </x:c>
      <x:c r="M91" s="7" t="str">
        <x:f>IF(OR($D91="",M$5="",'상세일정'!AM91="제외"),"",IF($D91=$E91,IF(AND($D91&gt;=M$5,$D91&lt;M$5+7),"◆",""),IF(AND($D91&lt;M$5+7,$E91&gt;M$5),"■","")))</x:f>
      </x:c>
      <x:c r="N91" s="7" t="str">
        <x:f>IF(OR($D91="",N$5="",'상세일정'!AM91="제외"),"",IF($D91=$E91,IF(AND($D91&gt;=N$5,$D91&lt;N$5+7),"◆",""),IF(AND($D91&lt;N$5+7,$E91&gt;N$5),"■","")))</x:f>
      </x:c>
      <x:c r="O91" s="7" t="str">
        <x:f>IF(OR($D91="",O$5="",'상세일정'!AM91="제외"),"",IF($D91=$E91,IF(AND($D91&gt;=O$5,$D91&lt;O$5+7),"◆",""),IF(AND($D91&lt;O$5+7,$E91&gt;O$5),"■","")))</x:f>
      </x:c>
      <x:c r="P91" s="7" t="str">
        <x:f>IF(OR($D91="",P$5="",'상세일정'!AM91="제외"),"",IF($D91=$E91,IF(AND($D91&gt;=P$5,$D91&lt;P$5+7),"◆",""),IF(AND($D91&lt;P$5+7,$E91&gt;P$5),"■","")))</x:f>
      </x:c>
      <x:c r="Q91" s="7" t="str">
        <x:f>IF(OR($D91="",Q$5="",'상세일정'!AM91="제외"),"",IF($D91=$E91,IF(AND($D91&gt;=Q$5,$D91&lt;Q$5+7),"◆",""),IF(AND($D91&lt;Q$5+7,$E91&gt;Q$5),"■","")))</x:f>
      </x:c>
      <x:c r="R91" s="7" t="str">
        <x:f>IF(OR($D91="",R$5="",'상세일정'!AM91="제외"),"",IF($D91=$E91,IF(AND($D91&gt;=R$5,$D91&lt;R$5+7),"◆",""),IF(AND($D91&lt;R$5+7,$E91&gt;R$5),"■","")))</x:f>
      </x:c>
      <x:c r="S91" s="7" t="str">
        <x:f>IF(OR($D91="",S$5="",'상세일정'!AM91="제외"),"",IF($D91=$E91,IF(AND($D91&gt;=S$5,$D91&lt;S$5+7),"◆",""),IF(AND($D91&lt;S$5+7,$E91&gt;S$5),"■","")))</x:f>
      </x:c>
      <x:c r="T91" s="7" t="str">
        <x:f>IF(OR($D91="",T$5="",'상세일정'!AM91="제외"),"",IF($D91=$E91,IF(AND($D91&gt;=T$5,$D91&lt;T$5+7),"◆",""),IF(AND($D91&lt;T$5+7,$E91&gt;T$5),"■","")))</x:f>
      </x:c>
      <x:c r="U91" s="7" t="str">
        <x:f>IF(OR($D91="",U$5="",'상세일정'!AM91="제외"),"",IF($D91=$E91,IF(AND($D91&gt;=U$5,$D91&lt;U$5+7),"◆",""),IF(AND($D91&lt;U$5+7,$E91&gt;U$5),"■","")))</x:f>
      </x:c>
      <x:c r="V91" s="7" t="str">
        <x:f>IF(OR($D91="",V$5="",'상세일정'!AM91="제외"),"",IF($D91=$E91,IF(AND($D91&gt;=V$5,$D91&lt;V$5+7),"◆",""),IF(AND($D91&lt;V$5+7,$E91&gt;V$5),"■","")))</x:f>
      </x:c>
      <x:c r="W91" s="7" t="str">
        <x:f>IF(OR($D91="",W$5="",'상세일정'!AM91="제외"),"",IF($D91=$E91,IF(AND($D91&gt;=W$5,$D91&lt;W$5+7),"◆",""),IF(AND($D91&lt;W$5+7,$E91&gt;W$5),"■","")))</x:f>
      </x:c>
      <x:c r="X91" s="7" t="str">
        <x:f>IF(OR($D91="",X$5="",'상세일정'!AM91="제외"),"",IF($D91=$E91,IF(AND($D91&gt;=X$5,$D91&lt;X$5+7),"◆",""),IF(AND($D91&lt;X$5+7,$E91&gt;X$5),"■","")))</x:f>
      </x:c>
      <x:c r="Y91" s="7" t="str">
        <x:f>IF(OR($D91="",Y$5="",'상세일정'!AM91="제외"),"",IF($D91=$E91,IF(AND($D91&gt;=Y$5,$D91&lt;Y$5+7),"◆",""),IF(AND($D91&lt;Y$5+7,$E91&gt;Y$5),"■","")))</x:f>
      </x:c>
      <x:c r="Z91" s="7" t="str">
        <x:f>IF(OR($D91="",Z$5="",'상세일정'!AM91="제외"),"",IF($D91=$E91,IF(AND($D91&gt;=Z$5,$D91&lt;Z$5+7),"◆",""),IF(AND($D91&lt;Z$5+7,$E91&gt;Z$5),"■","")))</x:f>
      </x:c>
      <x:c r="AA91" s="7" t="str">
        <x:f>IF(OR($D91="",AA$5="",'상세일정'!AM91="제외"),"",IF($D91=$E91,IF(AND($D91&gt;=AA$5,$D91&lt;AA$5+7),"◆",""),IF(AND($D91&lt;AA$5+7,$E91&gt;AA$5),"■","")))</x:f>
      </x:c>
      <x:c r="AB91" s="7" t="str">
        <x:f>IF(OR($D91="",AB$5="",'상세일정'!AM91="제외"),"",IF($D91=$E91,IF(AND($D91&gt;=AB$5,$D91&lt;AB$5+7),"◆",""),IF(AND($D91&lt;AB$5+7,$E91&gt;AB$5),"■","")))</x:f>
      </x:c>
      <x:c r="AC91" s="7" t="str">
        <x:f>IF(OR($D91="",AC$5="",'상세일정'!AM91="제외"),"",IF($D91=$E91,IF(AND($D91&gt;=AC$5,$D91&lt;AC$5+7),"◆",""),IF(AND($D91&lt;AC$5+7,$E91&gt;AC$5),"■","")))</x:f>
      </x:c>
      <x:c r="AD91" s="7" t="str">
        <x:f>IF(OR($D91="",AD$5="",'상세일정'!AM91="제외"),"",IF($D91=$E91,IF(AND($D91&gt;=AD$5,$D91&lt;AD$5+7),"◆",""),IF(AND($D91&lt;AD$5+7,$E91&gt;AD$5),"■","")))</x:f>
      </x:c>
      <x:c r="AE91" s="7" t="str">
        <x:f>IF(OR($D91="",AE$5="",'상세일정'!AM91="제외"),"",IF($D91=$E91,IF(AND($D91&gt;=AE$5,$D91&lt;AE$5+7),"◆",""),IF(AND($D91&lt;AE$5+7,$E91&gt;AE$5),"■","")))</x:f>
      </x:c>
      <x:c r="AF91" s="7" t="str">
        <x:f>IF(OR($D91="",AF$5="",'상세일정'!AM91="제외"),"",IF($D91=$E91,IF(AND($D91&gt;=AF$5,$D91&lt;AF$5+7),"◆",""),IF(AND($D91&lt;AF$5+7,$E91&gt;AF$5),"■","")))</x:f>
      </x:c>
      <x:c r="AG91" s="7" t="str">
        <x:f>IF(OR($D91="",AG$5="",'상세일정'!AM91="제외"),"",IF($D91=$E91,IF(AND($D91&gt;=AG$5,$D91&lt;AG$5+7),"◆",""),IF(AND($D91&lt;AG$5+7,$E91&gt;AG$5),"■","")))</x:f>
      </x:c>
      <x:c r="AH91" s="7" t="str">
        <x:f>IF(OR($D91="",AH$5="",'상세일정'!AM91="제외"),"",IF($D91=$E91,IF(AND($D91&gt;=AH$5,$D91&lt;AH$5+7),"◆",""),IF(AND($D91&lt;AH$5+7,$E91&gt;AH$5),"■","")))</x:f>
      </x:c>
      <x:c r="AI91" s="7" t="str">
        <x:f>IF(OR($D91="",AI$5="",'상세일정'!AM91="제외"),"",IF($D91=$E91,IF(AND($D91&gt;=AI$5,$D91&lt;AI$5+7),"◆",""),IF(AND($D91&lt;AI$5+7,$E91&gt;AI$5),"■","")))</x:f>
      </x:c>
      <x:c r="AJ91" s="7" t="str">
        <x:f>IF(OR($D91="",AJ$5="",'상세일정'!AM91="제외"),"",IF($D91=$E91,IF(AND($D91&gt;=AJ$5,$D91&lt;AJ$5+7),"◆",""),IF(AND($D91&lt;AJ$5+7,$E91&gt;AJ$5),"■","")))</x:f>
      </x:c>
      <x:c r="AK91" s="7" t="str">
        <x:f>IF(OR($D91="",AK$5="",'상세일정'!AM91="제외"),"",IF($D91=$E91,IF(AND($D91&gt;=AK$5,$D91&lt;AK$5+7),"◆",""),IF(AND($D91&lt;AK$5+7,$E91&gt;AK$5),"■","")))</x:f>
      </x:c>
      <x:c r="AL91" s="7" t="str">
        <x:f>IF(OR($D91="",AL$5="",'상세일정'!AM91="제외"),"",IF($D91=$E91,IF(AND($D91&gt;=AL$5,$D91&lt;AL$5+7),"◆",""),IF(AND($D91&lt;AL$5+7,$E91&gt;AL$5),"■","")))</x:f>
      </x:c>
      <x:c r="AM91" s="7" t="str">
        <x:f>IF(OR($D91="",AM$5="",'상세일정'!AM91="제외"),"",IF($D91=$E91,IF(AND($D91&gt;=AM$5,$D91&lt;AM$5+7),"◆",""),IF(AND($D91&lt;AM$5+7,$E91&gt;AM$5),"■","")))</x:f>
      </x:c>
      <x:c r="AN91" s="7" t="str">
        <x:f>IF(OR($D91="",AN$5="",'상세일정'!AM91="제외"),"",IF($D91=$E91,IF(AND($D91&gt;=AN$5,$D91&lt;AN$5+7),"◆",""),IF(AND($D91&lt;AN$5+7,$E91&gt;AN$5),"■","")))</x:f>
      </x:c>
      <x:c r="AO91" s="7" t="str">
        <x:f>IF(OR($D91="",AO$5="",'상세일정'!AM91="제외"),"",IF($D91=$E91,IF(AND($D91&gt;=AO$5,$D91&lt;AO$5+7),"◆",""),IF(AND($D91&lt;AO$5+7,$E91&gt;AO$5),"■","")))</x:f>
      </x:c>
      <x:c r="AP91" s="7" t="str">
        <x:f>IF(OR($D91="",AP$5="",'상세일정'!AM91="제외"),"",IF($D91=$E91,IF(AND($D91&gt;=AP$5,$D91&lt;AP$5+7),"◆",""),IF(AND($D91&lt;AP$5+7,$E91&gt;AP$5),"■","")))</x:f>
      </x:c>
      <x:c r="AQ91" s="7" t="str">
        <x:f>IF(OR($D91="",AQ$5="",'상세일정'!AM91="제외"),"",IF($D91=$E91,IF(AND($D91&gt;=AQ$5,$D91&lt;AQ$5+7),"◆",""),IF(AND($D91&lt;AQ$5+7,$E91&gt;AQ$5),"■","")))</x:f>
      </x:c>
      <x:c r="AR91" s="7" t="str">
        <x:f>IF(OR($D91="",AR$5="",'상세일정'!AM91="제외"),"",IF($D91=$E91,IF(AND($D91&gt;=AR$5,$D91&lt;AR$5+7),"◆",""),IF(AND($D91&lt;AR$5+7,$E91&gt;AR$5),"■","")))</x:f>
      </x:c>
      <x:c r="AS91" s="7" t="str">
        <x:f>IF(OR($D91="",AS$5="",'상세일정'!AM91="제외"),"",IF($D91=$E91,IF(AND($D91&gt;=AS$5,$D91&lt;AS$5+7),"◆",""),IF(AND($D91&lt;AS$5+7,$E91&gt;AS$5),"■","")))</x:f>
      </x:c>
      <x:c r="AT91" s="7" t="str">
        <x:f>IF(OR($D91="",AT$5="",'상세일정'!AM91="제외"),"",IF($D91=$E91,IF(AND($D91&gt;=AT$5,$D91&lt;AT$5+7),"◆",""),IF(AND($D91&lt;AT$5+7,$E91&gt;AT$5),"■","")))</x:f>
      </x:c>
      <x:c r="AU91" s="7" t="str">
        <x:f>IF(OR($D91="",AU$5="",'상세일정'!AM91="제외"),"",IF($D91=$E91,IF(AND($D91&gt;=AU$5,$D91&lt;AU$5+7),"◆",""),IF(AND($D91&lt;AU$5+7,$E91&gt;AU$5),"■","")))</x:f>
      </x:c>
      <x:c r="AV91" s="7" t="str">
        <x:f>IF(OR($D91="",AV$5="",'상세일정'!AM91="제외"),"",IF($D91=$E91,IF(AND($D91&gt;=AV$5,$D91&lt;AV$5+7),"◆",""),IF(AND($D91&lt;AV$5+7,$E91&gt;AV$5),"■","")))</x:f>
      </x:c>
      <x:c r="AW91" s="7" t="str">
        <x:f>IF(OR($D91="",AW$5="",'상세일정'!AM91="제외"),"",IF($D91=$E91,IF(AND($D91&gt;=AW$5,$D91&lt;AW$5+7),"◆",""),IF(AND($D91&lt;AW$5+7,$E91&gt;AW$5),"■","")))</x:f>
      </x:c>
      <x:c r="AX91" s="7" t="str">
        <x:f>IF(OR($D91="",AX$5="",'상세일정'!AM91="제외"),"",IF($D91=$E91,IF(AND($D91&gt;=AX$5,$D91&lt;AX$5+7),"◆",""),IF(AND($D91&lt;AX$5+7,$E91&gt;AX$5),"■","")))</x:f>
      </x:c>
      <x:c r="AY91" s="7" t="str">
        <x:f>IF(OR($D91="",AY$5="",'상세일정'!AM91="제외"),"",IF($D91=$E91,IF(AND($D91&gt;=AY$5,$D91&lt;AY$5+7),"◆",""),IF(AND($D91&lt;AY$5+7,$E91&gt;AY$5),"■","")))</x:f>
      </x:c>
      <x:c r="AZ91" s="7" t="str">
        <x:f>IF(OR($D91="",AZ$5="",'상세일정'!AM91="제외"),"",IF($D91=$E91,IF(AND($D91&gt;=AZ$5,$D91&lt;AZ$5+7),"◆",""),IF(AND($D91&lt;AZ$5+7,$E91&gt;AZ$5),"■","")))</x:f>
      </x:c>
      <x:c r="BA91" s="7" t="str">
        <x:f>IF(OR($D91="",BA$5="",'상세일정'!AM91="제외"),"",IF($D91=$E91,IF(AND($D91&gt;=BA$5,$D91&lt;BA$5+7),"◆",""),IF(AND($D91&lt;BA$5+7,$E91&gt;BA$5),"■","")))</x:f>
      </x:c>
      <x:c r="BB91" s="7" t="str">
        <x:f>IF(OR($D91="",BB$5="",'상세일정'!AM91="제외"),"",IF($D91=$E91,IF(AND($D91&gt;=BB$5,$D91&lt;BB$5+7),"◆",""),IF(AND($D91&lt;BB$5+7,$E91&gt;BB$5),"■","")))</x:f>
      </x:c>
      <x:c r="BC91" s="7" t="str">
        <x:f>IF(OR($D91="",BC$5="",'상세일정'!AM91="제외"),"",IF($D91=$E91,IF(AND($D91&gt;=BC$5,$D91&lt;BC$5+7),"◆",""),IF(AND($D91&lt;BC$5+7,$E91&gt;BC$5),"■","")))</x:f>
      </x:c>
      <x:c r="BD91" s="7" t="str">
        <x:f>IF(OR($D91="",BD$5="",'상세일정'!AM91="제외"),"",IF($D91=$E91,IF(AND($D91&gt;=BD$5,$D91&lt;BD$5+7),"◆",""),IF(AND($D91&lt;BD$5+7,$E91&gt;BD$5),"■","")))</x:f>
      </x:c>
      <x:c r="BE91" s="7" t="str">
        <x:f>IF(OR($D91="",BE$5="",'상세일정'!AM91="제외"),"",IF($D91=$E91,IF(AND($D91&gt;=BE$5,$D91&lt;BE$5+7),"◆",""),IF(AND($D91&lt;BE$5+7,$E91&gt;BE$5),"■","")))</x:f>
      </x:c>
      <x:c r="BF91" s="7" t="str">
        <x:f>IF(OR($D91="",BF$5="",'상세일정'!AM91="제외"),"",IF($D91=$E91,IF(AND($D91&gt;=BF$5,$D91&lt;BF$5+7),"◆",""),IF(AND($D91&lt;BF$5+7,$E91&gt;BF$5),"■","")))</x:f>
      </x:c>
      <x:c r="BG91" s="7" t="str">
        <x:f>IF(OR($D91="",BG$5="",'상세일정'!AM91="제외"),"",IF($D91=$E91,IF(AND($D91&gt;=BG$5,$D91&lt;BG$5+7),"◆",""),IF(AND($D91&lt;BG$5+7,$E91&gt;BG$5),"■","")))</x:f>
      </x:c>
      <x:c r="BH91" s="7" t="str">
        <x:f>IF(OR($D91="",BH$5="",'상세일정'!AM91="제외"),"",IF($D91=$E91,IF(AND($D91&gt;=BH$5,$D91&lt;BH$5+7),"◆",""),IF(AND($D91&lt;BH$5+7,$E91&gt;BH$5),"■","")))</x:f>
      </x:c>
      <x:c r="BI91" s="7" t="str">
        <x:f>IF(OR($D91="",BI$5="",'상세일정'!AM91="제외"),"",IF($D91=$E91,IF(AND($D91&gt;=BI$5,$D91&lt;BI$5+7),"◆",""),IF(AND($D91&lt;BI$5+7,$E91&gt;BI$5),"■","")))</x:f>
      </x:c>
      <x:c r="BJ91" s="7" t="str">
        <x:f>IF(OR($D91="",BJ$5="",'상세일정'!AM91="제외"),"",IF($D91=$E91,IF(AND($D91&gt;=BJ$5,$D91&lt;BJ$5+7),"◆",""),IF(AND($D91&lt;BJ$5+7,$E91&gt;BJ$5),"■","")))</x:f>
      </x:c>
      <x:c r="BK91" s="7" t="str">
        <x:f>IF(OR($D91="",BK$5="",'상세일정'!AM91="제외"),"",IF($D91=$E91,IF(AND($D91&gt;=BK$5,$D91&lt;BK$5+7),"◆",""),IF(AND($D91&lt;BK$5+7,$E91&gt;BK$5),"■","")))</x:f>
      </x:c>
      <x:c r="BL91" s="7" t="str">
        <x:f>IF(OR($D91="",BL$5="",'상세일정'!AM91="제외"),"",IF($D91=$E91,IF(AND($D91&gt;=BL$5,$D91&lt;BL$5+7),"◆",""),IF(AND($D91&lt;BL$5+7,$E91&gt;BL$5),"■","")))</x:f>
      </x:c>
      <x:c r="BM91" s="7" t="str">
        <x:f>IF(OR($D91="",BM$5="",'상세일정'!AM91="제외"),"",IF($D91=$E91,IF(AND($D91&gt;=BM$5,$D91&lt;BM$5+7),"◆",""),IF(AND($D91&lt;BM$5+7,$E91&gt;BM$5),"■","")))</x:f>
      </x:c>
      <x:c r="BN91" s="7" t="str">
        <x:f>IF(OR($D91="",BN$5="",'상세일정'!AM91="제외"),"",IF($D91=$E91,IF(AND($D91&gt;=BN$5,$D91&lt;BN$5+7),"◆",""),IF(AND($D91&lt;BN$5+7,$E91&gt;BN$5),"■","")))</x:f>
      </x:c>
      <x:c r="BO91" s="7" t="str">
        <x:f>IF(OR($D91="",BO$5="",'상세일정'!AM91="제외"),"",IF($D91=$E91,IF(AND($D91&gt;=BO$5,$D91&lt;BO$5+7),"◆",""),IF(AND($D91&lt;BO$5+7,$E91&gt;BO$5),"■","")))</x:f>
      </x:c>
      <x:c r="BP91" s="7" t="str">
        <x:f>IF(OR($D91="",BP$5="",'상세일정'!AM91="제외"),"",IF($D91=$E91,IF(AND($D91&gt;=BP$5,$D91&lt;BP$5+7),"◆",""),IF(AND($D91&lt;BP$5+7,$E91&gt;BP$5),"■","")))</x:f>
      </x:c>
      <x:c r="BQ91" s="7" t="str">
        <x:f>IF(OR($D91="",BQ$5="",'상세일정'!AM91="제외"),"",IF($D91=$E91,IF(AND($D91&gt;=BQ$5,$D91&lt;BQ$5+7),"◆",""),IF(AND($D91&lt;BQ$5+7,$E91&gt;BQ$5),"■","")))</x:f>
      </x:c>
      <x:c r="BR91" s="7" t="str">
        <x:f>IF(OR($D91="",BR$5="",'상세일정'!AM91="제외"),"",IF($D91=$E91,IF(AND($D91&gt;=BR$5,$D91&lt;BR$5+7),"◆",""),IF(AND($D91&lt;BR$5+7,$E91&gt;BR$5),"■","")))</x:f>
      </x:c>
      <x:c r="BS91" s="7" t="str">
        <x:f>IF(OR($D91="",BS$5="",'상세일정'!AM91="제외"),"",IF($D91=$E91,IF(AND($D91&gt;=BS$5,$D91&lt;BS$5+7),"◆",""),IF(AND($D91&lt;BS$5+7,$E91&gt;BS$5),"■","")))</x:f>
      </x:c>
      <x:c r="BT91" s="7" t="str">
        <x:f>IF(OR($D91="",BT$5="",'상세일정'!AM91="제외"),"",IF($D91=$E91,IF(AND($D91&gt;=BT$5,$D91&lt;BT$5+7),"◆",""),IF(AND($D91&lt;BT$5+7,$E91&gt;BT$5),"■","")))</x:f>
      </x:c>
      <x:c r="BU91" s="7" t="str">
        <x:f>IF(OR($D91="",BU$5="",'상세일정'!AM91="제외"),"",IF($D91=$E91,IF(AND($D91&gt;=BU$5,$D91&lt;BU$5+7),"◆",""),IF(AND($D91&lt;BU$5+7,$E91&gt;BU$5),"■","")))</x:f>
      </x:c>
      <x:c r="BV91" s="7" t="str">
        <x:f>IF(OR($D91="",BV$5="",'상세일정'!AM91="제외"),"",IF($D91=$E91,IF(AND($D91&gt;=BV$5,$D91&lt;BV$5+7),"◆",""),IF(AND($D91&lt;BV$5+7,$E91&gt;BV$5),"■","")))</x:f>
      </x:c>
      <x:c r="BW91" s="7" t="str">
        <x:f>IF(OR($D91="",BW$5="",'상세일정'!AM91="제외"),"",IF($D91=$E91,IF(AND($D91&gt;=BW$5,$D91&lt;BW$5+7),"◆",""),IF(AND($D91&lt;BW$5+7,$E91&gt;BW$5),"■","")))</x:f>
      </x:c>
      <x:c r="BX91" s="7" t="str">
        <x:f>IF(OR($D91="",BX$5="",'상세일정'!AM91="제외"),"",IF($D91=$E91,IF(AND($D91&gt;=BX$5,$D91&lt;BX$5+7),"◆",""),IF(AND($D91&lt;BX$5+7,$E91&gt;BX$5),"■","")))</x:f>
      </x:c>
      <x:c r="BY91" s="7" t="str">
        <x:f>IF(OR($D91="",BY$5="",'상세일정'!AM91="제외"),"",IF($D91=$E91,IF(AND($D91&gt;=BY$5,$D91&lt;BY$5+7),"◆",""),IF(AND($D91&lt;BY$5+7,$E91&gt;BY$5),"■","")))</x:f>
      </x:c>
      <x:c r="BZ91" s="7" t="str">
        <x:f>IF(OR($D91="",BZ$5="",'상세일정'!AM91="제외"),"",IF($D91=$E91,IF(AND($D91&gt;=BZ$5,$D91&lt;BZ$5+7),"◆",""),IF(AND($D91&lt;BZ$5+7,$E91&gt;BZ$5),"■","")))</x:f>
      </x:c>
      <x:c r="CA91" s="7" t="str">
        <x:f>IF(OR($D91="",CA$5="",'상세일정'!AM91="제외"),"",IF($D91=$E91,IF(AND($D91&gt;=CA$5,$D91&lt;CA$5+7),"◆",""),IF(AND($D91&lt;CA$5+7,$E91&gt;CA$5),"■","")))</x:f>
      </x:c>
      <x:c r="CB91" s="7" t="str">
        <x:f>IF(OR($D91="",CB$5="",'상세일정'!AM91="제외"),"",IF($D91=$E91,IF(AND($D91&gt;=CB$5,$D91&lt;CB$5+7),"◆",""),IF(AND($D91&lt;CB$5+7,$E91&gt;CB$5),"■","")))</x:f>
      </x:c>
      <x:c r="CC91" s="7" t="str">
        <x:f>IF(OR($D91="",CC$5="",'상세일정'!AM91="제외"),"",IF($D91=$E91,IF(AND($D91&gt;=CC$5,$D91&lt;CC$5+7),"◆",""),IF(AND($D91&lt;CC$5+7,$E91&gt;CC$5),"■","")))</x:f>
      </x:c>
      <x:c r="CD91" s="7" t="str">
        <x:f>IF(OR($D91="",CD$5="",'상세일정'!AM91="제외"),"",IF($D91=$E91,IF(AND($D91&gt;=CD$5,$D91&lt;CD$5+7),"◆",""),IF(AND($D91&lt;CD$5+7,$E91&gt;CD$5),"■","")))</x:f>
      </x:c>
      <x:c r="CE91" s="7" t="str">
        <x:f>IF(OR($D91="",CE$5="",'상세일정'!AM91="제외"),"",IF($D91=$E91,IF(AND($D91&gt;=CE$5,$D91&lt;CE$5+7),"◆",""),IF(AND($D91&lt;CE$5+7,$E91&gt;CE$5),"■","")))</x:f>
      </x:c>
      <x:c r="CF91" s="7" t="str">
        <x:f>IF(OR($D91="",CF$5="",'상세일정'!AM91="제외"),"",IF($D91=$E91,IF(AND($D91&gt;=CF$5,$D91&lt;CF$5+7),"◆",""),IF(AND($D91&lt;CF$5+7,$E91&gt;CF$5),"■","")))</x:f>
      </x:c>
      <x:c r="CG91" s="7" t="str">
        <x:f>IF(OR($D91="",CG$5="",'상세일정'!AM91="제외"),"",IF($D91=$E91,IF(AND($D91&gt;=CG$5,$D91&lt;CG$5+7),"◆",""),IF(AND($D91&lt;CG$5+7,$E91&gt;CG$5),"■","")))</x:f>
      </x:c>
      <x:c r="CH91" s="7" t="str">
        <x:f>IF(OR($D91="",CH$5="",'상세일정'!AM91="제외"),"",IF($D91=$E91,IF(AND($D91&gt;=CH$5,$D91&lt;CH$5+7),"◆",""),IF(AND($D91&lt;CH$5+7,$E91&gt;CH$5),"■","")))</x:f>
      </x:c>
      <x:c r="CI91" s="7" t="str">
        <x:f>IF(OR($D91="",CI$5="",'상세일정'!AM91="제외"),"",IF($D91=$E91,IF(AND($D91&gt;=CI$5,$D91&lt;CI$5+7),"◆",""),IF(AND($D91&lt;CI$5+7,$E91&gt;CI$5),"■","")))</x:f>
      </x:c>
      <x:c r="CJ91" s="7" t="str">
        <x:f>IF(OR($D91="",CJ$5="",'상세일정'!AM91="제외"),"",IF($D91=$E91,IF(AND($D91&gt;=CJ$5,$D91&lt;CJ$5+7),"◆",""),IF(AND($D91&lt;CJ$5+7,$E91&gt;CJ$5),"■","")))</x:f>
      </x:c>
      <x:c r="CK91" s="7" t="str">
        <x:f>IF(OR($D91="",CK$5="",'상세일정'!AM91="제외"),"",IF($D91=$E91,IF(AND($D91&gt;=CK$5,$D91&lt;CK$5+7),"◆",""),IF(AND($D91&lt;CK$5+7,$E91&gt;CK$5),"■","")))</x:f>
      </x:c>
      <x:c r="CL91" s="7" t="str">
        <x:f>IF(OR($D91="",CL$5="",'상세일정'!AM91="제외"),"",IF($D91=$E91,IF(AND($D91&gt;=CL$5,$D91&lt;CL$5+7),"◆",""),IF(AND($D91&lt;CL$5+7,$E91&gt;CL$5),"■","")))</x:f>
      </x:c>
      <x:c r="CM91" s="7" t="str">
        <x:f>IF(OR($D91="",CM$5="",'상세일정'!AM91="제외"),"",IF($D91=$E91,IF(AND($D91&gt;=CM$5,$D91&lt;CM$5+7),"◆",""),IF(AND($D91&lt;CM$5+7,$E91&gt;CM$5),"■","")))</x:f>
      </x:c>
      <x:c r="CN91" s="7" t="str">
        <x:f>IF(OR($D91="",CN$5="",'상세일정'!AM91="제외"),"",IF($D91=$E91,IF(AND($D91&gt;=CN$5,$D91&lt;CN$5+7),"◆",""),IF(AND($D91&lt;CN$5+7,$E91&gt;CN$5),"■","")))</x:f>
      </x:c>
      <x:c r="CO91" s="7" t="str">
        <x:f>IF(OR($D91="",CO$5="",'상세일정'!AM91="제외"),"",IF($D91=$E91,IF(AND($D91&gt;=CO$5,$D91&lt;CO$5+7),"◆",""),IF(AND($D91&lt;CO$5+7,$E91&gt;CO$5),"■","")))</x:f>
      </x:c>
      <x:c r="CP91" s="7" t="str">
        <x:f>IF(OR($D91="",CP$5="",'상세일정'!AM91="제외"),"",IF($D91=$E91,IF(AND($D91&gt;=CP$5,$D91&lt;CP$5+7),"◆",""),IF(AND($D91&lt;CP$5+7,$E91&gt;CP$5),"■","")))</x:f>
      </x:c>
      <x:c r="CQ91" s="7" t="str">
        <x:f>IF(OR($D91="",CQ$5="",'상세일정'!AM91="제외"),"",IF($D91=$E91,IF(AND($D91&gt;=CQ$5,$D91&lt;CQ$5+7),"◆",""),IF(AND($D91&lt;CQ$5+7,$E91&gt;CQ$5),"■","")))</x:f>
      </x:c>
      <x:c r="CR91" s="7" t="str">
        <x:f>IF(OR($D91="",CR$5="",'상세일정'!AM91="제외"),"",IF($D91=$E91,IF(AND($D91&gt;=CR$5,$D91&lt;CR$5+7),"◆",""),IF(AND($D91&lt;CR$5+7,$E91&gt;CR$5),"■","")))</x:f>
      </x:c>
      <x:c r="CS91" s="7" t="str">
        <x:f>IF(OR($D91="",CS$5="",'상세일정'!AM91="제외"),"",IF($D91=$E91,IF(AND($D91&gt;=CS$5,$D91&lt;CS$5+7),"◆",""),IF(AND($D91&lt;CS$5+7,$E91&gt;CS$5),"■","")))</x:f>
      </x:c>
      <x:c r="CT91" s="7" t="str">
        <x:f>IF(OR($D91="",CT$5="",'상세일정'!AM91="제외"),"",IF($D91=$E91,IF(AND($D91&gt;=CT$5,$D91&lt;CT$5+7),"◆",""),IF(AND($D91&lt;CT$5+7,$E91&gt;CT$5),"■","")))</x:f>
      </x:c>
      <x:c r="CU91" s="7" t="str">
        <x:f>IF(OR($D91="",CU$5="",'상세일정'!AM91="제외"),"",IF($D91=$E91,IF(AND($D91&gt;=CU$5,$D91&lt;CU$5+7),"◆",""),IF(AND($D91&lt;CU$5+7,$E91&gt;CU$5),"■","")))</x:f>
      </x:c>
      <x:c r="CV91" s="7" t="str">
        <x:f>IF(OR($D91="",CV$5="",'상세일정'!AM91="제외"),"",IF($D91=$E91,IF(AND($D91&gt;=CV$5,$D91&lt;CV$5+7),"◆",""),IF(AND($D91&lt;CV$5+7,$E91&gt;CV$5),"■","")))</x:f>
      </x:c>
      <x:c r="CW91" s="7" t="str">
        <x:f>IF(OR($D91="",CW$5="",'상세일정'!AM91="제외"),"",IF($D91=$E91,IF(AND($D91&gt;=CW$5,$D91&lt;CW$5+7),"◆",""),IF(AND($D91&lt;CW$5+7,$E91&gt;CW$5),"■","")))</x:f>
      </x:c>
      <x:c r="CX91" s="7" t="str">
        <x:f>IF(OR($D91="",CX$5="",'상세일정'!AM91="제외"),"",IF($D91=$E91,IF(AND($D91&gt;=CX$5,$D91&lt;CX$5+7),"◆",""),IF(AND($D91&lt;CX$5+7,$E91&gt;CX$5),"■","")))</x:f>
      </x:c>
      <x:c r="CY91" s="7" t="str">
        <x:f>IF(OR($D91="",CY$5="",'상세일정'!AM91="제외"),"",IF($D91=$E91,IF(AND($D91&gt;=CY$5,$D91&lt;CY$5+7),"◆",""),IF(AND($D91&lt;CY$5+7,$E91&gt;CY$5),"■","")))</x:f>
      </x:c>
      <x:c r="CZ91" s="7" t="str">
        <x:f>IF(OR($D91="",CZ$5="",'상세일정'!AM91="제외"),"",IF($D91=$E91,IF(AND($D91&gt;=CZ$5,$D91&lt;CZ$5+7),"◆",""),IF(AND($D91&lt;CZ$5+7,$E91&gt;CZ$5),"■","")))</x:f>
      </x:c>
      <x:c r="DA91" s="7" t="str">
        <x:f>IF(OR($D91="",DA$5="",'상세일정'!AM91="제외"),"",IF($D91=$E91,IF(AND($D91&gt;=DA$5,$D91&lt;DA$5+7),"◆",""),IF(AND($D91&lt;DA$5+7,$E91&gt;DA$5),"■","")))</x:f>
      </x:c>
      <x:c r="DB91" s="7" t="str">
        <x:f>IF(OR($D91="",DB$5="",'상세일정'!AM91="제외"),"",IF($D91=$E91,IF(AND($D91&gt;=DB$5,$D91&lt;DB$5+7),"◆",""),IF(AND($D91&lt;DB$5+7,$E91&gt;DB$5),"■","")))</x:f>
      </x:c>
      <x:c r="DC91" s="7" t="str">
        <x:f>IF(OR($D91="",DC$5="",'상세일정'!AM91="제외"),"",IF($D91=$E91,IF(AND($D91&gt;=DC$5,$D91&lt;DC$5+7),"◆",""),IF(AND($D91&lt;DC$5+7,$E91&gt;DC$5),"■","")))</x:f>
      </x:c>
      <x:c r="DD91" s="7" t="str">
        <x:f>IF(OR($D91="",DD$5="",'상세일정'!AM91="제외"),"",IF($D91=$E91,IF(AND($D91&gt;=DD$5,$D91&lt;DD$5+7),"◆",""),IF(AND($D91&lt;DD$5+7,$E91&gt;DD$5),"■","")))</x:f>
      </x:c>
      <x:c r="DE91" s="7" t="str">
        <x:f>IF(OR($D91="",DE$5="",'상세일정'!AM91="제외"),"",IF($D91=$E91,IF(AND($D91&gt;=DE$5,$D91&lt;DE$5+7),"◆",""),IF(AND($D91&lt;DE$5+7,$E91&gt;DE$5),"■","")))</x:f>
      </x:c>
    </x:row>
    <x:row r="92" ht="34" customHeight="1">
      <x:c r="A92" s="7" t="str">
        <x:v>CT01</x:v>
      </x:c>
      <x:c r="B92" s="7" t="str">
        <x:v>14 공사업체·감리 선정</x:v>
      </x:c>
      <x:c r="C92" s="7" t="str">
        <x:v>분야별 발주범위·수량·공사예산 검토</x:v>
      </x:c>
      <x:c r="D92" s="10" t="str">
        <x:f>'상세일정'!AJ92</x:f>
      </x:c>
      <x:c r="E92" s="10" t="str">
        <x:f>'상세일정'!AK92</x:f>
      </x:c>
      <x:c r="F92" s="7" t="str">
        <x:f>IF(OR($D92="",F$5="",'상세일정'!AM92="제외"),"",IF($D92=$E92,IF(AND($D92&gt;=F$5,$D92&lt;F$5+7),"◆",""),IF(AND($D92&lt;F$5+7,$E92&gt;F$5),"■","")))</x:f>
      </x:c>
      <x:c r="G92" s="7" t="str">
        <x:f>IF(OR($D92="",G$5="",'상세일정'!AM92="제외"),"",IF($D92=$E92,IF(AND($D92&gt;=G$5,$D92&lt;G$5+7),"◆",""),IF(AND($D92&lt;G$5+7,$E92&gt;G$5),"■","")))</x:f>
      </x:c>
      <x:c r="H92" s="7" t="str">
        <x:f>IF(OR($D92="",H$5="",'상세일정'!AM92="제외"),"",IF($D92=$E92,IF(AND($D92&gt;=H$5,$D92&lt;H$5+7),"◆",""),IF(AND($D92&lt;H$5+7,$E92&gt;H$5),"■","")))</x:f>
      </x:c>
      <x:c r="I92" s="7" t="str">
        <x:f>IF(OR($D92="",I$5="",'상세일정'!AM92="제외"),"",IF($D92=$E92,IF(AND($D92&gt;=I$5,$D92&lt;I$5+7),"◆",""),IF(AND($D92&lt;I$5+7,$E92&gt;I$5),"■","")))</x:f>
      </x:c>
      <x:c r="J92" s="7" t="str">
        <x:f>IF(OR($D92="",J$5="",'상세일정'!AM92="제외"),"",IF($D92=$E92,IF(AND($D92&gt;=J$5,$D92&lt;J$5+7),"◆",""),IF(AND($D92&lt;J$5+7,$E92&gt;J$5),"■","")))</x:f>
      </x:c>
      <x:c r="K92" s="7" t="str">
        <x:f>IF(OR($D92="",K$5="",'상세일정'!AM92="제외"),"",IF($D92=$E92,IF(AND($D92&gt;=K$5,$D92&lt;K$5+7),"◆",""),IF(AND($D92&lt;K$5+7,$E92&gt;K$5),"■","")))</x:f>
      </x:c>
      <x:c r="L92" s="7" t="str">
        <x:f>IF(OR($D92="",L$5="",'상세일정'!AM92="제외"),"",IF($D92=$E92,IF(AND($D92&gt;=L$5,$D92&lt;L$5+7),"◆",""),IF(AND($D92&lt;L$5+7,$E92&gt;L$5),"■","")))</x:f>
      </x:c>
      <x:c r="M92" s="7" t="str">
        <x:f>IF(OR($D92="",M$5="",'상세일정'!AM92="제외"),"",IF($D92=$E92,IF(AND($D92&gt;=M$5,$D92&lt;M$5+7),"◆",""),IF(AND($D92&lt;M$5+7,$E92&gt;M$5),"■","")))</x:f>
      </x:c>
      <x:c r="N92" s="7" t="str">
        <x:f>IF(OR($D92="",N$5="",'상세일정'!AM92="제외"),"",IF($D92=$E92,IF(AND($D92&gt;=N$5,$D92&lt;N$5+7),"◆",""),IF(AND($D92&lt;N$5+7,$E92&gt;N$5),"■","")))</x:f>
      </x:c>
      <x:c r="O92" s="7" t="str">
        <x:f>IF(OR($D92="",O$5="",'상세일정'!AM92="제외"),"",IF($D92=$E92,IF(AND($D92&gt;=O$5,$D92&lt;O$5+7),"◆",""),IF(AND($D92&lt;O$5+7,$E92&gt;O$5),"■","")))</x:f>
      </x:c>
      <x:c r="P92" s="7" t="str">
        <x:f>IF(OR($D92="",P$5="",'상세일정'!AM92="제외"),"",IF($D92=$E92,IF(AND($D92&gt;=P$5,$D92&lt;P$5+7),"◆",""),IF(AND($D92&lt;P$5+7,$E92&gt;P$5),"■","")))</x:f>
      </x:c>
      <x:c r="Q92" s="7" t="str">
        <x:f>IF(OR($D92="",Q$5="",'상세일정'!AM92="제외"),"",IF($D92=$E92,IF(AND($D92&gt;=Q$5,$D92&lt;Q$5+7),"◆",""),IF(AND($D92&lt;Q$5+7,$E92&gt;Q$5),"■","")))</x:f>
      </x:c>
      <x:c r="R92" s="7" t="str">
        <x:f>IF(OR($D92="",R$5="",'상세일정'!AM92="제외"),"",IF($D92=$E92,IF(AND($D92&gt;=R$5,$D92&lt;R$5+7),"◆",""),IF(AND($D92&lt;R$5+7,$E92&gt;R$5),"■","")))</x:f>
      </x:c>
      <x:c r="S92" s="7" t="str">
        <x:f>IF(OR($D92="",S$5="",'상세일정'!AM92="제외"),"",IF($D92=$E92,IF(AND($D92&gt;=S$5,$D92&lt;S$5+7),"◆",""),IF(AND($D92&lt;S$5+7,$E92&gt;S$5),"■","")))</x:f>
      </x:c>
      <x:c r="T92" s="7" t="str">
        <x:f>IF(OR($D92="",T$5="",'상세일정'!AM92="제외"),"",IF($D92=$E92,IF(AND($D92&gt;=T$5,$D92&lt;T$5+7),"◆",""),IF(AND($D92&lt;T$5+7,$E92&gt;T$5),"■","")))</x:f>
      </x:c>
      <x:c r="U92" s="7" t="str">
        <x:f>IF(OR($D92="",U$5="",'상세일정'!AM92="제외"),"",IF($D92=$E92,IF(AND($D92&gt;=U$5,$D92&lt;U$5+7),"◆",""),IF(AND($D92&lt;U$5+7,$E92&gt;U$5),"■","")))</x:f>
      </x:c>
      <x:c r="V92" s="7" t="str">
        <x:f>IF(OR($D92="",V$5="",'상세일정'!AM92="제외"),"",IF($D92=$E92,IF(AND($D92&gt;=V$5,$D92&lt;V$5+7),"◆",""),IF(AND($D92&lt;V$5+7,$E92&gt;V$5),"■","")))</x:f>
      </x:c>
      <x:c r="W92" s="7" t="str">
        <x:f>IF(OR($D92="",W$5="",'상세일정'!AM92="제외"),"",IF($D92=$E92,IF(AND($D92&gt;=W$5,$D92&lt;W$5+7),"◆",""),IF(AND($D92&lt;W$5+7,$E92&gt;W$5),"■","")))</x:f>
      </x:c>
      <x:c r="X92" s="7" t="str">
        <x:f>IF(OR($D92="",X$5="",'상세일정'!AM92="제외"),"",IF($D92=$E92,IF(AND($D92&gt;=X$5,$D92&lt;X$5+7),"◆",""),IF(AND($D92&lt;X$5+7,$E92&gt;X$5),"■","")))</x:f>
      </x:c>
      <x:c r="Y92" s="7" t="str">
        <x:f>IF(OR($D92="",Y$5="",'상세일정'!AM92="제외"),"",IF($D92=$E92,IF(AND($D92&gt;=Y$5,$D92&lt;Y$5+7),"◆",""),IF(AND($D92&lt;Y$5+7,$E92&gt;Y$5),"■","")))</x:f>
      </x:c>
      <x:c r="Z92" s="7" t="str">
        <x:f>IF(OR($D92="",Z$5="",'상세일정'!AM92="제외"),"",IF($D92=$E92,IF(AND($D92&gt;=Z$5,$D92&lt;Z$5+7),"◆",""),IF(AND($D92&lt;Z$5+7,$E92&gt;Z$5),"■","")))</x:f>
      </x:c>
      <x:c r="AA92" s="7" t="str">
        <x:f>IF(OR($D92="",AA$5="",'상세일정'!AM92="제외"),"",IF($D92=$E92,IF(AND($D92&gt;=AA$5,$D92&lt;AA$5+7),"◆",""),IF(AND($D92&lt;AA$5+7,$E92&gt;AA$5),"■","")))</x:f>
      </x:c>
      <x:c r="AB92" s="7" t="str">
        <x:f>IF(OR($D92="",AB$5="",'상세일정'!AM92="제외"),"",IF($D92=$E92,IF(AND($D92&gt;=AB$5,$D92&lt;AB$5+7),"◆",""),IF(AND($D92&lt;AB$5+7,$E92&gt;AB$5),"■","")))</x:f>
      </x:c>
      <x:c r="AC92" s="7" t="str">
        <x:f>IF(OR($D92="",AC$5="",'상세일정'!AM92="제외"),"",IF($D92=$E92,IF(AND($D92&gt;=AC$5,$D92&lt;AC$5+7),"◆",""),IF(AND($D92&lt;AC$5+7,$E92&gt;AC$5),"■","")))</x:f>
      </x:c>
      <x:c r="AD92" s="7" t="str">
        <x:f>IF(OR($D92="",AD$5="",'상세일정'!AM92="제외"),"",IF($D92=$E92,IF(AND($D92&gt;=AD$5,$D92&lt;AD$5+7),"◆",""),IF(AND($D92&lt;AD$5+7,$E92&gt;AD$5),"■","")))</x:f>
      </x:c>
      <x:c r="AE92" s="7" t="str">
        <x:f>IF(OR($D92="",AE$5="",'상세일정'!AM92="제외"),"",IF($D92=$E92,IF(AND($D92&gt;=AE$5,$D92&lt;AE$5+7),"◆",""),IF(AND($D92&lt;AE$5+7,$E92&gt;AE$5),"■","")))</x:f>
      </x:c>
      <x:c r="AF92" s="7" t="str">
        <x:f>IF(OR($D92="",AF$5="",'상세일정'!AM92="제외"),"",IF($D92=$E92,IF(AND($D92&gt;=AF$5,$D92&lt;AF$5+7),"◆",""),IF(AND($D92&lt;AF$5+7,$E92&gt;AF$5),"■","")))</x:f>
      </x:c>
      <x:c r="AG92" s="7" t="str">
        <x:f>IF(OR($D92="",AG$5="",'상세일정'!AM92="제외"),"",IF($D92=$E92,IF(AND($D92&gt;=AG$5,$D92&lt;AG$5+7),"◆",""),IF(AND($D92&lt;AG$5+7,$E92&gt;AG$5),"■","")))</x:f>
      </x:c>
      <x:c r="AH92" s="7" t="str">
        <x:f>IF(OR($D92="",AH$5="",'상세일정'!AM92="제외"),"",IF($D92=$E92,IF(AND($D92&gt;=AH$5,$D92&lt;AH$5+7),"◆",""),IF(AND($D92&lt;AH$5+7,$E92&gt;AH$5),"■","")))</x:f>
      </x:c>
      <x:c r="AI92" s="7" t="str">
        <x:f>IF(OR($D92="",AI$5="",'상세일정'!AM92="제외"),"",IF($D92=$E92,IF(AND($D92&gt;=AI$5,$D92&lt;AI$5+7),"◆",""),IF(AND($D92&lt;AI$5+7,$E92&gt;AI$5),"■","")))</x:f>
      </x:c>
      <x:c r="AJ92" s="7" t="str">
        <x:f>IF(OR($D92="",AJ$5="",'상세일정'!AM92="제외"),"",IF($D92=$E92,IF(AND($D92&gt;=AJ$5,$D92&lt;AJ$5+7),"◆",""),IF(AND($D92&lt;AJ$5+7,$E92&gt;AJ$5),"■","")))</x:f>
      </x:c>
      <x:c r="AK92" s="7" t="str">
        <x:f>IF(OR($D92="",AK$5="",'상세일정'!AM92="제외"),"",IF($D92=$E92,IF(AND($D92&gt;=AK$5,$D92&lt;AK$5+7),"◆",""),IF(AND($D92&lt;AK$5+7,$E92&gt;AK$5),"■","")))</x:f>
      </x:c>
      <x:c r="AL92" s="7" t="str">
        <x:f>IF(OR($D92="",AL$5="",'상세일정'!AM92="제외"),"",IF($D92=$E92,IF(AND($D92&gt;=AL$5,$D92&lt;AL$5+7),"◆",""),IF(AND($D92&lt;AL$5+7,$E92&gt;AL$5),"■","")))</x:f>
      </x:c>
      <x:c r="AM92" s="7" t="str">
        <x:f>IF(OR($D92="",AM$5="",'상세일정'!AM92="제외"),"",IF($D92=$E92,IF(AND($D92&gt;=AM$5,$D92&lt;AM$5+7),"◆",""),IF(AND($D92&lt;AM$5+7,$E92&gt;AM$5),"■","")))</x:f>
      </x:c>
      <x:c r="AN92" s="7" t="str">
        <x:f>IF(OR($D92="",AN$5="",'상세일정'!AM92="제외"),"",IF($D92=$E92,IF(AND($D92&gt;=AN$5,$D92&lt;AN$5+7),"◆",""),IF(AND($D92&lt;AN$5+7,$E92&gt;AN$5),"■","")))</x:f>
      </x:c>
      <x:c r="AO92" s="7" t="str">
        <x:f>IF(OR($D92="",AO$5="",'상세일정'!AM92="제외"),"",IF($D92=$E92,IF(AND($D92&gt;=AO$5,$D92&lt;AO$5+7),"◆",""),IF(AND($D92&lt;AO$5+7,$E92&gt;AO$5),"■","")))</x:f>
      </x:c>
      <x:c r="AP92" s="7" t="str">
        <x:f>IF(OR($D92="",AP$5="",'상세일정'!AM92="제외"),"",IF($D92=$E92,IF(AND($D92&gt;=AP$5,$D92&lt;AP$5+7),"◆",""),IF(AND($D92&lt;AP$5+7,$E92&gt;AP$5),"■","")))</x:f>
      </x:c>
      <x:c r="AQ92" s="7" t="str">
        <x:f>IF(OR($D92="",AQ$5="",'상세일정'!AM92="제외"),"",IF($D92=$E92,IF(AND($D92&gt;=AQ$5,$D92&lt;AQ$5+7),"◆",""),IF(AND($D92&lt;AQ$5+7,$E92&gt;AQ$5),"■","")))</x:f>
      </x:c>
      <x:c r="AR92" s="7" t="str">
        <x:f>IF(OR($D92="",AR$5="",'상세일정'!AM92="제외"),"",IF($D92=$E92,IF(AND($D92&gt;=AR$5,$D92&lt;AR$5+7),"◆",""),IF(AND($D92&lt;AR$5+7,$E92&gt;AR$5),"■","")))</x:f>
      </x:c>
      <x:c r="AS92" s="7" t="str">
        <x:f>IF(OR($D92="",AS$5="",'상세일정'!AM92="제외"),"",IF($D92=$E92,IF(AND($D92&gt;=AS$5,$D92&lt;AS$5+7),"◆",""),IF(AND($D92&lt;AS$5+7,$E92&gt;AS$5),"■","")))</x:f>
      </x:c>
      <x:c r="AT92" s="7" t="str">
        <x:f>IF(OR($D92="",AT$5="",'상세일정'!AM92="제외"),"",IF($D92=$E92,IF(AND($D92&gt;=AT$5,$D92&lt;AT$5+7),"◆",""),IF(AND($D92&lt;AT$5+7,$E92&gt;AT$5),"■","")))</x:f>
      </x:c>
      <x:c r="AU92" s="7" t="str">
        <x:f>IF(OR($D92="",AU$5="",'상세일정'!AM92="제외"),"",IF($D92=$E92,IF(AND($D92&gt;=AU$5,$D92&lt;AU$5+7),"◆",""),IF(AND($D92&lt;AU$5+7,$E92&gt;AU$5),"■","")))</x:f>
      </x:c>
      <x:c r="AV92" s="7" t="str">
        <x:f>IF(OR($D92="",AV$5="",'상세일정'!AM92="제외"),"",IF($D92=$E92,IF(AND($D92&gt;=AV$5,$D92&lt;AV$5+7),"◆",""),IF(AND($D92&lt;AV$5+7,$E92&gt;AV$5),"■","")))</x:f>
      </x:c>
      <x:c r="AW92" s="7" t="str">
        <x:f>IF(OR($D92="",AW$5="",'상세일정'!AM92="제외"),"",IF($D92=$E92,IF(AND($D92&gt;=AW$5,$D92&lt;AW$5+7),"◆",""),IF(AND($D92&lt;AW$5+7,$E92&gt;AW$5),"■","")))</x:f>
      </x:c>
      <x:c r="AX92" s="7" t="str">
        <x:f>IF(OR($D92="",AX$5="",'상세일정'!AM92="제외"),"",IF($D92=$E92,IF(AND($D92&gt;=AX$5,$D92&lt;AX$5+7),"◆",""),IF(AND($D92&lt;AX$5+7,$E92&gt;AX$5),"■","")))</x:f>
      </x:c>
      <x:c r="AY92" s="7" t="str">
        <x:f>IF(OR($D92="",AY$5="",'상세일정'!AM92="제외"),"",IF($D92=$E92,IF(AND($D92&gt;=AY$5,$D92&lt;AY$5+7),"◆",""),IF(AND($D92&lt;AY$5+7,$E92&gt;AY$5),"■","")))</x:f>
      </x:c>
      <x:c r="AZ92" s="7" t="str">
        <x:f>IF(OR($D92="",AZ$5="",'상세일정'!AM92="제외"),"",IF($D92=$E92,IF(AND($D92&gt;=AZ$5,$D92&lt;AZ$5+7),"◆",""),IF(AND($D92&lt;AZ$5+7,$E92&gt;AZ$5),"■","")))</x:f>
      </x:c>
      <x:c r="BA92" s="7" t="str">
        <x:f>IF(OR($D92="",BA$5="",'상세일정'!AM92="제외"),"",IF($D92=$E92,IF(AND($D92&gt;=BA$5,$D92&lt;BA$5+7),"◆",""),IF(AND($D92&lt;BA$5+7,$E92&gt;BA$5),"■","")))</x:f>
      </x:c>
      <x:c r="BB92" s="7" t="str">
        <x:f>IF(OR($D92="",BB$5="",'상세일정'!AM92="제외"),"",IF($D92=$E92,IF(AND($D92&gt;=BB$5,$D92&lt;BB$5+7),"◆",""),IF(AND($D92&lt;BB$5+7,$E92&gt;BB$5),"■","")))</x:f>
      </x:c>
      <x:c r="BC92" s="7" t="str">
        <x:f>IF(OR($D92="",BC$5="",'상세일정'!AM92="제외"),"",IF($D92=$E92,IF(AND($D92&gt;=BC$5,$D92&lt;BC$5+7),"◆",""),IF(AND($D92&lt;BC$5+7,$E92&gt;BC$5),"■","")))</x:f>
      </x:c>
      <x:c r="BD92" s="7" t="str">
        <x:f>IF(OR($D92="",BD$5="",'상세일정'!AM92="제외"),"",IF($D92=$E92,IF(AND($D92&gt;=BD$5,$D92&lt;BD$5+7),"◆",""),IF(AND($D92&lt;BD$5+7,$E92&gt;BD$5),"■","")))</x:f>
      </x:c>
      <x:c r="BE92" s="7" t="str">
        <x:f>IF(OR($D92="",BE$5="",'상세일정'!AM92="제외"),"",IF($D92=$E92,IF(AND($D92&gt;=BE$5,$D92&lt;BE$5+7),"◆",""),IF(AND($D92&lt;BE$5+7,$E92&gt;BE$5),"■","")))</x:f>
      </x:c>
      <x:c r="BF92" s="7" t="str">
        <x:f>IF(OR($D92="",BF$5="",'상세일정'!AM92="제외"),"",IF($D92=$E92,IF(AND($D92&gt;=BF$5,$D92&lt;BF$5+7),"◆",""),IF(AND($D92&lt;BF$5+7,$E92&gt;BF$5),"■","")))</x:f>
      </x:c>
      <x:c r="BG92" s="7" t="str">
        <x:f>IF(OR($D92="",BG$5="",'상세일정'!AM92="제외"),"",IF($D92=$E92,IF(AND($D92&gt;=BG$5,$D92&lt;BG$5+7),"◆",""),IF(AND($D92&lt;BG$5+7,$E92&gt;BG$5),"■","")))</x:f>
      </x:c>
      <x:c r="BH92" s="7" t="str">
        <x:f>IF(OR($D92="",BH$5="",'상세일정'!AM92="제외"),"",IF($D92=$E92,IF(AND($D92&gt;=BH$5,$D92&lt;BH$5+7),"◆",""),IF(AND($D92&lt;BH$5+7,$E92&gt;BH$5),"■","")))</x:f>
      </x:c>
      <x:c r="BI92" s="7" t="str">
        <x:f>IF(OR($D92="",BI$5="",'상세일정'!AM92="제외"),"",IF($D92=$E92,IF(AND($D92&gt;=BI$5,$D92&lt;BI$5+7),"◆",""),IF(AND($D92&lt;BI$5+7,$E92&gt;BI$5),"■","")))</x:f>
      </x:c>
      <x:c r="BJ92" s="7" t="str">
        <x:f>IF(OR($D92="",BJ$5="",'상세일정'!AM92="제외"),"",IF($D92=$E92,IF(AND($D92&gt;=BJ$5,$D92&lt;BJ$5+7),"◆",""),IF(AND($D92&lt;BJ$5+7,$E92&gt;BJ$5),"■","")))</x:f>
      </x:c>
      <x:c r="BK92" s="7" t="str">
        <x:f>IF(OR($D92="",BK$5="",'상세일정'!AM92="제외"),"",IF($D92=$E92,IF(AND($D92&gt;=BK$5,$D92&lt;BK$5+7),"◆",""),IF(AND($D92&lt;BK$5+7,$E92&gt;BK$5),"■","")))</x:f>
      </x:c>
      <x:c r="BL92" s="7" t="str">
        <x:f>IF(OR($D92="",BL$5="",'상세일정'!AM92="제외"),"",IF($D92=$E92,IF(AND($D92&gt;=BL$5,$D92&lt;BL$5+7),"◆",""),IF(AND($D92&lt;BL$5+7,$E92&gt;BL$5),"■","")))</x:f>
      </x:c>
      <x:c r="BM92" s="7" t="str">
        <x:f>IF(OR($D92="",BM$5="",'상세일정'!AM92="제외"),"",IF($D92=$E92,IF(AND($D92&gt;=BM$5,$D92&lt;BM$5+7),"◆",""),IF(AND($D92&lt;BM$5+7,$E92&gt;BM$5),"■","")))</x:f>
      </x:c>
      <x:c r="BN92" s="7" t="str">
        <x:f>IF(OR($D92="",BN$5="",'상세일정'!AM92="제외"),"",IF($D92=$E92,IF(AND($D92&gt;=BN$5,$D92&lt;BN$5+7),"◆",""),IF(AND($D92&lt;BN$5+7,$E92&gt;BN$5),"■","")))</x:f>
      </x:c>
      <x:c r="BO92" s="7" t="str">
        <x:f>IF(OR($D92="",BO$5="",'상세일정'!AM92="제외"),"",IF($D92=$E92,IF(AND($D92&gt;=BO$5,$D92&lt;BO$5+7),"◆",""),IF(AND($D92&lt;BO$5+7,$E92&gt;BO$5),"■","")))</x:f>
      </x:c>
      <x:c r="BP92" s="7" t="str">
        <x:f>IF(OR($D92="",BP$5="",'상세일정'!AM92="제외"),"",IF($D92=$E92,IF(AND($D92&gt;=BP$5,$D92&lt;BP$5+7),"◆",""),IF(AND($D92&lt;BP$5+7,$E92&gt;BP$5),"■","")))</x:f>
      </x:c>
      <x:c r="BQ92" s="7" t="str">
        <x:f>IF(OR($D92="",BQ$5="",'상세일정'!AM92="제외"),"",IF($D92=$E92,IF(AND($D92&gt;=BQ$5,$D92&lt;BQ$5+7),"◆",""),IF(AND($D92&lt;BQ$5+7,$E92&gt;BQ$5),"■","")))</x:f>
      </x:c>
      <x:c r="BR92" s="7" t="str">
        <x:f>IF(OR($D92="",BR$5="",'상세일정'!AM92="제외"),"",IF($D92=$E92,IF(AND($D92&gt;=BR$5,$D92&lt;BR$5+7),"◆",""),IF(AND($D92&lt;BR$5+7,$E92&gt;BR$5),"■","")))</x:f>
      </x:c>
      <x:c r="BS92" s="7" t="str">
        <x:f>IF(OR($D92="",BS$5="",'상세일정'!AM92="제외"),"",IF($D92=$E92,IF(AND($D92&gt;=BS$5,$D92&lt;BS$5+7),"◆",""),IF(AND($D92&lt;BS$5+7,$E92&gt;BS$5),"■","")))</x:f>
      </x:c>
      <x:c r="BT92" s="7" t="str">
        <x:f>IF(OR($D92="",BT$5="",'상세일정'!AM92="제외"),"",IF($D92=$E92,IF(AND($D92&gt;=BT$5,$D92&lt;BT$5+7),"◆",""),IF(AND($D92&lt;BT$5+7,$E92&gt;BT$5),"■","")))</x:f>
      </x:c>
      <x:c r="BU92" s="7" t="str">
        <x:f>IF(OR($D92="",BU$5="",'상세일정'!AM92="제외"),"",IF($D92=$E92,IF(AND($D92&gt;=BU$5,$D92&lt;BU$5+7),"◆",""),IF(AND($D92&lt;BU$5+7,$E92&gt;BU$5),"■","")))</x:f>
      </x:c>
      <x:c r="BV92" s="7" t="str">
        <x:f>IF(OR($D92="",BV$5="",'상세일정'!AM92="제외"),"",IF($D92=$E92,IF(AND($D92&gt;=BV$5,$D92&lt;BV$5+7),"◆",""),IF(AND($D92&lt;BV$5+7,$E92&gt;BV$5),"■","")))</x:f>
      </x:c>
      <x:c r="BW92" s="7" t="str">
        <x:f>IF(OR($D92="",BW$5="",'상세일정'!AM92="제외"),"",IF($D92=$E92,IF(AND($D92&gt;=BW$5,$D92&lt;BW$5+7),"◆",""),IF(AND($D92&lt;BW$5+7,$E92&gt;BW$5),"■","")))</x:f>
      </x:c>
      <x:c r="BX92" s="7" t="str">
        <x:f>IF(OR($D92="",BX$5="",'상세일정'!AM92="제외"),"",IF($D92=$E92,IF(AND($D92&gt;=BX$5,$D92&lt;BX$5+7),"◆",""),IF(AND($D92&lt;BX$5+7,$E92&gt;BX$5),"■","")))</x:f>
      </x:c>
      <x:c r="BY92" s="7" t="str">
        <x:f>IF(OR($D92="",BY$5="",'상세일정'!AM92="제외"),"",IF($D92=$E92,IF(AND($D92&gt;=BY$5,$D92&lt;BY$5+7),"◆",""),IF(AND($D92&lt;BY$5+7,$E92&gt;BY$5),"■","")))</x:f>
      </x:c>
      <x:c r="BZ92" s="7" t="str">
        <x:f>IF(OR($D92="",BZ$5="",'상세일정'!AM92="제외"),"",IF($D92=$E92,IF(AND($D92&gt;=BZ$5,$D92&lt;BZ$5+7),"◆",""),IF(AND($D92&lt;BZ$5+7,$E92&gt;BZ$5),"■","")))</x:f>
      </x:c>
      <x:c r="CA92" s="7" t="str">
        <x:f>IF(OR($D92="",CA$5="",'상세일정'!AM92="제외"),"",IF($D92=$E92,IF(AND($D92&gt;=CA$5,$D92&lt;CA$5+7),"◆",""),IF(AND($D92&lt;CA$5+7,$E92&gt;CA$5),"■","")))</x:f>
      </x:c>
      <x:c r="CB92" s="7" t="str">
        <x:f>IF(OR($D92="",CB$5="",'상세일정'!AM92="제외"),"",IF($D92=$E92,IF(AND($D92&gt;=CB$5,$D92&lt;CB$5+7),"◆",""),IF(AND($D92&lt;CB$5+7,$E92&gt;CB$5),"■","")))</x:f>
      </x:c>
      <x:c r="CC92" s="7" t="str">
        <x:f>IF(OR($D92="",CC$5="",'상세일정'!AM92="제외"),"",IF($D92=$E92,IF(AND($D92&gt;=CC$5,$D92&lt;CC$5+7),"◆",""),IF(AND($D92&lt;CC$5+7,$E92&gt;CC$5),"■","")))</x:f>
      </x:c>
      <x:c r="CD92" s="7" t="str">
        <x:f>IF(OR($D92="",CD$5="",'상세일정'!AM92="제외"),"",IF($D92=$E92,IF(AND($D92&gt;=CD$5,$D92&lt;CD$5+7),"◆",""),IF(AND($D92&lt;CD$5+7,$E92&gt;CD$5),"■","")))</x:f>
      </x:c>
      <x:c r="CE92" s="7" t="str">
        <x:f>IF(OR($D92="",CE$5="",'상세일정'!AM92="제외"),"",IF($D92=$E92,IF(AND($D92&gt;=CE$5,$D92&lt;CE$5+7),"◆",""),IF(AND($D92&lt;CE$5+7,$E92&gt;CE$5),"■","")))</x:f>
      </x:c>
      <x:c r="CF92" s="7" t="str">
        <x:f>IF(OR($D92="",CF$5="",'상세일정'!AM92="제외"),"",IF($D92=$E92,IF(AND($D92&gt;=CF$5,$D92&lt;CF$5+7),"◆",""),IF(AND($D92&lt;CF$5+7,$E92&gt;CF$5),"■","")))</x:f>
      </x:c>
      <x:c r="CG92" s="7" t="str">
        <x:f>IF(OR($D92="",CG$5="",'상세일정'!AM92="제외"),"",IF($D92=$E92,IF(AND($D92&gt;=CG$5,$D92&lt;CG$5+7),"◆",""),IF(AND($D92&lt;CG$5+7,$E92&gt;CG$5),"■","")))</x:f>
      </x:c>
      <x:c r="CH92" s="7" t="str">
        <x:f>IF(OR($D92="",CH$5="",'상세일정'!AM92="제외"),"",IF($D92=$E92,IF(AND($D92&gt;=CH$5,$D92&lt;CH$5+7),"◆",""),IF(AND($D92&lt;CH$5+7,$E92&gt;CH$5),"■","")))</x:f>
      </x:c>
      <x:c r="CI92" s="7" t="str">
        <x:f>IF(OR($D92="",CI$5="",'상세일정'!AM92="제외"),"",IF($D92=$E92,IF(AND($D92&gt;=CI$5,$D92&lt;CI$5+7),"◆",""),IF(AND($D92&lt;CI$5+7,$E92&gt;CI$5),"■","")))</x:f>
      </x:c>
      <x:c r="CJ92" s="7" t="str">
        <x:f>IF(OR($D92="",CJ$5="",'상세일정'!AM92="제외"),"",IF($D92=$E92,IF(AND($D92&gt;=CJ$5,$D92&lt;CJ$5+7),"◆",""),IF(AND($D92&lt;CJ$5+7,$E92&gt;CJ$5),"■","")))</x:f>
      </x:c>
      <x:c r="CK92" s="7" t="str">
        <x:f>IF(OR($D92="",CK$5="",'상세일정'!AM92="제외"),"",IF($D92=$E92,IF(AND($D92&gt;=CK$5,$D92&lt;CK$5+7),"◆",""),IF(AND($D92&lt;CK$5+7,$E92&gt;CK$5),"■","")))</x:f>
      </x:c>
      <x:c r="CL92" s="7" t="str">
        <x:f>IF(OR($D92="",CL$5="",'상세일정'!AM92="제외"),"",IF($D92=$E92,IF(AND($D92&gt;=CL$5,$D92&lt;CL$5+7),"◆",""),IF(AND($D92&lt;CL$5+7,$E92&gt;CL$5),"■","")))</x:f>
      </x:c>
      <x:c r="CM92" s="7" t="str">
        <x:f>IF(OR($D92="",CM$5="",'상세일정'!AM92="제외"),"",IF($D92=$E92,IF(AND($D92&gt;=CM$5,$D92&lt;CM$5+7),"◆",""),IF(AND($D92&lt;CM$5+7,$E92&gt;CM$5),"■","")))</x:f>
      </x:c>
      <x:c r="CN92" s="7" t="str">
        <x:f>IF(OR($D92="",CN$5="",'상세일정'!AM92="제외"),"",IF($D92=$E92,IF(AND($D92&gt;=CN$5,$D92&lt;CN$5+7),"◆",""),IF(AND($D92&lt;CN$5+7,$E92&gt;CN$5),"■","")))</x:f>
      </x:c>
      <x:c r="CO92" s="7" t="str">
        <x:f>IF(OR($D92="",CO$5="",'상세일정'!AM92="제외"),"",IF($D92=$E92,IF(AND($D92&gt;=CO$5,$D92&lt;CO$5+7),"◆",""),IF(AND($D92&lt;CO$5+7,$E92&gt;CO$5),"■","")))</x:f>
      </x:c>
      <x:c r="CP92" s="7" t="str">
        <x:f>IF(OR($D92="",CP$5="",'상세일정'!AM92="제외"),"",IF($D92=$E92,IF(AND($D92&gt;=CP$5,$D92&lt;CP$5+7),"◆",""),IF(AND($D92&lt;CP$5+7,$E92&gt;CP$5),"■","")))</x:f>
      </x:c>
      <x:c r="CQ92" s="7" t="str">
        <x:f>IF(OR($D92="",CQ$5="",'상세일정'!AM92="제외"),"",IF($D92=$E92,IF(AND($D92&gt;=CQ$5,$D92&lt;CQ$5+7),"◆",""),IF(AND($D92&lt;CQ$5+7,$E92&gt;CQ$5),"■","")))</x:f>
      </x:c>
      <x:c r="CR92" s="7" t="str">
        <x:f>IF(OR($D92="",CR$5="",'상세일정'!AM92="제외"),"",IF($D92=$E92,IF(AND($D92&gt;=CR$5,$D92&lt;CR$5+7),"◆",""),IF(AND($D92&lt;CR$5+7,$E92&gt;CR$5),"■","")))</x:f>
      </x:c>
      <x:c r="CS92" s="7" t="str">
        <x:f>IF(OR($D92="",CS$5="",'상세일정'!AM92="제외"),"",IF($D92=$E92,IF(AND($D92&gt;=CS$5,$D92&lt;CS$5+7),"◆",""),IF(AND($D92&lt;CS$5+7,$E92&gt;CS$5),"■","")))</x:f>
      </x:c>
      <x:c r="CT92" s="7" t="str">
        <x:f>IF(OR($D92="",CT$5="",'상세일정'!AM92="제외"),"",IF($D92=$E92,IF(AND($D92&gt;=CT$5,$D92&lt;CT$5+7),"◆",""),IF(AND($D92&lt;CT$5+7,$E92&gt;CT$5),"■","")))</x:f>
      </x:c>
      <x:c r="CU92" s="7" t="str">
        <x:f>IF(OR($D92="",CU$5="",'상세일정'!AM92="제외"),"",IF($D92=$E92,IF(AND($D92&gt;=CU$5,$D92&lt;CU$5+7),"◆",""),IF(AND($D92&lt;CU$5+7,$E92&gt;CU$5),"■","")))</x:f>
      </x:c>
      <x:c r="CV92" s="7" t="str">
        <x:f>IF(OR($D92="",CV$5="",'상세일정'!AM92="제외"),"",IF($D92=$E92,IF(AND($D92&gt;=CV$5,$D92&lt;CV$5+7),"◆",""),IF(AND($D92&lt;CV$5+7,$E92&gt;CV$5),"■","")))</x:f>
      </x:c>
      <x:c r="CW92" s="7" t="str">
        <x:f>IF(OR($D92="",CW$5="",'상세일정'!AM92="제외"),"",IF($D92=$E92,IF(AND($D92&gt;=CW$5,$D92&lt;CW$5+7),"◆",""),IF(AND($D92&lt;CW$5+7,$E92&gt;CW$5),"■","")))</x:f>
      </x:c>
      <x:c r="CX92" s="7" t="str">
        <x:f>IF(OR($D92="",CX$5="",'상세일정'!AM92="제외"),"",IF($D92=$E92,IF(AND($D92&gt;=CX$5,$D92&lt;CX$5+7),"◆",""),IF(AND($D92&lt;CX$5+7,$E92&gt;CX$5),"■","")))</x:f>
      </x:c>
      <x:c r="CY92" s="7" t="str">
        <x:f>IF(OR($D92="",CY$5="",'상세일정'!AM92="제외"),"",IF($D92=$E92,IF(AND($D92&gt;=CY$5,$D92&lt;CY$5+7),"◆",""),IF(AND($D92&lt;CY$5+7,$E92&gt;CY$5),"■","")))</x:f>
      </x:c>
      <x:c r="CZ92" s="7" t="str">
        <x:f>IF(OR($D92="",CZ$5="",'상세일정'!AM92="제외"),"",IF($D92=$E92,IF(AND($D92&gt;=CZ$5,$D92&lt;CZ$5+7),"◆",""),IF(AND($D92&lt;CZ$5+7,$E92&gt;CZ$5),"■","")))</x:f>
      </x:c>
      <x:c r="DA92" s="7" t="str">
        <x:f>IF(OR($D92="",DA$5="",'상세일정'!AM92="제외"),"",IF($D92=$E92,IF(AND($D92&gt;=DA$5,$D92&lt;DA$5+7),"◆",""),IF(AND($D92&lt;DA$5+7,$E92&gt;DA$5),"■","")))</x:f>
      </x:c>
      <x:c r="DB92" s="7" t="str">
        <x:f>IF(OR($D92="",DB$5="",'상세일정'!AM92="제외"),"",IF($D92=$E92,IF(AND($D92&gt;=DB$5,$D92&lt;DB$5+7),"◆",""),IF(AND($D92&lt;DB$5+7,$E92&gt;DB$5),"■","")))</x:f>
      </x:c>
      <x:c r="DC92" s="7" t="str">
        <x:f>IF(OR($D92="",DC$5="",'상세일정'!AM92="제외"),"",IF($D92=$E92,IF(AND($D92&gt;=DC$5,$D92&lt;DC$5+7),"◆",""),IF(AND($D92&lt;DC$5+7,$E92&gt;DC$5),"■","")))</x:f>
      </x:c>
      <x:c r="DD92" s="7" t="str">
        <x:f>IF(OR($D92="",DD$5="",'상세일정'!AM92="제외"),"",IF($D92=$E92,IF(AND($D92&gt;=DD$5,$D92&lt;DD$5+7),"◆",""),IF(AND($D92&lt;DD$5+7,$E92&gt;DD$5),"■","")))</x:f>
      </x:c>
      <x:c r="DE92" s="7" t="str">
        <x:f>IF(OR($D92="",DE$5="",'상세일정'!AM92="제외"),"",IF($D92=$E92,IF(AND($D92&gt;=DE$5,$D92&lt;DE$5+7),"◆",""),IF(AND($D92&lt;DE$5+7,$E92&gt;DE$5),"■","")))</x:f>
      </x:c>
    </x:row>
    <x:row r="93" ht="34" customHeight="1">
      <x:c r="A93" s="7" t="str">
        <x:v>CT02</x:v>
      </x:c>
      <x:c r="B93" s="7" t="str">
        <x:v>14 공사업체·감리 선정</x:v>
      </x:c>
      <x:c r="C93" s="7" t="str">
        <x:v>발주사양·과업지시서·공고자료 확정</x:v>
      </x:c>
      <x:c r="D93" s="10" t="str">
        <x:f>'상세일정'!AJ93</x:f>
      </x:c>
      <x:c r="E93" s="10" t="str">
        <x:f>'상세일정'!AK93</x:f>
      </x:c>
      <x:c r="F93" s="7" t="str">
        <x:f>IF(OR($D93="",F$5="",'상세일정'!AM93="제외"),"",IF($D93=$E93,IF(AND($D93&gt;=F$5,$D93&lt;F$5+7),"◆",""),IF(AND($D93&lt;F$5+7,$E93&gt;F$5),"■","")))</x:f>
      </x:c>
      <x:c r="G93" s="7" t="str">
        <x:f>IF(OR($D93="",G$5="",'상세일정'!AM93="제외"),"",IF($D93=$E93,IF(AND($D93&gt;=G$5,$D93&lt;G$5+7),"◆",""),IF(AND($D93&lt;G$5+7,$E93&gt;G$5),"■","")))</x:f>
      </x:c>
      <x:c r="H93" s="7" t="str">
        <x:f>IF(OR($D93="",H$5="",'상세일정'!AM93="제외"),"",IF($D93=$E93,IF(AND($D93&gt;=H$5,$D93&lt;H$5+7),"◆",""),IF(AND($D93&lt;H$5+7,$E93&gt;H$5),"■","")))</x:f>
      </x:c>
      <x:c r="I93" s="7" t="str">
        <x:f>IF(OR($D93="",I$5="",'상세일정'!AM93="제외"),"",IF($D93=$E93,IF(AND($D93&gt;=I$5,$D93&lt;I$5+7),"◆",""),IF(AND($D93&lt;I$5+7,$E93&gt;I$5),"■","")))</x:f>
      </x:c>
      <x:c r="J93" s="7" t="str">
        <x:f>IF(OR($D93="",J$5="",'상세일정'!AM93="제외"),"",IF($D93=$E93,IF(AND($D93&gt;=J$5,$D93&lt;J$5+7),"◆",""),IF(AND($D93&lt;J$5+7,$E93&gt;J$5),"■","")))</x:f>
      </x:c>
      <x:c r="K93" s="7" t="str">
        <x:f>IF(OR($D93="",K$5="",'상세일정'!AM93="제외"),"",IF($D93=$E93,IF(AND($D93&gt;=K$5,$D93&lt;K$5+7),"◆",""),IF(AND($D93&lt;K$5+7,$E93&gt;K$5),"■","")))</x:f>
      </x:c>
      <x:c r="L93" s="7" t="str">
        <x:f>IF(OR($D93="",L$5="",'상세일정'!AM93="제외"),"",IF($D93=$E93,IF(AND($D93&gt;=L$5,$D93&lt;L$5+7),"◆",""),IF(AND($D93&lt;L$5+7,$E93&gt;L$5),"■","")))</x:f>
      </x:c>
      <x:c r="M93" s="7" t="str">
        <x:f>IF(OR($D93="",M$5="",'상세일정'!AM93="제외"),"",IF($D93=$E93,IF(AND($D93&gt;=M$5,$D93&lt;M$5+7),"◆",""),IF(AND($D93&lt;M$5+7,$E93&gt;M$5),"■","")))</x:f>
      </x:c>
      <x:c r="N93" s="7" t="str">
        <x:f>IF(OR($D93="",N$5="",'상세일정'!AM93="제외"),"",IF($D93=$E93,IF(AND($D93&gt;=N$5,$D93&lt;N$5+7),"◆",""),IF(AND($D93&lt;N$5+7,$E93&gt;N$5),"■","")))</x:f>
      </x:c>
      <x:c r="O93" s="7" t="str">
        <x:f>IF(OR($D93="",O$5="",'상세일정'!AM93="제외"),"",IF($D93=$E93,IF(AND($D93&gt;=O$5,$D93&lt;O$5+7),"◆",""),IF(AND($D93&lt;O$5+7,$E93&gt;O$5),"■","")))</x:f>
      </x:c>
      <x:c r="P93" s="7" t="str">
        <x:f>IF(OR($D93="",P$5="",'상세일정'!AM93="제외"),"",IF($D93=$E93,IF(AND($D93&gt;=P$5,$D93&lt;P$5+7),"◆",""),IF(AND($D93&lt;P$5+7,$E93&gt;P$5),"■","")))</x:f>
      </x:c>
      <x:c r="Q93" s="7" t="str">
        <x:f>IF(OR($D93="",Q$5="",'상세일정'!AM93="제외"),"",IF($D93=$E93,IF(AND($D93&gt;=Q$5,$D93&lt;Q$5+7),"◆",""),IF(AND($D93&lt;Q$5+7,$E93&gt;Q$5),"■","")))</x:f>
      </x:c>
      <x:c r="R93" s="7" t="str">
        <x:f>IF(OR($D93="",R$5="",'상세일정'!AM93="제외"),"",IF($D93=$E93,IF(AND($D93&gt;=R$5,$D93&lt;R$5+7),"◆",""),IF(AND($D93&lt;R$5+7,$E93&gt;R$5),"■","")))</x:f>
      </x:c>
      <x:c r="S93" s="7" t="str">
        <x:f>IF(OR($D93="",S$5="",'상세일정'!AM93="제외"),"",IF($D93=$E93,IF(AND($D93&gt;=S$5,$D93&lt;S$5+7),"◆",""),IF(AND($D93&lt;S$5+7,$E93&gt;S$5),"■","")))</x:f>
      </x:c>
      <x:c r="T93" s="7" t="str">
        <x:f>IF(OR($D93="",T$5="",'상세일정'!AM93="제외"),"",IF($D93=$E93,IF(AND($D93&gt;=T$5,$D93&lt;T$5+7),"◆",""),IF(AND($D93&lt;T$5+7,$E93&gt;T$5),"■","")))</x:f>
      </x:c>
      <x:c r="U93" s="7" t="str">
        <x:f>IF(OR($D93="",U$5="",'상세일정'!AM93="제외"),"",IF($D93=$E93,IF(AND($D93&gt;=U$5,$D93&lt;U$5+7),"◆",""),IF(AND($D93&lt;U$5+7,$E93&gt;U$5),"■","")))</x:f>
      </x:c>
      <x:c r="V93" s="7" t="str">
        <x:f>IF(OR($D93="",V$5="",'상세일정'!AM93="제외"),"",IF($D93=$E93,IF(AND($D93&gt;=V$5,$D93&lt;V$5+7),"◆",""),IF(AND($D93&lt;V$5+7,$E93&gt;V$5),"■","")))</x:f>
      </x:c>
      <x:c r="W93" s="7" t="str">
        <x:f>IF(OR($D93="",W$5="",'상세일정'!AM93="제외"),"",IF($D93=$E93,IF(AND($D93&gt;=W$5,$D93&lt;W$5+7),"◆",""),IF(AND($D93&lt;W$5+7,$E93&gt;W$5),"■","")))</x:f>
      </x:c>
      <x:c r="X93" s="7" t="str">
        <x:f>IF(OR($D93="",X$5="",'상세일정'!AM93="제외"),"",IF($D93=$E93,IF(AND($D93&gt;=X$5,$D93&lt;X$5+7),"◆",""),IF(AND($D93&lt;X$5+7,$E93&gt;X$5),"■","")))</x:f>
      </x:c>
      <x:c r="Y93" s="7" t="str">
        <x:f>IF(OR($D93="",Y$5="",'상세일정'!AM93="제외"),"",IF($D93=$E93,IF(AND($D93&gt;=Y$5,$D93&lt;Y$5+7),"◆",""),IF(AND($D93&lt;Y$5+7,$E93&gt;Y$5),"■","")))</x:f>
      </x:c>
      <x:c r="Z93" s="7" t="str">
        <x:f>IF(OR($D93="",Z$5="",'상세일정'!AM93="제외"),"",IF($D93=$E93,IF(AND($D93&gt;=Z$5,$D93&lt;Z$5+7),"◆",""),IF(AND($D93&lt;Z$5+7,$E93&gt;Z$5),"■","")))</x:f>
      </x:c>
      <x:c r="AA93" s="7" t="str">
        <x:f>IF(OR($D93="",AA$5="",'상세일정'!AM93="제외"),"",IF($D93=$E93,IF(AND($D93&gt;=AA$5,$D93&lt;AA$5+7),"◆",""),IF(AND($D93&lt;AA$5+7,$E93&gt;AA$5),"■","")))</x:f>
      </x:c>
      <x:c r="AB93" s="7" t="str">
        <x:f>IF(OR($D93="",AB$5="",'상세일정'!AM93="제외"),"",IF($D93=$E93,IF(AND($D93&gt;=AB$5,$D93&lt;AB$5+7),"◆",""),IF(AND($D93&lt;AB$5+7,$E93&gt;AB$5),"■","")))</x:f>
      </x:c>
      <x:c r="AC93" s="7" t="str">
        <x:f>IF(OR($D93="",AC$5="",'상세일정'!AM93="제외"),"",IF($D93=$E93,IF(AND($D93&gt;=AC$5,$D93&lt;AC$5+7),"◆",""),IF(AND($D93&lt;AC$5+7,$E93&gt;AC$5),"■","")))</x:f>
      </x:c>
      <x:c r="AD93" s="7" t="str">
        <x:f>IF(OR($D93="",AD$5="",'상세일정'!AM93="제외"),"",IF($D93=$E93,IF(AND($D93&gt;=AD$5,$D93&lt;AD$5+7),"◆",""),IF(AND($D93&lt;AD$5+7,$E93&gt;AD$5),"■","")))</x:f>
      </x:c>
      <x:c r="AE93" s="7" t="str">
        <x:f>IF(OR($D93="",AE$5="",'상세일정'!AM93="제외"),"",IF($D93=$E93,IF(AND($D93&gt;=AE$5,$D93&lt;AE$5+7),"◆",""),IF(AND($D93&lt;AE$5+7,$E93&gt;AE$5),"■","")))</x:f>
      </x:c>
      <x:c r="AF93" s="7" t="str">
        <x:f>IF(OR($D93="",AF$5="",'상세일정'!AM93="제외"),"",IF($D93=$E93,IF(AND($D93&gt;=AF$5,$D93&lt;AF$5+7),"◆",""),IF(AND($D93&lt;AF$5+7,$E93&gt;AF$5),"■","")))</x:f>
      </x:c>
      <x:c r="AG93" s="7" t="str">
        <x:f>IF(OR($D93="",AG$5="",'상세일정'!AM93="제외"),"",IF($D93=$E93,IF(AND($D93&gt;=AG$5,$D93&lt;AG$5+7),"◆",""),IF(AND($D93&lt;AG$5+7,$E93&gt;AG$5),"■","")))</x:f>
      </x:c>
      <x:c r="AH93" s="7" t="str">
        <x:f>IF(OR($D93="",AH$5="",'상세일정'!AM93="제외"),"",IF($D93=$E93,IF(AND($D93&gt;=AH$5,$D93&lt;AH$5+7),"◆",""),IF(AND($D93&lt;AH$5+7,$E93&gt;AH$5),"■","")))</x:f>
      </x:c>
      <x:c r="AI93" s="7" t="str">
        <x:f>IF(OR($D93="",AI$5="",'상세일정'!AM93="제외"),"",IF($D93=$E93,IF(AND($D93&gt;=AI$5,$D93&lt;AI$5+7),"◆",""),IF(AND($D93&lt;AI$5+7,$E93&gt;AI$5),"■","")))</x:f>
      </x:c>
      <x:c r="AJ93" s="7" t="str">
        <x:f>IF(OR($D93="",AJ$5="",'상세일정'!AM93="제외"),"",IF($D93=$E93,IF(AND($D93&gt;=AJ$5,$D93&lt;AJ$5+7),"◆",""),IF(AND($D93&lt;AJ$5+7,$E93&gt;AJ$5),"■","")))</x:f>
      </x:c>
      <x:c r="AK93" s="7" t="str">
        <x:f>IF(OR($D93="",AK$5="",'상세일정'!AM93="제외"),"",IF($D93=$E93,IF(AND($D93&gt;=AK$5,$D93&lt;AK$5+7),"◆",""),IF(AND($D93&lt;AK$5+7,$E93&gt;AK$5),"■","")))</x:f>
      </x:c>
      <x:c r="AL93" s="7" t="str">
        <x:f>IF(OR($D93="",AL$5="",'상세일정'!AM93="제외"),"",IF($D93=$E93,IF(AND($D93&gt;=AL$5,$D93&lt;AL$5+7),"◆",""),IF(AND($D93&lt;AL$5+7,$E93&gt;AL$5),"■","")))</x:f>
      </x:c>
      <x:c r="AM93" s="7" t="str">
        <x:f>IF(OR($D93="",AM$5="",'상세일정'!AM93="제외"),"",IF($D93=$E93,IF(AND($D93&gt;=AM$5,$D93&lt;AM$5+7),"◆",""),IF(AND($D93&lt;AM$5+7,$E93&gt;AM$5),"■","")))</x:f>
      </x:c>
      <x:c r="AN93" s="7" t="str">
        <x:f>IF(OR($D93="",AN$5="",'상세일정'!AM93="제외"),"",IF($D93=$E93,IF(AND($D93&gt;=AN$5,$D93&lt;AN$5+7),"◆",""),IF(AND($D93&lt;AN$5+7,$E93&gt;AN$5),"■","")))</x:f>
      </x:c>
      <x:c r="AO93" s="7" t="str">
        <x:f>IF(OR($D93="",AO$5="",'상세일정'!AM93="제외"),"",IF($D93=$E93,IF(AND($D93&gt;=AO$5,$D93&lt;AO$5+7),"◆",""),IF(AND($D93&lt;AO$5+7,$E93&gt;AO$5),"■","")))</x:f>
      </x:c>
      <x:c r="AP93" s="7" t="str">
        <x:f>IF(OR($D93="",AP$5="",'상세일정'!AM93="제외"),"",IF($D93=$E93,IF(AND($D93&gt;=AP$5,$D93&lt;AP$5+7),"◆",""),IF(AND($D93&lt;AP$5+7,$E93&gt;AP$5),"■","")))</x:f>
      </x:c>
      <x:c r="AQ93" s="7" t="str">
        <x:f>IF(OR($D93="",AQ$5="",'상세일정'!AM93="제외"),"",IF($D93=$E93,IF(AND($D93&gt;=AQ$5,$D93&lt;AQ$5+7),"◆",""),IF(AND($D93&lt;AQ$5+7,$E93&gt;AQ$5),"■","")))</x:f>
      </x:c>
      <x:c r="AR93" s="7" t="str">
        <x:f>IF(OR($D93="",AR$5="",'상세일정'!AM93="제외"),"",IF($D93=$E93,IF(AND($D93&gt;=AR$5,$D93&lt;AR$5+7),"◆",""),IF(AND($D93&lt;AR$5+7,$E93&gt;AR$5),"■","")))</x:f>
      </x:c>
      <x:c r="AS93" s="7" t="str">
        <x:f>IF(OR($D93="",AS$5="",'상세일정'!AM93="제외"),"",IF($D93=$E93,IF(AND($D93&gt;=AS$5,$D93&lt;AS$5+7),"◆",""),IF(AND($D93&lt;AS$5+7,$E93&gt;AS$5),"■","")))</x:f>
      </x:c>
      <x:c r="AT93" s="7" t="str">
        <x:f>IF(OR($D93="",AT$5="",'상세일정'!AM93="제외"),"",IF($D93=$E93,IF(AND($D93&gt;=AT$5,$D93&lt;AT$5+7),"◆",""),IF(AND($D93&lt;AT$5+7,$E93&gt;AT$5),"■","")))</x:f>
      </x:c>
      <x:c r="AU93" s="7" t="str">
        <x:f>IF(OR($D93="",AU$5="",'상세일정'!AM93="제외"),"",IF($D93=$E93,IF(AND($D93&gt;=AU$5,$D93&lt;AU$5+7),"◆",""),IF(AND($D93&lt;AU$5+7,$E93&gt;AU$5),"■","")))</x:f>
      </x:c>
      <x:c r="AV93" s="7" t="str">
        <x:f>IF(OR($D93="",AV$5="",'상세일정'!AM93="제외"),"",IF($D93=$E93,IF(AND($D93&gt;=AV$5,$D93&lt;AV$5+7),"◆",""),IF(AND($D93&lt;AV$5+7,$E93&gt;AV$5),"■","")))</x:f>
      </x:c>
      <x:c r="AW93" s="7" t="str">
        <x:f>IF(OR($D93="",AW$5="",'상세일정'!AM93="제외"),"",IF($D93=$E93,IF(AND($D93&gt;=AW$5,$D93&lt;AW$5+7),"◆",""),IF(AND($D93&lt;AW$5+7,$E93&gt;AW$5),"■","")))</x:f>
      </x:c>
      <x:c r="AX93" s="7" t="str">
        <x:f>IF(OR($D93="",AX$5="",'상세일정'!AM93="제외"),"",IF($D93=$E93,IF(AND($D93&gt;=AX$5,$D93&lt;AX$5+7),"◆",""),IF(AND($D93&lt;AX$5+7,$E93&gt;AX$5),"■","")))</x:f>
      </x:c>
      <x:c r="AY93" s="7" t="str">
        <x:f>IF(OR($D93="",AY$5="",'상세일정'!AM93="제외"),"",IF($D93=$E93,IF(AND($D93&gt;=AY$5,$D93&lt;AY$5+7),"◆",""),IF(AND($D93&lt;AY$5+7,$E93&gt;AY$5),"■","")))</x:f>
      </x:c>
      <x:c r="AZ93" s="7" t="str">
        <x:f>IF(OR($D93="",AZ$5="",'상세일정'!AM93="제외"),"",IF($D93=$E93,IF(AND($D93&gt;=AZ$5,$D93&lt;AZ$5+7),"◆",""),IF(AND($D93&lt;AZ$5+7,$E93&gt;AZ$5),"■","")))</x:f>
      </x:c>
      <x:c r="BA93" s="7" t="str">
        <x:f>IF(OR($D93="",BA$5="",'상세일정'!AM93="제외"),"",IF($D93=$E93,IF(AND($D93&gt;=BA$5,$D93&lt;BA$5+7),"◆",""),IF(AND($D93&lt;BA$5+7,$E93&gt;BA$5),"■","")))</x:f>
      </x:c>
      <x:c r="BB93" s="7" t="str">
        <x:f>IF(OR($D93="",BB$5="",'상세일정'!AM93="제외"),"",IF($D93=$E93,IF(AND($D93&gt;=BB$5,$D93&lt;BB$5+7),"◆",""),IF(AND($D93&lt;BB$5+7,$E93&gt;BB$5),"■","")))</x:f>
      </x:c>
      <x:c r="BC93" s="7" t="str">
        <x:f>IF(OR($D93="",BC$5="",'상세일정'!AM93="제외"),"",IF($D93=$E93,IF(AND($D93&gt;=BC$5,$D93&lt;BC$5+7),"◆",""),IF(AND($D93&lt;BC$5+7,$E93&gt;BC$5),"■","")))</x:f>
      </x:c>
      <x:c r="BD93" s="7" t="str">
        <x:f>IF(OR($D93="",BD$5="",'상세일정'!AM93="제외"),"",IF($D93=$E93,IF(AND($D93&gt;=BD$5,$D93&lt;BD$5+7),"◆",""),IF(AND($D93&lt;BD$5+7,$E93&gt;BD$5),"■","")))</x:f>
      </x:c>
      <x:c r="BE93" s="7" t="str">
        <x:f>IF(OR($D93="",BE$5="",'상세일정'!AM93="제외"),"",IF($D93=$E93,IF(AND($D93&gt;=BE$5,$D93&lt;BE$5+7),"◆",""),IF(AND($D93&lt;BE$5+7,$E93&gt;BE$5),"■","")))</x:f>
      </x:c>
      <x:c r="BF93" s="7" t="str">
        <x:f>IF(OR($D93="",BF$5="",'상세일정'!AM93="제외"),"",IF($D93=$E93,IF(AND($D93&gt;=BF$5,$D93&lt;BF$5+7),"◆",""),IF(AND($D93&lt;BF$5+7,$E93&gt;BF$5),"■","")))</x:f>
      </x:c>
      <x:c r="BG93" s="7" t="str">
        <x:f>IF(OR($D93="",BG$5="",'상세일정'!AM93="제외"),"",IF($D93=$E93,IF(AND($D93&gt;=BG$5,$D93&lt;BG$5+7),"◆",""),IF(AND($D93&lt;BG$5+7,$E93&gt;BG$5),"■","")))</x:f>
      </x:c>
      <x:c r="BH93" s="7" t="str">
        <x:f>IF(OR($D93="",BH$5="",'상세일정'!AM93="제외"),"",IF($D93=$E93,IF(AND($D93&gt;=BH$5,$D93&lt;BH$5+7),"◆",""),IF(AND($D93&lt;BH$5+7,$E93&gt;BH$5),"■","")))</x:f>
      </x:c>
      <x:c r="BI93" s="7" t="str">
        <x:f>IF(OR($D93="",BI$5="",'상세일정'!AM93="제외"),"",IF($D93=$E93,IF(AND($D93&gt;=BI$5,$D93&lt;BI$5+7),"◆",""),IF(AND($D93&lt;BI$5+7,$E93&gt;BI$5),"■","")))</x:f>
      </x:c>
      <x:c r="BJ93" s="7" t="str">
        <x:f>IF(OR($D93="",BJ$5="",'상세일정'!AM93="제외"),"",IF($D93=$E93,IF(AND($D93&gt;=BJ$5,$D93&lt;BJ$5+7),"◆",""),IF(AND($D93&lt;BJ$5+7,$E93&gt;BJ$5),"■","")))</x:f>
      </x:c>
      <x:c r="BK93" s="7" t="str">
        <x:f>IF(OR($D93="",BK$5="",'상세일정'!AM93="제외"),"",IF($D93=$E93,IF(AND($D93&gt;=BK$5,$D93&lt;BK$5+7),"◆",""),IF(AND($D93&lt;BK$5+7,$E93&gt;BK$5),"■","")))</x:f>
      </x:c>
      <x:c r="BL93" s="7" t="str">
        <x:f>IF(OR($D93="",BL$5="",'상세일정'!AM93="제외"),"",IF($D93=$E93,IF(AND($D93&gt;=BL$5,$D93&lt;BL$5+7),"◆",""),IF(AND($D93&lt;BL$5+7,$E93&gt;BL$5),"■","")))</x:f>
      </x:c>
      <x:c r="BM93" s="7" t="str">
        <x:f>IF(OR($D93="",BM$5="",'상세일정'!AM93="제외"),"",IF($D93=$E93,IF(AND($D93&gt;=BM$5,$D93&lt;BM$5+7),"◆",""),IF(AND($D93&lt;BM$5+7,$E93&gt;BM$5),"■","")))</x:f>
      </x:c>
      <x:c r="BN93" s="7" t="str">
        <x:f>IF(OR($D93="",BN$5="",'상세일정'!AM93="제외"),"",IF($D93=$E93,IF(AND($D93&gt;=BN$5,$D93&lt;BN$5+7),"◆",""),IF(AND($D93&lt;BN$5+7,$E93&gt;BN$5),"■","")))</x:f>
      </x:c>
      <x:c r="BO93" s="7" t="str">
        <x:f>IF(OR($D93="",BO$5="",'상세일정'!AM93="제외"),"",IF($D93=$E93,IF(AND($D93&gt;=BO$5,$D93&lt;BO$5+7),"◆",""),IF(AND($D93&lt;BO$5+7,$E93&gt;BO$5),"■","")))</x:f>
      </x:c>
      <x:c r="BP93" s="7" t="str">
        <x:f>IF(OR($D93="",BP$5="",'상세일정'!AM93="제외"),"",IF($D93=$E93,IF(AND($D93&gt;=BP$5,$D93&lt;BP$5+7),"◆",""),IF(AND($D93&lt;BP$5+7,$E93&gt;BP$5),"■","")))</x:f>
      </x:c>
      <x:c r="BQ93" s="7" t="str">
        <x:f>IF(OR($D93="",BQ$5="",'상세일정'!AM93="제외"),"",IF($D93=$E93,IF(AND($D93&gt;=BQ$5,$D93&lt;BQ$5+7),"◆",""),IF(AND($D93&lt;BQ$5+7,$E93&gt;BQ$5),"■","")))</x:f>
      </x:c>
      <x:c r="BR93" s="7" t="str">
        <x:f>IF(OR($D93="",BR$5="",'상세일정'!AM93="제외"),"",IF($D93=$E93,IF(AND($D93&gt;=BR$5,$D93&lt;BR$5+7),"◆",""),IF(AND($D93&lt;BR$5+7,$E93&gt;BR$5),"■","")))</x:f>
      </x:c>
      <x:c r="BS93" s="7" t="str">
        <x:f>IF(OR($D93="",BS$5="",'상세일정'!AM93="제외"),"",IF($D93=$E93,IF(AND($D93&gt;=BS$5,$D93&lt;BS$5+7),"◆",""),IF(AND($D93&lt;BS$5+7,$E93&gt;BS$5),"■","")))</x:f>
      </x:c>
      <x:c r="BT93" s="7" t="str">
        <x:f>IF(OR($D93="",BT$5="",'상세일정'!AM93="제외"),"",IF($D93=$E93,IF(AND($D93&gt;=BT$5,$D93&lt;BT$5+7),"◆",""),IF(AND($D93&lt;BT$5+7,$E93&gt;BT$5),"■","")))</x:f>
      </x:c>
      <x:c r="BU93" s="7" t="str">
        <x:f>IF(OR($D93="",BU$5="",'상세일정'!AM93="제외"),"",IF($D93=$E93,IF(AND($D93&gt;=BU$5,$D93&lt;BU$5+7),"◆",""),IF(AND($D93&lt;BU$5+7,$E93&gt;BU$5),"■","")))</x:f>
      </x:c>
      <x:c r="BV93" s="7" t="str">
        <x:f>IF(OR($D93="",BV$5="",'상세일정'!AM93="제외"),"",IF($D93=$E93,IF(AND($D93&gt;=BV$5,$D93&lt;BV$5+7),"◆",""),IF(AND($D93&lt;BV$5+7,$E93&gt;BV$5),"■","")))</x:f>
      </x:c>
      <x:c r="BW93" s="7" t="str">
        <x:f>IF(OR($D93="",BW$5="",'상세일정'!AM93="제외"),"",IF($D93=$E93,IF(AND($D93&gt;=BW$5,$D93&lt;BW$5+7),"◆",""),IF(AND($D93&lt;BW$5+7,$E93&gt;BW$5),"■","")))</x:f>
      </x:c>
      <x:c r="BX93" s="7" t="str">
        <x:f>IF(OR($D93="",BX$5="",'상세일정'!AM93="제외"),"",IF($D93=$E93,IF(AND($D93&gt;=BX$5,$D93&lt;BX$5+7),"◆",""),IF(AND($D93&lt;BX$5+7,$E93&gt;BX$5),"■","")))</x:f>
      </x:c>
      <x:c r="BY93" s="7" t="str">
        <x:f>IF(OR($D93="",BY$5="",'상세일정'!AM93="제외"),"",IF($D93=$E93,IF(AND($D93&gt;=BY$5,$D93&lt;BY$5+7),"◆",""),IF(AND($D93&lt;BY$5+7,$E93&gt;BY$5),"■","")))</x:f>
      </x:c>
      <x:c r="BZ93" s="7" t="str">
        <x:f>IF(OR($D93="",BZ$5="",'상세일정'!AM93="제외"),"",IF($D93=$E93,IF(AND($D93&gt;=BZ$5,$D93&lt;BZ$5+7),"◆",""),IF(AND($D93&lt;BZ$5+7,$E93&gt;BZ$5),"■","")))</x:f>
      </x:c>
      <x:c r="CA93" s="7" t="str">
        <x:f>IF(OR($D93="",CA$5="",'상세일정'!AM93="제외"),"",IF($D93=$E93,IF(AND($D93&gt;=CA$5,$D93&lt;CA$5+7),"◆",""),IF(AND($D93&lt;CA$5+7,$E93&gt;CA$5),"■","")))</x:f>
      </x:c>
      <x:c r="CB93" s="7" t="str">
        <x:f>IF(OR($D93="",CB$5="",'상세일정'!AM93="제외"),"",IF($D93=$E93,IF(AND($D93&gt;=CB$5,$D93&lt;CB$5+7),"◆",""),IF(AND($D93&lt;CB$5+7,$E93&gt;CB$5),"■","")))</x:f>
      </x:c>
      <x:c r="CC93" s="7" t="str">
        <x:f>IF(OR($D93="",CC$5="",'상세일정'!AM93="제외"),"",IF($D93=$E93,IF(AND($D93&gt;=CC$5,$D93&lt;CC$5+7),"◆",""),IF(AND($D93&lt;CC$5+7,$E93&gt;CC$5),"■","")))</x:f>
      </x:c>
      <x:c r="CD93" s="7" t="str">
        <x:f>IF(OR($D93="",CD$5="",'상세일정'!AM93="제외"),"",IF($D93=$E93,IF(AND($D93&gt;=CD$5,$D93&lt;CD$5+7),"◆",""),IF(AND($D93&lt;CD$5+7,$E93&gt;CD$5),"■","")))</x:f>
      </x:c>
      <x:c r="CE93" s="7" t="str">
        <x:f>IF(OR($D93="",CE$5="",'상세일정'!AM93="제외"),"",IF($D93=$E93,IF(AND($D93&gt;=CE$5,$D93&lt;CE$5+7),"◆",""),IF(AND($D93&lt;CE$5+7,$E93&gt;CE$5),"■","")))</x:f>
      </x:c>
      <x:c r="CF93" s="7" t="str">
        <x:f>IF(OR($D93="",CF$5="",'상세일정'!AM93="제외"),"",IF($D93=$E93,IF(AND($D93&gt;=CF$5,$D93&lt;CF$5+7),"◆",""),IF(AND($D93&lt;CF$5+7,$E93&gt;CF$5),"■","")))</x:f>
      </x:c>
      <x:c r="CG93" s="7" t="str">
        <x:f>IF(OR($D93="",CG$5="",'상세일정'!AM93="제외"),"",IF($D93=$E93,IF(AND($D93&gt;=CG$5,$D93&lt;CG$5+7),"◆",""),IF(AND($D93&lt;CG$5+7,$E93&gt;CG$5),"■","")))</x:f>
      </x:c>
      <x:c r="CH93" s="7" t="str">
        <x:f>IF(OR($D93="",CH$5="",'상세일정'!AM93="제외"),"",IF($D93=$E93,IF(AND($D93&gt;=CH$5,$D93&lt;CH$5+7),"◆",""),IF(AND($D93&lt;CH$5+7,$E93&gt;CH$5),"■","")))</x:f>
      </x:c>
      <x:c r="CI93" s="7" t="str">
        <x:f>IF(OR($D93="",CI$5="",'상세일정'!AM93="제외"),"",IF($D93=$E93,IF(AND($D93&gt;=CI$5,$D93&lt;CI$5+7),"◆",""),IF(AND($D93&lt;CI$5+7,$E93&gt;CI$5),"■","")))</x:f>
      </x:c>
      <x:c r="CJ93" s="7" t="str">
        <x:f>IF(OR($D93="",CJ$5="",'상세일정'!AM93="제외"),"",IF($D93=$E93,IF(AND($D93&gt;=CJ$5,$D93&lt;CJ$5+7),"◆",""),IF(AND($D93&lt;CJ$5+7,$E93&gt;CJ$5),"■","")))</x:f>
      </x:c>
      <x:c r="CK93" s="7" t="str">
        <x:f>IF(OR($D93="",CK$5="",'상세일정'!AM93="제외"),"",IF($D93=$E93,IF(AND($D93&gt;=CK$5,$D93&lt;CK$5+7),"◆",""),IF(AND($D93&lt;CK$5+7,$E93&gt;CK$5),"■","")))</x:f>
      </x:c>
      <x:c r="CL93" s="7" t="str">
        <x:f>IF(OR($D93="",CL$5="",'상세일정'!AM93="제외"),"",IF($D93=$E93,IF(AND($D93&gt;=CL$5,$D93&lt;CL$5+7),"◆",""),IF(AND($D93&lt;CL$5+7,$E93&gt;CL$5),"■","")))</x:f>
      </x:c>
      <x:c r="CM93" s="7" t="str">
        <x:f>IF(OR($D93="",CM$5="",'상세일정'!AM93="제외"),"",IF($D93=$E93,IF(AND($D93&gt;=CM$5,$D93&lt;CM$5+7),"◆",""),IF(AND($D93&lt;CM$5+7,$E93&gt;CM$5),"■","")))</x:f>
      </x:c>
      <x:c r="CN93" s="7" t="str">
        <x:f>IF(OR($D93="",CN$5="",'상세일정'!AM93="제외"),"",IF($D93=$E93,IF(AND($D93&gt;=CN$5,$D93&lt;CN$5+7),"◆",""),IF(AND($D93&lt;CN$5+7,$E93&gt;CN$5),"■","")))</x:f>
      </x:c>
      <x:c r="CO93" s="7" t="str">
        <x:f>IF(OR($D93="",CO$5="",'상세일정'!AM93="제외"),"",IF($D93=$E93,IF(AND($D93&gt;=CO$5,$D93&lt;CO$5+7),"◆",""),IF(AND($D93&lt;CO$5+7,$E93&gt;CO$5),"■","")))</x:f>
      </x:c>
      <x:c r="CP93" s="7" t="str">
        <x:f>IF(OR($D93="",CP$5="",'상세일정'!AM93="제외"),"",IF($D93=$E93,IF(AND($D93&gt;=CP$5,$D93&lt;CP$5+7),"◆",""),IF(AND($D93&lt;CP$5+7,$E93&gt;CP$5),"■","")))</x:f>
      </x:c>
      <x:c r="CQ93" s="7" t="str">
        <x:f>IF(OR($D93="",CQ$5="",'상세일정'!AM93="제외"),"",IF($D93=$E93,IF(AND($D93&gt;=CQ$5,$D93&lt;CQ$5+7),"◆",""),IF(AND($D93&lt;CQ$5+7,$E93&gt;CQ$5),"■","")))</x:f>
      </x:c>
      <x:c r="CR93" s="7" t="str">
        <x:f>IF(OR($D93="",CR$5="",'상세일정'!AM93="제외"),"",IF($D93=$E93,IF(AND($D93&gt;=CR$5,$D93&lt;CR$5+7),"◆",""),IF(AND($D93&lt;CR$5+7,$E93&gt;CR$5),"■","")))</x:f>
      </x:c>
      <x:c r="CS93" s="7" t="str">
        <x:f>IF(OR($D93="",CS$5="",'상세일정'!AM93="제외"),"",IF($D93=$E93,IF(AND($D93&gt;=CS$5,$D93&lt;CS$5+7),"◆",""),IF(AND($D93&lt;CS$5+7,$E93&gt;CS$5),"■","")))</x:f>
      </x:c>
      <x:c r="CT93" s="7" t="str">
        <x:f>IF(OR($D93="",CT$5="",'상세일정'!AM93="제외"),"",IF($D93=$E93,IF(AND($D93&gt;=CT$5,$D93&lt;CT$5+7),"◆",""),IF(AND($D93&lt;CT$5+7,$E93&gt;CT$5),"■","")))</x:f>
      </x:c>
      <x:c r="CU93" s="7" t="str">
        <x:f>IF(OR($D93="",CU$5="",'상세일정'!AM93="제외"),"",IF($D93=$E93,IF(AND($D93&gt;=CU$5,$D93&lt;CU$5+7),"◆",""),IF(AND($D93&lt;CU$5+7,$E93&gt;CU$5),"■","")))</x:f>
      </x:c>
      <x:c r="CV93" s="7" t="str">
        <x:f>IF(OR($D93="",CV$5="",'상세일정'!AM93="제외"),"",IF($D93=$E93,IF(AND($D93&gt;=CV$5,$D93&lt;CV$5+7),"◆",""),IF(AND($D93&lt;CV$5+7,$E93&gt;CV$5),"■","")))</x:f>
      </x:c>
      <x:c r="CW93" s="7" t="str">
        <x:f>IF(OR($D93="",CW$5="",'상세일정'!AM93="제외"),"",IF($D93=$E93,IF(AND($D93&gt;=CW$5,$D93&lt;CW$5+7),"◆",""),IF(AND($D93&lt;CW$5+7,$E93&gt;CW$5),"■","")))</x:f>
      </x:c>
      <x:c r="CX93" s="7" t="str">
        <x:f>IF(OR($D93="",CX$5="",'상세일정'!AM93="제외"),"",IF($D93=$E93,IF(AND($D93&gt;=CX$5,$D93&lt;CX$5+7),"◆",""),IF(AND($D93&lt;CX$5+7,$E93&gt;CX$5),"■","")))</x:f>
      </x:c>
      <x:c r="CY93" s="7" t="str">
        <x:f>IF(OR($D93="",CY$5="",'상세일정'!AM93="제외"),"",IF($D93=$E93,IF(AND($D93&gt;=CY$5,$D93&lt;CY$5+7),"◆",""),IF(AND($D93&lt;CY$5+7,$E93&gt;CY$5),"■","")))</x:f>
      </x:c>
      <x:c r="CZ93" s="7" t="str">
        <x:f>IF(OR($D93="",CZ$5="",'상세일정'!AM93="제외"),"",IF($D93=$E93,IF(AND($D93&gt;=CZ$5,$D93&lt;CZ$5+7),"◆",""),IF(AND($D93&lt;CZ$5+7,$E93&gt;CZ$5),"■","")))</x:f>
      </x:c>
      <x:c r="DA93" s="7" t="str">
        <x:f>IF(OR($D93="",DA$5="",'상세일정'!AM93="제외"),"",IF($D93=$E93,IF(AND($D93&gt;=DA$5,$D93&lt;DA$5+7),"◆",""),IF(AND($D93&lt;DA$5+7,$E93&gt;DA$5),"■","")))</x:f>
      </x:c>
      <x:c r="DB93" s="7" t="str">
        <x:f>IF(OR($D93="",DB$5="",'상세일정'!AM93="제외"),"",IF($D93=$E93,IF(AND($D93&gt;=DB$5,$D93&lt;DB$5+7),"◆",""),IF(AND($D93&lt;DB$5+7,$E93&gt;DB$5),"■","")))</x:f>
      </x:c>
      <x:c r="DC93" s="7" t="str">
        <x:f>IF(OR($D93="",DC$5="",'상세일정'!AM93="제외"),"",IF($D93=$E93,IF(AND($D93&gt;=DC$5,$D93&lt;DC$5+7),"◆",""),IF(AND($D93&lt;DC$5+7,$E93&gt;DC$5),"■","")))</x:f>
      </x:c>
      <x:c r="DD93" s="7" t="str">
        <x:f>IF(OR($D93="",DD$5="",'상세일정'!AM93="제외"),"",IF($D93=$E93,IF(AND($D93&gt;=DD$5,$D93&lt;DD$5+7),"◆",""),IF(AND($D93&lt;DD$5+7,$E93&gt;DD$5),"■","")))</x:f>
      </x:c>
      <x:c r="DE93" s="7" t="str">
        <x:f>IF(OR($D93="",DE$5="",'상세일정'!AM93="제외"),"",IF($D93=$E93,IF(AND($D93&gt;=DE$5,$D93&lt;DE$5+7),"◆",""),IF(AND($D93&lt;DE$5+7,$E93&gt;DE$5),"■","")))</x:f>
      </x:c>
    </x:row>
    <x:row r="94" ht="34" customHeight="1">
      <x:c r="A94" s="7" t="str">
        <x:v>CT03</x:v>
      </x:c>
      <x:c r="B94" s="7" t="str">
        <x:v>14 공사업체·감리 선정</x:v>
      </x:c>
      <x:c r="C94" s="7" t="str">
        <x:v>공고·현장설명·질의 및 견적 접수</x:v>
      </x:c>
      <x:c r="D94" s="10" t="str">
        <x:f>'상세일정'!AJ94</x:f>
      </x:c>
      <x:c r="E94" s="10" t="str">
        <x:f>'상세일정'!AK94</x:f>
      </x:c>
      <x:c r="F94" s="7" t="str">
        <x:f>IF(OR($D94="",F$5="",'상세일정'!AM94="제외"),"",IF($D94=$E94,IF(AND($D94&gt;=F$5,$D94&lt;F$5+7),"◆",""),IF(AND($D94&lt;F$5+7,$E94&gt;F$5),"■","")))</x:f>
      </x:c>
      <x:c r="G94" s="7" t="str">
        <x:f>IF(OR($D94="",G$5="",'상세일정'!AM94="제외"),"",IF($D94=$E94,IF(AND($D94&gt;=G$5,$D94&lt;G$5+7),"◆",""),IF(AND($D94&lt;G$5+7,$E94&gt;G$5),"■","")))</x:f>
      </x:c>
      <x:c r="H94" s="7" t="str">
        <x:f>IF(OR($D94="",H$5="",'상세일정'!AM94="제외"),"",IF($D94=$E94,IF(AND($D94&gt;=H$5,$D94&lt;H$5+7),"◆",""),IF(AND($D94&lt;H$5+7,$E94&gt;H$5),"■","")))</x:f>
      </x:c>
      <x:c r="I94" s="7" t="str">
        <x:f>IF(OR($D94="",I$5="",'상세일정'!AM94="제외"),"",IF($D94=$E94,IF(AND($D94&gt;=I$5,$D94&lt;I$5+7),"◆",""),IF(AND($D94&lt;I$5+7,$E94&gt;I$5),"■","")))</x:f>
      </x:c>
      <x:c r="J94" s="7" t="str">
        <x:f>IF(OR($D94="",J$5="",'상세일정'!AM94="제외"),"",IF($D94=$E94,IF(AND($D94&gt;=J$5,$D94&lt;J$5+7),"◆",""),IF(AND($D94&lt;J$5+7,$E94&gt;J$5),"■","")))</x:f>
      </x:c>
      <x:c r="K94" s="7" t="str">
        <x:f>IF(OR($D94="",K$5="",'상세일정'!AM94="제외"),"",IF($D94=$E94,IF(AND($D94&gt;=K$5,$D94&lt;K$5+7),"◆",""),IF(AND($D94&lt;K$5+7,$E94&gt;K$5),"■","")))</x:f>
      </x:c>
      <x:c r="L94" s="7" t="str">
        <x:f>IF(OR($D94="",L$5="",'상세일정'!AM94="제외"),"",IF($D94=$E94,IF(AND($D94&gt;=L$5,$D94&lt;L$5+7),"◆",""),IF(AND($D94&lt;L$5+7,$E94&gt;L$5),"■","")))</x:f>
      </x:c>
      <x:c r="M94" s="7" t="str">
        <x:f>IF(OR($D94="",M$5="",'상세일정'!AM94="제외"),"",IF($D94=$E94,IF(AND($D94&gt;=M$5,$D94&lt;M$5+7),"◆",""),IF(AND($D94&lt;M$5+7,$E94&gt;M$5),"■","")))</x:f>
      </x:c>
      <x:c r="N94" s="7" t="str">
        <x:f>IF(OR($D94="",N$5="",'상세일정'!AM94="제외"),"",IF($D94=$E94,IF(AND($D94&gt;=N$5,$D94&lt;N$5+7),"◆",""),IF(AND($D94&lt;N$5+7,$E94&gt;N$5),"■","")))</x:f>
      </x:c>
      <x:c r="O94" s="7" t="str">
        <x:f>IF(OR($D94="",O$5="",'상세일정'!AM94="제외"),"",IF($D94=$E94,IF(AND($D94&gt;=O$5,$D94&lt;O$5+7),"◆",""),IF(AND($D94&lt;O$5+7,$E94&gt;O$5),"■","")))</x:f>
      </x:c>
      <x:c r="P94" s="7" t="str">
        <x:f>IF(OR($D94="",P$5="",'상세일정'!AM94="제외"),"",IF($D94=$E94,IF(AND($D94&gt;=P$5,$D94&lt;P$5+7),"◆",""),IF(AND($D94&lt;P$5+7,$E94&gt;P$5),"■","")))</x:f>
      </x:c>
      <x:c r="Q94" s="7" t="str">
        <x:f>IF(OR($D94="",Q$5="",'상세일정'!AM94="제외"),"",IF($D94=$E94,IF(AND($D94&gt;=Q$5,$D94&lt;Q$5+7),"◆",""),IF(AND($D94&lt;Q$5+7,$E94&gt;Q$5),"■","")))</x:f>
      </x:c>
      <x:c r="R94" s="7" t="str">
        <x:f>IF(OR($D94="",R$5="",'상세일정'!AM94="제외"),"",IF($D94=$E94,IF(AND($D94&gt;=R$5,$D94&lt;R$5+7),"◆",""),IF(AND($D94&lt;R$5+7,$E94&gt;R$5),"■","")))</x:f>
      </x:c>
      <x:c r="S94" s="7" t="str">
        <x:f>IF(OR($D94="",S$5="",'상세일정'!AM94="제외"),"",IF($D94=$E94,IF(AND($D94&gt;=S$5,$D94&lt;S$5+7),"◆",""),IF(AND($D94&lt;S$5+7,$E94&gt;S$5),"■","")))</x:f>
      </x:c>
      <x:c r="T94" s="7" t="str">
        <x:f>IF(OR($D94="",T$5="",'상세일정'!AM94="제외"),"",IF($D94=$E94,IF(AND($D94&gt;=T$5,$D94&lt;T$5+7),"◆",""),IF(AND($D94&lt;T$5+7,$E94&gt;T$5),"■","")))</x:f>
      </x:c>
      <x:c r="U94" s="7" t="str">
        <x:f>IF(OR($D94="",U$5="",'상세일정'!AM94="제외"),"",IF($D94=$E94,IF(AND($D94&gt;=U$5,$D94&lt;U$5+7),"◆",""),IF(AND($D94&lt;U$5+7,$E94&gt;U$5),"■","")))</x:f>
      </x:c>
      <x:c r="V94" s="7" t="str">
        <x:f>IF(OR($D94="",V$5="",'상세일정'!AM94="제외"),"",IF($D94=$E94,IF(AND($D94&gt;=V$5,$D94&lt;V$5+7),"◆",""),IF(AND($D94&lt;V$5+7,$E94&gt;V$5),"■","")))</x:f>
      </x:c>
      <x:c r="W94" s="7" t="str">
        <x:f>IF(OR($D94="",W$5="",'상세일정'!AM94="제외"),"",IF($D94=$E94,IF(AND($D94&gt;=W$5,$D94&lt;W$5+7),"◆",""),IF(AND($D94&lt;W$5+7,$E94&gt;W$5),"■","")))</x:f>
      </x:c>
      <x:c r="X94" s="7" t="str">
        <x:f>IF(OR($D94="",X$5="",'상세일정'!AM94="제외"),"",IF($D94=$E94,IF(AND($D94&gt;=X$5,$D94&lt;X$5+7),"◆",""),IF(AND($D94&lt;X$5+7,$E94&gt;X$5),"■","")))</x:f>
      </x:c>
      <x:c r="Y94" s="7" t="str">
        <x:f>IF(OR($D94="",Y$5="",'상세일정'!AM94="제외"),"",IF($D94=$E94,IF(AND($D94&gt;=Y$5,$D94&lt;Y$5+7),"◆",""),IF(AND($D94&lt;Y$5+7,$E94&gt;Y$5),"■","")))</x:f>
      </x:c>
      <x:c r="Z94" s="7" t="str">
        <x:f>IF(OR($D94="",Z$5="",'상세일정'!AM94="제외"),"",IF($D94=$E94,IF(AND($D94&gt;=Z$5,$D94&lt;Z$5+7),"◆",""),IF(AND($D94&lt;Z$5+7,$E94&gt;Z$5),"■","")))</x:f>
      </x:c>
      <x:c r="AA94" s="7" t="str">
        <x:f>IF(OR($D94="",AA$5="",'상세일정'!AM94="제외"),"",IF($D94=$E94,IF(AND($D94&gt;=AA$5,$D94&lt;AA$5+7),"◆",""),IF(AND($D94&lt;AA$5+7,$E94&gt;AA$5),"■","")))</x:f>
      </x:c>
      <x:c r="AB94" s="7" t="str">
        <x:f>IF(OR($D94="",AB$5="",'상세일정'!AM94="제외"),"",IF($D94=$E94,IF(AND($D94&gt;=AB$5,$D94&lt;AB$5+7),"◆",""),IF(AND($D94&lt;AB$5+7,$E94&gt;AB$5),"■","")))</x:f>
      </x:c>
      <x:c r="AC94" s="7" t="str">
        <x:f>IF(OR($D94="",AC$5="",'상세일정'!AM94="제외"),"",IF($D94=$E94,IF(AND($D94&gt;=AC$5,$D94&lt;AC$5+7),"◆",""),IF(AND($D94&lt;AC$5+7,$E94&gt;AC$5),"■","")))</x:f>
      </x:c>
      <x:c r="AD94" s="7" t="str">
        <x:f>IF(OR($D94="",AD$5="",'상세일정'!AM94="제외"),"",IF($D94=$E94,IF(AND($D94&gt;=AD$5,$D94&lt;AD$5+7),"◆",""),IF(AND($D94&lt;AD$5+7,$E94&gt;AD$5),"■","")))</x:f>
      </x:c>
      <x:c r="AE94" s="7" t="str">
        <x:f>IF(OR($D94="",AE$5="",'상세일정'!AM94="제외"),"",IF($D94=$E94,IF(AND($D94&gt;=AE$5,$D94&lt;AE$5+7),"◆",""),IF(AND($D94&lt;AE$5+7,$E94&gt;AE$5),"■","")))</x:f>
      </x:c>
      <x:c r="AF94" s="7" t="str">
        <x:f>IF(OR($D94="",AF$5="",'상세일정'!AM94="제외"),"",IF($D94=$E94,IF(AND($D94&gt;=AF$5,$D94&lt;AF$5+7),"◆",""),IF(AND($D94&lt;AF$5+7,$E94&gt;AF$5),"■","")))</x:f>
      </x:c>
      <x:c r="AG94" s="7" t="str">
        <x:f>IF(OR($D94="",AG$5="",'상세일정'!AM94="제외"),"",IF($D94=$E94,IF(AND($D94&gt;=AG$5,$D94&lt;AG$5+7),"◆",""),IF(AND($D94&lt;AG$5+7,$E94&gt;AG$5),"■","")))</x:f>
      </x:c>
      <x:c r="AH94" s="7" t="str">
        <x:f>IF(OR($D94="",AH$5="",'상세일정'!AM94="제외"),"",IF($D94=$E94,IF(AND($D94&gt;=AH$5,$D94&lt;AH$5+7),"◆",""),IF(AND($D94&lt;AH$5+7,$E94&gt;AH$5),"■","")))</x:f>
      </x:c>
      <x:c r="AI94" s="7" t="str">
        <x:f>IF(OR($D94="",AI$5="",'상세일정'!AM94="제외"),"",IF($D94=$E94,IF(AND($D94&gt;=AI$5,$D94&lt;AI$5+7),"◆",""),IF(AND($D94&lt;AI$5+7,$E94&gt;AI$5),"■","")))</x:f>
      </x:c>
      <x:c r="AJ94" s="7" t="str">
        <x:f>IF(OR($D94="",AJ$5="",'상세일정'!AM94="제외"),"",IF($D94=$E94,IF(AND($D94&gt;=AJ$5,$D94&lt;AJ$5+7),"◆",""),IF(AND($D94&lt;AJ$5+7,$E94&gt;AJ$5),"■","")))</x:f>
      </x:c>
      <x:c r="AK94" s="7" t="str">
        <x:f>IF(OR($D94="",AK$5="",'상세일정'!AM94="제외"),"",IF($D94=$E94,IF(AND($D94&gt;=AK$5,$D94&lt;AK$5+7),"◆",""),IF(AND($D94&lt;AK$5+7,$E94&gt;AK$5),"■","")))</x:f>
      </x:c>
      <x:c r="AL94" s="7" t="str">
        <x:f>IF(OR($D94="",AL$5="",'상세일정'!AM94="제외"),"",IF($D94=$E94,IF(AND($D94&gt;=AL$5,$D94&lt;AL$5+7),"◆",""),IF(AND($D94&lt;AL$5+7,$E94&gt;AL$5),"■","")))</x:f>
      </x:c>
      <x:c r="AM94" s="7" t="str">
        <x:f>IF(OR($D94="",AM$5="",'상세일정'!AM94="제외"),"",IF($D94=$E94,IF(AND($D94&gt;=AM$5,$D94&lt;AM$5+7),"◆",""),IF(AND($D94&lt;AM$5+7,$E94&gt;AM$5),"■","")))</x:f>
      </x:c>
      <x:c r="AN94" s="7" t="str">
        <x:f>IF(OR($D94="",AN$5="",'상세일정'!AM94="제외"),"",IF($D94=$E94,IF(AND($D94&gt;=AN$5,$D94&lt;AN$5+7),"◆",""),IF(AND($D94&lt;AN$5+7,$E94&gt;AN$5),"■","")))</x:f>
      </x:c>
      <x:c r="AO94" s="7" t="str">
        <x:f>IF(OR($D94="",AO$5="",'상세일정'!AM94="제외"),"",IF($D94=$E94,IF(AND($D94&gt;=AO$5,$D94&lt;AO$5+7),"◆",""),IF(AND($D94&lt;AO$5+7,$E94&gt;AO$5),"■","")))</x:f>
      </x:c>
      <x:c r="AP94" s="7" t="str">
        <x:f>IF(OR($D94="",AP$5="",'상세일정'!AM94="제외"),"",IF($D94=$E94,IF(AND($D94&gt;=AP$5,$D94&lt;AP$5+7),"◆",""),IF(AND($D94&lt;AP$5+7,$E94&gt;AP$5),"■","")))</x:f>
      </x:c>
      <x:c r="AQ94" s="7" t="str">
        <x:f>IF(OR($D94="",AQ$5="",'상세일정'!AM94="제외"),"",IF($D94=$E94,IF(AND($D94&gt;=AQ$5,$D94&lt;AQ$5+7),"◆",""),IF(AND($D94&lt;AQ$5+7,$E94&gt;AQ$5),"■","")))</x:f>
      </x:c>
      <x:c r="AR94" s="7" t="str">
        <x:f>IF(OR($D94="",AR$5="",'상세일정'!AM94="제외"),"",IF($D94=$E94,IF(AND($D94&gt;=AR$5,$D94&lt;AR$5+7),"◆",""),IF(AND($D94&lt;AR$5+7,$E94&gt;AR$5),"■","")))</x:f>
      </x:c>
      <x:c r="AS94" s="7" t="str">
        <x:f>IF(OR($D94="",AS$5="",'상세일정'!AM94="제외"),"",IF($D94=$E94,IF(AND($D94&gt;=AS$5,$D94&lt;AS$5+7),"◆",""),IF(AND($D94&lt;AS$5+7,$E94&gt;AS$5),"■","")))</x:f>
      </x:c>
      <x:c r="AT94" s="7" t="str">
        <x:f>IF(OR($D94="",AT$5="",'상세일정'!AM94="제외"),"",IF($D94=$E94,IF(AND($D94&gt;=AT$5,$D94&lt;AT$5+7),"◆",""),IF(AND($D94&lt;AT$5+7,$E94&gt;AT$5),"■","")))</x:f>
      </x:c>
      <x:c r="AU94" s="7" t="str">
        <x:f>IF(OR($D94="",AU$5="",'상세일정'!AM94="제외"),"",IF($D94=$E94,IF(AND($D94&gt;=AU$5,$D94&lt;AU$5+7),"◆",""),IF(AND($D94&lt;AU$5+7,$E94&gt;AU$5),"■","")))</x:f>
      </x:c>
      <x:c r="AV94" s="7" t="str">
        <x:f>IF(OR($D94="",AV$5="",'상세일정'!AM94="제외"),"",IF($D94=$E94,IF(AND($D94&gt;=AV$5,$D94&lt;AV$5+7),"◆",""),IF(AND($D94&lt;AV$5+7,$E94&gt;AV$5),"■","")))</x:f>
      </x:c>
      <x:c r="AW94" s="7" t="str">
        <x:f>IF(OR($D94="",AW$5="",'상세일정'!AM94="제외"),"",IF($D94=$E94,IF(AND($D94&gt;=AW$5,$D94&lt;AW$5+7),"◆",""),IF(AND($D94&lt;AW$5+7,$E94&gt;AW$5),"■","")))</x:f>
      </x:c>
      <x:c r="AX94" s="7" t="str">
        <x:f>IF(OR($D94="",AX$5="",'상세일정'!AM94="제외"),"",IF($D94=$E94,IF(AND($D94&gt;=AX$5,$D94&lt;AX$5+7),"◆",""),IF(AND($D94&lt;AX$5+7,$E94&gt;AX$5),"■","")))</x:f>
      </x:c>
      <x:c r="AY94" s="7" t="str">
        <x:f>IF(OR($D94="",AY$5="",'상세일정'!AM94="제외"),"",IF($D94=$E94,IF(AND($D94&gt;=AY$5,$D94&lt;AY$5+7),"◆",""),IF(AND($D94&lt;AY$5+7,$E94&gt;AY$5),"■","")))</x:f>
      </x:c>
      <x:c r="AZ94" s="7" t="str">
        <x:f>IF(OR($D94="",AZ$5="",'상세일정'!AM94="제외"),"",IF($D94=$E94,IF(AND($D94&gt;=AZ$5,$D94&lt;AZ$5+7),"◆",""),IF(AND($D94&lt;AZ$5+7,$E94&gt;AZ$5),"■","")))</x:f>
      </x:c>
      <x:c r="BA94" s="7" t="str">
        <x:f>IF(OR($D94="",BA$5="",'상세일정'!AM94="제외"),"",IF($D94=$E94,IF(AND($D94&gt;=BA$5,$D94&lt;BA$5+7),"◆",""),IF(AND($D94&lt;BA$5+7,$E94&gt;BA$5),"■","")))</x:f>
      </x:c>
      <x:c r="BB94" s="7" t="str">
        <x:f>IF(OR($D94="",BB$5="",'상세일정'!AM94="제외"),"",IF($D94=$E94,IF(AND($D94&gt;=BB$5,$D94&lt;BB$5+7),"◆",""),IF(AND($D94&lt;BB$5+7,$E94&gt;BB$5),"■","")))</x:f>
      </x:c>
      <x:c r="BC94" s="7" t="str">
        <x:f>IF(OR($D94="",BC$5="",'상세일정'!AM94="제외"),"",IF($D94=$E94,IF(AND($D94&gt;=BC$5,$D94&lt;BC$5+7),"◆",""),IF(AND($D94&lt;BC$5+7,$E94&gt;BC$5),"■","")))</x:f>
      </x:c>
      <x:c r="BD94" s="7" t="str">
        <x:f>IF(OR($D94="",BD$5="",'상세일정'!AM94="제외"),"",IF($D94=$E94,IF(AND($D94&gt;=BD$5,$D94&lt;BD$5+7),"◆",""),IF(AND($D94&lt;BD$5+7,$E94&gt;BD$5),"■","")))</x:f>
      </x:c>
      <x:c r="BE94" s="7" t="str">
        <x:f>IF(OR($D94="",BE$5="",'상세일정'!AM94="제외"),"",IF($D94=$E94,IF(AND($D94&gt;=BE$5,$D94&lt;BE$5+7),"◆",""),IF(AND($D94&lt;BE$5+7,$E94&gt;BE$5),"■","")))</x:f>
      </x:c>
      <x:c r="BF94" s="7" t="str">
        <x:f>IF(OR($D94="",BF$5="",'상세일정'!AM94="제외"),"",IF($D94=$E94,IF(AND($D94&gt;=BF$5,$D94&lt;BF$5+7),"◆",""),IF(AND($D94&lt;BF$5+7,$E94&gt;BF$5),"■","")))</x:f>
      </x:c>
      <x:c r="BG94" s="7" t="str">
        <x:f>IF(OR($D94="",BG$5="",'상세일정'!AM94="제외"),"",IF($D94=$E94,IF(AND($D94&gt;=BG$5,$D94&lt;BG$5+7),"◆",""),IF(AND($D94&lt;BG$5+7,$E94&gt;BG$5),"■","")))</x:f>
      </x:c>
      <x:c r="BH94" s="7" t="str">
        <x:f>IF(OR($D94="",BH$5="",'상세일정'!AM94="제외"),"",IF($D94=$E94,IF(AND($D94&gt;=BH$5,$D94&lt;BH$5+7),"◆",""),IF(AND($D94&lt;BH$5+7,$E94&gt;BH$5),"■","")))</x:f>
      </x:c>
      <x:c r="BI94" s="7" t="str">
        <x:f>IF(OR($D94="",BI$5="",'상세일정'!AM94="제외"),"",IF($D94=$E94,IF(AND($D94&gt;=BI$5,$D94&lt;BI$5+7),"◆",""),IF(AND($D94&lt;BI$5+7,$E94&gt;BI$5),"■","")))</x:f>
      </x:c>
      <x:c r="BJ94" s="7" t="str">
        <x:f>IF(OR($D94="",BJ$5="",'상세일정'!AM94="제외"),"",IF($D94=$E94,IF(AND($D94&gt;=BJ$5,$D94&lt;BJ$5+7),"◆",""),IF(AND($D94&lt;BJ$5+7,$E94&gt;BJ$5),"■","")))</x:f>
      </x:c>
      <x:c r="BK94" s="7" t="str">
        <x:f>IF(OR($D94="",BK$5="",'상세일정'!AM94="제외"),"",IF($D94=$E94,IF(AND($D94&gt;=BK$5,$D94&lt;BK$5+7),"◆",""),IF(AND($D94&lt;BK$5+7,$E94&gt;BK$5),"■","")))</x:f>
      </x:c>
      <x:c r="BL94" s="7" t="str">
        <x:f>IF(OR($D94="",BL$5="",'상세일정'!AM94="제외"),"",IF($D94=$E94,IF(AND($D94&gt;=BL$5,$D94&lt;BL$5+7),"◆",""),IF(AND($D94&lt;BL$5+7,$E94&gt;BL$5),"■","")))</x:f>
      </x:c>
      <x:c r="BM94" s="7" t="str">
        <x:f>IF(OR($D94="",BM$5="",'상세일정'!AM94="제외"),"",IF($D94=$E94,IF(AND($D94&gt;=BM$5,$D94&lt;BM$5+7),"◆",""),IF(AND($D94&lt;BM$5+7,$E94&gt;BM$5),"■","")))</x:f>
      </x:c>
      <x:c r="BN94" s="7" t="str">
        <x:f>IF(OR($D94="",BN$5="",'상세일정'!AM94="제외"),"",IF($D94=$E94,IF(AND($D94&gt;=BN$5,$D94&lt;BN$5+7),"◆",""),IF(AND($D94&lt;BN$5+7,$E94&gt;BN$5),"■","")))</x:f>
      </x:c>
      <x:c r="BO94" s="7" t="str">
        <x:f>IF(OR($D94="",BO$5="",'상세일정'!AM94="제외"),"",IF($D94=$E94,IF(AND($D94&gt;=BO$5,$D94&lt;BO$5+7),"◆",""),IF(AND($D94&lt;BO$5+7,$E94&gt;BO$5),"■","")))</x:f>
      </x:c>
      <x:c r="BP94" s="7" t="str">
        <x:f>IF(OR($D94="",BP$5="",'상세일정'!AM94="제외"),"",IF($D94=$E94,IF(AND($D94&gt;=BP$5,$D94&lt;BP$5+7),"◆",""),IF(AND($D94&lt;BP$5+7,$E94&gt;BP$5),"■","")))</x:f>
      </x:c>
      <x:c r="BQ94" s="7" t="str">
        <x:f>IF(OR($D94="",BQ$5="",'상세일정'!AM94="제외"),"",IF($D94=$E94,IF(AND($D94&gt;=BQ$5,$D94&lt;BQ$5+7),"◆",""),IF(AND($D94&lt;BQ$5+7,$E94&gt;BQ$5),"■","")))</x:f>
      </x:c>
      <x:c r="BR94" s="7" t="str">
        <x:f>IF(OR($D94="",BR$5="",'상세일정'!AM94="제외"),"",IF($D94=$E94,IF(AND($D94&gt;=BR$5,$D94&lt;BR$5+7),"◆",""),IF(AND($D94&lt;BR$5+7,$E94&gt;BR$5),"■","")))</x:f>
      </x:c>
      <x:c r="BS94" s="7" t="str">
        <x:f>IF(OR($D94="",BS$5="",'상세일정'!AM94="제외"),"",IF($D94=$E94,IF(AND($D94&gt;=BS$5,$D94&lt;BS$5+7),"◆",""),IF(AND($D94&lt;BS$5+7,$E94&gt;BS$5),"■","")))</x:f>
      </x:c>
      <x:c r="BT94" s="7" t="str">
        <x:f>IF(OR($D94="",BT$5="",'상세일정'!AM94="제외"),"",IF($D94=$E94,IF(AND($D94&gt;=BT$5,$D94&lt;BT$5+7),"◆",""),IF(AND($D94&lt;BT$5+7,$E94&gt;BT$5),"■","")))</x:f>
      </x:c>
      <x:c r="BU94" s="7" t="str">
        <x:f>IF(OR($D94="",BU$5="",'상세일정'!AM94="제외"),"",IF($D94=$E94,IF(AND($D94&gt;=BU$5,$D94&lt;BU$5+7),"◆",""),IF(AND($D94&lt;BU$5+7,$E94&gt;BU$5),"■","")))</x:f>
      </x:c>
      <x:c r="BV94" s="7" t="str">
        <x:f>IF(OR($D94="",BV$5="",'상세일정'!AM94="제외"),"",IF($D94=$E94,IF(AND($D94&gt;=BV$5,$D94&lt;BV$5+7),"◆",""),IF(AND($D94&lt;BV$5+7,$E94&gt;BV$5),"■","")))</x:f>
      </x:c>
      <x:c r="BW94" s="7" t="str">
        <x:f>IF(OR($D94="",BW$5="",'상세일정'!AM94="제외"),"",IF($D94=$E94,IF(AND($D94&gt;=BW$5,$D94&lt;BW$5+7),"◆",""),IF(AND($D94&lt;BW$5+7,$E94&gt;BW$5),"■","")))</x:f>
      </x:c>
      <x:c r="BX94" s="7" t="str">
        <x:f>IF(OR($D94="",BX$5="",'상세일정'!AM94="제외"),"",IF($D94=$E94,IF(AND($D94&gt;=BX$5,$D94&lt;BX$5+7),"◆",""),IF(AND($D94&lt;BX$5+7,$E94&gt;BX$5),"■","")))</x:f>
      </x:c>
      <x:c r="BY94" s="7" t="str">
        <x:f>IF(OR($D94="",BY$5="",'상세일정'!AM94="제외"),"",IF($D94=$E94,IF(AND($D94&gt;=BY$5,$D94&lt;BY$5+7),"◆",""),IF(AND($D94&lt;BY$5+7,$E94&gt;BY$5),"■","")))</x:f>
      </x:c>
      <x:c r="BZ94" s="7" t="str">
        <x:f>IF(OR($D94="",BZ$5="",'상세일정'!AM94="제외"),"",IF($D94=$E94,IF(AND($D94&gt;=BZ$5,$D94&lt;BZ$5+7),"◆",""),IF(AND($D94&lt;BZ$5+7,$E94&gt;BZ$5),"■","")))</x:f>
      </x:c>
      <x:c r="CA94" s="7" t="str">
        <x:f>IF(OR($D94="",CA$5="",'상세일정'!AM94="제외"),"",IF($D94=$E94,IF(AND($D94&gt;=CA$5,$D94&lt;CA$5+7),"◆",""),IF(AND($D94&lt;CA$5+7,$E94&gt;CA$5),"■","")))</x:f>
      </x:c>
      <x:c r="CB94" s="7" t="str">
        <x:f>IF(OR($D94="",CB$5="",'상세일정'!AM94="제외"),"",IF($D94=$E94,IF(AND($D94&gt;=CB$5,$D94&lt;CB$5+7),"◆",""),IF(AND($D94&lt;CB$5+7,$E94&gt;CB$5),"■","")))</x:f>
      </x:c>
      <x:c r="CC94" s="7" t="str">
        <x:f>IF(OR($D94="",CC$5="",'상세일정'!AM94="제외"),"",IF($D94=$E94,IF(AND($D94&gt;=CC$5,$D94&lt;CC$5+7),"◆",""),IF(AND($D94&lt;CC$5+7,$E94&gt;CC$5),"■","")))</x:f>
      </x:c>
      <x:c r="CD94" s="7" t="str">
        <x:f>IF(OR($D94="",CD$5="",'상세일정'!AM94="제외"),"",IF($D94=$E94,IF(AND($D94&gt;=CD$5,$D94&lt;CD$5+7),"◆",""),IF(AND($D94&lt;CD$5+7,$E94&gt;CD$5),"■","")))</x:f>
      </x:c>
      <x:c r="CE94" s="7" t="str">
        <x:f>IF(OR($D94="",CE$5="",'상세일정'!AM94="제외"),"",IF($D94=$E94,IF(AND($D94&gt;=CE$5,$D94&lt;CE$5+7),"◆",""),IF(AND($D94&lt;CE$5+7,$E94&gt;CE$5),"■","")))</x:f>
      </x:c>
      <x:c r="CF94" s="7" t="str">
        <x:f>IF(OR($D94="",CF$5="",'상세일정'!AM94="제외"),"",IF($D94=$E94,IF(AND($D94&gt;=CF$5,$D94&lt;CF$5+7),"◆",""),IF(AND($D94&lt;CF$5+7,$E94&gt;CF$5),"■","")))</x:f>
      </x:c>
      <x:c r="CG94" s="7" t="str">
        <x:f>IF(OR($D94="",CG$5="",'상세일정'!AM94="제외"),"",IF($D94=$E94,IF(AND($D94&gt;=CG$5,$D94&lt;CG$5+7),"◆",""),IF(AND($D94&lt;CG$5+7,$E94&gt;CG$5),"■","")))</x:f>
      </x:c>
      <x:c r="CH94" s="7" t="str">
        <x:f>IF(OR($D94="",CH$5="",'상세일정'!AM94="제외"),"",IF($D94=$E94,IF(AND($D94&gt;=CH$5,$D94&lt;CH$5+7),"◆",""),IF(AND($D94&lt;CH$5+7,$E94&gt;CH$5),"■","")))</x:f>
      </x:c>
      <x:c r="CI94" s="7" t="str">
        <x:f>IF(OR($D94="",CI$5="",'상세일정'!AM94="제외"),"",IF($D94=$E94,IF(AND($D94&gt;=CI$5,$D94&lt;CI$5+7),"◆",""),IF(AND($D94&lt;CI$5+7,$E94&gt;CI$5),"■","")))</x:f>
      </x:c>
      <x:c r="CJ94" s="7" t="str">
        <x:f>IF(OR($D94="",CJ$5="",'상세일정'!AM94="제외"),"",IF($D94=$E94,IF(AND($D94&gt;=CJ$5,$D94&lt;CJ$5+7),"◆",""),IF(AND($D94&lt;CJ$5+7,$E94&gt;CJ$5),"■","")))</x:f>
      </x:c>
      <x:c r="CK94" s="7" t="str">
        <x:f>IF(OR($D94="",CK$5="",'상세일정'!AM94="제외"),"",IF($D94=$E94,IF(AND($D94&gt;=CK$5,$D94&lt;CK$5+7),"◆",""),IF(AND($D94&lt;CK$5+7,$E94&gt;CK$5),"■","")))</x:f>
      </x:c>
      <x:c r="CL94" s="7" t="str">
        <x:f>IF(OR($D94="",CL$5="",'상세일정'!AM94="제외"),"",IF($D94=$E94,IF(AND($D94&gt;=CL$5,$D94&lt;CL$5+7),"◆",""),IF(AND($D94&lt;CL$5+7,$E94&gt;CL$5),"■","")))</x:f>
      </x:c>
      <x:c r="CM94" s="7" t="str">
        <x:f>IF(OR($D94="",CM$5="",'상세일정'!AM94="제외"),"",IF($D94=$E94,IF(AND($D94&gt;=CM$5,$D94&lt;CM$5+7),"◆",""),IF(AND($D94&lt;CM$5+7,$E94&gt;CM$5),"■","")))</x:f>
      </x:c>
      <x:c r="CN94" s="7" t="str">
        <x:f>IF(OR($D94="",CN$5="",'상세일정'!AM94="제외"),"",IF($D94=$E94,IF(AND($D94&gt;=CN$5,$D94&lt;CN$5+7),"◆",""),IF(AND($D94&lt;CN$5+7,$E94&gt;CN$5),"■","")))</x:f>
      </x:c>
      <x:c r="CO94" s="7" t="str">
        <x:f>IF(OR($D94="",CO$5="",'상세일정'!AM94="제외"),"",IF($D94=$E94,IF(AND($D94&gt;=CO$5,$D94&lt;CO$5+7),"◆",""),IF(AND($D94&lt;CO$5+7,$E94&gt;CO$5),"■","")))</x:f>
      </x:c>
      <x:c r="CP94" s="7" t="str">
        <x:f>IF(OR($D94="",CP$5="",'상세일정'!AM94="제외"),"",IF($D94=$E94,IF(AND($D94&gt;=CP$5,$D94&lt;CP$5+7),"◆",""),IF(AND($D94&lt;CP$5+7,$E94&gt;CP$5),"■","")))</x:f>
      </x:c>
      <x:c r="CQ94" s="7" t="str">
        <x:f>IF(OR($D94="",CQ$5="",'상세일정'!AM94="제외"),"",IF($D94=$E94,IF(AND($D94&gt;=CQ$5,$D94&lt;CQ$5+7),"◆",""),IF(AND($D94&lt;CQ$5+7,$E94&gt;CQ$5),"■","")))</x:f>
      </x:c>
      <x:c r="CR94" s="7" t="str">
        <x:f>IF(OR($D94="",CR$5="",'상세일정'!AM94="제외"),"",IF($D94=$E94,IF(AND($D94&gt;=CR$5,$D94&lt;CR$5+7),"◆",""),IF(AND($D94&lt;CR$5+7,$E94&gt;CR$5),"■","")))</x:f>
      </x:c>
      <x:c r="CS94" s="7" t="str">
        <x:f>IF(OR($D94="",CS$5="",'상세일정'!AM94="제외"),"",IF($D94=$E94,IF(AND($D94&gt;=CS$5,$D94&lt;CS$5+7),"◆",""),IF(AND($D94&lt;CS$5+7,$E94&gt;CS$5),"■","")))</x:f>
      </x:c>
      <x:c r="CT94" s="7" t="str">
        <x:f>IF(OR($D94="",CT$5="",'상세일정'!AM94="제외"),"",IF($D94=$E94,IF(AND($D94&gt;=CT$5,$D94&lt;CT$5+7),"◆",""),IF(AND($D94&lt;CT$5+7,$E94&gt;CT$5),"■","")))</x:f>
      </x:c>
      <x:c r="CU94" s="7" t="str">
        <x:f>IF(OR($D94="",CU$5="",'상세일정'!AM94="제외"),"",IF($D94=$E94,IF(AND($D94&gt;=CU$5,$D94&lt;CU$5+7),"◆",""),IF(AND($D94&lt;CU$5+7,$E94&gt;CU$5),"■","")))</x:f>
      </x:c>
      <x:c r="CV94" s="7" t="str">
        <x:f>IF(OR($D94="",CV$5="",'상세일정'!AM94="제외"),"",IF($D94=$E94,IF(AND($D94&gt;=CV$5,$D94&lt;CV$5+7),"◆",""),IF(AND($D94&lt;CV$5+7,$E94&gt;CV$5),"■","")))</x:f>
      </x:c>
      <x:c r="CW94" s="7" t="str">
        <x:f>IF(OR($D94="",CW$5="",'상세일정'!AM94="제외"),"",IF($D94=$E94,IF(AND($D94&gt;=CW$5,$D94&lt;CW$5+7),"◆",""),IF(AND($D94&lt;CW$5+7,$E94&gt;CW$5),"■","")))</x:f>
      </x:c>
      <x:c r="CX94" s="7" t="str">
        <x:f>IF(OR($D94="",CX$5="",'상세일정'!AM94="제외"),"",IF($D94=$E94,IF(AND($D94&gt;=CX$5,$D94&lt;CX$5+7),"◆",""),IF(AND($D94&lt;CX$5+7,$E94&gt;CX$5),"■","")))</x:f>
      </x:c>
      <x:c r="CY94" s="7" t="str">
        <x:f>IF(OR($D94="",CY$5="",'상세일정'!AM94="제외"),"",IF($D94=$E94,IF(AND($D94&gt;=CY$5,$D94&lt;CY$5+7),"◆",""),IF(AND($D94&lt;CY$5+7,$E94&gt;CY$5),"■","")))</x:f>
      </x:c>
      <x:c r="CZ94" s="7" t="str">
        <x:f>IF(OR($D94="",CZ$5="",'상세일정'!AM94="제외"),"",IF($D94=$E94,IF(AND($D94&gt;=CZ$5,$D94&lt;CZ$5+7),"◆",""),IF(AND($D94&lt;CZ$5+7,$E94&gt;CZ$5),"■","")))</x:f>
      </x:c>
      <x:c r="DA94" s="7" t="str">
        <x:f>IF(OR($D94="",DA$5="",'상세일정'!AM94="제외"),"",IF($D94=$E94,IF(AND($D94&gt;=DA$5,$D94&lt;DA$5+7),"◆",""),IF(AND($D94&lt;DA$5+7,$E94&gt;DA$5),"■","")))</x:f>
      </x:c>
      <x:c r="DB94" s="7" t="str">
        <x:f>IF(OR($D94="",DB$5="",'상세일정'!AM94="제외"),"",IF($D94=$E94,IF(AND($D94&gt;=DB$5,$D94&lt;DB$5+7),"◆",""),IF(AND($D94&lt;DB$5+7,$E94&gt;DB$5),"■","")))</x:f>
      </x:c>
      <x:c r="DC94" s="7" t="str">
        <x:f>IF(OR($D94="",DC$5="",'상세일정'!AM94="제외"),"",IF($D94=$E94,IF(AND($D94&gt;=DC$5,$D94&lt;DC$5+7),"◆",""),IF(AND($D94&lt;DC$5+7,$E94&gt;DC$5),"■","")))</x:f>
      </x:c>
      <x:c r="DD94" s="7" t="str">
        <x:f>IF(OR($D94="",DD$5="",'상세일정'!AM94="제외"),"",IF($D94=$E94,IF(AND($D94&gt;=DD$5,$D94&lt;DD$5+7),"◆",""),IF(AND($D94&lt;DD$5+7,$E94&gt;DD$5),"■","")))</x:f>
      </x:c>
      <x:c r="DE94" s="7" t="str">
        <x:f>IF(OR($D94="",DE$5="",'상세일정'!AM94="제외"),"",IF($D94=$E94,IF(AND($D94&gt;=DE$5,$D94&lt;DE$5+7),"◆",""),IF(AND($D94&lt;DE$5+7,$E94&gt;DE$5),"■","")))</x:f>
      </x:c>
    </x:row>
    <x:row r="95" ht="34" customHeight="1">
      <x:c r="A95" s="7" t="str">
        <x:v>CT04</x:v>
      </x:c>
      <x:c r="B95" s="7" t="str">
        <x:v>14 공사업체·감리 선정</x:v>
      </x:c>
      <x:c r="C95" s="7" t="str">
        <x:v>기술평가·견적 정합성 및 협상</x:v>
      </x:c>
      <x:c r="D95" s="10" t="str">
        <x:f>'상세일정'!AJ95</x:f>
      </x:c>
      <x:c r="E95" s="10" t="str">
        <x:f>'상세일정'!AK95</x:f>
      </x:c>
      <x:c r="F95" s="7" t="str">
        <x:f>IF(OR($D95="",F$5="",'상세일정'!AM95="제외"),"",IF($D95=$E95,IF(AND($D95&gt;=F$5,$D95&lt;F$5+7),"◆",""),IF(AND($D95&lt;F$5+7,$E95&gt;F$5),"■","")))</x:f>
      </x:c>
      <x:c r="G95" s="7" t="str">
        <x:f>IF(OR($D95="",G$5="",'상세일정'!AM95="제외"),"",IF($D95=$E95,IF(AND($D95&gt;=G$5,$D95&lt;G$5+7),"◆",""),IF(AND($D95&lt;G$5+7,$E95&gt;G$5),"■","")))</x:f>
      </x:c>
      <x:c r="H95" s="7" t="str">
        <x:f>IF(OR($D95="",H$5="",'상세일정'!AM95="제외"),"",IF($D95=$E95,IF(AND($D95&gt;=H$5,$D95&lt;H$5+7),"◆",""),IF(AND($D95&lt;H$5+7,$E95&gt;H$5),"■","")))</x:f>
      </x:c>
      <x:c r="I95" s="7" t="str">
        <x:f>IF(OR($D95="",I$5="",'상세일정'!AM95="제외"),"",IF($D95=$E95,IF(AND($D95&gt;=I$5,$D95&lt;I$5+7),"◆",""),IF(AND($D95&lt;I$5+7,$E95&gt;I$5),"■","")))</x:f>
      </x:c>
      <x:c r="J95" s="7" t="str">
        <x:f>IF(OR($D95="",J$5="",'상세일정'!AM95="제외"),"",IF($D95=$E95,IF(AND($D95&gt;=J$5,$D95&lt;J$5+7),"◆",""),IF(AND($D95&lt;J$5+7,$E95&gt;J$5),"■","")))</x:f>
      </x:c>
      <x:c r="K95" s="7" t="str">
        <x:f>IF(OR($D95="",K$5="",'상세일정'!AM95="제외"),"",IF($D95=$E95,IF(AND($D95&gt;=K$5,$D95&lt;K$5+7),"◆",""),IF(AND($D95&lt;K$5+7,$E95&gt;K$5),"■","")))</x:f>
      </x:c>
      <x:c r="L95" s="7" t="str">
        <x:f>IF(OR($D95="",L$5="",'상세일정'!AM95="제외"),"",IF($D95=$E95,IF(AND($D95&gt;=L$5,$D95&lt;L$5+7),"◆",""),IF(AND($D95&lt;L$5+7,$E95&gt;L$5),"■","")))</x:f>
      </x:c>
      <x:c r="M95" s="7" t="str">
        <x:f>IF(OR($D95="",M$5="",'상세일정'!AM95="제외"),"",IF($D95=$E95,IF(AND($D95&gt;=M$5,$D95&lt;M$5+7),"◆",""),IF(AND($D95&lt;M$5+7,$E95&gt;M$5),"■","")))</x:f>
      </x:c>
      <x:c r="N95" s="7" t="str">
        <x:f>IF(OR($D95="",N$5="",'상세일정'!AM95="제외"),"",IF($D95=$E95,IF(AND($D95&gt;=N$5,$D95&lt;N$5+7),"◆",""),IF(AND($D95&lt;N$5+7,$E95&gt;N$5),"■","")))</x:f>
      </x:c>
      <x:c r="O95" s="7" t="str">
        <x:f>IF(OR($D95="",O$5="",'상세일정'!AM95="제외"),"",IF($D95=$E95,IF(AND($D95&gt;=O$5,$D95&lt;O$5+7),"◆",""),IF(AND($D95&lt;O$5+7,$E95&gt;O$5),"■","")))</x:f>
      </x:c>
      <x:c r="P95" s="7" t="str">
        <x:f>IF(OR($D95="",P$5="",'상세일정'!AM95="제외"),"",IF($D95=$E95,IF(AND($D95&gt;=P$5,$D95&lt;P$5+7),"◆",""),IF(AND($D95&lt;P$5+7,$E95&gt;P$5),"■","")))</x:f>
      </x:c>
      <x:c r="Q95" s="7" t="str">
        <x:f>IF(OR($D95="",Q$5="",'상세일정'!AM95="제외"),"",IF($D95=$E95,IF(AND($D95&gt;=Q$5,$D95&lt;Q$5+7),"◆",""),IF(AND($D95&lt;Q$5+7,$E95&gt;Q$5),"■","")))</x:f>
      </x:c>
      <x:c r="R95" s="7" t="str">
        <x:f>IF(OR($D95="",R$5="",'상세일정'!AM95="제외"),"",IF($D95=$E95,IF(AND($D95&gt;=R$5,$D95&lt;R$5+7),"◆",""),IF(AND($D95&lt;R$5+7,$E95&gt;R$5),"■","")))</x:f>
      </x:c>
      <x:c r="S95" s="7" t="str">
        <x:f>IF(OR($D95="",S$5="",'상세일정'!AM95="제외"),"",IF($D95=$E95,IF(AND($D95&gt;=S$5,$D95&lt;S$5+7),"◆",""),IF(AND($D95&lt;S$5+7,$E95&gt;S$5),"■","")))</x:f>
      </x:c>
      <x:c r="T95" s="7" t="str">
        <x:f>IF(OR($D95="",T$5="",'상세일정'!AM95="제외"),"",IF($D95=$E95,IF(AND($D95&gt;=T$5,$D95&lt;T$5+7),"◆",""),IF(AND($D95&lt;T$5+7,$E95&gt;T$5),"■","")))</x:f>
      </x:c>
      <x:c r="U95" s="7" t="str">
        <x:f>IF(OR($D95="",U$5="",'상세일정'!AM95="제외"),"",IF($D95=$E95,IF(AND($D95&gt;=U$5,$D95&lt;U$5+7),"◆",""),IF(AND($D95&lt;U$5+7,$E95&gt;U$5),"■","")))</x:f>
      </x:c>
      <x:c r="V95" s="7" t="str">
        <x:f>IF(OR($D95="",V$5="",'상세일정'!AM95="제외"),"",IF($D95=$E95,IF(AND($D95&gt;=V$5,$D95&lt;V$5+7),"◆",""),IF(AND($D95&lt;V$5+7,$E95&gt;V$5),"■","")))</x:f>
      </x:c>
      <x:c r="W95" s="7" t="str">
        <x:f>IF(OR($D95="",W$5="",'상세일정'!AM95="제외"),"",IF($D95=$E95,IF(AND($D95&gt;=W$5,$D95&lt;W$5+7),"◆",""),IF(AND($D95&lt;W$5+7,$E95&gt;W$5),"■","")))</x:f>
      </x:c>
      <x:c r="X95" s="7" t="str">
        <x:f>IF(OR($D95="",X$5="",'상세일정'!AM95="제외"),"",IF($D95=$E95,IF(AND($D95&gt;=X$5,$D95&lt;X$5+7),"◆",""),IF(AND($D95&lt;X$5+7,$E95&gt;X$5),"■","")))</x:f>
      </x:c>
      <x:c r="Y95" s="7" t="str">
        <x:f>IF(OR($D95="",Y$5="",'상세일정'!AM95="제외"),"",IF($D95=$E95,IF(AND($D95&gt;=Y$5,$D95&lt;Y$5+7),"◆",""),IF(AND($D95&lt;Y$5+7,$E95&gt;Y$5),"■","")))</x:f>
      </x:c>
      <x:c r="Z95" s="7" t="str">
        <x:f>IF(OR($D95="",Z$5="",'상세일정'!AM95="제외"),"",IF($D95=$E95,IF(AND($D95&gt;=Z$5,$D95&lt;Z$5+7),"◆",""),IF(AND($D95&lt;Z$5+7,$E95&gt;Z$5),"■","")))</x:f>
      </x:c>
      <x:c r="AA95" s="7" t="str">
        <x:f>IF(OR($D95="",AA$5="",'상세일정'!AM95="제외"),"",IF($D95=$E95,IF(AND($D95&gt;=AA$5,$D95&lt;AA$5+7),"◆",""),IF(AND($D95&lt;AA$5+7,$E95&gt;AA$5),"■","")))</x:f>
      </x:c>
      <x:c r="AB95" s="7" t="str">
        <x:f>IF(OR($D95="",AB$5="",'상세일정'!AM95="제외"),"",IF($D95=$E95,IF(AND($D95&gt;=AB$5,$D95&lt;AB$5+7),"◆",""),IF(AND($D95&lt;AB$5+7,$E95&gt;AB$5),"■","")))</x:f>
      </x:c>
      <x:c r="AC95" s="7" t="str">
        <x:f>IF(OR($D95="",AC$5="",'상세일정'!AM95="제외"),"",IF($D95=$E95,IF(AND($D95&gt;=AC$5,$D95&lt;AC$5+7),"◆",""),IF(AND($D95&lt;AC$5+7,$E95&gt;AC$5),"■","")))</x:f>
      </x:c>
      <x:c r="AD95" s="7" t="str">
        <x:f>IF(OR($D95="",AD$5="",'상세일정'!AM95="제외"),"",IF($D95=$E95,IF(AND($D95&gt;=AD$5,$D95&lt;AD$5+7),"◆",""),IF(AND($D95&lt;AD$5+7,$E95&gt;AD$5),"■","")))</x:f>
      </x:c>
      <x:c r="AE95" s="7" t="str">
        <x:f>IF(OR($D95="",AE$5="",'상세일정'!AM95="제외"),"",IF($D95=$E95,IF(AND($D95&gt;=AE$5,$D95&lt;AE$5+7),"◆",""),IF(AND($D95&lt;AE$5+7,$E95&gt;AE$5),"■","")))</x:f>
      </x:c>
      <x:c r="AF95" s="7" t="str">
        <x:f>IF(OR($D95="",AF$5="",'상세일정'!AM95="제외"),"",IF($D95=$E95,IF(AND($D95&gt;=AF$5,$D95&lt;AF$5+7),"◆",""),IF(AND($D95&lt;AF$5+7,$E95&gt;AF$5),"■","")))</x:f>
      </x:c>
      <x:c r="AG95" s="7" t="str">
        <x:f>IF(OR($D95="",AG$5="",'상세일정'!AM95="제외"),"",IF($D95=$E95,IF(AND($D95&gt;=AG$5,$D95&lt;AG$5+7),"◆",""),IF(AND($D95&lt;AG$5+7,$E95&gt;AG$5),"■","")))</x:f>
      </x:c>
      <x:c r="AH95" s="7" t="str">
        <x:f>IF(OR($D95="",AH$5="",'상세일정'!AM95="제외"),"",IF($D95=$E95,IF(AND($D95&gt;=AH$5,$D95&lt;AH$5+7),"◆",""),IF(AND($D95&lt;AH$5+7,$E95&gt;AH$5),"■","")))</x:f>
      </x:c>
      <x:c r="AI95" s="7" t="str">
        <x:f>IF(OR($D95="",AI$5="",'상세일정'!AM95="제외"),"",IF($D95=$E95,IF(AND($D95&gt;=AI$5,$D95&lt;AI$5+7),"◆",""),IF(AND($D95&lt;AI$5+7,$E95&gt;AI$5),"■","")))</x:f>
      </x:c>
      <x:c r="AJ95" s="7" t="str">
        <x:f>IF(OR($D95="",AJ$5="",'상세일정'!AM95="제외"),"",IF($D95=$E95,IF(AND($D95&gt;=AJ$5,$D95&lt;AJ$5+7),"◆",""),IF(AND($D95&lt;AJ$5+7,$E95&gt;AJ$5),"■","")))</x:f>
      </x:c>
      <x:c r="AK95" s="7" t="str">
        <x:f>IF(OR($D95="",AK$5="",'상세일정'!AM95="제외"),"",IF($D95=$E95,IF(AND($D95&gt;=AK$5,$D95&lt;AK$5+7),"◆",""),IF(AND($D95&lt;AK$5+7,$E95&gt;AK$5),"■","")))</x:f>
      </x:c>
      <x:c r="AL95" s="7" t="str">
        <x:f>IF(OR($D95="",AL$5="",'상세일정'!AM95="제외"),"",IF($D95=$E95,IF(AND($D95&gt;=AL$5,$D95&lt;AL$5+7),"◆",""),IF(AND($D95&lt;AL$5+7,$E95&gt;AL$5),"■","")))</x:f>
      </x:c>
      <x:c r="AM95" s="7" t="str">
        <x:f>IF(OR($D95="",AM$5="",'상세일정'!AM95="제외"),"",IF($D95=$E95,IF(AND($D95&gt;=AM$5,$D95&lt;AM$5+7),"◆",""),IF(AND($D95&lt;AM$5+7,$E95&gt;AM$5),"■","")))</x:f>
      </x:c>
      <x:c r="AN95" s="7" t="str">
        <x:f>IF(OR($D95="",AN$5="",'상세일정'!AM95="제외"),"",IF($D95=$E95,IF(AND($D95&gt;=AN$5,$D95&lt;AN$5+7),"◆",""),IF(AND($D95&lt;AN$5+7,$E95&gt;AN$5),"■","")))</x:f>
      </x:c>
      <x:c r="AO95" s="7" t="str">
        <x:f>IF(OR($D95="",AO$5="",'상세일정'!AM95="제외"),"",IF($D95=$E95,IF(AND($D95&gt;=AO$5,$D95&lt;AO$5+7),"◆",""),IF(AND($D95&lt;AO$5+7,$E95&gt;AO$5),"■","")))</x:f>
      </x:c>
      <x:c r="AP95" s="7" t="str">
        <x:f>IF(OR($D95="",AP$5="",'상세일정'!AM95="제외"),"",IF($D95=$E95,IF(AND($D95&gt;=AP$5,$D95&lt;AP$5+7),"◆",""),IF(AND($D95&lt;AP$5+7,$E95&gt;AP$5),"■","")))</x:f>
      </x:c>
      <x:c r="AQ95" s="7" t="str">
        <x:f>IF(OR($D95="",AQ$5="",'상세일정'!AM95="제외"),"",IF($D95=$E95,IF(AND($D95&gt;=AQ$5,$D95&lt;AQ$5+7),"◆",""),IF(AND($D95&lt;AQ$5+7,$E95&gt;AQ$5),"■","")))</x:f>
      </x:c>
      <x:c r="AR95" s="7" t="str">
        <x:f>IF(OR($D95="",AR$5="",'상세일정'!AM95="제외"),"",IF($D95=$E95,IF(AND($D95&gt;=AR$5,$D95&lt;AR$5+7),"◆",""),IF(AND($D95&lt;AR$5+7,$E95&gt;AR$5),"■","")))</x:f>
      </x:c>
      <x:c r="AS95" s="7" t="str">
        <x:f>IF(OR($D95="",AS$5="",'상세일정'!AM95="제외"),"",IF($D95=$E95,IF(AND($D95&gt;=AS$5,$D95&lt;AS$5+7),"◆",""),IF(AND($D95&lt;AS$5+7,$E95&gt;AS$5),"■","")))</x:f>
      </x:c>
      <x:c r="AT95" s="7" t="str">
        <x:f>IF(OR($D95="",AT$5="",'상세일정'!AM95="제외"),"",IF($D95=$E95,IF(AND($D95&gt;=AT$5,$D95&lt;AT$5+7),"◆",""),IF(AND($D95&lt;AT$5+7,$E95&gt;AT$5),"■","")))</x:f>
      </x:c>
      <x:c r="AU95" s="7" t="str">
        <x:f>IF(OR($D95="",AU$5="",'상세일정'!AM95="제외"),"",IF($D95=$E95,IF(AND($D95&gt;=AU$5,$D95&lt;AU$5+7),"◆",""),IF(AND($D95&lt;AU$5+7,$E95&gt;AU$5),"■","")))</x:f>
      </x:c>
      <x:c r="AV95" s="7" t="str">
        <x:f>IF(OR($D95="",AV$5="",'상세일정'!AM95="제외"),"",IF($D95=$E95,IF(AND($D95&gt;=AV$5,$D95&lt;AV$5+7),"◆",""),IF(AND($D95&lt;AV$5+7,$E95&gt;AV$5),"■","")))</x:f>
      </x:c>
      <x:c r="AW95" s="7" t="str">
        <x:f>IF(OR($D95="",AW$5="",'상세일정'!AM95="제외"),"",IF($D95=$E95,IF(AND($D95&gt;=AW$5,$D95&lt;AW$5+7),"◆",""),IF(AND($D95&lt;AW$5+7,$E95&gt;AW$5),"■","")))</x:f>
      </x:c>
      <x:c r="AX95" s="7" t="str">
        <x:f>IF(OR($D95="",AX$5="",'상세일정'!AM95="제외"),"",IF($D95=$E95,IF(AND($D95&gt;=AX$5,$D95&lt;AX$5+7),"◆",""),IF(AND($D95&lt;AX$5+7,$E95&gt;AX$5),"■","")))</x:f>
      </x:c>
      <x:c r="AY95" s="7" t="str">
        <x:f>IF(OR($D95="",AY$5="",'상세일정'!AM95="제외"),"",IF($D95=$E95,IF(AND($D95&gt;=AY$5,$D95&lt;AY$5+7),"◆",""),IF(AND($D95&lt;AY$5+7,$E95&gt;AY$5),"■","")))</x:f>
      </x:c>
      <x:c r="AZ95" s="7" t="str">
        <x:f>IF(OR($D95="",AZ$5="",'상세일정'!AM95="제외"),"",IF($D95=$E95,IF(AND($D95&gt;=AZ$5,$D95&lt;AZ$5+7),"◆",""),IF(AND($D95&lt;AZ$5+7,$E95&gt;AZ$5),"■","")))</x:f>
      </x:c>
      <x:c r="BA95" s="7" t="str">
        <x:f>IF(OR($D95="",BA$5="",'상세일정'!AM95="제외"),"",IF($D95=$E95,IF(AND($D95&gt;=BA$5,$D95&lt;BA$5+7),"◆",""),IF(AND($D95&lt;BA$5+7,$E95&gt;BA$5),"■","")))</x:f>
      </x:c>
      <x:c r="BB95" s="7" t="str">
        <x:f>IF(OR($D95="",BB$5="",'상세일정'!AM95="제외"),"",IF($D95=$E95,IF(AND($D95&gt;=BB$5,$D95&lt;BB$5+7),"◆",""),IF(AND($D95&lt;BB$5+7,$E95&gt;BB$5),"■","")))</x:f>
      </x:c>
      <x:c r="BC95" s="7" t="str">
        <x:f>IF(OR($D95="",BC$5="",'상세일정'!AM95="제외"),"",IF($D95=$E95,IF(AND($D95&gt;=BC$5,$D95&lt;BC$5+7),"◆",""),IF(AND($D95&lt;BC$5+7,$E95&gt;BC$5),"■","")))</x:f>
      </x:c>
      <x:c r="BD95" s="7" t="str">
        <x:f>IF(OR($D95="",BD$5="",'상세일정'!AM95="제외"),"",IF($D95=$E95,IF(AND($D95&gt;=BD$5,$D95&lt;BD$5+7),"◆",""),IF(AND($D95&lt;BD$5+7,$E95&gt;BD$5),"■","")))</x:f>
      </x:c>
      <x:c r="BE95" s="7" t="str">
        <x:f>IF(OR($D95="",BE$5="",'상세일정'!AM95="제외"),"",IF($D95=$E95,IF(AND($D95&gt;=BE$5,$D95&lt;BE$5+7),"◆",""),IF(AND($D95&lt;BE$5+7,$E95&gt;BE$5),"■","")))</x:f>
      </x:c>
      <x:c r="BF95" s="7" t="str">
        <x:f>IF(OR($D95="",BF$5="",'상세일정'!AM95="제외"),"",IF($D95=$E95,IF(AND($D95&gt;=BF$5,$D95&lt;BF$5+7),"◆",""),IF(AND($D95&lt;BF$5+7,$E95&gt;BF$5),"■","")))</x:f>
      </x:c>
      <x:c r="BG95" s="7" t="str">
        <x:f>IF(OR($D95="",BG$5="",'상세일정'!AM95="제외"),"",IF($D95=$E95,IF(AND($D95&gt;=BG$5,$D95&lt;BG$5+7),"◆",""),IF(AND($D95&lt;BG$5+7,$E95&gt;BG$5),"■","")))</x:f>
      </x:c>
      <x:c r="BH95" s="7" t="str">
        <x:f>IF(OR($D95="",BH$5="",'상세일정'!AM95="제외"),"",IF($D95=$E95,IF(AND($D95&gt;=BH$5,$D95&lt;BH$5+7),"◆",""),IF(AND($D95&lt;BH$5+7,$E95&gt;BH$5),"■","")))</x:f>
      </x:c>
      <x:c r="BI95" s="7" t="str">
        <x:f>IF(OR($D95="",BI$5="",'상세일정'!AM95="제외"),"",IF($D95=$E95,IF(AND($D95&gt;=BI$5,$D95&lt;BI$5+7),"◆",""),IF(AND($D95&lt;BI$5+7,$E95&gt;BI$5),"■","")))</x:f>
      </x:c>
      <x:c r="BJ95" s="7" t="str">
        <x:f>IF(OR($D95="",BJ$5="",'상세일정'!AM95="제외"),"",IF($D95=$E95,IF(AND($D95&gt;=BJ$5,$D95&lt;BJ$5+7),"◆",""),IF(AND($D95&lt;BJ$5+7,$E95&gt;BJ$5),"■","")))</x:f>
      </x:c>
      <x:c r="BK95" s="7" t="str">
        <x:f>IF(OR($D95="",BK$5="",'상세일정'!AM95="제외"),"",IF($D95=$E95,IF(AND($D95&gt;=BK$5,$D95&lt;BK$5+7),"◆",""),IF(AND($D95&lt;BK$5+7,$E95&gt;BK$5),"■","")))</x:f>
      </x:c>
      <x:c r="BL95" s="7" t="str">
        <x:f>IF(OR($D95="",BL$5="",'상세일정'!AM95="제외"),"",IF($D95=$E95,IF(AND($D95&gt;=BL$5,$D95&lt;BL$5+7),"◆",""),IF(AND($D95&lt;BL$5+7,$E95&gt;BL$5),"■","")))</x:f>
      </x:c>
      <x:c r="BM95" s="7" t="str">
        <x:f>IF(OR($D95="",BM$5="",'상세일정'!AM95="제외"),"",IF($D95=$E95,IF(AND($D95&gt;=BM$5,$D95&lt;BM$5+7),"◆",""),IF(AND($D95&lt;BM$5+7,$E95&gt;BM$5),"■","")))</x:f>
      </x:c>
      <x:c r="BN95" s="7" t="str">
        <x:f>IF(OR($D95="",BN$5="",'상세일정'!AM95="제외"),"",IF($D95=$E95,IF(AND($D95&gt;=BN$5,$D95&lt;BN$5+7),"◆",""),IF(AND($D95&lt;BN$5+7,$E95&gt;BN$5),"■","")))</x:f>
      </x:c>
      <x:c r="BO95" s="7" t="str">
        <x:f>IF(OR($D95="",BO$5="",'상세일정'!AM95="제외"),"",IF($D95=$E95,IF(AND($D95&gt;=BO$5,$D95&lt;BO$5+7),"◆",""),IF(AND($D95&lt;BO$5+7,$E95&gt;BO$5),"■","")))</x:f>
      </x:c>
      <x:c r="BP95" s="7" t="str">
        <x:f>IF(OR($D95="",BP$5="",'상세일정'!AM95="제외"),"",IF($D95=$E95,IF(AND($D95&gt;=BP$5,$D95&lt;BP$5+7),"◆",""),IF(AND($D95&lt;BP$5+7,$E95&gt;BP$5),"■","")))</x:f>
      </x:c>
      <x:c r="BQ95" s="7" t="str">
        <x:f>IF(OR($D95="",BQ$5="",'상세일정'!AM95="제외"),"",IF($D95=$E95,IF(AND($D95&gt;=BQ$5,$D95&lt;BQ$5+7),"◆",""),IF(AND($D95&lt;BQ$5+7,$E95&gt;BQ$5),"■","")))</x:f>
      </x:c>
      <x:c r="BR95" s="7" t="str">
        <x:f>IF(OR($D95="",BR$5="",'상세일정'!AM95="제외"),"",IF($D95=$E95,IF(AND($D95&gt;=BR$5,$D95&lt;BR$5+7),"◆",""),IF(AND($D95&lt;BR$5+7,$E95&gt;BR$5),"■","")))</x:f>
      </x:c>
      <x:c r="BS95" s="7" t="str">
        <x:f>IF(OR($D95="",BS$5="",'상세일정'!AM95="제외"),"",IF($D95=$E95,IF(AND($D95&gt;=BS$5,$D95&lt;BS$5+7),"◆",""),IF(AND($D95&lt;BS$5+7,$E95&gt;BS$5),"■","")))</x:f>
      </x:c>
      <x:c r="BT95" s="7" t="str">
        <x:f>IF(OR($D95="",BT$5="",'상세일정'!AM95="제외"),"",IF($D95=$E95,IF(AND($D95&gt;=BT$5,$D95&lt;BT$5+7),"◆",""),IF(AND($D95&lt;BT$5+7,$E95&gt;BT$5),"■","")))</x:f>
      </x:c>
      <x:c r="BU95" s="7" t="str">
        <x:f>IF(OR($D95="",BU$5="",'상세일정'!AM95="제외"),"",IF($D95=$E95,IF(AND($D95&gt;=BU$5,$D95&lt;BU$5+7),"◆",""),IF(AND($D95&lt;BU$5+7,$E95&gt;BU$5),"■","")))</x:f>
      </x:c>
      <x:c r="BV95" s="7" t="str">
        <x:f>IF(OR($D95="",BV$5="",'상세일정'!AM95="제외"),"",IF($D95=$E95,IF(AND($D95&gt;=BV$5,$D95&lt;BV$5+7),"◆",""),IF(AND($D95&lt;BV$5+7,$E95&gt;BV$5),"■","")))</x:f>
      </x:c>
      <x:c r="BW95" s="7" t="str">
        <x:f>IF(OR($D95="",BW$5="",'상세일정'!AM95="제외"),"",IF($D95=$E95,IF(AND($D95&gt;=BW$5,$D95&lt;BW$5+7),"◆",""),IF(AND($D95&lt;BW$5+7,$E95&gt;BW$5),"■","")))</x:f>
      </x:c>
      <x:c r="BX95" s="7" t="str">
        <x:f>IF(OR($D95="",BX$5="",'상세일정'!AM95="제외"),"",IF($D95=$E95,IF(AND($D95&gt;=BX$5,$D95&lt;BX$5+7),"◆",""),IF(AND($D95&lt;BX$5+7,$E95&gt;BX$5),"■","")))</x:f>
      </x:c>
      <x:c r="BY95" s="7" t="str">
        <x:f>IF(OR($D95="",BY$5="",'상세일정'!AM95="제외"),"",IF($D95=$E95,IF(AND($D95&gt;=BY$5,$D95&lt;BY$5+7),"◆",""),IF(AND($D95&lt;BY$5+7,$E95&gt;BY$5),"■","")))</x:f>
      </x:c>
      <x:c r="BZ95" s="7" t="str">
        <x:f>IF(OR($D95="",BZ$5="",'상세일정'!AM95="제외"),"",IF($D95=$E95,IF(AND($D95&gt;=BZ$5,$D95&lt;BZ$5+7),"◆",""),IF(AND($D95&lt;BZ$5+7,$E95&gt;BZ$5),"■","")))</x:f>
      </x:c>
      <x:c r="CA95" s="7" t="str">
        <x:f>IF(OR($D95="",CA$5="",'상세일정'!AM95="제외"),"",IF($D95=$E95,IF(AND($D95&gt;=CA$5,$D95&lt;CA$5+7),"◆",""),IF(AND($D95&lt;CA$5+7,$E95&gt;CA$5),"■","")))</x:f>
      </x:c>
      <x:c r="CB95" s="7" t="str">
        <x:f>IF(OR($D95="",CB$5="",'상세일정'!AM95="제외"),"",IF($D95=$E95,IF(AND($D95&gt;=CB$5,$D95&lt;CB$5+7),"◆",""),IF(AND($D95&lt;CB$5+7,$E95&gt;CB$5),"■","")))</x:f>
      </x:c>
      <x:c r="CC95" s="7" t="str">
        <x:f>IF(OR($D95="",CC$5="",'상세일정'!AM95="제외"),"",IF($D95=$E95,IF(AND($D95&gt;=CC$5,$D95&lt;CC$5+7),"◆",""),IF(AND($D95&lt;CC$5+7,$E95&gt;CC$5),"■","")))</x:f>
      </x:c>
      <x:c r="CD95" s="7" t="str">
        <x:f>IF(OR($D95="",CD$5="",'상세일정'!AM95="제외"),"",IF($D95=$E95,IF(AND($D95&gt;=CD$5,$D95&lt;CD$5+7),"◆",""),IF(AND($D95&lt;CD$5+7,$E95&gt;CD$5),"■","")))</x:f>
      </x:c>
      <x:c r="CE95" s="7" t="str">
        <x:f>IF(OR($D95="",CE$5="",'상세일정'!AM95="제외"),"",IF($D95=$E95,IF(AND($D95&gt;=CE$5,$D95&lt;CE$5+7),"◆",""),IF(AND($D95&lt;CE$5+7,$E95&gt;CE$5),"■","")))</x:f>
      </x:c>
      <x:c r="CF95" s="7" t="str">
        <x:f>IF(OR($D95="",CF$5="",'상세일정'!AM95="제외"),"",IF($D95=$E95,IF(AND($D95&gt;=CF$5,$D95&lt;CF$5+7),"◆",""),IF(AND($D95&lt;CF$5+7,$E95&gt;CF$5),"■","")))</x:f>
      </x:c>
      <x:c r="CG95" s="7" t="str">
        <x:f>IF(OR($D95="",CG$5="",'상세일정'!AM95="제외"),"",IF($D95=$E95,IF(AND($D95&gt;=CG$5,$D95&lt;CG$5+7),"◆",""),IF(AND($D95&lt;CG$5+7,$E95&gt;CG$5),"■","")))</x:f>
      </x:c>
      <x:c r="CH95" s="7" t="str">
        <x:f>IF(OR($D95="",CH$5="",'상세일정'!AM95="제외"),"",IF($D95=$E95,IF(AND($D95&gt;=CH$5,$D95&lt;CH$5+7),"◆",""),IF(AND($D95&lt;CH$5+7,$E95&gt;CH$5),"■","")))</x:f>
      </x:c>
      <x:c r="CI95" s="7" t="str">
        <x:f>IF(OR($D95="",CI$5="",'상세일정'!AM95="제외"),"",IF($D95=$E95,IF(AND($D95&gt;=CI$5,$D95&lt;CI$5+7),"◆",""),IF(AND($D95&lt;CI$5+7,$E95&gt;CI$5),"■","")))</x:f>
      </x:c>
      <x:c r="CJ95" s="7" t="str">
        <x:f>IF(OR($D95="",CJ$5="",'상세일정'!AM95="제외"),"",IF($D95=$E95,IF(AND($D95&gt;=CJ$5,$D95&lt;CJ$5+7),"◆",""),IF(AND($D95&lt;CJ$5+7,$E95&gt;CJ$5),"■","")))</x:f>
      </x:c>
      <x:c r="CK95" s="7" t="str">
        <x:f>IF(OR($D95="",CK$5="",'상세일정'!AM95="제외"),"",IF($D95=$E95,IF(AND($D95&gt;=CK$5,$D95&lt;CK$5+7),"◆",""),IF(AND($D95&lt;CK$5+7,$E95&gt;CK$5),"■","")))</x:f>
      </x:c>
      <x:c r="CL95" s="7" t="str">
        <x:f>IF(OR($D95="",CL$5="",'상세일정'!AM95="제외"),"",IF($D95=$E95,IF(AND($D95&gt;=CL$5,$D95&lt;CL$5+7),"◆",""),IF(AND($D95&lt;CL$5+7,$E95&gt;CL$5),"■","")))</x:f>
      </x:c>
      <x:c r="CM95" s="7" t="str">
        <x:f>IF(OR($D95="",CM$5="",'상세일정'!AM95="제외"),"",IF($D95=$E95,IF(AND($D95&gt;=CM$5,$D95&lt;CM$5+7),"◆",""),IF(AND($D95&lt;CM$5+7,$E95&gt;CM$5),"■","")))</x:f>
      </x:c>
      <x:c r="CN95" s="7" t="str">
        <x:f>IF(OR($D95="",CN$5="",'상세일정'!AM95="제외"),"",IF($D95=$E95,IF(AND($D95&gt;=CN$5,$D95&lt;CN$5+7),"◆",""),IF(AND($D95&lt;CN$5+7,$E95&gt;CN$5),"■","")))</x:f>
      </x:c>
      <x:c r="CO95" s="7" t="str">
        <x:f>IF(OR($D95="",CO$5="",'상세일정'!AM95="제외"),"",IF($D95=$E95,IF(AND($D95&gt;=CO$5,$D95&lt;CO$5+7),"◆",""),IF(AND($D95&lt;CO$5+7,$E95&gt;CO$5),"■","")))</x:f>
      </x:c>
      <x:c r="CP95" s="7" t="str">
        <x:f>IF(OR($D95="",CP$5="",'상세일정'!AM95="제외"),"",IF($D95=$E95,IF(AND($D95&gt;=CP$5,$D95&lt;CP$5+7),"◆",""),IF(AND($D95&lt;CP$5+7,$E95&gt;CP$5),"■","")))</x:f>
      </x:c>
      <x:c r="CQ95" s="7" t="str">
        <x:f>IF(OR($D95="",CQ$5="",'상세일정'!AM95="제외"),"",IF($D95=$E95,IF(AND($D95&gt;=CQ$5,$D95&lt;CQ$5+7),"◆",""),IF(AND($D95&lt;CQ$5+7,$E95&gt;CQ$5),"■","")))</x:f>
      </x:c>
      <x:c r="CR95" s="7" t="str">
        <x:f>IF(OR($D95="",CR$5="",'상세일정'!AM95="제외"),"",IF($D95=$E95,IF(AND($D95&gt;=CR$5,$D95&lt;CR$5+7),"◆",""),IF(AND($D95&lt;CR$5+7,$E95&gt;CR$5),"■","")))</x:f>
      </x:c>
      <x:c r="CS95" s="7" t="str">
        <x:f>IF(OR($D95="",CS$5="",'상세일정'!AM95="제외"),"",IF($D95=$E95,IF(AND($D95&gt;=CS$5,$D95&lt;CS$5+7),"◆",""),IF(AND($D95&lt;CS$5+7,$E95&gt;CS$5),"■","")))</x:f>
      </x:c>
      <x:c r="CT95" s="7" t="str">
        <x:f>IF(OR($D95="",CT$5="",'상세일정'!AM95="제외"),"",IF($D95=$E95,IF(AND($D95&gt;=CT$5,$D95&lt;CT$5+7),"◆",""),IF(AND($D95&lt;CT$5+7,$E95&gt;CT$5),"■","")))</x:f>
      </x:c>
      <x:c r="CU95" s="7" t="str">
        <x:f>IF(OR($D95="",CU$5="",'상세일정'!AM95="제외"),"",IF($D95=$E95,IF(AND($D95&gt;=CU$5,$D95&lt;CU$5+7),"◆",""),IF(AND($D95&lt;CU$5+7,$E95&gt;CU$5),"■","")))</x:f>
      </x:c>
      <x:c r="CV95" s="7" t="str">
        <x:f>IF(OR($D95="",CV$5="",'상세일정'!AM95="제외"),"",IF($D95=$E95,IF(AND($D95&gt;=CV$5,$D95&lt;CV$5+7),"◆",""),IF(AND($D95&lt;CV$5+7,$E95&gt;CV$5),"■","")))</x:f>
      </x:c>
      <x:c r="CW95" s="7" t="str">
        <x:f>IF(OR($D95="",CW$5="",'상세일정'!AM95="제외"),"",IF($D95=$E95,IF(AND($D95&gt;=CW$5,$D95&lt;CW$5+7),"◆",""),IF(AND($D95&lt;CW$5+7,$E95&gt;CW$5),"■","")))</x:f>
      </x:c>
      <x:c r="CX95" s="7" t="str">
        <x:f>IF(OR($D95="",CX$5="",'상세일정'!AM95="제외"),"",IF($D95=$E95,IF(AND($D95&gt;=CX$5,$D95&lt;CX$5+7),"◆",""),IF(AND($D95&lt;CX$5+7,$E95&gt;CX$5),"■","")))</x:f>
      </x:c>
      <x:c r="CY95" s="7" t="str">
        <x:f>IF(OR($D95="",CY$5="",'상세일정'!AM95="제외"),"",IF($D95=$E95,IF(AND($D95&gt;=CY$5,$D95&lt;CY$5+7),"◆",""),IF(AND($D95&lt;CY$5+7,$E95&gt;CY$5),"■","")))</x:f>
      </x:c>
      <x:c r="CZ95" s="7" t="str">
        <x:f>IF(OR($D95="",CZ$5="",'상세일정'!AM95="제외"),"",IF($D95=$E95,IF(AND($D95&gt;=CZ$5,$D95&lt;CZ$5+7),"◆",""),IF(AND($D95&lt;CZ$5+7,$E95&gt;CZ$5),"■","")))</x:f>
      </x:c>
      <x:c r="DA95" s="7" t="str">
        <x:f>IF(OR($D95="",DA$5="",'상세일정'!AM95="제외"),"",IF($D95=$E95,IF(AND($D95&gt;=DA$5,$D95&lt;DA$5+7),"◆",""),IF(AND($D95&lt;DA$5+7,$E95&gt;DA$5),"■","")))</x:f>
      </x:c>
      <x:c r="DB95" s="7" t="str">
        <x:f>IF(OR($D95="",DB$5="",'상세일정'!AM95="제외"),"",IF($D95=$E95,IF(AND($D95&gt;=DB$5,$D95&lt;DB$5+7),"◆",""),IF(AND($D95&lt;DB$5+7,$E95&gt;DB$5),"■","")))</x:f>
      </x:c>
      <x:c r="DC95" s="7" t="str">
        <x:f>IF(OR($D95="",DC$5="",'상세일정'!AM95="제외"),"",IF($D95=$E95,IF(AND($D95&gt;=DC$5,$D95&lt;DC$5+7),"◆",""),IF(AND($D95&lt;DC$5+7,$E95&gt;DC$5),"■","")))</x:f>
      </x:c>
      <x:c r="DD95" s="7" t="str">
        <x:f>IF(OR($D95="",DD$5="",'상세일정'!AM95="제외"),"",IF($D95=$E95,IF(AND($D95&gt;=DD$5,$D95&lt;DD$5+7),"◆",""),IF(AND($D95&lt;DD$5+7,$E95&gt;DD$5),"■","")))</x:f>
      </x:c>
      <x:c r="DE95" s="7" t="str">
        <x:f>IF(OR($D95="",DE$5="",'상세일정'!AM95="제외"),"",IF($D95=$E95,IF(AND($D95&gt;=DE$5,$D95&lt;DE$5+7),"◆",""),IF(AND($D95&lt;DE$5+7,$E95&gt;DE$5),"■","")))</x:f>
      </x:c>
    </x:row>
    <x:row r="96" ht="34" customHeight="1">
      <x:c r="A96" s="7" t="str">
        <x:v>CT05</x:v>
      </x:c>
      <x:c r="B96" s="7" t="str">
        <x:v>14 공사업체·감리 선정</x:v>
      </x:c>
      <x:c r="C96" s="7" t="str">
        <x:v>시공 계약 체결·착수회의</x:v>
      </x:c>
      <x:c r="D96" s="10" t="str">
        <x:f>'상세일정'!AJ96</x:f>
      </x:c>
      <x:c r="E96" s="10" t="str">
        <x:f>'상세일정'!AK96</x:f>
      </x:c>
      <x:c r="F96" s="7" t="str">
        <x:f>IF(OR($D96="",F$5="",'상세일정'!AM96="제외"),"",IF($D96=$E96,IF(AND($D96&gt;=F$5,$D96&lt;F$5+7),"◆",""),IF(AND($D96&lt;F$5+7,$E96&gt;F$5),"■","")))</x:f>
      </x:c>
      <x:c r="G96" s="7" t="str">
        <x:f>IF(OR($D96="",G$5="",'상세일정'!AM96="제외"),"",IF($D96=$E96,IF(AND($D96&gt;=G$5,$D96&lt;G$5+7),"◆",""),IF(AND($D96&lt;G$5+7,$E96&gt;G$5),"■","")))</x:f>
      </x:c>
      <x:c r="H96" s="7" t="str">
        <x:f>IF(OR($D96="",H$5="",'상세일정'!AM96="제외"),"",IF($D96=$E96,IF(AND($D96&gt;=H$5,$D96&lt;H$5+7),"◆",""),IF(AND($D96&lt;H$5+7,$E96&gt;H$5),"■","")))</x:f>
      </x:c>
      <x:c r="I96" s="7" t="str">
        <x:f>IF(OR($D96="",I$5="",'상세일정'!AM96="제외"),"",IF($D96=$E96,IF(AND($D96&gt;=I$5,$D96&lt;I$5+7),"◆",""),IF(AND($D96&lt;I$5+7,$E96&gt;I$5),"■","")))</x:f>
      </x:c>
      <x:c r="J96" s="7" t="str">
        <x:f>IF(OR($D96="",J$5="",'상세일정'!AM96="제외"),"",IF($D96=$E96,IF(AND($D96&gt;=J$5,$D96&lt;J$5+7),"◆",""),IF(AND($D96&lt;J$5+7,$E96&gt;J$5),"■","")))</x:f>
      </x:c>
      <x:c r="K96" s="7" t="str">
        <x:f>IF(OR($D96="",K$5="",'상세일정'!AM96="제외"),"",IF($D96=$E96,IF(AND($D96&gt;=K$5,$D96&lt;K$5+7),"◆",""),IF(AND($D96&lt;K$5+7,$E96&gt;K$5),"■","")))</x:f>
      </x:c>
      <x:c r="L96" s="7" t="str">
        <x:f>IF(OR($D96="",L$5="",'상세일정'!AM96="제외"),"",IF($D96=$E96,IF(AND($D96&gt;=L$5,$D96&lt;L$5+7),"◆",""),IF(AND($D96&lt;L$5+7,$E96&gt;L$5),"■","")))</x:f>
      </x:c>
      <x:c r="M96" s="7" t="str">
        <x:f>IF(OR($D96="",M$5="",'상세일정'!AM96="제외"),"",IF($D96=$E96,IF(AND($D96&gt;=M$5,$D96&lt;M$5+7),"◆",""),IF(AND($D96&lt;M$5+7,$E96&gt;M$5),"■","")))</x:f>
      </x:c>
      <x:c r="N96" s="7" t="str">
        <x:f>IF(OR($D96="",N$5="",'상세일정'!AM96="제외"),"",IF($D96=$E96,IF(AND($D96&gt;=N$5,$D96&lt;N$5+7),"◆",""),IF(AND($D96&lt;N$5+7,$E96&gt;N$5),"■","")))</x:f>
      </x:c>
      <x:c r="O96" s="7" t="str">
        <x:f>IF(OR($D96="",O$5="",'상세일정'!AM96="제외"),"",IF($D96=$E96,IF(AND($D96&gt;=O$5,$D96&lt;O$5+7),"◆",""),IF(AND($D96&lt;O$5+7,$E96&gt;O$5),"■","")))</x:f>
      </x:c>
      <x:c r="P96" s="7" t="str">
        <x:f>IF(OR($D96="",P$5="",'상세일정'!AM96="제외"),"",IF($D96=$E96,IF(AND($D96&gt;=P$5,$D96&lt;P$5+7),"◆",""),IF(AND($D96&lt;P$5+7,$E96&gt;P$5),"■","")))</x:f>
      </x:c>
      <x:c r="Q96" s="7" t="str">
        <x:f>IF(OR($D96="",Q$5="",'상세일정'!AM96="제외"),"",IF($D96=$E96,IF(AND($D96&gt;=Q$5,$D96&lt;Q$5+7),"◆",""),IF(AND($D96&lt;Q$5+7,$E96&gt;Q$5),"■","")))</x:f>
      </x:c>
      <x:c r="R96" s="7" t="str">
        <x:f>IF(OR($D96="",R$5="",'상세일정'!AM96="제외"),"",IF($D96=$E96,IF(AND($D96&gt;=R$5,$D96&lt;R$5+7),"◆",""),IF(AND($D96&lt;R$5+7,$E96&gt;R$5),"■","")))</x:f>
      </x:c>
      <x:c r="S96" s="7" t="str">
        <x:f>IF(OR($D96="",S$5="",'상세일정'!AM96="제외"),"",IF($D96=$E96,IF(AND($D96&gt;=S$5,$D96&lt;S$5+7),"◆",""),IF(AND($D96&lt;S$5+7,$E96&gt;S$5),"■","")))</x:f>
      </x:c>
      <x:c r="T96" s="7" t="str">
        <x:f>IF(OR($D96="",T$5="",'상세일정'!AM96="제외"),"",IF($D96=$E96,IF(AND($D96&gt;=T$5,$D96&lt;T$5+7),"◆",""),IF(AND($D96&lt;T$5+7,$E96&gt;T$5),"■","")))</x:f>
      </x:c>
      <x:c r="U96" s="7" t="str">
        <x:f>IF(OR($D96="",U$5="",'상세일정'!AM96="제외"),"",IF($D96=$E96,IF(AND($D96&gt;=U$5,$D96&lt;U$5+7),"◆",""),IF(AND($D96&lt;U$5+7,$E96&gt;U$5),"■","")))</x:f>
      </x:c>
      <x:c r="V96" s="7" t="str">
        <x:f>IF(OR($D96="",V$5="",'상세일정'!AM96="제외"),"",IF($D96=$E96,IF(AND($D96&gt;=V$5,$D96&lt;V$5+7),"◆",""),IF(AND($D96&lt;V$5+7,$E96&gt;V$5),"■","")))</x:f>
      </x:c>
      <x:c r="W96" s="7" t="str">
        <x:f>IF(OR($D96="",W$5="",'상세일정'!AM96="제외"),"",IF($D96=$E96,IF(AND($D96&gt;=W$5,$D96&lt;W$5+7),"◆",""),IF(AND($D96&lt;W$5+7,$E96&gt;W$5),"■","")))</x:f>
      </x:c>
      <x:c r="X96" s="7" t="str">
        <x:f>IF(OR($D96="",X$5="",'상세일정'!AM96="제외"),"",IF($D96=$E96,IF(AND($D96&gt;=X$5,$D96&lt;X$5+7),"◆",""),IF(AND($D96&lt;X$5+7,$E96&gt;X$5),"■","")))</x:f>
      </x:c>
      <x:c r="Y96" s="7" t="str">
        <x:f>IF(OR($D96="",Y$5="",'상세일정'!AM96="제외"),"",IF($D96=$E96,IF(AND($D96&gt;=Y$5,$D96&lt;Y$5+7),"◆",""),IF(AND($D96&lt;Y$5+7,$E96&gt;Y$5),"■","")))</x:f>
      </x:c>
      <x:c r="Z96" s="7" t="str">
        <x:f>IF(OR($D96="",Z$5="",'상세일정'!AM96="제외"),"",IF($D96=$E96,IF(AND($D96&gt;=Z$5,$D96&lt;Z$5+7),"◆",""),IF(AND($D96&lt;Z$5+7,$E96&gt;Z$5),"■","")))</x:f>
      </x:c>
      <x:c r="AA96" s="7" t="str">
        <x:f>IF(OR($D96="",AA$5="",'상세일정'!AM96="제외"),"",IF($D96=$E96,IF(AND($D96&gt;=AA$5,$D96&lt;AA$5+7),"◆",""),IF(AND($D96&lt;AA$5+7,$E96&gt;AA$5),"■","")))</x:f>
      </x:c>
      <x:c r="AB96" s="7" t="str">
        <x:f>IF(OR($D96="",AB$5="",'상세일정'!AM96="제외"),"",IF($D96=$E96,IF(AND($D96&gt;=AB$5,$D96&lt;AB$5+7),"◆",""),IF(AND($D96&lt;AB$5+7,$E96&gt;AB$5),"■","")))</x:f>
      </x:c>
      <x:c r="AC96" s="7" t="str">
        <x:f>IF(OR($D96="",AC$5="",'상세일정'!AM96="제외"),"",IF($D96=$E96,IF(AND($D96&gt;=AC$5,$D96&lt;AC$5+7),"◆",""),IF(AND($D96&lt;AC$5+7,$E96&gt;AC$5),"■","")))</x:f>
      </x:c>
      <x:c r="AD96" s="7" t="str">
        <x:f>IF(OR($D96="",AD$5="",'상세일정'!AM96="제외"),"",IF($D96=$E96,IF(AND($D96&gt;=AD$5,$D96&lt;AD$5+7),"◆",""),IF(AND($D96&lt;AD$5+7,$E96&gt;AD$5),"■","")))</x:f>
      </x:c>
      <x:c r="AE96" s="7" t="str">
        <x:f>IF(OR($D96="",AE$5="",'상세일정'!AM96="제외"),"",IF($D96=$E96,IF(AND($D96&gt;=AE$5,$D96&lt;AE$5+7),"◆",""),IF(AND($D96&lt;AE$5+7,$E96&gt;AE$5),"■","")))</x:f>
      </x:c>
      <x:c r="AF96" s="7" t="str">
        <x:f>IF(OR($D96="",AF$5="",'상세일정'!AM96="제외"),"",IF($D96=$E96,IF(AND($D96&gt;=AF$5,$D96&lt;AF$5+7),"◆",""),IF(AND($D96&lt;AF$5+7,$E96&gt;AF$5),"■","")))</x:f>
      </x:c>
      <x:c r="AG96" s="7" t="str">
        <x:f>IF(OR($D96="",AG$5="",'상세일정'!AM96="제외"),"",IF($D96=$E96,IF(AND($D96&gt;=AG$5,$D96&lt;AG$5+7),"◆",""),IF(AND($D96&lt;AG$5+7,$E96&gt;AG$5),"■","")))</x:f>
      </x:c>
      <x:c r="AH96" s="7" t="str">
        <x:f>IF(OR($D96="",AH$5="",'상세일정'!AM96="제외"),"",IF($D96=$E96,IF(AND($D96&gt;=AH$5,$D96&lt;AH$5+7),"◆",""),IF(AND($D96&lt;AH$5+7,$E96&gt;AH$5),"■","")))</x:f>
      </x:c>
      <x:c r="AI96" s="7" t="str">
        <x:f>IF(OR($D96="",AI$5="",'상세일정'!AM96="제외"),"",IF($D96=$E96,IF(AND($D96&gt;=AI$5,$D96&lt;AI$5+7),"◆",""),IF(AND($D96&lt;AI$5+7,$E96&gt;AI$5),"■","")))</x:f>
      </x:c>
      <x:c r="AJ96" s="7" t="str">
        <x:f>IF(OR($D96="",AJ$5="",'상세일정'!AM96="제외"),"",IF($D96=$E96,IF(AND($D96&gt;=AJ$5,$D96&lt;AJ$5+7),"◆",""),IF(AND($D96&lt;AJ$5+7,$E96&gt;AJ$5),"■","")))</x:f>
      </x:c>
      <x:c r="AK96" s="7" t="str">
        <x:f>IF(OR($D96="",AK$5="",'상세일정'!AM96="제외"),"",IF($D96=$E96,IF(AND($D96&gt;=AK$5,$D96&lt;AK$5+7),"◆",""),IF(AND($D96&lt;AK$5+7,$E96&gt;AK$5),"■","")))</x:f>
      </x:c>
      <x:c r="AL96" s="7" t="str">
        <x:f>IF(OR($D96="",AL$5="",'상세일정'!AM96="제외"),"",IF($D96=$E96,IF(AND($D96&gt;=AL$5,$D96&lt;AL$5+7),"◆",""),IF(AND($D96&lt;AL$5+7,$E96&gt;AL$5),"■","")))</x:f>
      </x:c>
      <x:c r="AM96" s="7" t="str">
        <x:f>IF(OR($D96="",AM$5="",'상세일정'!AM96="제외"),"",IF($D96=$E96,IF(AND($D96&gt;=AM$5,$D96&lt;AM$5+7),"◆",""),IF(AND($D96&lt;AM$5+7,$E96&gt;AM$5),"■","")))</x:f>
      </x:c>
      <x:c r="AN96" s="7" t="str">
        <x:f>IF(OR($D96="",AN$5="",'상세일정'!AM96="제외"),"",IF($D96=$E96,IF(AND($D96&gt;=AN$5,$D96&lt;AN$5+7),"◆",""),IF(AND($D96&lt;AN$5+7,$E96&gt;AN$5),"■","")))</x:f>
      </x:c>
      <x:c r="AO96" s="7" t="str">
        <x:f>IF(OR($D96="",AO$5="",'상세일정'!AM96="제외"),"",IF($D96=$E96,IF(AND($D96&gt;=AO$5,$D96&lt;AO$5+7),"◆",""),IF(AND($D96&lt;AO$5+7,$E96&gt;AO$5),"■","")))</x:f>
      </x:c>
      <x:c r="AP96" s="7" t="str">
        <x:f>IF(OR($D96="",AP$5="",'상세일정'!AM96="제외"),"",IF($D96=$E96,IF(AND($D96&gt;=AP$5,$D96&lt;AP$5+7),"◆",""),IF(AND($D96&lt;AP$5+7,$E96&gt;AP$5),"■","")))</x:f>
      </x:c>
      <x:c r="AQ96" s="7" t="str">
        <x:f>IF(OR($D96="",AQ$5="",'상세일정'!AM96="제외"),"",IF($D96=$E96,IF(AND($D96&gt;=AQ$5,$D96&lt;AQ$5+7),"◆",""),IF(AND($D96&lt;AQ$5+7,$E96&gt;AQ$5),"■","")))</x:f>
      </x:c>
      <x:c r="AR96" s="7" t="str">
        <x:f>IF(OR($D96="",AR$5="",'상세일정'!AM96="제외"),"",IF($D96=$E96,IF(AND($D96&gt;=AR$5,$D96&lt;AR$5+7),"◆",""),IF(AND($D96&lt;AR$5+7,$E96&gt;AR$5),"■","")))</x:f>
      </x:c>
      <x:c r="AS96" s="7" t="str">
        <x:f>IF(OR($D96="",AS$5="",'상세일정'!AM96="제외"),"",IF($D96=$E96,IF(AND($D96&gt;=AS$5,$D96&lt;AS$5+7),"◆",""),IF(AND($D96&lt;AS$5+7,$E96&gt;AS$5),"■","")))</x:f>
      </x:c>
      <x:c r="AT96" s="7" t="str">
        <x:f>IF(OR($D96="",AT$5="",'상세일정'!AM96="제외"),"",IF($D96=$E96,IF(AND($D96&gt;=AT$5,$D96&lt;AT$5+7),"◆",""),IF(AND($D96&lt;AT$5+7,$E96&gt;AT$5),"■","")))</x:f>
      </x:c>
      <x:c r="AU96" s="7" t="str">
        <x:f>IF(OR($D96="",AU$5="",'상세일정'!AM96="제외"),"",IF($D96=$E96,IF(AND($D96&gt;=AU$5,$D96&lt;AU$5+7),"◆",""),IF(AND($D96&lt;AU$5+7,$E96&gt;AU$5),"■","")))</x:f>
      </x:c>
      <x:c r="AV96" s="7" t="str">
        <x:f>IF(OR($D96="",AV$5="",'상세일정'!AM96="제외"),"",IF($D96=$E96,IF(AND($D96&gt;=AV$5,$D96&lt;AV$5+7),"◆",""),IF(AND($D96&lt;AV$5+7,$E96&gt;AV$5),"■","")))</x:f>
      </x:c>
      <x:c r="AW96" s="7" t="str">
        <x:f>IF(OR($D96="",AW$5="",'상세일정'!AM96="제외"),"",IF($D96=$E96,IF(AND($D96&gt;=AW$5,$D96&lt;AW$5+7),"◆",""),IF(AND($D96&lt;AW$5+7,$E96&gt;AW$5),"■","")))</x:f>
      </x:c>
      <x:c r="AX96" s="7" t="str">
        <x:f>IF(OR($D96="",AX$5="",'상세일정'!AM96="제외"),"",IF($D96=$E96,IF(AND($D96&gt;=AX$5,$D96&lt;AX$5+7),"◆",""),IF(AND($D96&lt;AX$5+7,$E96&gt;AX$5),"■","")))</x:f>
      </x:c>
      <x:c r="AY96" s="7" t="str">
        <x:f>IF(OR($D96="",AY$5="",'상세일정'!AM96="제외"),"",IF($D96=$E96,IF(AND($D96&gt;=AY$5,$D96&lt;AY$5+7),"◆",""),IF(AND($D96&lt;AY$5+7,$E96&gt;AY$5),"■","")))</x:f>
      </x:c>
      <x:c r="AZ96" s="7" t="str">
        <x:f>IF(OR($D96="",AZ$5="",'상세일정'!AM96="제외"),"",IF($D96=$E96,IF(AND($D96&gt;=AZ$5,$D96&lt;AZ$5+7),"◆",""),IF(AND($D96&lt;AZ$5+7,$E96&gt;AZ$5),"■","")))</x:f>
      </x:c>
      <x:c r="BA96" s="7" t="str">
        <x:f>IF(OR($D96="",BA$5="",'상세일정'!AM96="제외"),"",IF($D96=$E96,IF(AND($D96&gt;=BA$5,$D96&lt;BA$5+7),"◆",""),IF(AND($D96&lt;BA$5+7,$E96&gt;BA$5),"■","")))</x:f>
      </x:c>
      <x:c r="BB96" s="7" t="str">
        <x:f>IF(OR($D96="",BB$5="",'상세일정'!AM96="제외"),"",IF($D96=$E96,IF(AND($D96&gt;=BB$5,$D96&lt;BB$5+7),"◆",""),IF(AND($D96&lt;BB$5+7,$E96&gt;BB$5),"■","")))</x:f>
      </x:c>
      <x:c r="BC96" s="7" t="str">
        <x:f>IF(OR($D96="",BC$5="",'상세일정'!AM96="제외"),"",IF($D96=$E96,IF(AND($D96&gt;=BC$5,$D96&lt;BC$5+7),"◆",""),IF(AND($D96&lt;BC$5+7,$E96&gt;BC$5),"■","")))</x:f>
      </x:c>
      <x:c r="BD96" s="7" t="str">
        <x:f>IF(OR($D96="",BD$5="",'상세일정'!AM96="제외"),"",IF($D96=$E96,IF(AND($D96&gt;=BD$5,$D96&lt;BD$5+7),"◆",""),IF(AND($D96&lt;BD$5+7,$E96&gt;BD$5),"■","")))</x:f>
      </x:c>
      <x:c r="BE96" s="7" t="str">
        <x:f>IF(OR($D96="",BE$5="",'상세일정'!AM96="제외"),"",IF($D96=$E96,IF(AND($D96&gt;=BE$5,$D96&lt;BE$5+7),"◆",""),IF(AND($D96&lt;BE$5+7,$E96&gt;BE$5),"■","")))</x:f>
      </x:c>
      <x:c r="BF96" s="7" t="str">
        <x:f>IF(OR($D96="",BF$5="",'상세일정'!AM96="제외"),"",IF($D96=$E96,IF(AND($D96&gt;=BF$5,$D96&lt;BF$5+7),"◆",""),IF(AND($D96&lt;BF$5+7,$E96&gt;BF$5),"■","")))</x:f>
      </x:c>
      <x:c r="BG96" s="7" t="str">
        <x:f>IF(OR($D96="",BG$5="",'상세일정'!AM96="제외"),"",IF($D96=$E96,IF(AND($D96&gt;=BG$5,$D96&lt;BG$5+7),"◆",""),IF(AND($D96&lt;BG$5+7,$E96&gt;BG$5),"■","")))</x:f>
      </x:c>
      <x:c r="BH96" s="7" t="str">
        <x:f>IF(OR($D96="",BH$5="",'상세일정'!AM96="제외"),"",IF($D96=$E96,IF(AND($D96&gt;=BH$5,$D96&lt;BH$5+7),"◆",""),IF(AND($D96&lt;BH$5+7,$E96&gt;BH$5),"■","")))</x:f>
      </x:c>
      <x:c r="BI96" s="7" t="str">
        <x:f>IF(OR($D96="",BI$5="",'상세일정'!AM96="제외"),"",IF($D96=$E96,IF(AND($D96&gt;=BI$5,$D96&lt;BI$5+7),"◆",""),IF(AND($D96&lt;BI$5+7,$E96&gt;BI$5),"■","")))</x:f>
      </x:c>
      <x:c r="BJ96" s="7" t="str">
        <x:f>IF(OR($D96="",BJ$5="",'상세일정'!AM96="제외"),"",IF($D96=$E96,IF(AND($D96&gt;=BJ$5,$D96&lt;BJ$5+7),"◆",""),IF(AND($D96&lt;BJ$5+7,$E96&gt;BJ$5),"■","")))</x:f>
      </x:c>
      <x:c r="BK96" s="7" t="str">
        <x:f>IF(OR($D96="",BK$5="",'상세일정'!AM96="제외"),"",IF($D96=$E96,IF(AND($D96&gt;=BK$5,$D96&lt;BK$5+7),"◆",""),IF(AND($D96&lt;BK$5+7,$E96&gt;BK$5),"■","")))</x:f>
      </x:c>
      <x:c r="BL96" s="7" t="str">
        <x:f>IF(OR($D96="",BL$5="",'상세일정'!AM96="제외"),"",IF($D96=$E96,IF(AND($D96&gt;=BL$5,$D96&lt;BL$5+7),"◆",""),IF(AND($D96&lt;BL$5+7,$E96&gt;BL$5),"■","")))</x:f>
      </x:c>
      <x:c r="BM96" s="7" t="str">
        <x:f>IF(OR($D96="",BM$5="",'상세일정'!AM96="제외"),"",IF($D96=$E96,IF(AND($D96&gt;=BM$5,$D96&lt;BM$5+7),"◆",""),IF(AND($D96&lt;BM$5+7,$E96&gt;BM$5),"■","")))</x:f>
      </x:c>
      <x:c r="BN96" s="7" t="str">
        <x:f>IF(OR($D96="",BN$5="",'상세일정'!AM96="제외"),"",IF($D96=$E96,IF(AND($D96&gt;=BN$5,$D96&lt;BN$5+7),"◆",""),IF(AND($D96&lt;BN$5+7,$E96&gt;BN$5),"■","")))</x:f>
      </x:c>
      <x:c r="BO96" s="7" t="str">
        <x:f>IF(OR($D96="",BO$5="",'상세일정'!AM96="제외"),"",IF($D96=$E96,IF(AND($D96&gt;=BO$5,$D96&lt;BO$5+7),"◆",""),IF(AND($D96&lt;BO$5+7,$E96&gt;BO$5),"■","")))</x:f>
      </x:c>
      <x:c r="BP96" s="7" t="str">
        <x:f>IF(OR($D96="",BP$5="",'상세일정'!AM96="제외"),"",IF($D96=$E96,IF(AND($D96&gt;=BP$5,$D96&lt;BP$5+7),"◆",""),IF(AND($D96&lt;BP$5+7,$E96&gt;BP$5),"■","")))</x:f>
      </x:c>
      <x:c r="BQ96" s="7" t="str">
        <x:f>IF(OR($D96="",BQ$5="",'상세일정'!AM96="제외"),"",IF($D96=$E96,IF(AND($D96&gt;=BQ$5,$D96&lt;BQ$5+7),"◆",""),IF(AND($D96&lt;BQ$5+7,$E96&gt;BQ$5),"■","")))</x:f>
      </x:c>
      <x:c r="BR96" s="7" t="str">
        <x:f>IF(OR($D96="",BR$5="",'상세일정'!AM96="제외"),"",IF($D96=$E96,IF(AND($D96&gt;=BR$5,$D96&lt;BR$5+7),"◆",""),IF(AND($D96&lt;BR$5+7,$E96&gt;BR$5),"■","")))</x:f>
      </x:c>
      <x:c r="BS96" s="7" t="str">
        <x:f>IF(OR($D96="",BS$5="",'상세일정'!AM96="제외"),"",IF($D96=$E96,IF(AND($D96&gt;=BS$5,$D96&lt;BS$5+7),"◆",""),IF(AND($D96&lt;BS$5+7,$E96&gt;BS$5),"■","")))</x:f>
      </x:c>
      <x:c r="BT96" s="7" t="str">
        <x:f>IF(OR($D96="",BT$5="",'상세일정'!AM96="제외"),"",IF($D96=$E96,IF(AND($D96&gt;=BT$5,$D96&lt;BT$5+7),"◆",""),IF(AND($D96&lt;BT$5+7,$E96&gt;BT$5),"■","")))</x:f>
      </x:c>
      <x:c r="BU96" s="7" t="str">
        <x:f>IF(OR($D96="",BU$5="",'상세일정'!AM96="제외"),"",IF($D96=$E96,IF(AND($D96&gt;=BU$5,$D96&lt;BU$5+7),"◆",""),IF(AND($D96&lt;BU$5+7,$E96&gt;BU$5),"■","")))</x:f>
      </x:c>
      <x:c r="BV96" s="7" t="str">
        <x:f>IF(OR($D96="",BV$5="",'상세일정'!AM96="제외"),"",IF($D96=$E96,IF(AND($D96&gt;=BV$5,$D96&lt;BV$5+7),"◆",""),IF(AND($D96&lt;BV$5+7,$E96&gt;BV$5),"■","")))</x:f>
      </x:c>
      <x:c r="BW96" s="7" t="str">
        <x:f>IF(OR($D96="",BW$5="",'상세일정'!AM96="제외"),"",IF($D96=$E96,IF(AND($D96&gt;=BW$5,$D96&lt;BW$5+7),"◆",""),IF(AND($D96&lt;BW$5+7,$E96&gt;BW$5),"■","")))</x:f>
      </x:c>
      <x:c r="BX96" s="7" t="str">
        <x:f>IF(OR($D96="",BX$5="",'상세일정'!AM96="제외"),"",IF($D96=$E96,IF(AND($D96&gt;=BX$5,$D96&lt;BX$5+7),"◆",""),IF(AND($D96&lt;BX$5+7,$E96&gt;BX$5),"■","")))</x:f>
      </x:c>
      <x:c r="BY96" s="7" t="str">
        <x:f>IF(OR($D96="",BY$5="",'상세일정'!AM96="제외"),"",IF($D96=$E96,IF(AND($D96&gt;=BY$5,$D96&lt;BY$5+7),"◆",""),IF(AND($D96&lt;BY$5+7,$E96&gt;BY$5),"■","")))</x:f>
      </x:c>
      <x:c r="BZ96" s="7" t="str">
        <x:f>IF(OR($D96="",BZ$5="",'상세일정'!AM96="제외"),"",IF($D96=$E96,IF(AND($D96&gt;=BZ$5,$D96&lt;BZ$5+7),"◆",""),IF(AND($D96&lt;BZ$5+7,$E96&gt;BZ$5),"■","")))</x:f>
      </x:c>
      <x:c r="CA96" s="7" t="str">
        <x:f>IF(OR($D96="",CA$5="",'상세일정'!AM96="제외"),"",IF($D96=$E96,IF(AND($D96&gt;=CA$5,$D96&lt;CA$5+7),"◆",""),IF(AND($D96&lt;CA$5+7,$E96&gt;CA$5),"■","")))</x:f>
      </x:c>
      <x:c r="CB96" s="7" t="str">
        <x:f>IF(OR($D96="",CB$5="",'상세일정'!AM96="제외"),"",IF($D96=$E96,IF(AND($D96&gt;=CB$5,$D96&lt;CB$5+7),"◆",""),IF(AND($D96&lt;CB$5+7,$E96&gt;CB$5),"■","")))</x:f>
      </x:c>
      <x:c r="CC96" s="7" t="str">
        <x:f>IF(OR($D96="",CC$5="",'상세일정'!AM96="제외"),"",IF($D96=$E96,IF(AND($D96&gt;=CC$5,$D96&lt;CC$5+7),"◆",""),IF(AND($D96&lt;CC$5+7,$E96&gt;CC$5),"■","")))</x:f>
      </x:c>
      <x:c r="CD96" s="7" t="str">
        <x:f>IF(OR($D96="",CD$5="",'상세일정'!AM96="제외"),"",IF($D96=$E96,IF(AND($D96&gt;=CD$5,$D96&lt;CD$5+7),"◆",""),IF(AND($D96&lt;CD$5+7,$E96&gt;CD$5),"■","")))</x:f>
      </x:c>
      <x:c r="CE96" s="7" t="str">
        <x:f>IF(OR($D96="",CE$5="",'상세일정'!AM96="제외"),"",IF($D96=$E96,IF(AND($D96&gt;=CE$5,$D96&lt;CE$5+7),"◆",""),IF(AND($D96&lt;CE$5+7,$E96&gt;CE$5),"■","")))</x:f>
      </x:c>
      <x:c r="CF96" s="7" t="str">
        <x:f>IF(OR($D96="",CF$5="",'상세일정'!AM96="제외"),"",IF($D96=$E96,IF(AND($D96&gt;=CF$5,$D96&lt;CF$5+7),"◆",""),IF(AND($D96&lt;CF$5+7,$E96&gt;CF$5),"■","")))</x:f>
      </x:c>
      <x:c r="CG96" s="7" t="str">
        <x:f>IF(OR($D96="",CG$5="",'상세일정'!AM96="제외"),"",IF($D96=$E96,IF(AND($D96&gt;=CG$5,$D96&lt;CG$5+7),"◆",""),IF(AND($D96&lt;CG$5+7,$E96&gt;CG$5),"■","")))</x:f>
      </x:c>
      <x:c r="CH96" s="7" t="str">
        <x:f>IF(OR($D96="",CH$5="",'상세일정'!AM96="제외"),"",IF($D96=$E96,IF(AND($D96&gt;=CH$5,$D96&lt;CH$5+7),"◆",""),IF(AND($D96&lt;CH$5+7,$E96&gt;CH$5),"■","")))</x:f>
      </x:c>
      <x:c r="CI96" s="7" t="str">
        <x:f>IF(OR($D96="",CI$5="",'상세일정'!AM96="제외"),"",IF($D96=$E96,IF(AND($D96&gt;=CI$5,$D96&lt;CI$5+7),"◆",""),IF(AND($D96&lt;CI$5+7,$E96&gt;CI$5),"■","")))</x:f>
      </x:c>
      <x:c r="CJ96" s="7" t="str">
        <x:f>IF(OR($D96="",CJ$5="",'상세일정'!AM96="제외"),"",IF($D96=$E96,IF(AND($D96&gt;=CJ$5,$D96&lt;CJ$5+7),"◆",""),IF(AND($D96&lt;CJ$5+7,$E96&gt;CJ$5),"■","")))</x:f>
      </x:c>
      <x:c r="CK96" s="7" t="str">
        <x:f>IF(OR($D96="",CK$5="",'상세일정'!AM96="제외"),"",IF($D96=$E96,IF(AND($D96&gt;=CK$5,$D96&lt;CK$5+7),"◆",""),IF(AND($D96&lt;CK$5+7,$E96&gt;CK$5),"■","")))</x:f>
      </x:c>
      <x:c r="CL96" s="7" t="str">
        <x:f>IF(OR($D96="",CL$5="",'상세일정'!AM96="제외"),"",IF($D96=$E96,IF(AND($D96&gt;=CL$5,$D96&lt;CL$5+7),"◆",""),IF(AND($D96&lt;CL$5+7,$E96&gt;CL$5),"■","")))</x:f>
      </x:c>
      <x:c r="CM96" s="7" t="str">
        <x:f>IF(OR($D96="",CM$5="",'상세일정'!AM96="제외"),"",IF($D96=$E96,IF(AND($D96&gt;=CM$5,$D96&lt;CM$5+7),"◆",""),IF(AND($D96&lt;CM$5+7,$E96&gt;CM$5),"■","")))</x:f>
      </x:c>
      <x:c r="CN96" s="7" t="str">
        <x:f>IF(OR($D96="",CN$5="",'상세일정'!AM96="제외"),"",IF($D96=$E96,IF(AND($D96&gt;=CN$5,$D96&lt;CN$5+7),"◆",""),IF(AND($D96&lt;CN$5+7,$E96&gt;CN$5),"■","")))</x:f>
      </x:c>
      <x:c r="CO96" s="7" t="str">
        <x:f>IF(OR($D96="",CO$5="",'상세일정'!AM96="제외"),"",IF($D96=$E96,IF(AND($D96&gt;=CO$5,$D96&lt;CO$5+7),"◆",""),IF(AND($D96&lt;CO$5+7,$E96&gt;CO$5),"■","")))</x:f>
      </x:c>
      <x:c r="CP96" s="7" t="str">
        <x:f>IF(OR($D96="",CP$5="",'상세일정'!AM96="제외"),"",IF($D96=$E96,IF(AND($D96&gt;=CP$5,$D96&lt;CP$5+7),"◆",""),IF(AND($D96&lt;CP$5+7,$E96&gt;CP$5),"■","")))</x:f>
      </x:c>
      <x:c r="CQ96" s="7" t="str">
        <x:f>IF(OR($D96="",CQ$5="",'상세일정'!AM96="제외"),"",IF($D96=$E96,IF(AND($D96&gt;=CQ$5,$D96&lt;CQ$5+7),"◆",""),IF(AND($D96&lt;CQ$5+7,$E96&gt;CQ$5),"■","")))</x:f>
      </x:c>
      <x:c r="CR96" s="7" t="str">
        <x:f>IF(OR($D96="",CR$5="",'상세일정'!AM96="제외"),"",IF($D96=$E96,IF(AND($D96&gt;=CR$5,$D96&lt;CR$5+7),"◆",""),IF(AND($D96&lt;CR$5+7,$E96&gt;CR$5),"■","")))</x:f>
      </x:c>
      <x:c r="CS96" s="7" t="str">
        <x:f>IF(OR($D96="",CS$5="",'상세일정'!AM96="제외"),"",IF($D96=$E96,IF(AND($D96&gt;=CS$5,$D96&lt;CS$5+7),"◆",""),IF(AND($D96&lt;CS$5+7,$E96&gt;CS$5),"■","")))</x:f>
      </x:c>
      <x:c r="CT96" s="7" t="str">
        <x:f>IF(OR($D96="",CT$5="",'상세일정'!AM96="제외"),"",IF($D96=$E96,IF(AND($D96&gt;=CT$5,$D96&lt;CT$5+7),"◆",""),IF(AND($D96&lt;CT$5+7,$E96&gt;CT$5),"■","")))</x:f>
      </x:c>
      <x:c r="CU96" s="7" t="str">
        <x:f>IF(OR($D96="",CU$5="",'상세일정'!AM96="제외"),"",IF($D96=$E96,IF(AND($D96&gt;=CU$5,$D96&lt;CU$5+7),"◆",""),IF(AND($D96&lt;CU$5+7,$E96&gt;CU$5),"■","")))</x:f>
      </x:c>
      <x:c r="CV96" s="7" t="str">
        <x:f>IF(OR($D96="",CV$5="",'상세일정'!AM96="제외"),"",IF($D96=$E96,IF(AND($D96&gt;=CV$5,$D96&lt;CV$5+7),"◆",""),IF(AND($D96&lt;CV$5+7,$E96&gt;CV$5),"■","")))</x:f>
      </x:c>
      <x:c r="CW96" s="7" t="str">
        <x:f>IF(OR($D96="",CW$5="",'상세일정'!AM96="제외"),"",IF($D96=$E96,IF(AND($D96&gt;=CW$5,$D96&lt;CW$5+7),"◆",""),IF(AND($D96&lt;CW$5+7,$E96&gt;CW$5),"■","")))</x:f>
      </x:c>
      <x:c r="CX96" s="7" t="str">
        <x:f>IF(OR($D96="",CX$5="",'상세일정'!AM96="제외"),"",IF($D96=$E96,IF(AND($D96&gt;=CX$5,$D96&lt;CX$5+7),"◆",""),IF(AND($D96&lt;CX$5+7,$E96&gt;CX$5),"■","")))</x:f>
      </x:c>
      <x:c r="CY96" s="7" t="str">
        <x:f>IF(OR($D96="",CY$5="",'상세일정'!AM96="제외"),"",IF($D96=$E96,IF(AND($D96&gt;=CY$5,$D96&lt;CY$5+7),"◆",""),IF(AND($D96&lt;CY$5+7,$E96&gt;CY$5),"■","")))</x:f>
      </x:c>
      <x:c r="CZ96" s="7" t="str">
        <x:f>IF(OR($D96="",CZ$5="",'상세일정'!AM96="제외"),"",IF($D96=$E96,IF(AND($D96&gt;=CZ$5,$D96&lt;CZ$5+7),"◆",""),IF(AND($D96&lt;CZ$5+7,$E96&gt;CZ$5),"■","")))</x:f>
      </x:c>
      <x:c r="DA96" s="7" t="str">
        <x:f>IF(OR($D96="",DA$5="",'상세일정'!AM96="제외"),"",IF($D96=$E96,IF(AND($D96&gt;=DA$5,$D96&lt;DA$5+7),"◆",""),IF(AND($D96&lt;DA$5+7,$E96&gt;DA$5),"■","")))</x:f>
      </x:c>
      <x:c r="DB96" s="7" t="str">
        <x:f>IF(OR($D96="",DB$5="",'상세일정'!AM96="제외"),"",IF($D96=$E96,IF(AND($D96&gt;=DB$5,$D96&lt;DB$5+7),"◆",""),IF(AND($D96&lt;DB$5+7,$E96&gt;DB$5),"■","")))</x:f>
      </x:c>
      <x:c r="DC96" s="7" t="str">
        <x:f>IF(OR($D96="",DC$5="",'상세일정'!AM96="제외"),"",IF($D96=$E96,IF(AND($D96&gt;=DC$5,$D96&lt;DC$5+7),"◆",""),IF(AND($D96&lt;DC$5+7,$E96&gt;DC$5),"■","")))</x:f>
      </x:c>
      <x:c r="DD96" s="7" t="str">
        <x:f>IF(OR($D96="",DD$5="",'상세일정'!AM96="제외"),"",IF($D96=$E96,IF(AND($D96&gt;=DD$5,$D96&lt;DD$5+7),"◆",""),IF(AND($D96&lt;DD$5+7,$E96&gt;DD$5),"■","")))</x:f>
      </x:c>
      <x:c r="DE96" s="7" t="str">
        <x:f>IF(OR($D96="",DE$5="",'상세일정'!AM96="제외"),"",IF($D96=$E96,IF(AND($D96&gt;=DE$5,$D96&lt;DE$5+7),"◆",""),IF(AND($D96&lt;DE$5+7,$E96&gt;DE$5),"■","")))</x:f>
      </x:c>
    </x:row>
    <x:row r="97" ht="34" customHeight="1">
      <x:c r="A97" s="7" t="str">
        <x:v>CT06</x:v>
      </x:c>
      <x:c r="B97" s="7" t="str">
        <x:v>14 공사업체·감리 선정</x:v>
      </x:c>
      <x:c r="C97" s="7" t="str">
        <x:v>감리 범위·인력 지정 및 계약</x:v>
      </x:c>
      <x:c r="D97" s="10" t="str">
        <x:f>'상세일정'!AJ97</x:f>
      </x:c>
      <x:c r="E97" s="10" t="str">
        <x:f>'상세일정'!AK97</x:f>
      </x:c>
      <x:c r="F97" s="7" t="str">
        <x:f>IF(OR($D97="",F$5="",'상세일정'!AM97="제외"),"",IF($D97=$E97,IF(AND($D97&gt;=F$5,$D97&lt;F$5+7),"◆",""),IF(AND($D97&lt;F$5+7,$E97&gt;F$5),"■","")))</x:f>
      </x:c>
      <x:c r="G97" s="7" t="str">
        <x:f>IF(OR($D97="",G$5="",'상세일정'!AM97="제외"),"",IF($D97=$E97,IF(AND($D97&gt;=G$5,$D97&lt;G$5+7),"◆",""),IF(AND($D97&lt;G$5+7,$E97&gt;G$5),"■","")))</x:f>
      </x:c>
      <x:c r="H97" s="7" t="str">
        <x:f>IF(OR($D97="",H$5="",'상세일정'!AM97="제외"),"",IF($D97=$E97,IF(AND($D97&gt;=H$5,$D97&lt;H$5+7),"◆",""),IF(AND($D97&lt;H$5+7,$E97&gt;H$5),"■","")))</x:f>
      </x:c>
      <x:c r="I97" s="7" t="str">
        <x:f>IF(OR($D97="",I$5="",'상세일정'!AM97="제외"),"",IF($D97=$E97,IF(AND($D97&gt;=I$5,$D97&lt;I$5+7),"◆",""),IF(AND($D97&lt;I$5+7,$E97&gt;I$5),"■","")))</x:f>
      </x:c>
      <x:c r="J97" s="7" t="str">
        <x:f>IF(OR($D97="",J$5="",'상세일정'!AM97="제외"),"",IF($D97=$E97,IF(AND($D97&gt;=J$5,$D97&lt;J$5+7),"◆",""),IF(AND($D97&lt;J$5+7,$E97&gt;J$5),"■","")))</x:f>
      </x:c>
      <x:c r="K97" s="7" t="str">
        <x:f>IF(OR($D97="",K$5="",'상세일정'!AM97="제외"),"",IF($D97=$E97,IF(AND($D97&gt;=K$5,$D97&lt;K$5+7),"◆",""),IF(AND($D97&lt;K$5+7,$E97&gt;K$5),"■","")))</x:f>
      </x:c>
      <x:c r="L97" s="7" t="str">
        <x:f>IF(OR($D97="",L$5="",'상세일정'!AM97="제외"),"",IF($D97=$E97,IF(AND($D97&gt;=L$5,$D97&lt;L$5+7),"◆",""),IF(AND($D97&lt;L$5+7,$E97&gt;L$5),"■","")))</x:f>
      </x:c>
      <x:c r="M97" s="7" t="str">
        <x:f>IF(OR($D97="",M$5="",'상세일정'!AM97="제외"),"",IF($D97=$E97,IF(AND($D97&gt;=M$5,$D97&lt;M$5+7),"◆",""),IF(AND($D97&lt;M$5+7,$E97&gt;M$5),"■","")))</x:f>
      </x:c>
      <x:c r="N97" s="7" t="str">
        <x:f>IF(OR($D97="",N$5="",'상세일정'!AM97="제외"),"",IF($D97=$E97,IF(AND($D97&gt;=N$5,$D97&lt;N$5+7),"◆",""),IF(AND($D97&lt;N$5+7,$E97&gt;N$5),"■","")))</x:f>
      </x:c>
      <x:c r="O97" s="7" t="str">
        <x:f>IF(OR($D97="",O$5="",'상세일정'!AM97="제외"),"",IF($D97=$E97,IF(AND($D97&gt;=O$5,$D97&lt;O$5+7),"◆",""),IF(AND($D97&lt;O$5+7,$E97&gt;O$5),"■","")))</x:f>
      </x:c>
      <x:c r="P97" s="7" t="str">
        <x:f>IF(OR($D97="",P$5="",'상세일정'!AM97="제외"),"",IF($D97=$E97,IF(AND($D97&gt;=P$5,$D97&lt;P$5+7),"◆",""),IF(AND($D97&lt;P$5+7,$E97&gt;P$5),"■","")))</x:f>
      </x:c>
      <x:c r="Q97" s="7" t="str">
        <x:f>IF(OR($D97="",Q$5="",'상세일정'!AM97="제외"),"",IF($D97=$E97,IF(AND($D97&gt;=Q$5,$D97&lt;Q$5+7),"◆",""),IF(AND($D97&lt;Q$5+7,$E97&gt;Q$5),"■","")))</x:f>
      </x:c>
      <x:c r="R97" s="7" t="str">
        <x:f>IF(OR($D97="",R$5="",'상세일정'!AM97="제외"),"",IF($D97=$E97,IF(AND($D97&gt;=R$5,$D97&lt;R$5+7),"◆",""),IF(AND($D97&lt;R$5+7,$E97&gt;R$5),"■","")))</x:f>
      </x:c>
      <x:c r="S97" s="7" t="str">
        <x:f>IF(OR($D97="",S$5="",'상세일정'!AM97="제외"),"",IF($D97=$E97,IF(AND($D97&gt;=S$5,$D97&lt;S$5+7),"◆",""),IF(AND($D97&lt;S$5+7,$E97&gt;S$5),"■","")))</x:f>
      </x:c>
      <x:c r="T97" s="7" t="str">
        <x:f>IF(OR($D97="",T$5="",'상세일정'!AM97="제외"),"",IF($D97=$E97,IF(AND($D97&gt;=T$5,$D97&lt;T$5+7),"◆",""),IF(AND($D97&lt;T$5+7,$E97&gt;T$5),"■","")))</x:f>
      </x:c>
      <x:c r="U97" s="7" t="str">
        <x:f>IF(OR($D97="",U$5="",'상세일정'!AM97="제외"),"",IF($D97=$E97,IF(AND($D97&gt;=U$5,$D97&lt;U$5+7),"◆",""),IF(AND($D97&lt;U$5+7,$E97&gt;U$5),"■","")))</x:f>
      </x:c>
      <x:c r="V97" s="7" t="str">
        <x:f>IF(OR($D97="",V$5="",'상세일정'!AM97="제외"),"",IF($D97=$E97,IF(AND($D97&gt;=V$5,$D97&lt;V$5+7),"◆",""),IF(AND($D97&lt;V$5+7,$E97&gt;V$5),"■","")))</x:f>
      </x:c>
      <x:c r="W97" s="7" t="str">
        <x:f>IF(OR($D97="",W$5="",'상세일정'!AM97="제외"),"",IF($D97=$E97,IF(AND($D97&gt;=W$5,$D97&lt;W$5+7),"◆",""),IF(AND($D97&lt;W$5+7,$E97&gt;W$5),"■","")))</x:f>
      </x:c>
      <x:c r="X97" s="7" t="str">
        <x:f>IF(OR($D97="",X$5="",'상세일정'!AM97="제외"),"",IF($D97=$E97,IF(AND($D97&gt;=X$5,$D97&lt;X$5+7),"◆",""),IF(AND($D97&lt;X$5+7,$E97&gt;X$5),"■","")))</x:f>
      </x:c>
      <x:c r="Y97" s="7" t="str">
        <x:f>IF(OR($D97="",Y$5="",'상세일정'!AM97="제외"),"",IF($D97=$E97,IF(AND($D97&gt;=Y$5,$D97&lt;Y$5+7),"◆",""),IF(AND($D97&lt;Y$5+7,$E97&gt;Y$5),"■","")))</x:f>
      </x:c>
      <x:c r="Z97" s="7" t="str">
        <x:f>IF(OR($D97="",Z$5="",'상세일정'!AM97="제외"),"",IF($D97=$E97,IF(AND($D97&gt;=Z$5,$D97&lt;Z$5+7),"◆",""),IF(AND($D97&lt;Z$5+7,$E97&gt;Z$5),"■","")))</x:f>
      </x:c>
      <x:c r="AA97" s="7" t="str">
        <x:f>IF(OR($D97="",AA$5="",'상세일정'!AM97="제외"),"",IF($D97=$E97,IF(AND($D97&gt;=AA$5,$D97&lt;AA$5+7),"◆",""),IF(AND($D97&lt;AA$5+7,$E97&gt;AA$5),"■","")))</x:f>
      </x:c>
      <x:c r="AB97" s="7" t="str">
        <x:f>IF(OR($D97="",AB$5="",'상세일정'!AM97="제외"),"",IF($D97=$E97,IF(AND($D97&gt;=AB$5,$D97&lt;AB$5+7),"◆",""),IF(AND($D97&lt;AB$5+7,$E97&gt;AB$5),"■","")))</x:f>
      </x:c>
      <x:c r="AC97" s="7" t="str">
        <x:f>IF(OR($D97="",AC$5="",'상세일정'!AM97="제외"),"",IF($D97=$E97,IF(AND($D97&gt;=AC$5,$D97&lt;AC$5+7),"◆",""),IF(AND($D97&lt;AC$5+7,$E97&gt;AC$5),"■","")))</x:f>
      </x:c>
      <x:c r="AD97" s="7" t="str">
        <x:f>IF(OR($D97="",AD$5="",'상세일정'!AM97="제외"),"",IF($D97=$E97,IF(AND($D97&gt;=AD$5,$D97&lt;AD$5+7),"◆",""),IF(AND($D97&lt;AD$5+7,$E97&gt;AD$5),"■","")))</x:f>
      </x:c>
      <x:c r="AE97" s="7" t="str">
        <x:f>IF(OR($D97="",AE$5="",'상세일정'!AM97="제외"),"",IF($D97=$E97,IF(AND($D97&gt;=AE$5,$D97&lt;AE$5+7),"◆",""),IF(AND($D97&lt;AE$5+7,$E97&gt;AE$5),"■","")))</x:f>
      </x:c>
      <x:c r="AF97" s="7" t="str">
        <x:f>IF(OR($D97="",AF$5="",'상세일정'!AM97="제외"),"",IF($D97=$E97,IF(AND($D97&gt;=AF$5,$D97&lt;AF$5+7),"◆",""),IF(AND($D97&lt;AF$5+7,$E97&gt;AF$5),"■","")))</x:f>
      </x:c>
      <x:c r="AG97" s="7" t="str">
        <x:f>IF(OR($D97="",AG$5="",'상세일정'!AM97="제외"),"",IF($D97=$E97,IF(AND($D97&gt;=AG$5,$D97&lt;AG$5+7),"◆",""),IF(AND($D97&lt;AG$5+7,$E97&gt;AG$5),"■","")))</x:f>
      </x:c>
      <x:c r="AH97" s="7" t="str">
        <x:f>IF(OR($D97="",AH$5="",'상세일정'!AM97="제외"),"",IF($D97=$E97,IF(AND($D97&gt;=AH$5,$D97&lt;AH$5+7),"◆",""),IF(AND($D97&lt;AH$5+7,$E97&gt;AH$5),"■","")))</x:f>
      </x:c>
      <x:c r="AI97" s="7" t="str">
        <x:f>IF(OR($D97="",AI$5="",'상세일정'!AM97="제외"),"",IF($D97=$E97,IF(AND($D97&gt;=AI$5,$D97&lt;AI$5+7),"◆",""),IF(AND($D97&lt;AI$5+7,$E97&gt;AI$5),"■","")))</x:f>
      </x:c>
      <x:c r="AJ97" s="7" t="str">
        <x:f>IF(OR($D97="",AJ$5="",'상세일정'!AM97="제외"),"",IF($D97=$E97,IF(AND($D97&gt;=AJ$5,$D97&lt;AJ$5+7),"◆",""),IF(AND($D97&lt;AJ$5+7,$E97&gt;AJ$5),"■","")))</x:f>
      </x:c>
      <x:c r="AK97" s="7" t="str">
        <x:f>IF(OR($D97="",AK$5="",'상세일정'!AM97="제외"),"",IF($D97=$E97,IF(AND($D97&gt;=AK$5,$D97&lt;AK$5+7),"◆",""),IF(AND($D97&lt;AK$5+7,$E97&gt;AK$5),"■","")))</x:f>
      </x:c>
      <x:c r="AL97" s="7" t="str">
        <x:f>IF(OR($D97="",AL$5="",'상세일정'!AM97="제외"),"",IF($D97=$E97,IF(AND($D97&gt;=AL$5,$D97&lt;AL$5+7),"◆",""),IF(AND($D97&lt;AL$5+7,$E97&gt;AL$5),"■","")))</x:f>
      </x:c>
      <x:c r="AM97" s="7" t="str">
        <x:f>IF(OR($D97="",AM$5="",'상세일정'!AM97="제외"),"",IF($D97=$E97,IF(AND($D97&gt;=AM$5,$D97&lt;AM$5+7),"◆",""),IF(AND($D97&lt;AM$5+7,$E97&gt;AM$5),"■","")))</x:f>
      </x:c>
      <x:c r="AN97" s="7" t="str">
        <x:f>IF(OR($D97="",AN$5="",'상세일정'!AM97="제외"),"",IF($D97=$E97,IF(AND($D97&gt;=AN$5,$D97&lt;AN$5+7),"◆",""),IF(AND($D97&lt;AN$5+7,$E97&gt;AN$5),"■","")))</x:f>
      </x:c>
      <x:c r="AO97" s="7" t="str">
        <x:f>IF(OR($D97="",AO$5="",'상세일정'!AM97="제외"),"",IF($D97=$E97,IF(AND($D97&gt;=AO$5,$D97&lt;AO$5+7),"◆",""),IF(AND($D97&lt;AO$5+7,$E97&gt;AO$5),"■","")))</x:f>
      </x:c>
      <x:c r="AP97" s="7" t="str">
        <x:f>IF(OR($D97="",AP$5="",'상세일정'!AM97="제외"),"",IF($D97=$E97,IF(AND($D97&gt;=AP$5,$D97&lt;AP$5+7),"◆",""),IF(AND($D97&lt;AP$5+7,$E97&gt;AP$5),"■","")))</x:f>
      </x:c>
      <x:c r="AQ97" s="7" t="str">
        <x:f>IF(OR($D97="",AQ$5="",'상세일정'!AM97="제외"),"",IF($D97=$E97,IF(AND($D97&gt;=AQ$5,$D97&lt;AQ$5+7),"◆",""),IF(AND($D97&lt;AQ$5+7,$E97&gt;AQ$5),"■","")))</x:f>
      </x:c>
      <x:c r="AR97" s="7" t="str">
        <x:f>IF(OR($D97="",AR$5="",'상세일정'!AM97="제외"),"",IF($D97=$E97,IF(AND($D97&gt;=AR$5,$D97&lt;AR$5+7),"◆",""),IF(AND($D97&lt;AR$5+7,$E97&gt;AR$5),"■","")))</x:f>
      </x:c>
      <x:c r="AS97" s="7" t="str">
        <x:f>IF(OR($D97="",AS$5="",'상세일정'!AM97="제외"),"",IF($D97=$E97,IF(AND($D97&gt;=AS$5,$D97&lt;AS$5+7),"◆",""),IF(AND($D97&lt;AS$5+7,$E97&gt;AS$5),"■","")))</x:f>
      </x:c>
      <x:c r="AT97" s="7" t="str">
        <x:f>IF(OR($D97="",AT$5="",'상세일정'!AM97="제외"),"",IF($D97=$E97,IF(AND($D97&gt;=AT$5,$D97&lt;AT$5+7),"◆",""),IF(AND($D97&lt;AT$5+7,$E97&gt;AT$5),"■","")))</x:f>
      </x:c>
      <x:c r="AU97" s="7" t="str">
        <x:f>IF(OR($D97="",AU$5="",'상세일정'!AM97="제외"),"",IF($D97=$E97,IF(AND($D97&gt;=AU$5,$D97&lt;AU$5+7),"◆",""),IF(AND($D97&lt;AU$5+7,$E97&gt;AU$5),"■","")))</x:f>
      </x:c>
      <x:c r="AV97" s="7" t="str">
        <x:f>IF(OR($D97="",AV$5="",'상세일정'!AM97="제외"),"",IF($D97=$E97,IF(AND($D97&gt;=AV$5,$D97&lt;AV$5+7),"◆",""),IF(AND($D97&lt;AV$5+7,$E97&gt;AV$5),"■","")))</x:f>
      </x:c>
      <x:c r="AW97" s="7" t="str">
        <x:f>IF(OR($D97="",AW$5="",'상세일정'!AM97="제외"),"",IF($D97=$E97,IF(AND($D97&gt;=AW$5,$D97&lt;AW$5+7),"◆",""),IF(AND($D97&lt;AW$5+7,$E97&gt;AW$5),"■","")))</x:f>
      </x:c>
      <x:c r="AX97" s="7" t="str">
        <x:f>IF(OR($D97="",AX$5="",'상세일정'!AM97="제외"),"",IF($D97=$E97,IF(AND($D97&gt;=AX$5,$D97&lt;AX$5+7),"◆",""),IF(AND($D97&lt;AX$5+7,$E97&gt;AX$5),"■","")))</x:f>
      </x:c>
      <x:c r="AY97" s="7" t="str">
        <x:f>IF(OR($D97="",AY$5="",'상세일정'!AM97="제외"),"",IF($D97=$E97,IF(AND($D97&gt;=AY$5,$D97&lt;AY$5+7),"◆",""),IF(AND($D97&lt;AY$5+7,$E97&gt;AY$5),"■","")))</x:f>
      </x:c>
      <x:c r="AZ97" s="7" t="str">
        <x:f>IF(OR($D97="",AZ$5="",'상세일정'!AM97="제외"),"",IF($D97=$E97,IF(AND($D97&gt;=AZ$5,$D97&lt;AZ$5+7),"◆",""),IF(AND($D97&lt;AZ$5+7,$E97&gt;AZ$5),"■","")))</x:f>
      </x:c>
      <x:c r="BA97" s="7" t="str">
        <x:f>IF(OR($D97="",BA$5="",'상세일정'!AM97="제외"),"",IF($D97=$E97,IF(AND($D97&gt;=BA$5,$D97&lt;BA$5+7),"◆",""),IF(AND($D97&lt;BA$5+7,$E97&gt;BA$5),"■","")))</x:f>
      </x:c>
      <x:c r="BB97" s="7" t="str">
        <x:f>IF(OR($D97="",BB$5="",'상세일정'!AM97="제외"),"",IF($D97=$E97,IF(AND($D97&gt;=BB$5,$D97&lt;BB$5+7),"◆",""),IF(AND($D97&lt;BB$5+7,$E97&gt;BB$5),"■","")))</x:f>
      </x:c>
      <x:c r="BC97" s="7" t="str">
        <x:f>IF(OR($D97="",BC$5="",'상세일정'!AM97="제외"),"",IF($D97=$E97,IF(AND($D97&gt;=BC$5,$D97&lt;BC$5+7),"◆",""),IF(AND($D97&lt;BC$5+7,$E97&gt;BC$5),"■","")))</x:f>
      </x:c>
      <x:c r="BD97" s="7" t="str">
        <x:f>IF(OR($D97="",BD$5="",'상세일정'!AM97="제외"),"",IF($D97=$E97,IF(AND($D97&gt;=BD$5,$D97&lt;BD$5+7),"◆",""),IF(AND($D97&lt;BD$5+7,$E97&gt;BD$5),"■","")))</x:f>
      </x:c>
      <x:c r="BE97" s="7" t="str">
        <x:f>IF(OR($D97="",BE$5="",'상세일정'!AM97="제외"),"",IF($D97=$E97,IF(AND($D97&gt;=BE$5,$D97&lt;BE$5+7),"◆",""),IF(AND($D97&lt;BE$5+7,$E97&gt;BE$5),"■","")))</x:f>
      </x:c>
      <x:c r="BF97" s="7" t="str">
        <x:f>IF(OR($D97="",BF$5="",'상세일정'!AM97="제외"),"",IF($D97=$E97,IF(AND($D97&gt;=BF$5,$D97&lt;BF$5+7),"◆",""),IF(AND($D97&lt;BF$5+7,$E97&gt;BF$5),"■","")))</x:f>
      </x:c>
      <x:c r="BG97" s="7" t="str">
        <x:f>IF(OR($D97="",BG$5="",'상세일정'!AM97="제외"),"",IF($D97=$E97,IF(AND($D97&gt;=BG$5,$D97&lt;BG$5+7),"◆",""),IF(AND($D97&lt;BG$5+7,$E97&gt;BG$5),"■","")))</x:f>
      </x:c>
      <x:c r="BH97" s="7" t="str">
        <x:f>IF(OR($D97="",BH$5="",'상세일정'!AM97="제외"),"",IF($D97=$E97,IF(AND($D97&gt;=BH$5,$D97&lt;BH$5+7),"◆",""),IF(AND($D97&lt;BH$5+7,$E97&gt;BH$5),"■","")))</x:f>
      </x:c>
      <x:c r="BI97" s="7" t="str">
        <x:f>IF(OR($D97="",BI$5="",'상세일정'!AM97="제외"),"",IF($D97=$E97,IF(AND($D97&gt;=BI$5,$D97&lt;BI$5+7),"◆",""),IF(AND($D97&lt;BI$5+7,$E97&gt;BI$5),"■","")))</x:f>
      </x:c>
      <x:c r="BJ97" s="7" t="str">
        <x:f>IF(OR($D97="",BJ$5="",'상세일정'!AM97="제외"),"",IF($D97=$E97,IF(AND($D97&gt;=BJ$5,$D97&lt;BJ$5+7),"◆",""),IF(AND($D97&lt;BJ$5+7,$E97&gt;BJ$5),"■","")))</x:f>
      </x:c>
      <x:c r="BK97" s="7" t="str">
        <x:f>IF(OR($D97="",BK$5="",'상세일정'!AM97="제외"),"",IF($D97=$E97,IF(AND($D97&gt;=BK$5,$D97&lt;BK$5+7),"◆",""),IF(AND($D97&lt;BK$5+7,$E97&gt;BK$5),"■","")))</x:f>
      </x:c>
      <x:c r="BL97" s="7" t="str">
        <x:f>IF(OR($D97="",BL$5="",'상세일정'!AM97="제외"),"",IF($D97=$E97,IF(AND($D97&gt;=BL$5,$D97&lt;BL$5+7),"◆",""),IF(AND($D97&lt;BL$5+7,$E97&gt;BL$5),"■","")))</x:f>
      </x:c>
      <x:c r="BM97" s="7" t="str">
        <x:f>IF(OR($D97="",BM$5="",'상세일정'!AM97="제외"),"",IF($D97=$E97,IF(AND($D97&gt;=BM$5,$D97&lt;BM$5+7),"◆",""),IF(AND($D97&lt;BM$5+7,$E97&gt;BM$5),"■","")))</x:f>
      </x:c>
      <x:c r="BN97" s="7" t="str">
        <x:f>IF(OR($D97="",BN$5="",'상세일정'!AM97="제외"),"",IF($D97=$E97,IF(AND($D97&gt;=BN$5,$D97&lt;BN$5+7),"◆",""),IF(AND($D97&lt;BN$5+7,$E97&gt;BN$5),"■","")))</x:f>
      </x:c>
      <x:c r="BO97" s="7" t="str">
        <x:f>IF(OR($D97="",BO$5="",'상세일정'!AM97="제외"),"",IF($D97=$E97,IF(AND($D97&gt;=BO$5,$D97&lt;BO$5+7),"◆",""),IF(AND($D97&lt;BO$5+7,$E97&gt;BO$5),"■","")))</x:f>
      </x:c>
      <x:c r="BP97" s="7" t="str">
        <x:f>IF(OR($D97="",BP$5="",'상세일정'!AM97="제외"),"",IF($D97=$E97,IF(AND($D97&gt;=BP$5,$D97&lt;BP$5+7),"◆",""),IF(AND($D97&lt;BP$5+7,$E97&gt;BP$5),"■","")))</x:f>
      </x:c>
      <x:c r="BQ97" s="7" t="str">
        <x:f>IF(OR($D97="",BQ$5="",'상세일정'!AM97="제외"),"",IF($D97=$E97,IF(AND($D97&gt;=BQ$5,$D97&lt;BQ$5+7),"◆",""),IF(AND($D97&lt;BQ$5+7,$E97&gt;BQ$5),"■","")))</x:f>
      </x:c>
      <x:c r="BR97" s="7" t="str">
        <x:f>IF(OR($D97="",BR$5="",'상세일정'!AM97="제외"),"",IF($D97=$E97,IF(AND($D97&gt;=BR$5,$D97&lt;BR$5+7),"◆",""),IF(AND($D97&lt;BR$5+7,$E97&gt;BR$5),"■","")))</x:f>
      </x:c>
      <x:c r="BS97" s="7" t="str">
        <x:f>IF(OR($D97="",BS$5="",'상세일정'!AM97="제외"),"",IF($D97=$E97,IF(AND($D97&gt;=BS$5,$D97&lt;BS$5+7),"◆",""),IF(AND($D97&lt;BS$5+7,$E97&gt;BS$5),"■","")))</x:f>
      </x:c>
      <x:c r="BT97" s="7" t="str">
        <x:f>IF(OR($D97="",BT$5="",'상세일정'!AM97="제외"),"",IF($D97=$E97,IF(AND($D97&gt;=BT$5,$D97&lt;BT$5+7),"◆",""),IF(AND($D97&lt;BT$5+7,$E97&gt;BT$5),"■","")))</x:f>
      </x:c>
      <x:c r="BU97" s="7" t="str">
        <x:f>IF(OR($D97="",BU$5="",'상세일정'!AM97="제외"),"",IF($D97=$E97,IF(AND($D97&gt;=BU$5,$D97&lt;BU$5+7),"◆",""),IF(AND($D97&lt;BU$5+7,$E97&gt;BU$5),"■","")))</x:f>
      </x:c>
      <x:c r="BV97" s="7" t="str">
        <x:f>IF(OR($D97="",BV$5="",'상세일정'!AM97="제외"),"",IF($D97=$E97,IF(AND($D97&gt;=BV$5,$D97&lt;BV$5+7),"◆",""),IF(AND($D97&lt;BV$5+7,$E97&gt;BV$5),"■","")))</x:f>
      </x:c>
      <x:c r="BW97" s="7" t="str">
        <x:f>IF(OR($D97="",BW$5="",'상세일정'!AM97="제외"),"",IF($D97=$E97,IF(AND($D97&gt;=BW$5,$D97&lt;BW$5+7),"◆",""),IF(AND($D97&lt;BW$5+7,$E97&gt;BW$5),"■","")))</x:f>
      </x:c>
      <x:c r="BX97" s="7" t="str">
        <x:f>IF(OR($D97="",BX$5="",'상세일정'!AM97="제외"),"",IF($D97=$E97,IF(AND($D97&gt;=BX$5,$D97&lt;BX$5+7),"◆",""),IF(AND($D97&lt;BX$5+7,$E97&gt;BX$5),"■","")))</x:f>
      </x:c>
      <x:c r="BY97" s="7" t="str">
        <x:f>IF(OR($D97="",BY$5="",'상세일정'!AM97="제외"),"",IF($D97=$E97,IF(AND($D97&gt;=BY$5,$D97&lt;BY$5+7),"◆",""),IF(AND($D97&lt;BY$5+7,$E97&gt;BY$5),"■","")))</x:f>
      </x:c>
      <x:c r="BZ97" s="7" t="str">
        <x:f>IF(OR($D97="",BZ$5="",'상세일정'!AM97="제외"),"",IF($D97=$E97,IF(AND($D97&gt;=BZ$5,$D97&lt;BZ$5+7),"◆",""),IF(AND($D97&lt;BZ$5+7,$E97&gt;BZ$5),"■","")))</x:f>
      </x:c>
      <x:c r="CA97" s="7" t="str">
        <x:f>IF(OR($D97="",CA$5="",'상세일정'!AM97="제외"),"",IF($D97=$E97,IF(AND($D97&gt;=CA$5,$D97&lt;CA$5+7),"◆",""),IF(AND($D97&lt;CA$5+7,$E97&gt;CA$5),"■","")))</x:f>
      </x:c>
      <x:c r="CB97" s="7" t="str">
        <x:f>IF(OR($D97="",CB$5="",'상세일정'!AM97="제외"),"",IF($D97=$E97,IF(AND($D97&gt;=CB$5,$D97&lt;CB$5+7),"◆",""),IF(AND($D97&lt;CB$5+7,$E97&gt;CB$5),"■","")))</x:f>
      </x:c>
      <x:c r="CC97" s="7" t="str">
        <x:f>IF(OR($D97="",CC$5="",'상세일정'!AM97="제외"),"",IF($D97=$E97,IF(AND($D97&gt;=CC$5,$D97&lt;CC$5+7),"◆",""),IF(AND($D97&lt;CC$5+7,$E97&gt;CC$5),"■","")))</x:f>
      </x:c>
      <x:c r="CD97" s="7" t="str">
        <x:f>IF(OR($D97="",CD$5="",'상세일정'!AM97="제외"),"",IF($D97=$E97,IF(AND($D97&gt;=CD$5,$D97&lt;CD$5+7),"◆",""),IF(AND($D97&lt;CD$5+7,$E97&gt;CD$5),"■","")))</x:f>
      </x:c>
      <x:c r="CE97" s="7" t="str">
        <x:f>IF(OR($D97="",CE$5="",'상세일정'!AM97="제외"),"",IF($D97=$E97,IF(AND($D97&gt;=CE$5,$D97&lt;CE$5+7),"◆",""),IF(AND($D97&lt;CE$5+7,$E97&gt;CE$5),"■","")))</x:f>
      </x:c>
      <x:c r="CF97" s="7" t="str">
        <x:f>IF(OR($D97="",CF$5="",'상세일정'!AM97="제외"),"",IF($D97=$E97,IF(AND($D97&gt;=CF$5,$D97&lt;CF$5+7),"◆",""),IF(AND($D97&lt;CF$5+7,$E97&gt;CF$5),"■","")))</x:f>
      </x:c>
      <x:c r="CG97" s="7" t="str">
        <x:f>IF(OR($D97="",CG$5="",'상세일정'!AM97="제외"),"",IF($D97=$E97,IF(AND($D97&gt;=CG$5,$D97&lt;CG$5+7),"◆",""),IF(AND($D97&lt;CG$5+7,$E97&gt;CG$5),"■","")))</x:f>
      </x:c>
      <x:c r="CH97" s="7" t="str">
        <x:f>IF(OR($D97="",CH$5="",'상세일정'!AM97="제외"),"",IF($D97=$E97,IF(AND($D97&gt;=CH$5,$D97&lt;CH$5+7),"◆",""),IF(AND($D97&lt;CH$5+7,$E97&gt;CH$5),"■","")))</x:f>
      </x:c>
      <x:c r="CI97" s="7" t="str">
        <x:f>IF(OR($D97="",CI$5="",'상세일정'!AM97="제외"),"",IF($D97=$E97,IF(AND($D97&gt;=CI$5,$D97&lt;CI$5+7),"◆",""),IF(AND($D97&lt;CI$5+7,$E97&gt;CI$5),"■","")))</x:f>
      </x:c>
      <x:c r="CJ97" s="7" t="str">
        <x:f>IF(OR($D97="",CJ$5="",'상세일정'!AM97="제외"),"",IF($D97=$E97,IF(AND($D97&gt;=CJ$5,$D97&lt;CJ$5+7),"◆",""),IF(AND($D97&lt;CJ$5+7,$E97&gt;CJ$5),"■","")))</x:f>
      </x:c>
      <x:c r="CK97" s="7" t="str">
        <x:f>IF(OR($D97="",CK$5="",'상세일정'!AM97="제외"),"",IF($D97=$E97,IF(AND($D97&gt;=CK$5,$D97&lt;CK$5+7),"◆",""),IF(AND($D97&lt;CK$5+7,$E97&gt;CK$5),"■","")))</x:f>
      </x:c>
      <x:c r="CL97" s="7" t="str">
        <x:f>IF(OR($D97="",CL$5="",'상세일정'!AM97="제외"),"",IF($D97=$E97,IF(AND($D97&gt;=CL$5,$D97&lt;CL$5+7),"◆",""),IF(AND($D97&lt;CL$5+7,$E97&gt;CL$5),"■","")))</x:f>
      </x:c>
      <x:c r="CM97" s="7" t="str">
        <x:f>IF(OR($D97="",CM$5="",'상세일정'!AM97="제외"),"",IF($D97=$E97,IF(AND($D97&gt;=CM$5,$D97&lt;CM$5+7),"◆",""),IF(AND($D97&lt;CM$5+7,$E97&gt;CM$5),"■","")))</x:f>
      </x:c>
      <x:c r="CN97" s="7" t="str">
        <x:f>IF(OR($D97="",CN$5="",'상세일정'!AM97="제외"),"",IF($D97=$E97,IF(AND($D97&gt;=CN$5,$D97&lt;CN$5+7),"◆",""),IF(AND($D97&lt;CN$5+7,$E97&gt;CN$5),"■","")))</x:f>
      </x:c>
      <x:c r="CO97" s="7" t="str">
        <x:f>IF(OR($D97="",CO$5="",'상세일정'!AM97="제외"),"",IF($D97=$E97,IF(AND($D97&gt;=CO$5,$D97&lt;CO$5+7),"◆",""),IF(AND($D97&lt;CO$5+7,$E97&gt;CO$5),"■","")))</x:f>
      </x:c>
      <x:c r="CP97" s="7" t="str">
        <x:f>IF(OR($D97="",CP$5="",'상세일정'!AM97="제외"),"",IF($D97=$E97,IF(AND($D97&gt;=CP$5,$D97&lt;CP$5+7),"◆",""),IF(AND($D97&lt;CP$5+7,$E97&gt;CP$5),"■","")))</x:f>
      </x:c>
      <x:c r="CQ97" s="7" t="str">
        <x:f>IF(OR($D97="",CQ$5="",'상세일정'!AM97="제외"),"",IF($D97=$E97,IF(AND($D97&gt;=CQ$5,$D97&lt;CQ$5+7),"◆",""),IF(AND($D97&lt;CQ$5+7,$E97&gt;CQ$5),"■","")))</x:f>
      </x:c>
      <x:c r="CR97" s="7" t="str">
        <x:f>IF(OR($D97="",CR$5="",'상세일정'!AM97="제외"),"",IF($D97=$E97,IF(AND($D97&gt;=CR$5,$D97&lt;CR$5+7),"◆",""),IF(AND($D97&lt;CR$5+7,$E97&gt;CR$5),"■","")))</x:f>
      </x:c>
      <x:c r="CS97" s="7" t="str">
        <x:f>IF(OR($D97="",CS$5="",'상세일정'!AM97="제외"),"",IF($D97=$E97,IF(AND($D97&gt;=CS$5,$D97&lt;CS$5+7),"◆",""),IF(AND($D97&lt;CS$5+7,$E97&gt;CS$5),"■","")))</x:f>
      </x:c>
      <x:c r="CT97" s="7" t="str">
        <x:f>IF(OR($D97="",CT$5="",'상세일정'!AM97="제외"),"",IF($D97=$E97,IF(AND($D97&gt;=CT$5,$D97&lt;CT$5+7),"◆",""),IF(AND($D97&lt;CT$5+7,$E97&gt;CT$5),"■","")))</x:f>
      </x:c>
      <x:c r="CU97" s="7" t="str">
        <x:f>IF(OR($D97="",CU$5="",'상세일정'!AM97="제외"),"",IF($D97=$E97,IF(AND($D97&gt;=CU$5,$D97&lt;CU$5+7),"◆",""),IF(AND($D97&lt;CU$5+7,$E97&gt;CU$5),"■","")))</x:f>
      </x:c>
      <x:c r="CV97" s="7" t="str">
        <x:f>IF(OR($D97="",CV$5="",'상세일정'!AM97="제외"),"",IF($D97=$E97,IF(AND($D97&gt;=CV$5,$D97&lt;CV$5+7),"◆",""),IF(AND($D97&lt;CV$5+7,$E97&gt;CV$5),"■","")))</x:f>
      </x:c>
      <x:c r="CW97" s="7" t="str">
        <x:f>IF(OR($D97="",CW$5="",'상세일정'!AM97="제외"),"",IF($D97=$E97,IF(AND($D97&gt;=CW$5,$D97&lt;CW$5+7),"◆",""),IF(AND($D97&lt;CW$5+7,$E97&gt;CW$5),"■","")))</x:f>
      </x:c>
      <x:c r="CX97" s="7" t="str">
        <x:f>IF(OR($D97="",CX$5="",'상세일정'!AM97="제외"),"",IF($D97=$E97,IF(AND($D97&gt;=CX$5,$D97&lt;CX$5+7),"◆",""),IF(AND($D97&lt;CX$5+7,$E97&gt;CX$5),"■","")))</x:f>
      </x:c>
      <x:c r="CY97" s="7" t="str">
        <x:f>IF(OR($D97="",CY$5="",'상세일정'!AM97="제외"),"",IF($D97=$E97,IF(AND($D97&gt;=CY$5,$D97&lt;CY$5+7),"◆",""),IF(AND($D97&lt;CY$5+7,$E97&gt;CY$5),"■","")))</x:f>
      </x:c>
      <x:c r="CZ97" s="7" t="str">
        <x:f>IF(OR($D97="",CZ$5="",'상세일정'!AM97="제외"),"",IF($D97=$E97,IF(AND($D97&gt;=CZ$5,$D97&lt;CZ$5+7),"◆",""),IF(AND($D97&lt;CZ$5+7,$E97&gt;CZ$5),"■","")))</x:f>
      </x:c>
      <x:c r="DA97" s="7" t="str">
        <x:f>IF(OR($D97="",DA$5="",'상세일정'!AM97="제외"),"",IF($D97=$E97,IF(AND($D97&gt;=DA$5,$D97&lt;DA$5+7),"◆",""),IF(AND($D97&lt;DA$5+7,$E97&gt;DA$5),"■","")))</x:f>
      </x:c>
      <x:c r="DB97" s="7" t="str">
        <x:f>IF(OR($D97="",DB$5="",'상세일정'!AM97="제외"),"",IF($D97=$E97,IF(AND($D97&gt;=DB$5,$D97&lt;DB$5+7),"◆",""),IF(AND($D97&lt;DB$5+7,$E97&gt;DB$5),"■","")))</x:f>
      </x:c>
      <x:c r="DC97" s="7" t="str">
        <x:f>IF(OR($D97="",DC$5="",'상세일정'!AM97="제외"),"",IF($D97=$E97,IF(AND($D97&gt;=DC$5,$D97&lt;DC$5+7),"◆",""),IF(AND($D97&lt;DC$5+7,$E97&gt;DC$5),"■","")))</x:f>
      </x:c>
      <x:c r="DD97" s="7" t="str">
        <x:f>IF(OR($D97="",DD$5="",'상세일정'!AM97="제외"),"",IF($D97=$E97,IF(AND($D97&gt;=DD$5,$D97&lt;DD$5+7),"◆",""),IF(AND($D97&lt;DD$5+7,$E97&gt;DD$5),"■","")))</x:f>
      </x:c>
      <x:c r="DE97" s="7" t="str">
        <x:f>IF(OR($D97="",DE$5="",'상세일정'!AM97="제외"),"",IF($D97=$E97,IF(AND($D97&gt;=DE$5,$D97&lt;DE$5+7),"◆",""),IF(AND($D97&lt;DE$5+7,$E97&gt;DE$5),"■","")))</x:f>
      </x:c>
    </x:row>
    <x:row r="98" ht="34" customHeight="1">
      <x:c r="A98" s="7" t="str">
        <x:v>SA01</x:v>
      </x:c>
      <x:c r="B98" s="7" t="str">
        <x:v>15 착공 전 준비</x:v>
      </x:c>
      <x:c r="C98" s="7" t="str">
        <x:v>시공계획·장비투입·안전관리계획 자료 취합</x:v>
      </x:c>
      <x:c r="D98" s="10" t="str">
        <x:f>'상세일정'!AJ98</x:f>
      </x:c>
      <x:c r="E98" s="10" t="str">
        <x:f>'상세일정'!AK98</x:f>
      </x:c>
      <x:c r="F98" s="7" t="str">
        <x:f>IF(OR($D98="",F$5="",'상세일정'!AM98="제외"),"",IF($D98=$E98,IF(AND($D98&gt;=F$5,$D98&lt;F$5+7),"◆",""),IF(AND($D98&lt;F$5+7,$E98&gt;F$5),"■","")))</x:f>
      </x:c>
      <x:c r="G98" s="7" t="str">
        <x:f>IF(OR($D98="",G$5="",'상세일정'!AM98="제외"),"",IF($D98=$E98,IF(AND($D98&gt;=G$5,$D98&lt;G$5+7),"◆",""),IF(AND($D98&lt;G$5+7,$E98&gt;G$5),"■","")))</x:f>
      </x:c>
      <x:c r="H98" s="7" t="str">
        <x:f>IF(OR($D98="",H$5="",'상세일정'!AM98="제외"),"",IF($D98=$E98,IF(AND($D98&gt;=H$5,$D98&lt;H$5+7),"◆",""),IF(AND($D98&lt;H$5+7,$E98&gt;H$5),"■","")))</x:f>
      </x:c>
      <x:c r="I98" s="7" t="str">
        <x:f>IF(OR($D98="",I$5="",'상세일정'!AM98="제외"),"",IF($D98=$E98,IF(AND($D98&gt;=I$5,$D98&lt;I$5+7),"◆",""),IF(AND($D98&lt;I$5+7,$E98&gt;I$5),"■","")))</x:f>
      </x:c>
      <x:c r="J98" s="7" t="str">
        <x:f>IF(OR($D98="",J$5="",'상세일정'!AM98="제외"),"",IF($D98=$E98,IF(AND($D98&gt;=J$5,$D98&lt;J$5+7),"◆",""),IF(AND($D98&lt;J$5+7,$E98&gt;J$5),"■","")))</x:f>
      </x:c>
      <x:c r="K98" s="7" t="str">
        <x:f>IF(OR($D98="",K$5="",'상세일정'!AM98="제외"),"",IF($D98=$E98,IF(AND($D98&gt;=K$5,$D98&lt;K$5+7),"◆",""),IF(AND($D98&lt;K$5+7,$E98&gt;K$5),"■","")))</x:f>
      </x:c>
      <x:c r="L98" s="7" t="str">
        <x:f>IF(OR($D98="",L$5="",'상세일정'!AM98="제외"),"",IF($D98=$E98,IF(AND($D98&gt;=L$5,$D98&lt;L$5+7),"◆",""),IF(AND($D98&lt;L$5+7,$E98&gt;L$5),"■","")))</x:f>
      </x:c>
      <x:c r="M98" s="7" t="str">
        <x:f>IF(OR($D98="",M$5="",'상세일정'!AM98="제외"),"",IF($D98=$E98,IF(AND($D98&gt;=M$5,$D98&lt;M$5+7),"◆",""),IF(AND($D98&lt;M$5+7,$E98&gt;M$5),"■","")))</x:f>
      </x:c>
      <x:c r="N98" s="7" t="str">
        <x:f>IF(OR($D98="",N$5="",'상세일정'!AM98="제외"),"",IF($D98=$E98,IF(AND($D98&gt;=N$5,$D98&lt;N$5+7),"◆",""),IF(AND($D98&lt;N$5+7,$E98&gt;N$5),"■","")))</x:f>
      </x:c>
      <x:c r="O98" s="7" t="str">
        <x:f>IF(OR($D98="",O$5="",'상세일정'!AM98="제외"),"",IF($D98=$E98,IF(AND($D98&gt;=O$5,$D98&lt;O$5+7),"◆",""),IF(AND($D98&lt;O$5+7,$E98&gt;O$5),"■","")))</x:f>
      </x:c>
      <x:c r="P98" s="7" t="str">
        <x:f>IF(OR($D98="",P$5="",'상세일정'!AM98="제외"),"",IF($D98=$E98,IF(AND($D98&gt;=P$5,$D98&lt;P$5+7),"◆",""),IF(AND($D98&lt;P$5+7,$E98&gt;P$5),"■","")))</x:f>
      </x:c>
      <x:c r="Q98" s="7" t="str">
        <x:f>IF(OR($D98="",Q$5="",'상세일정'!AM98="제외"),"",IF($D98=$E98,IF(AND($D98&gt;=Q$5,$D98&lt;Q$5+7),"◆",""),IF(AND($D98&lt;Q$5+7,$E98&gt;Q$5),"■","")))</x:f>
      </x:c>
      <x:c r="R98" s="7" t="str">
        <x:f>IF(OR($D98="",R$5="",'상세일정'!AM98="제외"),"",IF($D98=$E98,IF(AND($D98&gt;=R$5,$D98&lt;R$5+7),"◆",""),IF(AND($D98&lt;R$5+7,$E98&gt;R$5),"■","")))</x:f>
      </x:c>
      <x:c r="S98" s="7" t="str">
        <x:f>IF(OR($D98="",S$5="",'상세일정'!AM98="제외"),"",IF($D98=$E98,IF(AND($D98&gt;=S$5,$D98&lt;S$5+7),"◆",""),IF(AND($D98&lt;S$5+7,$E98&gt;S$5),"■","")))</x:f>
      </x:c>
      <x:c r="T98" s="7" t="str">
        <x:f>IF(OR($D98="",T$5="",'상세일정'!AM98="제외"),"",IF($D98=$E98,IF(AND($D98&gt;=T$5,$D98&lt;T$5+7),"◆",""),IF(AND($D98&lt;T$5+7,$E98&gt;T$5),"■","")))</x:f>
      </x:c>
      <x:c r="U98" s="7" t="str">
        <x:f>IF(OR($D98="",U$5="",'상세일정'!AM98="제외"),"",IF($D98=$E98,IF(AND($D98&gt;=U$5,$D98&lt;U$5+7),"◆",""),IF(AND($D98&lt;U$5+7,$E98&gt;U$5),"■","")))</x:f>
      </x:c>
      <x:c r="V98" s="7" t="str">
        <x:f>IF(OR($D98="",V$5="",'상세일정'!AM98="제외"),"",IF($D98=$E98,IF(AND($D98&gt;=V$5,$D98&lt;V$5+7),"◆",""),IF(AND($D98&lt;V$5+7,$E98&gt;V$5),"■","")))</x:f>
      </x:c>
      <x:c r="W98" s="7" t="str">
        <x:f>IF(OR($D98="",W$5="",'상세일정'!AM98="제외"),"",IF($D98=$E98,IF(AND($D98&gt;=W$5,$D98&lt;W$5+7),"◆",""),IF(AND($D98&lt;W$5+7,$E98&gt;W$5),"■","")))</x:f>
      </x:c>
      <x:c r="X98" s="7" t="str">
        <x:f>IF(OR($D98="",X$5="",'상세일정'!AM98="제외"),"",IF($D98=$E98,IF(AND($D98&gt;=X$5,$D98&lt;X$5+7),"◆",""),IF(AND($D98&lt;X$5+7,$E98&gt;X$5),"■","")))</x:f>
      </x:c>
      <x:c r="Y98" s="7" t="str">
        <x:f>IF(OR($D98="",Y$5="",'상세일정'!AM98="제외"),"",IF($D98=$E98,IF(AND($D98&gt;=Y$5,$D98&lt;Y$5+7),"◆",""),IF(AND($D98&lt;Y$5+7,$E98&gt;Y$5),"■","")))</x:f>
      </x:c>
      <x:c r="Z98" s="7" t="str">
        <x:f>IF(OR($D98="",Z$5="",'상세일정'!AM98="제외"),"",IF($D98=$E98,IF(AND($D98&gt;=Z$5,$D98&lt;Z$5+7),"◆",""),IF(AND($D98&lt;Z$5+7,$E98&gt;Z$5),"■","")))</x:f>
      </x:c>
      <x:c r="AA98" s="7" t="str">
        <x:f>IF(OR($D98="",AA$5="",'상세일정'!AM98="제외"),"",IF($D98=$E98,IF(AND($D98&gt;=AA$5,$D98&lt;AA$5+7),"◆",""),IF(AND($D98&lt;AA$5+7,$E98&gt;AA$5),"■","")))</x:f>
      </x:c>
      <x:c r="AB98" s="7" t="str">
        <x:f>IF(OR($D98="",AB$5="",'상세일정'!AM98="제외"),"",IF($D98=$E98,IF(AND($D98&gt;=AB$5,$D98&lt;AB$5+7),"◆",""),IF(AND($D98&lt;AB$5+7,$E98&gt;AB$5),"■","")))</x:f>
      </x:c>
      <x:c r="AC98" s="7" t="str">
        <x:f>IF(OR($D98="",AC$5="",'상세일정'!AM98="제외"),"",IF($D98=$E98,IF(AND($D98&gt;=AC$5,$D98&lt;AC$5+7),"◆",""),IF(AND($D98&lt;AC$5+7,$E98&gt;AC$5),"■","")))</x:f>
      </x:c>
      <x:c r="AD98" s="7" t="str">
        <x:f>IF(OR($D98="",AD$5="",'상세일정'!AM98="제외"),"",IF($D98=$E98,IF(AND($D98&gt;=AD$5,$D98&lt;AD$5+7),"◆",""),IF(AND($D98&lt;AD$5+7,$E98&gt;AD$5),"■","")))</x:f>
      </x:c>
      <x:c r="AE98" s="7" t="str">
        <x:f>IF(OR($D98="",AE$5="",'상세일정'!AM98="제외"),"",IF($D98=$E98,IF(AND($D98&gt;=AE$5,$D98&lt;AE$5+7),"◆",""),IF(AND($D98&lt;AE$5+7,$E98&gt;AE$5),"■","")))</x:f>
      </x:c>
      <x:c r="AF98" s="7" t="str">
        <x:f>IF(OR($D98="",AF$5="",'상세일정'!AM98="제외"),"",IF($D98=$E98,IF(AND($D98&gt;=AF$5,$D98&lt;AF$5+7),"◆",""),IF(AND($D98&lt;AF$5+7,$E98&gt;AF$5),"■","")))</x:f>
      </x:c>
      <x:c r="AG98" s="7" t="str">
        <x:f>IF(OR($D98="",AG$5="",'상세일정'!AM98="제외"),"",IF($D98=$E98,IF(AND($D98&gt;=AG$5,$D98&lt;AG$5+7),"◆",""),IF(AND($D98&lt;AG$5+7,$E98&gt;AG$5),"■","")))</x:f>
      </x:c>
      <x:c r="AH98" s="7" t="str">
        <x:f>IF(OR($D98="",AH$5="",'상세일정'!AM98="제외"),"",IF($D98=$E98,IF(AND($D98&gt;=AH$5,$D98&lt;AH$5+7),"◆",""),IF(AND($D98&lt;AH$5+7,$E98&gt;AH$5),"■","")))</x:f>
      </x:c>
      <x:c r="AI98" s="7" t="str">
        <x:f>IF(OR($D98="",AI$5="",'상세일정'!AM98="제외"),"",IF($D98=$E98,IF(AND($D98&gt;=AI$5,$D98&lt;AI$5+7),"◆",""),IF(AND($D98&lt;AI$5+7,$E98&gt;AI$5),"■","")))</x:f>
      </x:c>
      <x:c r="AJ98" s="7" t="str">
        <x:f>IF(OR($D98="",AJ$5="",'상세일정'!AM98="제외"),"",IF($D98=$E98,IF(AND($D98&gt;=AJ$5,$D98&lt;AJ$5+7),"◆",""),IF(AND($D98&lt;AJ$5+7,$E98&gt;AJ$5),"■","")))</x:f>
      </x:c>
      <x:c r="AK98" s="7" t="str">
        <x:f>IF(OR($D98="",AK$5="",'상세일정'!AM98="제외"),"",IF($D98=$E98,IF(AND($D98&gt;=AK$5,$D98&lt;AK$5+7),"◆",""),IF(AND($D98&lt;AK$5+7,$E98&gt;AK$5),"■","")))</x:f>
      </x:c>
      <x:c r="AL98" s="7" t="str">
        <x:f>IF(OR($D98="",AL$5="",'상세일정'!AM98="제외"),"",IF($D98=$E98,IF(AND($D98&gt;=AL$5,$D98&lt;AL$5+7),"◆",""),IF(AND($D98&lt;AL$5+7,$E98&gt;AL$5),"■","")))</x:f>
      </x:c>
      <x:c r="AM98" s="7" t="str">
        <x:f>IF(OR($D98="",AM$5="",'상세일정'!AM98="제외"),"",IF($D98=$E98,IF(AND($D98&gt;=AM$5,$D98&lt;AM$5+7),"◆",""),IF(AND($D98&lt;AM$5+7,$E98&gt;AM$5),"■","")))</x:f>
      </x:c>
      <x:c r="AN98" s="7" t="str">
        <x:f>IF(OR($D98="",AN$5="",'상세일정'!AM98="제외"),"",IF($D98=$E98,IF(AND($D98&gt;=AN$5,$D98&lt;AN$5+7),"◆",""),IF(AND($D98&lt;AN$5+7,$E98&gt;AN$5),"■","")))</x:f>
      </x:c>
      <x:c r="AO98" s="7" t="str">
        <x:f>IF(OR($D98="",AO$5="",'상세일정'!AM98="제외"),"",IF($D98=$E98,IF(AND($D98&gt;=AO$5,$D98&lt;AO$5+7),"◆",""),IF(AND($D98&lt;AO$5+7,$E98&gt;AO$5),"■","")))</x:f>
      </x:c>
      <x:c r="AP98" s="7" t="str">
        <x:f>IF(OR($D98="",AP$5="",'상세일정'!AM98="제외"),"",IF($D98=$E98,IF(AND($D98&gt;=AP$5,$D98&lt;AP$5+7),"◆",""),IF(AND($D98&lt;AP$5+7,$E98&gt;AP$5),"■","")))</x:f>
      </x:c>
      <x:c r="AQ98" s="7" t="str">
        <x:f>IF(OR($D98="",AQ$5="",'상세일정'!AM98="제외"),"",IF($D98=$E98,IF(AND($D98&gt;=AQ$5,$D98&lt;AQ$5+7),"◆",""),IF(AND($D98&lt;AQ$5+7,$E98&gt;AQ$5),"■","")))</x:f>
      </x:c>
      <x:c r="AR98" s="7" t="str">
        <x:f>IF(OR($D98="",AR$5="",'상세일정'!AM98="제외"),"",IF($D98=$E98,IF(AND($D98&gt;=AR$5,$D98&lt;AR$5+7),"◆",""),IF(AND($D98&lt;AR$5+7,$E98&gt;AR$5),"■","")))</x:f>
      </x:c>
      <x:c r="AS98" s="7" t="str">
        <x:f>IF(OR($D98="",AS$5="",'상세일정'!AM98="제외"),"",IF($D98=$E98,IF(AND($D98&gt;=AS$5,$D98&lt;AS$5+7),"◆",""),IF(AND($D98&lt;AS$5+7,$E98&gt;AS$5),"■","")))</x:f>
      </x:c>
      <x:c r="AT98" s="7" t="str">
        <x:f>IF(OR($D98="",AT$5="",'상세일정'!AM98="제외"),"",IF($D98=$E98,IF(AND($D98&gt;=AT$5,$D98&lt;AT$5+7),"◆",""),IF(AND($D98&lt;AT$5+7,$E98&gt;AT$5),"■","")))</x:f>
      </x:c>
      <x:c r="AU98" s="7" t="str">
        <x:f>IF(OR($D98="",AU$5="",'상세일정'!AM98="제외"),"",IF($D98=$E98,IF(AND($D98&gt;=AU$5,$D98&lt;AU$5+7),"◆",""),IF(AND($D98&lt;AU$5+7,$E98&gt;AU$5),"■","")))</x:f>
      </x:c>
      <x:c r="AV98" s="7" t="str">
        <x:f>IF(OR($D98="",AV$5="",'상세일정'!AM98="제외"),"",IF($D98=$E98,IF(AND($D98&gt;=AV$5,$D98&lt;AV$5+7),"◆",""),IF(AND($D98&lt;AV$5+7,$E98&gt;AV$5),"■","")))</x:f>
      </x:c>
      <x:c r="AW98" s="7" t="str">
        <x:f>IF(OR($D98="",AW$5="",'상세일정'!AM98="제외"),"",IF($D98=$E98,IF(AND($D98&gt;=AW$5,$D98&lt;AW$5+7),"◆",""),IF(AND($D98&lt;AW$5+7,$E98&gt;AW$5),"■","")))</x:f>
      </x:c>
      <x:c r="AX98" s="7" t="str">
        <x:f>IF(OR($D98="",AX$5="",'상세일정'!AM98="제외"),"",IF($D98=$E98,IF(AND($D98&gt;=AX$5,$D98&lt;AX$5+7),"◆",""),IF(AND($D98&lt;AX$5+7,$E98&gt;AX$5),"■","")))</x:f>
      </x:c>
      <x:c r="AY98" s="7" t="str">
        <x:f>IF(OR($D98="",AY$5="",'상세일정'!AM98="제외"),"",IF($D98=$E98,IF(AND($D98&gt;=AY$5,$D98&lt;AY$5+7),"◆",""),IF(AND($D98&lt;AY$5+7,$E98&gt;AY$5),"■","")))</x:f>
      </x:c>
      <x:c r="AZ98" s="7" t="str">
        <x:f>IF(OR($D98="",AZ$5="",'상세일정'!AM98="제외"),"",IF($D98=$E98,IF(AND($D98&gt;=AZ$5,$D98&lt;AZ$5+7),"◆",""),IF(AND($D98&lt;AZ$5+7,$E98&gt;AZ$5),"■","")))</x:f>
      </x:c>
      <x:c r="BA98" s="7" t="str">
        <x:f>IF(OR($D98="",BA$5="",'상세일정'!AM98="제외"),"",IF($D98=$E98,IF(AND($D98&gt;=BA$5,$D98&lt;BA$5+7),"◆",""),IF(AND($D98&lt;BA$5+7,$E98&gt;BA$5),"■","")))</x:f>
      </x:c>
      <x:c r="BB98" s="7" t="str">
        <x:f>IF(OR($D98="",BB$5="",'상세일정'!AM98="제외"),"",IF($D98=$E98,IF(AND($D98&gt;=BB$5,$D98&lt;BB$5+7),"◆",""),IF(AND($D98&lt;BB$5+7,$E98&gt;BB$5),"■","")))</x:f>
      </x:c>
      <x:c r="BC98" s="7" t="str">
        <x:f>IF(OR($D98="",BC$5="",'상세일정'!AM98="제외"),"",IF($D98=$E98,IF(AND($D98&gt;=BC$5,$D98&lt;BC$5+7),"◆",""),IF(AND($D98&lt;BC$5+7,$E98&gt;BC$5),"■","")))</x:f>
      </x:c>
      <x:c r="BD98" s="7" t="str">
        <x:f>IF(OR($D98="",BD$5="",'상세일정'!AM98="제외"),"",IF($D98=$E98,IF(AND($D98&gt;=BD$5,$D98&lt;BD$5+7),"◆",""),IF(AND($D98&lt;BD$5+7,$E98&gt;BD$5),"■","")))</x:f>
      </x:c>
      <x:c r="BE98" s="7" t="str">
        <x:f>IF(OR($D98="",BE$5="",'상세일정'!AM98="제외"),"",IF($D98=$E98,IF(AND($D98&gt;=BE$5,$D98&lt;BE$5+7),"◆",""),IF(AND($D98&lt;BE$5+7,$E98&gt;BE$5),"■","")))</x:f>
      </x:c>
      <x:c r="BF98" s="7" t="str">
        <x:f>IF(OR($D98="",BF$5="",'상세일정'!AM98="제외"),"",IF($D98=$E98,IF(AND($D98&gt;=BF$5,$D98&lt;BF$5+7),"◆",""),IF(AND($D98&lt;BF$5+7,$E98&gt;BF$5),"■","")))</x:f>
      </x:c>
      <x:c r="BG98" s="7" t="str">
        <x:f>IF(OR($D98="",BG$5="",'상세일정'!AM98="제외"),"",IF($D98=$E98,IF(AND($D98&gt;=BG$5,$D98&lt;BG$5+7),"◆",""),IF(AND($D98&lt;BG$5+7,$E98&gt;BG$5),"■","")))</x:f>
      </x:c>
      <x:c r="BH98" s="7" t="str">
        <x:f>IF(OR($D98="",BH$5="",'상세일정'!AM98="제외"),"",IF($D98=$E98,IF(AND($D98&gt;=BH$5,$D98&lt;BH$5+7),"◆",""),IF(AND($D98&lt;BH$5+7,$E98&gt;BH$5),"■","")))</x:f>
      </x:c>
      <x:c r="BI98" s="7" t="str">
        <x:f>IF(OR($D98="",BI$5="",'상세일정'!AM98="제외"),"",IF($D98=$E98,IF(AND($D98&gt;=BI$5,$D98&lt;BI$5+7),"◆",""),IF(AND($D98&lt;BI$5+7,$E98&gt;BI$5),"■","")))</x:f>
      </x:c>
      <x:c r="BJ98" s="7" t="str">
        <x:f>IF(OR($D98="",BJ$5="",'상세일정'!AM98="제외"),"",IF($D98=$E98,IF(AND($D98&gt;=BJ$5,$D98&lt;BJ$5+7),"◆",""),IF(AND($D98&lt;BJ$5+7,$E98&gt;BJ$5),"■","")))</x:f>
      </x:c>
      <x:c r="BK98" s="7" t="str">
        <x:f>IF(OR($D98="",BK$5="",'상세일정'!AM98="제외"),"",IF($D98=$E98,IF(AND($D98&gt;=BK$5,$D98&lt;BK$5+7),"◆",""),IF(AND($D98&lt;BK$5+7,$E98&gt;BK$5),"■","")))</x:f>
      </x:c>
      <x:c r="BL98" s="7" t="str">
        <x:f>IF(OR($D98="",BL$5="",'상세일정'!AM98="제외"),"",IF($D98=$E98,IF(AND($D98&gt;=BL$5,$D98&lt;BL$5+7),"◆",""),IF(AND($D98&lt;BL$5+7,$E98&gt;BL$5),"■","")))</x:f>
      </x:c>
      <x:c r="BM98" s="7" t="str">
        <x:f>IF(OR($D98="",BM$5="",'상세일정'!AM98="제외"),"",IF($D98=$E98,IF(AND($D98&gt;=BM$5,$D98&lt;BM$5+7),"◆",""),IF(AND($D98&lt;BM$5+7,$E98&gt;BM$5),"■","")))</x:f>
      </x:c>
      <x:c r="BN98" s="7" t="str">
        <x:f>IF(OR($D98="",BN$5="",'상세일정'!AM98="제외"),"",IF($D98=$E98,IF(AND($D98&gt;=BN$5,$D98&lt;BN$5+7),"◆",""),IF(AND($D98&lt;BN$5+7,$E98&gt;BN$5),"■","")))</x:f>
      </x:c>
      <x:c r="BO98" s="7" t="str">
        <x:f>IF(OR($D98="",BO$5="",'상세일정'!AM98="제외"),"",IF($D98=$E98,IF(AND($D98&gt;=BO$5,$D98&lt;BO$5+7),"◆",""),IF(AND($D98&lt;BO$5+7,$E98&gt;BO$5),"■","")))</x:f>
      </x:c>
      <x:c r="BP98" s="7" t="str">
        <x:f>IF(OR($D98="",BP$5="",'상세일정'!AM98="제외"),"",IF($D98=$E98,IF(AND($D98&gt;=BP$5,$D98&lt;BP$5+7),"◆",""),IF(AND($D98&lt;BP$5+7,$E98&gt;BP$5),"■","")))</x:f>
      </x:c>
      <x:c r="BQ98" s="7" t="str">
        <x:f>IF(OR($D98="",BQ$5="",'상세일정'!AM98="제외"),"",IF($D98=$E98,IF(AND($D98&gt;=BQ$5,$D98&lt;BQ$5+7),"◆",""),IF(AND($D98&lt;BQ$5+7,$E98&gt;BQ$5),"■","")))</x:f>
      </x:c>
      <x:c r="BR98" s="7" t="str">
        <x:f>IF(OR($D98="",BR$5="",'상세일정'!AM98="제외"),"",IF($D98=$E98,IF(AND($D98&gt;=BR$5,$D98&lt;BR$5+7),"◆",""),IF(AND($D98&lt;BR$5+7,$E98&gt;BR$5),"■","")))</x:f>
      </x:c>
      <x:c r="BS98" s="7" t="str">
        <x:f>IF(OR($D98="",BS$5="",'상세일정'!AM98="제외"),"",IF($D98=$E98,IF(AND($D98&gt;=BS$5,$D98&lt;BS$5+7),"◆",""),IF(AND($D98&lt;BS$5+7,$E98&gt;BS$5),"■","")))</x:f>
      </x:c>
      <x:c r="BT98" s="7" t="str">
        <x:f>IF(OR($D98="",BT$5="",'상세일정'!AM98="제외"),"",IF($D98=$E98,IF(AND($D98&gt;=BT$5,$D98&lt;BT$5+7),"◆",""),IF(AND($D98&lt;BT$5+7,$E98&gt;BT$5),"■","")))</x:f>
      </x:c>
      <x:c r="BU98" s="7" t="str">
        <x:f>IF(OR($D98="",BU$5="",'상세일정'!AM98="제외"),"",IF($D98=$E98,IF(AND($D98&gt;=BU$5,$D98&lt;BU$5+7),"◆",""),IF(AND($D98&lt;BU$5+7,$E98&gt;BU$5),"■","")))</x:f>
      </x:c>
      <x:c r="BV98" s="7" t="str">
        <x:f>IF(OR($D98="",BV$5="",'상세일정'!AM98="제외"),"",IF($D98=$E98,IF(AND($D98&gt;=BV$5,$D98&lt;BV$5+7),"◆",""),IF(AND($D98&lt;BV$5+7,$E98&gt;BV$5),"■","")))</x:f>
      </x:c>
      <x:c r="BW98" s="7" t="str">
        <x:f>IF(OR($D98="",BW$5="",'상세일정'!AM98="제외"),"",IF($D98=$E98,IF(AND($D98&gt;=BW$5,$D98&lt;BW$5+7),"◆",""),IF(AND($D98&lt;BW$5+7,$E98&gt;BW$5),"■","")))</x:f>
      </x:c>
      <x:c r="BX98" s="7" t="str">
        <x:f>IF(OR($D98="",BX$5="",'상세일정'!AM98="제외"),"",IF($D98=$E98,IF(AND($D98&gt;=BX$5,$D98&lt;BX$5+7),"◆",""),IF(AND($D98&lt;BX$5+7,$E98&gt;BX$5),"■","")))</x:f>
      </x:c>
      <x:c r="BY98" s="7" t="str">
        <x:f>IF(OR($D98="",BY$5="",'상세일정'!AM98="제외"),"",IF($D98=$E98,IF(AND($D98&gt;=BY$5,$D98&lt;BY$5+7),"◆",""),IF(AND($D98&lt;BY$5+7,$E98&gt;BY$5),"■","")))</x:f>
      </x:c>
      <x:c r="BZ98" s="7" t="str">
        <x:f>IF(OR($D98="",BZ$5="",'상세일정'!AM98="제외"),"",IF($D98=$E98,IF(AND($D98&gt;=BZ$5,$D98&lt;BZ$5+7),"◆",""),IF(AND($D98&lt;BZ$5+7,$E98&gt;BZ$5),"■","")))</x:f>
      </x:c>
      <x:c r="CA98" s="7" t="str">
        <x:f>IF(OR($D98="",CA$5="",'상세일정'!AM98="제외"),"",IF($D98=$E98,IF(AND($D98&gt;=CA$5,$D98&lt;CA$5+7),"◆",""),IF(AND($D98&lt;CA$5+7,$E98&gt;CA$5),"■","")))</x:f>
      </x:c>
      <x:c r="CB98" s="7" t="str">
        <x:f>IF(OR($D98="",CB$5="",'상세일정'!AM98="제외"),"",IF($D98=$E98,IF(AND($D98&gt;=CB$5,$D98&lt;CB$5+7),"◆",""),IF(AND($D98&lt;CB$5+7,$E98&gt;CB$5),"■","")))</x:f>
      </x:c>
      <x:c r="CC98" s="7" t="str">
        <x:f>IF(OR($D98="",CC$5="",'상세일정'!AM98="제외"),"",IF($D98=$E98,IF(AND($D98&gt;=CC$5,$D98&lt;CC$5+7),"◆",""),IF(AND($D98&lt;CC$5+7,$E98&gt;CC$5),"■","")))</x:f>
      </x:c>
      <x:c r="CD98" s="7" t="str">
        <x:f>IF(OR($D98="",CD$5="",'상세일정'!AM98="제외"),"",IF($D98=$E98,IF(AND($D98&gt;=CD$5,$D98&lt;CD$5+7),"◆",""),IF(AND($D98&lt;CD$5+7,$E98&gt;CD$5),"■","")))</x:f>
      </x:c>
      <x:c r="CE98" s="7" t="str">
        <x:f>IF(OR($D98="",CE$5="",'상세일정'!AM98="제외"),"",IF($D98=$E98,IF(AND($D98&gt;=CE$5,$D98&lt;CE$5+7),"◆",""),IF(AND($D98&lt;CE$5+7,$E98&gt;CE$5),"■","")))</x:f>
      </x:c>
      <x:c r="CF98" s="7" t="str">
        <x:f>IF(OR($D98="",CF$5="",'상세일정'!AM98="제외"),"",IF($D98=$E98,IF(AND($D98&gt;=CF$5,$D98&lt;CF$5+7),"◆",""),IF(AND($D98&lt;CF$5+7,$E98&gt;CF$5),"■","")))</x:f>
      </x:c>
      <x:c r="CG98" s="7" t="str">
        <x:f>IF(OR($D98="",CG$5="",'상세일정'!AM98="제외"),"",IF($D98=$E98,IF(AND($D98&gt;=CG$5,$D98&lt;CG$5+7),"◆",""),IF(AND($D98&lt;CG$5+7,$E98&gt;CG$5),"■","")))</x:f>
      </x:c>
      <x:c r="CH98" s="7" t="str">
        <x:f>IF(OR($D98="",CH$5="",'상세일정'!AM98="제외"),"",IF($D98=$E98,IF(AND($D98&gt;=CH$5,$D98&lt;CH$5+7),"◆",""),IF(AND($D98&lt;CH$5+7,$E98&gt;CH$5),"■","")))</x:f>
      </x:c>
      <x:c r="CI98" s="7" t="str">
        <x:f>IF(OR($D98="",CI$5="",'상세일정'!AM98="제외"),"",IF($D98=$E98,IF(AND($D98&gt;=CI$5,$D98&lt;CI$5+7),"◆",""),IF(AND($D98&lt;CI$5+7,$E98&gt;CI$5),"■","")))</x:f>
      </x:c>
      <x:c r="CJ98" s="7" t="str">
        <x:f>IF(OR($D98="",CJ$5="",'상세일정'!AM98="제외"),"",IF($D98=$E98,IF(AND($D98&gt;=CJ$5,$D98&lt;CJ$5+7),"◆",""),IF(AND($D98&lt;CJ$5+7,$E98&gt;CJ$5),"■","")))</x:f>
      </x:c>
      <x:c r="CK98" s="7" t="str">
        <x:f>IF(OR($D98="",CK$5="",'상세일정'!AM98="제외"),"",IF($D98=$E98,IF(AND($D98&gt;=CK$5,$D98&lt;CK$5+7),"◆",""),IF(AND($D98&lt;CK$5+7,$E98&gt;CK$5),"■","")))</x:f>
      </x:c>
      <x:c r="CL98" s="7" t="str">
        <x:f>IF(OR($D98="",CL$5="",'상세일정'!AM98="제외"),"",IF($D98=$E98,IF(AND($D98&gt;=CL$5,$D98&lt;CL$5+7),"◆",""),IF(AND($D98&lt;CL$5+7,$E98&gt;CL$5),"■","")))</x:f>
      </x:c>
      <x:c r="CM98" s="7" t="str">
        <x:f>IF(OR($D98="",CM$5="",'상세일정'!AM98="제외"),"",IF($D98=$E98,IF(AND($D98&gt;=CM$5,$D98&lt;CM$5+7),"◆",""),IF(AND($D98&lt;CM$5+7,$E98&gt;CM$5),"■","")))</x:f>
      </x:c>
      <x:c r="CN98" s="7" t="str">
        <x:f>IF(OR($D98="",CN$5="",'상세일정'!AM98="제외"),"",IF($D98=$E98,IF(AND($D98&gt;=CN$5,$D98&lt;CN$5+7),"◆",""),IF(AND($D98&lt;CN$5+7,$E98&gt;CN$5),"■","")))</x:f>
      </x:c>
      <x:c r="CO98" s="7" t="str">
        <x:f>IF(OR($D98="",CO$5="",'상세일정'!AM98="제외"),"",IF($D98=$E98,IF(AND($D98&gt;=CO$5,$D98&lt;CO$5+7),"◆",""),IF(AND($D98&lt;CO$5+7,$E98&gt;CO$5),"■","")))</x:f>
      </x:c>
      <x:c r="CP98" s="7" t="str">
        <x:f>IF(OR($D98="",CP$5="",'상세일정'!AM98="제외"),"",IF($D98=$E98,IF(AND($D98&gt;=CP$5,$D98&lt;CP$5+7),"◆",""),IF(AND($D98&lt;CP$5+7,$E98&gt;CP$5),"■","")))</x:f>
      </x:c>
      <x:c r="CQ98" s="7" t="str">
        <x:f>IF(OR($D98="",CQ$5="",'상세일정'!AM98="제외"),"",IF($D98=$E98,IF(AND($D98&gt;=CQ$5,$D98&lt;CQ$5+7),"◆",""),IF(AND($D98&lt;CQ$5+7,$E98&gt;CQ$5),"■","")))</x:f>
      </x:c>
      <x:c r="CR98" s="7" t="str">
        <x:f>IF(OR($D98="",CR$5="",'상세일정'!AM98="제외"),"",IF($D98=$E98,IF(AND($D98&gt;=CR$5,$D98&lt;CR$5+7),"◆",""),IF(AND($D98&lt;CR$5+7,$E98&gt;CR$5),"■","")))</x:f>
      </x:c>
      <x:c r="CS98" s="7" t="str">
        <x:f>IF(OR($D98="",CS$5="",'상세일정'!AM98="제외"),"",IF($D98=$E98,IF(AND($D98&gt;=CS$5,$D98&lt;CS$5+7),"◆",""),IF(AND($D98&lt;CS$5+7,$E98&gt;CS$5),"■","")))</x:f>
      </x:c>
      <x:c r="CT98" s="7" t="str">
        <x:f>IF(OR($D98="",CT$5="",'상세일정'!AM98="제외"),"",IF($D98=$E98,IF(AND($D98&gt;=CT$5,$D98&lt;CT$5+7),"◆",""),IF(AND($D98&lt;CT$5+7,$E98&gt;CT$5),"■","")))</x:f>
      </x:c>
      <x:c r="CU98" s="7" t="str">
        <x:f>IF(OR($D98="",CU$5="",'상세일정'!AM98="제외"),"",IF($D98=$E98,IF(AND($D98&gt;=CU$5,$D98&lt;CU$5+7),"◆",""),IF(AND($D98&lt;CU$5+7,$E98&gt;CU$5),"■","")))</x:f>
      </x:c>
      <x:c r="CV98" s="7" t="str">
        <x:f>IF(OR($D98="",CV$5="",'상세일정'!AM98="제외"),"",IF($D98=$E98,IF(AND($D98&gt;=CV$5,$D98&lt;CV$5+7),"◆",""),IF(AND($D98&lt;CV$5+7,$E98&gt;CV$5),"■","")))</x:f>
      </x:c>
      <x:c r="CW98" s="7" t="str">
        <x:f>IF(OR($D98="",CW$5="",'상세일정'!AM98="제외"),"",IF($D98=$E98,IF(AND($D98&gt;=CW$5,$D98&lt;CW$5+7),"◆",""),IF(AND($D98&lt;CW$5+7,$E98&gt;CW$5),"■","")))</x:f>
      </x:c>
      <x:c r="CX98" s="7" t="str">
        <x:f>IF(OR($D98="",CX$5="",'상세일정'!AM98="제외"),"",IF($D98=$E98,IF(AND($D98&gt;=CX$5,$D98&lt;CX$5+7),"◆",""),IF(AND($D98&lt;CX$5+7,$E98&gt;CX$5),"■","")))</x:f>
      </x:c>
      <x:c r="CY98" s="7" t="str">
        <x:f>IF(OR($D98="",CY$5="",'상세일정'!AM98="제외"),"",IF($D98=$E98,IF(AND($D98&gt;=CY$5,$D98&lt;CY$5+7),"◆",""),IF(AND($D98&lt;CY$5+7,$E98&gt;CY$5),"■","")))</x:f>
      </x:c>
      <x:c r="CZ98" s="7" t="str">
        <x:f>IF(OR($D98="",CZ$5="",'상세일정'!AM98="제외"),"",IF($D98=$E98,IF(AND($D98&gt;=CZ$5,$D98&lt;CZ$5+7),"◆",""),IF(AND($D98&lt;CZ$5+7,$E98&gt;CZ$5),"■","")))</x:f>
      </x:c>
      <x:c r="DA98" s="7" t="str">
        <x:f>IF(OR($D98="",DA$5="",'상세일정'!AM98="제외"),"",IF($D98=$E98,IF(AND($D98&gt;=DA$5,$D98&lt;DA$5+7),"◆",""),IF(AND($D98&lt;DA$5+7,$E98&gt;DA$5),"■","")))</x:f>
      </x:c>
      <x:c r="DB98" s="7" t="str">
        <x:f>IF(OR($D98="",DB$5="",'상세일정'!AM98="제외"),"",IF($D98=$E98,IF(AND($D98&gt;=DB$5,$D98&lt;DB$5+7),"◆",""),IF(AND($D98&lt;DB$5+7,$E98&gt;DB$5),"■","")))</x:f>
      </x:c>
      <x:c r="DC98" s="7" t="str">
        <x:f>IF(OR($D98="",DC$5="",'상세일정'!AM98="제외"),"",IF($D98=$E98,IF(AND($D98&gt;=DC$5,$D98&lt;DC$5+7),"◆",""),IF(AND($D98&lt;DC$5+7,$E98&gt;DC$5),"■","")))</x:f>
      </x:c>
      <x:c r="DD98" s="7" t="str">
        <x:f>IF(OR($D98="",DD$5="",'상세일정'!AM98="제외"),"",IF($D98=$E98,IF(AND($D98&gt;=DD$5,$D98&lt;DD$5+7),"◆",""),IF(AND($D98&lt;DD$5+7,$E98&gt;DD$5),"■","")))</x:f>
      </x:c>
      <x:c r="DE98" s="7" t="str">
        <x:f>IF(OR($D98="",DE$5="",'상세일정'!AM98="제외"),"",IF($D98=$E98,IF(AND($D98&gt;=DE$5,$D98&lt;DE$5+7),"◆",""),IF(AND($D98&lt;DE$5+7,$E98&gt;DE$5),"■","")))</x:f>
      </x:c>
    </x:row>
    <x:row r="99" ht="34" customHeight="1">
      <x:c r="A99" s="7" t="str">
        <x:v>SA02</x:v>
      </x:c>
      <x:c r="B99" s="7" t="str">
        <x:v>15 착공 전 준비</x:v>
      </x:c>
      <x:c r="C99" s="7" t="str">
        <x:v>안전관리계획 작성·검토 의뢰</x:v>
      </x:c>
      <x:c r="D99" s="10" t="str">
        <x:f>'상세일정'!AJ99</x:f>
      </x:c>
      <x:c r="E99" s="10" t="str">
        <x:f>'상세일정'!AK99</x:f>
      </x:c>
      <x:c r="F99" s="7" t="str">
        <x:f>IF(OR($D99="",F$5="",'상세일정'!AM99="제외"),"",IF($D99=$E99,IF(AND($D99&gt;=F$5,$D99&lt;F$5+7),"◆",""),IF(AND($D99&lt;F$5+7,$E99&gt;F$5),"■","")))</x:f>
      </x:c>
      <x:c r="G99" s="7" t="str">
        <x:f>IF(OR($D99="",G$5="",'상세일정'!AM99="제외"),"",IF($D99=$E99,IF(AND($D99&gt;=G$5,$D99&lt;G$5+7),"◆",""),IF(AND($D99&lt;G$5+7,$E99&gt;G$5),"■","")))</x:f>
      </x:c>
      <x:c r="H99" s="7" t="str">
        <x:f>IF(OR($D99="",H$5="",'상세일정'!AM99="제외"),"",IF($D99=$E99,IF(AND($D99&gt;=H$5,$D99&lt;H$5+7),"◆",""),IF(AND($D99&lt;H$5+7,$E99&gt;H$5),"■","")))</x:f>
      </x:c>
      <x:c r="I99" s="7" t="str">
        <x:f>IF(OR($D99="",I$5="",'상세일정'!AM99="제외"),"",IF($D99=$E99,IF(AND($D99&gt;=I$5,$D99&lt;I$5+7),"◆",""),IF(AND($D99&lt;I$5+7,$E99&gt;I$5),"■","")))</x:f>
      </x:c>
      <x:c r="J99" s="7" t="str">
        <x:f>IF(OR($D99="",J$5="",'상세일정'!AM99="제외"),"",IF($D99=$E99,IF(AND($D99&gt;=J$5,$D99&lt;J$5+7),"◆",""),IF(AND($D99&lt;J$5+7,$E99&gt;J$5),"■","")))</x:f>
      </x:c>
      <x:c r="K99" s="7" t="str">
        <x:f>IF(OR($D99="",K$5="",'상세일정'!AM99="제외"),"",IF($D99=$E99,IF(AND($D99&gt;=K$5,$D99&lt;K$5+7),"◆",""),IF(AND($D99&lt;K$5+7,$E99&gt;K$5),"■","")))</x:f>
      </x:c>
      <x:c r="L99" s="7" t="str">
        <x:f>IF(OR($D99="",L$5="",'상세일정'!AM99="제외"),"",IF($D99=$E99,IF(AND($D99&gt;=L$5,$D99&lt;L$5+7),"◆",""),IF(AND($D99&lt;L$5+7,$E99&gt;L$5),"■","")))</x:f>
      </x:c>
      <x:c r="M99" s="7" t="str">
        <x:f>IF(OR($D99="",M$5="",'상세일정'!AM99="제외"),"",IF($D99=$E99,IF(AND($D99&gt;=M$5,$D99&lt;M$5+7),"◆",""),IF(AND($D99&lt;M$5+7,$E99&gt;M$5),"■","")))</x:f>
      </x:c>
      <x:c r="N99" s="7" t="str">
        <x:f>IF(OR($D99="",N$5="",'상세일정'!AM99="제외"),"",IF($D99=$E99,IF(AND($D99&gt;=N$5,$D99&lt;N$5+7),"◆",""),IF(AND($D99&lt;N$5+7,$E99&gt;N$5),"■","")))</x:f>
      </x:c>
      <x:c r="O99" s="7" t="str">
        <x:f>IF(OR($D99="",O$5="",'상세일정'!AM99="제외"),"",IF($D99=$E99,IF(AND($D99&gt;=O$5,$D99&lt;O$5+7),"◆",""),IF(AND($D99&lt;O$5+7,$E99&gt;O$5),"■","")))</x:f>
      </x:c>
      <x:c r="P99" s="7" t="str">
        <x:f>IF(OR($D99="",P$5="",'상세일정'!AM99="제외"),"",IF($D99=$E99,IF(AND($D99&gt;=P$5,$D99&lt;P$5+7),"◆",""),IF(AND($D99&lt;P$5+7,$E99&gt;P$5),"■","")))</x:f>
      </x:c>
      <x:c r="Q99" s="7" t="str">
        <x:f>IF(OR($D99="",Q$5="",'상세일정'!AM99="제외"),"",IF($D99=$E99,IF(AND($D99&gt;=Q$5,$D99&lt;Q$5+7),"◆",""),IF(AND($D99&lt;Q$5+7,$E99&gt;Q$5),"■","")))</x:f>
      </x:c>
      <x:c r="R99" s="7" t="str">
        <x:f>IF(OR($D99="",R$5="",'상세일정'!AM99="제외"),"",IF($D99=$E99,IF(AND($D99&gt;=R$5,$D99&lt;R$5+7),"◆",""),IF(AND($D99&lt;R$5+7,$E99&gt;R$5),"■","")))</x:f>
      </x:c>
      <x:c r="S99" s="7" t="str">
        <x:f>IF(OR($D99="",S$5="",'상세일정'!AM99="제외"),"",IF($D99=$E99,IF(AND($D99&gt;=S$5,$D99&lt;S$5+7),"◆",""),IF(AND($D99&lt;S$5+7,$E99&gt;S$5),"■","")))</x:f>
      </x:c>
      <x:c r="T99" s="7" t="str">
        <x:f>IF(OR($D99="",T$5="",'상세일정'!AM99="제외"),"",IF($D99=$E99,IF(AND($D99&gt;=T$5,$D99&lt;T$5+7),"◆",""),IF(AND($D99&lt;T$5+7,$E99&gt;T$5),"■","")))</x:f>
      </x:c>
      <x:c r="U99" s="7" t="str">
        <x:f>IF(OR($D99="",U$5="",'상세일정'!AM99="제외"),"",IF($D99=$E99,IF(AND($D99&gt;=U$5,$D99&lt;U$5+7),"◆",""),IF(AND($D99&lt;U$5+7,$E99&gt;U$5),"■","")))</x:f>
      </x:c>
      <x:c r="V99" s="7" t="str">
        <x:f>IF(OR($D99="",V$5="",'상세일정'!AM99="제외"),"",IF($D99=$E99,IF(AND($D99&gt;=V$5,$D99&lt;V$5+7),"◆",""),IF(AND($D99&lt;V$5+7,$E99&gt;V$5),"■","")))</x:f>
      </x:c>
      <x:c r="W99" s="7" t="str">
        <x:f>IF(OR($D99="",W$5="",'상세일정'!AM99="제외"),"",IF($D99=$E99,IF(AND($D99&gt;=W$5,$D99&lt;W$5+7),"◆",""),IF(AND($D99&lt;W$5+7,$E99&gt;W$5),"■","")))</x:f>
      </x:c>
      <x:c r="X99" s="7" t="str">
        <x:f>IF(OR($D99="",X$5="",'상세일정'!AM99="제외"),"",IF($D99=$E99,IF(AND($D99&gt;=X$5,$D99&lt;X$5+7),"◆",""),IF(AND($D99&lt;X$5+7,$E99&gt;X$5),"■","")))</x:f>
      </x:c>
      <x:c r="Y99" s="7" t="str">
        <x:f>IF(OR($D99="",Y$5="",'상세일정'!AM99="제외"),"",IF($D99=$E99,IF(AND($D99&gt;=Y$5,$D99&lt;Y$5+7),"◆",""),IF(AND($D99&lt;Y$5+7,$E99&gt;Y$5),"■","")))</x:f>
      </x:c>
      <x:c r="Z99" s="7" t="str">
        <x:f>IF(OR($D99="",Z$5="",'상세일정'!AM99="제외"),"",IF($D99=$E99,IF(AND($D99&gt;=Z$5,$D99&lt;Z$5+7),"◆",""),IF(AND($D99&lt;Z$5+7,$E99&gt;Z$5),"■","")))</x:f>
      </x:c>
      <x:c r="AA99" s="7" t="str">
        <x:f>IF(OR($D99="",AA$5="",'상세일정'!AM99="제외"),"",IF($D99=$E99,IF(AND($D99&gt;=AA$5,$D99&lt;AA$5+7),"◆",""),IF(AND($D99&lt;AA$5+7,$E99&gt;AA$5),"■","")))</x:f>
      </x:c>
      <x:c r="AB99" s="7" t="str">
        <x:f>IF(OR($D99="",AB$5="",'상세일정'!AM99="제외"),"",IF($D99=$E99,IF(AND($D99&gt;=AB$5,$D99&lt;AB$5+7),"◆",""),IF(AND($D99&lt;AB$5+7,$E99&gt;AB$5),"■","")))</x:f>
      </x:c>
      <x:c r="AC99" s="7" t="str">
        <x:f>IF(OR($D99="",AC$5="",'상세일정'!AM99="제외"),"",IF($D99=$E99,IF(AND($D99&gt;=AC$5,$D99&lt;AC$5+7),"◆",""),IF(AND($D99&lt;AC$5+7,$E99&gt;AC$5),"■","")))</x:f>
      </x:c>
      <x:c r="AD99" s="7" t="str">
        <x:f>IF(OR($D99="",AD$5="",'상세일정'!AM99="제외"),"",IF($D99=$E99,IF(AND($D99&gt;=AD$5,$D99&lt;AD$5+7),"◆",""),IF(AND($D99&lt;AD$5+7,$E99&gt;AD$5),"■","")))</x:f>
      </x:c>
      <x:c r="AE99" s="7" t="str">
        <x:f>IF(OR($D99="",AE$5="",'상세일정'!AM99="제외"),"",IF($D99=$E99,IF(AND($D99&gt;=AE$5,$D99&lt;AE$5+7),"◆",""),IF(AND($D99&lt;AE$5+7,$E99&gt;AE$5),"■","")))</x:f>
      </x:c>
      <x:c r="AF99" s="7" t="str">
        <x:f>IF(OR($D99="",AF$5="",'상세일정'!AM99="제외"),"",IF($D99=$E99,IF(AND($D99&gt;=AF$5,$D99&lt;AF$5+7),"◆",""),IF(AND($D99&lt;AF$5+7,$E99&gt;AF$5),"■","")))</x:f>
      </x:c>
      <x:c r="AG99" s="7" t="str">
        <x:f>IF(OR($D99="",AG$5="",'상세일정'!AM99="제외"),"",IF($D99=$E99,IF(AND($D99&gt;=AG$5,$D99&lt;AG$5+7),"◆",""),IF(AND($D99&lt;AG$5+7,$E99&gt;AG$5),"■","")))</x:f>
      </x:c>
      <x:c r="AH99" s="7" t="str">
        <x:f>IF(OR($D99="",AH$5="",'상세일정'!AM99="제외"),"",IF($D99=$E99,IF(AND($D99&gt;=AH$5,$D99&lt;AH$5+7),"◆",""),IF(AND($D99&lt;AH$5+7,$E99&gt;AH$5),"■","")))</x:f>
      </x:c>
      <x:c r="AI99" s="7" t="str">
        <x:f>IF(OR($D99="",AI$5="",'상세일정'!AM99="제외"),"",IF($D99=$E99,IF(AND($D99&gt;=AI$5,$D99&lt;AI$5+7),"◆",""),IF(AND($D99&lt;AI$5+7,$E99&gt;AI$5),"■","")))</x:f>
      </x:c>
      <x:c r="AJ99" s="7" t="str">
        <x:f>IF(OR($D99="",AJ$5="",'상세일정'!AM99="제외"),"",IF($D99=$E99,IF(AND($D99&gt;=AJ$5,$D99&lt;AJ$5+7),"◆",""),IF(AND($D99&lt;AJ$5+7,$E99&gt;AJ$5),"■","")))</x:f>
      </x:c>
      <x:c r="AK99" s="7" t="str">
        <x:f>IF(OR($D99="",AK$5="",'상세일정'!AM99="제외"),"",IF($D99=$E99,IF(AND($D99&gt;=AK$5,$D99&lt;AK$5+7),"◆",""),IF(AND($D99&lt;AK$5+7,$E99&gt;AK$5),"■","")))</x:f>
      </x:c>
      <x:c r="AL99" s="7" t="str">
        <x:f>IF(OR($D99="",AL$5="",'상세일정'!AM99="제외"),"",IF($D99=$E99,IF(AND($D99&gt;=AL$5,$D99&lt;AL$5+7),"◆",""),IF(AND($D99&lt;AL$5+7,$E99&gt;AL$5),"■","")))</x:f>
      </x:c>
      <x:c r="AM99" s="7" t="str">
        <x:f>IF(OR($D99="",AM$5="",'상세일정'!AM99="제외"),"",IF($D99=$E99,IF(AND($D99&gt;=AM$5,$D99&lt;AM$5+7),"◆",""),IF(AND($D99&lt;AM$5+7,$E99&gt;AM$5),"■","")))</x:f>
      </x:c>
      <x:c r="AN99" s="7" t="str">
        <x:f>IF(OR($D99="",AN$5="",'상세일정'!AM99="제외"),"",IF($D99=$E99,IF(AND($D99&gt;=AN$5,$D99&lt;AN$5+7),"◆",""),IF(AND($D99&lt;AN$5+7,$E99&gt;AN$5),"■","")))</x:f>
      </x:c>
      <x:c r="AO99" s="7" t="str">
        <x:f>IF(OR($D99="",AO$5="",'상세일정'!AM99="제외"),"",IF($D99=$E99,IF(AND($D99&gt;=AO$5,$D99&lt;AO$5+7),"◆",""),IF(AND($D99&lt;AO$5+7,$E99&gt;AO$5),"■","")))</x:f>
      </x:c>
      <x:c r="AP99" s="7" t="str">
        <x:f>IF(OR($D99="",AP$5="",'상세일정'!AM99="제외"),"",IF($D99=$E99,IF(AND($D99&gt;=AP$5,$D99&lt;AP$5+7),"◆",""),IF(AND($D99&lt;AP$5+7,$E99&gt;AP$5),"■","")))</x:f>
      </x:c>
      <x:c r="AQ99" s="7" t="str">
        <x:f>IF(OR($D99="",AQ$5="",'상세일정'!AM99="제외"),"",IF($D99=$E99,IF(AND($D99&gt;=AQ$5,$D99&lt;AQ$5+7),"◆",""),IF(AND($D99&lt;AQ$5+7,$E99&gt;AQ$5),"■","")))</x:f>
      </x:c>
      <x:c r="AR99" s="7" t="str">
        <x:f>IF(OR($D99="",AR$5="",'상세일정'!AM99="제외"),"",IF($D99=$E99,IF(AND($D99&gt;=AR$5,$D99&lt;AR$5+7),"◆",""),IF(AND($D99&lt;AR$5+7,$E99&gt;AR$5),"■","")))</x:f>
      </x:c>
      <x:c r="AS99" s="7" t="str">
        <x:f>IF(OR($D99="",AS$5="",'상세일정'!AM99="제외"),"",IF($D99=$E99,IF(AND($D99&gt;=AS$5,$D99&lt;AS$5+7),"◆",""),IF(AND($D99&lt;AS$5+7,$E99&gt;AS$5),"■","")))</x:f>
      </x:c>
      <x:c r="AT99" s="7" t="str">
        <x:f>IF(OR($D99="",AT$5="",'상세일정'!AM99="제외"),"",IF($D99=$E99,IF(AND($D99&gt;=AT$5,$D99&lt;AT$5+7),"◆",""),IF(AND($D99&lt;AT$5+7,$E99&gt;AT$5),"■","")))</x:f>
      </x:c>
      <x:c r="AU99" s="7" t="str">
        <x:f>IF(OR($D99="",AU$5="",'상세일정'!AM99="제외"),"",IF($D99=$E99,IF(AND($D99&gt;=AU$5,$D99&lt;AU$5+7),"◆",""),IF(AND($D99&lt;AU$5+7,$E99&gt;AU$5),"■","")))</x:f>
      </x:c>
      <x:c r="AV99" s="7" t="str">
        <x:f>IF(OR($D99="",AV$5="",'상세일정'!AM99="제외"),"",IF($D99=$E99,IF(AND($D99&gt;=AV$5,$D99&lt;AV$5+7),"◆",""),IF(AND($D99&lt;AV$5+7,$E99&gt;AV$5),"■","")))</x:f>
      </x:c>
      <x:c r="AW99" s="7" t="str">
        <x:f>IF(OR($D99="",AW$5="",'상세일정'!AM99="제외"),"",IF($D99=$E99,IF(AND($D99&gt;=AW$5,$D99&lt;AW$5+7),"◆",""),IF(AND($D99&lt;AW$5+7,$E99&gt;AW$5),"■","")))</x:f>
      </x:c>
      <x:c r="AX99" s="7" t="str">
        <x:f>IF(OR($D99="",AX$5="",'상세일정'!AM99="제외"),"",IF($D99=$E99,IF(AND($D99&gt;=AX$5,$D99&lt;AX$5+7),"◆",""),IF(AND($D99&lt;AX$5+7,$E99&gt;AX$5),"■","")))</x:f>
      </x:c>
      <x:c r="AY99" s="7" t="str">
        <x:f>IF(OR($D99="",AY$5="",'상세일정'!AM99="제외"),"",IF($D99=$E99,IF(AND($D99&gt;=AY$5,$D99&lt;AY$5+7),"◆",""),IF(AND($D99&lt;AY$5+7,$E99&gt;AY$5),"■","")))</x:f>
      </x:c>
      <x:c r="AZ99" s="7" t="str">
        <x:f>IF(OR($D99="",AZ$5="",'상세일정'!AM99="제외"),"",IF($D99=$E99,IF(AND($D99&gt;=AZ$5,$D99&lt;AZ$5+7),"◆",""),IF(AND($D99&lt;AZ$5+7,$E99&gt;AZ$5),"■","")))</x:f>
      </x:c>
      <x:c r="BA99" s="7" t="str">
        <x:f>IF(OR($D99="",BA$5="",'상세일정'!AM99="제외"),"",IF($D99=$E99,IF(AND($D99&gt;=BA$5,$D99&lt;BA$5+7),"◆",""),IF(AND($D99&lt;BA$5+7,$E99&gt;BA$5),"■","")))</x:f>
      </x:c>
      <x:c r="BB99" s="7" t="str">
        <x:f>IF(OR($D99="",BB$5="",'상세일정'!AM99="제외"),"",IF($D99=$E99,IF(AND($D99&gt;=BB$5,$D99&lt;BB$5+7),"◆",""),IF(AND($D99&lt;BB$5+7,$E99&gt;BB$5),"■","")))</x:f>
      </x:c>
      <x:c r="BC99" s="7" t="str">
        <x:f>IF(OR($D99="",BC$5="",'상세일정'!AM99="제외"),"",IF($D99=$E99,IF(AND($D99&gt;=BC$5,$D99&lt;BC$5+7),"◆",""),IF(AND($D99&lt;BC$5+7,$E99&gt;BC$5),"■","")))</x:f>
      </x:c>
      <x:c r="BD99" s="7" t="str">
        <x:f>IF(OR($D99="",BD$5="",'상세일정'!AM99="제외"),"",IF($D99=$E99,IF(AND($D99&gt;=BD$5,$D99&lt;BD$5+7),"◆",""),IF(AND($D99&lt;BD$5+7,$E99&gt;BD$5),"■","")))</x:f>
      </x:c>
      <x:c r="BE99" s="7" t="str">
        <x:f>IF(OR($D99="",BE$5="",'상세일정'!AM99="제외"),"",IF($D99=$E99,IF(AND($D99&gt;=BE$5,$D99&lt;BE$5+7),"◆",""),IF(AND($D99&lt;BE$5+7,$E99&gt;BE$5),"■","")))</x:f>
      </x:c>
      <x:c r="BF99" s="7" t="str">
        <x:f>IF(OR($D99="",BF$5="",'상세일정'!AM99="제외"),"",IF($D99=$E99,IF(AND($D99&gt;=BF$5,$D99&lt;BF$5+7),"◆",""),IF(AND($D99&lt;BF$5+7,$E99&gt;BF$5),"■","")))</x:f>
      </x:c>
      <x:c r="BG99" s="7" t="str">
        <x:f>IF(OR($D99="",BG$5="",'상세일정'!AM99="제외"),"",IF($D99=$E99,IF(AND($D99&gt;=BG$5,$D99&lt;BG$5+7),"◆",""),IF(AND($D99&lt;BG$5+7,$E99&gt;BG$5),"■","")))</x:f>
      </x:c>
      <x:c r="BH99" s="7" t="str">
        <x:f>IF(OR($D99="",BH$5="",'상세일정'!AM99="제외"),"",IF($D99=$E99,IF(AND($D99&gt;=BH$5,$D99&lt;BH$5+7),"◆",""),IF(AND($D99&lt;BH$5+7,$E99&gt;BH$5),"■","")))</x:f>
      </x:c>
      <x:c r="BI99" s="7" t="str">
        <x:f>IF(OR($D99="",BI$5="",'상세일정'!AM99="제외"),"",IF($D99=$E99,IF(AND($D99&gt;=BI$5,$D99&lt;BI$5+7),"◆",""),IF(AND($D99&lt;BI$5+7,$E99&gt;BI$5),"■","")))</x:f>
      </x:c>
      <x:c r="BJ99" s="7" t="str">
        <x:f>IF(OR($D99="",BJ$5="",'상세일정'!AM99="제외"),"",IF($D99=$E99,IF(AND($D99&gt;=BJ$5,$D99&lt;BJ$5+7),"◆",""),IF(AND($D99&lt;BJ$5+7,$E99&gt;BJ$5),"■","")))</x:f>
      </x:c>
      <x:c r="BK99" s="7" t="str">
        <x:f>IF(OR($D99="",BK$5="",'상세일정'!AM99="제외"),"",IF($D99=$E99,IF(AND($D99&gt;=BK$5,$D99&lt;BK$5+7),"◆",""),IF(AND($D99&lt;BK$5+7,$E99&gt;BK$5),"■","")))</x:f>
      </x:c>
      <x:c r="BL99" s="7" t="str">
        <x:f>IF(OR($D99="",BL$5="",'상세일정'!AM99="제외"),"",IF($D99=$E99,IF(AND($D99&gt;=BL$5,$D99&lt;BL$5+7),"◆",""),IF(AND($D99&lt;BL$5+7,$E99&gt;BL$5),"■","")))</x:f>
      </x:c>
      <x:c r="BM99" s="7" t="str">
        <x:f>IF(OR($D99="",BM$5="",'상세일정'!AM99="제외"),"",IF($D99=$E99,IF(AND($D99&gt;=BM$5,$D99&lt;BM$5+7),"◆",""),IF(AND($D99&lt;BM$5+7,$E99&gt;BM$5),"■","")))</x:f>
      </x:c>
      <x:c r="BN99" s="7" t="str">
        <x:f>IF(OR($D99="",BN$5="",'상세일정'!AM99="제외"),"",IF($D99=$E99,IF(AND($D99&gt;=BN$5,$D99&lt;BN$5+7),"◆",""),IF(AND($D99&lt;BN$5+7,$E99&gt;BN$5),"■","")))</x:f>
      </x:c>
      <x:c r="BO99" s="7" t="str">
        <x:f>IF(OR($D99="",BO$5="",'상세일정'!AM99="제외"),"",IF($D99=$E99,IF(AND($D99&gt;=BO$5,$D99&lt;BO$5+7),"◆",""),IF(AND($D99&lt;BO$5+7,$E99&gt;BO$5),"■","")))</x:f>
      </x:c>
      <x:c r="BP99" s="7" t="str">
        <x:f>IF(OR($D99="",BP$5="",'상세일정'!AM99="제외"),"",IF($D99=$E99,IF(AND($D99&gt;=BP$5,$D99&lt;BP$5+7),"◆",""),IF(AND($D99&lt;BP$5+7,$E99&gt;BP$5),"■","")))</x:f>
      </x:c>
      <x:c r="BQ99" s="7" t="str">
        <x:f>IF(OR($D99="",BQ$5="",'상세일정'!AM99="제외"),"",IF($D99=$E99,IF(AND($D99&gt;=BQ$5,$D99&lt;BQ$5+7),"◆",""),IF(AND($D99&lt;BQ$5+7,$E99&gt;BQ$5),"■","")))</x:f>
      </x:c>
      <x:c r="BR99" s="7" t="str">
        <x:f>IF(OR($D99="",BR$5="",'상세일정'!AM99="제외"),"",IF($D99=$E99,IF(AND($D99&gt;=BR$5,$D99&lt;BR$5+7),"◆",""),IF(AND($D99&lt;BR$5+7,$E99&gt;BR$5),"■","")))</x:f>
      </x:c>
      <x:c r="BS99" s="7" t="str">
        <x:f>IF(OR($D99="",BS$5="",'상세일정'!AM99="제외"),"",IF($D99=$E99,IF(AND($D99&gt;=BS$5,$D99&lt;BS$5+7),"◆",""),IF(AND($D99&lt;BS$5+7,$E99&gt;BS$5),"■","")))</x:f>
      </x:c>
      <x:c r="BT99" s="7" t="str">
        <x:f>IF(OR($D99="",BT$5="",'상세일정'!AM99="제외"),"",IF($D99=$E99,IF(AND($D99&gt;=BT$5,$D99&lt;BT$5+7),"◆",""),IF(AND($D99&lt;BT$5+7,$E99&gt;BT$5),"■","")))</x:f>
      </x:c>
      <x:c r="BU99" s="7" t="str">
        <x:f>IF(OR($D99="",BU$5="",'상세일정'!AM99="제외"),"",IF($D99=$E99,IF(AND($D99&gt;=BU$5,$D99&lt;BU$5+7),"◆",""),IF(AND($D99&lt;BU$5+7,$E99&gt;BU$5),"■","")))</x:f>
      </x:c>
      <x:c r="BV99" s="7" t="str">
        <x:f>IF(OR($D99="",BV$5="",'상세일정'!AM99="제외"),"",IF($D99=$E99,IF(AND($D99&gt;=BV$5,$D99&lt;BV$5+7),"◆",""),IF(AND($D99&lt;BV$5+7,$E99&gt;BV$5),"■","")))</x:f>
      </x:c>
      <x:c r="BW99" s="7" t="str">
        <x:f>IF(OR($D99="",BW$5="",'상세일정'!AM99="제외"),"",IF($D99=$E99,IF(AND($D99&gt;=BW$5,$D99&lt;BW$5+7),"◆",""),IF(AND($D99&lt;BW$5+7,$E99&gt;BW$5),"■","")))</x:f>
      </x:c>
      <x:c r="BX99" s="7" t="str">
        <x:f>IF(OR($D99="",BX$5="",'상세일정'!AM99="제외"),"",IF($D99=$E99,IF(AND($D99&gt;=BX$5,$D99&lt;BX$5+7),"◆",""),IF(AND($D99&lt;BX$5+7,$E99&gt;BX$5),"■","")))</x:f>
      </x:c>
      <x:c r="BY99" s="7" t="str">
        <x:f>IF(OR($D99="",BY$5="",'상세일정'!AM99="제외"),"",IF($D99=$E99,IF(AND($D99&gt;=BY$5,$D99&lt;BY$5+7),"◆",""),IF(AND($D99&lt;BY$5+7,$E99&gt;BY$5),"■","")))</x:f>
      </x:c>
      <x:c r="BZ99" s="7" t="str">
        <x:f>IF(OR($D99="",BZ$5="",'상세일정'!AM99="제외"),"",IF($D99=$E99,IF(AND($D99&gt;=BZ$5,$D99&lt;BZ$5+7),"◆",""),IF(AND($D99&lt;BZ$5+7,$E99&gt;BZ$5),"■","")))</x:f>
      </x:c>
      <x:c r="CA99" s="7" t="str">
        <x:f>IF(OR($D99="",CA$5="",'상세일정'!AM99="제외"),"",IF($D99=$E99,IF(AND($D99&gt;=CA$5,$D99&lt;CA$5+7),"◆",""),IF(AND($D99&lt;CA$5+7,$E99&gt;CA$5),"■","")))</x:f>
      </x:c>
      <x:c r="CB99" s="7" t="str">
        <x:f>IF(OR($D99="",CB$5="",'상세일정'!AM99="제외"),"",IF($D99=$E99,IF(AND($D99&gt;=CB$5,$D99&lt;CB$5+7),"◆",""),IF(AND($D99&lt;CB$5+7,$E99&gt;CB$5),"■","")))</x:f>
      </x:c>
      <x:c r="CC99" s="7" t="str">
        <x:f>IF(OR($D99="",CC$5="",'상세일정'!AM99="제외"),"",IF($D99=$E99,IF(AND($D99&gt;=CC$5,$D99&lt;CC$5+7),"◆",""),IF(AND($D99&lt;CC$5+7,$E99&gt;CC$5),"■","")))</x:f>
      </x:c>
      <x:c r="CD99" s="7" t="str">
        <x:f>IF(OR($D99="",CD$5="",'상세일정'!AM99="제외"),"",IF($D99=$E99,IF(AND($D99&gt;=CD$5,$D99&lt;CD$5+7),"◆",""),IF(AND($D99&lt;CD$5+7,$E99&gt;CD$5),"■","")))</x:f>
      </x:c>
      <x:c r="CE99" s="7" t="str">
        <x:f>IF(OR($D99="",CE$5="",'상세일정'!AM99="제외"),"",IF($D99=$E99,IF(AND($D99&gt;=CE$5,$D99&lt;CE$5+7),"◆",""),IF(AND($D99&lt;CE$5+7,$E99&gt;CE$5),"■","")))</x:f>
      </x:c>
      <x:c r="CF99" s="7" t="str">
        <x:f>IF(OR($D99="",CF$5="",'상세일정'!AM99="제외"),"",IF($D99=$E99,IF(AND($D99&gt;=CF$5,$D99&lt;CF$5+7),"◆",""),IF(AND($D99&lt;CF$5+7,$E99&gt;CF$5),"■","")))</x:f>
      </x:c>
      <x:c r="CG99" s="7" t="str">
        <x:f>IF(OR($D99="",CG$5="",'상세일정'!AM99="제외"),"",IF($D99=$E99,IF(AND($D99&gt;=CG$5,$D99&lt;CG$5+7),"◆",""),IF(AND($D99&lt;CG$5+7,$E99&gt;CG$5),"■","")))</x:f>
      </x:c>
      <x:c r="CH99" s="7" t="str">
        <x:f>IF(OR($D99="",CH$5="",'상세일정'!AM99="제외"),"",IF($D99=$E99,IF(AND($D99&gt;=CH$5,$D99&lt;CH$5+7),"◆",""),IF(AND($D99&lt;CH$5+7,$E99&gt;CH$5),"■","")))</x:f>
      </x:c>
      <x:c r="CI99" s="7" t="str">
        <x:f>IF(OR($D99="",CI$5="",'상세일정'!AM99="제외"),"",IF($D99=$E99,IF(AND($D99&gt;=CI$5,$D99&lt;CI$5+7),"◆",""),IF(AND($D99&lt;CI$5+7,$E99&gt;CI$5),"■","")))</x:f>
      </x:c>
      <x:c r="CJ99" s="7" t="str">
        <x:f>IF(OR($D99="",CJ$5="",'상세일정'!AM99="제외"),"",IF($D99=$E99,IF(AND($D99&gt;=CJ$5,$D99&lt;CJ$5+7),"◆",""),IF(AND($D99&lt;CJ$5+7,$E99&gt;CJ$5),"■","")))</x:f>
      </x:c>
      <x:c r="CK99" s="7" t="str">
        <x:f>IF(OR($D99="",CK$5="",'상세일정'!AM99="제외"),"",IF($D99=$E99,IF(AND($D99&gt;=CK$5,$D99&lt;CK$5+7),"◆",""),IF(AND($D99&lt;CK$5+7,$E99&gt;CK$5),"■","")))</x:f>
      </x:c>
      <x:c r="CL99" s="7" t="str">
        <x:f>IF(OR($D99="",CL$5="",'상세일정'!AM99="제외"),"",IF($D99=$E99,IF(AND($D99&gt;=CL$5,$D99&lt;CL$5+7),"◆",""),IF(AND($D99&lt;CL$5+7,$E99&gt;CL$5),"■","")))</x:f>
      </x:c>
      <x:c r="CM99" s="7" t="str">
        <x:f>IF(OR($D99="",CM$5="",'상세일정'!AM99="제외"),"",IF($D99=$E99,IF(AND($D99&gt;=CM$5,$D99&lt;CM$5+7),"◆",""),IF(AND($D99&lt;CM$5+7,$E99&gt;CM$5),"■","")))</x:f>
      </x:c>
      <x:c r="CN99" s="7" t="str">
        <x:f>IF(OR($D99="",CN$5="",'상세일정'!AM99="제외"),"",IF($D99=$E99,IF(AND($D99&gt;=CN$5,$D99&lt;CN$5+7),"◆",""),IF(AND($D99&lt;CN$5+7,$E99&gt;CN$5),"■","")))</x:f>
      </x:c>
      <x:c r="CO99" s="7" t="str">
        <x:f>IF(OR($D99="",CO$5="",'상세일정'!AM99="제외"),"",IF($D99=$E99,IF(AND($D99&gt;=CO$5,$D99&lt;CO$5+7),"◆",""),IF(AND($D99&lt;CO$5+7,$E99&gt;CO$5),"■","")))</x:f>
      </x:c>
      <x:c r="CP99" s="7" t="str">
        <x:f>IF(OR($D99="",CP$5="",'상세일정'!AM99="제외"),"",IF($D99=$E99,IF(AND($D99&gt;=CP$5,$D99&lt;CP$5+7),"◆",""),IF(AND($D99&lt;CP$5+7,$E99&gt;CP$5),"■","")))</x:f>
      </x:c>
      <x:c r="CQ99" s="7" t="str">
        <x:f>IF(OR($D99="",CQ$5="",'상세일정'!AM99="제외"),"",IF($D99=$E99,IF(AND($D99&gt;=CQ$5,$D99&lt;CQ$5+7),"◆",""),IF(AND($D99&lt;CQ$5+7,$E99&gt;CQ$5),"■","")))</x:f>
      </x:c>
      <x:c r="CR99" s="7" t="str">
        <x:f>IF(OR($D99="",CR$5="",'상세일정'!AM99="제외"),"",IF($D99=$E99,IF(AND($D99&gt;=CR$5,$D99&lt;CR$5+7),"◆",""),IF(AND($D99&lt;CR$5+7,$E99&gt;CR$5),"■","")))</x:f>
      </x:c>
      <x:c r="CS99" s="7" t="str">
        <x:f>IF(OR($D99="",CS$5="",'상세일정'!AM99="제외"),"",IF($D99=$E99,IF(AND($D99&gt;=CS$5,$D99&lt;CS$5+7),"◆",""),IF(AND($D99&lt;CS$5+7,$E99&gt;CS$5),"■","")))</x:f>
      </x:c>
      <x:c r="CT99" s="7" t="str">
        <x:f>IF(OR($D99="",CT$5="",'상세일정'!AM99="제외"),"",IF($D99=$E99,IF(AND($D99&gt;=CT$5,$D99&lt;CT$5+7),"◆",""),IF(AND($D99&lt;CT$5+7,$E99&gt;CT$5),"■","")))</x:f>
      </x:c>
      <x:c r="CU99" s="7" t="str">
        <x:f>IF(OR($D99="",CU$5="",'상세일정'!AM99="제외"),"",IF($D99=$E99,IF(AND($D99&gt;=CU$5,$D99&lt;CU$5+7),"◆",""),IF(AND($D99&lt;CU$5+7,$E99&gt;CU$5),"■","")))</x:f>
      </x:c>
      <x:c r="CV99" s="7" t="str">
        <x:f>IF(OR($D99="",CV$5="",'상세일정'!AM99="제외"),"",IF($D99=$E99,IF(AND($D99&gt;=CV$5,$D99&lt;CV$5+7),"◆",""),IF(AND($D99&lt;CV$5+7,$E99&gt;CV$5),"■","")))</x:f>
      </x:c>
      <x:c r="CW99" s="7" t="str">
        <x:f>IF(OR($D99="",CW$5="",'상세일정'!AM99="제외"),"",IF($D99=$E99,IF(AND($D99&gt;=CW$5,$D99&lt;CW$5+7),"◆",""),IF(AND($D99&lt;CW$5+7,$E99&gt;CW$5),"■","")))</x:f>
      </x:c>
      <x:c r="CX99" s="7" t="str">
        <x:f>IF(OR($D99="",CX$5="",'상세일정'!AM99="제외"),"",IF($D99=$E99,IF(AND($D99&gt;=CX$5,$D99&lt;CX$5+7),"◆",""),IF(AND($D99&lt;CX$5+7,$E99&gt;CX$5),"■","")))</x:f>
      </x:c>
      <x:c r="CY99" s="7" t="str">
        <x:f>IF(OR($D99="",CY$5="",'상세일정'!AM99="제외"),"",IF($D99=$E99,IF(AND($D99&gt;=CY$5,$D99&lt;CY$5+7),"◆",""),IF(AND($D99&lt;CY$5+7,$E99&gt;CY$5),"■","")))</x:f>
      </x:c>
      <x:c r="CZ99" s="7" t="str">
        <x:f>IF(OR($D99="",CZ$5="",'상세일정'!AM99="제외"),"",IF($D99=$E99,IF(AND($D99&gt;=CZ$5,$D99&lt;CZ$5+7),"◆",""),IF(AND($D99&lt;CZ$5+7,$E99&gt;CZ$5),"■","")))</x:f>
      </x:c>
      <x:c r="DA99" s="7" t="str">
        <x:f>IF(OR($D99="",DA$5="",'상세일정'!AM99="제외"),"",IF($D99=$E99,IF(AND($D99&gt;=DA$5,$D99&lt;DA$5+7),"◆",""),IF(AND($D99&lt;DA$5+7,$E99&gt;DA$5),"■","")))</x:f>
      </x:c>
      <x:c r="DB99" s="7" t="str">
        <x:f>IF(OR($D99="",DB$5="",'상세일정'!AM99="제외"),"",IF($D99=$E99,IF(AND($D99&gt;=DB$5,$D99&lt;DB$5+7),"◆",""),IF(AND($D99&lt;DB$5+7,$E99&gt;DB$5),"■","")))</x:f>
      </x:c>
      <x:c r="DC99" s="7" t="str">
        <x:f>IF(OR($D99="",DC$5="",'상세일정'!AM99="제외"),"",IF($D99=$E99,IF(AND($D99&gt;=DC$5,$D99&lt;DC$5+7),"◆",""),IF(AND($D99&lt;DC$5+7,$E99&gt;DC$5),"■","")))</x:f>
      </x:c>
      <x:c r="DD99" s="7" t="str">
        <x:f>IF(OR($D99="",DD$5="",'상세일정'!AM99="제외"),"",IF($D99=$E99,IF(AND($D99&gt;=DD$5,$D99&lt;DD$5+7),"◆",""),IF(AND($D99&lt;DD$5+7,$E99&gt;DD$5),"■","")))</x:f>
      </x:c>
      <x:c r="DE99" s="7" t="str">
        <x:f>IF(OR($D99="",DE$5="",'상세일정'!AM99="제외"),"",IF($D99=$E99,IF(AND($D99&gt;=DE$5,$D99&lt;DE$5+7),"◆",""),IF(AND($D99&lt;DE$5+7,$E99&gt;DE$5),"■","")))</x:f>
      </x:c>
    </x:row>
    <x:row r="100" ht="34" customHeight="1">
      <x:c r="A100" s="7" t="str">
        <x:v>SA03</x:v>
      </x:c>
      <x:c r="B100" s="7" t="str">
        <x:v>15 착공 전 준비</x:v>
      </x:c>
      <x:c r="C100" s="7" t="str">
        <x:v>안전관리계획 보완·검토결과 확보</x:v>
      </x:c>
      <x:c r="D100" s="10" t="str">
        <x:f>'상세일정'!AJ100</x:f>
      </x:c>
      <x:c r="E100" s="10" t="str">
        <x:f>'상세일정'!AK100</x:f>
      </x:c>
      <x:c r="F100" s="7" t="str">
        <x:f>IF(OR($D100="",F$5="",'상세일정'!AM100="제외"),"",IF($D100=$E100,IF(AND($D100&gt;=F$5,$D100&lt;F$5+7),"◆",""),IF(AND($D100&lt;F$5+7,$E100&gt;F$5),"■","")))</x:f>
      </x:c>
      <x:c r="G100" s="7" t="str">
        <x:f>IF(OR($D100="",G$5="",'상세일정'!AM100="제외"),"",IF($D100=$E100,IF(AND($D100&gt;=G$5,$D100&lt;G$5+7),"◆",""),IF(AND($D100&lt;G$5+7,$E100&gt;G$5),"■","")))</x:f>
      </x:c>
      <x:c r="H100" s="7" t="str">
        <x:f>IF(OR($D100="",H$5="",'상세일정'!AM100="제외"),"",IF($D100=$E100,IF(AND($D100&gt;=H$5,$D100&lt;H$5+7),"◆",""),IF(AND($D100&lt;H$5+7,$E100&gt;H$5),"■","")))</x:f>
      </x:c>
      <x:c r="I100" s="7" t="str">
        <x:f>IF(OR($D100="",I$5="",'상세일정'!AM100="제외"),"",IF($D100=$E100,IF(AND($D100&gt;=I$5,$D100&lt;I$5+7),"◆",""),IF(AND($D100&lt;I$5+7,$E100&gt;I$5),"■","")))</x:f>
      </x:c>
      <x:c r="J100" s="7" t="str">
        <x:f>IF(OR($D100="",J$5="",'상세일정'!AM100="제외"),"",IF($D100=$E100,IF(AND($D100&gt;=J$5,$D100&lt;J$5+7),"◆",""),IF(AND($D100&lt;J$5+7,$E100&gt;J$5),"■","")))</x:f>
      </x:c>
      <x:c r="K100" s="7" t="str">
        <x:f>IF(OR($D100="",K$5="",'상세일정'!AM100="제외"),"",IF($D100=$E100,IF(AND($D100&gt;=K$5,$D100&lt;K$5+7),"◆",""),IF(AND($D100&lt;K$5+7,$E100&gt;K$5),"■","")))</x:f>
      </x:c>
      <x:c r="L100" s="7" t="str">
        <x:f>IF(OR($D100="",L$5="",'상세일정'!AM100="제외"),"",IF($D100=$E100,IF(AND($D100&gt;=L$5,$D100&lt;L$5+7),"◆",""),IF(AND($D100&lt;L$5+7,$E100&gt;L$5),"■","")))</x:f>
      </x:c>
      <x:c r="M100" s="7" t="str">
        <x:f>IF(OR($D100="",M$5="",'상세일정'!AM100="제외"),"",IF($D100=$E100,IF(AND($D100&gt;=M$5,$D100&lt;M$5+7),"◆",""),IF(AND($D100&lt;M$5+7,$E100&gt;M$5),"■","")))</x:f>
      </x:c>
      <x:c r="N100" s="7" t="str">
        <x:f>IF(OR($D100="",N$5="",'상세일정'!AM100="제외"),"",IF($D100=$E100,IF(AND($D100&gt;=N$5,$D100&lt;N$5+7),"◆",""),IF(AND($D100&lt;N$5+7,$E100&gt;N$5),"■","")))</x:f>
      </x:c>
      <x:c r="O100" s="7" t="str">
        <x:f>IF(OR($D100="",O$5="",'상세일정'!AM100="제외"),"",IF($D100=$E100,IF(AND($D100&gt;=O$5,$D100&lt;O$5+7),"◆",""),IF(AND($D100&lt;O$5+7,$E100&gt;O$5),"■","")))</x:f>
      </x:c>
      <x:c r="P100" s="7" t="str">
        <x:f>IF(OR($D100="",P$5="",'상세일정'!AM100="제외"),"",IF($D100=$E100,IF(AND($D100&gt;=P$5,$D100&lt;P$5+7),"◆",""),IF(AND($D100&lt;P$5+7,$E100&gt;P$5),"■","")))</x:f>
      </x:c>
      <x:c r="Q100" s="7" t="str">
        <x:f>IF(OR($D100="",Q$5="",'상세일정'!AM100="제외"),"",IF($D100=$E100,IF(AND($D100&gt;=Q$5,$D100&lt;Q$5+7),"◆",""),IF(AND($D100&lt;Q$5+7,$E100&gt;Q$5),"■","")))</x:f>
      </x:c>
      <x:c r="R100" s="7" t="str">
        <x:f>IF(OR($D100="",R$5="",'상세일정'!AM100="제외"),"",IF($D100=$E100,IF(AND($D100&gt;=R$5,$D100&lt;R$5+7),"◆",""),IF(AND($D100&lt;R$5+7,$E100&gt;R$5),"■","")))</x:f>
      </x:c>
      <x:c r="S100" s="7" t="str">
        <x:f>IF(OR($D100="",S$5="",'상세일정'!AM100="제외"),"",IF($D100=$E100,IF(AND($D100&gt;=S$5,$D100&lt;S$5+7),"◆",""),IF(AND($D100&lt;S$5+7,$E100&gt;S$5),"■","")))</x:f>
      </x:c>
      <x:c r="T100" s="7" t="str">
        <x:f>IF(OR($D100="",T$5="",'상세일정'!AM100="제외"),"",IF($D100=$E100,IF(AND($D100&gt;=T$5,$D100&lt;T$5+7),"◆",""),IF(AND($D100&lt;T$5+7,$E100&gt;T$5),"■","")))</x:f>
      </x:c>
      <x:c r="U100" s="7" t="str">
        <x:f>IF(OR($D100="",U$5="",'상세일정'!AM100="제외"),"",IF($D100=$E100,IF(AND($D100&gt;=U$5,$D100&lt;U$5+7),"◆",""),IF(AND($D100&lt;U$5+7,$E100&gt;U$5),"■","")))</x:f>
      </x:c>
      <x:c r="V100" s="7" t="str">
        <x:f>IF(OR($D100="",V$5="",'상세일정'!AM100="제외"),"",IF($D100=$E100,IF(AND($D100&gt;=V$5,$D100&lt;V$5+7),"◆",""),IF(AND($D100&lt;V$5+7,$E100&gt;V$5),"■","")))</x:f>
      </x:c>
      <x:c r="W100" s="7" t="str">
        <x:f>IF(OR($D100="",W$5="",'상세일정'!AM100="제외"),"",IF($D100=$E100,IF(AND($D100&gt;=W$5,$D100&lt;W$5+7),"◆",""),IF(AND($D100&lt;W$5+7,$E100&gt;W$5),"■","")))</x:f>
      </x:c>
      <x:c r="X100" s="7" t="str">
        <x:f>IF(OR($D100="",X$5="",'상세일정'!AM100="제외"),"",IF($D100=$E100,IF(AND($D100&gt;=X$5,$D100&lt;X$5+7),"◆",""),IF(AND($D100&lt;X$5+7,$E100&gt;X$5),"■","")))</x:f>
      </x:c>
      <x:c r="Y100" s="7" t="str">
        <x:f>IF(OR($D100="",Y$5="",'상세일정'!AM100="제외"),"",IF($D100=$E100,IF(AND($D100&gt;=Y$5,$D100&lt;Y$5+7),"◆",""),IF(AND($D100&lt;Y$5+7,$E100&gt;Y$5),"■","")))</x:f>
      </x:c>
      <x:c r="Z100" s="7" t="str">
        <x:f>IF(OR($D100="",Z$5="",'상세일정'!AM100="제외"),"",IF($D100=$E100,IF(AND($D100&gt;=Z$5,$D100&lt;Z$5+7),"◆",""),IF(AND($D100&lt;Z$5+7,$E100&gt;Z$5),"■","")))</x:f>
      </x:c>
      <x:c r="AA100" s="7" t="str">
        <x:f>IF(OR($D100="",AA$5="",'상세일정'!AM100="제외"),"",IF($D100=$E100,IF(AND($D100&gt;=AA$5,$D100&lt;AA$5+7),"◆",""),IF(AND($D100&lt;AA$5+7,$E100&gt;AA$5),"■","")))</x:f>
      </x:c>
      <x:c r="AB100" s="7" t="str">
        <x:f>IF(OR($D100="",AB$5="",'상세일정'!AM100="제외"),"",IF($D100=$E100,IF(AND($D100&gt;=AB$5,$D100&lt;AB$5+7),"◆",""),IF(AND($D100&lt;AB$5+7,$E100&gt;AB$5),"■","")))</x:f>
      </x:c>
      <x:c r="AC100" s="7" t="str">
        <x:f>IF(OR($D100="",AC$5="",'상세일정'!AM100="제외"),"",IF($D100=$E100,IF(AND($D100&gt;=AC$5,$D100&lt;AC$5+7),"◆",""),IF(AND($D100&lt;AC$5+7,$E100&gt;AC$5),"■","")))</x:f>
      </x:c>
      <x:c r="AD100" s="7" t="str">
        <x:f>IF(OR($D100="",AD$5="",'상세일정'!AM100="제외"),"",IF($D100=$E100,IF(AND($D100&gt;=AD$5,$D100&lt;AD$5+7),"◆",""),IF(AND($D100&lt;AD$5+7,$E100&gt;AD$5),"■","")))</x:f>
      </x:c>
      <x:c r="AE100" s="7" t="str">
        <x:f>IF(OR($D100="",AE$5="",'상세일정'!AM100="제외"),"",IF($D100=$E100,IF(AND($D100&gt;=AE$5,$D100&lt;AE$5+7),"◆",""),IF(AND($D100&lt;AE$5+7,$E100&gt;AE$5),"■","")))</x:f>
      </x:c>
      <x:c r="AF100" s="7" t="str">
        <x:f>IF(OR($D100="",AF$5="",'상세일정'!AM100="제외"),"",IF($D100=$E100,IF(AND($D100&gt;=AF$5,$D100&lt;AF$5+7),"◆",""),IF(AND($D100&lt;AF$5+7,$E100&gt;AF$5),"■","")))</x:f>
      </x:c>
      <x:c r="AG100" s="7" t="str">
        <x:f>IF(OR($D100="",AG$5="",'상세일정'!AM100="제외"),"",IF($D100=$E100,IF(AND($D100&gt;=AG$5,$D100&lt;AG$5+7),"◆",""),IF(AND($D100&lt;AG$5+7,$E100&gt;AG$5),"■","")))</x:f>
      </x:c>
      <x:c r="AH100" s="7" t="str">
        <x:f>IF(OR($D100="",AH$5="",'상세일정'!AM100="제외"),"",IF($D100=$E100,IF(AND($D100&gt;=AH$5,$D100&lt;AH$5+7),"◆",""),IF(AND($D100&lt;AH$5+7,$E100&gt;AH$5),"■","")))</x:f>
      </x:c>
      <x:c r="AI100" s="7" t="str">
        <x:f>IF(OR($D100="",AI$5="",'상세일정'!AM100="제외"),"",IF($D100=$E100,IF(AND($D100&gt;=AI$5,$D100&lt;AI$5+7),"◆",""),IF(AND($D100&lt;AI$5+7,$E100&gt;AI$5),"■","")))</x:f>
      </x:c>
      <x:c r="AJ100" s="7" t="str">
        <x:f>IF(OR($D100="",AJ$5="",'상세일정'!AM100="제외"),"",IF($D100=$E100,IF(AND($D100&gt;=AJ$5,$D100&lt;AJ$5+7),"◆",""),IF(AND($D100&lt;AJ$5+7,$E100&gt;AJ$5),"■","")))</x:f>
      </x:c>
      <x:c r="AK100" s="7" t="str">
        <x:f>IF(OR($D100="",AK$5="",'상세일정'!AM100="제외"),"",IF($D100=$E100,IF(AND($D100&gt;=AK$5,$D100&lt;AK$5+7),"◆",""),IF(AND($D100&lt;AK$5+7,$E100&gt;AK$5),"■","")))</x:f>
      </x:c>
      <x:c r="AL100" s="7" t="str">
        <x:f>IF(OR($D100="",AL$5="",'상세일정'!AM100="제외"),"",IF($D100=$E100,IF(AND($D100&gt;=AL$5,$D100&lt;AL$5+7),"◆",""),IF(AND($D100&lt;AL$5+7,$E100&gt;AL$5),"■","")))</x:f>
      </x:c>
      <x:c r="AM100" s="7" t="str">
        <x:f>IF(OR($D100="",AM$5="",'상세일정'!AM100="제외"),"",IF($D100=$E100,IF(AND($D100&gt;=AM$5,$D100&lt;AM$5+7),"◆",""),IF(AND($D100&lt;AM$5+7,$E100&gt;AM$5),"■","")))</x:f>
      </x:c>
      <x:c r="AN100" s="7" t="str">
        <x:f>IF(OR($D100="",AN$5="",'상세일정'!AM100="제외"),"",IF($D100=$E100,IF(AND($D100&gt;=AN$5,$D100&lt;AN$5+7),"◆",""),IF(AND($D100&lt;AN$5+7,$E100&gt;AN$5),"■","")))</x:f>
      </x:c>
      <x:c r="AO100" s="7" t="str">
        <x:f>IF(OR($D100="",AO$5="",'상세일정'!AM100="제외"),"",IF($D100=$E100,IF(AND($D100&gt;=AO$5,$D100&lt;AO$5+7),"◆",""),IF(AND($D100&lt;AO$5+7,$E100&gt;AO$5),"■","")))</x:f>
      </x:c>
      <x:c r="AP100" s="7" t="str">
        <x:f>IF(OR($D100="",AP$5="",'상세일정'!AM100="제외"),"",IF($D100=$E100,IF(AND($D100&gt;=AP$5,$D100&lt;AP$5+7),"◆",""),IF(AND($D100&lt;AP$5+7,$E100&gt;AP$5),"■","")))</x:f>
      </x:c>
      <x:c r="AQ100" s="7" t="str">
        <x:f>IF(OR($D100="",AQ$5="",'상세일정'!AM100="제외"),"",IF($D100=$E100,IF(AND($D100&gt;=AQ$5,$D100&lt;AQ$5+7),"◆",""),IF(AND($D100&lt;AQ$5+7,$E100&gt;AQ$5),"■","")))</x:f>
      </x:c>
      <x:c r="AR100" s="7" t="str">
        <x:f>IF(OR($D100="",AR$5="",'상세일정'!AM100="제외"),"",IF($D100=$E100,IF(AND($D100&gt;=AR$5,$D100&lt;AR$5+7),"◆",""),IF(AND($D100&lt;AR$5+7,$E100&gt;AR$5),"■","")))</x:f>
      </x:c>
      <x:c r="AS100" s="7" t="str">
        <x:f>IF(OR($D100="",AS$5="",'상세일정'!AM100="제외"),"",IF($D100=$E100,IF(AND($D100&gt;=AS$5,$D100&lt;AS$5+7),"◆",""),IF(AND($D100&lt;AS$5+7,$E100&gt;AS$5),"■","")))</x:f>
      </x:c>
      <x:c r="AT100" s="7" t="str">
        <x:f>IF(OR($D100="",AT$5="",'상세일정'!AM100="제외"),"",IF($D100=$E100,IF(AND($D100&gt;=AT$5,$D100&lt;AT$5+7),"◆",""),IF(AND($D100&lt;AT$5+7,$E100&gt;AT$5),"■","")))</x:f>
      </x:c>
      <x:c r="AU100" s="7" t="str">
        <x:f>IF(OR($D100="",AU$5="",'상세일정'!AM100="제외"),"",IF($D100=$E100,IF(AND($D100&gt;=AU$5,$D100&lt;AU$5+7),"◆",""),IF(AND($D100&lt;AU$5+7,$E100&gt;AU$5),"■","")))</x:f>
      </x:c>
      <x:c r="AV100" s="7" t="str">
        <x:f>IF(OR($D100="",AV$5="",'상세일정'!AM100="제외"),"",IF($D100=$E100,IF(AND($D100&gt;=AV$5,$D100&lt;AV$5+7),"◆",""),IF(AND($D100&lt;AV$5+7,$E100&gt;AV$5),"■","")))</x:f>
      </x:c>
      <x:c r="AW100" s="7" t="str">
        <x:f>IF(OR($D100="",AW$5="",'상세일정'!AM100="제외"),"",IF($D100=$E100,IF(AND($D100&gt;=AW$5,$D100&lt;AW$5+7),"◆",""),IF(AND($D100&lt;AW$5+7,$E100&gt;AW$5),"■","")))</x:f>
      </x:c>
      <x:c r="AX100" s="7" t="str">
        <x:f>IF(OR($D100="",AX$5="",'상세일정'!AM100="제외"),"",IF($D100=$E100,IF(AND($D100&gt;=AX$5,$D100&lt;AX$5+7),"◆",""),IF(AND($D100&lt;AX$5+7,$E100&gt;AX$5),"■","")))</x:f>
      </x:c>
      <x:c r="AY100" s="7" t="str">
        <x:f>IF(OR($D100="",AY$5="",'상세일정'!AM100="제외"),"",IF($D100=$E100,IF(AND($D100&gt;=AY$5,$D100&lt;AY$5+7),"◆",""),IF(AND($D100&lt;AY$5+7,$E100&gt;AY$5),"■","")))</x:f>
      </x:c>
      <x:c r="AZ100" s="7" t="str">
        <x:f>IF(OR($D100="",AZ$5="",'상세일정'!AM100="제외"),"",IF($D100=$E100,IF(AND($D100&gt;=AZ$5,$D100&lt;AZ$5+7),"◆",""),IF(AND($D100&lt;AZ$5+7,$E100&gt;AZ$5),"■","")))</x:f>
      </x:c>
      <x:c r="BA100" s="7" t="str">
        <x:f>IF(OR($D100="",BA$5="",'상세일정'!AM100="제외"),"",IF($D100=$E100,IF(AND($D100&gt;=BA$5,$D100&lt;BA$5+7),"◆",""),IF(AND($D100&lt;BA$5+7,$E100&gt;BA$5),"■","")))</x:f>
      </x:c>
      <x:c r="BB100" s="7" t="str">
        <x:f>IF(OR($D100="",BB$5="",'상세일정'!AM100="제외"),"",IF($D100=$E100,IF(AND($D100&gt;=BB$5,$D100&lt;BB$5+7),"◆",""),IF(AND($D100&lt;BB$5+7,$E100&gt;BB$5),"■","")))</x:f>
      </x:c>
      <x:c r="BC100" s="7" t="str">
        <x:f>IF(OR($D100="",BC$5="",'상세일정'!AM100="제외"),"",IF($D100=$E100,IF(AND($D100&gt;=BC$5,$D100&lt;BC$5+7),"◆",""),IF(AND($D100&lt;BC$5+7,$E100&gt;BC$5),"■","")))</x:f>
      </x:c>
      <x:c r="BD100" s="7" t="str">
        <x:f>IF(OR($D100="",BD$5="",'상세일정'!AM100="제외"),"",IF($D100=$E100,IF(AND($D100&gt;=BD$5,$D100&lt;BD$5+7),"◆",""),IF(AND($D100&lt;BD$5+7,$E100&gt;BD$5),"■","")))</x:f>
      </x:c>
      <x:c r="BE100" s="7" t="str">
        <x:f>IF(OR($D100="",BE$5="",'상세일정'!AM100="제외"),"",IF($D100=$E100,IF(AND($D100&gt;=BE$5,$D100&lt;BE$5+7),"◆",""),IF(AND($D100&lt;BE$5+7,$E100&gt;BE$5),"■","")))</x:f>
      </x:c>
      <x:c r="BF100" s="7" t="str">
        <x:f>IF(OR($D100="",BF$5="",'상세일정'!AM100="제외"),"",IF($D100=$E100,IF(AND($D100&gt;=BF$5,$D100&lt;BF$5+7),"◆",""),IF(AND($D100&lt;BF$5+7,$E100&gt;BF$5),"■","")))</x:f>
      </x:c>
      <x:c r="BG100" s="7" t="str">
        <x:f>IF(OR($D100="",BG$5="",'상세일정'!AM100="제외"),"",IF($D100=$E100,IF(AND($D100&gt;=BG$5,$D100&lt;BG$5+7),"◆",""),IF(AND($D100&lt;BG$5+7,$E100&gt;BG$5),"■","")))</x:f>
      </x:c>
      <x:c r="BH100" s="7" t="str">
        <x:f>IF(OR($D100="",BH$5="",'상세일정'!AM100="제외"),"",IF($D100=$E100,IF(AND($D100&gt;=BH$5,$D100&lt;BH$5+7),"◆",""),IF(AND($D100&lt;BH$5+7,$E100&gt;BH$5),"■","")))</x:f>
      </x:c>
      <x:c r="BI100" s="7" t="str">
        <x:f>IF(OR($D100="",BI$5="",'상세일정'!AM100="제외"),"",IF($D100=$E100,IF(AND($D100&gt;=BI$5,$D100&lt;BI$5+7),"◆",""),IF(AND($D100&lt;BI$5+7,$E100&gt;BI$5),"■","")))</x:f>
      </x:c>
      <x:c r="BJ100" s="7" t="str">
        <x:f>IF(OR($D100="",BJ$5="",'상세일정'!AM100="제외"),"",IF($D100=$E100,IF(AND($D100&gt;=BJ$5,$D100&lt;BJ$5+7),"◆",""),IF(AND($D100&lt;BJ$5+7,$E100&gt;BJ$5),"■","")))</x:f>
      </x:c>
      <x:c r="BK100" s="7" t="str">
        <x:f>IF(OR($D100="",BK$5="",'상세일정'!AM100="제외"),"",IF($D100=$E100,IF(AND($D100&gt;=BK$5,$D100&lt;BK$5+7),"◆",""),IF(AND($D100&lt;BK$5+7,$E100&gt;BK$5),"■","")))</x:f>
      </x:c>
      <x:c r="BL100" s="7" t="str">
        <x:f>IF(OR($D100="",BL$5="",'상세일정'!AM100="제외"),"",IF($D100=$E100,IF(AND($D100&gt;=BL$5,$D100&lt;BL$5+7),"◆",""),IF(AND($D100&lt;BL$5+7,$E100&gt;BL$5),"■","")))</x:f>
      </x:c>
      <x:c r="BM100" s="7" t="str">
        <x:f>IF(OR($D100="",BM$5="",'상세일정'!AM100="제외"),"",IF($D100=$E100,IF(AND($D100&gt;=BM$5,$D100&lt;BM$5+7),"◆",""),IF(AND($D100&lt;BM$5+7,$E100&gt;BM$5),"■","")))</x:f>
      </x:c>
      <x:c r="BN100" s="7" t="str">
        <x:f>IF(OR($D100="",BN$5="",'상세일정'!AM100="제외"),"",IF($D100=$E100,IF(AND($D100&gt;=BN$5,$D100&lt;BN$5+7),"◆",""),IF(AND($D100&lt;BN$5+7,$E100&gt;BN$5),"■","")))</x:f>
      </x:c>
      <x:c r="BO100" s="7" t="str">
        <x:f>IF(OR($D100="",BO$5="",'상세일정'!AM100="제외"),"",IF($D100=$E100,IF(AND($D100&gt;=BO$5,$D100&lt;BO$5+7),"◆",""),IF(AND($D100&lt;BO$5+7,$E100&gt;BO$5),"■","")))</x:f>
      </x:c>
      <x:c r="BP100" s="7" t="str">
        <x:f>IF(OR($D100="",BP$5="",'상세일정'!AM100="제외"),"",IF($D100=$E100,IF(AND($D100&gt;=BP$5,$D100&lt;BP$5+7),"◆",""),IF(AND($D100&lt;BP$5+7,$E100&gt;BP$5),"■","")))</x:f>
      </x:c>
      <x:c r="BQ100" s="7" t="str">
        <x:f>IF(OR($D100="",BQ$5="",'상세일정'!AM100="제외"),"",IF($D100=$E100,IF(AND($D100&gt;=BQ$5,$D100&lt;BQ$5+7),"◆",""),IF(AND($D100&lt;BQ$5+7,$E100&gt;BQ$5),"■","")))</x:f>
      </x:c>
      <x:c r="BR100" s="7" t="str">
        <x:f>IF(OR($D100="",BR$5="",'상세일정'!AM100="제외"),"",IF($D100=$E100,IF(AND($D100&gt;=BR$5,$D100&lt;BR$5+7),"◆",""),IF(AND($D100&lt;BR$5+7,$E100&gt;BR$5),"■","")))</x:f>
      </x:c>
      <x:c r="BS100" s="7" t="str">
        <x:f>IF(OR($D100="",BS$5="",'상세일정'!AM100="제외"),"",IF($D100=$E100,IF(AND($D100&gt;=BS$5,$D100&lt;BS$5+7),"◆",""),IF(AND($D100&lt;BS$5+7,$E100&gt;BS$5),"■","")))</x:f>
      </x:c>
      <x:c r="BT100" s="7" t="str">
        <x:f>IF(OR($D100="",BT$5="",'상세일정'!AM100="제외"),"",IF($D100=$E100,IF(AND($D100&gt;=BT$5,$D100&lt;BT$5+7),"◆",""),IF(AND($D100&lt;BT$5+7,$E100&gt;BT$5),"■","")))</x:f>
      </x:c>
      <x:c r="BU100" s="7" t="str">
        <x:f>IF(OR($D100="",BU$5="",'상세일정'!AM100="제외"),"",IF($D100=$E100,IF(AND($D100&gt;=BU$5,$D100&lt;BU$5+7),"◆",""),IF(AND($D100&lt;BU$5+7,$E100&gt;BU$5),"■","")))</x:f>
      </x:c>
      <x:c r="BV100" s="7" t="str">
        <x:f>IF(OR($D100="",BV$5="",'상세일정'!AM100="제외"),"",IF($D100=$E100,IF(AND($D100&gt;=BV$5,$D100&lt;BV$5+7),"◆",""),IF(AND($D100&lt;BV$5+7,$E100&gt;BV$5),"■","")))</x:f>
      </x:c>
      <x:c r="BW100" s="7" t="str">
        <x:f>IF(OR($D100="",BW$5="",'상세일정'!AM100="제외"),"",IF($D100=$E100,IF(AND($D100&gt;=BW$5,$D100&lt;BW$5+7),"◆",""),IF(AND($D100&lt;BW$5+7,$E100&gt;BW$5),"■","")))</x:f>
      </x:c>
      <x:c r="BX100" s="7" t="str">
        <x:f>IF(OR($D100="",BX$5="",'상세일정'!AM100="제외"),"",IF($D100=$E100,IF(AND($D100&gt;=BX$5,$D100&lt;BX$5+7),"◆",""),IF(AND($D100&lt;BX$5+7,$E100&gt;BX$5),"■","")))</x:f>
      </x:c>
      <x:c r="BY100" s="7" t="str">
        <x:f>IF(OR($D100="",BY$5="",'상세일정'!AM100="제외"),"",IF($D100=$E100,IF(AND($D100&gt;=BY$5,$D100&lt;BY$5+7),"◆",""),IF(AND($D100&lt;BY$5+7,$E100&gt;BY$5),"■","")))</x:f>
      </x:c>
      <x:c r="BZ100" s="7" t="str">
        <x:f>IF(OR($D100="",BZ$5="",'상세일정'!AM100="제외"),"",IF($D100=$E100,IF(AND($D100&gt;=BZ$5,$D100&lt;BZ$5+7),"◆",""),IF(AND($D100&lt;BZ$5+7,$E100&gt;BZ$5),"■","")))</x:f>
      </x:c>
      <x:c r="CA100" s="7" t="str">
        <x:f>IF(OR($D100="",CA$5="",'상세일정'!AM100="제외"),"",IF($D100=$E100,IF(AND($D100&gt;=CA$5,$D100&lt;CA$5+7),"◆",""),IF(AND($D100&lt;CA$5+7,$E100&gt;CA$5),"■","")))</x:f>
      </x:c>
      <x:c r="CB100" s="7" t="str">
        <x:f>IF(OR($D100="",CB$5="",'상세일정'!AM100="제외"),"",IF($D100=$E100,IF(AND($D100&gt;=CB$5,$D100&lt;CB$5+7),"◆",""),IF(AND($D100&lt;CB$5+7,$E100&gt;CB$5),"■","")))</x:f>
      </x:c>
      <x:c r="CC100" s="7" t="str">
        <x:f>IF(OR($D100="",CC$5="",'상세일정'!AM100="제외"),"",IF($D100=$E100,IF(AND($D100&gt;=CC$5,$D100&lt;CC$5+7),"◆",""),IF(AND($D100&lt;CC$5+7,$E100&gt;CC$5),"■","")))</x:f>
      </x:c>
      <x:c r="CD100" s="7" t="str">
        <x:f>IF(OR($D100="",CD$5="",'상세일정'!AM100="제외"),"",IF($D100=$E100,IF(AND($D100&gt;=CD$5,$D100&lt;CD$5+7),"◆",""),IF(AND($D100&lt;CD$5+7,$E100&gt;CD$5),"■","")))</x:f>
      </x:c>
      <x:c r="CE100" s="7" t="str">
        <x:f>IF(OR($D100="",CE$5="",'상세일정'!AM100="제외"),"",IF($D100=$E100,IF(AND($D100&gt;=CE$5,$D100&lt;CE$5+7),"◆",""),IF(AND($D100&lt;CE$5+7,$E100&gt;CE$5),"■","")))</x:f>
      </x:c>
      <x:c r="CF100" s="7" t="str">
        <x:f>IF(OR($D100="",CF$5="",'상세일정'!AM100="제외"),"",IF($D100=$E100,IF(AND($D100&gt;=CF$5,$D100&lt;CF$5+7),"◆",""),IF(AND($D100&lt;CF$5+7,$E100&gt;CF$5),"■","")))</x:f>
      </x:c>
      <x:c r="CG100" s="7" t="str">
        <x:f>IF(OR($D100="",CG$5="",'상세일정'!AM100="제외"),"",IF($D100=$E100,IF(AND($D100&gt;=CG$5,$D100&lt;CG$5+7),"◆",""),IF(AND($D100&lt;CG$5+7,$E100&gt;CG$5),"■","")))</x:f>
      </x:c>
      <x:c r="CH100" s="7" t="str">
        <x:f>IF(OR($D100="",CH$5="",'상세일정'!AM100="제외"),"",IF($D100=$E100,IF(AND($D100&gt;=CH$5,$D100&lt;CH$5+7),"◆",""),IF(AND($D100&lt;CH$5+7,$E100&gt;CH$5),"■","")))</x:f>
      </x:c>
      <x:c r="CI100" s="7" t="str">
        <x:f>IF(OR($D100="",CI$5="",'상세일정'!AM100="제외"),"",IF($D100=$E100,IF(AND($D100&gt;=CI$5,$D100&lt;CI$5+7),"◆",""),IF(AND($D100&lt;CI$5+7,$E100&gt;CI$5),"■","")))</x:f>
      </x:c>
      <x:c r="CJ100" s="7" t="str">
        <x:f>IF(OR($D100="",CJ$5="",'상세일정'!AM100="제외"),"",IF($D100=$E100,IF(AND($D100&gt;=CJ$5,$D100&lt;CJ$5+7),"◆",""),IF(AND($D100&lt;CJ$5+7,$E100&gt;CJ$5),"■","")))</x:f>
      </x:c>
      <x:c r="CK100" s="7" t="str">
        <x:f>IF(OR($D100="",CK$5="",'상세일정'!AM100="제외"),"",IF($D100=$E100,IF(AND($D100&gt;=CK$5,$D100&lt;CK$5+7),"◆",""),IF(AND($D100&lt;CK$5+7,$E100&gt;CK$5),"■","")))</x:f>
      </x:c>
      <x:c r="CL100" s="7" t="str">
        <x:f>IF(OR($D100="",CL$5="",'상세일정'!AM100="제외"),"",IF($D100=$E100,IF(AND($D100&gt;=CL$5,$D100&lt;CL$5+7),"◆",""),IF(AND($D100&lt;CL$5+7,$E100&gt;CL$5),"■","")))</x:f>
      </x:c>
      <x:c r="CM100" s="7" t="str">
        <x:f>IF(OR($D100="",CM$5="",'상세일정'!AM100="제외"),"",IF($D100=$E100,IF(AND($D100&gt;=CM$5,$D100&lt;CM$5+7),"◆",""),IF(AND($D100&lt;CM$5+7,$E100&gt;CM$5),"■","")))</x:f>
      </x:c>
      <x:c r="CN100" s="7" t="str">
        <x:f>IF(OR($D100="",CN$5="",'상세일정'!AM100="제외"),"",IF($D100=$E100,IF(AND($D100&gt;=CN$5,$D100&lt;CN$5+7),"◆",""),IF(AND($D100&lt;CN$5+7,$E100&gt;CN$5),"■","")))</x:f>
      </x:c>
      <x:c r="CO100" s="7" t="str">
        <x:f>IF(OR($D100="",CO$5="",'상세일정'!AM100="제외"),"",IF($D100=$E100,IF(AND($D100&gt;=CO$5,$D100&lt;CO$5+7),"◆",""),IF(AND($D100&lt;CO$5+7,$E100&gt;CO$5),"■","")))</x:f>
      </x:c>
      <x:c r="CP100" s="7" t="str">
        <x:f>IF(OR($D100="",CP$5="",'상세일정'!AM100="제외"),"",IF($D100=$E100,IF(AND($D100&gt;=CP$5,$D100&lt;CP$5+7),"◆",""),IF(AND($D100&lt;CP$5+7,$E100&gt;CP$5),"■","")))</x:f>
      </x:c>
      <x:c r="CQ100" s="7" t="str">
        <x:f>IF(OR($D100="",CQ$5="",'상세일정'!AM100="제외"),"",IF($D100=$E100,IF(AND($D100&gt;=CQ$5,$D100&lt;CQ$5+7),"◆",""),IF(AND($D100&lt;CQ$5+7,$E100&gt;CQ$5),"■","")))</x:f>
      </x:c>
      <x:c r="CR100" s="7" t="str">
        <x:f>IF(OR($D100="",CR$5="",'상세일정'!AM100="제외"),"",IF($D100=$E100,IF(AND($D100&gt;=CR$5,$D100&lt;CR$5+7),"◆",""),IF(AND($D100&lt;CR$5+7,$E100&gt;CR$5),"■","")))</x:f>
      </x:c>
      <x:c r="CS100" s="7" t="str">
        <x:f>IF(OR($D100="",CS$5="",'상세일정'!AM100="제외"),"",IF($D100=$E100,IF(AND($D100&gt;=CS$5,$D100&lt;CS$5+7),"◆",""),IF(AND($D100&lt;CS$5+7,$E100&gt;CS$5),"■","")))</x:f>
      </x:c>
      <x:c r="CT100" s="7" t="str">
        <x:f>IF(OR($D100="",CT$5="",'상세일정'!AM100="제외"),"",IF($D100=$E100,IF(AND($D100&gt;=CT$5,$D100&lt;CT$5+7),"◆",""),IF(AND($D100&lt;CT$5+7,$E100&gt;CT$5),"■","")))</x:f>
      </x:c>
      <x:c r="CU100" s="7" t="str">
        <x:f>IF(OR($D100="",CU$5="",'상세일정'!AM100="제외"),"",IF($D100=$E100,IF(AND($D100&gt;=CU$5,$D100&lt;CU$5+7),"◆",""),IF(AND($D100&lt;CU$5+7,$E100&gt;CU$5),"■","")))</x:f>
      </x:c>
      <x:c r="CV100" s="7" t="str">
        <x:f>IF(OR($D100="",CV$5="",'상세일정'!AM100="제외"),"",IF($D100=$E100,IF(AND($D100&gt;=CV$5,$D100&lt;CV$5+7),"◆",""),IF(AND($D100&lt;CV$5+7,$E100&gt;CV$5),"■","")))</x:f>
      </x:c>
      <x:c r="CW100" s="7" t="str">
        <x:f>IF(OR($D100="",CW$5="",'상세일정'!AM100="제외"),"",IF($D100=$E100,IF(AND($D100&gt;=CW$5,$D100&lt;CW$5+7),"◆",""),IF(AND($D100&lt;CW$5+7,$E100&gt;CW$5),"■","")))</x:f>
      </x:c>
      <x:c r="CX100" s="7" t="str">
        <x:f>IF(OR($D100="",CX$5="",'상세일정'!AM100="제외"),"",IF($D100=$E100,IF(AND($D100&gt;=CX$5,$D100&lt;CX$5+7),"◆",""),IF(AND($D100&lt;CX$5+7,$E100&gt;CX$5),"■","")))</x:f>
      </x:c>
      <x:c r="CY100" s="7" t="str">
        <x:f>IF(OR($D100="",CY$5="",'상세일정'!AM100="제외"),"",IF($D100=$E100,IF(AND($D100&gt;=CY$5,$D100&lt;CY$5+7),"◆",""),IF(AND($D100&lt;CY$5+7,$E100&gt;CY$5),"■","")))</x:f>
      </x:c>
      <x:c r="CZ100" s="7" t="str">
        <x:f>IF(OR($D100="",CZ$5="",'상세일정'!AM100="제외"),"",IF($D100=$E100,IF(AND($D100&gt;=CZ$5,$D100&lt;CZ$5+7),"◆",""),IF(AND($D100&lt;CZ$5+7,$E100&gt;CZ$5),"■","")))</x:f>
      </x:c>
      <x:c r="DA100" s="7" t="str">
        <x:f>IF(OR($D100="",DA$5="",'상세일정'!AM100="제외"),"",IF($D100=$E100,IF(AND($D100&gt;=DA$5,$D100&lt;DA$5+7),"◆",""),IF(AND($D100&lt;DA$5+7,$E100&gt;DA$5),"■","")))</x:f>
      </x:c>
      <x:c r="DB100" s="7" t="str">
        <x:f>IF(OR($D100="",DB$5="",'상세일정'!AM100="제외"),"",IF($D100=$E100,IF(AND($D100&gt;=DB$5,$D100&lt;DB$5+7),"◆",""),IF(AND($D100&lt;DB$5+7,$E100&gt;DB$5),"■","")))</x:f>
      </x:c>
      <x:c r="DC100" s="7" t="str">
        <x:f>IF(OR($D100="",DC$5="",'상세일정'!AM100="제외"),"",IF($D100=$E100,IF(AND($D100&gt;=DC$5,$D100&lt;DC$5+7),"◆",""),IF(AND($D100&lt;DC$5+7,$E100&gt;DC$5),"■","")))</x:f>
      </x:c>
      <x:c r="DD100" s="7" t="str">
        <x:f>IF(OR($D100="",DD$5="",'상세일정'!AM100="제외"),"",IF($D100=$E100,IF(AND($D100&gt;=DD$5,$D100&lt;DD$5+7),"◆",""),IF(AND($D100&lt;DD$5+7,$E100&gt;DD$5),"■","")))</x:f>
      </x:c>
      <x:c r="DE100" s="7" t="str">
        <x:f>IF(OR($D100="",DE$5="",'상세일정'!AM100="제외"),"",IF($D100=$E100,IF(AND($D100&gt;=DE$5,$D100&lt;DE$5+7),"◆",""),IF(AND($D100&lt;DE$5+7,$E100&gt;DE$5),"■","")))</x:f>
      </x:c>
    </x:row>
    <x:row r="101" ht="34" customHeight="1">
      <x:c r="A101" s="7" t="str">
        <x:v>SA04</x:v>
      </x:c>
      <x:c r="B101" s="7" t="str">
        <x:v>15 착공 전 준비</x:v>
      </x:c>
      <x:c r="C101" s="7" t="str">
        <x:v>가설건축물·비산먼지·소음진동 신고 적용 확인</x:v>
      </x:c>
      <x:c r="D101" s="10" t="str">
        <x:f>'상세일정'!AJ101</x:f>
      </x:c>
      <x:c r="E101" s="10" t="str">
        <x:f>'상세일정'!AK101</x:f>
      </x:c>
      <x:c r="F101" s="7" t="str">
        <x:f>IF(OR($D101="",F$5="",'상세일정'!AM101="제외"),"",IF($D101=$E101,IF(AND($D101&gt;=F$5,$D101&lt;F$5+7),"◆",""),IF(AND($D101&lt;F$5+7,$E101&gt;F$5),"■","")))</x:f>
      </x:c>
      <x:c r="G101" s="7" t="str">
        <x:f>IF(OR($D101="",G$5="",'상세일정'!AM101="제외"),"",IF($D101=$E101,IF(AND($D101&gt;=G$5,$D101&lt;G$5+7),"◆",""),IF(AND($D101&lt;G$5+7,$E101&gt;G$5),"■","")))</x:f>
      </x:c>
      <x:c r="H101" s="7" t="str">
        <x:f>IF(OR($D101="",H$5="",'상세일정'!AM101="제외"),"",IF($D101=$E101,IF(AND($D101&gt;=H$5,$D101&lt;H$5+7),"◆",""),IF(AND($D101&lt;H$5+7,$E101&gt;H$5),"■","")))</x:f>
      </x:c>
      <x:c r="I101" s="7" t="str">
        <x:f>IF(OR($D101="",I$5="",'상세일정'!AM101="제외"),"",IF($D101=$E101,IF(AND($D101&gt;=I$5,$D101&lt;I$5+7),"◆",""),IF(AND($D101&lt;I$5+7,$E101&gt;I$5),"■","")))</x:f>
      </x:c>
      <x:c r="J101" s="7" t="str">
        <x:f>IF(OR($D101="",J$5="",'상세일정'!AM101="제외"),"",IF($D101=$E101,IF(AND($D101&gt;=J$5,$D101&lt;J$5+7),"◆",""),IF(AND($D101&lt;J$5+7,$E101&gt;J$5),"■","")))</x:f>
      </x:c>
      <x:c r="K101" s="7" t="str">
        <x:f>IF(OR($D101="",K$5="",'상세일정'!AM101="제외"),"",IF($D101=$E101,IF(AND($D101&gt;=K$5,$D101&lt;K$5+7),"◆",""),IF(AND($D101&lt;K$5+7,$E101&gt;K$5),"■","")))</x:f>
      </x:c>
      <x:c r="L101" s="7" t="str">
        <x:f>IF(OR($D101="",L$5="",'상세일정'!AM101="제외"),"",IF($D101=$E101,IF(AND($D101&gt;=L$5,$D101&lt;L$5+7),"◆",""),IF(AND($D101&lt;L$5+7,$E101&gt;L$5),"■","")))</x:f>
      </x:c>
      <x:c r="M101" s="7" t="str">
        <x:f>IF(OR($D101="",M$5="",'상세일정'!AM101="제외"),"",IF($D101=$E101,IF(AND($D101&gt;=M$5,$D101&lt;M$5+7),"◆",""),IF(AND($D101&lt;M$5+7,$E101&gt;M$5),"■","")))</x:f>
      </x:c>
      <x:c r="N101" s="7" t="str">
        <x:f>IF(OR($D101="",N$5="",'상세일정'!AM101="제외"),"",IF($D101=$E101,IF(AND($D101&gt;=N$5,$D101&lt;N$5+7),"◆",""),IF(AND($D101&lt;N$5+7,$E101&gt;N$5),"■","")))</x:f>
      </x:c>
      <x:c r="O101" s="7" t="str">
        <x:f>IF(OR($D101="",O$5="",'상세일정'!AM101="제외"),"",IF($D101=$E101,IF(AND($D101&gt;=O$5,$D101&lt;O$5+7),"◆",""),IF(AND($D101&lt;O$5+7,$E101&gt;O$5),"■","")))</x:f>
      </x:c>
      <x:c r="P101" s="7" t="str">
        <x:f>IF(OR($D101="",P$5="",'상세일정'!AM101="제외"),"",IF($D101=$E101,IF(AND($D101&gt;=P$5,$D101&lt;P$5+7),"◆",""),IF(AND($D101&lt;P$5+7,$E101&gt;P$5),"■","")))</x:f>
      </x:c>
      <x:c r="Q101" s="7" t="str">
        <x:f>IF(OR($D101="",Q$5="",'상세일정'!AM101="제외"),"",IF($D101=$E101,IF(AND($D101&gt;=Q$5,$D101&lt;Q$5+7),"◆",""),IF(AND($D101&lt;Q$5+7,$E101&gt;Q$5),"■","")))</x:f>
      </x:c>
      <x:c r="R101" s="7" t="str">
        <x:f>IF(OR($D101="",R$5="",'상세일정'!AM101="제외"),"",IF($D101=$E101,IF(AND($D101&gt;=R$5,$D101&lt;R$5+7),"◆",""),IF(AND($D101&lt;R$5+7,$E101&gt;R$5),"■","")))</x:f>
      </x:c>
      <x:c r="S101" s="7" t="str">
        <x:f>IF(OR($D101="",S$5="",'상세일정'!AM101="제외"),"",IF($D101=$E101,IF(AND($D101&gt;=S$5,$D101&lt;S$5+7),"◆",""),IF(AND($D101&lt;S$5+7,$E101&gt;S$5),"■","")))</x:f>
      </x:c>
      <x:c r="T101" s="7" t="str">
        <x:f>IF(OR($D101="",T$5="",'상세일정'!AM101="제외"),"",IF($D101=$E101,IF(AND($D101&gt;=T$5,$D101&lt;T$5+7),"◆",""),IF(AND($D101&lt;T$5+7,$E101&gt;T$5),"■","")))</x:f>
      </x:c>
      <x:c r="U101" s="7" t="str">
        <x:f>IF(OR($D101="",U$5="",'상세일정'!AM101="제외"),"",IF($D101=$E101,IF(AND($D101&gt;=U$5,$D101&lt;U$5+7),"◆",""),IF(AND($D101&lt;U$5+7,$E101&gt;U$5),"■","")))</x:f>
      </x:c>
      <x:c r="V101" s="7" t="str">
        <x:f>IF(OR($D101="",V$5="",'상세일정'!AM101="제외"),"",IF($D101=$E101,IF(AND($D101&gt;=V$5,$D101&lt;V$5+7),"◆",""),IF(AND($D101&lt;V$5+7,$E101&gt;V$5),"■","")))</x:f>
      </x:c>
      <x:c r="W101" s="7" t="str">
        <x:f>IF(OR($D101="",W$5="",'상세일정'!AM101="제외"),"",IF($D101=$E101,IF(AND($D101&gt;=W$5,$D101&lt;W$5+7),"◆",""),IF(AND($D101&lt;W$5+7,$E101&gt;W$5),"■","")))</x:f>
      </x:c>
      <x:c r="X101" s="7" t="str">
        <x:f>IF(OR($D101="",X$5="",'상세일정'!AM101="제외"),"",IF($D101=$E101,IF(AND($D101&gt;=X$5,$D101&lt;X$5+7),"◆",""),IF(AND($D101&lt;X$5+7,$E101&gt;X$5),"■","")))</x:f>
      </x:c>
      <x:c r="Y101" s="7" t="str">
        <x:f>IF(OR($D101="",Y$5="",'상세일정'!AM101="제외"),"",IF($D101=$E101,IF(AND($D101&gt;=Y$5,$D101&lt;Y$5+7),"◆",""),IF(AND($D101&lt;Y$5+7,$E101&gt;Y$5),"■","")))</x:f>
      </x:c>
      <x:c r="Z101" s="7" t="str">
        <x:f>IF(OR($D101="",Z$5="",'상세일정'!AM101="제외"),"",IF($D101=$E101,IF(AND($D101&gt;=Z$5,$D101&lt;Z$5+7),"◆",""),IF(AND($D101&lt;Z$5+7,$E101&gt;Z$5),"■","")))</x:f>
      </x:c>
      <x:c r="AA101" s="7" t="str">
        <x:f>IF(OR($D101="",AA$5="",'상세일정'!AM101="제외"),"",IF($D101=$E101,IF(AND($D101&gt;=AA$5,$D101&lt;AA$5+7),"◆",""),IF(AND($D101&lt;AA$5+7,$E101&gt;AA$5),"■","")))</x:f>
      </x:c>
      <x:c r="AB101" s="7" t="str">
        <x:f>IF(OR($D101="",AB$5="",'상세일정'!AM101="제외"),"",IF($D101=$E101,IF(AND($D101&gt;=AB$5,$D101&lt;AB$5+7),"◆",""),IF(AND($D101&lt;AB$5+7,$E101&gt;AB$5),"■","")))</x:f>
      </x:c>
      <x:c r="AC101" s="7" t="str">
        <x:f>IF(OR($D101="",AC$5="",'상세일정'!AM101="제외"),"",IF($D101=$E101,IF(AND($D101&gt;=AC$5,$D101&lt;AC$5+7),"◆",""),IF(AND($D101&lt;AC$5+7,$E101&gt;AC$5),"■","")))</x:f>
      </x:c>
      <x:c r="AD101" s="7" t="str">
        <x:f>IF(OR($D101="",AD$5="",'상세일정'!AM101="제외"),"",IF($D101=$E101,IF(AND($D101&gt;=AD$5,$D101&lt;AD$5+7),"◆",""),IF(AND($D101&lt;AD$5+7,$E101&gt;AD$5),"■","")))</x:f>
      </x:c>
      <x:c r="AE101" s="7" t="str">
        <x:f>IF(OR($D101="",AE$5="",'상세일정'!AM101="제외"),"",IF($D101=$E101,IF(AND($D101&gt;=AE$5,$D101&lt;AE$5+7),"◆",""),IF(AND($D101&lt;AE$5+7,$E101&gt;AE$5),"■","")))</x:f>
      </x:c>
      <x:c r="AF101" s="7" t="str">
        <x:f>IF(OR($D101="",AF$5="",'상세일정'!AM101="제외"),"",IF($D101=$E101,IF(AND($D101&gt;=AF$5,$D101&lt;AF$5+7),"◆",""),IF(AND($D101&lt;AF$5+7,$E101&gt;AF$5),"■","")))</x:f>
      </x:c>
      <x:c r="AG101" s="7" t="str">
        <x:f>IF(OR($D101="",AG$5="",'상세일정'!AM101="제외"),"",IF($D101=$E101,IF(AND($D101&gt;=AG$5,$D101&lt;AG$5+7),"◆",""),IF(AND($D101&lt;AG$5+7,$E101&gt;AG$5),"■","")))</x:f>
      </x:c>
      <x:c r="AH101" s="7" t="str">
        <x:f>IF(OR($D101="",AH$5="",'상세일정'!AM101="제외"),"",IF($D101=$E101,IF(AND($D101&gt;=AH$5,$D101&lt;AH$5+7),"◆",""),IF(AND($D101&lt;AH$5+7,$E101&gt;AH$5),"■","")))</x:f>
      </x:c>
      <x:c r="AI101" s="7" t="str">
        <x:f>IF(OR($D101="",AI$5="",'상세일정'!AM101="제외"),"",IF($D101=$E101,IF(AND($D101&gt;=AI$5,$D101&lt;AI$5+7),"◆",""),IF(AND($D101&lt;AI$5+7,$E101&gt;AI$5),"■","")))</x:f>
      </x:c>
      <x:c r="AJ101" s="7" t="str">
        <x:f>IF(OR($D101="",AJ$5="",'상세일정'!AM101="제외"),"",IF($D101=$E101,IF(AND($D101&gt;=AJ$5,$D101&lt;AJ$5+7),"◆",""),IF(AND($D101&lt;AJ$5+7,$E101&gt;AJ$5),"■","")))</x:f>
      </x:c>
      <x:c r="AK101" s="7" t="str">
        <x:f>IF(OR($D101="",AK$5="",'상세일정'!AM101="제외"),"",IF($D101=$E101,IF(AND($D101&gt;=AK$5,$D101&lt;AK$5+7),"◆",""),IF(AND($D101&lt;AK$5+7,$E101&gt;AK$5),"■","")))</x:f>
      </x:c>
      <x:c r="AL101" s="7" t="str">
        <x:f>IF(OR($D101="",AL$5="",'상세일정'!AM101="제외"),"",IF($D101=$E101,IF(AND($D101&gt;=AL$5,$D101&lt;AL$5+7),"◆",""),IF(AND($D101&lt;AL$5+7,$E101&gt;AL$5),"■","")))</x:f>
      </x:c>
      <x:c r="AM101" s="7" t="str">
        <x:f>IF(OR($D101="",AM$5="",'상세일정'!AM101="제외"),"",IF($D101=$E101,IF(AND($D101&gt;=AM$5,$D101&lt;AM$5+7),"◆",""),IF(AND($D101&lt;AM$5+7,$E101&gt;AM$5),"■","")))</x:f>
      </x:c>
      <x:c r="AN101" s="7" t="str">
        <x:f>IF(OR($D101="",AN$5="",'상세일정'!AM101="제외"),"",IF($D101=$E101,IF(AND($D101&gt;=AN$5,$D101&lt;AN$5+7),"◆",""),IF(AND($D101&lt;AN$5+7,$E101&gt;AN$5),"■","")))</x:f>
      </x:c>
      <x:c r="AO101" s="7" t="str">
        <x:f>IF(OR($D101="",AO$5="",'상세일정'!AM101="제외"),"",IF($D101=$E101,IF(AND($D101&gt;=AO$5,$D101&lt;AO$5+7),"◆",""),IF(AND($D101&lt;AO$5+7,$E101&gt;AO$5),"■","")))</x:f>
      </x:c>
      <x:c r="AP101" s="7" t="str">
        <x:f>IF(OR($D101="",AP$5="",'상세일정'!AM101="제외"),"",IF($D101=$E101,IF(AND($D101&gt;=AP$5,$D101&lt;AP$5+7),"◆",""),IF(AND($D101&lt;AP$5+7,$E101&gt;AP$5),"■","")))</x:f>
      </x:c>
      <x:c r="AQ101" s="7" t="str">
        <x:f>IF(OR($D101="",AQ$5="",'상세일정'!AM101="제외"),"",IF($D101=$E101,IF(AND($D101&gt;=AQ$5,$D101&lt;AQ$5+7),"◆",""),IF(AND($D101&lt;AQ$5+7,$E101&gt;AQ$5),"■","")))</x:f>
      </x:c>
      <x:c r="AR101" s="7" t="str">
        <x:f>IF(OR($D101="",AR$5="",'상세일정'!AM101="제외"),"",IF($D101=$E101,IF(AND($D101&gt;=AR$5,$D101&lt;AR$5+7),"◆",""),IF(AND($D101&lt;AR$5+7,$E101&gt;AR$5),"■","")))</x:f>
      </x:c>
      <x:c r="AS101" s="7" t="str">
        <x:f>IF(OR($D101="",AS$5="",'상세일정'!AM101="제외"),"",IF($D101=$E101,IF(AND($D101&gt;=AS$5,$D101&lt;AS$5+7),"◆",""),IF(AND($D101&lt;AS$5+7,$E101&gt;AS$5),"■","")))</x:f>
      </x:c>
      <x:c r="AT101" s="7" t="str">
        <x:f>IF(OR($D101="",AT$5="",'상세일정'!AM101="제외"),"",IF($D101=$E101,IF(AND($D101&gt;=AT$5,$D101&lt;AT$5+7),"◆",""),IF(AND($D101&lt;AT$5+7,$E101&gt;AT$5),"■","")))</x:f>
      </x:c>
      <x:c r="AU101" s="7" t="str">
        <x:f>IF(OR($D101="",AU$5="",'상세일정'!AM101="제외"),"",IF($D101=$E101,IF(AND($D101&gt;=AU$5,$D101&lt;AU$5+7),"◆",""),IF(AND($D101&lt;AU$5+7,$E101&gt;AU$5),"■","")))</x:f>
      </x:c>
      <x:c r="AV101" s="7" t="str">
        <x:f>IF(OR($D101="",AV$5="",'상세일정'!AM101="제외"),"",IF($D101=$E101,IF(AND($D101&gt;=AV$5,$D101&lt;AV$5+7),"◆",""),IF(AND($D101&lt;AV$5+7,$E101&gt;AV$5),"■","")))</x:f>
      </x:c>
      <x:c r="AW101" s="7" t="str">
        <x:f>IF(OR($D101="",AW$5="",'상세일정'!AM101="제외"),"",IF($D101=$E101,IF(AND($D101&gt;=AW$5,$D101&lt;AW$5+7),"◆",""),IF(AND($D101&lt;AW$5+7,$E101&gt;AW$5),"■","")))</x:f>
      </x:c>
      <x:c r="AX101" s="7" t="str">
        <x:f>IF(OR($D101="",AX$5="",'상세일정'!AM101="제외"),"",IF($D101=$E101,IF(AND($D101&gt;=AX$5,$D101&lt;AX$5+7),"◆",""),IF(AND($D101&lt;AX$5+7,$E101&gt;AX$5),"■","")))</x:f>
      </x:c>
      <x:c r="AY101" s="7" t="str">
        <x:f>IF(OR($D101="",AY$5="",'상세일정'!AM101="제외"),"",IF($D101=$E101,IF(AND($D101&gt;=AY$5,$D101&lt;AY$5+7),"◆",""),IF(AND($D101&lt;AY$5+7,$E101&gt;AY$5),"■","")))</x:f>
      </x:c>
      <x:c r="AZ101" s="7" t="str">
        <x:f>IF(OR($D101="",AZ$5="",'상세일정'!AM101="제외"),"",IF($D101=$E101,IF(AND($D101&gt;=AZ$5,$D101&lt;AZ$5+7),"◆",""),IF(AND($D101&lt;AZ$5+7,$E101&gt;AZ$5),"■","")))</x:f>
      </x:c>
      <x:c r="BA101" s="7" t="str">
        <x:f>IF(OR($D101="",BA$5="",'상세일정'!AM101="제외"),"",IF($D101=$E101,IF(AND($D101&gt;=BA$5,$D101&lt;BA$5+7),"◆",""),IF(AND($D101&lt;BA$5+7,$E101&gt;BA$5),"■","")))</x:f>
      </x:c>
      <x:c r="BB101" s="7" t="str">
        <x:f>IF(OR($D101="",BB$5="",'상세일정'!AM101="제외"),"",IF($D101=$E101,IF(AND($D101&gt;=BB$5,$D101&lt;BB$5+7),"◆",""),IF(AND($D101&lt;BB$5+7,$E101&gt;BB$5),"■","")))</x:f>
      </x:c>
      <x:c r="BC101" s="7" t="str">
        <x:f>IF(OR($D101="",BC$5="",'상세일정'!AM101="제외"),"",IF($D101=$E101,IF(AND($D101&gt;=BC$5,$D101&lt;BC$5+7),"◆",""),IF(AND($D101&lt;BC$5+7,$E101&gt;BC$5),"■","")))</x:f>
      </x:c>
      <x:c r="BD101" s="7" t="str">
        <x:f>IF(OR($D101="",BD$5="",'상세일정'!AM101="제외"),"",IF($D101=$E101,IF(AND($D101&gt;=BD$5,$D101&lt;BD$5+7),"◆",""),IF(AND($D101&lt;BD$5+7,$E101&gt;BD$5),"■","")))</x:f>
      </x:c>
      <x:c r="BE101" s="7" t="str">
        <x:f>IF(OR($D101="",BE$5="",'상세일정'!AM101="제외"),"",IF($D101=$E101,IF(AND($D101&gt;=BE$5,$D101&lt;BE$5+7),"◆",""),IF(AND($D101&lt;BE$5+7,$E101&gt;BE$5),"■","")))</x:f>
      </x:c>
      <x:c r="BF101" s="7" t="str">
        <x:f>IF(OR($D101="",BF$5="",'상세일정'!AM101="제외"),"",IF($D101=$E101,IF(AND($D101&gt;=BF$5,$D101&lt;BF$5+7),"◆",""),IF(AND($D101&lt;BF$5+7,$E101&gt;BF$5),"■","")))</x:f>
      </x:c>
      <x:c r="BG101" s="7" t="str">
        <x:f>IF(OR($D101="",BG$5="",'상세일정'!AM101="제외"),"",IF($D101=$E101,IF(AND($D101&gt;=BG$5,$D101&lt;BG$5+7),"◆",""),IF(AND($D101&lt;BG$5+7,$E101&gt;BG$5),"■","")))</x:f>
      </x:c>
      <x:c r="BH101" s="7" t="str">
        <x:f>IF(OR($D101="",BH$5="",'상세일정'!AM101="제외"),"",IF($D101=$E101,IF(AND($D101&gt;=BH$5,$D101&lt;BH$5+7),"◆",""),IF(AND($D101&lt;BH$5+7,$E101&gt;BH$5),"■","")))</x:f>
      </x:c>
      <x:c r="BI101" s="7" t="str">
        <x:f>IF(OR($D101="",BI$5="",'상세일정'!AM101="제외"),"",IF($D101=$E101,IF(AND($D101&gt;=BI$5,$D101&lt;BI$5+7),"◆",""),IF(AND($D101&lt;BI$5+7,$E101&gt;BI$5),"■","")))</x:f>
      </x:c>
      <x:c r="BJ101" s="7" t="str">
        <x:f>IF(OR($D101="",BJ$5="",'상세일정'!AM101="제외"),"",IF($D101=$E101,IF(AND($D101&gt;=BJ$5,$D101&lt;BJ$5+7),"◆",""),IF(AND($D101&lt;BJ$5+7,$E101&gt;BJ$5),"■","")))</x:f>
      </x:c>
      <x:c r="BK101" s="7" t="str">
        <x:f>IF(OR($D101="",BK$5="",'상세일정'!AM101="제외"),"",IF($D101=$E101,IF(AND($D101&gt;=BK$5,$D101&lt;BK$5+7),"◆",""),IF(AND($D101&lt;BK$5+7,$E101&gt;BK$5),"■","")))</x:f>
      </x:c>
      <x:c r="BL101" s="7" t="str">
        <x:f>IF(OR($D101="",BL$5="",'상세일정'!AM101="제외"),"",IF($D101=$E101,IF(AND($D101&gt;=BL$5,$D101&lt;BL$5+7),"◆",""),IF(AND($D101&lt;BL$5+7,$E101&gt;BL$5),"■","")))</x:f>
      </x:c>
      <x:c r="BM101" s="7" t="str">
        <x:f>IF(OR($D101="",BM$5="",'상세일정'!AM101="제외"),"",IF($D101=$E101,IF(AND($D101&gt;=BM$5,$D101&lt;BM$5+7),"◆",""),IF(AND($D101&lt;BM$5+7,$E101&gt;BM$5),"■","")))</x:f>
      </x:c>
      <x:c r="BN101" s="7" t="str">
        <x:f>IF(OR($D101="",BN$5="",'상세일정'!AM101="제외"),"",IF($D101=$E101,IF(AND($D101&gt;=BN$5,$D101&lt;BN$5+7),"◆",""),IF(AND($D101&lt;BN$5+7,$E101&gt;BN$5),"■","")))</x:f>
      </x:c>
      <x:c r="BO101" s="7" t="str">
        <x:f>IF(OR($D101="",BO$5="",'상세일정'!AM101="제외"),"",IF($D101=$E101,IF(AND($D101&gt;=BO$5,$D101&lt;BO$5+7),"◆",""),IF(AND($D101&lt;BO$5+7,$E101&gt;BO$5),"■","")))</x:f>
      </x:c>
      <x:c r="BP101" s="7" t="str">
        <x:f>IF(OR($D101="",BP$5="",'상세일정'!AM101="제외"),"",IF($D101=$E101,IF(AND($D101&gt;=BP$5,$D101&lt;BP$5+7),"◆",""),IF(AND($D101&lt;BP$5+7,$E101&gt;BP$5),"■","")))</x:f>
      </x:c>
      <x:c r="BQ101" s="7" t="str">
        <x:f>IF(OR($D101="",BQ$5="",'상세일정'!AM101="제외"),"",IF($D101=$E101,IF(AND($D101&gt;=BQ$5,$D101&lt;BQ$5+7),"◆",""),IF(AND($D101&lt;BQ$5+7,$E101&gt;BQ$5),"■","")))</x:f>
      </x:c>
      <x:c r="BR101" s="7" t="str">
        <x:f>IF(OR($D101="",BR$5="",'상세일정'!AM101="제외"),"",IF($D101=$E101,IF(AND($D101&gt;=BR$5,$D101&lt;BR$5+7),"◆",""),IF(AND($D101&lt;BR$5+7,$E101&gt;BR$5),"■","")))</x:f>
      </x:c>
      <x:c r="BS101" s="7" t="str">
        <x:f>IF(OR($D101="",BS$5="",'상세일정'!AM101="제외"),"",IF($D101=$E101,IF(AND($D101&gt;=BS$5,$D101&lt;BS$5+7),"◆",""),IF(AND($D101&lt;BS$5+7,$E101&gt;BS$5),"■","")))</x:f>
      </x:c>
      <x:c r="BT101" s="7" t="str">
        <x:f>IF(OR($D101="",BT$5="",'상세일정'!AM101="제외"),"",IF($D101=$E101,IF(AND($D101&gt;=BT$5,$D101&lt;BT$5+7),"◆",""),IF(AND($D101&lt;BT$5+7,$E101&gt;BT$5),"■","")))</x:f>
      </x:c>
      <x:c r="BU101" s="7" t="str">
        <x:f>IF(OR($D101="",BU$5="",'상세일정'!AM101="제외"),"",IF($D101=$E101,IF(AND($D101&gt;=BU$5,$D101&lt;BU$5+7),"◆",""),IF(AND($D101&lt;BU$5+7,$E101&gt;BU$5),"■","")))</x:f>
      </x:c>
      <x:c r="BV101" s="7" t="str">
        <x:f>IF(OR($D101="",BV$5="",'상세일정'!AM101="제외"),"",IF($D101=$E101,IF(AND($D101&gt;=BV$5,$D101&lt;BV$5+7),"◆",""),IF(AND($D101&lt;BV$5+7,$E101&gt;BV$5),"■","")))</x:f>
      </x:c>
      <x:c r="BW101" s="7" t="str">
        <x:f>IF(OR($D101="",BW$5="",'상세일정'!AM101="제외"),"",IF($D101=$E101,IF(AND($D101&gt;=BW$5,$D101&lt;BW$5+7),"◆",""),IF(AND($D101&lt;BW$5+7,$E101&gt;BW$5),"■","")))</x:f>
      </x:c>
      <x:c r="BX101" s="7" t="str">
        <x:f>IF(OR($D101="",BX$5="",'상세일정'!AM101="제외"),"",IF($D101=$E101,IF(AND($D101&gt;=BX$5,$D101&lt;BX$5+7),"◆",""),IF(AND($D101&lt;BX$5+7,$E101&gt;BX$5),"■","")))</x:f>
      </x:c>
      <x:c r="BY101" s="7" t="str">
        <x:f>IF(OR($D101="",BY$5="",'상세일정'!AM101="제외"),"",IF($D101=$E101,IF(AND($D101&gt;=BY$5,$D101&lt;BY$5+7),"◆",""),IF(AND($D101&lt;BY$5+7,$E101&gt;BY$5),"■","")))</x:f>
      </x:c>
      <x:c r="BZ101" s="7" t="str">
        <x:f>IF(OR($D101="",BZ$5="",'상세일정'!AM101="제외"),"",IF($D101=$E101,IF(AND($D101&gt;=BZ$5,$D101&lt;BZ$5+7),"◆",""),IF(AND($D101&lt;BZ$5+7,$E101&gt;BZ$5),"■","")))</x:f>
      </x:c>
      <x:c r="CA101" s="7" t="str">
        <x:f>IF(OR($D101="",CA$5="",'상세일정'!AM101="제외"),"",IF($D101=$E101,IF(AND($D101&gt;=CA$5,$D101&lt;CA$5+7),"◆",""),IF(AND($D101&lt;CA$5+7,$E101&gt;CA$5),"■","")))</x:f>
      </x:c>
      <x:c r="CB101" s="7" t="str">
        <x:f>IF(OR($D101="",CB$5="",'상세일정'!AM101="제외"),"",IF($D101=$E101,IF(AND($D101&gt;=CB$5,$D101&lt;CB$5+7),"◆",""),IF(AND($D101&lt;CB$5+7,$E101&gt;CB$5),"■","")))</x:f>
      </x:c>
      <x:c r="CC101" s="7" t="str">
        <x:f>IF(OR($D101="",CC$5="",'상세일정'!AM101="제외"),"",IF($D101=$E101,IF(AND($D101&gt;=CC$5,$D101&lt;CC$5+7),"◆",""),IF(AND($D101&lt;CC$5+7,$E101&gt;CC$5),"■","")))</x:f>
      </x:c>
      <x:c r="CD101" s="7" t="str">
        <x:f>IF(OR($D101="",CD$5="",'상세일정'!AM101="제외"),"",IF($D101=$E101,IF(AND($D101&gt;=CD$5,$D101&lt;CD$5+7),"◆",""),IF(AND($D101&lt;CD$5+7,$E101&gt;CD$5),"■","")))</x:f>
      </x:c>
      <x:c r="CE101" s="7" t="str">
        <x:f>IF(OR($D101="",CE$5="",'상세일정'!AM101="제외"),"",IF($D101=$E101,IF(AND($D101&gt;=CE$5,$D101&lt;CE$5+7),"◆",""),IF(AND($D101&lt;CE$5+7,$E101&gt;CE$5),"■","")))</x:f>
      </x:c>
      <x:c r="CF101" s="7" t="str">
        <x:f>IF(OR($D101="",CF$5="",'상세일정'!AM101="제외"),"",IF($D101=$E101,IF(AND($D101&gt;=CF$5,$D101&lt;CF$5+7),"◆",""),IF(AND($D101&lt;CF$5+7,$E101&gt;CF$5),"■","")))</x:f>
      </x:c>
      <x:c r="CG101" s="7" t="str">
        <x:f>IF(OR($D101="",CG$5="",'상세일정'!AM101="제외"),"",IF($D101=$E101,IF(AND($D101&gt;=CG$5,$D101&lt;CG$5+7),"◆",""),IF(AND($D101&lt;CG$5+7,$E101&gt;CG$5),"■","")))</x:f>
      </x:c>
      <x:c r="CH101" s="7" t="str">
        <x:f>IF(OR($D101="",CH$5="",'상세일정'!AM101="제외"),"",IF($D101=$E101,IF(AND($D101&gt;=CH$5,$D101&lt;CH$5+7),"◆",""),IF(AND($D101&lt;CH$5+7,$E101&gt;CH$5),"■","")))</x:f>
      </x:c>
      <x:c r="CI101" s="7" t="str">
        <x:f>IF(OR($D101="",CI$5="",'상세일정'!AM101="제외"),"",IF($D101=$E101,IF(AND($D101&gt;=CI$5,$D101&lt;CI$5+7),"◆",""),IF(AND($D101&lt;CI$5+7,$E101&gt;CI$5),"■","")))</x:f>
      </x:c>
      <x:c r="CJ101" s="7" t="str">
        <x:f>IF(OR($D101="",CJ$5="",'상세일정'!AM101="제외"),"",IF($D101=$E101,IF(AND($D101&gt;=CJ$5,$D101&lt;CJ$5+7),"◆",""),IF(AND($D101&lt;CJ$5+7,$E101&gt;CJ$5),"■","")))</x:f>
      </x:c>
      <x:c r="CK101" s="7" t="str">
        <x:f>IF(OR($D101="",CK$5="",'상세일정'!AM101="제외"),"",IF($D101=$E101,IF(AND($D101&gt;=CK$5,$D101&lt;CK$5+7),"◆",""),IF(AND($D101&lt;CK$5+7,$E101&gt;CK$5),"■","")))</x:f>
      </x:c>
      <x:c r="CL101" s="7" t="str">
        <x:f>IF(OR($D101="",CL$5="",'상세일정'!AM101="제외"),"",IF($D101=$E101,IF(AND($D101&gt;=CL$5,$D101&lt;CL$5+7),"◆",""),IF(AND($D101&lt;CL$5+7,$E101&gt;CL$5),"■","")))</x:f>
      </x:c>
      <x:c r="CM101" s="7" t="str">
        <x:f>IF(OR($D101="",CM$5="",'상세일정'!AM101="제외"),"",IF($D101=$E101,IF(AND($D101&gt;=CM$5,$D101&lt;CM$5+7),"◆",""),IF(AND($D101&lt;CM$5+7,$E101&gt;CM$5),"■","")))</x:f>
      </x:c>
      <x:c r="CN101" s="7" t="str">
        <x:f>IF(OR($D101="",CN$5="",'상세일정'!AM101="제외"),"",IF($D101=$E101,IF(AND($D101&gt;=CN$5,$D101&lt;CN$5+7),"◆",""),IF(AND($D101&lt;CN$5+7,$E101&gt;CN$5),"■","")))</x:f>
      </x:c>
      <x:c r="CO101" s="7" t="str">
        <x:f>IF(OR($D101="",CO$5="",'상세일정'!AM101="제외"),"",IF($D101=$E101,IF(AND($D101&gt;=CO$5,$D101&lt;CO$5+7),"◆",""),IF(AND($D101&lt;CO$5+7,$E101&gt;CO$5),"■","")))</x:f>
      </x:c>
      <x:c r="CP101" s="7" t="str">
        <x:f>IF(OR($D101="",CP$5="",'상세일정'!AM101="제외"),"",IF($D101=$E101,IF(AND($D101&gt;=CP$5,$D101&lt;CP$5+7),"◆",""),IF(AND($D101&lt;CP$5+7,$E101&gt;CP$5),"■","")))</x:f>
      </x:c>
      <x:c r="CQ101" s="7" t="str">
        <x:f>IF(OR($D101="",CQ$5="",'상세일정'!AM101="제외"),"",IF($D101=$E101,IF(AND($D101&gt;=CQ$5,$D101&lt;CQ$5+7),"◆",""),IF(AND($D101&lt;CQ$5+7,$E101&gt;CQ$5),"■","")))</x:f>
      </x:c>
      <x:c r="CR101" s="7" t="str">
        <x:f>IF(OR($D101="",CR$5="",'상세일정'!AM101="제외"),"",IF($D101=$E101,IF(AND($D101&gt;=CR$5,$D101&lt;CR$5+7),"◆",""),IF(AND($D101&lt;CR$5+7,$E101&gt;CR$5),"■","")))</x:f>
      </x:c>
      <x:c r="CS101" s="7" t="str">
        <x:f>IF(OR($D101="",CS$5="",'상세일정'!AM101="제외"),"",IF($D101=$E101,IF(AND($D101&gt;=CS$5,$D101&lt;CS$5+7),"◆",""),IF(AND($D101&lt;CS$5+7,$E101&gt;CS$5),"■","")))</x:f>
      </x:c>
      <x:c r="CT101" s="7" t="str">
        <x:f>IF(OR($D101="",CT$5="",'상세일정'!AM101="제외"),"",IF($D101=$E101,IF(AND($D101&gt;=CT$5,$D101&lt;CT$5+7),"◆",""),IF(AND($D101&lt;CT$5+7,$E101&gt;CT$5),"■","")))</x:f>
      </x:c>
      <x:c r="CU101" s="7" t="str">
        <x:f>IF(OR($D101="",CU$5="",'상세일정'!AM101="제외"),"",IF($D101=$E101,IF(AND($D101&gt;=CU$5,$D101&lt;CU$5+7),"◆",""),IF(AND($D101&lt;CU$5+7,$E101&gt;CU$5),"■","")))</x:f>
      </x:c>
      <x:c r="CV101" s="7" t="str">
        <x:f>IF(OR($D101="",CV$5="",'상세일정'!AM101="제외"),"",IF($D101=$E101,IF(AND($D101&gt;=CV$5,$D101&lt;CV$5+7),"◆",""),IF(AND($D101&lt;CV$5+7,$E101&gt;CV$5),"■","")))</x:f>
      </x:c>
      <x:c r="CW101" s="7" t="str">
        <x:f>IF(OR($D101="",CW$5="",'상세일정'!AM101="제외"),"",IF($D101=$E101,IF(AND($D101&gt;=CW$5,$D101&lt;CW$5+7),"◆",""),IF(AND($D101&lt;CW$5+7,$E101&gt;CW$5),"■","")))</x:f>
      </x:c>
      <x:c r="CX101" s="7" t="str">
        <x:f>IF(OR($D101="",CX$5="",'상세일정'!AM101="제외"),"",IF($D101=$E101,IF(AND($D101&gt;=CX$5,$D101&lt;CX$5+7),"◆",""),IF(AND($D101&lt;CX$5+7,$E101&gt;CX$5),"■","")))</x:f>
      </x:c>
      <x:c r="CY101" s="7" t="str">
        <x:f>IF(OR($D101="",CY$5="",'상세일정'!AM101="제외"),"",IF($D101=$E101,IF(AND($D101&gt;=CY$5,$D101&lt;CY$5+7),"◆",""),IF(AND($D101&lt;CY$5+7,$E101&gt;CY$5),"■","")))</x:f>
      </x:c>
      <x:c r="CZ101" s="7" t="str">
        <x:f>IF(OR($D101="",CZ$5="",'상세일정'!AM101="제외"),"",IF($D101=$E101,IF(AND($D101&gt;=CZ$5,$D101&lt;CZ$5+7),"◆",""),IF(AND($D101&lt;CZ$5+7,$E101&gt;CZ$5),"■","")))</x:f>
      </x:c>
      <x:c r="DA101" s="7" t="str">
        <x:f>IF(OR($D101="",DA$5="",'상세일정'!AM101="제외"),"",IF($D101=$E101,IF(AND($D101&gt;=DA$5,$D101&lt;DA$5+7),"◆",""),IF(AND($D101&lt;DA$5+7,$E101&gt;DA$5),"■","")))</x:f>
      </x:c>
      <x:c r="DB101" s="7" t="str">
        <x:f>IF(OR($D101="",DB$5="",'상세일정'!AM101="제외"),"",IF($D101=$E101,IF(AND($D101&gt;=DB$5,$D101&lt;DB$5+7),"◆",""),IF(AND($D101&lt;DB$5+7,$E101&gt;DB$5),"■","")))</x:f>
      </x:c>
      <x:c r="DC101" s="7" t="str">
        <x:f>IF(OR($D101="",DC$5="",'상세일정'!AM101="제외"),"",IF($D101=$E101,IF(AND($D101&gt;=DC$5,$D101&lt;DC$5+7),"◆",""),IF(AND($D101&lt;DC$5+7,$E101&gt;DC$5),"■","")))</x:f>
      </x:c>
      <x:c r="DD101" s="7" t="str">
        <x:f>IF(OR($D101="",DD$5="",'상세일정'!AM101="제외"),"",IF($D101=$E101,IF(AND($D101&gt;=DD$5,$D101&lt;DD$5+7),"◆",""),IF(AND($D101&lt;DD$5+7,$E101&gt;DD$5),"■","")))</x:f>
      </x:c>
      <x:c r="DE101" s="7" t="str">
        <x:f>IF(OR($D101="",DE$5="",'상세일정'!AM101="제외"),"",IF($D101=$E101,IF(AND($D101&gt;=DE$5,$D101&lt;DE$5+7),"◆",""),IF(AND($D101&lt;DE$5+7,$E101&gt;DE$5),"■","")))</x:f>
      </x:c>
    </x:row>
    <x:row r="102" ht="34" customHeight="1">
      <x:c r="A102" s="7" t="str">
        <x:v>SA05</x:v>
      </x:c>
      <x:c r="B102" s="7" t="str">
        <x:v>15 착공 전 준비</x:v>
      </x:c>
      <x:c r="C102" s="7" t="str">
        <x:v>신고 접수·환경관리·폐기물 반출체계 확정</x:v>
      </x:c>
      <x:c r="D102" s="10" t="str">
        <x:f>'상세일정'!AJ102</x:f>
      </x:c>
      <x:c r="E102" s="10" t="str">
        <x:f>'상세일정'!AK102</x:f>
      </x:c>
      <x:c r="F102" s="7" t="str">
        <x:f>IF(OR($D102="",F$5="",'상세일정'!AM102="제외"),"",IF($D102=$E102,IF(AND($D102&gt;=F$5,$D102&lt;F$5+7),"◆",""),IF(AND($D102&lt;F$5+7,$E102&gt;F$5),"■","")))</x:f>
      </x:c>
      <x:c r="G102" s="7" t="str">
        <x:f>IF(OR($D102="",G$5="",'상세일정'!AM102="제외"),"",IF($D102=$E102,IF(AND($D102&gt;=G$5,$D102&lt;G$5+7),"◆",""),IF(AND($D102&lt;G$5+7,$E102&gt;G$5),"■","")))</x:f>
      </x:c>
      <x:c r="H102" s="7" t="str">
        <x:f>IF(OR($D102="",H$5="",'상세일정'!AM102="제외"),"",IF($D102=$E102,IF(AND($D102&gt;=H$5,$D102&lt;H$5+7),"◆",""),IF(AND($D102&lt;H$5+7,$E102&gt;H$5),"■","")))</x:f>
      </x:c>
      <x:c r="I102" s="7" t="str">
        <x:f>IF(OR($D102="",I$5="",'상세일정'!AM102="제외"),"",IF($D102=$E102,IF(AND($D102&gt;=I$5,$D102&lt;I$5+7),"◆",""),IF(AND($D102&lt;I$5+7,$E102&gt;I$5),"■","")))</x:f>
      </x:c>
      <x:c r="J102" s="7" t="str">
        <x:f>IF(OR($D102="",J$5="",'상세일정'!AM102="제외"),"",IF($D102=$E102,IF(AND($D102&gt;=J$5,$D102&lt;J$5+7),"◆",""),IF(AND($D102&lt;J$5+7,$E102&gt;J$5),"■","")))</x:f>
      </x:c>
      <x:c r="K102" s="7" t="str">
        <x:f>IF(OR($D102="",K$5="",'상세일정'!AM102="제외"),"",IF($D102=$E102,IF(AND($D102&gt;=K$5,$D102&lt;K$5+7),"◆",""),IF(AND($D102&lt;K$5+7,$E102&gt;K$5),"■","")))</x:f>
      </x:c>
      <x:c r="L102" s="7" t="str">
        <x:f>IF(OR($D102="",L$5="",'상세일정'!AM102="제외"),"",IF($D102=$E102,IF(AND($D102&gt;=L$5,$D102&lt;L$5+7),"◆",""),IF(AND($D102&lt;L$5+7,$E102&gt;L$5),"■","")))</x:f>
      </x:c>
      <x:c r="M102" s="7" t="str">
        <x:f>IF(OR($D102="",M$5="",'상세일정'!AM102="제외"),"",IF($D102=$E102,IF(AND($D102&gt;=M$5,$D102&lt;M$5+7),"◆",""),IF(AND($D102&lt;M$5+7,$E102&gt;M$5),"■","")))</x:f>
      </x:c>
      <x:c r="N102" s="7" t="str">
        <x:f>IF(OR($D102="",N$5="",'상세일정'!AM102="제외"),"",IF($D102=$E102,IF(AND($D102&gt;=N$5,$D102&lt;N$5+7),"◆",""),IF(AND($D102&lt;N$5+7,$E102&gt;N$5),"■","")))</x:f>
      </x:c>
      <x:c r="O102" s="7" t="str">
        <x:f>IF(OR($D102="",O$5="",'상세일정'!AM102="제외"),"",IF($D102=$E102,IF(AND($D102&gt;=O$5,$D102&lt;O$5+7),"◆",""),IF(AND($D102&lt;O$5+7,$E102&gt;O$5),"■","")))</x:f>
      </x:c>
      <x:c r="P102" s="7" t="str">
        <x:f>IF(OR($D102="",P$5="",'상세일정'!AM102="제외"),"",IF($D102=$E102,IF(AND($D102&gt;=P$5,$D102&lt;P$5+7),"◆",""),IF(AND($D102&lt;P$5+7,$E102&gt;P$5),"■","")))</x:f>
      </x:c>
      <x:c r="Q102" s="7" t="str">
        <x:f>IF(OR($D102="",Q$5="",'상세일정'!AM102="제외"),"",IF($D102=$E102,IF(AND($D102&gt;=Q$5,$D102&lt;Q$5+7),"◆",""),IF(AND($D102&lt;Q$5+7,$E102&gt;Q$5),"■","")))</x:f>
      </x:c>
      <x:c r="R102" s="7" t="str">
        <x:f>IF(OR($D102="",R$5="",'상세일정'!AM102="제외"),"",IF($D102=$E102,IF(AND($D102&gt;=R$5,$D102&lt;R$5+7),"◆",""),IF(AND($D102&lt;R$5+7,$E102&gt;R$5),"■","")))</x:f>
      </x:c>
      <x:c r="S102" s="7" t="str">
        <x:f>IF(OR($D102="",S$5="",'상세일정'!AM102="제외"),"",IF($D102=$E102,IF(AND($D102&gt;=S$5,$D102&lt;S$5+7),"◆",""),IF(AND($D102&lt;S$5+7,$E102&gt;S$5),"■","")))</x:f>
      </x:c>
      <x:c r="T102" s="7" t="str">
        <x:f>IF(OR($D102="",T$5="",'상세일정'!AM102="제외"),"",IF($D102=$E102,IF(AND($D102&gt;=T$5,$D102&lt;T$5+7),"◆",""),IF(AND($D102&lt;T$5+7,$E102&gt;T$5),"■","")))</x:f>
      </x:c>
      <x:c r="U102" s="7" t="str">
        <x:f>IF(OR($D102="",U$5="",'상세일정'!AM102="제외"),"",IF($D102=$E102,IF(AND($D102&gt;=U$5,$D102&lt;U$5+7),"◆",""),IF(AND($D102&lt;U$5+7,$E102&gt;U$5),"■","")))</x:f>
      </x:c>
      <x:c r="V102" s="7" t="str">
        <x:f>IF(OR($D102="",V$5="",'상세일정'!AM102="제외"),"",IF($D102=$E102,IF(AND($D102&gt;=V$5,$D102&lt;V$5+7),"◆",""),IF(AND($D102&lt;V$5+7,$E102&gt;V$5),"■","")))</x:f>
      </x:c>
      <x:c r="W102" s="7" t="str">
        <x:f>IF(OR($D102="",W$5="",'상세일정'!AM102="제외"),"",IF($D102=$E102,IF(AND($D102&gt;=W$5,$D102&lt;W$5+7),"◆",""),IF(AND($D102&lt;W$5+7,$E102&gt;W$5),"■","")))</x:f>
      </x:c>
      <x:c r="X102" s="7" t="str">
        <x:f>IF(OR($D102="",X$5="",'상세일정'!AM102="제외"),"",IF($D102=$E102,IF(AND($D102&gt;=X$5,$D102&lt;X$5+7),"◆",""),IF(AND($D102&lt;X$5+7,$E102&gt;X$5),"■","")))</x:f>
      </x:c>
      <x:c r="Y102" s="7" t="str">
        <x:f>IF(OR($D102="",Y$5="",'상세일정'!AM102="제외"),"",IF($D102=$E102,IF(AND($D102&gt;=Y$5,$D102&lt;Y$5+7),"◆",""),IF(AND($D102&lt;Y$5+7,$E102&gt;Y$5),"■","")))</x:f>
      </x:c>
      <x:c r="Z102" s="7" t="str">
        <x:f>IF(OR($D102="",Z$5="",'상세일정'!AM102="제외"),"",IF($D102=$E102,IF(AND($D102&gt;=Z$5,$D102&lt;Z$5+7),"◆",""),IF(AND($D102&lt;Z$5+7,$E102&gt;Z$5),"■","")))</x:f>
      </x:c>
      <x:c r="AA102" s="7" t="str">
        <x:f>IF(OR($D102="",AA$5="",'상세일정'!AM102="제외"),"",IF($D102=$E102,IF(AND($D102&gt;=AA$5,$D102&lt;AA$5+7),"◆",""),IF(AND($D102&lt;AA$5+7,$E102&gt;AA$5),"■","")))</x:f>
      </x:c>
      <x:c r="AB102" s="7" t="str">
        <x:f>IF(OR($D102="",AB$5="",'상세일정'!AM102="제외"),"",IF($D102=$E102,IF(AND($D102&gt;=AB$5,$D102&lt;AB$5+7),"◆",""),IF(AND($D102&lt;AB$5+7,$E102&gt;AB$5),"■","")))</x:f>
      </x:c>
      <x:c r="AC102" s="7" t="str">
        <x:f>IF(OR($D102="",AC$5="",'상세일정'!AM102="제외"),"",IF($D102=$E102,IF(AND($D102&gt;=AC$5,$D102&lt;AC$5+7),"◆",""),IF(AND($D102&lt;AC$5+7,$E102&gt;AC$5),"■","")))</x:f>
      </x:c>
      <x:c r="AD102" s="7" t="str">
        <x:f>IF(OR($D102="",AD$5="",'상세일정'!AM102="제외"),"",IF($D102=$E102,IF(AND($D102&gt;=AD$5,$D102&lt;AD$5+7),"◆",""),IF(AND($D102&lt;AD$5+7,$E102&gt;AD$5),"■","")))</x:f>
      </x:c>
      <x:c r="AE102" s="7" t="str">
        <x:f>IF(OR($D102="",AE$5="",'상세일정'!AM102="제외"),"",IF($D102=$E102,IF(AND($D102&gt;=AE$5,$D102&lt;AE$5+7),"◆",""),IF(AND($D102&lt;AE$5+7,$E102&gt;AE$5),"■","")))</x:f>
      </x:c>
      <x:c r="AF102" s="7" t="str">
        <x:f>IF(OR($D102="",AF$5="",'상세일정'!AM102="제외"),"",IF($D102=$E102,IF(AND($D102&gt;=AF$5,$D102&lt;AF$5+7),"◆",""),IF(AND($D102&lt;AF$5+7,$E102&gt;AF$5),"■","")))</x:f>
      </x:c>
      <x:c r="AG102" s="7" t="str">
        <x:f>IF(OR($D102="",AG$5="",'상세일정'!AM102="제외"),"",IF($D102=$E102,IF(AND($D102&gt;=AG$5,$D102&lt;AG$5+7),"◆",""),IF(AND($D102&lt;AG$5+7,$E102&gt;AG$5),"■","")))</x:f>
      </x:c>
      <x:c r="AH102" s="7" t="str">
        <x:f>IF(OR($D102="",AH$5="",'상세일정'!AM102="제외"),"",IF($D102=$E102,IF(AND($D102&gt;=AH$5,$D102&lt;AH$5+7),"◆",""),IF(AND($D102&lt;AH$5+7,$E102&gt;AH$5),"■","")))</x:f>
      </x:c>
      <x:c r="AI102" s="7" t="str">
        <x:f>IF(OR($D102="",AI$5="",'상세일정'!AM102="제외"),"",IF($D102=$E102,IF(AND($D102&gt;=AI$5,$D102&lt;AI$5+7),"◆",""),IF(AND($D102&lt;AI$5+7,$E102&gt;AI$5),"■","")))</x:f>
      </x:c>
      <x:c r="AJ102" s="7" t="str">
        <x:f>IF(OR($D102="",AJ$5="",'상세일정'!AM102="제외"),"",IF($D102=$E102,IF(AND($D102&gt;=AJ$5,$D102&lt;AJ$5+7),"◆",""),IF(AND($D102&lt;AJ$5+7,$E102&gt;AJ$5),"■","")))</x:f>
      </x:c>
      <x:c r="AK102" s="7" t="str">
        <x:f>IF(OR($D102="",AK$5="",'상세일정'!AM102="제외"),"",IF($D102=$E102,IF(AND($D102&gt;=AK$5,$D102&lt;AK$5+7),"◆",""),IF(AND($D102&lt;AK$5+7,$E102&gt;AK$5),"■","")))</x:f>
      </x:c>
      <x:c r="AL102" s="7" t="str">
        <x:f>IF(OR($D102="",AL$5="",'상세일정'!AM102="제외"),"",IF($D102=$E102,IF(AND($D102&gt;=AL$5,$D102&lt;AL$5+7),"◆",""),IF(AND($D102&lt;AL$5+7,$E102&gt;AL$5),"■","")))</x:f>
      </x:c>
      <x:c r="AM102" s="7" t="str">
        <x:f>IF(OR($D102="",AM$5="",'상세일정'!AM102="제외"),"",IF($D102=$E102,IF(AND($D102&gt;=AM$5,$D102&lt;AM$5+7),"◆",""),IF(AND($D102&lt;AM$5+7,$E102&gt;AM$5),"■","")))</x:f>
      </x:c>
      <x:c r="AN102" s="7" t="str">
        <x:f>IF(OR($D102="",AN$5="",'상세일정'!AM102="제외"),"",IF($D102=$E102,IF(AND($D102&gt;=AN$5,$D102&lt;AN$5+7),"◆",""),IF(AND($D102&lt;AN$5+7,$E102&gt;AN$5),"■","")))</x:f>
      </x:c>
      <x:c r="AO102" s="7" t="str">
        <x:f>IF(OR($D102="",AO$5="",'상세일정'!AM102="제외"),"",IF($D102=$E102,IF(AND($D102&gt;=AO$5,$D102&lt;AO$5+7),"◆",""),IF(AND($D102&lt;AO$5+7,$E102&gt;AO$5),"■","")))</x:f>
      </x:c>
      <x:c r="AP102" s="7" t="str">
        <x:f>IF(OR($D102="",AP$5="",'상세일정'!AM102="제외"),"",IF($D102=$E102,IF(AND($D102&gt;=AP$5,$D102&lt;AP$5+7),"◆",""),IF(AND($D102&lt;AP$5+7,$E102&gt;AP$5),"■","")))</x:f>
      </x:c>
      <x:c r="AQ102" s="7" t="str">
        <x:f>IF(OR($D102="",AQ$5="",'상세일정'!AM102="제외"),"",IF($D102=$E102,IF(AND($D102&gt;=AQ$5,$D102&lt;AQ$5+7),"◆",""),IF(AND($D102&lt;AQ$5+7,$E102&gt;AQ$5),"■","")))</x:f>
      </x:c>
      <x:c r="AR102" s="7" t="str">
        <x:f>IF(OR($D102="",AR$5="",'상세일정'!AM102="제외"),"",IF($D102=$E102,IF(AND($D102&gt;=AR$5,$D102&lt;AR$5+7),"◆",""),IF(AND($D102&lt;AR$5+7,$E102&gt;AR$5),"■","")))</x:f>
      </x:c>
      <x:c r="AS102" s="7" t="str">
        <x:f>IF(OR($D102="",AS$5="",'상세일정'!AM102="제외"),"",IF($D102=$E102,IF(AND($D102&gt;=AS$5,$D102&lt;AS$5+7),"◆",""),IF(AND($D102&lt;AS$5+7,$E102&gt;AS$5),"■","")))</x:f>
      </x:c>
      <x:c r="AT102" s="7" t="str">
        <x:f>IF(OR($D102="",AT$5="",'상세일정'!AM102="제외"),"",IF($D102=$E102,IF(AND($D102&gt;=AT$5,$D102&lt;AT$5+7),"◆",""),IF(AND($D102&lt;AT$5+7,$E102&gt;AT$5),"■","")))</x:f>
      </x:c>
      <x:c r="AU102" s="7" t="str">
        <x:f>IF(OR($D102="",AU$5="",'상세일정'!AM102="제외"),"",IF($D102=$E102,IF(AND($D102&gt;=AU$5,$D102&lt;AU$5+7),"◆",""),IF(AND($D102&lt;AU$5+7,$E102&gt;AU$5),"■","")))</x:f>
      </x:c>
      <x:c r="AV102" s="7" t="str">
        <x:f>IF(OR($D102="",AV$5="",'상세일정'!AM102="제외"),"",IF($D102=$E102,IF(AND($D102&gt;=AV$5,$D102&lt;AV$5+7),"◆",""),IF(AND($D102&lt;AV$5+7,$E102&gt;AV$5),"■","")))</x:f>
      </x:c>
      <x:c r="AW102" s="7" t="str">
        <x:f>IF(OR($D102="",AW$5="",'상세일정'!AM102="제외"),"",IF($D102=$E102,IF(AND($D102&gt;=AW$5,$D102&lt;AW$5+7),"◆",""),IF(AND($D102&lt;AW$5+7,$E102&gt;AW$5),"■","")))</x:f>
      </x:c>
      <x:c r="AX102" s="7" t="str">
        <x:f>IF(OR($D102="",AX$5="",'상세일정'!AM102="제외"),"",IF($D102=$E102,IF(AND($D102&gt;=AX$5,$D102&lt;AX$5+7),"◆",""),IF(AND($D102&lt;AX$5+7,$E102&gt;AX$5),"■","")))</x:f>
      </x:c>
      <x:c r="AY102" s="7" t="str">
        <x:f>IF(OR($D102="",AY$5="",'상세일정'!AM102="제외"),"",IF($D102=$E102,IF(AND($D102&gt;=AY$5,$D102&lt;AY$5+7),"◆",""),IF(AND($D102&lt;AY$5+7,$E102&gt;AY$5),"■","")))</x:f>
      </x:c>
      <x:c r="AZ102" s="7" t="str">
        <x:f>IF(OR($D102="",AZ$5="",'상세일정'!AM102="제외"),"",IF($D102=$E102,IF(AND($D102&gt;=AZ$5,$D102&lt;AZ$5+7),"◆",""),IF(AND($D102&lt;AZ$5+7,$E102&gt;AZ$5),"■","")))</x:f>
      </x:c>
      <x:c r="BA102" s="7" t="str">
        <x:f>IF(OR($D102="",BA$5="",'상세일정'!AM102="제외"),"",IF($D102=$E102,IF(AND($D102&gt;=BA$5,$D102&lt;BA$5+7),"◆",""),IF(AND($D102&lt;BA$5+7,$E102&gt;BA$5),"■","")))</x:f>
      </x:c>
      <x:c r="BB102" s="7" t="str">
        <x:f>IF(OR($D102="",BB$5="",'상세일정'!AM102="제외"),"",IF($D102=$E102,IF(AND($D102&gt;=BB$5,$D102&lt;BB$5+7),"◆",""),IF(AND($D102&lt;BB$5+7,$E102&gt;BB$5),"■","")))</x:f>
      </x:c>
      <x:c r="BC102" s="7" t="str">
        <x:f>IF(OR($D102="",BC$5="",'상세일정'!AM102="제외"),"",IF($D102=$E102,IF(AND($D102&gt;=BC$5,$D102&lt;BC$5+7),"◆",""),IF(AND($D102&lt;BC$5+7,$E102&gt;BC$5),"■","")))</x:f>
      </x:c>
      <x:c r="BD102" s="7" t="str">
        <x:f>IF(OR($D102="",BD$5="",'상세일정'!AM102="제외"),"",IF($D102=$E102,IF(AND($D102&gt;=BD$5,$D102&lt;BD$5+7),"◆",""),IF(AND($D102&lt;BD$5+7,$E102&gt;BD$5),"■","")))</x:f>
      </x:c>
      <x:c r="BE102" s="7" t="str">
        <x:f>IF(OR($D102="",BE$5="",'상세일정'!AM102="제외"),"",IF($D102=$E102,IF(AND($D102&gt;=BE$5,$D102&lt;BE$5+7),"◆",""),IF(AND($D102&lt;BE$5+7,$E102&gt;BE$5),"■","")))</x:f>
      </x:c>
      <x:c r="BF102" s="7" t="str">
        <x:f>IF(OR($D102="",BF$5="",'상세일정'!AM102="제외"),"",IF($D102=$E102,IF(AND($D102&gt;=BF$5,$D102&lt;BF$5+7),"◆",""),IF(AND($D102&lt;BF$5+7,$E102&gt;BF$5),"■","")))</x:f>
      </x:c>
      <x:c r="BG102" s="7" t="str">
        <x:f>IF(OR($D102="",BG$5="",'상세일정'!AM102="제외"),"",IF($D102=$E102,IF(AND($D102&gt;=BG$5,$D102&lt;BG$5+7),"◆",""),IF(AND($D102&lt;BG$5+7,$E102&gt;BG$5),"■","")))</x:f>
      </x:c>
      <x:c r="BH102" s="7" t="str">
        <x:f>IF(OR($D102="",BH$5="",'상세일정'!AM102="제외"),"",IF($D102=$E102,IF(AND($D102&gt;=BH$5,$D102&lt;BH$5+7),"◆",""),IF(AND($D102&lt;BH$5+7,$E102&gt;BH$5),"■","")))</x:f>
      </x:c>
      <x:c r="BI102" s="7" t="str">
        <x:f>IF(OR($D102="",BI$5="",'상세일정'!AM102="제외"),"",IF($D102=$E102,IF(AND($D102&gt;=BI$5,$D102&lt;BI$5+7),"◆",""),IF(AND($D102&lt;BI$5+7,$E102&gt;BI$5),"■","")))</x:f>
      </x:c>
      <x:c r="BJ102" s="7" t="str">
        <x:f>IF(OR($D102="",BJ$5="",'상세일정'!AM102="제외"),"",IF($D102=$E102,IF(AND($D102&gt;=BJ$5,$D102&lt;BJ$5+7),"◆",""),IF(AND($D102&lt;BJ$5+7,$E102&gt;BJ$5),"■","")))</x:f>
      </x:c>
      <x:c r="BK102" s="7" t="str">
        <x:f>IF(OR($D102="",BK$5="",'상세일정'!AM102="제외"),"",IF($D102=$E102,IF(AND($D102&gt;=BK$5,$D102&lt;BK$5+7),"◆",""),IF(AND($D102&lt;BK$5+7,$E102&gt;BK$5),"■","")))</x:f>
      </x:c>
      <x:c r="BL102" s="7" t="str">
        <x:f>IF(OR($D102="",BL$5="",'상세일정'!AM102="제외"),"",IF($D102=$E102,IF(AND($D102&gt;=BL$5,$D102&lt;BL$5+7),"◆",""),IF(AND($D102&lt;BL$5+7,$E102&gt;BL$5),"■","")))</x:f>
      </x:c>
      <x:c r="BM102" s="7" t="str">
        <x:f>IF(OR($D102="",BM$5="",'상세일정'!AM102="제외"),"",IF($D102=$E102,IF(AND($D102&gt;=BM$5,$D102&lt;BM$5+7),"◆",""),IF(AND($D102&lt;BM$5+7,$E102&gt;BM$5),"■","")))</x:f>
      </x:c>
      <x:c r="BN102" s="7" t="str">
        <x:f>IF(OR($D102="",BN$5="",'상세일정'!AM102="제외"),"",IF($D102=$E102,IF(AND($D102&gt;=BN$5,$D102&lt;BN$5+7),"◆",""),IF(AND($D102&lt;BN$5+7,$E102&gt;BN$5),"■","")))</x:f>
      </x:c>
      <x:c r="BO102" s="7" t="str">
        <x:f>IF(OR($D102="",BO$5="",'상세일정'!AM102="제외"),"",IF($D102=$E102,IF(AND($D102&gt;=BO$5,$D102&lt;BO$5+7),"◆",""),IF(AND($D102&lt;BO$5+7,$E102&gt;BO$5),"■","")))</x:f>
      </x:c>
      <x:c r="BP102" s="7" t="str">
        <x:f>IF(OR($D102="",BP$5="",'상세일정'!AM102="제외"),"",IF($D102=$E102,IF(AND($D102&gt;=BP$5,$D102&lt;BP$5+7),"◆",""),IF(AND($D102&lt;BP$5+7,$E102&gt;BP$5),"■","")))</x:f>
      </x:c>
      <x:c r="BQ102" s="7" t="str">
        <x:f>IF(OR($D102="",BQ$5="",'상세일정'!AM102="제외"),"",IF($D102=$E102,IF(AND($D102&gt;=BQ$5,$D102&lt;BQ$5+7),"◆",""),IF(AND($D102&lt;BQ$5+7,$E102&gt;BQ$5),"■","")))</x:f>
      </x:c>
      <x:c r="BR102" s="7" t="str">
        <x:f>IF(OR($D102="",BR$5="",'상세일정'!AM102="제외"),"",IF($D102=$E102,IF(AND($D102&gt;=BR$5,$D102&lt;BR$5+7),"◆",""),IF(AND($D102&lt;BR$5+7,$E102&gt;BR$5),"■","")))</x:f>
      </x:c>
      <x:c r="BS102" s="7" t="str">
        <x:f>IF(OR($D102="",BS$5="",'상세일정'!AM102="제외"),"",IF($D102=$E102,IF(AND($D102&gt;=BS$5,$D102&lt;BS$5+7),"◆",""),IF(AND($D102&lt;BS$5+7,$E102&gt;BS$5),"■","")))</x:f>
      </x:c>
      <x:c r="BT102" s="7" t="str">
        <x:f>IF(OR($D102="",BT$5="",'상세일정'!AM102="제외"),"",IF($D102=$E102,IF(AND($D102&gt;=BT$5,$D102&lt;BT$5+7),"◆",""),IF(AND($D102&lt;BT$5+7,$E102&gt;BT$5),"■","")))</x:f>
      </x:c>
      <x:c r="BU102" s="7" t="str">
        <x:f>IF(OR($D102="",BU$5="",'상세일정'!AM102="제외"),"",IF($D102=$E102,IF(AND($D102&gt;=BU$5,$D102&lt;BU$5+7),"◆",""),IF(AND($D102&lt;BU$5+7,$E102&gt;BU$5),"■","")))</x:f>
      </x:c>
      <x:c r="BV102" s="7" t="str">
        <x:f>IF(OR($D102="",BV$5="",'상세일정'!AM102="제외"),"",IF($D102=$E102,IF(AND($D102&gt;=BV$5,$D102&lt;BV$5+7),"◆",""),IF(AND($D102&lt;BV$5+7,$E102&gt;BV$5),"■","")))</x:f>
      </x:c>
      <x:c r="BW102" s="7" t="str">
        <x:f>IF(OR($D102="",BW$5="",'상세일정'!AM102="제외"),"",IF($D102=$E102,IF(AND($D102&gt;=BW$5,$D102&lt;BW$5+7),"◆",""),IF(AND($D102&lt;BW$5+7,$E102&gt;BW$5),"■","")))</x:f>
      </x:c>
      <x:c r="BX102" s="7" t="str">
        <x:f>IF(OR($D102="",BX$5="",'상세일정'!AM102="제외"),"",IF($D102=$E102,IF(AND($D102&gt;=BX$5,$D102&lt;BX$5+7),"◆",""),IF(AND($D102&lt;BX$5+7,$E102&gt;BX$5),"■","")))</x:f>
      </x:c>
      <x:c r="BY102" s="7" t="str">
        <x:f>IF(OR($D102="",BY$5="",'상세일정'!AM102="제외"),"",IF($D102=$E102,IF(AND($D102&gt;=BY$5,$D102&lt;BY$5+7),"◆",""),IF(AND($D102&lt;BY$5+7,$E102&gt;BY$5),"■","")))</x:f>
      </x:c>
      <x:c r="BZ102" s="7" t="str">
        <x:f>IF(OR($D102="",BZ$5="",'상세일정'!AM102="제외"),"",IF($D102=$E102,IF(AND($D102&gt;=BZ$5,$D102&lt;BZ$5+7),"◆",""),IF(AND($D102&lt;BZ$5+7,$E102&gt;BZ$5),"■","")))</x:f>
      </x:c>
      <x:c r="CA102" s="7" t="str">
        <x:f>IF(OR($D102="",CA$5="",'상세일정'!AM102="제외"),"",IF($D102=$E102,IF(AND($D102&gt;=CA$5,$D102&lt;CA$5+7),"◆",""),IF(AND($D102&lt;CA$5+7,$E102&gt;CA$5),"■","")))</x:f>
      </x:c>
      <x:c r="CB102" s="7" t="str">
        <x:f>IF(OR($D102="",CB$5="",'상세일정'!AM102="제외"),"",IF($D102=$E102,IF(AND($D102&gt;=CB$5,$D102&lt;CB$5+7),"◆",""),IF(AND($D102&lt;CB$5+7,$E102&gt;CB$5),"■","")))</x:f>
      </x:c>
      <x:c r="CC102" s="7" t="str">
        <x:f>IF(OR($D102="",CC$5="",'상세일정'!AM102="제외"),"",IF($D102=$E102,IF(AND($D102&gt;=CC$5,$D102&lt;CC$5+7),"◆",""),IF(AND($D102&lt;CC$5+7,$E102&gt;CC$5),"■","")))</x:f>
      </x:c>
      <x:c r="CD102" s="7" t="str">
        <x:f>IF(OR($D102="",CD$5="",'상세일정'!AM102="제외"),"",IF($D102=$E102,IF(AND($D102&gt;=CD$5,$D102&lt;CD$5+7),"◆",""),IF(AND($D102&lt;CD$5+7,$E102&gt;CD$5),"■","")))</x:f>
      </x:c>
      <x:c r="CE102" s="7" t="str">
        <x:f>IF(OR($D102="",CE$5="",'상세일정'!AM102="제외"),"",IF($D102=$E102,IF(AND($D102&gt;=CE$5,$D102&lt;CE$5+7),"◆",""),IF(AND($D102&lt;CE$5+7,$E102&gt;CE$5),"■","")))</x:f>
      </x:c>
      <x:c r="CF102" s="7" t="str">
        <x:f>IF(OR($D102="",CF$5="",'상세일정'!AM102="제외"),"",IF($D102=$E102,IF(AND($D102&gt;=CF$5,$D102&lt;CF$5+7),"◆",""),IF(AND($D102&lt;CF$5+7,$E102&gt;CF$5),"■","")))</x:f>
      </x:c>
      <x:c r="CG102" s="7" t="str">
        <x:f>IF(OR($D102="",CG$5="",'상세일정'!AM102="제외"),"",IF($D102=$E102,IF(AND($D102&gt;=CG$5,$D102&lt;CG$5+7),"◆",""),IF(AND($D102&lt;CG$5+7,$E102&gt;CG$5),"■","")))</x:f>
      </x:c>
      <x:c r="CH102" s="7" t="str">
        <x:f>IF(OR($D102="",CH$5="",'상세일정'!AM102="제외"),"",IF($D102=$E102,IF(AND($D102&gt;=CH$5,$D102&lt;CH$5+7),"◆",""),IF(AND($D102&lt;CH$5+7,$E102&gt;CH$5),"■","")))</x:f>
      </x:c>
      <x:c r="CI102" s="7" t="str">
        <x:f>IF(OR($D102="",CI$5="",'상세일정'!AM102="제외"),"",IF($D102=$E102,IF(AND($D102&gt;=CI$5,$D102&lt;CI$5+7),"◆",""),IF(AND($D102&lt;CI$5+7,$E102&gt;CI$5),"■","")))</x:f>
      </x:c>
      <x:c r="CJ102" s="7" t="str">
        <x:f>IF(OR($D102="",CJ$5="",'상세일정'!AM102="제외"),"",IF($D102=$E102,IF(AND($D102&gt;=CJ$5,$D102&lt;CJ$5+7),"◆",""),IF(AND($D102&lt;CJ$5+7,$E102&gt;CJ$5),"■","")))</x:f>
      </x:c>
      <x:c r="CK102" s="7" t="str">
        <x:f>IF(OR($D102="",CK$5="",'상세일정'!AM102="제외"),"",IF($D102=$E102,IF(AND($D102&gt;=CK$5,$D102&lt;CK$5+7),"◆",""),IF(AND($D102&lt;CK$5+7,$E102&gt;CK$5),"■","")))</x:f>
      </x:c>
      <x:c r="CL102" s="7" t="str">
        <x:f>IF(OR($D102="",CL$5="",'상세일정'!AM102="제외"),"",IF($D102=$E102,IF(AND($D102&gt;=CL$5,$D102&lt;CL$5+7),"◆",""),IF(AND($D102&lt;CL$5+7,$E102&gt;CL$5),"■","")))</x:f>
      </x:c>
      <x:c r="CM102" s="7" t="str">
        <x:f>IF(OR($D102="",CM$5="",'상세일정'!AM102="제외"),"",IF($D102=$E102,IF(AND($D102&gt;=CM$5,$D102&lt;CM$5+7),"◆",""),IF(AND($D102&lt;CM$5+7,$E102&gt;CM$5),"■","")))</x:f>
      </x:c>
      <x:c r="CN102" s="7" t="str">
        <x:f>IF(OR($D102="",CN$5="",'상세일정'!AM102="제외"),"",IF($D102=$E102,IF(AND($D102&gt;=CN$5,$D102&lt;CN$5+7),"◆",""),IF(AND($D102&lt;CN$5+7,$E102&gt;CN$5),"■","")))</x:f>
      </x:c>
      <x:c r="CO102" s="7" t="str">
        <x:f>IF(OR($D102="",CO$5="",'상세일정'!AM102="제외"),"",IF($D102=$E102,IF(AND($D102&gt;=CO$5,$D102&lt;CO$5+7),"◆",""),IF(AND($D102&lt;CO$5+7,$E102&gt;CO$5),"■","")))</x:f>
      </x:c>
      <x:c r="CP102" s="7" t="str">
        <x:f>IF(OR($D102="",CP$5="",'상세일정'!AM102="제외"),"",IF($D102=$E102,IF(AND($D102&gt;=CP$5,$D102&lt;CP$5+7),"◆",""),IF(AND($D102&lt;CP$5+7,$E102&gt;CP$5),"■","")))</x:f>
      </x:c>
      <x:c r="CQ102" s="7" t="str">
        <x:f>IF(OR($D102="",CQ$5="",'상세일정'!AM102="제외"),"",IF($D102=$E102,IF(AND($D102&gt;=CQ$5,$D102&lt;CQ$5+7),"◆",""),IF(AND($D102&lt;CQ$5+7,$E102&gt;CQ$5),"■","")))</x:f>
      </x:c>
      <x:c r="CR102" s="7" t="str">
        <x:f>IF(OR($D102="",CR$5="",'상세일정'!AM102="제외"),"",IF($D102=$E102,IF(AND($D102&gt;=CR$5,$D102&lt;CR$5+7),"◆",""),IF(AND($D102&lt;CR$5+7,$E102&gt;CR$5),"■","")))</x:f>
      </x:c>
      <x:c r="CS102" s="7" t="str">
        <x:f>IF(OR($D102="",CS$5="",'상세일정'!AM102="제외"),"",IF($D102=$E102,IF(AND($D102&gt;=CS$5,$D102&lt;CS$5+7),"◆",""),IF(AND($D102&lt;CS$5+7,$E102&gt;CS$5),"■","")))</x:f>
      </x:c>
      <x:c r="CT102" s="7" t="str">
        <x:f>IF(OR($D102="",CT$5="",'상세일정'!AM102="제외"),"",IF($D102=$E102,IF(AND($D102&gt;=CT$5,$D102&lt;CT$5+7),"◆",""),IF(AND($D102&lt;CT$5+7,$E102&gt;CT$5),"■","")))</x:f>
      </x:c>
      <x:c r="CU102" s="7" t="str">
        <x:f>IF(OR($D102="",CU$5="",'상세일정'!AM102="제외"),"",IF($D102=$E102,IF(AND($D102&gt;=CU$5,$D102&lt;CU$5+7),"◆",""),IF(AND($D102&lt;CU$5+7,$E102&gt;CU$5),"■","")))</x:f>
      </x:c>
      <x:c r="CV102" s="7" t="str">
        <x:f>IF(OR($D102="",CV$5="",'상세일정'!AM102="제외"),"",IF($D102=$E102,IF(AND($D102&gt;=CV$5,$D102&lt;CV$5+7),"◆",""),IF(AND($D102&lt;CV$5+7,$E102&gt;CV$5),"■","")))</x:f>
      </x:c>
      <x:c r="CW102" s="7" t="str">
        <x:f>IF(OR($D102="",CW$5="",'상세일정'!AM102="제외"),"",IF($D102=$E102,IF(AND($D102&gt;=CW$5,$D102&lt;CW$5+7),"◆",""),IF(AND($D102&lt;CW$5+7,$E102&gt;CW$5),"■","")))</x:f>
      </x:c>
      <x:c r="CX102" s="7" t="str">
        <x:f>IF(OR($D102="",CX$5="",'상세일정'!AM102="제외"),"",IF($D102=$E102,IF(AND($D102&gt;=CX$5,$D102&lt;CX$5+7),"◆",""),IF(AND($D102&lt;CX$5+7,$E102&gt;CX$5),"■","")))</x:f>
      </x:c>
      <x:c r="CY102" s="7" t="str">
        <x:f>IF(OR($D102="",CY$5="",'상세일정'!AM102="제외"),"",IF($D102=$E102,IF(AND($D102&gt;=CY$5,$D102&lt;CY$5+7),"◆",""),IF(AND($D102&lt;CY$5+7,$E102&gt;CY$5),"■","")))</x:f>
      </x:c>
      <x:c r="CZ102" s="7" t="str">
        <x:f>IF(OR($D102="",CZ$5="",'상세일정'!AM102="제외"),"",IF($D102=$E102,IF(AND($D102&gt;=CZ$5,$D102&lt;CZ$5+7),"◆",""),IF(AND($D102&lt;CZ$5+7,$E102&gt;CZ$5),"■","")))</x:f>
      </x:c>
      <x:c r="DA102" s="7" t="str">
        <x:f>IF(OR($D102="",DA$5="",'상세일정'!AM102="제외"),"",IF($D102=$E102,IF(AND($D102&gt;=DA$5,$D102&lt;DA$5+7),"◆",""),IF(AND($D102&lt;DA$5+7,$E102&gt;DA$5),"■","")))</x:f>
      </x:c>
      <x:c r="DB102" s="7" t="str">
        <x:f>IF(OR($D102="",DB$5="",'상세일정'!AM102="제외"),"",IF($D102=$E102,IF(AND($D102&gt;=DB$5,$D102&lt;DB$5+7),"◆",""),IF(AND($D102&lt;DB$5+7,$E102&gt;DB$5),"■","")))</x:f>
      </x:c>
      <x:c r="DC102" s="7" t="str">
        <x:f>IF(OR($D102="",DC$5="",'상세일정'!AM102="제외"),"",IF($D102=$E102,IF(AND($D102&gt;=DC$5,$D102&lt;DC$5+7),"◆",""),IF(AND($D102&lt;DC$5+7,$E102&gt;DC$5),"■","")))</x:f>
      </x:c>
      <x:c r="DD102" s="7" t="str">
        <x:f>IF(OR($D102="",DD$5="",'상세일정'!AM102="제외"),"",IF($D102=$E102,IF(AND($D102&gt;=DD$5,$D102&lt;DD$5+7),"◆",""),IF(AND($D102&lt;DD$5+7,$E102&gt;DD$5),"■","")))</x:f>
      </x:c>
      <x:c r="DE102" s="7" t="str">
        <x:f>IF(OR($D102="",DE$5="",'상세일정'!AM102="제외"),"",IF($D102=$E102,IF(AND($D102&gt;=DE$5,$D102&lt;DE$5+7),"◆",""),IF(AND($D102&lt;DE$5+7,$E102&gt;DE$5),"■","")))</x:f>
      </x:c>
    </x:row>
    <x:row r="103" ht="34" customHeight="1">
      <x:c r="A103" s="7" t="str">
        <x:v>SA06</x:v>
      </x:c>
      <x:c r="B103" s="7" t="str">
        <x:v>15 착공 전 준비</x:v>
      </x:c>
      <x:c r="C103" s="7" t="str">
        <x:v>정보통신·소방·전기 공사 관련 신고 확인</x:v>
      </x:c>
      <x:c r="D103" s="10" t="str">
        <x:f>'상세일정'!AJ103</x:f>
      </x:c>
      <x:c r="E103" s="10" t="str">
        <x:f>'상세일정'!AK103</x:f>
      </x:c>
      <x:c r="F103" s="7" t="str">
        <x:f>IF(OR($D103="",F$5="",'상세일정'!AM103="제외"),"",IF($D103=$E103,IF(AND($D103&gt;=F$5,$D103&lt;F$5+7),"◆",""),IF(AND($D103&lt;F$5+7,$E103&gt;F$5),"■","")))</x:f>
      </x:c>
      <x:c r="G103" s="7" t="str">
        <x:f>IF(OR($D103="",G$5="",'상세일정'!AM103="제외"),"",IF($D103=$E103,IF(AND($D103&gt;=G$5,$D103&lt;G$5+7),"◆",""),IF(AND($D103&lt;G$5+7,$E103&gt;G$5),"■","")))</x:f>
      </x:c>
      <x:c r="H103" s="7" t="str">
        <x:f>IF(OR($D103="",H$5="",'상세일정'!AM103="제외"),"",IF($D103=$E103,IF(AND($D103&gt;=H$5,$D103&lt;H$5+7),"◆",""),IF(AND($D103&lt;H$5+7,$E103&gt;H$5),"■","")))</x:f>
      </x:c>
      <x:c r="I103" s="7" t="str">
        <x:f>IF(OR($D103="",I$5="",'상세일정'!AM103="제외"),"",IF($D103=$E103,IF(AND($D103&gt;=I$5,$D103&lt;I$5+7),"◆",""),IF(AND($D103&lt;I$5+7,$E103&gt;I$5),"■","")))</x:f>
      </x:c>
      <x:c r="J103" s="7" t="str">
        <x:f>IF(OR($D103="",J$5="",'상세일정'!AM103="제외"),"",IF($D103=$E103,IF(AND($D103&gt;=J$5,$D103&lt;J$5+7),"◆",""),IF(AND($D103&lt;J$5+7,$E103&gt;J$5),"■","")))</x:f>
      </x:c>
      <x:c r="K103" s="7" t="str">
        <x:f>IF(OR($D103="",K$5="",'상세일정'!AM103="제외"),"",IF($D103=$E103,IF(AND($D103&gt;=K$5,$D103&lt;K$5+7),"◆",""),IF(AND($D103&lt;K$5+7,$E103&gt;K$5),"■","")))</x:f>
      </x:c>
      <x:c r="L103" s="7" t="str">
        <x:f>IF(OR($D103="",L$5="",'상세일정'!AM103="제외"),"",IF($D103=$E103,IF(AND($D103&gt;=L$5,$D103&lt;L$5+7),"◆",""),IF(AND($D103&lt;L$5+7,$E103&gt;L$5),"■","")))</x:f>
      </x:c>
      <x:c r="M103" s="7" t="str">
        <x:f>IF(OR($D103="",M$5="",'상세일정'!AM103="제외"),"",IF($D103=$E103,IF(AND($D103&gt;=M$5,$D103&lt;M$5+7),"◆",""),IF(AND($D103&lt;M$5+7,$E103&gt;M$5),"■","")))</x:f>
      </x:c>
      <x:c r="N103" s="7" t="str">
        <x:f>IF(OR($D103="",N$5="",'상세일정'!AM103="제외"),"",IF($D103=$E103,IF(AND($D103&gt;=N$5,$D103&lt;N$5+7),"◆",""),IF(AND($D103&lt;N$5+7,$E103&gt;N$5),"■","")))</x:f>
      </x:c>
      <x:c r="O103" s="7" t="str">
        <x:f>IF(OR($D103="",O$5="",'상세일정'!AM103="제외"),"",IF($D103=$E103,IF(AND($D103&gt;=O$5,$D103&lt;O$5+7),"◆",""),IF(AND($D103&lt;O$5+7,$E103&gt;O$5),"■","")))</x:f>
      </x:c>
      <x:c r="P103" s="7" t="str">
        <x:f>IF(OR($D103="",P$5="",'상세일정'!AM103="제외"),"",IF($D103=$E103,IF(AND($D103&gt;=P$5,$D103&lt;P$5+7),"◆",""),IF(AND($D103&lt;P$5+7,$E103&gt;P$5),"■","")))</x:f>
      </x:c>
      <x:c r="Q103" s="7" t="str">
        <x:f>IF(OR($D103="",Q$5="",'상세일정'!AM103="제외"),"",IF($D103=$E103,IF(AND($D103&gt;=Q$5,$D103&lt;Q$5+7),"◆",""),IF(AND($D103&lt;Q$5+7,$E103&gt;Q$5),"■","")))</x:f>
      </x:c>
      <x:c r="R103" s="7" t="str">
        <x:f>IF(OR($D103="",R$5="",'상세일정'!AM103="제외"),"",IF($D103=$E103,IF(AND($D103&gt;=R$5,$D103&lt;R$5+7),"◆",""),IF(AND($D103&lt;R$5+7,$E103&gt;R$5),"■","")))</x:f>
      </x:c>
      <x:c r="S103" s="7" t="str">
        <x:f>IF(OR($D103="",S$5="",'상세일정'!AM103="제외"),"",IF($D103=$E103,IF(AND($D103&gt;=S$5,$D103&lt;S$5+7),"◆",""),IF(AND($D103&lt;S$5+7,$E103&gt;S$5),"■","")))</x:f>
      </x:c>
      <x:c r="T103" s="7" t="str">
        <x:f>IF(OR($D103="",T$5="",'상세일정'!AM103="제외"),"",IF($D103=$E103,IF(AND($D103&gt;=T$5,$D103&lt;T$5+7),"◆",""),IF(AND($D103&lt;T$5+7,$E103&gt;T$5),"■","")))</x:f>
      </x:c>
      <x:c r="U103" s="7" t="str">
        <x:f>IF(OR($D103="",U$5="",'상세일정'!AM103="제외"),"",IF($D103=$E103,IF(AND($D103&gt;=U$5,$D103&lt;U$5+7),"◆",""),IF(AND($D103&lt;U$5+7,$E103&gt;U$5),"■","")))</x:f>
      </x:c>
      <x:c r="V103" s="7" t="str">
        <x:f>IF(OR($D103="",V$5="",'상세일정'!AM103="제외"),"",IF($D103=$E103,IF(AND($D103&gt;=V$5,$D103&lt;V$5+7),"◆",""),IF(AND($D103&lt;V$5+7,$E103&gt;V$5),"■","")))</x:f>
      </x:c>
      <x:c r="W103" s="7" t="str">
        <x:f>IF(OR($D103="",W$5="",'상세일정'!AM103="제외"),"",IF($D103=$E103,IF(AND($D103&gt;=W$5,$D103&lt;W$5+7),"◆",""),IF(AND($D103&lt;W$5+7,$E103&gt;W$5),"■","")))</x:f>
      </x:c>
      <x:c r="X103" s="7" t="str">
        <x:f>IF(OR($D103="",X$5="",'상세일정'!AM103="제외"),"",IF($D103=$E103,IF(AND($D103&gt;=X$5,$D103&lt;X$5+7),"◆",""),IF(AND($D103&lt;X$5+7,$E103&gt;X$5),"■","")))</x:f>
      </x:c>
      <x:c r="Y103" s="7" t="str">
        <x:f>IF(OR($D103="",Y$5="",'상세일정'!AM103="제외"),"",IF($D103=$E103,IF(AND($D103&gt;=Y$5,$D103&lt;Y$5+7),"◆",""),IF(AND($D103&lt;Y$5+7,$E103&gt;Y$5),"■","")))</x:f>
      </x:c>
      <x:c r="Z103" s="7" t="str">
        <x:f>IF(OR($D103="",Z$5="",'상세일정'!AM103="제외"),"",IF($D103=$E103,IF(AND($D103&gt;=Z$5,$D103&lt;Z$5+7),"◆",""),IF(AND($D103&lt;Z$5+7,$E103&gt;Z$5),"■","")))</x:f>
      </x:c>
      <x:c r="AA103" s="7" t="str">
        <x:f>IF(OR($D103="",AA$5="",'상세일정'!AM103="제외"),"",IF($D103=$E103,IF(AND($D103&gt;=AA$5,$D103&lt;AA$5+7),"◆",""),IF(AND($D103&lt;AA$5+7,$E103&gt;AA$5),"■","")))</x:f>
      </x:c>
      <x:c r="AB103" s="7" t="str">
        <x:f>IF(OR($D103="",AB$5="",'상세일정'!AM103="제외"),"",IF($D103=$E103,IF(AND($D103&gt;=AB$5,$D103&lt;AB$5+7),"◆",""),IF(AND($D103&lt;AB$5+7,$E103&gt;AB$5),"■","")))</x:f>
      </x:c>
      <x:c r="AC103" s="7" t="str">
        <x:f>IF(OR($D103="",AC$5="",'상세일정'!AM103="제외"),"",IF($D103=$E103,IF(AND($D103&gt;=AC$5,$D103&lt;AC$5+7),"◆",""),IF(AND($D103&lt;AC$5+7,$E103&gt;AC$5),"■","")))</x:f>
      </x:c>
      <x:c r="AD103" s="7" t="str">
        <x:f>IF(OR($D103="",AD$5="",'상세일정'!AM103="제외"),"",IF($D103=$E103,IF(AND($D103&gt;=AD$5,$D103&lt;AD$5+7),"◆",""),IF(AND($D103&lt;AD$5+7,$E103&gt;AD$5),"■","")))</x:f>
      </x:c>
      <x:c r="AE103" s="7" t="str">
        <x:f>IF(OR($D103="",AE$5="",'상세일정'!AM103="제외"),"",IF($D103=$E103,IF(AND($D103&gt;=AE$5,$D103&lt;AE$5+7),"◆",""),IF(AND($D103&lt;AE$5+7,$E103&gt;AE$5),"■","")))</x:f>
      </x:c>
      <x:c r="AF103" s="7" t="str">
        <x:f>IF(OR($D103="",AF$5="",'상세일정'!AM103="제외"),"",IF($D103=$E103,IF(AND($D103&gt;=AF$5,$D103&lt;AF$5+7),"◆",""),IF(AND($D103&lt;AF$5+7,$E103&gt;AF$5),"■","")))</x:f>
      </x:c>
      <x:c r="AG103" s="7" t="str">
        <x:f>IF(OR($D103="",AG$5="",'상세일정'!AM103="제외"),"",IF($D103=$E103,IF(AND($D103&gt;=AG$5,$D103&lt;AG$5+7),"◆",""),IF(AND($D103&lt;AG$5+7,$E103&gt;AG$5),"■","")))</x:f>
      </x:c>
      <x:c r="AH103" s="7" t="str">
        <x:f>IF(OR($D103="",AH$5="",'상세일정'!AM103="제외"),"",IF($D103=$E103,IF(AND($D103&gt;=AH$5,$D103&lt;AH$5+7),"◆",""),IF(AND($D103&lt;AH$5+7,$E103&gt;AH$5),"■","")))</x:f>
      </x:c>
      <x:c r="AI103" s="7" t="str">
        <x:f>IF(OR($D103="",AI$5="",'상세일정'!AM103="제외"),"",IF($D103=$E103,IF(AND($D103&gt;=AI$5,$D103&lt;AI$5+7),"◆",""),IF(AND($D103&lt;AI$5+7,$E103&gt;AI$5),"■","")))</x:f>
      </x:c>
      <x:c r="AJ103" s="7" t="str">
        <x:f>IF(OR($D103="",AJ$5="",'상세일정'!AM103="제외"),"",IF($D103=$E103,IF(AND($D103&gt;=AJ$5,$D103&lt;AJ$5+7),"◆",""),IF(AND($D103&lt;AJ$5+7,$E103&gt;AJ$5),"■","")))</x:f>
      </x:c>
      <x:c r="AK103" s="7" t="str">
        <x:f>IF(OR($D103="",AK$5="",'상세일정'!AM103="제외"),"",IF($D103=$E103,IF(AND($D103&gt;=AK$5,$D103&lt;AK$5+7),"◆",""),IF(AND($D103&lt;AK$5+7,$E103&gt;AK$5),"■","")))</x:f>
      </x:c>
      <x:c r="AL103" s="7" t="str">
        <x:f>IF(OR($D103="",AL$5="",'상세일정'!AM103="제외"),"",IF($D103=$E103,IF(AND($D103&gt;=AL$5,$D103&lt;AL$5+7),"◆",""),IF(AND($D103&lt;AL$5+7,$E103&gt;AL$5),"■","")))</x:f>
      </x:c>
      <x:c r="AM103" s="7" t="str">
        <x:f>IF(OR($D103="",AM$5="",'상세일정'!AM103="제외"),"",IF($D103=$E103,IF(AND($D103&gt;=AM$5,$D103&lt;AM$5+7),"◆",""),IF(AND($D103&lt;AM$5+7,$E103&gt;AM$5),"■","")))</x:f>
      </x:c>
      <x:c r="AN103" s="7" t="str">
        <x:f>IF(OR($D103="",AN$5="",'상세일정'!AM103="제외"),"",IF($D103=$E103,IF(AND($D103&gt;=AN$5,$D103&lt;AN$5+7),"◆",""),IF(AND($D103&lt;AN$5+7,$E103&gt;AN$5),"■","")))</x:f>
      </x:c>
      <x:c r="AO103" s="7" t="str">
        <x:f>IF(OR($D103="",AO$5="",'상세일정'!AM103="제외"),"",IF($D103=$E103,IF(AND($D103&gt;=AO$5,$D103&lt;AO$5+7),"◆",""),IF(AND($D103&lt;AO$5+7,$E103&gt;AO$5),"■","")))</x:f>
      </x:c>
      <x:c r="AP103" s="7" t="str">
        <x:f>IF(OR($D103="",AP$5="",'상세일정'!AM103="제외"),"",IF($D103=$E103,IF(AND($D103&gt;=AP$5,$D103&lt;AP$5+7),"◆",""),IF(AND($D103&lt;AP$5+7,$E103&gt;AP$5),"■","")))</x:f>
      </x:c>
      <x:c r="AQ103" s="7" t="str">
        <x:f>IF(OR($D103="",AQ$5="",'상세일정'!AM103="제외"),"",IF($D103=$E103,IF(AND($D103&gt;=AQ$5,$D103&lt;AQ$5+7),"◆",""),IF(AND($D103&lt;AQ$5+7,$E103&gt;AQ$5),"■","")))</x:f>
      </x:c>
      <x:c r="AR103" s="7" t="str">
        <x:f>IF(OR($D103="",AR$5="",'상세일정'!AM103="제외"),"",IF($D103=$E103,IF(AND($D103&gt;=AR$5,$D103&lt;AR$5+7),"◆",""),IF(AND($D103&lt;AR$5+7,$E103&gt;AR$5),"■","")))</x:f>
      </x:c>
      <x:c r="AS103" s="7" t="str">
        <x:f>IF(OR($D103="",AS$5="",'상세일정'!AM103="제외"),"",IF($D103=$E103,IF(AND($D103&gt;=AS$5,$D103&lt;AS$5+7),"◆",""),IF(AND($D103&lt;AS$5+7,$E103&gt;AS$5),"■","")))</x:f>
      </x:c>
      <x:c r="AT103" s="7" t="str">
        <x:f>IF(OR($D103="",AT$5="",'상세일정'!AM103="제외"),"",IF($D103=$E103,IF(AND($D103&gt;=AT$5,$D103&lt;AT$5+7),"◆",""),IF(AND($D103&lt;AT$5+7,$E103&gt;AT$5),"■","")))</x:f>
      </x:c>
      <x:c r="AU103" s="7" t="str">
        <x:f>IF(OR($D103="",AU$5="",'상세일정'!AM103="제외"),"",IF($D103=$E103,IF(AND($D103&gt;=AU$5,$D103&lt;AU$5+7),"◆",""),IF(AND($D103&lt;AU$5+7,$E103&gt;AU$5),"■","")))</x:f>
      </x:c>
      <x:c r="AV103" s="7" t="str">
        <x:f>IF(OR($D103="",AV$5="",'상세일정'!AM103="제외"),"",IF($D103=$E103,IF(AND($D103&gt;=AV$5,$D103&lt;AV$5+7),"◆",""),IF(AND($D103&lt;AV$5+7,$E103&gt;AV$5),"■","")))</x:f>
      </x:c>
      <x:c r="AW103" s="7" t="str">
        <x:f>IF(OR($D103="",AW$5="",'상세일정'!AM103="제외"),"",IF($D103=$E103,IF(AND($D103&gt;=AW$5,$D103&lt;AW$5+7),"◆",""),IF(AND($D103&lt;AW$5+7,$E103&gt;AW$5),"■","")))</x:f>
      </x:c>
      <x:c r="AX103" s="7" t="str">
        <x:f>IF(OR($D103="",AX$5="",'상세일정'!AM103="제외"),"",IF($D103=$E103,IF(AND($D103&gt;=AX$5,$D103&lt;AX$5+7),"◆",""),IF(AND($D103&lt;AX$5+7,$E103&gt;AX$5),"■","")))</x:f>
      </x:c>
      <x:c r="AY103" s="7" t="str">
        <x:f>IF(OR($D103="",AY$5="",'상세일정'!AM103="제외"),"",IF($D103=$E103,IF(AND($D103&gt;=AY$5,$D103&lt;AY$5+7),"◆",""),IF(AND($D103&lt;AY$5+7,$E103&gt;AY$5),"■","")))</x:f>
      </x:c>
      <x:c r="AZ103" s="7" t="str">
        <x:f>IF(OR($D103="",AZ$5="",'상세일정'!AM103="제외"),"",IF($D103=$E103,IF(AND($D103&gt;=AZ$5,$D103&lt;AZ$5+7),"◆",""),IF(AND($D103&lt;AZ$5+7,$E103&gt;AZ$5),"■","")))</x:f>
      </x:c>
      <x:c r="BA103" s="7" t="str">
        <x:f>IF(OR($D103="",BA$5="",'상세일정'!AM103="제외"),"",IF($D103=$E103,IF(AND($D103&gt;=BA$5,$D103&lt;BA$5+7),"◆",""),IF(AND($D103&lt;BA$5+7,$E103&gt;BA$5),"■","")))</x:f>
      </x:c>
      <x:c r="BB103" s="7" t="str">
        <x:f>IF(OR($D103="",BB$5="",'상세일정'!AM103="제외"),"",IF($D103=$E103,IF(AND($D103&gt;=BB$5,$D103&lt;BB$5+7),"◆",""),IF(AND($D103&lt;BB$5+7,$E103&gt;BB$5),"■","")))</x:f>
      </x:c>
      <x:c r="BC103" s="7" t="str">
        <x:f>IF(OR($D103="",BC$5="",'상세일정'!AM103="제외"),"",IF($D103=$E103,IF(AND($D103&gt;=BC$5,$D103&lt;BC$5+7),"◆",""),IF(AND($D103&lt;BC$5+7,$E103&gt;BC$5),"■","")))</x:f>
      </x:c>
      <x:c r="BD103" s="7" t="str">
        <x:f>IF(OR($D103="",BD$5="",'상세일정'!AM103="제외"),"",IF($D103=$E103,IF(AND($D103&gt;=BD$5,$D103&lt;BD$5+7),"◆",""),IF(AND($D103&lt;BD$5+7,$E103&gt;BD$5),"■","")))</x:f>
      </x:c>
      <x:c r="BE103" s="7" t="str">
        <x:f>IF(OR($D103="",BE$5="",'상세일정'!AM103="제외"),"",IF($D103=$E103,IF(AND($D103&gt;=BE$5,$D103&lt;BE$5+7),"◆",""),IF(AND($D103&lt;BE$5+7,$E103&gt;BE$5),"■","")))</x:f>
      </x:c>
      <x:c r="BF103" s="7" t="str">
        <x:f>IF(OR($D103="",BF$5="",'상세일정'!AM103="제외"),"",IF($D103=$E103,IF(AND($D103&gt;=BF$5,$D103&lt;BF$5+7),"◆",""),IF(AND($D103&lt;BF$5+7,$E103&gt;BF$5),"■","")))</x:f>
      </x:c>
      <x:c r="BG103" s="7" t="str">
        <x:f>IF(OR($D103="",BG$5="",'상세일정'!AM103="제외"),"",IF($D103=$E103,IF(AND($D103&gt;=BG$5,$D103&lt;BG$5+7),"◆",""),IF(AND($D103&lt;BG$5+7,$E103&gt;BG$5),"■","")))</x:f>
      </x:c>
      <x:c r="BH103" s="7" t="str">
        <x:f>IF(OR($D103="",BH$5="",'상세일정'!AM103="제외"),"",IF($D103=$E103,IF(AND($D103&gt;=BH$5,$D103&lt;BH$5+7),"◆",""),IF(AND($D103&lt;BH$5+7,$E103&gt;BH$5),"■","")))</x:f>
      </x:c>
      <x:c r="BI103" s="7" t="str">
        <x:f>IF(OR($D103="",BI$5="",'상세일정'!AM103="제외"),"",IF($D103=$E103,IF(AND($D103&gt;=BI$5,$D103&lt;BI$5+7),"◆",""),IF(AND($D103&lt;BI$5+7,$E103&gt;BI$5),"■","")))</x:f>
      </x:c>
      <x:c r="BJ103" s="7" t="str">
        <x:f>IF(OR($D103="",BJ$5="",'상세일정'!AM103="제외"),"",IF($D103=$E103,IF(AND($D103&gt;=BJ$5,$D103&lt;BJ$5+7),"◆",""),IF(AND($D103&lt;BJ$5+7,$E103&gt;BJ$5),"■","")))</x:f>
      </x:c>
      <x:c r="BK103" s="7" t="str">
        <x:f>IF(OR($D103="",BK$5="",'상세일정'!AM103="제외"),"",IF($D103=$E103,IF(AND($D103&gt;=BK$5,$D103&lt;BK$5+7),"◆",""),IF(AND($D103&lt;BK$5+7,$E103&gt;BK$5),"■","")))</x:f>
      </x:c>
      <x:c r="BL103" s="7" t="str">
        <x:f>IF(OR($D103="",BL$5="",'상세일정'!AM103="제외"),"",IF($D103=$E103,IF(AND($D103&gt;=BL$5,$D103&lt;BL$5+7),"◆",""),IF(AND($D103&lt;BL$5+7,$E103&gt;BL$5),"■","")))</x:f>
      </x:c>
      <x:c r="BM103" s="7" t="str">
        <x:f>IF(OR($D103="",BM$5="",'상세일정'!AM103="제외"),"",IF($D103=$E103,IF(AND($D103&gt;=BM$5,$D103&lt;BM$5+7),"◆",""),IF(AND($D103&lt;BM$5+7,$E103&gt;BM$5),"■","")))</x:f>
      </x:c>
      <x:c r="BN103" s="7" t="str">
        <x:f>IF(OR($D103="",BN$5="",'상세일정'!AM103="제외"),"",IF($D103=$E103,IF(AND($D103&gt;=BN$5,$D103&lt;BN$5+7),"◆",""),IF(AND($D103&lt;BN$5+7,$E103&gt;BN$5),"■","")))</x:f>
      </x:c>
      <x:c r="BO103" s="7" t="str">
        <x:f>IF(OR($D103="",BO$5="",'상세일정'!AM103="제외"),"",IF($D103=$E103,IF(AND($D103&gt;=BO$5,$D103&lt;BO$5+7),"◆",""),IF(AND($D103&lt;BO$5+7,$E103&gt;BO$5),"■","")))</x:f>
      </x:c>
      <x:c r="BP103" s="7" t="str">
        <x:f>IF(OR($D103="",BP$5="",'상세일정'!AM103="제외"),"",IF($D103=$E103,IF(AND($D103&gt;=BP$5,$D103&lt;BP$5+7),"◆",""),IF(AND($D103&lt;BP$5+7,$E103&gt;BP$5),"■","")))</x:f>
      </x:c>
      <x:c r="BQ103" s="7" t="str">
        <x:f>IF(OR($D103="",BQ$5="",'상세일정'!AM103="제외"),"",IF($D103=$E103,IF(AND($D103&gt;=BQ$5,$D103&lt;BQ$5+7),"◆",""),IF(AND($D103&lt;BQ$5+7,$E103&gt;BQ$5),"■","")))</x:f>
      </x:c>
      <x:c r="BR103" s="7" t="str">
        <x:f>IF(OR($D103="",BR$5="",'상세일정'!AM103="제외"),"",IF($D103=$E103,IF(AND($D103&gt;=BR$5,$D103&lt;BR$5+7),"◆",""),IF(AND($D103&lt;BR$5+7,$E103&gt;BR$5),"■","")))</x:f>
      </x:c>
      <x:c r="BS103" s="7" t="str">
        <x:f>IF(OR($D103="",BS$5="",'상세일정'!AM103="제외"),"",IF($D103=$E103,IF(AND($D103&gt;=BS$5,$D103&lt;BS$5+7),"◆",""),IF(AND($D103&lt;BS$5+7,$E103&gt;BS$5),"■","")))</x:f>
      </x:c>
      <x:c r="BT103" s="7" t="str">
        <x:f>IF(OR($D103="",BT$5="",'상세일정'!AM103="제외"),"",IF($D103=$E103,IF(AND($D103&gt;=BT$5,$D103&lt;BT$5+7),"◆",""),IF(AND($D103&lt;BT$5+7,$E103&gt;BT$5),"■","")))</x:f>
      </x:c>
      <x:c r="BU103" s="7" t="str">
        <x:f>IF(OR($D103="",BU$5="",'상세일정'!AM103="제외"),"",IF($D103=$E103,IF(AND($D103&gt;=BU$5,$D103&lt;BU$5+7),"◆",""),IF(AND($D103&lt;BU$5+7,$E103&gt;BU$5),"■","")))</x:f>
      </x:c>
      <x:c r="BV103" s="7" t="str">
        <x:f>IF(OR($D103="",BV$5="",'상세일정'!AM103="제외"),"",IF($D103=$E103,IF(AND($D103&gt;=BV$5,$D103&lt;BV$5+7),"◆",""),IF(AND($D103&lt;BV$5+7,$E103&gt;BV$5),"■","")))</x:f>
      </x:c>
      <x:c r="BW103" s="7" t="str">
        <x:f>IF(OR($D103="",BW$5="",'상세일정'!AM103="제외"),"",IF($D103=$E103,IF(AND($D103&gt;=BW$5,$D103&lt;BW$5+7),"◆",""),IF(AND($D103&lt;BW$5+7,$E103&gt;BW$5),"■","")))</x:f>
      </x:c>
      <x:c r="BX103" s="7" t="str">
        <x:f>IF(OR($D103="",BX$5="",'상세일정'!AM103="제외"),"",IF($D103=$E103,IF(AND($D103&gt;=BX$5,$D103&lt;BX$5+7),"◆",""),IF(AND($D103&lt;BX$5+7,$E103&gt;BX$5),"■","")))</x:f>
      </x:c>
      <x:c r="BY103" s="7" t="str">
        <x:f>IF(OR($D103="",BY$5="",'상세일정'!AM103="제외"),"",IF($D103=$E103,IF(AND($D103&gt;=BY$5,$D103&lt;BY$5+7),"◆",""),IF(AND($D103&lt;BY$5+7,$E103&gt;BY$5),"■","")))</x:f>
      </x:c>
      <x:c r="BZ103" s="7" t="str">
        <x:f>IF(OR($D103="",BZ$5="",'상세일정'!AM103="제외"),"",IF($D103=$E103,IF(AND($D103&gt;=BZ$5,$D103&lt;BZ$5+7),"◆",""),IF(AND($D103&lt;BZ$5+7,$E103&gt;BZ$5),"■","")))</x:f>
      </x:c>
      <x:c r="CA103" s="7" t="str">
        <x:f>IF(OR($D103="",CA$5="",'상세일정'!AM103="제외"),"",IF($D103=$E103,IF(AND($D103&gt;=CA$5,$D103&lt;CA$5+7),"◆",""),IF(AND($D103&lt;CA$5+7,$E103&gt;CA$5),"■","")))</x:f>
      </x:c>
      <x:c r="CB103" s="7" t="str">
        <x:f>IF(OR($D103="",CB$5="",'상세일정'!AM103="제외"),"",IF($D103=$E103,IF(AND($D103&gt;=CB$5,$D103&lt;CB$5+7),"◆",""),IF(AND($D103&lt;CB$5+7,$E103&gt;CB$5),"■","")))</x:f>
      </x:c>
      <x:c r="CC103" s="7" t="str">
        <x:f>IF(OR($D103="",CC$5="",'상세일정'!AM103="제외"),"",IF($D103=$E103,IF(AND($D103&gt;=CC$5,$D103&lt;CC$5+7),"◆",""),IF(AND($D103&lt;CC$5+7,$E103&gt;CC$5),"■","")))</x:f>
      </x:c>
      <x:c r="CD103" s="7" t="str">
        <x:f>IF(OR($D103="",CD$5="",'상세일정'!AM103="제외"),"",IF($D103=$E103,IF(AND($D103&gt;=CD$5,$D103&lt;CD$5+7),"◆",""),IF(AND($D103&lt;CD$5+7,$E103&gt;CD$5),"■","")))</x:f>
      </x:c>
      <x:c r="CE103" s="7" t="str">
        <x:f>IF(OR($D103="",CE$5="",'상세일정'!AM103="제외"),"",IF($D103=$E103,IF(AND($D103&gt;=CE$5,$D103&lt;CE$5+7),"◆",""),IF(AND($D103&lt;CE$5+7,$E103&gt;CE$5),"■","")))</x:f>
      </x:c>
      <x:c r="CF103" s="7" t="str">
        <x:f>IF(OR($D103="",CF$5="",'상세일정'!AM103="제외"),"",IF($D103=$E103,IF(AND($D103&gt;=CF$5,$D103&lt;CF$5+7),"◆",""),IF(AND($D103&lt;CF$5+7,$E103&gt;CF$5),"■","")))</x:f>
      </x:c>
      <x:c r="CG103" s="7" t="str">
        <x:f>IF(OR($D103="",CG$5="",'상세일정'!AM103="제외"),"",IF($D103=$E103,IF(AND($D103&gt;=CG$5,$D103&lt;CG$5+7),"◆",""),IF(AND($D103&lt;CG$5+7,$E103&gt;CG$5),"■","")))</x:f>
      </x:c>
      <x:c r="CH103" s="7" t="str">
        <x:f>IF(OR($D103="",CH$5="",'상세일정'!AM103="제외"),"",IF($D103=$E103,IF(AND($D103&gt;=CH$5,$D103&lt;CH$5+7),"◆",""),IF(AND($D103&lt;CH$5+7,$E103&gt;CH$5),"■","")))</x:f>
      </x:c>
      <x:c r="CI103" s="7" t="str">
        <x:f>IF(OR($D103="",CI$5="",'상세일정'!AM103="제외"),"",IF($D103=$E103,IF(AND($D103&gt;=CI$5,$D103&lt;CI$5+7),"◆",""),IF(AND($D103&lt;CI$5+7,$E103&gt;CI$5),"■","")))</x:f>
      </x:c>
      <x:c r="CJ103" s="7" t="str">
        <x:f>IF(OR($D103="",CJ$5="",'상세일정'!AM103="제외"),"",IF($D103=$E103,IF(AND($D103&gt;=CJ$5,$D103&lt;CJ$5+7),"◆",""),IF(AND($D103&lt;CJ$5+7,$E103&gt;CJ$5),"■","")))</x:f>
      </x:c>
      <x:c r="CK103" s="7" t="str">
        <x:f>IF(OR($D103="",CK$5="",'상세일정'!AM103="제외"),"",IF($D103=$E103,IF(AND($D103&gt;=CK$5,$D103&lt;CK$5+7),"◆",""),IF(AND($D103&lt;CK$5+7,$E103&gt;CK$5),"■","")))</x:f>
      </x:c>
      <x:c r="CL103" s="7" t="str">
        <x:f>IF(OR($D103="",CL$5="",'상세일정'!AM103="제외"),"",IF($D103=$E103,IF(AND($D103&gt;=CL$5,$D103&lt;CL$5+7),"◆",""),IF(AND($D103&lt;CL$5+7,$E103&gt;CL$5),"■","")))</x:f>
      </x:c>
      <x:c r="CM103" s="7" t="str">
        <x:f>IF(OR($D103="",CM$5="",'상세일정'!AM103="제외"),"",IF($D103=$E103,IF(AND($D103&gt;=CM$5,$D103&lt;CM$5+7),"◆",""),IF(AND($D103&lt;CM$5+7,$E103&gt;CM$5),"■","")))</x:f>
      </x:c>
      <x:c r="CN103" s="7" t="str">
        <x:f>IF(OR($D103="",CN$5="",'상세일정'!AM103="제외"),"",IF($D103=$E103,IF(AND($D103&gt;=CN$5,$D103&lt;CN$5+7),"◆",""),IF(AND($D103&lt;CN$5+7,$E103&gt;CN$5),"■","")))</x:f>
      </x:c>
      <x:c r="CO103" s="7" t="str">
        <x:f>IF(OR($D103="",CO$5="",'상세일정'!AM103="제외"),"",IF($D103=$E103,IF(AND($D103&gt;=CO$5,$D103&lt;CO$5+7),"◆",""),IF(AND($D103&lt;CO$5+7,$E103&gt;CO$5),"■","")))</x:f>
      </x:c>
      <x:c r="CP103" s="7" t="str">
        <x:f>IF(OR($D103="",CP$5="",'상세일정'!AM103="제외"),"",IF($D103=$E103,IF(AND($D103&gt;=CP$5,$D103&lt;CP$5+7),"◆",""),IF(AND($D103&lt;CP$5+7,$E103&gt;CP$5),"■","")))</x:f>
      </x:c>
      <x:c r="CQ103" s="7" t="str">
        <x:f>IF(OR($D103="",CQ$5="",'상세일정'!AM103="제외"),"",IF($D103=$E103,IF(AND($D103&gt;=CQ$5,$D103&lt;CQ$5+7),"◆",""),IF(AND($D103&lt;CQ$5+7,$E103&gt;CQ$5),"■","")))</x:f>
      </x:c>
      <x:c r="CR103" s="7" t="str">
        <x:f>IF(OR($D103="",CR$5="",'상세일정'!AM103="제외"),"",IF($D103=$E103,IF(AND($D103&gt;=CR$5,$D103&lt;CR$5+7),"◆",""),IF(AND($D103&lt;CR$5+7,$E103&gt;CR$5),"■","")))</x:f>
      </x:c>
      <x:c r="CS103" s="7" t="str">
        <x:f>IF(OR($D103="",CS$5="",'상세일정'!AM103="제외"),"",IF($D103=$E103,IF(AND($D103&gt;=CS$5,$D103&lt;CS$5+7),"◆",""),IF(AND($D103&lt;CS$5+7,$E103&gt;CS$5),"■","")))</x:f>
      </x:c>
      <x:c r="CT103" s="7" t="str">
        <x:f>IF(OR($D103="",CT$5="",'상세일정'!AM103="제외"),"",IF($D103=$E103,IF(AND($D103&gt;=CT$5,$D103&lt;CT$5+7),"◆",""),IF(AND($D103&lt;CT$5+7,$E103&gt;CT$5),"■","")))</x:f>
      </x:c>
      <x:c r="CU103" s="7" t="str">
        <x:f>IF(OR($D103="",CU$5="",'상세일정'!AM103="제외"),"",IF($D103=$E103,IF(AND($D103&gt;=CU$5,$D103&lt;CU$5+7),"◆",""),IF(AND($D103&lt;CU$5+7,$E103&gt;CU$5),"■","")))</x:f>
      </x:c>
      <x:c r="CV103" s="7" t="str">
        <x:f>IF(OR($D103="",CV$5="",'상세일정'!AM103="제외"),"",IF($D103=$E103,IF(AND($D103&gt;=CV$5,$D103&lt;CV$5+7),"◆",""),IF(AND($D103&lt;CV$5+7,$E103&gt;CV$5),"■","")))</x:f>
      </x:c>
      <x:c r="CW103" s="7" t="str">
        <x:f>IF(OR($D103="",CW$5="",'상세일정'!AM103="제외"),"",IF($D103=$E103,IF(AND($D103&gt;=CW$5,$D103&lt;CW$5+7),"◆",""),IF(AND($D103&lt;CW$5+7,$E103&gt;CW$5),"■","")))</x:f>
      </x:c>
      <x:c r="CX103" s="7" t="str">
        <x:f>IF(OR($D103="",CX$5="",'상세일정'!AM103="제외"),"",IF($D103=$E103,IF(AND($D103&gt;=CX$5,$D103&lt;CX$5+7),"◆",""),IF(AND($D103&lt;CX$5+7,$E103&gt;CX$5),"■","")))</x:f>
      </x:c>
      <x:c r="CY103" s="7" t="str">
        <x:f>IF(OR($D103="",CY$5="",'상세일정'!AM103="제외"),"",IF($D103=$E103,IF(AND($D103&gt;=CY$5,$D103&lt;CY$5+7),"◆",""),IF(AND($D103&lt;CY$5+7,$E103&gt;CY$5),"■","")))</x:f>
      </x:c>
      <x:c r="CZ103" s="7" t="str">
        <x:f>IF(OR($D103="",CZ$5="",'상세일정'!AM103="제외"),"",IF($D103=$E103,IF(AND($D103&gt;=CZ$5,$D103&lt;CZ$5+7),"◆",""),IF(AND($D103&lt;CZ$5+7,$E103&gt;CZ$5),"■","")))</x:f>
      </x:c>
      <x:c r="DA103" s="7" t="str">
        <x:f>IF(OR($D103="",DA$5="",'상세일정'!AM103="제외"),"",IF($D103=$E103,IF(AND($D103&gt;=DA$5,$D103&lt;DA$5+7),"◆",""),IF(AND($D103&lt;DA$5+7,$E103&gt;DA$5),"■","")))</x:f>
      </x:c>
      <x:c r="DB103" s="7" t="str">
        <x:f>IF(OR($D103="",DB$5="",'상세일정'!AM103="제외"),"",IF($D103=$E103,IF(AND($D103&gt;=DB$5,$D103&lt;DB$5+7),"◆",""),IF(AND($D103&lt;DB$5+7,$E103&gt;DB$5),"■","")))</x:f>
      </x:c>
      <x:c r="DC103" s="7" t="str">
        <x:f>IF(OR($D103="",DC$5="",'상세일정'!AM103="제외"),"",IF($D103=$E103,IF(AND($D103&gt;=DC$5,$D103&lt;DC$5+7),"◆",""),IF(AND($D103&lt;DC$5+7,$E103&gt;DC$5),"■","")))</x:f>
      </x:c>
      <x:c r="DD103" s="7" t="str">
        <x:f>IF(OR($D103="",DD$5="",'상세일정'!AM103="제외"),"",IF($D103=$E103,IF(AND($D103&gt;=DD$5,$D103&lt;DD$5+7),"◆",""),IF(AND($D103&lt;DD$5+7,$E103&gt;DD$5),"■","")))</x:f>
      </x:c>
      <x:c r="DE103" s="7" t="str">
        <x:f>IF(OR($D103="",DE$5="",'상세일정'!AM103="제외"),"",IF($D103=$E103,IF(AND($D103&gt;=DE$5,$D103&lt;DE$5+7),"◆",""),IF(AND($D103&lt;DE$5+7,$E103&gt;DE$5),"■","")))</x:f>
      </x:c>
    </x:row>
    <x:row r="104" ht="34" customHeight="1">
      <x:c r="A104" s="7" t="str">
        <x:v>MS01</x:v>
      </x:c>
      <x:c r="B104" s="7" t="str">
        <x:v>15 착공 전 준비</x:v>
      </x:c>
      <x:c r="C104" s="7" t="str">
        <x:v>착공 전 인허가·계약·안전계획 조건 합동 확인</x:v>
      </x:c>
      <x:c r="D104" s="10" t="str">
        <x:f>'상세일정'!AJ104</x:f>
      </x:c>
      <x:c r="E104" s="10" t="str">
        <x:f>'상세일정'!AK104</x:f>
      </x:c>
      <x:c r="F104" s="7" t="str">
        <x:f>IF(OR($D104="",F$5="",'상세일정'!AM104="제외"),"",IF($D104=$E104,IF(AND($D104&gt;=F$5,$D104&lt;F$5+7),"◆",""),IF(AND($D104&lt;F$5+7,$E104&gt;F$5),"■","")))</x:f>
      </x:c>
      <x:c r="G104" s="7" t="str">
        <x:f>IF(OR($D104="",G$5="",'상세일정'!AM104="제외"),"",IF($D104=$E104,IF(AND($D104&gt;=G$5,$D104&lt;G$5+7),"◆",""),IF(AND($D104&lt;G$5+7,$E104&gt;G$5),"■","")))</x:f>
      </x:c>
      <x:c r="H104" s="7" t="str">
        <x:f>IF(OR($D104="",H$5="",'상세일정'!AM104="제외"),"",IF($D104=$E104,IF(AND($D104&gt;=H$5,$D104&lt;H$5+7),"◆",""),IF(AND($D104&lt;H$5+7,$E104&gt;H$5),"■","")))</x:f>
      </x:c>
      <x:c r="I104" s="7" t="str">
        <x:f>IF(OR($D104="",I$5="",'상세일정'!AM104="제외"),"",IF($D104=$E104,IF(AND($D104&gt;=I$5,$D104&lt;I$5+7),"◆",""),IF(AND($D104&lt;I$5+7,$E104&gt;I$5),"■","")))</x:f>
      </x:c>
      <x:c r="J104" s="7" t="str">
        <x:f>IF(OR($D104="",J$5="",'상세일정'!AM104="제외"),"",IF($D104=$E104,IF(AND($D104&gt;=J$5,$D104&lt;J$5+7),"◆",""),IF(AND($D104&lt;J$5+7,$E104&gt;J$5),"■","")))</x:f>
      </x:c>
      <x:c r="K104" s="7" t="str">
        <x:f>IF(OR($D104="",K$5="",'상세일정'!AM104="제외"),"",IF($D104=$E104,IF(AND($D104&gt;=K$5,$D104&lt;K$5+7),"◆",""),IF(AND($D104&lt;K$5+7,$E104&gt;K$5),"■","")))</x:f>
      </x:c>
      <x:c r="L104" s="7" t="str">
        <x:f>IF(OR($D104="",L$5="",'상세일정'!AM104="제외"),"",IF($D104=$E104,IF(AND($D104&gt;=L$5,$D104&lt;L$5+7),"◆",""),IF(AND($D104&lt;L$5+7,$E104&gt;L$5),"■","")))</x:f>
      </x:c>
      <x:c r="M104" s="7" t="str">
        <x:f>IF(OR($D104="",M$5="",'상세일정'!AM104="제외"),"",IF($D104=$E104,IF(AND($D104&gt;=M$5,$D104&lt;M$5+7),"◆",""),IF(AND($D104&lt;M$5+7,$E104&gt;M$5),"■","")))</x:f>
      </x:c>
      <x:c r="N104" s="7" t="str">
        <x:f>IF(OR($D104="",N$5="",'상세일정'!AM104="제외"),"",IF($D104=$E104,IF(AND($D104&gt;=N$5,$D104&lt;N$5+7),"◆",""),IF(AND($D104&lt;N$5+7,$E104&gt;N$5),"■","")))</x:f>
      </x:c>
      <x:c r="O104" s="7" t="str">
        <x:f>IF(OR($D104="",O$5="",'상세일정'!AM104="제외"),"",IF($D104=$E104,IF(AND($D104&gt;=O$5,$D104&lt;O$5+7),"◆",""),IF(AND($D104&lt;O$5+7,$E104&gt;O$5),"■","")))</x:f>
      </x:c>
      <x:c r="P104" s="7" t="str">
        <x:f>IF(OR($D104="",P$5="",'상세일정'!AM104="제외"),"",IF($D104=$E104,IF(AND($D104&gt;=P$5,$D104&lt;P$5+7),"◆",""),IF(AND($D104&lt;P$5+7,$E104&gt;P$5),"■","")))</x:f>
      </x:c>
      <x:c r="Q104" s="7" t="str">
        <x:f>IF(OR($D104="",Q$5="",'상세일정'!AM104="제외"),"",IF($D104=$E104,IF(AND($D104&gt;=Q$5,$D104&lt;Q$5+7),"◆",""),IF(AND($D104&lt;Q$5+7,$E104&gt;Q$5),"■","")))</x:f>
      </x:c>
      <x:c r="R104" s="7" t="str">
        <x:f>IF(OR($D104="",R$5="",'상세일정'!AM104="제외"),"",IF($D104=$E104,IF(AND($D104&gt;=R$5,$D104&lt;R$5+7),"◆",""),IF(AND($D104&lt;R$5+7,$E104&gt;R$5),"■","")))</x:f>
      </x:c>
      <x:c r="S104" s="7" t="str">
        <x:f>IF(OR($D104="",S$5="",'상세일정'!AM104="제외"),"",IF($D104=$E104,IF(AND($D104&gt;=S$5,$D104&lt;S$5+7),"◆",""),IF(AND($D104&lt;S$5+7,$E104&gt;S$5),"■","")))</x:f>
      </x:c>
      <x:c r="T104" s="7" t="str">
        <x:f>IF(OR($D104="",T$5="",'상세일정'!AM104="제외"),"",IF($D104=$E104,IF(AND($D104&gt;=T$5,$D104&lt;T$5+7),"◆",""),IF(AND($D104&lt;T$5+7,$E104&gt;T$5),"■","")))</x:f>
      </x:c>
      <x:c r="U104" s="7" t="str">
        <x:f>IF(OR($D104="",U$5="",'상세일정'!AM104="제외"),"",IF($D104=$E104,IF(AND($D104&gt;=U$5,$D104&lt;U$5+7),"◆",""),IF(AND($D104&lt;U$5+7,$E104&gt;U$5),"■","")))</x:f>
      </x:c>
      <x:c r="V104" s="7" t="str">
        <x:f>IF(OR($D104="",V$5="",'상세일정'!AM104="제외"),"",IF($D104=$E104,IF(AND($D104&gt;=V$5,$D104&lt;V$5+7),"◆",""),IF(AND($D104&lt;V$5+7,$E104&gt;V$5),"■","")))</x:f>
      </x:c>
      <x:c r="W104" s="7" t="str">
        <x:f>IF(OR($D104="",W$5="",'상세일정'!AM104="제외"),"",IF($D104=$E104,IF(AND($D104&gt;=W$5,$D104&lt;W$5+7),"◆",""),IF(AND($D104&lt;W$5+7,$E104&gt;W$5),"■","")))</x:f>
      </x:c>
      <x:c r="X104" s="7" t="str">
        <x:f>IF(OR($D104="",X$5="",'상세일정'!AM104="제외"),"",IF($D104=$E104,IF(AND($D104&gt;=X$5,$D104&lt;X$5+7),"◆",""),IF(AND($D104&lt;X$5+7,$E104&gt;X$5),"■","")))</x:f>
      </x:c>
      <x:c r="Y104" s="7" t="str">
        <x:f>IF(OR($D104="",Y$5="",'상세일정'!AM104="제외"),"",IF($D104=$E104,IF(AND($D104&gt;=Y$5,$D104&lt;Y$5+7),"◆",""),IF(AND($D104&lt;Y$5+7,$E104&gt;Y$5),"■","")))</x:f>
      </x:c>
      <x:c r="Z104" s="7" t="str">
        <x:f>IF(OR($D104="",Z$5="",'상세일정'!AM104="제외"),"",IF($D104=$E104,IF(AND($D104&gt;=Z$5,$D104&lt;Z$5+7),"◆",""),IF(AND($D104&lt;Z$5+7,$E104&gt;Z$5),"■","")))</x:f>
      </x:c>
      <x:c r="AA104" s="7" t="str">
        <x:f>IF(OR($D104="",AA$5="",'상세일정'!AM104="제외"),"",IF($D104=$E104,IF(AND($D104&gt;=AA$5,$D104&lt;AA$5+7),"◆",""),IF(AND($D104&lt;AA$5+7,$E104&gt;AA$5),"■","")))</x:f>
      </x:c>
      <x:c r="AB104" s="7" t="str">
        <x:f>IF(OR($D104="",AB$5="",'상세일정'!AM104="제외"),"",IF($D104=$E104,IF(AND($D104&gt;=AB$5,$D104&lt;AB$5+7),"◆",""),IF(AND($D104&lt;AB$5+7,$E104&gt;AB$5),"■","")))</x:f>
      </x:c>
      <x:c r="AC104" s="7" t="str">
        <x:f>IF(OR($D104="",AC$5="",'상세일정'!AM104="제외"),"",IF($D104=$E104,IF(AND($D104&gt;=AC$5,$D104&lt;AC$5+7),"◆",""),IF(AND($D104&lt;AC$5+7,$E104&gt;AC$5),"■","")))</x:f>
      </x:c>
      <x:c r="AD104" s="7" t="str">
        <x:f>IF(OR($D104="",AD$5="",'상세일정'!AM104="제외"),"",IF($D104=$E104,IF(AND($D104&gt;=AD$5,$D104&lt;AD$5+7),"◆",""),IF(AND($D104&lt;AD$5+7,$E104&gt;AD$5),"■","")))</x:f>
      </x:c>
      <x:c r="AE104" s="7" t="str">
        <x:f>IF(OR($D104="",AE$5="",'상세일정'!AM104="제외"),"",IF($D104=$E104,IF(AND($D104&gt;=AE$5,$D104&lt;AE$5+7),"◆",""),IF(AND($D104&lt;AE$5+7,$E104&gt;AE$5),"■","")))</x:f>
      </x:c>
      <x:c r="AF104" s="7" t="str">
        <x:f>IF(OR($D104="",AF$5="",'상세일정'!AM104="제외"),"",IF($D104=$E104,IF(AND($D104&gt;=AF$5,$D104&lt;AF$5+7),"◆",""),IF(AND($D104&lt;AF$5+7,$E104&gt;AF$5),"■","")))</x:f>
      </x:c>
      <x:c r="AG104" s="7" t="str">
        <x:f>IF(OR($D104="",AG$5="",'상세일정'!AM104="제외"),"",IF($D104=$E104,IF(AND($D104&gt;=AG$5,$D104&lt;AG$5+7),"◆",""),IF(AND($D104&lt;AG$5+7,$E104&gt;AG$5),"■","")))</x:f>
      </x:c>
      <x:c r="AH104" s="7" t="str">
        <x:f>IF(OR($D104="",AH$5="",'상세일정'!AM104="제외"),"",IF($D104=$E104,IF(AND($D104&gt;=AH$5,$D104&lt;AH$5+7),"◆",""),IF(AND($D104&lt;AH$5+7,$E104&gt;AH$5),"■","")))</x:f>
      </x:c>
      <x:c r="AI104" s="7" t="str">
        <x:f>IF(OR($D104="",AI$5="",'상세일정'!AM104="제외"),"",IF($D104=$E104,IF(AND($D104&gt;=AI$5,$D104&lt;AI$5+7),"◆",""),IF(AND($D104&lt;AI$5+7,$E104&gt;AI$5),"■","")))</x:f>
      </x:c>
      <x:c r="AJ104" s="7" t="str">
        <x:f>IF(OR($D104="",AJ$5="",'상세일정'!AM104="제외"),"",IF($D104=$E104,IF(AND($D104&gt;=AJ$5,$D104&lt;AJ$5+7),"◆",""),IF(AND($D104&lt;AJ$5+7,$E104&gt;AJ$5),"■","")))</x:f>
      </x:c>
      <x:c r="AK104" s="7" t="str">
        <x:f>IF(OR($D104="",AK$5="",'상세일정'!AM104="제외"),"",IF($D104=$E104,IF(AND($D104&gt;=AK$5,$D104&lt;AK$5+7),"◆",""),IF(AND($D104&lt;AK$5+7,$E104&gt;AK$5),"■","")))</x:f>
      </x:c>
      <x:c r="AL104" s="7" t="str">
        <x:f>IF(OR($D104="",AL$5="",'상세일정'!AM104="제외"),"",IF($D104=$E104,IF(AND($D104&gt;=AL$5,$D104&lt;AL$5+7),"◆",""),IF(AND($D104&lt;AL$5+7,$E104&gt;AL$5),"■","")))</x:f>
      </x:c>
      <x:c r="AM104" s="7" t="str">
        <x:f>IF(OR($D104="",AM$5="",'상세일정'!AM104="제외"),"",IF($D104=$E104,IF(AND($D104&gt;=AM$5,$D104&lt;AM$5+7),"◆",""),IF(AND($D104&lt;AM$5+7,$E104&gt;AM$5),"■","")))</x:f>
      </x:c>
      <x:c r="AN104" s="7" t="str">
        <x:f>IF(OR($D104="",AN$5="",'상세일정'!AM104="제외"),"",IF($D104=$E104,IF(AND($D104&gt;=AN$5,$D104&lt;AN$5+7),"◆",""),IF(AND($D104&lt;AN$5+7,$E104&gt;AN$5),"■","")))</x:f>
      </x:c>
      <x:c r="AO104" s="7" t="str">
        <x:f>IF(OR($D104="",AO$5="",'상세일정'!AM104="제외"),"",IF($D104=$E104,IF(AND($D104&gt;=AO$5,$D104&lt;AO$5+7),"◆",""),IF(AND($D104&lt;AO$5+7,$E104&gt;AO$5),"■","")))</x:f>
      </x:c>
      <x:c r="AP104" s="7" t="str">
        <x:f>IF(OR($D104="",AP$5="",'상세일정'!AM104="제외"),"",IF($D104=$E104,IF(AND($D104&gt;=AP$5,$D104&lt;AP$5+7),"◆",""),IF(AND($D104&lt;AP$5+7,$E104&gt;AP$5),"■","")))</x:f>
      </x:c>
      <x:c r="AQ104" s="7" t="str">
        <x:f>IF(OR($D104="",AQ$5="",'상세일정'!AM104="제외"),"",IF($D104=$E104,IF(AND($D104&gt;=AQ$5,$D104&lt;AQ$5+7),"◆",""),IF(AND($D104&lt;AQ$5+7,$E104&gt;AQ$5),"■","")))</x:f>
      </x:c>
      <x:c r="AR104" s="7" t="str">
        <x:f>IF(OR($D104="",AR$5="",'상세일정'!AM104="제외"),"",IF($D104=$E104,IF(AND($D104&gt;=AR$5,$D104&lt;AR$5+7),"◆",""),IF(AND($D104&lt;AR$5+7,$E104&gt;AR$5),"■","")))</x:f>
      </x:c>
      <x:c r="AS104" s="7" t="str">
        <x:f>IF(OR($D104="",AS$5="",'상세일정'!AM104="제외"),"",IF($D104=$E104,IF(AND($D104&gt;=AS$5,$D104&lt;AS$5+7),"◆",""),IF(AND($D104&lt;AS$5+7,$E104&gt;AS$5),"■","")))</x:f>
      </x:c>
      <x:c r="AT104" s="7" t="str">
        <x:f>IF(OR($D104="",AT$5="",'상세일정'!AM104="제외"),"",IF($D104=$E104,IF(AND($D104&gt;=AT$5,$D104&lt;AT$5+7),"◆",""),IF(AND($D104&lt;AT$5+7,$E104&gt;AT$5),"■","")))</x:f>
      </x:c>
      <x:c r="AU104" s="7" t="str">
        <x:f>IF(OR($D104="",AU$5="",'상세일정'!AM104="제외"),"",IF($D104=$E104,IF(AND($D104&gt;=AU$5,$D104&lt;AU$5+7),"◆",""),IF(AND($D104&lt;AU$5+7,$E104&gt;AU$5),"■","")))</x:f>
      </x:c>
      <x:c r="AV104" s="7" t="str">
        <x:f>IF(OR($D104="",AV$5="",'상세일정'!AM104="제외"),"",IF($D104=$E104,IF(AND($D104&gt;=AV$5,$D104&lt;AV$5+7),"◆",""),IF(AND($D104&lt;AV$5+7,$E104&gt;AV$5),"■","")))</x:f>
      </x:c>
      <x:c r="AW104" s="7" t="str">
        <x:f>IF(OR($D104="",AW$5="",'상세일정'!AM104="제외"),"",IF($D104=$E104,IF(AND($D104&gt;=AW$5,$D104&lt;AW$5+7),"◆",""),IF(AND($D104&lt;AW$5+7,$E104&gt;AW$5),"■","")))</x:f>
      </x:c>
      <x:c r="AX104" s="7" t="str">
        <x:f>IF(OR($D104="",AX$5="",'상세일정'!AM104="제외"),"",IF($D104=$E104,IF(AND($D104&gt;=AX$5,$D104&lt;AX$5+7),"◆",""),IF(AND($D104&lt;AX$5+7,$E104&gt;AX$5),"■","")))</x:f>
      </x:c>
      <x:c r="AY104" s="7" t="str">
        <x:f>IF(OR($D104="",AY$5="",'상세일정'!AM104="제외"),"",IF($D104=$E104,IF(AND($D104&gt;=AY$5,$D104&lt;AY$5+7),"◆",""),IF(AND($D104&lt;AY$5+7,$E104&gt;AY$5),"■","")))</x:f>
      </x:c>
      <x:c r="AZ104" s="7" t="str">
        <x:f>IF(OR($D104="",AZ$5="",'상세일정'!AM104="제외"),"",IF($D104=$E104,IF(AND($D104&gt;=AZ$5,$D104&lt;AZ$5+7),"◆",""),IF(AND($D104&lt;AZ$5+7,$E104&gt;AZ$5),"■","")))</x:f>
      </x:c>
      <x:c r="BA104" s="7" t="str">
        <x:f>IF(OR($D104="",BA$5="",'상세일정'!AM104="제외"),"",IF($D104=$E104,IF(AND($D104&gt;=BA$5,$D104&lt;BA$5+7),"◆",""),IF(AND($D104&lt;BA$5+7,$E104&gt;BA$5),"■","")))</x:f>
      </x:c>
      <x:c r="BB104" s="7" t="str">
        <x:f>IF(OR($D104="",BB$5="",'상세일정'!AM104="제외"),"",IF($D104=$E104,IF(AND($D104&gt;=BB$5,$D104&lt;BB$5+7),"◆",""),IF(AND($D104&lt;BB$5+7,$E104&gt;BB$5),"■","")))</x:f>
      </x:c>
      <x:c r="BC104" s="7" t="str">
        <x:f>IF(OR($D104="",BC$5="",'상세일정'!AM104="제외"),"",IF($D104=$E104,IF(AND($D104&gt;=BC$5,$D104&lt;BC$5+7),"◆",""),IF(AND($D104&lt;BC$5+7,$E104&gt;BC$5),"■","")))</x:f>
      </x:c>
      <x:c r="BD104" s="7" t="str">
        <x:f>IF(OR($D104="",BD$5="",'상세일정'!AM104="제외"),"",IF($D104=$E104,IF(AND($D104&gt;=BD$5,$D104&lt;BD$5+7),"◆",""),IF(AND($D104&lt;BD$5+7,$E104&gt;BD$5),"■","")))</x:f>
      </x:c>
      <x:c r="BE104" s="7" t="str">
        <x:f>IF(OR($D104="",BE$5="",'상세일정'!AM104="제외"),"",IF($D104=$E104,IF(AND($D104&gt;=BE$5,$D104&lt;BE$5+7),"◆",""),IF(AND($D104&lt;BE$5+7,$E104&gt;BE$5),"■","")))</x:f>
      </x:c>
      <x:c r="BF104" s="7" t="str">
        <x:f>IF(OR($D104="",BF$5="",'상세일정'!AM104="제외"),"",IF($D104=$E104,IF(AND($D104&gt;=BF$5,$D104&lt;BF$5+7),"◆",""),IF(AND($D104&lt;BF$5+7,$E104&gt;BF$5),"■","")))</x:f>
      </x:c>
      <x:c r="BG104" s="7" t="str">
        <x:f>IF(OR($D104="",BG$5="",'상세일정'!AM104="제외"),"",IF($D104=$E104,IF(AND($D104&gt;=BG$5,$D104&lt;BG$5+7),"◆",""),IF(AND($D104&lt;BG$5+7,$E104&gt;BG$5),"■","")))</x:f>
      </x:c>
      <x:c r="BH104" s="7" t="str">
        <x:f>IF(OR($D104="",BH$5="",'상세일정'!AM104="제외"),"",IF($D104=$E104,IF(AND($D104&gt;=BH$5,$D104&lt;BH$5+7),"◆",""),IF(AND($D104&lt;BH$5+7,$E104&gt;BH$5),"■","")))</x:f>
      </x:c>
      <x:c r="BI104" s="7" t="str">
        <x:f>IF(OR($D104="",BI$5="",'상세일정'!AM104="제외"),"",IF($D104=$E104,IF(AND($D104&gt;=BI$5,$D104&lt;BI$5+7),"◆",""),IF(AND($D104&lt;BI$5+7,$E104&gt;BI$5),"■","")))</x:f>
      </x:c>
      <x:c r="BJ104" s="7" t="str">
        <x:f>IF(OR($D104="",BJ$5="",'상세일정'!AM104="제외"),"",IF($D104=$E104,IF(AND($D104&gt;=BJ$5,$D104&lt;BJ$5+7),"◆",""),IF(AND($D104&lt;BJ$5+7,$E104&gt;BJ$5),"■","")))</x:f>
      </x:c>
      <x:c r="BK104" s="7" t="str">
        <x:f>IF(OR($D104="",BK$5="",'상세일정'!AM104="제외"),"",IF($D104=$E104,IF(AND($D104&gt;=BK$5,$D104&lt;BK$5+7),"◆",""),IF(AND($D104&lt;BK$5+7,$E104&gt;BK$5),"■","")))</x:f>
      </x:c>
      <x:c r="BL104" s="7" t="str">
        <x:f>IF(OR($D104="",BL$5="",'상세일정'!AM104="제외"),"",IF($D104=$E104,IF(AND($D104&gt;=BL$5,$D104&lt;BL$5+7),"◆",""),IF(AND($D104&lt;BL$5+7,$E104&gt;BL$5),"■","")))</x:f>
      </x:c>
      <x:c r="BM104" s="7" t="str">
        <x:f>IF(OR($D104="",BM$5="",'상세일정'!AM104="제외"),"",IF($D104=$E104,IF(AND($D104&gt;=BM$5,$D104&lt;BM$5+7),"◆",""),IF(AND($D104&lt;BM$5+7,$E104&gt;BM$5),"■","")))</x:f>
      </x:c>
      <x:c r="BN104" s="7" t="str">
        <x:f>IF(OR($D104="",BN$5="",'상세일정'!AM104="제외"),"",IF($D104=$E104,IF(AND($D104&gt;=BN$5,$D104&lt;BN$5+7),"◆",""),IF(AND($D104&lt;BN$5+7,$E104&gt;BN$5),"■","")))</x:f>
      </x:c>
      <x:c r="BO104" s="7" t="str">
        <x:f>IF(OR($D104="",BO$5="",'상세일정'!AM104="제외"),"",IF($D104=$E104,IF(AND($D104&gt;=BO$5,$D104&lt;BO$5+7),"◆",""),IF(AND($D104&lt;BO$5+7,$E104&gt;BO$5),"■","")))</x:f>
      </x:c>
      <x:c r="BP104" s="7" t="str">
        <x:f>IF(OR($D104="",BP$5="",'상세일정'!AM104="제외"),"",IF($D104=$E104,IF(AND($D104&gt;=BP$5,$D104&lt;BP$5+7),"◆",""),IF(AND($D104&lt;BP$5+7,$E104&gt;BP$5),"■","")))</x:f>
      </x:c>
      <x:c r="BQ104" s="7" t="str">
        <x:f>IF(OR($D104="",BQ$5="",'상세일정'!AM104="제외"),"",IF($D104=$E104,IF(AND($D104&gt;=BQ$5,$D104&lt;BQ$5+7),"◆",""),IF(AND($D104&lt;BQ$5+7,$E104&gt;BQ$5),"■","")))</x:f>
      </x:c>
      <x:c r="BR104" s="7" t="str">
        <x:f>IF(OR($D104="",BR$5="",'상세일정'!AM104="제외"),"",IF($D104=$E104,IF(AND($D104&gt;=BR$5,$D104&lt;BR$5+7),"◆",""),IF(AND($D104&lt;BR$5+7,$E104&gt;BR$5),"■","")))</x:f>
      </x:c>
      <x:c r="BS104" s="7" t="str">
        <x:f>IF(OR($D104="",BS$5="",'상세일정'!AM104="제외"),"",IF($D104=$E104,IF(AND($D104&gt;=BS$5,$D104&lt;BS$5+7),"◆",""),IF(AND($D104&lt;BS$5+7,$E104&gt;BS$5),"■","")))</x:f>
      </x:c>
      <x:c r="BT104" s="7" t="str">
        <x:f>IF(OR($D104="",BT$5="",'상세일정'!AM104="제외"),"",IF($D104=$E104,IF(AND($D104&gt;=BT$5,$D104&lt;BT$5+7),"◆",""),IF(AND($D104&lt;BT$5+7,$E104&gt;BT$5),"■","")))</x:f>
      </x:c>
      <x:c r="BU104" s="7" t="str">
        <x:f>IF(OR($D104="",BU$5="",'상세일정'!AM104="제외"),"",IF($D104=$E104,IF(AND($D104&gt;=BU$5,$D104&lt;BU$5+7),"◆",""),IF(AND($D104&lt;BU$5+7,$E104&gt;BU$5),"■","")))</x:f>
      </x:c>
      <x:c r="BV104" s="7" t="str">
        <x:f>IF(OR($D104="",BV$5="",'상세일정'!AM104="제외"),"",IF($D104=$E104,IF(AND($D104&gt;=BV$5,$D104&lt;BV$5+7),"◆",""),IF(AND($D104&lt;BV$5+7,$E104&gt;BV$5),"■","")))</x:f>
      </x:c>
      <x:c r="BW104" s="7" t="str">
        <x:f>IF(OR($D104="",BW$5="",'상세일정'!AM104="제외"),"",IF($D104=$E104,IF(AND($D104&gt;=BW$5,$D104&lt;BW$5+7),"◆",""),IF(AND($D104&lt;BW$5+7,$E104&gt;BW$5),"■","")))</x:f>
      </x:c>
      <x:c r="BX104" s="7" t="str">
        <x:f>IF(OR($D104="",BX$5="",'상세일정'!AM104="제외"),"",IF($D104=$E104,IF(AND($D104&gt;=BX$5,$D104&lt;BX$5+7),"◆",""),IF(AND($D104&lt;BX$5+7,$E104&gt;BX$5),"■","")))</x:f>
      </x:c>
      <x:c r="BY104" s="7" t="str">
        <x:f>IF(OR($D104="",BY$5="",'상세일정'!AM104="제외"),"",IF($D104=$E104,IF(AND($D104&gt;=BY$5,$D104&lt;BY$5+7),"◆",""),IF(AND($D104&lt;BY$5+7,$E104&gt;BY$5),"■","")))</x:f>
      </x:c>
      <x:c r="BZ104" s="7" t="str">
        <x:f>IF(OR($D104="",BZ$5="",'상세일정'!AM104="제외"),"",IF($D104=$E104,IF(AND($D104&gt;=BZ$5,$D104&lt;BZ$5+7),"◆",""),IF(AND($D104&lt;BZ$5+7,$E104&gt;BZ$5),"■","")))</x:f>
      </x:c>
      <x:c r="CA104" s="7" t="str">
        <x:f>IF(OR($D104="",CA$5="",'상세일정'!AM104="제외"),"",IF($D104=$E104,IF(AND($D104&gt;=CA$5,$D104&lt;CA$5+7),"◆",""),IF(AND($D104&lt;CA$5+7,$E104&gt;CA$5),"■","")))</x:f>
      </x:c>
      <x:c r="CB104" s="7" t="str">
        <x:f>IF(OR($D104="",CB$5="",'상세일정'!AM104="제외"),"",IF($D104=$E104,IF(AND($D104&gt;=CB$5,$D104&lt;CB$5+7),"◆",""),IF(AND($D104&lt;CB$5+7,$E104&gt;CB$5),"■","")))</x:f>
      </x:c>
      <x:c r="CC104" s="7" t="str">
        <x:f>IF(OR($D104="",CC$5="",'상세일정'!AM104="제외"),"",IF($D104=$E104,IF(AND($D104&gt;=CC$5,$D104&lt;CC$5+7),"◆",""),IF(AND($D104&lt;CC$5+7,$E104&gt;CC$5),"■","")))</x:f>
      </x:c>
      <x:c r="CD104" s="7" t="str">
        <x:f>IF(OR($D104="",CD$5="",'상세일정'!AM104="제외"),"",IF($D104=$E104,IF(AND($D104&gt;=CD$5,$D104&lt;CD$5+7),"◆",""),IF(AND($D104&lt;CD$5+7,$E104&gt;CD$5),"■","")))</x:f>
      </x:c>
      <x:c r="CE104" s="7" t="str">
        <x:f>IF(OR($D104="",CE$5="",'상세일정'!AM104="제외"),"",IF($D104=$E104,IF(AND($D104&gt;=CE$5,$D104&lt;CE$5+7),"◆",""),IF(AND($D104&lt;CE$5+7,$E104&gt;CE$5),"■","")))</x:f>
      </x:c>
      <x:c r="CF104" s="7" t="str">
        <x:f>IF(OR($D104="",CF$5="",'상세일정'!AM104="제외"),"",IF($D104=$E104,IF(AND($D104&gt;=CF$5,$D104&lt;CF$5+7),"◆",""),IF(AND($D104&lt;CF$5+7,$E104&gt;CF$5),"■","")))</x:f>
      </x:c>
      <x:c r="CG104" s="7" t="str">
        <x:f>IF(OR($D104="",CG$5="",'상세일정'!AM104="제외"),"",IF($D104=$E104,IF(AND($D104&gt;=CG$5,$D104&lt;CG$5+7),"◆",""),IF(AND($D104&lt;CG$5+7,$E104&gt;CG$5),"■","")))</x:f>
      </x:c>
      <x:c r="CH104" s="7" t="str">
        <x:f>IF(OR($D104="",CH$5="",'상세일정'!AM104="제외"),"",IF($D104=$E104,IF(AND($D104&gt;=CH$5,$D104&lt;CH$5+7),"◆",""),IF(AND($D104&lt;CH$5+7,$E104&gt;CH$5),"■","")))</x:f>
      </x:c>
      <x:c r="CI104" s="7" t="str">
        <x:f>IF(OR($D104="",CI$5="",'상세일정'!AM104="제외"),"",IF($D104=$E104,IF(AND($D104&gt;=CI$5,$D104&lt;CI$5+7),"◆",""),IF(AND($D104&lt;CI$5+7,$E104&gt;CI$5),"■","")))</x:f>
      </x:c>
      <x:c r="CJ104" s="7" t="str">
        <x:f>IF(OR($D104="",CJ$5="",'상세일정'!AM104="제외"),"",IF($D104=$E104,IF(AND($D104&gt;=CJ$5,$D104&lt;CJ$5+7),"◆",""),IF(AND($D104&lt;CJ$5+7,$E104&gt;CJ$5),"■","")))</x:f>
      </x:c>
      <x:c r="CK104" s="7" t="str">
        <x:f>IF(OR($D104="",CK$5="",'상세일정'!AM104="제외"),"",IF($D104=$E104,IF(AND($D104&gt;=CK$5,$D104&lt;CK$5+7),"◆",""),IF(AND($D104&lt;CK$5+7,$E104&gt;CK$5),"■","")))</x:f>
      </x:c>
      <x:c r="CL104" s="7" t="str">
        <x:f>IF(OR($D104="",CL$5="",'상세일정'!AM104="제외"),"",IF($D104=$E104,IF(AND($D104&gt;=CL$5,$D104&lt;CL$5+7),"◆",""),IF(AND($D104&lt;CL$5+7,$E104&gt;CL$5),"■","")))</x:f>
      </x:c>
      <x:c r="CM104" s="7" t="str">
        <x:f>IF(OR($D104="",CM$5="",'상세일정'!AM104="제외"),"",IF($D104=$E104,IF(AND($D104&gt;=CM$5,$D104&lt;CM$5+7),"◆",""),IF(AND($D104&lt;CM$5+7,$E104&gt;CM$5),"■","")))</x:f>
      </x:c>
      <x:c r="CN104" s="7" t="str">
        <x:f>IF(OR($D104="",CN$5="",'상세일정'!AM104="제외"),"",IF($D104=$E104,IF(AND($D104&gt;=CN$5,$D104&lt;CN$5+7),"◆",""),IF(AND($D104&lt;CN$5+7,$E104&gt;CN$5),"■","")))</x:f>
      </x:c>
      <x:c r="CO104" s="7" t="str">
        <x:f>IF(OR($D104="",CO$5="",'상세일정'!AM104="제외"),"",IF($D104=$E104,IF(AND($D104&gt;=CO$5,$D104&lt;CO$5+7),"◆",""),IF(AND($D104&lt;CO$5+7,$E104&gt;CO$5),"■","")))</x:f>
      </x:c>
      <x:c r="CP104" s="7" t="str">
        <x:f>IF(OR($D104="",CP$5="",'상세일정'!AM104="제외"),"",IF($D104=$E104,IF(AND($D104&gt;=CP$5,$D104&lt;CP$5+7),"◆",""),IF(AND($D104&lt;CP$5+7,$E104&gt;CP$5),"■","")))</x:f>
      </x:c>
      <x:c r="CQ104" s="7" t="str">
        <x:f>IF(OR($D104="",CQ$5="",'상세일정'!AM104="제외"),"",IF($D104=$E104,IF(AND($D104&gt;=CQ$5,$D104&lt;CQ$5+7),"◆",""),IF(AND($D104&lt;CQ$5+7,$E104&gt;CQ$5),"■","")))</x:f>
      </x:c>
      <x:c r="CR104" s="7" t="str">
        <x:f>IF(OR($D104="",CR$5="",'상세일정'!AM104="제외"),"",IF($D104=$E104,IF(AND($D104&gt;=CR$5,$D104&lt;CR$5+7),"◆",""),IF(AND($D104&lt;CR$5+7,$E104&gt;CR$5),"■","")))</x:f>
      </x:c>
      <x:c r="CS104" s="7" t="str">
        <x:f>IF(OR($D104="",CS$5="",'상세일정'!AM104="제외"),"",IF($D104=$E104,IF(AND($D104&gt;=CS$5,$D104&lt;CS$5+7),"◆",""),IF(AND($D104&lt;CS$5+7,$E104&gt;CS$5),"■","")))</x:f>
      </x:c>
      <x:c r="CT104" s="7" t="str">
        <x:f>IF(OR($D104="",CT$5="",'상세일정'!AM104="제외"),"",IF($D104=$E104,IF(AND($D104&gt;=CT$5,$D104&lt;CT$5+7),"◆",""),IF(AND($D104&lt;CT$5+7,$E104&gt;CT$5),"■","")))</x:f>
      </x:c>
      <x:c r="CU104" s="7" t="str">
        <x:f>IF(OR($D104="",CU$5="",'상세일정'!AM104="제외"),"",IF($D104=$E104,IF(AND($D104&gt;=CU$5,$D104&lt;CU$5+7),"◆",""),IF(AND($D104&lt;CU$5+7,$E104&gt;CU$5),"■","")))</x:f>
      </x:c>
      <x:c r="CV104" s="7" t="str">
        <x:f>IF(OR($D104="",CV$5="",'상세일정'!AM104="제외"),"",IF($D104=$E104,IF(AND($D104&gt;=CV$5,$D104&lt;CV$5+7),"◆",""),IF(AND($D104&lt;CV$5+7,$E104&gt;CV$5),"■","")))</x:f>
      </x:c>
      <x:c r="CW104" s="7" t="str">
        <x:f>IF(OR($D104="",CW$5="",'상세일정'!AM104="제외"),"",IF($D104=$E104,IF(AND($D104&gt;=CW$5,$D104&lt;CW$5+7),"◆",""),IF(AND($D104&lt;CW$5+7,$E104&gt;CW$5),"■","")))</x:f>
      </x:c>
      <x:c r="CX104" s="7" t="str">
        <x:f>IF(OR($D104="",CX$5="",'상세일정'!AM104="제외"),"",IF($D104=$E104,IF(AND($D104&gt;=CX$5,$D104&lt;CX$5+7),"◆",""),IF(AND($D104&lt;CX$5+7,$E104&gt;CX$5),"■","")))</x:f>
      </x:c>
      <x:c r="CY104" s="7" t="str">
        <x:f>IF(OR($D104="",CY$5="",'상세일정'!AM104="제외"),"",IF($D104=$E104,IF(AND($D104&gt;=CY$5,$D104&lt;CY$5+7),"◆",""),IF(AND($D104&lt;CY$5+7,$E104&gt;CY$5),"■","")))</x:f>
      </x:c>
      <x:c r="CZ104" s="7" t="str">
        <x:f>IF(OR($D104="",CZ$5="",'상세일정'!AM104="제외"),"",IF($D104=$E104,IF(AND($D104&gt;=CZ$5,$D104&lt;CZ$5+7),"◆",""),IF(AND($D104&lt;CZ$5+7,$E104&gt;CZ$5),"■","")))</x:f>
      </x:c>
      <x:c r="DA104" s="7" t="str">
        <x:f>IF(OR($D104="",DA$5="",'상세일정'!AM104="제외"),"",IF($D104=$E104,IF(AND($D104&gt;=DA$5,$D104&lt;DA$5+7),"◆",""),IF(AND($D104&lt;DA$5+7,$E104&gt;DA$5),"■","")))</x:f>
      </x:c>
      <x:c r="DB104" s="7" t="str">
        <x:f>IF(OR($D104="",DB$5="",'상세일정'!AM104="제외"),"",IF($D104=$E104,IF(AND($D104&gt;=DB$5,$D104&lt;DB$5+7),"◆",""),IF(AND($D104&lt;DB$5+7,$E104&gt;DB$5),"■","")))</x:f>
      </x:c>
      <x:c r="DC104" s="7" t="str">
        <x:f>IF(OR($D104="",DC$5="",'상세일정'!AM104="제외"),"",IF($D104=$E104,IF(AND($D104&gt;=DC$5,$D104&lt;DC$5+7),"◆",""),IF(AND($D104&lt;DC$5+7,$E104&gt;DC$5),"■","")))</x:f>
      </x:c>
      <x:c r="DD104" s="7" t="str">
        <x:f>IF(OR($D104="",DD$5="",'상세일정'!AM104="제외"),"",IF($D104=$E104,IF(AND($D104&gt;=DD$5,$D104&lt;DD$5+7),"◆",""),IF(AND($D104&lt;DD$5+7,$E104&gt;DD$5),"■","")))</x:f>
      </x:c>
      <x:c r="DE104" s="7" t="str">
        <x:f>IF(OR($D104="",DE$5="",'상세일정'!AM104="제외"),"",IF($D104=$E104,IF(AND($D104&gt;=DE$5,$D104&lt;DE$5+7),"◆",""),IF(AND($D104&lt;DE$5+7,$E104&gt;DE$5),"■","")))</x:f>
      </x:c>
    </x:row>
    <x:row r="105" ht="34" customHeight="1">
      <x:c r="A105" s="7" t="str">
        <x:v>ST01</x:v>
      </x:c>
      <x:c r="B105" s="7" t="str">
        <x:v>15 착공 전 준비</x:v>
      </x:c>
      <x:c r="C105" s="7" t="str">
        <x:v>착공신고서·감리·허가조건 제출</x:v>
      </x:c>
      <x:c r="D105" s="10" t="str">
        <x:f>'상세일정'!AJ105</x:f>
      </x:c>
      <x:c r="E105" s="10" t="str">
        <x:f>'상세일정'!AK105</x:f>
      </x:c>
      <x:c r="F105" s="7" t="str">
        <x:f>IF(OR($D105="",F$5="",'상세일정'!AM105="제외"),"",IF($D105=$E105,IF(AND($D105&gt;=F$5,$D105&lt;F$5+7),"◆",""),IF(AND($D105&lt;F$5+7,$E105&gt;F$5),"■","")))</x:f>
      </x:c>
      <x:c r="G105" s="7" t="str">
        <x:f>IF(OR($D105="",G$5="",'상세일정'!AM105="제외"),"",IF($D105=$E105,IF(AND($D105&gt;=G$5,$D105&lt;G$5+7),"◆",""),IF(AND($D105&lt;G$5+7,$E105&gt;G$5),"■","")))</x:f>
      </x:c>
      <x:c r="H105" s="7" t="str">
        <x:f>IF(OR($D105="",H$5="",'상세일정'!AM105="제외"),"",IF($D105=$E105,IF(AND($D105&gt;=H$5,$D105&lt;H$5+7),"◆",""),IF(AND($D105&lt;H$5+7,$E105&gt;H$5),"■","")))</x:f>
      </x:c>
      <x:c r="I105" s="7" t="str">
        <x:f>IF(OR($D105="",I$5="",'상세일정'!AM105="제외"),"",IF($D105=$E105,IF(AND($D105&gt;=I$5,$D105&lt;I$5+7),"◆",""),IF(AND($D105&lt;I$5+7,$E105&gt;I$5),"■","")))</x:f>
      </x:c>
      <x:c r="J105" s="7" t="str">
        <x:f>IF(OR($D105="",J$5="",'상세일정'!AM105="제외"),"",IF($D105=$E105,IF(AND($D105&gt;=J$5,$D105&lt;J$5+7),"◆",""),IF(AND($D105&lt;J$5+7,$E105&gt;J$5),"■","")))</x:f>
      </x:c>
      <x:c r="K105" s="7" t="str">
        <x:f>IF(OR($D105="",K$5="",'상세일정'!AM105="제외"),"",IF($D105=$E105,IF(AND($D105&gt;=K$5,$D105&lt;K$5+7),"◆",""),IF(AND($D105&lt;K$5+7,$E105&gt;K$5),"■","")))</x:f>
      </x:c>
      <x:c r="L105" s="7" t="str">
        <x:f>IF(OR($D105="",L$5="",'상세일정'!AM105="제외"),"",IF($D105=$E105,IF(AND($D105&gt;=L$5,$D105&lt;L$5+7),"◆",""),IF(AND($D105&lt;L$5+7,$E105&gt;L$5),"■","")))</x:f>
      </x:c>
      <x:c r="M105" s="7" t="str">
        <x:f>IF(OR($D105="",M$5="",'상세일정'!AM105="제외"),"",IF($D105=$E105,IF(AND($D105&gt;=M$5,$D105&lt;M$5+7),"◆",""),IF(AND($D105&lt;M$5+7,$E105&gt;M$5),"■","")))</x:f>
      </x:c>
      <x:c r="N105" s="7" t="str">
        <x:f>IF(OR($D105="",N$5="",'상세일정'!AM105="제외"),"",IF($D105=$E105,IF(AND($D105&gt;=N$5,$D105&lt;N$5+7),"◆",""),IF(AND($D105&lt;N$5+7,$E105&gt;N$5),"■","")))</x:f>
      </x:c>
      <x:c r="O105" s="7" t="str">
        <x:f>IF(OR($D105="",O$5="",'상세일정'!AM105="제외"),"",IF($D105=$E105,IF(AND($D105&gt;=O$5,$D105&lt;O$5+7),"◆",""),IF(AND($D105&lt;O$5+7,$E105&gt;O$5),"■","")))</x:f>
      </x:c>
      <x:c r="P105" s="7" t="str">
        <x:f>IF(OR($D105="",P$5="",'상세일정'!AM105="제외"),"",IF($D105=$E105,IF(AND($D105&gt;=P$5,$D105&lt;P$5+7),"◆",""),IF(AND($D105&lt;P$5+7,$E105&gt;P$5),"■","")))</x:f>
      </x:c>
      <x:c r="Q105" s="7" t="str">
        <x:f>IF(OR($D105="",Q$5="",'상세일정'!AM105="제외"),"",IF($D105=$E105,IF(AND($D105&gt;=Q$5,$D105&lt;Q$5+7),"◆",""),IF(AND($D105&lt;Q$5+7,$E105&gt;Q$5),"■","")))</x:f>
      </x:c>
      <x:c r="R105" s="7" t="str">
        <x:f>IF(OR($D105="",R$5="",'상세일정'!AM105="제외"),"",IF($D105=$E105,IF(AND($D105&gt;=R$5,$D105&lt;R$5+7),"◆",""),IF(AND($D105&lt;R$5+7,$E105&gt;R$5),"■","")))</x:f>
      </x:c>
      <x:c r="S105" s="7" t="str">
        <x:f>IF(OR($D105="",S$5="",'상세일정'!AM105="제외"),"",IF($D105=$E105,IF(AND($D105&gt;=S$5,$D105&lt;S$5+7),"◆",""),IF(AND($D105&lt;S$5+7,$E105&gt;S$5),"■","")))</x:f>
      </x:c>
      <x:c r="T105" s="7" t="str">
        <x:f>IF(OR($D105="",T$5="",'상세일정'!AM105="제외"),"",IF($D105=$E105,IF(AND($D105&gt;=T$5,$D105&lt;T$5+7),"◆",""),IF(AND($D105&lt;T$5+7,$E105&gt;T$5),"■","")))</x:f>
      </x:c>
      <x:c r="U105" s="7" t="str">
        <x:f>IF(OR($D105="",U$5="",'상세일정'!AM105="제외"),"",IF($D105=$E105,IF(AND($D105&gt;=U$5,$D105&lt;U$5+7),"◆",""),IF(AND($D105&lt;U$5+7,$E105&gt;U$5),"■","")))</x:f>
      </x:c>
      <x:c r="V105" s="7" t="str">
        <x:f>IF(OR($D105="",V$5="",'상세일정'!AM105="제외"),"",IF($D105=$E105,IF(AND($D105&gt;=V$5,$D105&lt;V$5+7),"◆",""),IF(AND($D105&lt;V$5+7,$E105&gt;V$5),"■","")))</x:f>
      </x:c>
      <x:c r="W105" s="7" t="str">
        <x:f>IF(OR($D105="",W$5="",'상세일정'!AM105="제외"),"",IF($D105=$E105,IF(AND($D105&gt;=W$5,$D105&lt;W$5+7),"◆",""),IF(AND($D105&lt;W$5+7,$E105&gt;W$5),"■","")))</x:f>
      </x:c>
      <x:c r="X105" s="7" t="str">
        <x:f>IF(OR($D105="",X$5="",'상세일정'!AM105="제외"),"",IF($D105=$E105,IF(AND($D105&gt;=X$5,$D105&lt;X$5+7),"◆",""),IF(AND($D105&lt;X$5+7,$E105&gt;X$5),"■","")))</x:f>
      </x:c>
      <x:c r="Y105" s="7" t="str">
        <x:f>IF(OR($D105="",Y$5="",'상세일정'!AM105="제외"),"",IF($D105=$E105,IF(AND($D105&gt;=Y$5,$D105&lt;Y$5+7),"◆",""),IF(AND($D105&lt;Y$5+7,$E105&gt;Y$5),"■","")))</x:f>
      </x:c>
      <x:c r="Z105" s="7" t="str">
        <x:f>IF(OR($D105="",Z$5="",'상세일정'!AM105="제외"),"",IF($D105=$E105,IF(AND($D105&gt;=Z$5,$D105&lt;Z$5+7),"◆",""),IF(AND($D105&lt;Z$5+7,$E105&gt;Z$5),"■","")))</x:f>
      </x:c>
      <x:c r="AA105" s="7" t="str">
        <x:f>IF(OR($D105="",AA$5="",'상세일정'!AM105="제외"),"",IF($D105=$E105,IF(AND($D105&gt;=AA$5,$D105&lt;AA$5+7),"◆",""),IF(AND($D105&lt;AA$5+7,$E105&gt;AA$5),"■","")))</x:f>
      </x:c>
      <x:c r="AB105" s="7" t="str">
        <x:f>IF(OR($D105="",AB$5="",'상세일정'!AM105="제외"),"",IF($D105=$E105,IF(AND($D105&gt;=AB$5,$D105&lt;AB$5+7),"◆",""),IF(AND($D105&lt;AB$5+7,$E105&gt;AB$5),"■","")))</x:f>
      </x:c>
      <x:c r="AC105" s="7" t="str">
        <x:f>IF(OR($D105="",AC$5="",'상세일정'!AM105="제외"),"",IF($D105=$E105,IF(AND($D105&gt;=AC$5,$D105&lt;AC$5+7),"◆",""),IF(AND($D105&lt;AC$5+7,$E105&gt;AC$5),"■","")))</x:f>
      </x:c>
      <x:c r="AD105" s="7" t="str">
        <x:f>IF(OR($D105="",AD$5="",'상세일정'!AM105="제외"),"",IF($D105=$E105,IF(AND($D105&gt;=AD$5,$D105&lt;AD$5+7),"◆",""),IF(AND($D105&lt;AD$5+7,$E105&gt;AD$5),"■","")))</x:f>
      </x:c>
      <x:c r="AE105" s="7" t="str">
        <x:f>IF(OR($D105="",AE$5="",'상세일정'!AM105="제외"),"",IF($D105=$E105,IF(AND($D105&gt;=AE$5,$D105&lt;AE$5+7),"◆",""),IF(AND($D105&lt;AE$5+7,$E105&gt;AE$5),"■","")))</x:f>
      </x:c>
      <x:c r="AF105" s="7" t="str">
        <x:f>IF(OR($D105="",AF$5="",'상세일정'!AM105="제외"),"",IF($D105=$E105,IF(AND($D105&gt;=AF$5,$D105&lt;AF$5+7),"◆",""),IF(AND($D105&lt;AF$5+7,$E105&gt;AF$5),"■","")))</x:f>
      </x:c>
      <x:c r="AG105" s="7" t="str">
        <x:f>IF(OR($D105="",AG$5="",'상세일정'!AM105="제외"),"",IF($D105=$E105,IF(AND($D105&gt;=AG$5,$D105&lt;AG$5+7),"◆",""),IF(AND($D105&lt;AG$5+7,$E105&gt;AG$5),"■","")))</x:f>
      </x:c>
      <x:c r="AH105" s="7" t="str">
        <x:f>IF(OR($D105="",AH$5="",'상세일정'!AM105="제외"),"",IF($D105=$E105,IF(AND($D105&gt;=AH$5,$D105&lt;AH$5+7),"◆",""),IF(AND($D105&lt;AH$5+7,$E105&gt;AH$5),"■","")))</x:f>
      </x:c>
      <x:c r="AI105" s="7" t="str">
        <x:f>IF(OR($D105="",AI$5="",'상세일정'!AM105="제외"),"",IF($D105=$E105,IF(AND($D105&gt;=AI$5,$D105&lt;AI$5+7),"◆",""),IF(AND($D105&lt;AI$5+7,$E105&gt;AI$5),"■","")))</x:f>
      </x:c>
      <x:c r="AJ105" s="7" t="str">
        <x:f>IF(OR($D105="",AJ$5="",'상세일정'!AM105="제외"),"",IF($D105=$E105,IF(AND($D105&gt;=AJ$5,$D105&lt;AJ$5+7),"◆",""),IF(AND($D105&lt;AJ$5+7,$E105&gt;AJ$5),"■","")))</x:f>
      </x:c>
      <x:c r="AK105" s="7" t="str">
        <x:f>IF(OR($D105="",AK$5="",'상세일정'!AM105="제외"),"",IF($D105=$E105,IF(AND($D105&gt;=AK$5,$D105&lt;AK$5+7),"◆",""),IF(AND($D105&lt;AK$5+7,$E105&gt;AK$5),"■","")))</x:f>
      </x:c>
      <x:c r="AL105" s="7" t="str">
        <x:f>IF(OR($D105="",AL$5="",'상세일정'!AM105="제외"),"",IF($D105=$E105,IF(AND($D105&gt;=AL$5,$D105&lt;AL$5+7),"◆",""),IF(AND($D105&lt;AL$5+7,$E105&gt;AL$5),"■","")))</x:f>
      </x:c>
      <x:c r="AM105" s="7" t="str">
        <x:f>IF(OR($D105="",AM$5="",'상세일정'!AM105="제외"),"",IF($D105=$E105,IF(AND($D105&gt;=AM$5,$D105&lt;AM$5+7),"◆",""),IF(AND($D105&lt;AM$5+7,$E105&gt;AM$5),"■","")))</x:f>
      </x:c>
      <x:c r="AN105" s="7" t="str">
        <x:f>IF(OR($D105="",AN$5="",'상세일정'!AM105="제외"),"",IF($D105=$E105,IF(AND($D105&gt;=AN$5,$D105&lt;AN$5+7),"◆",""),IF(AND($D105&lt;AN$5+7,$E105&gt;AN$5),"■","")))</x:f>
      </x:c>
      <x:c r="AO105" s="7" t="str">
        <x:f>IF(OR($D105="",AO$5="",'상세일정'!AM105="제외"),"",IF($D105=$E105,IF(AND($D105&gt;=AO$5,$D105&lt;AO$5+7),"◆",""),IF(AND($D105&lt;AO$5+7,$E105&gt;AO$5),"■","")))</x:f>
      </x:c>
      <x:c r="AP105" s="7" t="str">
        <x:f>IF(OR($D105="",AP$5="",'상세일정'!AM105="제외"),"",IF($D105=$E105,IF(AND($D105&gt;=AP$5,$D105&lt;AP$5+7),"◆",""),IF(AND($D105&lt;AP$5+7,$E105&gt;AP$5),"■","")))</x:f>
      </x:c>
      <x:c r="AQ105" s="7" t="str">
        <x:f>IF(OR($D105="",AQ$5="",'상세일정'!AM105="제외"),"",IF($D105=$E105,IF(AND($D105&gt;=AQ$5,$D105&lt;AQ$5+7),"◆",""),IF(AND($D105&lt;AQ$5+7,$E105&gt;AQ$5),"■","")))</x:f>
      </x:c>
      <x:c r="AR105" s="7" t="str">
        <x:f>IF(OR($D105="",AR$5="",'상세일정'!AM105="제외"),"",IF($D105=$E105,IF(AND($D105&gt;=AR$5,$D105&lt;AR$5+7),"◆",""),IF(AND($D105&lt;AR$5+7,$E105&gt;AR$5),"■","")))</x:f>
      </x:c>
      <x:c r="AS105" s="7" t="str">
        <x:f>IF(OR($D105="",AS$5="",'상세일정'!AM105="제외"),"",IF($D105=$E105,IF(AND($D105&gt;=AS$5,$D105&lt;AS$5+7),"◆",""),IF(AND($D105&lt;AS$5+7,$E105&gt;AS$5),"■","")))</x:f>
      </x:c>
      <x:c r="AT105" s="7" t="str">
        <x:f>IF(OR($D105="",AT$5="",'상세일정'!AM105="제외"),"",IF($D105=$E105,IF(AND($D105&gt;=AT$5,$D105&lt;AT$5+7),"◆",""),IF(AND($D105&lt;AT$5+7,$E105&gt;AT$5),"■","")))</x:f>
      </x:c>
      <x:c r="AU105" s="7" t="str">
        <x:f>IF(OR($D105="",AU$5="",'상세일정'!AM105="제외"),"",IF($D105=$E105,IF(AND($D105&gt;=AU$5,$D105&lt;AU$5+7),"◆",""),IF(AND($D105&lt;AU$5+7,$E105&gt;AU$5),"■","")))</x:f>
      </x:c>
      <x:c r="AV105" s="7" t="str">
        <x:f>IF(OR($D105="",AV$5="",'상세일정'!AM105="제외"),"",IF($D105=$E105,IF(AND($D105&gt;=AV$5,$D105&lt;AV$5+7),"◆",""),IF(AND($D105&lt;AV$5+7,$E105&gt;AV$5),"■","")))</x:f>
      </x:c>
      <x:c r="AW105" s="7" t="str">
        <x:f>IF(OR($D105="",AW$5="",'상세일정'!AM105="제외"),"",IF($D105=$E105,IF(AND($D105&gt;=AW$5,$D105&lt;AW$5+7),"◆",""),IF(AND($D105&lt;AW$5+7,$E105&gt;AW$5),"■","")))</x:f>
      </x:c>
      <x:c r="AX105" s="7" t="str">
        <x:f>IF(OR($D105="",AX$5="",'상세일정'!AM105="제외"),"",IF($D105=$E105,IF(AND($D105&gt;=AX$5,$D105&lt;AX$5+7),"◆",""),IF(AND($D105&lt;AX$5+7,$E105&gt;AX$5),"■","")))</x:f>
      </x:c>
      <x:c r="AY105" s="7" t="str">
        <x:f>IF(OR($D105="",AY$5="",'상세일정'!AM105="제외"),"",IF($D105=$E105,IF(AND($D105&gt;=AY$5,$D105&lt;AY$5+7),"◆",""),IF(AND($D105&lt;AY$5+7,$E105&gt;AY$5),"■","")))</x:f>
      </x:c>
      <x:c r="AZ105" s="7" t="str">
        <x:f>IF(OR($D105="",AZ$5="",'상세일정'!AM105="제외"),"",IF($D105=$E105,IF(AND($D105&gt;=AZ$5,$D105&lt;AZ$5+7),"◆",""),IF(AND($D105&lt;AZ$5+7,$E105&gt;AZ$5),"■","")))</x:f>
      </x:c>
      <x:c r="BA105" s="7" t="str">
        <x:f>IF(OR($D105="",BA$5="",'상세일정'!AM105="제외"),"",IF($D105=$E105,IF(AND($D105&gt;=BA$5,$D105&lt;BA$5+7),"◆",""),IF(AND($D105&lt;BA$5+7,$E105&gt;BA$5),"■","")))</x:f>
      </x:c>
      <x:c r="BB105" s="7" t="str">
        <x:f>IF(OR($D105="",BB$5="",'상세일정'!AM105="제외"),"",IF($D105=$E105,IF(AND($D105&gt;=BB$5,$D105&lt;BB$5+7),"◆",""),IF(AND($D105&lt;BB$5+7,$E105&gt;BB$5),"■","")))</x:f>
      </x:c>
      <x:c r="BC105" s="7" t="str">
        <x:f>IF(OR($D105="",BC$5="",'상세일정'!AM105="제외"),"",IF($D105=$E105,IF(AND($D105&gt;=BC$5,$D105&lt;BC$5+7),"◆",""),IF(AND($D105&lt;BC$5+7,$E105&gt;BC$5),"■","")))</x:f>
      </x:c>
      <x:c r="BD105" s="7" t="str">
        <x:f>IF(OR($D105="",BD$5="",'상세일정'!AM105="제외"),"",IF($D105=$E105,IF(AND($D105&gt;=BD$5,$D105&lt;BD$5+7),"◆",""),IF(AND($D105&lt;BD$5+7,$E105&gt;BD$5),"■","")))</x:f>
      </x:c>
      <x:c r="BE105" s="7" t="str">
        <x:f>IF(OR($D105="",BE$5="",'상세일정'!AM105="제외"),"",IF($D105=$E105,IF(AND($D105&gt;=BE$5,$D105&lt;BE$5+7),"◆",""),IF(AND($D105&lt;BE$5+7,$E105&gt;BE$5),"■","")))</x:f>
      </x:c>
      <x:c r="BF105" s="7" t="str">
        <x:f>IF(OR($D105="",BF$5="",'상세일정'!AM105="제외"),"",IF($D105=$E105,IF(AND($D105&gt;=BF$5,$D105&lt;BF$5+7),"◆",""),IF(AND($D105&lt;BF$5+7,$E105&gt;BF$5),"■","")))</x:f>
      </x:c>
      <x:c r="BG105" s="7" t="str">
        <x:f>IF(OR($D105="",BG$5="",'상세일정'!AM105="제외"),"",IF($D105=$E105,IF(AND($D105&gt;=BG$5,$D105&lt;BG$5+7),"◆",""),IF(AND($D105&lt;BG$5+7,$E105&gt;BG$5),"■","")))</x:f>
      </x:c>
      <x:c r="BH105" s="7" t="str">
        <x:f>IF(OR($D105="",BH$5="",'상세일정'!AM105="제외"),"",IF($D105=$E105,IF(AND($D105&gt;=BH$5,$D105&lt;BH$5+7),"◆",""),IF(AND($D105&lt;BH$5+7,$E105&gt;BH$5),"■","")))</x:f>
      </x:c>
      <x:c r="BI105" s="7" t="str">
        <x:f>IF(OR($D105="",BI$5="",'상세일정'!AM105="제외"),"",IF($D105=$E105,IF(AND($D105&gt;=BI$5,$D105&lt;BI$5+7),"◆",""),IF(AND($D105&lt;BI$5+7,$E105&gt;BI$5),"■","")))</x:f>
      </x:c>
      <x:c r="BJ105" s="7" t="str">
        <x:f>IF(OR($D105="",BJ$5="",'상세일정'!AM105="제외"),"",IF($D105=$E105,IF(AND($D105&gt;=BJ$5,$D105&lt;BJ$5+7),"◆",""),IF(AND($D105&lt;BJ$5+7,$E105&gt;BJ$5),"■","")))</x:f>
      </x:c>
      <x:c r="BK105" s="7" t="str">
        <x:f>IF(OR($D105="",BK$5="",'상세일정'!AM105="제외"),"",IF($D105=$E105,IF(AND($D105&gt;=BK$5,$D105&lt;BK$5+7),"◆",""),IF(AND($D105&lt;BK$5+7,$E105&gt;BK$5),"■","")))</x:f>
      </x:c>
      <x:c r="BL105" s="7" t="str">
        <x:f>IF(OR($D105="",BL$5="",'상세일정'!AM105="제외"),"",IF($D105=$E105,IF(AND($D105&gt;=BL$5,$D105&lt;BL$5+7),"◆",""),IF(AND($D105&lt;BL$5+7,$E105&gt;BL$5),"■","")))</x:f>
      </x:c>
      <x:c r="BM105" s="7" t="str">
        <x:f>IF(OR($D105="",BM$5="",'상세일정'!AM105="제외"),"",IF($D105=$E105,IF(AND($D105&gt;=BM$5,$D105&lt;BM$5+7),"◆",""),IF(AND($D105&lt;BM$5+7,$E105&gt;BM$5),"■","")))</x:f>
      </x:c>
      <x:c r="BN105" s="7" t="str">
        <x:f>IF(OR($D105="",BN$5="",'상세일정'!AM105="제외"),"",IF($D105=$E105,IF(AND($D105&gt;=BN$5,$D105&lt;BN$5+7),"◆",""),IF(AND($D105&lt;BN$5+7,$E105&gt;BN$5),"■","")))</x:f>
      </x:c>
      <x:c r="BO105" s="7" t="str">
        <x:f>IF(OR($D105="",BO$5="",'상세일정'!AM105="제외"),"",IF($D105=$E105,IF(AND($D105&gt;=BO$5,$D105&lt;BO$5+7),"◆",""),IF(AND($D105&lt;BO$5+7,$E105&gt;BO$5),"■","")))</x:f>
      </x:c>
      <x:c r="BP105" s="7" t="str">
        <x:f>IF(OR($D105="",BP$5="",'상세일정'!AM105="제외"),"",IF($D105=$E105,IF(AND($D105&gt;=BP$5,$D105&lt;BP$5+7),"◆",""),IF(AND($D105&lt;BP$5+7,$E105&gt;BP$5),"■","")))</x:f>
      </x:c>
      <x:c r="BQ105" s="7" t="str">
        <x:f>IF(OR($D105="",BQ$5="",'상세일정'!AM105="제외"),"",IF($D105=$E105,IF(AND($D105&gt;=BQ$5,$D105&lt;BQ$5+7),"◆",""),IF(AND($D105&lt;BQ$5+7,$E105&gt;BQ$5),"■","")))</x:f>
      </x:c>
      <x:c r="BR105" s="7" t="str">
        <x:f>IF(OR($D105="",BR$5="",'상세일정'!AM105="제외"),"",IF($D105=$E105,IF(AND($D105&gt;=BR$5,$D105&lt;BR$5+7),"◆",""),IF(AND($D105&lt;BR$5+7,$E105&gt;BR$5),"■","")))</x:f>
      </x:c>
      <x:c r="BS105" s="7" t="str">
        <x:f>IF(OR($D105="",BS$5="",'상세일정'!AM105="제외"),"",IF($D105=$E105,IF(AND($D105&gt;=BS$5,$D105&lt;BS$5+7),"◆",""),IF(AND($D105&lt;BS$5+7,$E105&gt;BS$5),"■","")))</x:f>
      </x:c>
      <x:c r="BT105" s="7" t="str">
        <x:f>IF(OR($D105="",BT$5="",'상세일정'!AM105="제외"),"",IF($D105=$E105,IF(AND($D105&gt;=BT$5,$D105&lt;BT$5+7),"◆",""),IF(AND($D105&lt;BT$5+7,$E105&gt;BT$5),"■","")))</x:f>
      </x:c>
      <x:c r="BU105" s="7" t="str">
        <x:f>IF(OR($D105="",BU$5="",'상세일정'!AM105="제외"),"",IF($D105=$E105,IF(AND($D105&gt;=BU$5,$D105&lt;BU$5+7),"◆",""),IF(AND($D105&lt;BU$5+7,$E105&gt;BU$5),"■","")))</x:f>
      </x:c>
      <x:c r="BV105" s="7" t="str">
        <x:f>IF(OR($D105="",BV$5="",'상세일정'!AM105="제외"),"",IF($D105=$E105,IF(AND($D105&gt;=BV$5,$D105&lt;BV$5+7),"◆",""),IF(AND($D105&lt;BV$5+7,$E105&gt;BV$5),"■","")))</x:f>
      </x:c>
      <x:c r="BW105" s="7" t="str">
        <x:f>IF(OR($D105="",BW$5="",'상세일정'!AM105="제외"),"",IF($D105=$E105,IF(AND($D105&gt;=BW$5,$D105&lt;BW$5+7),"◆",""),IF(AND($D105&lt;BW$5+7,$E105&gt;BW$5),"■","")))</x:f>
      </x:c>
      <x:c r="BX105" s="7" t="str">
        <x:f>IF(OR($D105="",BX$5="",'상세일정'!AM105="제외"),"",IF($D105=$E105,IF(AND($D105&gt;=BX$5,$D105&lt;BX$5+7),"◆",""),IF(AND($D105&lt;BX$5+7,$E105&gt;BX$5),"■","")))</x:f>
      </x:c>
      <x:c r="BY105" s="7" t="str">
        <x:f>IF(OR($D105="",BY$5="",'상세일정'!AM105="제외"),"",IF($D105=$E105,IF(AND($D105&gt;=BY$5,$D105&lt;BY$5+7),"◆",""),IF(AND($D105&lt;BY$5+7,$E105&gt;BY$5),"■","")))</x:f>
      </x:c>
      <x:c r="BZ105" s="7" t="str">
        <x:f>IF(OR($D105="",BZ$5="",'상세일정'!AM105="제외"),"",IF($D105=$E105,IF(AND($D105&gt;=BZ$5,$D105&lt;BZ$5+7),"◆",""),IF(AND($D105&lt;BZ$5+7,$E105&gt;BZ$5),"■","")))</x:f>
      </x:c>
      <x:c r="CA105" s="7" t="str">
        <x:f>IF(OR($D105="",CA$5="",'상세일정'!AM105="제외"),"",IF($D105=$E105,IF(AND($D105&gt;=CA$5,$D105&lt;CA$5+7),"◆",""),IF(AND($D105&lt;CA$5+7,$E105&gt;CA$5),"■","")))</x:f>
      </x:c>
      <x:c r="CB105" s="7" t="str">
        <x:f>IF(OR($D105="",CB$5="",'상세일정'!AM105="제외"),"",IF($D105=$E105,IF(AND($D105&gt;=CB$5,$D105&lt;CB$5+7),"◆",""),IF(AND($D105&lt;CB$5+7,$E105&gt;CB$5),"■","")))</x:f>
      </x:c>
      <x:c r="CC105" s="7" t="str">
        <x:f>IF(OR($D105="",CC$5="",'상세일정'!AM105="제외"),"",IF($D105=$E105,IF(AND($D105&gt;=CC$5,$D105&lt;CC$5+7),"◆",""),IF(AND($D105&lt;CC$5+7,$E105&gt;CC$5),"■","")))</x:f>
      </x:c>
      <x:c r="CD105" s="7" t="str">
        <x:f>IF(OR($D105="",CD$5="",'상세일정'!AM105="제외"),"",IF($D105=$E105,IF(AND($D105&gt;=CD$5,$D105&lt;CD$5+7),"◆",""),IF(AND($D105&lt;CD$5+7,$E105&gt;CD$5),"■","")))</x:f>
      </x:c>
      <x:c r="CE105" s="7" t="str">
        <x:f>IF(OR($D105="",CE$5="",'상세일정'!AM105="제외"),"",IF($D105=$E105,IF(AND($D105&gt;=CE$5,$D105&lt;CE$5+7),"◆",""),IF(AND($D105&lt;CE$5+7,$E105&gt;CE$5),"■","")))</x:f>
      </x:c>
      <x:c r="CF105" s="7" t="str">
        <x:f>IF(OR($D105="",CF$5="",'상세일정'!AM105="제외"),"",IF($D105=$E105,IF(AND($D105&gt;=CF$5,$D105&lt;CF$5+7),"◆",""),IF(AND($D105&lt;CF$5+7,$E105&gt;CF$5),"■","")))</x:f>
      </x:c>
      <x:c r="CG105" s="7" t="str">
        <x:f>IF(OR($D105="",CG$5="",'상세일정'!AM105="제외"),"",IF($D105=$E105,IF(AND($D105&gt;=CG$5,$D105&lt;CG$5+7),"◆",""),IF(AND($D105&lt;CG$5+7,$E105&gt;CG$5),"■","")))</x:f>
      </x:c>
      <x:c r="CH105" s="7" t="str">
        <x:f>IF(OR($D105="",CH$5="",'상세일정'!AM105="제외"),"",IF($D105=$E105,IF(AND($D105&gt;=CH$5,$D105&lt;CH$5+7),"◆",""),IF(AND($D105&lt;CH$5+7,$E105&gt;CH$5),"■","")))</x:f>
      </x:c>
      <x:c r="CI105" s="7" t="str">
        <x:f>IF(OR($D105="",CI$5="",'상세일정'!AM105="제외"),"",IF($D105=$E105,IF(AND($D105&gt;=CI$5,$D105&lt;CI$5+7),"◆",""),IF(AND($D105&lt;CI$5+7,$E105&gt;CI$5),"■","")))</x:f>
      </x:c>
      <x:c r="CJ105" s="7" t="str">
        <x:f>IF(OR($D105="",CJ$5="",'상세일정'!AM105="제외"),"",IF($D105=$E105,IF(AND($D105&gt;=CJ$5,$D105&lt;CJ$5+7),"◆",""),IF(AND($D105&lt;CJ$5+7,$E105&gt;CJ$5),"■","")))</x:f>
      </x:c>
      <x:c r="CK105" s="7" t="str">
        <x:f>IF(OR($D105="",CK$5="",'상세일정'!AM105="제외"),"",IF($D105=$E105,IF(AND($D105&gt;=CK$5,$D105&lt;CK$5+7),"◆",""),IF(AND($D105&lt;CK$5+7,$E105&gt;CK$5),"■","")))</x:f>
      </x:c>
      <x:c r="CL105" s="7" t="str">
        <x:f>IF(OR($D105="",CL$5="",'상세일정'!AM105="제외"),"",IF($D105=$E105,IF(AND($D105&gt;=CL$5,$D105&lt;CL$5+7),"◆",""),IF(AND($D105&lt;CL$5+7,$E105&gt;CL$5),"■","")))</x:f>
      </x:c>
      <x:c r="CM105" s="7" t="str">
        <x:f>IF(OR($D105="",CM$5="",'상세일정'!AM105="제외"),"",IF($D105=$E105,IF(AND($D105&gt;=CM$5,$D105&lt;CM$5+7),"◆",""),IF(AND($D105&lt;CM$5+7,$E105&gt;CM$5),"■","")))</x:f>
      </x:c>
      <x:c r="CN105" s="7" t="str">
        <x:f>IF(OR($D105="",CN$5="",'상세일정'!AM105="제외"),"",IF($D105=$E105,IF(AND($D105&gt;=CN$5,$D105&lt;CN$5+7),"◆",""),IF(AND($D105&lt;CN$5+7,$E105&gt;CN$5),"■","")))</x:f>
      </x:c>
      <x:c r="CO105" s="7" t="str">
        <x:f>IF(OR($D105="",CO$5="",'상세일정'!AM105="제외"),"",IF($D105=$E105,IF(AND($D105&gt;=CO$5,$D105&lt;CO$5+7),"◆",""),IF(AND($D105&lt;CO$5+7,$E105&gt;CO$5),"■","")))</x:f>
      </x:c>
      <x:c r="CP105" s="7" t="str">
        <x:f>IF(OR($D105="",CP$5="",'상세일정'!AM105="제외"),"",IF($D105=$E105,IF(AND($D105&gt;=CP$5,$D105&lt;CP$5+7),"◆",""),IF(AND($D105&lt;CP$5+7,$E105&gt;CP$5),"■","")))</x:f>
      </x:c>
      <x:c r="CQ105" s="7" t="str">
        <x:f>IF(OR($D105="",CQ$5="",'상세일정'!AM105="제외"),"",IF($D105=$E105,IF(AND($D105&gt;=CQ$5,$D105&lt;CQ$5+7),"◆",""),IF(AND($D105&lt;CQ$5+7,$E105&gt;CQ$5),"■","")))</x:f>
      </x:c>
      <x:c r="CR105" s="7" t="str">
        <x:f>IF(OR($D105="",CR$5="",'상세일정'!AM105="제외"),"",IF($D105=$E105,IF(AND($D105&gt;=CR$5,$D105&lt;CR$5+7),"◆",""),IF(AND($D105&lt;CR$5+7,$E105&gt;CR$5),"■","")))</x:f>
      </x:c>
      <x:c r="CS105" s="7" t="str">
        <x:f>IF(OR($D105="",CS$5="",'상세일정'!AM105="제외"),"",IF($D105=$E105,IF(AND($D105&gt;=CS$5,$D105&lt;CS$5+7),"◆",""),IF(AND($D105&lt;CS$5+7,$E105&gt;CS$5),"■","")))</x:f>
      </x:c>
      <x:c r="CT105" s="7" t="str">
        <x:f>IF(OR($D105="",CT$5="",'상세일정'!AM105="제외"),"",IF($D105=$E105,IF(AND($D105&gt;=CT$5,$D105&lt;CT$5+7),"◆",""),IF(AND($D105&lt;CT$5+7,$E105&gt;CT$5),"■","")))</x:f>
      </x:c>
      <x:c r="CU105" s="7" t="str">
        <x:f>IF(OR($D105="",CU$5="",'상세일정'!AM105="제외"),"",IF($D105=$E105,IF(AND($D105&gt;=CU$5,$D105&lt;CU$5+7),"◆",""),IF(AND($D105&lt;CU$5+7,$E105&gt;CU$5),"■","")))</x:f>
      </x:c>
      <x:c r="CV105" s="7" t="str">
        <x:f>IF(OR($D105="",CV$5="",'상세일정'!AM105="제외"),"",IF($D105=$E105,IF(AND($D105&gt;=CV$5,$D105&lt;CV$5+7),"◆",""),IF(AND($D105&lt;CV$5+7,$E105&gt;CV$5),"■","")))</x:f>
      </x:c>
      <x:c r="CW105" s="7" t="str">
        <x:f>IF(OR($D105="",CW$5="",'상세일정'!AM105="제외"),"",IF($D105=$E105,IF(AND($D105&gt;=CW$5,$D105&lt;CW$5+7),"◆",""),IF(AND($D105&lt;CW$5+7,$E105&gt;CW$5),"■","")))</x:f>
      </x:c>
      <x:c r="CX105" s="7" t="str">
        <x:f>IF(OR($D105="",CX$5="",'상세일정'!AM105="제외"),"",IF($D105=$E105,IF(AND($D105&gt;=CX$5,$D105&lt;CX$5+7),"◆",""),IF(AND($D105&lt;CX$5+7,$E105&gt;CX$5),"■","")))</x:f>
      </x:c>
      <x:c r="CY105" s="7" t="str">
        <x:f>IF(OR($D105="",CY$5="",'상세일정'!AM105="제외"),"",IF($D105=$E105,IF(AND($D105&gt;=CY$5,$D105&lt;CY$5+7),"◆",""),IF(AND($D105&lt;CY$5+7,$E105&gt;CY$5),"■","")))</x:f>
      </x:c>
      <x:c r="CZ105" s="7" t="str">
        <x:f>IF(OR($D105="",CZ$5="",'상세일정'!AM105="제외"),"",IF($D105=$E105,IF(AND($D105&gt;=CZ$5,$D105&lt;CZ$5+7),"◆",""),IF(AND($D105&lt;CZ$5+7,$E105&gt;CZ$5),"■","")))</x:f>
      </x:c>
      <x:c r="DA105" s="7" t="str">
        <x:f>IF(OR($D105="",DA$5="",'상세일정'!AM105="제외"),"",IF($D105=$E105,IF(AND($D105&gt;=DA$5,$D105&lt;DA$5+7),"◆",""),IF(AND($D105&lt;DA$5+7,$E105&gt;DA$5),"■","")))</x:f>
      </x:c>
      <x:c r="DB105" s="7" t="str">
        <x:f>IF(OR($D105="",DB$5="",'상세일정'!AM105="제외"),"",IF($D105=$E105,IF(AND($D105&gt;=DB$5,$D105&lt;DB$5+7),"◆",""),IF(AND($D105&lt;DB$5+7,$E105&gt;DB$5),"■","")))</x:f>
      </x:c>
      <x:c r="DC105" s="7" t="str">
        <x:f>IF(OR($D105="",DC$5="",'상세일정'!AM105="제외"),"",IF($D105=$E105,IF(AND($D105&gt;=DC$5,$D105&lt;DC$5+7),"◆",""),IF(AND($D105&lt;DC$5+7,$E105&gt;DC$5),"■","")))</x:f>
      </x:c>
      <x:c r="DD105" s="7" t="str">
        <x:f>IF(OR($D105="",DD$5="",'상세일정'!AM105="제외"),"",IF($D105=$E105,IF(AND($D105&gt;=DD$5,$D105&lt;DD$5+7),"◆",""),IF(AND($D105&lt;DD$5+7,$E105&gt;DD$5),"■","")))</x:f>
      </x:c>
      <x:c r="DE105" s="7" t="str">
        <x:f>IF(OR($D105="",DE$5="",'상세일정'!AM105="제외"),"",IF($D105=$E105,IF(AND($D105&gt;=DE$5,$D105&lt;DE$5+7),"◆",""),IF(AND($D105&lt;DE$5+7,$E105&gt;DE$5),"■","")))</x:f>
      </x:c>
    </x:row>
    <x:row r="106" ht="34" customHeight="1">
      <x:c r="A106" s="7" t="str">
        <x:v>ST02</x:v>
      </x:c>
      <x:c r="B106" s="7" t="str">
        <x:v>15 착공 전 준비</x:v>
      </x:c>
      <x:c r="C106" s="7" t="str">
        <x:v>착공신고 확인·현장 인계</x:v>
      </x:c>
      <x:c r="D106" s="10" t="str">
        <x:f>'상세일정'!AJ106</x:f>
      </x:c>
      <x:c r="E106" s="10" t="str">
        <x:f>'상세일정'!AK106</x:f>
      </x:c>
      <x:c r="F106" s="7" t="str">
        <x:f>IF(OR($D106="",F$5="",'상세일정'!AM106="제외"),"",IF($D106=$E106,IF(AND($D106&gt;=F$5,$D106&lt;F$5+7),"◆",""),IF(AND($D106&lt;F$5+7,$E106&gt;F$5),"■","")))</x:f>
      </x:c>
      <x:c r="G106" s="7" t="str">
        <x:f>IF(OR($D106="",G$5="",'상세일정'!AM106="제외"),"",IF($D106=$E106,IF(AND($D106&gt;=G$5,$D106&lt;G$5+7),"◆",""),IF(AND($D106&lt;G$5+7,$E106&gt;G$5),"■","")))</x:f>
      </x:c>
      <x:c r="H106" s="7" t="str">
        <x:f>IF(OR($D106="",H$5="",'상세일정'!AM106="제외"),"",IF($D106=$E106,IF(AND($D106&gt;=H$5,$D106&lt;H$5+7),"◆",""),IF(AND($D106&lt;H$5+7,$E106&gt;H$5),"■","")))</x:f>
      </x:c>
      <x:c r="I106" s="7" t="str">
        <x:f>IF(OR($D106="",I$5="",'상세일정'!AM106="제외"),"",IF($D106=$E106,IF(AND($D106&gt;=I$5,$D106&lt;I$5+7),"◆",""),IF(AND($D106&lt;I$5+7,$E106&gt;I$5),"■","")))</x:f>
      </x:c>
      <x:c r="J106" s="7" t="str">
        <x:f>IF(OR($D106="",J$5="",'상세일정'!AM106="제외"),"",IF($D106=$E106,IF(AND($D106&gt;=J$5,$D106&lt;J$5+7),"◆",""),IF(AND($D106&lt;J$5+7,$E106&gt;J$5),"■","")))</x:f>
      </x:c>
      <x:c r="K106" s="7" t="str">
        <x:f>IF(OR($D106="",K$5="",'상세일정'!AM106="제외"),"",IF($D106=$E106,IF(AND($D106&gt;=K$5,$D106&lt;K$5+7),"◆",""),IF(AND($D106&lt;K$5+7,$E106&gt;K$5),"■","")))</x:f>
      </x:c>
      <x:c r="L106" s="7" t="str">
        <x:f>IF(OR($D106="",L$5="",'상세일정'!AM106="제외"),"",IF($D106=$E106,IF(AND($D106&gt;=L$5,$D106&lt;L$5+7),"◆",""),IF(AND($D106&lt;L$5+7,$E106&gt;L$5),"■","")))</x:f>
      </x:c>
      <x:c r="M106" s="7" t="str">
        <x:f>IF(OR($D106="",M$5="",'상세일정'!AM106="제외"),"",IF($D106=$E106,IF(AND($D106&gt;=M$5,$D106&lt;M$5+7),"◆",""),IF(AND($D106&lt;M$5+7,$E106&gt;M$5),"■","")))</x:f>
      </x:c>
      <x:c r="N106" s="7" t="str">
        <x:f>IF(OR($D106="",N$5="",'상세일정'!AM106="제외"),"",IF($D106=$E106,IF(AND($D106&gt;=N$5,$D106&lt;N$5+7),"◆",""),IF(AND($D106&lt;N$5+7,$E106&gt;N$5),"■","")))</x:f>
      </x:c>
      <x:c r="O106" s="7" t="str">
        <x:f>IF(OR($D106="",O$5="",'상세일정'!AM106="제외"),"",IF($D106=$E106,IF(AND($D106&gt;=O$5,$D106&lt;O$5+7),"◆",""),IF(AND($D106&lt;O$5+7,$E106&gt;O$5),"■","")))</x:f>
      </x:c>
      <x:c r="P106" s="7" t="str">
        <x:f>IF(OR($D106="",P$5="",'상세일정'!AM106="제외"),"",IF($D106=$E106,IF(AND($D106&gt;=P$5,$D106&lt;P$5+7),"◆",""),IF(AND($D106&lt;P$5+7,$E106&gt;P$5),"■","")))</x:f>
      </x:c>
      <x:c r="Q106" s="7" t="str">
        <x:f>IF(OR($D106="",Q$5="",'상세일정'!AM106="제외"),"",IF($D106=$E106,IF(AND($D106&gt;=Q$5,$D106&lt;Q$5+7),"◆",""),IF(AND($D106&lt;Q$5+7,$E106&gt;Q$5),"■","")))</x:f>
      </x:c>
      <x:c r="R106" s="7" t="str">
        <x:f>IF(OR($D106="",R$5="",'상세일정'!AM106="제외"),"",IF($D106=$E106,IF(AND($D106&gt;=R$5,$D106&lt;R$5+7),"◆",""),IF(AND($D106&lt;R$5+7,$E106&gt;R$5),"■","")))</x:f>
      </x:c>
      <x:c r="S106" s="7" t="str">
        <x:f>IF(OR($D106="",S$5="",'상세일정'!AM106="제외"),"",IF($D106=$E106,IF(AND($D106&gt;=S$5,$D106&lt;S$5+7),"◆",""),IF(AND($D106&lt;S$5+7,$E106&gt;S$5),"■","")))</x:f>
      </x:c>
      <x:c r="T106" s="7" t="str">
        <x:f>IF(OR($D106="",T$5="",'상세일정'!AM106="제외"),"",IF($D106=$E106,IF(AND($D106&gt;=T$5,$D106&lt;T$5+7),"◆",""),IF(AND($D106&lt;T$5+7,$E106&gt;T$5),"■","")))</x:f>
      </x:c>
      <x:c r="U106" s="7" t="str">
        <x:f>IF(OR($D106="",U$5="",'상세일정'!AM106="제외"),"",IF($D106=$E106,IF(AND($D106&gt;=U$5,$D106&lt;U$5+7),"◆",""),IF(AND($D106&lt;U$5+7,$E106&gt;U$5),"■","")))</x:f>
      </x:c>
      <x:c r="V106" s="7" t="str">
        <x:f>IF(OR($D106="",V$5="",'상세일정'!AM106="제외"),"",IF($D106=$E106,IF(AND($D106&gt;=V$5,$D106&lt;V$5+7),"◆",""),IF(AND($D106&lt;V$5+7,$E106&gt;V$5),"■","")))</x:f>
      </x:c>
      <x:c r="W106" s="7" t="str">
        <x:f>IF(OR($D106="",W$5="",'상세일정'!AM106="제외"),"",IF($D106=$E106,IF(AND($D106&gt;=W$5,$D106&lt;W$5+7),"◆",""),IF(AND($D106&lt;W$5+7,$E106&gt;W$5),"■","")))</x:f>
      </x:c>
      <x:c r="X106" s="7" t="str">
        <x:f>IF(OR($D106="",X$5="",'상세일정'!AM106="제외"),"",IF($D106=$E106,IF(AND($D106&gt;=X$5,$D106&lt;X$5+7),"◆",""),IF(AND($D106&lt;X$5+7,$E106&gt;X$5),"■","")))</x:f>
      </x:c>
      <x:c r="Y106" s="7" t="str">
        <x:f>IF(OR($D106="",Y$5="",'상세일정'!AM106="제외"),"",IF($D106=$E106,IF(AND($D106&gt;=Y$5,$D106&lt;Y$5+7),"◆",""),IF(AND($D106&lt;Y$5+7,$E106&gt;Y$5),"■","")))</x:f>
      </x:c>
      <x:c r="Z106" s="7" t="str">
        <x:f>IF(OR($D106="",Z$5="",'상세일정'!AM106="제외"),"",IF($D106=$E106,IF(AND($D106&gt;=Z$5,$D106&lt;Z$5+7),"◆",""),IF(AND($D106&lt;Z$5+7,$E106&gt;Z$5),"■","")))</x:f>
      </x:c>
      <x:c r="AA106" s="7" t="str">
        <x:f>IF(OR($D106="",AA$5="",'상세일정'!AM106="제외"),"",IF($D106=$E106,IF(AND($D106&gt;=AA$5,$D106&lt;AA$5+7),"◆",""),IF(AND($D106&lt;AA$5+7,$E106&gt;AA$5),"■","")))</x:f>
      </x:c>
      <x:c r="AB106" s="7" t="str">
        <x:f>IF(OR($D106="",AB$5="",'상세일정'!AM106="제외"),"",IF($D106=$E106,IF(AND($D106&gt;=AB$5,$D106&lt;AB$5+7),"◆",""),IF(AND($D106&lt;AB$5+7,$E106&gt;AB$5),"■","")))</x:f>
      </x:c>
      <x:c r="AC106" s="7" t="str">
        <x:f>IF(OR($D106="",AC$5="",'상세일정'!AM106="제외"),"",IF($D106=$E106,IF(AND($D106&gt;=AC$5,$D106&lt;AC$5+7),"◆",""),IF(AND($D106&lt;AC$5+7,$E106&gt;AC$5),"■","")))</x:f>
      </x:c>
      <x:c r="AD106" s="7" t="str">
        <x:f>IF(OR($D106="",AD$5="",'상세일정'!AM106="제외"),"",IF($D106=$E106,IF(AND($D106&gt;=AD$5,$D106&lt;AD$5+7),"◆",""),IF(AND($D106&lt;AD$5+7,$E106&gt;AD$5),"■","")))</x:f>
      </x:c>
      <x:c r="AE106" s="7" t="str">
        <x:f>IF(OR($D106="",AE$5="",'상세일정'!AM106="제외"),"",IF($D106=$E106,IF(AND($D106&gt;=AE$5,$D106&lt;AE$5+7),"◆",""),IF(AND($D106&lt;AE$5+7,$E106&gt;AE$5),"■","")))</x:f>
      </x:c>
      <x:c r="AF106" s="7" t="str">
        <x:f>IF(OR($D106="",AF$5="",'상세일정'!AM106="제외"),"",IF($D106=$E106,IF(AND($D106&gt;=AF$5,$D106&lt;AF$5+7),"◆",""),IF(AND($D106&lt;AF$5+7,$E106&gt;AF$5),"■","")))</x:f>
      </x:c>
      <x:c r="AG106" s="7" t="str">
        <x:f>IF(OR($D106="",AG$5="",'상세일정'!AM106="제외"),"",IF($D106=$E106,IF(AND($D106&gt;=AG$5,$D106&lt;AG$5+7),"◆",""),IF(AND($D106&lt;AG$5+7,$E106&gt;AG$5),"■","")))</x:f>
      </x:c>
      <x:c r="AH106" s="7" t="str">
        <x:f>IF(OR($D106="",AH$5="",'상세일정'!AM106="제외"),"",IF($D106=$E106,IF(AND($D106&gt;=AH$5,$D106&lt;AH$5+7),"◆",""),IF(AND($D106&lt;AH$5+7,$E106&gt;AH$5),"■","")))</x:f>
      </x:c>
      <x:c r="AI106" s="7" t="str">
        <x:f>IF(OR($D106="",AI$5="",'상세일정'!AM106="제외"),"",IF($D106=$E106,IF(AND($D106&gt;=AI$5,$D106&lt;AI$5+7),"◆",""),IF(AND($D106&lt;AI$5+7,$E106&gt;AI$5),"■","")))</x:f>
      </x:c>
      <x:c r="AJ106" s="7" t="str">
        <x:f>IF(OR($D106="",AJ$5="",'상세일정'!AM106="제외"),"",IF($D106=$E106,IF(AND($D106&gt;=AJ$5,$D106&lt;AJ$5+7),"◆",""),IF(AND($D106&lt;AJ$5+7,$E106&gt;AJ$5),"■","")))</x:f>
      </x:c>
      <x:c r="AK106" s="7" t="str">
        <x:f>IF(OR($D106="",AK$5="",'상세일정'!AM106="제외"),"",IF($D106=$E106,IF(AND($D106&gt;=AK$5,$D106&lt;AK$5+7),"◆",""),IF(AND($D106&lt;AK$5+7,$E106&gt;AK$5),"■","")))</x:f>
      </x:c>
      <x:c r="AL106" s="7" t="str">
        <x:f>IF(OR($D106="",AL$5="",'상세일정'!AM106="제외"),"",IF($D106=$E106,IF(AND($D106&gt;=AL$5,$D106&lt;AL$5+7),"◆",""),IF(AND($D106&lt;AL$5+7,$E106&gt;AL$5),"■","")))</x:f>
      </x:c>
      <x:c r="AM106" s="7" t="str">
        <x:f>IF(OR($D106="",AM$5="",'상세일정'!AM106="제외"),"",IF($D106=$E106,IF(AND($D106&gt;=AM$5,$D106&lt;AM$5+7),"◆",""),IF(AND($D106&lt;AM$5+7,$E106&gt;AM$5),"■","")))</x:f>
      </x:c>
      <x:c r="AN106" s="7" t="str">
        <x:f>IF(OR($D106="",AN$5="",'상세일정'!AM106="제외"),"",IF($D106=$E106,IF(AND($D106&gt;=AN$5,$D106&lt;AN$5+7),"◆",""),IF(AND($D106&lt;AN$5+7,$E106&gt;AN$5),"■","")))</x:f>
      </x:c>
      <x:c r="AO106" s="7" t="str">
        <x:f>IF(OR($D106="",AO$5="",'상세일정'!AM106="제외"),"",IF($D106=$E106,IF(AND($D106&gt;=AO$5,$D106&lt;AO$5+7),"◆",""),IF(AND($D106&lt;AO$5+7,$E106&gt;AO$5),"■","")))</x:f>
      </x:c>
      <x:c r="AP106" s="7" t="str">
        <x:f>IF(OR($D106="",AP$5="",'상세일정'!AM106="제외"),"",IF($D106=$E106,IF(AND($D106&gt;=AP$5,$D106&lt;AP$5+7),"◆",""),IF(AND($D106&lt;AP$5+7,$E106&gt;AP$5),"■","")))</x:f>
      </x:c>
      <x:c r="AQ106" s="7" t="str">
        <x:f>IF(OR($D106="",AQ$5="",'상세일정'!AM106="제외"),"",IF($D106=$E106,IF(AND($D106&gt;=AQ$5,$D106&lt;AQ$5+7),"◆",""),IF(AND($D106&lt;AQ$5+7,$E106&gt;AQ$5),"■","")))</x:f>
      </x:c>
      <x:c r="AR106" s="7" t="str">
        <x:f>IF(OR($D106="",AR$5="",'상세일정'!AM106="제외"),"",IF($D106=$E106,IF(AND($D106&gt;=AR$5,$D106&lt;AR$5+7),"◆",""),IF(AND($D106&lt;AR$5+7,$E106&gt;AR$5),"■","")))</x:f>
      </x:c>
      <x:c r="AS106" s="7" t="str">
        <x:f>IF(OR($D106="",AS$5="",'상세일정'!AM106="제외"),"",IF($D106=$E106,IF(AND($D106&gt;=AS$5,$D106&lt;AS$5+7),"◆",""),IF(AND($D106&lt;AS$5+7,$E106&gt;AS$5),"■","")))</x:f>
      </x:c>
      <x:c r="AT106" s="7" t="str">
        <x:f>IF(OR($D106="",AT$5="",'상세일정'!AM106="제외"),"",IF($D106=$E106,IF(AND($D106&gt;=AT$5,$D106&lt;AT$5+7),"◆",""),IF(AND($D106&lt;AT$5+7,$E106&gt;AT$5),"■","")))</x:f>
      </x:c>
      <x:c r="AU106" s="7" t="str">
        <x:f>IF(OR($D106="",AU$5="",'상세일정'!AM106="제외"),"",IF($D106=$E106,IF(AND($D106&gt;=AU$5,$D106&lt;AU$5+7),"◆",""),IF(AND($D106&lt;AU$5+7,$E106&gt;AU$5),"■","")))</x:f>
      </x:c>
      <x:c r="AV106" s="7" t="str">
        <x:f>IF(OR($D106="",AV$5="",'상세일정'!AM106="제외"),"",IF($D106=$E106,IF(AND($D106&gt;=AV$5,$D106&lt;AV$5+7),"◆",""),IF(AND($D106&lt;AV$5+7,$E106&gt;AV$5),"■","")))</x:f>
      </x:c>
      <x:c r="AW106" s="7" t="str">
        <x:f>IF(OR($D106="",AW$5="",'상세일정'!AM106="제외"),"",IF($D106=$E106,IF(AND($D106&gt;=AW$5,$D106&lt;AW$5+7),"◆",""),IF(AND($D106&lt;AW$5+7,$E106&gt;AW$5),"■","")))</x:f>
      </x:c>
      <x:c r="AX106" s="7" t="str">
        <x:f>IF(OR($D106="",AX$5="",'상세일정'!AM106="제외"),"",IF($D106=$E106,IF(AND($D106&gt;=AX$5,$D106&lt;AX$5+7),"◆",""),IF(AND($D106&lt;AX$5+7,$E106&gt;AX$5),"■","")))</x:f>
      </x:c>
      <x:c r="AY106" s="7" t="str">
        <x:f>IF(OR($D106="",AY$5="",'상세일정'!AM106="제외"),"",IF($D106=$E106,IF(AND($D106&gt;=AY$5,$D106&lt;AY$5+7),"◆",""),IF(AND($D106&lt;AY$5+7,$E106&gt;AY$5),"■","")))</x:f>
      </x:c>
      <x:c r="AZ106" s="7" t="str">
        <x:f>IF(OR($D106="",AZ$5="",'상세일정'!AM106="제외"),"",IF($D106=$E106,IF(AND($D106&gt;=AZ$5,$D106&lt;AZ$5+7),"◆",""),IF(AND($D106&lt;AZ$5+7,$E106&gt;AZ$5),"■","")))</x:f>
      </x:c>
      <x:c r="BA106" s="7" t="str">
        <x:f>IF(OR($D106="",BA$5="",'상세일정'!AM106="제외"),"",IF($D106=$E106,IF(AND($D106&gt;=BA$5,$D106&lt;BA$5+7),"◆",""),IF(AND($D106&lt;BA$5+7,$E106&gt;BA$5),"■","")))</x:f>
      </x:c>
      <x:c r="BB106" s="7" t="str">
        <x:f>IF(OR($D106="",BB$5="",'상세일정'!AM106="제외"),"",IF($D106=$E106,IF(AND($D106&gt;=BB$5,$D106&lt;BB$5+7),"◆",""),IF(AND($D106&lt;BB$5+7,$E106&gt;BB$5),"■","")))</x:f>
      </x:c>
      <x:c r="BC106" s="7" t="str">
        <x:f>IF(OR($D106="",BC$5="",'상세일정'!AM106="제외"),"",IF($D106=$E106,IF(AND($D106&gt;=BC$5,$D106&lt;BC$5+7),"◆",""),IF(AND($D106&lt;BC$5+7,$E106&gt;BC$5),"■","")))</x:f>
      </x:c>
      <x:c r="BD106" s="7" t="str">
        <x:f>IF(OR($D106="",BD$5="",'상세일정'!AM106="제외"),"",IF($D106=$E106,IF(AND($D106&gt;=BD$5,$D106&lt;BD$5+7),"◆",""),IF(AND($D106&lt;BD$5+7,$E106&gt;BD$5),"■","")))</x:f>
      </x:c>
      <x:c r="BE106" s="7" t="str">
        <x:f>IF(OR($D106="",BE$5="",'상세일정'!AM106="제외"),"",IF($D106=$E106,IF(AND($D106&gt;=BE$5,$D106&lt;BE$5+7),"◆",""),IF(AND($D106&lt;BE$5+7,$E106&gt;BE$5),"■","")))</x:f>
      </x:c>
      <x:c r="BF106" s="7" t="str">
        <x:f>IF(OR($D106="",BF$5="",'상세일정'!AM106="제외"),"",IF($D106=$E106,IF(AND($D106&gt;=BF$5,$D106&lt;BF$5+7),"◆",""),IF(AND($D106&lt;BF$5+7,$E106&gt;BF$5),"■","")))</x:f>
      </x:c>
      <x:c r="BG106" s="7" t="str">
        <x:f>IF(OR($D106="",BG$5="",'상세일정'!AM106="제외"),"",IF($D106=$E106,IF(AND($D106&gt;=BG$5,$D106&lt;BG$5+7),"◆",""),IF(AND($D106&lt;BG$5+7,$E106&gt;BG$5),"■","")))</x:f>
      </x:c>
      <x:c r="BH106" s="7" t="str">
        <x:f>IF(OR($D106="",BH$5="",'상세일정'!AM106="제외"),"",IF($D106=$E106,IF(AND($D106&gt;=BH$5,$D106&lt;BH$5+7),"◆",""),IF(AND($D106&lt;BH$5+7,$E106&gt;BH$5),"■","")))</x:f>
      </x:c>
      <x:c r="BI106" s="7" t="str">
        <x:f>IF(OR($D106="",BI$5="",'상세일정'!AM106="제외"),"",IF($D106=$E106,IF(AND($D106&gt;=BI$5,$D106&lt;BI$5+7),"◆",""),IF(AND($D106&lt;BI$5+7,$E106&gt;BI$5),"■","")))</x:f>
      </x:c>
      <x:c r="BJ106" s="7" t="str">
        <x:f>IF(OR($D106="",BJ$5="",'상세일정'!AM106="제외"),"",IF($D106=$E106,IF(AND($D106&gt;=BJ$5,$D106&lt;BJ$5+7),"◆",""),IF(AND($D106&lt;BJ$5+7,$E106&gt;BJ$5),"■","")))</x:f>
      </x:c>
      <x:c r="BK106" s="7" t="str">
        <x:f>IF(OR($D106="",BK$5="",'상세일정'!AM106="제외"),"",IF($D106=$E106,IF(AND($D106&gt;=BK$5,$D106&lt;BK$5+7),"◆",""),IF(AND($D106&lt;BK$5+7,$E106&gt;BK$5),"■","")))</x:f>
      </x:c>
      <x:c r="BL106" s="7" t="str">
        <x:f>IF(OR($D106="",BL$5="",'상세일정'!AM106="제외"),"",IF($D106=$E106,IF(AND($D106&gt;=BL$5,$D106&lt;BL$5+7),"◆",""),IF(AND($D106&lt;BL$5+7,$E106&gt;BL$5),"■","")))</x:f>
      </x:c>
      <x:c r="BM106" s="7" t="str">
        <x:f>IF(OR($D106="",BM$5="",'상세일정'!AM106="제외"),"",IF($D106=$E106,IF(AND($D106&gt;=BM$5,$D106&lt;BM$5+7),"◆",""),IF(AND($D106&lt;BM$5+7,$E106&gt;BM$5),"■","")))</x:f>
      </x:c>
      <x:c r="BN106" s="7" t="str">
        <x:f>IF(OR($D106="",BN$5="",'상세일정'!AM106="제외"),"",IF($D106=$E106,IF(AND($D106&gt;=BN$5,$D106&lt;BN$5+7),"◆",""),IF(AND($D106&lt;BN$5+7,$E106&gt;BN$5),"■","")))</x:f>
      </x:c>
      <x:c r="BO106" s="7" t="str">
        <x:f>IF(OR($D106="",BO$5="",'상세일정'!AM106="제외"),"",IF($D106=$E106,IF(AND($D106&gt;=BO$5,$D106&lt;BO$5+7),"◆",""),IF(AND($D106&lt;BO$5+7,$E106&gt;BO$5),"■","")))</x:f>
      </x:c>
      <x:c r="BP106" s="7" t="str">
        <x:f>IF(OR($D106="",BP$5="",'상세일정'!AM106="제외"),"",IF($D106=$E106,IF(AND($D106&gt;=BP$5,$D106&lt;BP$5+7),"◆",""),IF(AND($D106&lt;BP$5+7,$E106&gt;BP$5),"■","")))</x:f>
      </x:c>
      <x:c r="BQ106" s="7" t="str">
        <x:f>IF(OR($D106="",BQ$5="",'상세일정'!AM106="제외"),"",IF($D106=$E106,IF(AND($D106&gt;=BQ$5,$D106&lt;BQ$5+7),"◆",""),IF(AND($D106&lt;BQ$5+7,$E106&gt;BQ$5),"■","")))</x:f>
      </x:c>
      <x:c r="BR106" s="7" t="str">
        <x:f>IF(OR($D106="",BR$5="",'상세일정'!AM106="제외"),"",IF($D106=$E106,IF(AND($D106&gt;=BR$5,$D106&lt;BR$5+7),"◆",""),IF(AND($D106&lt;BR$5+7,$E106&gt;BR$5),"■","")))</x:f>
      </x:c>
      <x:c r="BS106" s="7" t="str">
        <x:f>IF(OR($D106="",BS$5="",'상세일정'!AM106="제외"),"",IF($D106=$E106,IF(AND($D106&gt;=BS$5,$D106&lt;BS$5+7),"◆",""),IF(AND($D106&lt;BS$5+7,$E106&gt;BS$5),"■","")))</x:f>
      </x:c>
      <x:c r="BT106" s="7" t="str">
        <x:f>IF(OR($D106="",BT$5="",'상세일정'!AM106="제외"),"",IF($D106=$E106,IF(AND($D106&gt;=BT$5,$D106&lt;BT$5+7),"◆",""),IF(AND($D106&lt;BT$5+7,$E106&gt;BT$5),"■","")))</x:f>
      </x:c>
      <x:c r="BU106" s="7" t="str">
        <x:f>IF(OR($D106="",BU$5="",'상세일정'!AM106="제외"),"",IF($D106=$E106,IF(AND($D106&gt;=BU$5,$D106&lt;BU$5+7),"◆",""),IF(AND($D106&lt;BU$5+7,$E106&gt;BU$5),"■","")))</x:f>
      </x:c>
      <x:c r="BV106" s="7" t="str">
        <x:f>IF(OR($D106="",BV$5="",'상세일정'!AM106="제외"),"",IF($D106=$E106,IF(AND($D106&gt;=BV$5,$D106&lt;BV$5+7),"◆",""),IF(AND($D106&lt;BV$5+7,$E106&gt;BV$5),"■","")))</x:f>
      </x:c>
      <x:c r="BW106" s="7" t="str">
        <x:f>IF(OR($D106="",BW$5="",'상세일정'!AM106="제외"),"",IF($D106=$E106,IF(AND($D106&gt;=BW$5,$D106&lt;BW$5+7),"◆",""),IF(AND($D106&lt;BW$5+7,$E106&gt;BW$5),"■","")))</x:f>
      </x:c>
      <x:c r="BX106" s="7" t="str">
        <x:f>IF(OR($D106="",BX$5="",'상세일정'!AM106="제외"),"",IF($D106=$E106,IF(AND($D106&gt;=BX$5,$D106&lt;BX$5+7),"◆",""),IF(AND($D106&lt;BX$5+7,$E106&gt;BX$5),"■","")))</x:f>
      </x:c>
      <x:c r="BY106" s="7" t="str">
        <x:f>IF(OR($D106="",BY$5="",'상세일정'!AM106="제외"),"",IF($D106=$E106,IF(AND($D106&gt;=BY$5,$D106&lt;BY$5+7),"◆",""),IF(AND($D106&lt;BY$5+7,$E106&gt;BY$5),"■","")))</x:f>
      </x:c>
      <x:c r="BZ106" s="7" t="str">
        <x:f>IF(OR($D106="",BZ$5="",'상세일정'!AM106="제외"),"",IF($D106=$E106,IF(AND($D106&gt;=BZ$5,$D106&lt;BZ$5+7),"◆",""),IF(AND($D106&lt;BZ$5+7,$E106&gt;BZ$5),"■","")))</x:f>
      </x:c>
      <x:c r="CA106" s="7" t="str">
        <x:f>IF(OR($D106="",CA$5="",'상세일정'!AM106="제외"),"",IF($D106=$E106,IF(AND($D106&gt;=CA$5,$D106&lt;CA$5+7),"◆",""),IF(AND($D106&lt;CA$5+7,$E106&gt;CA$5),"■","")))</x:f>
      </x:c>
      <x:c r="CB106" s="7" t="str">
        <x:f>IF(OR($D106="",CB$5="",'상세일정'!AM106="제외"),"",IF($D106=$E106,IF(AND($D106&gt;=CB$5,$D106&lt;CB$5+7),"◆",""),IF(AND($D106&lt;CB$5+7,$E106&gt;CB$5),"■","")))</x:f>
      </x:c>
      <x:c r="CC106" s="7" t="str">
        <x:f>IF(OR($D106="",CC$5="",'상세일정'!AM106="제외"),"",IF($D106=$E106,IF(AND($D106&gt;=CC$5,$D106&lt;CC$5+7),"◆",""),IF(AND($D106&lt;CC$5+7,$E106&gt;CC$5),"■","")))</x:f>
      </x:c>
      <x:c r="CD106" s="7" t="str">
        <x:f>IF(OR($D106="",CD$5="",'상세일정'!AM106="제외"),"",IF($D106=$E106,IF(AND($D106&gt;=CD$5,$D106&lt;CD$5+7),"◆",""),IF(AND($D106&lt;CD$5+7,$E106&gt;CD$5),"■","")))</x:f>
      </x:c>
      <x:c r="CE106" s="7" t="str">
        <x:f>IF(OR($D106="",CE$5="",'상세일정'!AM106="제외"),"",IF($D106=$E106,IF(AND($D106&gt;=CE$5,$D106&lt;CE$5+7),"◆",""),IF(AND($D106&lt;CE$5+7,$E106&gt;CE$5),"■","")))</x:f>
      </x:c>
      <x:c r="CF106" s="7" t="str">
        <x:f>IF(OR($D106="",CF$5="",'상세일정'!AM106="제외"),"",IF($D106=$E106,IF(AND($D106&gt;=CF$5,$D106&lt;CF$5+7),"◆",""),IF(AND($D106&lt;CF$5+7,$E106&gt;CF$5),"■","")))</x:f>
      </x:c>
      <x:c r="CG106" s="7" t="str">
        <x:f>IF(OR($D106="",CG$5="",'상세일정'!AM106="제외"),"",IF($D106=$E106,IF(AND($D106&gt;=CG$5,$D106&lt;CG$5+7),"◆",""),IF(AND($D106&lt;CG$5+7,$E106&gt;CG$5),"■","")))</x:f>
      </x:c>
      <x:c r="CH106" s="7" t="str">
        <x:f>IF(OR($D106="",CH$5="",'상세일정'!AM106="제외"),"",IF($D106=$E106,IF(AND($D106&gt;=CH$5,$D106&lt;CH$5+7),"◆",""),IF(AND($D106&lt;CH$5+7,$E106&gt;CH$5),"■","")))</x:f>
      </x:c>
      <x:c r="CI106" s="7" t="str">
        <x:f>IF(OR($D106="",CI$5="",'상세일정'!AM106="제외"),"",IF($D106=$E106,IF(AND($D106&gt;=CI$5,$D106&lt;CI$5+7),"◆",""),IF(AND($D106&lt;CI$5+7,$E106&gt;CI$5),"■","")))</x:f>
      </x:c>
      <x:c r="CJ106" s="7" t="str">
        <x:f>IF(OR($D106="",CJ$5="",'상세일정'!AM106="제외"),"",IF($D106=$E106,IF(AND($D106&gt;=CJ$5,$D106&lt;CJ$5+7),"◆",""),IF(AND($D106&lt;CJ$5+7,$E106&gt;CJ$5),"■","")))</x:f>
      </x:c>
      <x:c r="CK106" s="7" t="str">
        <x:f>IF(OR($D106="",CK$5="",'상세일정'!AM106="제외"),"",IF($D106=$E106,IF(AND($D106&gt;=CK$5,$D106&lt;CK$5+7),"◆",""),IF(AND($D106&lt;CK$5+7,$E106&gt;CK$5),"■","")))</x:f>
      </x:c>
      <x:c r="CL106" s="7" t="str">
        <x:f>IF(OR($D106="",CL$5="",'상세일정'!AM106="제외"),"",IF($D106=$E106,IF(AND($D106&gt;=CL$5,$D106&lt;CL$5+7),"◆",""),IF(AND($D106&lt;CL$5+7,$E106&gt;CL$5),"■","")))</x:f>
      </x:c>
      <x:c r="CM106" s="7" t="str">
        <x:f>IF(OR($D106="",CM$5="",'상세일정'!AM106="제외"),"",IF($D106=$E106,IF(AND($D106&gt;=CM$5,$D106&lt;CM$5+7),"◆",""),IF(AND($D106&lt;CM$5+7,$E106&gt;CM$5),"■","")))</x:f>
      </x:c>
      <x:c r="CN106" s="7" t="str">
        <x:f>IF(OR($D106="",CN$5="",'상세일정'!AM106="제외"),"",IF($D106=$E106,IF(AND($D106&gt;=CN$5,$D106&lt;CN$5+7),"◆",""),IF(AND($D106&lt;CN$5+7,$E106&gt;CN$5),"■","")))</x:f>
      </x:c>
      <x:c r="CO106" s="7" t="str">
        <x:f>IF(OR($D106="",CO$5="",'상세일정'!AM106="제외"),"",IF($D106=$E106,IF(AND($D106&gt;=CO$5,$D106&lt;CO$5+7),"◆",""),IF(AND($D106&lt;CO$5+7,$E106&gt;CO$5),"■","")))</x:f>
      </x:c>
      <x:c r="CP106" s="7" t="str">
        <x:f>IF(OR($D106="",CP$5="",'상세일정'!AM106="제외"),"",IF($D106=$E106,IF(AND($D106&gt;=CP$5,$D106&lt;CP$5+7),"◆",""),IF(AND($D106&lt;CP$5+7,$E106&gt;CP$5),"■","")))</x:f>
      </x:c>
      <x:c r="CQ106" s="7" t="str">
        <x:f>IF(OR($D106="",CQ$5="",'상세일정'!AM106="제외"),"",IF($D106=$E106,IF(AND($D106&gt;=CQ$5,$D106&lt;CQ$5+7),"◆",""),IF(AND($D106&lt;CQ$5+7,$E106&gt;CQ$5),"■","")))</x:f>
      </x:c>
      <x:c r="CR106" s="7" t="str">
        <x:f>IF(OR($D106="",CR$5="",'상세일정'!AM106="제외"),"",IF($D106=$E106,IF(AND($D106&gt;=CR$5,$D106&lt;CR$5+7),"◆",""),IF(AND($D106&lt;CR$5+7,$E106&gt;CR$5),"■","")))</x:f>
      </x:c>
      <x:c r="CS106" s="7" t="str">
        <x:f>IF(OR($D106="",CS$5="",'상세일정'!AM106="제외"),"",IF($D106=$E106,IF(AND($D106&gt;=CS$5,$D106&lt;CS$5+7),"◆",""),IF(AND($D106&lt;CS$5+7,$E106&gt;CS$5),"■","")))</x:f>
      </x:c>
      <x:c r="CT106" s="7" t="str">
        <x:f>IF(OR($D106="",CT$5="",'상세일정'!AM106="제외"),"",IF($D106=$E106,IF(AND($D106&gt;=CT$5,$D106&lt;CT$5+7),"◆",""),IF(AND($D106&lt;CT$5+7,$E106&gt;CT$5),"■","")))</x:f>
      </x:c>
      <x:c r="CU106" s="7" t="str">
        <x:f>IF(OR($D106="",CU$5="",'상세일정'!AM106="제외"),"",IF($D106=$E106,IF(AND($D106&gt;=CU$5,$D106&lt;CU$5+7),"◆",""),IF(AND($D106&lt;CU$5+7,$E106&gt;CU$5),"■","")))</x:f>
      </x:c>
      <x:c r="CV106" s="7" t="str">
        <x:f>IF(OR($D106="",CV$5="",'상세일정'!AM106="제외"),"",IF($D106=$E106,IF(AND($D106&gt;=CV$5,$D106&lt;CV$5+7),"◆",""),IF(AND($D106&lt;CV$5+7,$E106&gt;CV$5),"■","")))</x:f>
      </x:c>
      <x:c r="CW106" s="7" t="str">
        <x:f>IF(OR($D106="",CW$5="",'상세일정'!AM106="제외"),"",IF($D106=$E106,IF(AND($D106&gt;=CW$5,$D106&lt;CW$5+7),"◆",""),IF(AND($D106&lt;CW$5+7,$E106&gt;CW$5),"■","")))</x:f>
      </x:c>
      <x:c r="CX106" s="7" t="str">
        <x:f>IF(OR($D106="",CX$5="",'상세일정'!AM106="제외"),"",IF($D106=$E106,IF(AND($D106&gt;=CX$5,$D106&lt;CX$5+7),"◆",""),IF(AND($D106&lt;CX$5+7,$E106&gt;CX$5),"■","")))</x:f>
      </x:c>
      <x:c r="CY106" s="7" t="str">
        <x:f>IF(OR($D106="",CY$5="",'상세일정'!AM106="제외"),"",IF($D106=$E106,IF(AND($D106&gt;=CY$5,$D106&lt;CY$5+7),"◆",""),IF(AND($D106&lt;CY$5+7,$E106&gt;CY$5),"■","")))</x:f>
      </x:c>
      <x:c r="CZ106" s="7" t="str">
        <x:f>IF(OR($D106="",CZ$5="",'상세일정'!AM106="제외"),"",IF($D106=$E106,IF(AND($D106&gt;=CZ$5,$D106&lt;CZ$5+7),"◆",""),IF(AND($D106&lt;CZ$5+7,$E106&gt;CZ$5),"■","")))</x:f>
      </x:c>
      <x:c r="DA106" s="7" t="str">
        <x:f>IF(OR($D106="",DA$5="",'상세일정'!AM106="제외"),"",IF($D106=$E106,IF(AND($D106&gt;=DA$5,$D106&lt;DA$5+7),"◆",""),IF(AND($D106&lt;DA$5+7,$E106&gt;DA$5),"■","")))</x:f>
      </x:c>
      <x:c r="DB106" s="7" t="str">
        <x:f>IF(OR($D106="",DB$5="",'상세일정'!AM106="제외"),"",IF($D106=$E106,IF(AND($D106&gt;=DB$5,$D106&lt;DB$5+7),"◆",""),IF(AND($D106&lt;DB$5+7,$E106&gt;DB$5),"■","")))</x:f>
      </x:c>
      <x:c r="DC106" s="7" t="str">
        <x:f>IF(OR($D106="",DC$5="",'상세일정'!AM106="제외"),"",IF($D106=$E106,IF(AND($D106&gt;=DC$5,$D106&lt;DC$5+7),"◆",""),IF(AND($D106&lt;DC$5+7,$E106&gt;DC$5),"■","")))</x:f>
      </x:c>
      <x:c r="DD106" s="7" t="str">
        <x:f>IF(OR($D106="",DD$5="",'상세일정'!AM106="제외"),"",IF($D106=$E106,IF(AND($D106&gt;=DD$5,$D106&lt;DD$5+7),"◆",""),IF(AND($D106&lt;DD$5+7,$E106&gt;DD$5),"■","")))</x:f>
      </x:c>
      <x:c r="DE106" s="7" t="str">
        <x:f>IF(OR($D106="",DE$5="",'상세일정'!AM106="제외"),"",IF($D106=$E106,IF(AND($D106&gt;=DE$5,$D106&lt;DE$5+7),"◆",""),IF(AND($D106&lt;DE$5+7,$E106&gt;DE$5),"■","")))</x:f>
      </x:c>
    </x:row>
    <x:row r="107" ht="34" customHeight="1">
      <x:c r="A107" s="7" t="str">
        <x:v>MS02</x:v>
      </x:c>
      <x:c r="B107" s="7" t="str">
        <x:v>15 착공 전 준비</x:v>
      </x:c>
      <x:c r="C107" s="7" t="str">
        <x:v>토건 착공 가능 게이트</x:v>
      </x:c>
      <x:c r="D107" s="10" t="str">
        <x:f>'상세일정'!AJ107</x:f>
      </x:c>
      <x:c r="E107" s="10" t="str">
        <x:f>'상세일정'!AK107</x:f>
      </x:c>
      <x:c r="F107" s="7" t="str">
        <x:f>IF(OR($D107="",F$5="",'상세일정'!AM107="제외"),"",IF($D107=$E107,IF(AND($D107&gt;=F$5,$D107&lt;F$5+7),"◆",""),IF(AND($D107&lt;F$5+7,$E107&gt;F$5),"■","")))</x:f>
      </x:c>
      <x:c r="G107" s="7" t="str">
        <x:f>IF(OR($D107="",G$5="",'상세일정'!AM107="제외"),"",IF($D107=$E107,IF(AND($D107&gt;=G$5,$D107&lt;G$5+7),"◆",""),IF(AND($D107&lt;G$5+7,$E107&gt;G$5),"■","")))</x:f>
      </x:c>
      <x:c r="H107" s="7" t="str">
        <x:f>IF(OR($D107="",H$5="",'상세일정'!AM107="제외"),"",IF($D107=$E107,IF(AND($D107&gt;=H$5,$D107&lt;H$5+7),"◆",""),IF(AND($D107&lt;H$5+7,$E107&gt;H$5),"■","")))</x:f>
      </x:c>
      <x:c r="I107" s="7" t="str">
        <x:f>IF(OR($D107="",I$5="",'상세일정'!AM107="제외"),"",IF($D107=$E107,IF(AND($D107&gt;=I$5,$D107&lt;I$5+7),"◆",""),IF(AND($D107&lt;I$5+7,$E107&gt;I$5),"■","")))</x:f>
      </x:c>
      <x:c r="J107" s="7" t="str">
        <x:f>IF(OR($D107="",J$5="",'상세일정'!AM107="제외"),"",IF($D107=$E107,IF(AND($D107&gt;=J$5,$D107&lt;J$5+7),"◆",""),IF(AND($D107&lt;J$5+7,$E107&gt;J$5),"■","")))</x:f>
      </x:c>
      <x:c r="K107" s="7" t="str">
        <x:f>IF(OR($D107="",K$5="",'상세일정'!AM107="제외"),"",IF($D107=$E107,IF(AND($D107&gt;=K$5,$D107&lt;K$5+7),"◆",""),IF(AND($D107&lt;K$5+7,$E107&gt;K$5),"■","")))</x:f>
      </x:c>
      <x:c r="L107" s="7" t="str">
        <x:f>IF(OR($D107="",L$5="",'상세일정'!AM107="제외"),"",IF($D107=$E107,IF(AND($D107&gt;=L$5,$D107&lt;L$5+7),"◆",""),IF(AND($D107&lt;L$5+7,$E107&gt;L$5),"■","")))</x:f>
      </x:c>
      <x:c r="M107" s="7" t="str">
        <x:f>IF(OR($D107="",M$5="",'상세일정'!AM107="제외"),"",IF($D107=$E107,IF(AND($D107&gt;=M$5,$D107&lt;M$5+7),"◆",""),IF(AND($D107&lt;M$5+7,$E107&gt;M$5),"■","")))</x:f>
      </x:c>
      <x:c r="N107" s="7" t="str">
        <x:f>IF(OR($D107="",N$5="",'상세일정'!AM107="제외"),"",IF($D107=$E107,IF(AND($D107&gt;=N$5,$D107&lt;N$5+7),"◆",""),IF(AND($D107&lt;N$5+7,$E107&gt;N$5),"■","")))</x:f>
      </x:c>
      <x:c r="O107" s="7" t="str">
        <x:f>IF(OR($D107="",O$5="",'상세일정'!AM107="제외"),"",IF($D107=$E107,IF(AND($D107&gt;=O$5,$D107&lt;O$5+7),"◆",""),IF(AND($D107&lt;O$5+7,$E107&gt;O$5),"■","")))</x:f>
      </x:c>
      <x:c r="P107" s="7" t="str">
        <x:f>IF(OR($D107="",P$5="",'상세일정'!AM107="제외"),"",IF($D107=$E107,IF(AND($D107&gt;=P$5,$D107&lt;P$5+7),"◆",""),IF(AND($D107&lt;P$5+7,$E107&gt;P$5),"■","")))</x:f>
      </x:c>
      <x:c r="Q107" s="7" t="str">
        <x:f>IF(OR($D107="",Q$5="",'상세일정'!AM107="제외"),"",IF($D107=$E107,IF(AND($D107&gt;=Q$5,$D107&lt;Q$5+7),"◆",""),IF(AND($D107&lt;Q$5+7,$E107&gt;Q$5),"■","")))</x:f>
      </x:c>
      <x:c r="R107" s="7" t="str">
        <x:f>IF(OR($D107="",R$5="",'상세일정'!AM107="제외"),"",IF($D107=$E107,IF(AND($D107&gt;=R$5,$D107&lt;R$5+7),"◆",""),IF(AND($D107&lt;R$5+7,$E107&gt;R$5),"■","")))</x:f>
      </x:c>
      <x:c r="S107" s="7" t="str">
        <x:f>IF(OR($D107="",S$5="",'상세일정'!AM107="제외"),"",IF($D107=$E107,IF(AND($D107&gt;=S$5,$D107&lt;S$5+7),"◆",""),IF(AND($D107&lt;S$5+7,$E107&gt;S$5),"■","")))</x:f>
      </x:c>
      <x:c r="T107" s="7" t="str">
        <x:f>IF(OR($D107="",T$5="",'상세일정'!AM107="제외"),"",IF($D107=$E107,IF(AND($D107&gt;=T$5,$D107&lt;T$5+7),"◆",""),IF(AND($D107&lt;T$5+7,$E107&gt;T$5),"■","")))</x:f>
      </x:c>
      <x:c r="U107" s="7" t="str">
        <x:f>IF(OR($D107="",U$5="",'상세일정'!AM107="제외"),"",IF($D107=$E107,IF(AND($D107&gt;=U$5,$D107&lt;U$5+7),"◆",""),IF(AND($D107&lt;U$5+7,$E107&gt;U$5),"■","")))</x:f>
      </x:c>
      <x:c r="V107" s="7" t="str">
        <x:f>IF(OR($D107="",V$5="",'상세일정'!AM107="제외"),"",IF($D107=$E107,IF(AND($D107&gt;=V$5,$D107&lt;V$5+7),"◆",""),IF(AND($D107&lt;V$5+7,$E107&gt;V$5),"■","")))</x:f>
      </x:c>
      <x:c r="W107" s="7" t="str">
        <x:f>IF(OR($D107="",W$5="",'상세일정'!AM107="제외"),"",IF($D107=$E107,IF(AND($D107&gt;=W$5,$D107&lt;W$5+7),"◆",""),IF(AND($D107&lt;W$5+7,$E107&gt;W$5),"■","")))</x:f>
      </x:c>
      <x:c r="X107" s="7" t="str">
        <x:f>IF(OR($D107="",X$5="",'상세일정'!AM107="제외"),"",IF($D107=$E107,IF(AND($D107&gt;=X$5,$D107&lt;X$5+7),"◆",""),IF(AND($D107&lt;X$5+7,$E107&gt;X$5),"■","")))</x:f>
      </x:c>
      <x:c r="Y107" s="7" t="str">
        <x:f>IF(OR($D107="",Y$5="",'상세일정'!AM107="제외"),"",IF($D107=$E107,IF(AND($D107&gt;=Y$5,$D107&lt;Y$5+7),"◆",""),IF(AND($D107&lt;Y$5+7,$E107&gt;Y$5),"■","")))</x:f>
      </x:c>
      <x:c r="Z107" s="7" t="str">
        <x:f>IF(OR($D107="",Z$5="",'상세일정'!AM107="제외"),"",IF($D107=$E107,IF(AND($D107&gt;=Z$5,$D107&lt;Z$5+7),"◆",""),IF(AND($D107&lt;Z$5+7,$E107&gt;Z$5),"■","")))</x:f>
      </x:c>
      <x:c r="AA107" s="7" t="str">
        <x:f>IF(OR($D107="",AA$5="",'상세일정'!AM107="제외"),"",IF($D107=$E107,IF(AND($D107&gt;=AA$5,$D107&lt;AA$5+7),"◆",""),IF(AND($D107&lt;AA$5+7,$E107&gt;AA$5),"■","")))</x:f>
      </x:c>
      <x:c r="AB107" s="7" t="str">
        <x:f>IF(OR($D107="",AB$5="",'상세일정'!AM107="제외"),"",IF($D107=$E107,IF(AND($D107&gt;=AB$5,$D107&lt;AB$5+7),"◆",""),IF(AND($D107&lt;AB$5+7,$E107&gt;AB$5),"■","")))</x:f>
      </x:c>
      <x:c r="AC107" s="7" t="str">
        <x:f>IF(OR($D107="",AC$5="",'상세일정'!AM107="제외"),"",IF($D107=$E107,IF(AND($D107&gt;=AC$5,$D107&lt;AC$5+7),"◆",""),IF(AND($D107&lt;AC$5+7,$E107&gt;AC$5),"■","")))</x:f>
      </x:c>
      <x:c r="AD107" s="7" t="str">
        <x:f>IF(OR($D107="",AD$5="",'상세일정'!AM107="제외"),"",IF($D107=$E107,IF(AND($D107&gt;=AD$5,$D107&lt;AD$5+7),"◆",""),IF(AND($D107&lt;AD$5+7,$E107&gt;AD$5),"■","")))</x:f>
      </x:c>
      <x:c r="AE107" s="7" t="str">
        <x:f>IF(OR($D107="",AE$5="",'상세일정'!AM107="제외"),"",IF($D107=$E107,IF(AND($D107&gt;=AE$5,$D107&lt;AE$5+7),"◆",""),IF(AND($D107&lt;AE$5+7,$E107&gt;AE$5),"■","")))</x:f>
      </x:c>
      <x:c r="AF107" s="7" t="str">
        <x:f>IF(OR($D107="",AF$5="",'상세일정'!AM107="제외"),"",IF($D107=$E107,IF(AND($D107&gt;=AF$5,$D107&lt;AF$5+7),"◆",""),IF(AND($D107&lt;AF$5+7,$E107&gt;AF$5),"■","")))</x:f>
      </x:c>
      <x:c r="AG107" s="7" t="str">
        <x:f>IF(OR($D107="",AG$5="",'상세일정'!AM107="제외"),"",IF($D107=$E107,IF(AND($D107&gt;=AG$5,$D107&lt;AG$5+7),"◆",""),IF(AND($D107&lt;AG$5+7,$E107&gt;AG$5),"■","")))</x:f>
      </x:c>
      <x:c r="AH107" s="7" t="str">
        <x:f>IF(OR($D107="",AH$5="",'상세일정'!AM107="제외"),"",IF($D107=$E107,IF(AND($D107&gt;=AH$5,$D107&lt;AH$5+7),"◆",""),IF(AND($D107&lt;AH$5+7,$E107&gt;AH$5),"■","")))</x:f>
      </x:c>
      <x:c r="AI107" s="7" t="str">
        <x:f>IF(OR($D107="",AI$5="",'상세일정'!AM107="제외"),"",IF($D107=$E107,IF(AND($D107&gt;=AI$5,$D107&lt;AI$5+7),"◆",""),IF(AND($D107&lt;AI$5+7,$E107&gt;AI$5),"■","")))</x:f>
      </x:c>
      <x:c r="AJ107" s="7" t="str">
        <x:f>IF(OR($D107="",AJ$5="",'상세일정'!AM107="제외"),"",IF($D107=$E107,IF(AND($D107&gt;=AJ$5,$D107&lt;AJ$5+7),"◆",""),IF(AND($D107&lt;AJ$5+7,$E107&gt;AJ$5),"■","")))</x:f>
      </x:c>
      <x:c r="AK107" s="7" t="str">
        <x:f>IF(OR($D107="",AK$5="",'상세일정'!AM107="제외"),"",IF($D107=$E107,IF(AND($D107&gt;=AK$5,$D107&lt;AK$5+7),"◆",""),IF(AND($D107&lt;AK$5+7,$E107&gt;AK$5),"■","")))</x:f>
      </x:c>
      <x:c r="AL107" s="7" t="str">
        <x:f>IF(OR($D107="",AL$5="",'상세일정'!AM107="제외"),"",IF($D107=$E107,IF(AND($D107&gt;=AL$5,$D107&lt;AL$5+7),"◆",""),IF(AND($D107&lt;AL$5+7,$E107&gt;AL$5),"■","")))</x:f>
      </x:c>
      <x:c r="AM107" s="7" t="str">
        <x:f>IF(OR($D107="",AM$5="",'상세일정'!AM107="제외"),"",IF($D107=$E107,IF(AND($D107&gt;=AM$5,$D107&lt;AM$5+7),"◆",""),IF(AND($D107&lt;AM$5+7,$E107&gt;AM$5),"■","")))</x:f>
      </x:c>
      <x:c r="AN107" s="7" t="str">
        <x:f>IF(OR($D107="",AN$5="",'상세일정'!AM107="제외"),"",IF($D107=$E107,IF(AND($D107&gt;=AN$5,$D107&lt;AN$5+7),"◆",""),IF(AND($D107&lt;AN$5+7,$E107&gt;AN$5),"■","")))</x:f>
      </x:c>
      <x:c r="AO107" s="7" t="str">
        <x:f>IF(OR($D107="",AO$5="",'상세일정'!AM107="제외"),"",IF($D107=$E107,IF(AND($D107&gt;=AO$5,$D107&lt;AO$5+7),"◆",""),IF(AND($D107&lt;AO$5+7,$E107&gt;AO$5),"■","")))</x:f>
      </x:c>
      <x:c r="AP107" s="7" t="str">
        <x:f>IF(OR($D107="",AP$5="",'상세일정'!AM107="제외"),"",IF($D107=$E107,IF(AND($D107&gt;=AP$5,$D107&lt;AP$5+7),"◆",""),IF(AND($D107&lt;AP$5+7,$E107&gt;AP$5),"■","")))</x:f>
      </x:c>
      <x:c r="AQ107" s="7" t="str">
        <x:f>IF(OR($D107="",AQ$5="",'상세일정'!AM107="제외"),"",IF($D107=$E107,IF(AND($D107&gt;=AQ$5,$D107&lt;AQ$5+7),"◆",""),IF(AND($D107&lt;AQ$5+7,$E107&gt;AQ$5),"■","")))</x:f>
      </x:c>
      <x:c r="AR107" s="7" t="str">
        <x:f>IF(OR($D107="",AR$5="",'상세일정'!AM107="제외"),"",IF($D107=$E107,IF(AND($D107&gt;=AR$5,$D107&lt;AR$5+7),"◆",""),IF(AND($D107&lt;AR$5+7,$E107&gt;AR$5),"■","")))</x:f>
      </x:c>
      <x:c r="AS107" s="7" t="str">
        <x:f>IF(OR($D107="",AS$5="",'상세일정'!AM107="제외"),"",IF($D107=$E107,IF(AND($D107&gt;=AS$5,$D107&lt;AS$5+7),"◆",""),IF(AND($D107&lt;AS$5+7,$E107&gt;AS$5),"■","")))</x:f>
      </x:c>
      <x:c r="AT107" s="7" t="str">
        <x:f>IF(OR($D107="",AT$5="",'상세일정'!AM107="제외"),"",IF($D107=$E107,IF(AND($D107&gt;=AT$5,$D107&lt;AT$5+7),"◆",""),IF(AND($D107&lt;AT$5+7,$E107&gt;AT$5),"■","")))</x:f>
      </x:c>
      <x:c r="AU107" s="7" t="str">
        <x:f>IF(OR($D107="",AU$5="",'상세일정'!AM107="제외"),"",IF($D107=$E107,IF(AND($D107&gt;=AU$5,$D107&lt;AU$5+7),"◆",""),IF(AND($D107&lt;AU$5+7,$E107&gt;AU$5),"■","")))</x:f>
      </x:c>
      <x:c r="AV107" s="7" t="str">
        <x:f>IF(OR($D107="",AV$5="",'상세일정'!AM107="제외"),"",IF($D107=$E107,IF(AND($D107&gt;=AV$5,$D107&lt;AV$5+7),"◆",""),IF(AND($D107&lt;AV$5+7,$E107&gt;AV$5),"■","")))</x:f>
      </x:c>
      <x:c r="AW107" s="7" t="str">
        <x:f>IF(OR($D107="",AW$5="",'상세일정'!AM107="제외"),"",IF($D107=$E107,IF(AND($D107&gt;=AW$5,$D107&lt;AW$5+7),"◆",""),IF(AND($D107&lt;AW$5+7,$E107&gt;AW$5),"■","")))</x:f>
      </x:c>
      <x:c r="AX107" s="7" t="str">
        <x:f>IF(OR($D107="",AX$5="",'상세일정'!AM107="제외"),"",IF($D107=$E107,IF(AND($D107&gt;=AX$5,$D107&lt;AX$5+7),"◆",""),IF(AND($D107&lt;AX$5+7,$E107&gt;AX$5),"■","")))</x:f>
      </x:c>
      <x:c r="AY107" s="7" t="str">
        <x:f>IF(OR($D107="",AY$5="",'상세일정'!AM107="제외"),"",IF($D107=$E107,IF(AND($D107&gt;=AY$5,$D107&lt;AY$5+7),"◆",""),IF(AND($D107&lt;AY$5+7,$E107&gt;AY$5),"■","")))</x:f>
      </x:c>
      <x:c r="AZ107" s="7" t="str">
        <x:f>IF(OR($D107="",AZ$5="",'상세일정'!AM107="제외"),"",IF($D107=$E107,IF(AND($D107&gt;=AZ$5,$D107&lt;AZ$5+7),"◆",""),IF(AND($D107&lt;AZ$5+7,$E107&gt;AZ$5),"■","")))</x:f>
      </x:c>
      <x:c r="BA107" s="7" t="str">
        <x:f>IF(OR($D107="",BA$5="",'상세일정'!AM107="제외"),"",IF($D107=$E107,IF(AND($D107&gt;=BA$5,$D107&lt;BA$5+7),"◆",""),IF(AND($D107&lt;BA$5+7,$E107&gt;BA$5),"■","")))</x:f>
      </x:c>
      <x:c r="BB107" s="7" t="str">
        <x:f>IF(OR($D107="",BB$5="",'상세일정'!AM107="제외"),"",IF($D107=$E107,IF(AND($D107&gt;=BB$5,$D107&lt;BB$5+7),"◆",""),IF(AND($D107&lt;BB$5+7,$E107&gt;BB$5),"■","")))</x:f>
      </x:c>
      <x:c r="BC107" s="7" t="str">
        <x:f>IF(OR($D107="",BC$5="",'상세일정'!AM107="제외"),"",IF($D107=$E107,IF(AND($D107&gt;=BC$5,$D107&lt;BC$5+7),"◆",""),IF(AND($D107&lt;BC$5+7,$E107&gt;BC$5),"■","")))</x:f>
      </x:c>
      <x:c r="BD107" s="7" t="str">
        <x:f>IF(OR($D107="",BD$5="",'상세일정'!AM107="제외"),"",IF($D107=$E107,IF(AND($D107&gt;=BD$5,$D107&lt;BD$5+7),"◆",""),IF(AND($D107&lt;BD$5+7,$E107&gt;BD$5),"■","")))</x:f>
      </x:c>
      <x:c r="BE107" s="7" t="str">
        <x:f>IF(OR($D107="",BE$5="",'상세일정'!AM107="제외"),"",IF($D107=$E107,IF(AND($D107&gt;=BE$5,$D107&lt;BE$5+7),"◆",""),IF(AND($D107&lt;BE$5+7,$E107&gt;BE$5),"■","")))</x:f>
      </x:c>
      <x:c r="BF107" s="7" t="str">
        <x:f>IF(OR($D107="",BF$5="",'상세일정'!AM107="제외"),"",IF($D107=$E107,IF(AND($D107&gt;=BF$5,$D107&lt;BF$5+7),"◆",""),IF(AND($D107&lt;BF$5+7,$E107&gt;BF$5),"■","")))</x:f>
      </x:c>
      <x:c r="BG107" s="7" t="str">
        <x:f>IF(OR($D107="",BG$5="",'상세일정'!AM107="제외"),"",IF($D107=$E107,IF(AND($D107&gt;=BG$5,$D107&lt;BG$5+7),"◆",""),IF(AND($D107&lt;BG$5+7,$E107&gt;BG$5),"■","")))</x:f>
      </x:c>
      <x:c r="BH107" s="7" t="str">
        <x:f>IF(OR($D107="",BH$5="",'상세일정'!AM107="제외"),"",IF($D107=$E107,IF(AND($D107&gt;=BH$5,$D107&lt;BH$5+7),"◆",""),IF(AND($D107&lt;BH$5+7,$E107&gt;BH$5),"■","")))</x:f>
      </x:c>
      <x:c r="BI107" s="7" t="str">
        <x:f>IF(OR($D107="",BI$5="",'상세일정'!AM107="제외"),"",IF($D107=$E107,IF(AND($D107&gt;=BI$5,$D107&lt;BI$5+7),"◆",""),IF(AND($D107&lt;BI$5+7,$E107&gt;BI$5),"■","")))</x:f>
      </x:c>
      <x:c r="BJ107" s="7" t="str">
        <x:f>IF(OR($D107="",BJ$5="",'상세일정'!AM107="제외"),"",IF($D107=$E107,IF(AND($D107&gt;=BJ$5,$D107&lt;BJ$5+7),"◆",""),IF(AND($D107&lt;BJ$5+7,$E107&gt;BJ$5),"■","")))</x:f>
      </x:c>
      <x:c r="BK107" s="7" t="str">
        <x:f>IF(OR($D107="",BK$5="",'상세일정'!AM107="제외"),"",IF($D107=$E107,IF(AND($D107&gt;=BK$5,$D107&lt;BK$5+7),"◆",""),IF(AND($D107&lt;BK$5+7,$E107&gt;BK$5),"■","")))</x:f>
      </x:c>
      <x:c r="BL107" s="7" t="str">
        <x:f>IF(OR($D107="",BL$5="",'상세일정'!AM107="제외"),"",IF($D107=$E107,IF(AND($D107&gt;=BL$5,$D107&lt;BL$5+7),"◆",""),IF(AND($D107&lt;BL$5+7,$E107&gt;BL$5),"■","")))</x:f>
      </x:c>
      <x:c r="BM107" s="7" t="str">
        <x:f>IF(OR($D107="",BM$5="",'상세일정'!AM107="제외"),"",IF($D107=$E107,IF(AND($D107&gt;=BM$5,$D107&lt;BM$5+7),"◆",""),IF(AND($D107&lt;BM$5+7,$E107&gt;BM$5),"■","")))</x:f>
      </x:c>
      <x:c r="BN107" s="7" t="str">
        <x:f>IF(OR($D107="",BN$5="",'상세일정'!AM107="제외"),"",IF($D107=$E107,IF(AND($D107&gt;=BN$5,$D107&lt;BN$5+7),"◆",""),IF(AND($D107&lt;BN$5+7,$E107&gt;BN$5),"■","")))</x:f>
      </x:c>
      <x:c r="BO107" s="7" t="str">
        <x:f>IF(OR($D107="",BO$5="",'상세일정'!AM107="제외"),"",IF($D107=$E107,IF(AND($D107&gt;=BO$5,$D107&lt;BO$5+7),"◆",""),IF(AND($D107&lt;BO$5+7,$E107&gt;BO$5),"■","")))</x:f>
      </x:c>
      <x:c r="BP107" s="7" t="str">
        <x:f>IF(OR($D107="",BP$5="",'상세일정'!AM107="제외"),"",IF($D107=$E107,IF(AND($D107&gt;=BP$5,$D107&lt;BP$5+7),"◆",""),IF(AND($D107&lt;BP$5+7,$E107&gt;BP$5),"■","")))</x:f>
      </x:c>
      <x:c r="BQ107" s="7" t="str">
        <x:f>IF(OR($D107="",BQ$5="",'상세일정'!AM107="제외"),"",IF($D107=$E107,IF(AND($D107&gt;=BQ$5,$D107&lt;BQ$5+7),"◆",""),IF(AND($D107&lt;BQ$5+7,$E107&gt;BQ$5),"■","")))</x:f>
      </x:c>
      <x:c r="BR107" s="7" t="str">
        <x:f>IF(OR($D107="",BR$5="",'상세일정'!AM107="제외"),"",IF($D107=$E107,IF(AND($D107&gt;=BR$5,$D107&lt;BR$5+7),"◆",""),IF(AND($D107&lt;BR$5+7,$E107&gt;BR$5),"■","")))</x:f>
      </x:c>
      <x:c r="BS107" s="7" t="str">
        <x:f>IF(OR($D107="",BS$5="",'상세일정'!AM107="제외"),"",IF($D107=$E107,IF(AND($D107&gt;=BS$5,$D107&lt;BS$5+7),"◆",""),IF(AND($D107&lt;BS$5+7,$E107&gt;BS$5),"■","")))</x:f>
      </x:c>
      <x:c r="BT107" s="7" t="str">
        <x:f>IF(OR($D107="",BT$5="",'상세일정'!AM107="제외"),"",IF($D107=$E107,IF(AND($D107&gt;=BT$5,$D107&lt;BT$5+7),"◆",""),IF(AND($D107&lt;BT$5+7,$E107&gt;BT$5),"■","")))</x:f>
      </x:c>
      <x:c r="BU107" s="7" t="str">
        <x:f>IF(OR($D107="",BU$5="",'상세일정'!AM107="제외"),"",IF($D107=$E107,IF(AND($D107&gt;=BU$5,$D107&lt;BU$5+7),"◆",""),IF(AND($D107&lt;BU$5+7,$E107&gt;BU$5),"■","")))</x:f>
      </x:c>
      <x:c r="BV107" s="7" t="str">
        <x:f>IF(OR($D107="",BV$5="",'상세일정'!AM107="제외"),"",IF($D107=$E107,IF(AND($D107&gt;=BV$5,$D107&lt;BV$5+7),"◆",""),IF(AND($D107&lt;BV$5+7,$E107&gt;BV$5),"■","")))</x:f>
      </x:c>
      <x:c r="BW107" s="7" t="str">
        <x:f>IF(OR($D107="",BW$5="",'상세일정'!AM107="제외"),"",IF($D107=$E107,IF(AND($D107&gt;=BW$5,$D107&lt;BW$5+7),"◆",""),IF(AND($D107&lt;BW$5+7,$E107&gt;BW$5),"■","")))</x:f>
      </x:c>
      <x:c r="BX107" s="7" t="str">
        <x:f>IF(OR($D107="",BX$5="",'상세일정'!AM107="제외"),"",IF($D107=$E107,IF(AND($D107&gt;=BX$5,$D107&lt;BX$5+7),"◆",""),IF(AND($D107&lt;BX$5+7,$E107&gt;BX$5),"■","")))</x:f>
      </x:c>
      <x:c r="BY107" s="7" t="str">
        <x:f>IF(OR($D107="",BY$5="",'상세일정'!AM107="제외"),"",IF($D107=$E107,IF(AND($D107&gt;=BY$5,$D107&lt;BY$5+7),"◆",""),IF(AND($D107&lt;BY$5+7,$E107&gt;BY$5),"■","")))</x:f>
      </x:c>
      <x:c r="BZ107" s="7" t="str">
        <x:f>IF(OR($D107="",BZ$5="",'상세일정'!AM107="제외"),"",IF($D107=$E107,IF(AND($D107&gt;=BZ$5,$D107&lt;BZ$5+7),"◆",""),IF(AND($D107&lt;BZ$5+7,$E107&gt;BZ$5),"■","")))</x:f>
      </x:c>
      <x:c r="CA107" s="7" t="str">
        <x:f>IF(OR($D107="",CA$5="",'상세일정'!AM107="제외"),"",IF($D107=$E107,IF(AND($D107&gt;=CA$5,$D107&lt;CA$5+7),"◆",""),IF(AND($D107&lt;CA$5+7,$E107&gt;CA$5),"■","")))</x:f>
      </x:c>
      <x:c r="CB107" s="7" t="str">
        <x:f>IF(OR($D107="",CB$5="",'상세일정'!AM107="제외"),"",IF($D107=$E107,IF(AND($D107&gt;=CB$5,$D107&lt;CB$5+7),"◆",""),IF(AND($D107&lt;CB$5+7,$E107&gt;CB$5),"■","")))</x:f>
      </x:c>
      <x:c r="CC107" s="7" t="str">
        <x:f>IF(OR($D107="",CC$5="",'상세일정'!AM107="제외"),"",IF($D107=$E107,IF(AND($D107&gt;=CC$5,$D107&lt;CC$5+7),"◆",""),IF(AND($D107&lt;CC$5+7,$E107&gt;CC$5),"■","")))</x:f>
      </x:c>
      <x:c r="CD107" s="7" t="str">
        <x:f>IF(OR($D107="",CD$5="",'상세일정'!AM107="제외"),"",IF($D107=$E107,IF(AND($D107&gt;=CD$5,$D107&lt;CD$5+7),"◆",""),IF(AND($D107&lt;CD$5+7,$E107&gt;CD$5),"■","")))</x:f>
      </x:c>
      <x:c r="CE107" s="7" t="str">
        <x:f>IF(OR($D107="",CE$5="",'상세일정'!AM107="제외"),"",IF($D107=$E107,IF(AND($D107&gt;=CE$5,$D107&lt;CE$5+7),"◆",""),IF(AND($D107&lt;CE$5+7,$E107&gt;CE$5),"■","")))</x:f>
      </x:c>
      <x:c r="CF107" s="7" t="str">
        <x:f>IF(OR($D107="",CF$5="",'상세일정'!AM107="제외"),"",IF($D107=$E107,IF(AND($D107&gt;=CF$5,$D107&lt;CF$5+7),"◆",""),IF(AND($D107&lt;CF$5+7,$E107&gt;CF$5),"■","")))</x:f>
      </x:c>
      <x:c r="CG107" s="7" t="str">
        <x:f>IF(OR($D107="",CG$5="",'상세일정'!AM107="제외"),"",IF($D107=$E107,IF(AND($D107&gt;=CG$5,$D107&lt;CG$5+7),"◆",""),IF(AND($D107&lt;CG$5+7,$E107&gt;CG$5),"■","")))</x:f>
      </x:c>
      <x:c r="CH107" s="7" t="str">
        <x:f>IF(OR($D107="",CH$5="",'상세일정'!AM107="제외"),"",IF($D107=$E107,IF(AND($D107&gt;=CH$5,$D107&lt;CH$5+7),"◆",""),IF(AND($D107&lt;CH$5+7,$E107&gt;CH$5),"■","")))</x:f>
      </x:c>
      <x:c r="CI107" s="7" t="str">
        <x:f>IF(OR($D107="",CI$5="",'상세일정'!AM107="제외"),"",IF($D107=$E107,IF(AND($D107&gt;=CI$5,$D107&lt;CI$5+7),"◆",""),IF(AND($D107&lt;CI$5+7,$E107&gt;CI$5),"■","")))</x:f>
      </x:c>
      <x:c r="CJ107" s="7" t="str">
        <x:f>IF(OR($D107="",CJ$5="",'상세일정'!AM107="제외"),"",IF($D107=$E107,IF(AND($D107&gt;=CJ$5,$D107&lt;CJ$5+7),"◆",""),IF(AND($D107&lt;CJ$5+7,$E107&gt;CJ$5),"■","")))</x:f>
      </x:c>
      <x:c r="CK107" s="7" t="str">
        <x:f>IF(OR($D107="",CK$5="",'상세일정'!AM107="제외"),"",IF($D107=$E107,IF(AND($D107&gt;=CK$5,$D107&lt;CK$5+7),"◆",""),IF(AND($D107&lt;CK$5+7,$E107&gt;CK$5),"■","")))</x:f>
      </x:c>
      <x:c r="CL107" s="7" t="str">
        <x:f>IF(OR($D107="",CL$5="",'상세일정'!AM107="제외"),"",IF($D107=$E107,IF(AND($D107&gt;=CL$5,$D107&lt;CL$5+7),"◆",""),IF(AND($D107&lt;CL$5+7,$E107&gt;CL$5),"■","")))</x:f>
      </x:c>
      <x:c r="CM107" s="7" t="str">
        <x:f>IF(OR($D107="",CM$5="",'상세일정'!AM107="제외"),"",IF($D107=$E107,IF(AND($D107&gt;=CM$5,$D107&lt;CM$5+7),"◆",""),IF(AND($D107&lt;CM$5+7,$E107&gt;CM$5),"■","")))</x:f>
      </x:c>
      <x:c r="CN107" s="7" t="str">
        <x:f>IF(OR($D107="",CN$5="",'상세일정'!AM107="제외"),"",IF($D107=$E107,IF(AND($D107&gt;=CN$5,$D107&lt;CN$5+7),"◆",""),IF(AND($D107&lt;CN$5+7,$E107&gt;CN$5),"■","")))</x:f>
      </x:c>
      <x:c r="CO107" s="7" t="str">
        <x:f>IF(OR($D107="",CO$5="",'상세일정'!AM107="제외"),"",IF($D107=$E107,IF(AND($D107&gt;=CO$5,$D107&lt;CO$5+7),"◆",""),IF(AND($D107&lt;CO$5+7,$E107&gt;CO$5),"■","")))</x:f>
      </x:c>
      <x:c r="CP107" s="7" t="str">
        <x:f>IF(OR($D107="",CP$5="",'상세일정'!AM107="제외"),"",IF($D107=$E107,IF(AND($D107&gt;=CP$5,$D107&lt;CP$5+7),"◆",""),IF(AND($D107&lt;CP$5+7,$E107&gt;CP$5),"■","")))</x:f>
      </x:c>
      <x:c r="CQ107" s="7" t="str">
        <x:f>IF(OR($D107="",CQ$5="",'상세일정'!AM107="제외"),"",IF($D107=$E107,IF(AND($D107&gt;=CQ$5,$D107&lt;CQ$5+7),"◆",""),IF(AND($D107&lt;CQ$5+7,$E107&gt;CQ$5),"■","")))</x:f>
      </x:c>
      <x:c r="CR107" s="7" t="str">
        <x:f>IF(OR($D107="",CR$5="",'상세일정'!AM107="제외"),"",IF($D107=$E107,IF(AND($D107&gt;=CR$5,$D107&lt;CR$5+7),"◆",""),IF(AND($D107&lt;CR$5+7,$E107&gt;CR$5),"■","")))</x:f>
      </x:c>
      <x:c r="CS107" s="7" t="str">
        <x:f>IF(OR($D107="",CS$5="",'상세일정'!AM107="제외"),"",IF($D107=$E107,IF(AND($D107&gt;=CS$5,$D107&lt;CS$5+7),"◆",""),IF(AND($D107&lt;CS$5+7,$E107&gt;CS$5),"■","")))</x:f>
      </x:c>
      <x:c r="CT107" s="7" t="str">
        <x:f>IF(OR($D107="",CT$5="",'상세일정'!AM107="제외"),"",IF($D107=$E107,IF(AND($D107&gt;=CT$5,$D107&lt;CT$5+7),"◆",""),IF(AND($D107&lt;CT$5+7,$E107&gt;CT$5),"■","")))</x:f>
      </x:c>
      <x:c r="CU107" s="7" t="str">
        <x:f>IF(OR($D107="",CU$5="",'상세일정'!AM107="제외"),"",IF($D107=$E107,IF(AND($D107&gt;=CU$5,$D107&lt;CU$5+7),"◆",""),IF(AND($D107&lt;CU$5+7,$E107&gt;CU$5),"■","")))</x:f>
      </x:c>
      <x:c r="CV107" s="7" t="str">
        <x:f>IF(OR($D107="",CV$5="",'상세일정'!AM107="제외"),"",IF($D107=$E107,IF(AND($D107&gt;=CV$5,$D107&lt;CV$5+7),"◆",""),IF(AND($D107&lt;CV$5+7,$E107&gt;CV$5),"■","")))</x:f>
      </x:c>
      <x:c r="CW107" s="7" t="str">
        <x:f>IF(OR($D107="",CW$5="",'상세일정'!AM107="제외"),"",IF($D107=$E107,IF(AND($D107&gt;=CW$5,$D107&lt;CW$5+7),"◆",""),IF(AND($D107&lt;CW$5+7,$E107&gt;CW$5),"■","")))</x:f>
      </x:c>
      <x:c r="CX107" s="7" t="str">
        <x:f>IF(OR($D107="",CX$5="",'상세일정'!AM107="제외"),"",IF($D107=$E107,IF(AND($D107&gt;=CX$5,$D107&lt;CX$5+7),"◆",""),IF(AND($D107&lt;CX$5+7,$E107&gt;CX$5),"■","")))</x:f>
      </x:c>
      <x:c r="CY107" s="7" t="str">
        <x:f>IF(OR($D107="",CY$5="",'상세일정'!AM107="제외"),"",IF($D107=$E107,IF(AND($D107&gt;=CY$5,$D107&lt;CY$5+7),"◆",""),IF(AND($D107&lt;CY$5+7,$E107&gt;CY$5),"■","")))</x:f>
      </x:c>
      <x:c r="CZ107" s="7" t="str">
        <x:f>IF(OR($D107="",CZ$5="",'상세일정'!AM107="제외"),"",IF($D107=$E107,IF(AND($D107&gt;=CZ$5,$D107&lt;CZ$5+7),"◆",""),IF(AND($D107&lt;CZ$5+7,$E107&gt;CZ$5),"■","")))</x:f>
      </x:c>
      <x:c r="DA107" s="7" t="str">
        <x:f>IF(OR($D107="",DA$5="",'상세일정'!AM107="제외"),"",IF($D107=$E107,IF(AND($D107&gt;=DA$5,$D107&lt;DA$5+7),"◆",""),IF(AND($D107&lt;DA$5+7,$E107&gt;DA$5),"■","")))</x:f>
      </x:c>
      <x:c r="DB107" s="7" t="str">
        <x:f>IF(OR($D107="",DB$5="",'상세일정'!AM107="제외"),"",IF($D107=$E107,IF(AND($D107&gt;=DB$5,$D107&lt;DB$5+7),"◆",""),IF(AND($D107&lt;DB$5+7,$E107&gt;DB$5),"■","")))</x:f>
      </x:c>
      <x:c r="DC107" s="7" t="str">
        <x:f>IF(OR($D107="",DC$5="",'상세일정'!AM107="제외"),"",IF($D107=$E107,IF(AND($D107&gt;=DC$5,$D107&lt;DC$5+7),"◆",""),IF(AND($D107&lt;DC$5+7,$E107&gt;DC$5),"■","")))</x:f>
      </x:c>
      <x:c r="DD107" s="7" t="str">
        <x:f>IF(OR($D107="",DD$5="",'상세일정'!AM107="제외"),"",IF($D107=$E107,IF(AND($D107&gt;=DD$5,$D107&lt;DD$5+7),"◆",""),IF(AND($D107&lt;DD$5+7,$E107&gt;DD$5),"■","")))</x:f>
      </x:c>
      <x:c r="DE107" s="7" t="str">
        <x:f>IF(OR($D107="",DE$5="",'상세일정'!AM107="제외"),"",IF($D107=$E107,IF(AND($D107&gt;=DE$5,$D107&lt;DE$5+7),"◆",""),IF(AND($D107&lt;DE$5+7,$E107&gt;DE$5),"■","")))</x:f>
      </x:c>
    </x:row>
    <x:row r="108" ht="34" customHeight="1">
      <x:c r="A108" s="7" t="str">
        <x:v>PR01</x:v>
      </x:c>
      <x:c r="B108" s="7" t="str">
        <x:v>16 기자재 구매·제작</x:v>
      </x:c>
      <x:c r="C108" s="7" t="str">
        <x:v>주공정 패키지 A 잔여 발주범위·사양 확정</x:v>
      </x:c>
      <x:c r="D108" s="10" t="str">
        <x:f>'상세일정'!AJ108</x:f>
      </x:c>
      <x:c r="E108" s="10" t="str">
        <x:f>'상세일정'!AK108</x:f>
      </x:c>
      <x:c r="F108" s="7" t="str">
        <x:f>IF(OR($D108="",F$5="",'상세일정'!AM108="제외"),"",IF($D108=$E108,IF(AND($D108&gt;=F$5,$D108&lt;F$5+7),"◆",""),IF(AND($D108&lt;F$5+7,$E108&gt;F$5),"■","")))</x:f>
      </x:c>
      <x:c r="G108" s="7" t="str">
        <x:f>IF(OR($D108="",G$5="",'상세일정'!AM108="제외"),"",IF($D108=$E108,IF(AND($D108&gt;=G$5,$D108&lt;G$5+7),"◆",""),IF(AND($D108&lt;G$5+7,$E108&gt;G$5),"■","")))</x:f>
      </x:c>
      <x:c r="H108" s="7" t="str">
        <x:f>IF(OR($D108="",H$5="",'상세일정'!AM108="제외"),"",IF($D108=$E108,IF(AND($D108&gt;=H$5,$D108&lt;H$5+7),"◆",""),IF(AND($D108&lt;H$5+7,$E108&gt;H$5),"■","")))</x:f>
      </x:c>
      <x:c r="I108" s="7" t="str">
        <x:f>IF(OR($D108="",I$5="",'상세일정'!AM108="제외"),"",IF($D108=$E108,IF(AND($D108&gt;=I$5,$D108&lt;I$5+7),"◆",""),IF(AND($D108&lt;I$5+7,$E108&gt;I$5),"■","")))</x:f>
      </x:c>
      <x:c r="J108" s="7" t="str">
        <x:f>IF(OR($D108="",J$5="",'상세일정'!AM108="제외"),"",IF($D108=$E108,IF(AND($D108&gt;=J$5,$D108&lt;J$5+7),"◆",""),IF(AND($D108&lt;J$5+7,$E108&gt;J$5),"■","")))</x:f>
      </x:c>
      <x:c r="K108" s="7" t="str">
        <x:f>IF(OR($D108="",K$5="",'상세일정'!AM108="제외"),"",IF($D108=$E108,IF(AND($D108&gt;=K$5,$D108&lt;K$5+7),"◆",""),IF(AND($D108&lt;K$5+7,$E108&gt;K$5),"■","")))</x:f>
      </x:c>
      <x:c r="L108" s="7" t="str">
        <x:f>IF(OR($D108="",L$5="",'상세일정'!AM108="제외"),"",IF($D108=$E108,IF(AND($D108&gt;=L$5,$D108&lt;L$5+7),"◆",""),IF(AND($D108&lt;L$5+7,$E108&gt;L$5),"■","")))</x:f>
      </x:c>
      <x:c r="M108" s="7" t="str">
        <x:f>IF(OR($D108="",M$5="",'상세일정'!AM108="제외"),"",IF($D108=$E108,IF(AND($D108&gt;=M$5,$D108&lt;M$5+7),"◆",""),IF(AND($D108&lt;M$5+7,$E108&gt;M$5),"■","")))</x:f>
      </x:c>
      <x:c r="N108" s="7" t="str">
        <x:f>IF(OR($D108="",N$5="",'상세일정'!AM108="제외"),"",IF($D108=$E108,IF(AND($D108&gt;=N$5,$D108&lt;N$5+7),"◆",""),IF(AND($D108&lt;N$5+7,$E108&gt;N$5),"■","")))</x:f>
      </x:c>
      <x:c r="O108" s="7" t="str">
        <x:f>IF(OR($D108="",O$5="",'상세일정'!AM108="제외"),"",IF($D108=$E108,IF(AND($D108&gt;=O$5,$D108&lt;O$5+7),"◆",""),IF(AND($D108&lt;O$5+7,$E108&gt;O$5),"■","")))</x:f>
      </x:c>
      <x:c r="P108" s="7" t="str">
        <x:f>IF(OR($D108="",P$5="",'상세일정'!AM108="제외"),"",IF($D108=$E108,IF(AND($D108&gt;=P$5,$D108&lt;P$5+7),"◆",""),IF(AND($D108&lt;P$5+7,$E108&gt;P$5),"■","")))</x:f>
      </x:c>
      <x:c r="Q108" s="7" t="str">
        <x:f>IF(OR($D108="",Q$5="",'상세일정'!AM108="제외"),"",IF($D108=$E108,IF(AND($D108&gt;=Q$5,$D108&lt;Q$5+7),"◆",""),IF(AND($D108&lt;Q$5+7,$E108&gt;Q$5),"■","")))</x:f>
      </x:c>
      <x:c r="R108" s="7" t="str">
        <x:f>IF(OR($D108="",R$5="",'상세일정'!AM108="제외"),"",IF($D108=$E108,IF(AND($D108&gt;=R$5,$D108&lt;R$5+7),"◆",""),IF(AND($D108&lt;R$5+7,$E108&gt;R$5),"■","")))</x:f>
      </x:c>
      <x:c r="S108" s="7" t="str">
        <x:f>IF(OR($D108="",S$5="",'상세일정'!AM108="제외"),"",IF($D108=$E108,IF(AND($D108&gt;=S$5,$D108&lt;S$5+7),"◆",""),IF(AND($D108&lt;S$5+7,$E108&gt;S$5),"■","")))</x:f>
      </x:c>
      <x:c r="T108" s="7" t="str">
        <x:f>IF(OR($D108="",T$5="",'상세일정'!AM108="제외"),"",IF($D108=$E108,IF(AND($D108&gt;=T$5,$D108&lt;T$5+7),"◆",""),IF(AND($D108&lt;T$5+7,$E108&gt;T$5),"■","")))</x:f>
      </x:c>
      <x:c r="U108" s="7" t="str">
        <x:f>IF(OR($D108="",U$5="",'상세일정'!AM108="제외"),"",IF($D108=$E108,IF(AND($D108&gt;=U$5,$D108&lt;U$5+7),"◆",""),IF(AND($D108&lt;U$5+7,$E108&gt;U$5),"■","")))</x:f>
      </x:c>
      <x:c r="V108" s="7" t="str">
        <x:f>IF(OR($D108="",V$5="",'상세일정'!AM108="제외"),"",IF($D108=$E108,IF(AND($D108&gt;=V$5,$D108&lt;V$5+7),"◆",""),IF(AND($D108&lt;V$5+7,$E108&gt;V$5),"■","")))</x:f>
      </x:c>
      <x:c r="W108" s="7" t="str">
        <x:f>IF(OR($D108="",W$5="",'상세일정'!AM108="제외"),"",IF($D108=$E108,IF(AND($D108&gt;=W$5,$D108&lt;W$5+7),"◆",""),IF(AND($D108&lt;W$5+7,$E108&gt;W$5),"■","")))</x:f>
      </x:c>
      <x:c r="X108" s="7" t="str">
        <x:f>IF(OR($D108="",X$5="",'상세일정'!AM108="제외"),"",IF($D108=$E108,IF(AND($D108&gt;=X$5,$D108&lt;X$5+7),"◆",""),IF(AND($D108&lt;X$5+7,$E108&gt;X$5),"■","")))</x:f>
      </x:c>
      <x:c r="Y108" s="7" t="str">
        <x:f>IF(OR($D108="",Y$5="",'상세일정'!AM108="제외"),"",IF($D108=$E108,IF(AND($D108&gt;=Y$5,$D108&lt;Y$5+7),"◆",""),IF(AND($D108&lt;Y$5+7,$E108&gt;Y$5),"■","")))</x:f>
      </x:c>
      <x:c r="Z108" s="7" t="str">
        <x:f>IF(OR($D108="",Z$5="",'상세일정'!AM108="제외"),"",IF($D108=$E108,IF(AND($D108&gt;=Z$5,$D108&lt;Z$5+7),"◆",""),IF(AND($D108&lt;Z$5+7,$E108&gt;Z$5),"■","")))</x:f>
      </x:c>
      <x:c r="AA108" s="7" t="str">
        <x:f>IF(OR($D108="",AA$5="",'상세일정'!AM108="제외"),"",IF($D108=$E108,IF(AND($D108&gt;=AA$5,$D108&lt;AA$5+7),"◆",""),IF(AND($D108&lt;AA$5+7,$E108&gt;AA$5),"■","")))</x:f>
      </x:c>
      <x:c r="AB108" s="7" t="str">
        <x:f>IF(OR($D108="",AB$5="",'상세일정'!AM108="제외"),"",IF($D108=$E108,IF(AND($D108&gt;=AB$5,$D108&lt;AB$5+7),"◆",""),IF(AND($D108&lt;AB$5+7,$E108&gt;AB$5),"■","")))</x:f>
      </x:c>
      <x:c r="AC108" s="7" t="str">
        <x:f>IF(OR($D108="",AC$5="",'상세일정'!AM108="제외"),"",IF($D108=$E108,IF(AND($D108&gt;=AC$5,$D108&lt;AC$5+7),"◆",""),IF(AND($D108&lt;AC$5+7,$E108&gt;AC$5),"■","")))</x:f>
      </x:c>
      <x:c r="AD108" s="7" t="str">
        <x:f>IF(OR($D108="",AD$5="",'상세일정'!AM108="제외"),"",IF($D108=$E108,IF(AND($D108&gt;=AD$5,$D108&lt;AD$5+7),"◆",""),IF(AND($D108&lt;AD$5+7,$E108&gt;AD$5),"■","")))</x:f>
      </x:c>
      <x:c r="AE108" s="7" t="str">
        <x:f>IF(OR($D108="",AE$5="",'상세일정'!AM108="제외"),"",IF($D108=$E108,IF(AND($D108&gt;=AE$5,$D108&lt;AE$5+7),"◆",""),IF(AND($D108&lt;AE$5+7,$E108&gt;AE$5),"■","")))</x:f>
      </x:c>
      <x:c r="AF108" s="7" t="str">
        <x:f>IF(OR($D108="",AF$5="",'상세일정'!AM108="제외"),"",IF($D108=$E108,IF(AND($D108&gt;=AF$5,$D108&lt;AF$5+7),"◆",""),IF(AND($D108&lt;AF$5+7,$E108&gt;AF$5),"■","")))</x:f>
      </x:c>
      <x:c r="AG108" s="7" t="str">
        <x:f>IF(OR($D108="",AG$5="",'상세일정'!AM108="제외"),"",IF($D108=$E108,IF(AND($D108&gt;=AG$5,$D108&lt;AG$5+7),"◆",""),IF(AND($D108&lt;AG$5+7,$E108&gt;AG$5),"■","")))</x:f>
      </x:c>
      <x:c r="AH108" s="7" t="str">
        <x:f>IF(OR($D108="",AH$5="",'상세일정'!AM108="제외"),"",IF($D108=$E108,IF(AND($D108&gt;=AH$5,$D108&lt;AH$5+7),"◆",""),IF(AND($D108&lt;AH$5+7,$E108&gt;AH$5),"■","")))</x:f>
      </x:c>
      <x:c r="AI108" s="7" t="str">
        <x:f>IF(OR($D108="",AI$5="",'상세일정'!AM108="제외"),"",IF($D108=$E108,IF(AND($D108&gt;=AI$5,$D108&lt;AI$5+7),"◆",""),IF(AND($D108&lt;AI$5+7,$E108&gt;AI$5),"■","")))</x:f>
      </x:c>
      <x:c r="AJ108" s="7" t="str">
        <x:f>IF(OR($D108="",AJ$5="",'상세일정'!AM108="제외"),"",IF($D108=$E108,IF(AND($D108&gt;=AJ$5,$D108&lt;AJ$5+7),"◆",""),IF(AND($D108&lt;AJ$5+7,$E108&gt;AJ$5),"■","")))</x:f>
      </x:c>
      <x:c r="AK108" s="7" t="str">
        <x:f>IF(OR($D108="",AK$5="",'상세일정'!AM108="제외"),"",IF($D108=$E108,IF(AND($D108&gt;=AK$5,$D108&lt;AK$5+7),"◆",""),IF(AND($D108&lt;AK$5+7,$E108&gt;AK$5),"■","")))</x:f>
      </x:c>
      <x:c r="AL108" s="7" t="str">
        <x:f>IF(OR($D108="",AL$5="",'상세일정'!AM108="제외"),"",IF($D108=$E108,IF(AND($D108&gt;=AL$5,$D108&lt;AL$5+7),"◆",""),IF(AND($D108&lt;AL$5+7,$E108&gt;AL$5),"■","")))</x:f>
      </x:c>
      <x:c r="AM108" s="7" t="str">
        <x:f>IF(OR($D108="",AM$5="",'상세일정'!AM108="제외"),"",IF($D108=$E108,IF(AND($D108&gt;=AM$5,$D108&lt;AM$5+7),"◆",""),IF(AND($D108&lt;AM$5+7,$E108&gt;AM$5),"■","")))</x:f>
      </x:c>
      <x:c r="AN108" s="7" t="str">
        <x:f>IF(OR($D108="",AN$5="",'상세일정'!AM108="제외"),"",IF($D108=$E108,IF(AND($D108&gt;=AN$5,$D108&lt;AN$5+7),"◆",""),IF(AND($D108&lt;AN$5+7,$E108&gt;AN$5),"■","")))</x:f>
      </x:c>
      <x:c r="AO108" s="7" t="str">
        <x:f>IF(OR($D108="",AO$5="",'상세일정'!AM108="제외"),"",IF($D108=$E108,IF(AND($D108&gt;=AO$5,$D108&lt;AO$5+7),"◆",""),IF(AND($D108&lt;AO$5+7,$E108&gt;AO$5),"■","")))</x:f>
      </x:c>
      <x:c r="AP108" s="7" t="str">
        <x:f>IF(OR($D108="",AP$5="",'상세일정'!AM108="제외"),"",IF($D108=$E108,IF(AND($D108&gt;=AP$5,$D108&lt;AP$5+7),"◆",""),IF(AND($D108&lt;AP$5+7,$E108&gt;AP$5),"■","")))</x:f>
      </x:c>
      <x:c r="AQ108" s="7" t="str">
        <x:f>IF(OR($D108="",AQ$5="",'상세일정'!AM108="제외"),"",IF($D108=$E108,IF(AND($D108&gt;=AQ$5,$D108&lt;AQ$5+7),"◆",""),IF(AND($D108&lt;AQ$5+7,$E108&gt;AQ$5),"■","")))</x:f>
      </x:c>
      <x:c r="AR108" s="7" t="str">
        <x:f>IF(OR($D108="",AR$5="",'상세일정'!AM108="제외"),"",IF($D108=$E108,IF(AND($D108&gt;=AR$5,$D108&lt;AR$5+7),"◆",""),IF(AND($D108&lt;AR$5+7,$E108&gt;AR$5),"■","")))</x:f>
      </x:c>
      <x:c r="AS108" s="7" t="str">
        <x:f>IF(OR($D108="",AS$5="",'상세일정'!AM108="제외"),"",IF($D108=$E108,IF(AND($D108&gt;=AS$5,$D108&lt;AS$5+7),"◆",""),IF(AND($D108&lt;AS$5+7,$E108&gt;AS$5),"■","")))</x:f>
      </x:c>
      <x:c r="AT108" s="7" t="str">
        <x:f>IF(OR($D108="",AT$5="",'상세일정'!AM108="제외"),"",IF($D108=$E108,IF(AND($D108&gt;=AT$5,$D108&lt;AT$5+7),"◆",""),IF(AND($D108&lt;AT$5+7,$E108&gt;AT$5),"■","")))</x:f>
      </x:c>
      <x:c r="AU108" s="7" t="str">
        <x:f>IF(OR($D108="",AU$5="",'상세일정'!AM108="제외"),"",IF($D108=$E108,IF(AND($D108&gt;=AU$5,$D108&lt;AU$5+7),"◆",""),IF(AND($D108&lt;AU$5+7,$E108&gt;AU$5),"■","")))</x:f>
      </x:c>
      <x:c r="AV108" s="7" t="str">
        <x:f>IF(OR($D108="",AV$5="",'상세일정'!AM108="제외"),"",IF($D108=$E108,IF(AND($D108&gt;=AV$5,$D108&lt;AV$5+7),"◆",""),IF(AND($D108&lt;AV$5+7,$E108&gt;AV$5),"■","")))</x:f>
      </x:c>
      <x:c r="AW108" s="7" t="str">
        <x:f>IF(OR($D108="",AW$5="",'상세일정'!AM108="제외"),"",IF($D108=$E108,IF(AND($D108&gt;=AW$5,$D108&lt;AW$5+7),"◆",""),IF(AND($D108&lt;AW$5+7,$E108&gt;AW$5),"■","")))</x:f>
      </x:c>
      <x:c r="AX108" s="7" t="str">
        <x:f>IF(OR($D108="",AX$5="",'상세일정'!AM108="제외"),"",IF($D108=$E108,IF(AND($D108&gt;=AX$5,$D108&lt;AX$5+7),"◆",""),IF(AND($D108&lt;AX$5+7,$E108&gt;AX$5),"■","")))</x:f>
      </x:c>
      <x:c r="AY108" s="7" t="str">
        <x:f>IF(OR($D108="",AY$5="",'상세일정'!AM108="제외"),"",IF($D108=$E108,IF(AND($D108&gt;=AY$5,$D108&lt;AY$5+7),"◆",""),IF(AND($D108&lt;AY$5+7,$E108&gt;AY$5),"■","")))</x:f>
      </x:c>
      <x:c r="AZ108" s="7" t="str">
        <x:f>IF(OR($D108="",AZ$5="",'상세일정'!AM108="제외"),"",IF($D108=$E108,IF(AND($D108&gt;=AZ$5,$D108&lt;AZ$5+7),"◆",""),IF(AND($D108&lt;AZ$5+7,$E108&gt;AZ$5),"■","")))</x:f>
      </x:c>
      <x:c r="BA108" s="7" t="str">
        <x:f>IF(OR($D108="",BA$5="",'상세일정'!AM108="제외"),"",IF($D108=$E108,IF(AND($D108&gt;=BA$5,$D108&lt;BA$5+7),"◆",""),IF(AND($D108&lt;BA$5+7,$E108&gt;BA$5),"■","")))</x:f>
      </x:c>
      <x:c r="BB108" s="7" t="str">
        <x:f>IF(OR($D108="",BB$5="",'상세일정'!AM108="제외"),"",IF($D108=$E108,IF(AND($D108&gt;=BB$5,$D108&lt;BB$5+7),"◆",""),IF(AND($D108&lt;BB$5+7,$E108&gt;BB$5),"■","")))</x:f>
      </x:c>
      <x:c r="BC108" s="7" t="str">
        <x:f>IF(OR($D108="",BC$5="",'상세일정'!AM108="제외"),"",IF($D108=$E108,IF(AND($D108&gt;=BC$5,$D108&lt;BC$5+7),"◆",""),IF(AND($D108&lt;BC$5+7,$E108&gt;BC$5),"■","")))</x:f>
      </x:c>
      <x:c r="BD108" s="7" t="str">
        <x:f>IF(OR($D108="",BD$5="",'상세일정'!AM108="제외"),"",IF($D108=$E108,IF(AND($D108&gt;=BD$5,$D108&lt;BD$5+7),"◆",""),IF(AND($D108&lt;BD$5+7,$E108&gt;BD$5),"■","")))</x:f>
      </x:c>
      <x:c r="BE108" s="7" t="str">
        <x:f>IF(OR($D108="",BE$5="",'상세일정'!AM108="제외"),"",IF($D108=$E108,IF(AND($D108&gt;=BE$5,$D108&lt;BE$5+7),"◆",""),IF(AND($D108&lt;BE$5+7,$E108&gt;BE$5),"■","")))</x:f>
      </x:c>
      <x:c r="BF108" s="7" t="str">
        <x:f>IF(OR($D108="",BF$5="",'상세일정'!AM108="제외"),"",IF($D108=$E108,IF(AND($D108&gt;=BF$5,$D108&lt;BF$5+7),"◆",""),IF(AND($D108&lt;BF$5+7,$E108&gt;BF$5),"■","")))</x:f>
      </x:c>
      <x:c r="BG108" s="7" t="str">
        <x:f>IF(OR($D108="",BG$5="",'상세일정'!AM108="제외"),"",IF($D108=$E108,IF(AND($D108&gt;=BG$5,$D108&lt;BG$5+7),"◆",""),IF(AND($D108&lt;BG$5+7,$E108&gt;BG$5),"■","")))</x:f>
      </x:c>
      <x:c r="BH108" s="7" t="str">
        <x:f>IF(OR($D108="",BH$5="",'상세일정'!AM108="제외"),"",IF($D108=$E108,IF(AND($D108&gt;=BH$5,$D108&lt;BH$5+7),"◆",""),IF(AND($D108&lt;BH$5+7,$E108&gt;BH$5),"■","")))</x:f>
      </x:c>
      <x:c r="BI108" s="7" t="str">
        <x:f>IF(OR($D108="",BI$5="",'상세일정'!AM108="제외"),"",IF($D108=$E108,IF(AND($D108&gt;=BI$5,$D108&lt;BI$5+7),"◆",""),IF(AND($D108&lt;BI$5+7,$E108&gt;BI$5),"■","")))</x:f>
      </x:c>
      <x:c r="BJ108" s="7" t="str">
        <x:f>IF(OR($D108="",BJ$5="",'상세일정'!AM108="제외"),"",IF($D108=$E108,IF(AND($D108&gt;=BJ$5,$D108&lt;BJ$5+7),"◆",""),IF(AND($D108&lt;BJ$5+7,$E108&gt;BJ$5),"■","")))</x:f>
      </x:c>
      <x:c r="BK108" s="7" t="str">
        <x:f>IF(OR($D108="",BK$5="",'상세일정'!AM108="제외"),"",IF($D108=$E108,IF(AND($D108&gt;=BK$5,$D108&lt;BK$5+7),"◆",""),IF(AND($D108&lt;BK$5+7,$E108&gt;BK$5),"■","")))</x:f>
      </x:c>
      <x:c r="BL108" s="7" t="str">
        <x:f>IF(OR($D108="",BL$5="",'상세일정'!AM108="제외"),"",IF($D108=$E108,IF(AND($D108&gt;=BL$5,$D108&lt;BL$5+7),"◆",""),IF(AND($D108&lt;BL$5+7,$E108&gt;BL$5),"■","")))</x:f>
      </x:c>
      <x:c r="BM108" s="7" t="str">
        <x:f>IF(OR($D108="",BM$5="",'상세일정'!AM108="제외"),"",IF($D108=$E108,IF(AND($D108&gt;=BM$5,$D108&lt;BM$5+7),"◆",""),IF(AND($D108&lt;BM$5+7,$E108&gt;BM$5),"■","")))</x:f>
      </x:c>
      <x:c r="BN108" s="7" t="str">
        <x:f>IF(OR($D108="",BN$5="",'상세일정'!AM108="제외"),"",IF($D108=$E108,IF(AND($D108&gt;=BN$5,$D108&lt;BN$5+7),"◆",""),IF(AND($D108&lt;BN$5+7,$E108&gt;BN$5),"■","")))</x:f>
      </x:c>
      <x:c r="BO108" s="7" t="str">
        <x:f>IF(OR($D108="",BO$5="",'상세일정'!AM108="제외"),"",IF($D108=$E108,IF(AND($D108&gt;=BO$5,$D108&lt;BO$5+7),"◆",""),IF(AND($D108&lt;BO$5+7,$E108&gt;BO$5),"■","")))</x:f>
      </x:c>
      <x:c r="BP108" s="7" t="str">
        <x:f>IF(OR($D108="",BP$5="",'상세일정'!AM108="제외"),"",IF($D108=$E108,IF(AND($D108&gt;=BP$5,$D108&lt;BP$5+7),"◆",""),IF(AND($D108&lt;BP$5+7,$E108&gt;BP$5),"■","")))</x:f>
      </x:c>
      <x:c r="BQ108" s="7" t="str">
        <x:f>IF(OR($D108="",BQ$5="",'상세일정'!AM108="제외"),"",IF($D108=$E108,IF(AND($D108&gt;=BQ$5,$D108&lt;BQ$5+7),"◆",""),IF(AND($D108&lt;BQ$5+7,$E108&gt;BQ$5),"■","")))</x:f>
      </x:c>
      <x:c r="BR108" s="7" t="str">
        <x:f>IF(OR($D108="",BR$5="",'상세일정'!AM108="제외"),"",IF($D108=$E108,IF(AND($D108&gt;=BR$5,$D108&lt;BR$5+7),"◆",""),IF(AND($D108&lt;BR$5+7,$E108&gt;BR$5),"■","")))</x:f>
      </x:c>
      <x:c r="BS108" s="7" t="str">
        <x:f>IF(OR($D108="",BS$5="",'상세일정'!AM108="제외"),"",IF($D108=$E108,IF(AND($D108&gt;=BS$5,$D108&lt;BS$5+7),"◆",""),IF(AND($D108&lt;BS$5+7,$E108&gt;BS$5),"■","")))</x:f>
      </x:c>
      <x:c r="BT108" s="7" t="str">
        <x:f>IF(OR($D108="",BT$5="",'상세일정'!AM108="제외"),"",IF($D108=$E108,IF(AND($D108&gt;=BT$5,$D108&lt;BT$5+7),"◆",""),IF(AND($D108&lt;BT$5+7,$E108&gt;BT$5),"■","")))</x:f>
      </x:c>
      <x:c r="BU108" s="7" t="str">
        <x:f>IF(OR($D108="",BU$5="",'상세일정'!AM108="제외"),"",IF($D108=$E108,IF(AND($D108&gt;=BU$5,$D108&lt;BU$5+7),"◆",""),IF(AND($D108&lt;BU$5+7,$E108&gt;BU$5),"■","")))</x:f>
      </x:c>
      <x:c r="BV108" s="7" t="str">
        <x:f>IF(OR($D108="",BV$5="",'상세일정'!AM108="제외"),"",IF($D108=$E108,IF(AND($D108&gt;=BV$5,$D108&lt;BV$5+7),"◆",""),IF(AND($D108&lt;BV$5+7,$E108&gt;BV$5),"■","")))</x:f>
      </x:c>
      <x:c r="BW108" s="7" t="str">
        <x:f>IF(OR($D108="",BW$5="",'상세일정'!AM108="제외"),"",IF($D108=$E108,IF(AND($D108&gt;=BW$5,$D108&lt;BW$5+7),"◆",""),IF(AND($D108&lt;BW$5+7,$E108&gt;BW$5),"■","")))</x:f>
      </x:c>
      <x:c r="BX108" s="7" t="str">
        <x:f>IF(OR($D108="",BX$5="",'상세일정'!AM108="제외"),"",IF($D108=$E108,IF(AND($D108&gt;=BX$5,$D108&lt;BX$5+7),"◆",""),IF(AND($D108&lt;BX$5+7,$E108&gt;BX$5),"■","")))</x:f>
      </x:c>
      <x:c r="BY108" s="7" t="str">
        <x:f>IF(OR($D108="",BY$5="",'상세일정'!AM108="제외"),"",IF($D108=$E108,IF(AND($D108&gt;=BY$5,$D108&lt;BY$5+7),"◆",""),IF(AND($D108&lt;BY$5+7,$E108&gt;BY$5),"■","")))</x:f>
      </x:c>
      <x:c r="BZ108" s="7" t="str">
        <x:f>IF(OR($D108="",BZ$5="",'상세일정'!AM108="제외"),"",IF($D108=$E108,IF(AND($D108&gt;=BZ$5,$D108&lt;BZ$5+7),"◆",""),IF(AND($D108&lt;BZ$5+7,$E108&gt;BZ$5),"■","")))</x:f>
      </x:c>
      <x:c r="CA108" s="7" t="str">
        <x:f>IF(OR($D108="",CA$5="",'상세일정'!AM108="제외"),"",IF($D108=$E108,IF(AND($D108&gt;=CA$5,$D108&lt;CA$5+7),"◆",""),IF(AND($D108&lt;CA$5+7,$E108&gt;CA$5),"■","")))</x:f>
      </x:c>
      <x:c r="CB108" s="7" t="str">
        <x:f>IF(OR($D108="",CB$5="",'상세일정'!AM108="제외"),"",IF($D108=$E108,IF(AND($D108&gt;=CB$5,$D108&lt;CB$5+7),"◆",""),IF(AND($D108&lt;CB$5+7,$E108&gt;CB$5),"■","")))</x:f>
      </x:c>
      <x:c r="CC108" s="7" t="str">
        <x:f>IF(OR($D108="",CC$5="",'상세일정'!AM108="제외"),"",IF($D108=$E108,IF(AND($D108&gt;=CC$5,$D108&lt;CC$5+7),"◆",""),IF(AND($D108&lt;CC$5+7,$E108&gt;CC$5),"■","")))</x:f>
      </x:c>
      <x:c r="CD108" s="7" t="str">
        <x:f>IF(OR($D108="",CD$5="",'상세일정'!AM108="제외"),"",IF($D108=$E108,IF(AND($D108&gt;=CD$5,$D108&lt;CD$5+7),"◆",""),IF(AND($D108&lt;CD$5+7,$E108&gt;CD$5),"■","")))</x:f>
      </x:c>
      <x:c r="CE108" s="7" t="str">
        <x:f>IF(OR($D108="",CE$5="",'상세일정'!AM108="제외"),"",IF($D108=$E108,IF(AND($D108&gt;=CE$5,$D108&lt;CE$5+7),"◆",""),IF(AND($D108&lt;CE$5+7,$E108&gt;CE$5),"■","")))</x:f>
      </x:c>
      <x:c r="CF108" s="7" t="str">
        <x:f>IF(OR($D108="",CF$5="",'상세일정'!AM108="제외"),"",IF($D108=$E108,IF(AND($D108&gt;=CF$5,$D108&lt;CF$5+7),"◆",""),IF(AND($D108&lt;CF$5+7,$E108&gt;CF$5),"■","")))</x:f>
      </x:c>
      <x:c r="CG108" s="7" t="str">
        <x:f>IF(OR($D108="",CG$5="",'상세일정'!AM108="제외"),"",IF($D108=$E108,IF(AND($D108&gt;=CG$5,$D108&lt;CG$5+7),"◆",""),IF(AND($D108&lt;CG$5+7,$E108&gt;CG$5),"■","")))</x:f>
      </x:c>
      <x:c r="CH108" s="7" t="str">
        <x:f>IF(OR($D108="",CH$5="",'상세일정'!AM108="제외"),"",IF($D108=$E108,IF(AND($D108&gt;=CH$5,$D108&lt;CH$5+7),"◆",""),IF(AND($D108&lt;CH$5+7,$E108&gt;CH$5),"■","")))</x:f>
      </x:c>
      <x:c r="CI108" s="7" t="str">
        <x:f>IF(OR($D108="",CI$5="",'상세일정'!AM108="제외"),"",IF($D108=$E108,IF(AND($D108&gt;=CI$5,$D108&lt;CI$5+7),"◆",""),IF(AND($D108&lt;CI$5+7,$E108&gt;CI$5),"■","")))</x:f>
      </x:c>
      <x:c r="CJ108" s="7" t="str">
        <x:f>IF(OR($D108="",CJ$5="",'상세일정'!AM108="제외"),"",IF($D108=$E108,IF(AND($D108&gt;=CJ$5,$D108&lt;CJ$5+7),"◆",""),IF(AND($D108&lt;CJ$5+7,$E108&gt;CJ$5),"■","")))</x:f>
      </x:c>
      <x:c r="CK108" s="7" t="str">
        <x:f>IF(OR($D108="",CK$5="",'상세일정'!AM108="제외"),"",IF($D108=$E108,IF(AND($D108&gt;=CK$5,$D108&lt;CK$5+7),"◆",""),IF(AND($D108&lt;CK$5+7,$E108&gt;CK$5),"■","")))</x:f>
      </x:c>
      <x:c r="CL108" s="7" t="str">
        <x:f>IF(OR($D108="",CL$5="",'상세일정'!AM108="제외"),"",IF($D108=$E108,IF(AND($D108&gt;=CL$5,$D108&lt;CL$5+7),"◆",""),IF(AND($D108&lt;CL$5+7,$E108&gt;CL$5),"■","")))</x:f>
      </x:c>
      <x:c r="CM108" s="7" t="str">
        <x:f>IF(OR($D108="",CM$5="",'상세일정'!AM108="제외"),"",IF($D108=$E108,IF(AND($D108&gt;=CM$5,$D108&lt;CM$5+7),"◆",""),IF(AND($D108&lt;CM$5+7,$E108&gt;CM$5),"■","")))</x:f>
      </x:c>
      <x:c r="CN108" s="7" t="str">
        <x:f>IF(OR($D108="",CN$5="",'상세일정'!AM108="제외"),"",IF($D108=$E108,IF(AND($D108&gt;=CN$5,$D108&lt;CN$5+7),"◆",""),IF(AND($D108&lt;CN$5+7,$E108&gt;CN$5),"■","")))</x:f>
      </x:c>
      <x:c r="CO108" s="7" t="str">
        <x:f>IF(OR($D108="",CO$5="",'상세일정'!AM108="제외"),"",IF($D108=$E108,IF(AND($D108&gt;=CO$5,$D108&lt;CO$5+7),"◆",""),IF(AND($D108&lt;CO$5+7,$E108&gt;CO$5),"■","")))</x:f>
      </x:c>
      <x:c r="CP108" s="7" t="str">
        <x:f>IF(OR($D108="",CP$5="",'상세일정'!AM108="제외"),"",IF($D108=$E108,IF(AND($D108&gt;=CP$5,$D108&lt;CP$5+7),"◆",""),IF(AND($D108&lt;CP$5+7,$E108&gt;CP$5),"■","")))</x:f>
      </x:c>
      <x:c r="CQ108" s="7" t="str">
        <x:f>IF(OR($D108="",CQ$5="",'상세일정'!AM108="제외"),"",IF($D108=$E108,IF(AND($D108&gt;=CQ$5,$D108&lt;CQ$5+7),"◆",""),IF(AND($D108&lt;CQ$5+7,$E108&gt;CQ$5),"■","")))</x:f>
      </x:c>
      <x:c r="CR108" s="7" t="str">
        <x:f>IF(OR($D108="",CR$5="",'상세일정'!AM108="제외"),"",IF($D108=$E108,IF(AND($D108&gt;=CR$5,$D108&lt;CR$5+7),"◆",""),IF(AND($D108&lt;CR$5+7,$E108&gt;CR$5),"■","")))</x:f>
      </x:c>
      <x:c r="CS108" s="7" t="str">
        <x:f>IF(OR($D108="",CS$5="",'상세일정'!AM108="제외"),"",IF($D108=$E108,IF(AND($D108&gt;=CS$5,$D108&lt;CS$5+7),"◆",""),IF(AND($D108&lt;CS$5+7,$E108&gt;CS$5),"■","")))</x:f>
      </x:c>
      <x:c r="CT108" s="7" t="str">
        <x:f>IF(OR($D108="",CT$5="",'상세일정'!AM108="제외"),"",IF($D108=$E108,IF(AND($D108&gt;=CT$5,$D108&lt;CT$5+7),"◆",""),IF(AND($D108&lt;CT$5+7,$E108&gt;CT$5),"■","")))</x:f>
      </x:c>
      <x:c r="CU108" s="7" t="str">
        <x:f>IF(OR($D108="",CU$5="",'상세일정'!AM108="제외"),"",IF($D108=$E108,IF(AND($D108&gt;=CU$5,$D108&lt;CU$5+7),"◆",""),IF(AND($D108&lt;CU$5+7,$E108&gt;CU$5),"■","")))</x:f>
      </x:c>
      <x:c r="CV108" s="7" t="str">
        <x:f>IF(OR($D108="",CV$5="",'상세일정'!AM108="제외"),"",IF($D108=$E108,IF(AND($D108&gt;=CV$5,$D108&lt;CV$5+7),"◆",""),IF(AND($D108&lt;CV$5+7,$E108&gt;CV$5),"■","")))</x:f>
      </x:c>
      <x:c r="CW108" s="7" t="str">
        <x:f>IF(OR($D108="",CW$5="",'상세일정'!AM108="제외"),"",IF($D108=$E108,IF(AND($D108&gt;=CW$5,$D108&lt;CW$5+7),"◆",""),IF(AND($D108&lt;CW$5+7,$E108&gt;CW$5),"■","")))</x:f>
      </x:c>
      <x:c r="CX108" s="7" t="str">
        <x:f>IF(OR($D108="",CX$5="",'상세일정'!AM108="제외"),"",IF($D108=$E108,IF(AND($D108&gt;=CX$5,$D108&lt;CX$5+7),"◆",""),IF(AND($D108&lt;CX$5+7,$E108&gt;CX$5),"■","")))</x:f>
      </x:c>
      <x:c r="CY108" s="7" t="str">
        <x:f>IF(OR($D108="",CY$5="",'상세일정'!AM108="제외"),"",IF($D108=$E108,IF(AND($D108&gt;=CY$5,$D108&lt;CY$5+7),"◆",""),IF(AND($D108&lt;CY$5+7,$E108&gt;CY$5),"■","")))</x:f>
      </x:c>
      <x:c r="CZ108" s="7" t="str">
        <x:f>IF(OR($D108="",CZ$5="",'상세일정'!AM108="제외"),"",IF($D108=$E108,IF(AND($D108&gt;=CZ$5,$D108&lt;CZ$5+7),"◆",""),IF(AND($D108&lt;CZ$5+7,$E108&gt;CZ$5),"■","")))</x:f>
      </x:c>
      <x:c r="DA108" s="7" t="str">
        <x:f>IF(OR($D108="",DA$5="",'상세일정'!AM108="제외"),"",IF($D108=$E108,IF(AND($D108&gt;=DA$5,$D108&lt;DA$5+7),"◆",""),IF(AND($D108&lt;DA$5+7,$E108&gt;DA$5),"■","")))</x:f>
      </x:c>
      <x:c r="DB108" s="7" t="str">
        <x:f>IF(OR($D108="",DB$5="",'상세일정'!AM108="제외"),"",IF($D108=$E108,IF(AND($D108&gt;=DB$5,$D108&lt;DB$5+7),"◆",""),IF(AND($D108&lt;DB$5+7,$E108&gt;DB$5),"■","")))</x:f>
      </x:c>
      <x:c r="DC108" s="7" t="str">
        <x:f>IF(OR($D108="",DC$5="",'상세일정'!AM108="제외"),"",IF($D108=$E108,IF(AND($D108&gt;=DC$5,$D108&lt;DC$5+7),"◆",""),IF(AND($D108&lt;DC$5+7,$E108&gt;DC$5),"■","")))</x:f>
      </x:c>
      <x:c r="DD108" s="7" t="str">
        <x:f>IF(OR($D108="",DD$5="",'상세일정'!AM108="제외"),"",IF($D108=$E108,IF(AND($D108&gt;=DD$5,$D108&lt;DD$5+7),"◆",""),IF(AND($D108&lt;DD$5+7,$E108&gt;DD$5),"■","")))</x:f>
      </x:c>
      <x:c r="DE108" s="7" t="str">
        <x:f>IF(OR($D108="",DE$5="",'상세일정'!AM108="제외"),"",IF($D108=$E108,IF(AND($D108&gt;=DE$5,$D108&lt;DE$5+7),"◆",""),IF(AND($D108&lt;DE$5+7,$E108&gt;DE$5),"■","")))</x:f>
      </x:c>
    </x:row>
    <x:row r="109" ht="34" customHeight="1">
      <x:c r="A109" s="7" t="str">
        <x:v>PR02</x:v>
      </x:c>
      <x:c r="B109" s="7" t="str">
        <x:v>16 기자재 구매·제작</x:v>
      </x:c>
      <x:c r="C109" s="7" t="str">
        <x:v>주공정 패키지 A 견적/TBE·계약조건·납기 합의</x:v>
      </x:c>
      <x:c r="D109" s="10" t="str">
        <x:f>'상세일정'!AJ109</x:f>
      </x:c>
      <x:c r="E109" s="10" t="str">
        <x:f>'상세일정'!AK109</x:f>
      </x:c>
      <x:c r="F109" s="7" t="str">
        <x:f>IF(OR($D109="",F$5="",'상세일정'!AM109="제외"),"",IF($D109=$E109,IF(AND($D109&gt;=F$5,$D109&lt;F$5+7),"◆",""),IF(AND($D109&lt;F$5+7,$E109&gt;F$5),"■","")))</x:f>
      </x:c>
      <x:c r="G109" s="7" t="str">
        <x:f>IF(OR($D109="",G$5="",'상세일정'!AM109="제외"),"",IF($D109=$E109,IF(AND($D109&gt;=G$5,$D109&lt;G$5+7),"◆",""),IF(AND($D109&lt;G$5+7,$E109&gt;G$5),"■","")))</x:f>
      </x:c>
      <x:c r="H109" s="7" t="str">
        <x:f>IF(OR($D109="",H$5="",'상세일정'!AM109="제외"),"",IF($D109=$E109,IF(AND($D109&gt;=H$5,$D109&lt;H$5+7),"◆",""),IF(AND($D109&lt;H$5+7,$E109&gt;H$5),"■","")))</x:f>
      </x:c>
      <x:c r="I109" s="7" t="str">
        <x:f>IF(OR($D109="",I$5="",'상세일정'!AM109="제외"),"",IF($D109=$E109,IF(AND($D109&gt;=I$5,$D109&lt;I$5+7),"◆",""),IF(AND($D109&lt;I$5+7,$E109&gt;I$5),"■","")))</x:f>
      </x:c>
      <x:c r="J109" s="7" t="str">
        <x:f>IF(OR($D109="",J$5="",'상세일정'!AM109="제외"),"",IF($D109=$E109,IF(AND($D109&gt;=J$5,$D109&lt;J$5+7),"◆",""),IF(AND($D109&lt;J$5+7,$E109&gt;J$5),"■","")))</x:f>
      </x:c>
      <x:c r="K109" s="7" t="str">
        <x:f>IF(OR($D109="",K$5="",'상세일정'!AM109="제외"),"",IF($D109=$E109,IF(AND($D109&gt;=K$5,$D109&lt;K$5+7),"◆",""),IF(AND($D109&lt;K$5+7,$E109&gt;K$5),"■","")))</x:f>
      </x:c>
      <x:c r="L109" s="7" t="str">
        <x:f>IF(OR($D109="",L$5="",'상세일정'!AM109="제외"),"",IF($D109=$E109,IF(AND($D109&gt;=L$5,$D109&lt;L$5+7),"◆",""),IF(AND($D109&lt;L$5+7,$E109&gt;L$5),"■","")))</x:f>
      </x:c>
      <x:c r="M109" s="7" t="str">
        <x:f>IF(OR($D109="",M$5="",'상세일정'!AM109="제외"),"",IF($D109=$E109,IF(AND($D109&gt;=M$5,$D109&lt;M$5+7),"◆",""),IF(AND($D109&lt;M$5+7,$E109&gt;M$5),"■","")))</x:f>
      </x:c>
      <x:c r="N109" s="7" t="str">
        <x:f>IF(OR($D109="",N$5="",'상세일정'!AM109="제외"),"",IF($D109=$E109,IF(AND($D109&gt;=N$5,$D109&lt;N$5+7),"◆",""),IF(AND($D109&lt;N$5+7,$E109&gt;N$5),"■","")))</x:f>
      </x:c>
      <x:c r="O109" s="7" t="str">
        <x:f>IF(OR($D109="",O$5="",'상세일정'!AM109="제외"),"",IF($D109=$E109,IF(AND($D109&gt;=O$5,$D109&lt;O$5+7),"◆",""),IF(AND($D109&lt;O$5+7,$E109&gt;O$5),"■","")))</x:f>
      </x:c>
      <x:c r="P109" s="7" t="str">
        <x:f>IF(OR($D109="",P$5="",'상세일정'!AM109="제외"),"",IF($D109=$E109,IF(AND($D109&gt;=P$5,$D109&lt;P$5+7),"◆",""),IF(AND($D109&lt;P$5+7,$E109&gt;P$5),"■","")))</x:f>
      </x:c>
      <x:c r="Q109" s="7" t="str">
        <x:f>IF(OR($D109="",Q$5="",'상세일정'!AM109="제외"),"",IF($D109=$E109,IF(AND($D109&gt;=Q$5,$D109&lt;Q$5+7),"◆",""),IF(AND($D109&lt;Q$5+7,$E109&gt;Q$5),"■","")))</x:f>
      </x:c>
      <x:c r="R109" s="7" t="str">
        <x:f>IF(OR($D109="",R$5="",'상세일정'!AM109="제외"),"",IF($D109=$E109,IF(AND($D109&gt;=R$5,$D109&lt;R$5+7),"◆",""),IF(AND($D109&lt;R$5+7,$E109&gt;R$5),"■","")))</x:f>
      </x:c>
      <x:c r="S109" s="7" t="str">
        <x:f>IF(OR($D109="",S$5="",'상세일정'!AM109="제외"),"",IF($D109=$E109,IF(AND($D109&gt;=S$5,$D109&lt;S$5+7),"◆",""),IF(AND($D109&lt;S$5+7,$E109&gt;S$5),"■","")))</x:f>
      </x:c>
      <x:c r="T109" s="7" t="str">
        <x:f>IF(OR($D109="",T$5="",'상세일정'!AM109="제외"),"",IF($D109=$E109,IF(AND($D109&gt;=T$5,$D109&lt;T$5+7),"◆",""),IF(AND($D109&lt;T$5+7,$E109&gt;T$5),"■","")))</x:f>
      </x:c>
      <x:c r="U109" s="7" t="str">
        <x:f>IF(OR($D109="",U$5="",'상세일정'!AM109="제외"),"",IF($D109=$E109,IF(AND($D109&gt;=U$5,$D109&lt;U$5+7),"◆",""),IF(AND($D109&lt;U$5+7,$E109&gt;U$5),"■","")))</x:f>
      </x:c>
      <x:c r="V109" s="7" t="str">
        <x:f>IF(OR($D109="",V$5="",'상세일정'!AM109="제외"),"",IF($D109=$E109,IF(AND($D109&gt;=V$5,$D109&lt;V$5+7),"◆",""),IF(AND($D109&lt;V$5+7,$E109&gt;V$5),"■","")))</x:f>
      </x:c>
      <x:c r="W109" s="7" t="str">
        <x:f>IF(OR($D109="",W$5="",'상세일정'!AM109="제외"),"",IF($D109=$E109,IF(AND($D109&gt;=W$5,$D109&lt;W$5+7),"◆",""),IF(AND($D109&lt;W$5+7,$E109&gt;W$5),"■","")))</x:f>
      </x:c>
      <x:c r="X109" s="7" t="str">
        <x:f>IF(OR($D109="",X$5="",'상세일정'!AM109="제외"),"",IF($D109=$E109,IF(AND($D109&gt;=X$5,$D109&lt;X$5+7),"◆",""),IF(AND($D109&lt;X$5+7,$E109&gt;X$5),"■","")))</x:f>
      </x:c>
      <x:c r="Y109" s="7" t="str">
        <x:f>IF(OR($D109="",Y$5="",'상세일정'!AM109="제외"),"",IF($D109=$E109,IF(AND($D109&gt;=Y$5,$D109&lt;Y$5+7),"◆",""),IF(AND($D109&lt;Y$5+7,$E109&gt;Y$5),"■","")))</x:f>
      </x:c>
      <x:c r="Z109" s="7" t="str">
        <x:f>IF(OR($D109="",Z$5="",'상세일정'!AM109="제외"),"",IF($D109=$E109,IF(AND($D109&gt;=Z$5,$D109&lt;Z$5+7),"◆",""),IF(AND($D109&lt;Z$5+7,$E109&gt;Z$5),"■","")))</x:f>
      </x:c>
      <x:c r="AA109" s="7" t="str">
        <x:f>IF(OR($D109="",AA$5="",'상세일정'!AM109="제외"),"",IF($D109=$E109,IF(AND($D109&gt;=AA$5,$D109&lt;AA$5+7),"◆",""),IF(AND($D109&lt;AA$5+7,$E109&gt;AA$5),"■","")))</x:f>
      </x:c>
      <x:c r="AB109" s="7" t="str">
        <x:f>IF(OR($D109="",AB$5="",'상세일정'!AM109="제외"),"",IF($D109=$E109,IF(AND($D109&gt;=AB$5,$D109&lt;AB$5+7),"◆",""),IF(AND($D109&lt;AB$5+7,$E109&gt;AB$5),"■","")))</x:f>
      </x:c>
      <x:c r="AC109" s="7" t="str">
        <x:f>IF(OR($D109="",AC$5="",'상세일정'!AM109="제외"),"",IF($D109=$E109,IF(AND($D109&gt;=AC$5,$D109&lt;AC$5+7),"◆",""),IF(AND($D109&lt;AC$5+7,$E109&gt;AC$5),"■","")))</x:f>
      </x:c>
      <x:c r="AD109" s="7" t="str">
        <x:f>IF(OR($D109="",AD$5="",'상세일정'!AM109="제외"),"",IF($D109=$E109,IF(AND($D109&gt;=AD$5,$D109&lt;AD$5+7),"◆",""),IF(AND($D109&lt;AD$5+7,$E109&gt;AD$5),"■","")))</x:f>
      </x:c>
      <x:c r="AE109" s="7" t="str">
        <x:f>IF(OR($D109="",AE$5="",'상세일정'!AM109="제외"),"",IF($D109=$E109,IF(AND($D109&gt;=AE$5,$D109&lt;AE$5+7),"◆",""),IF(AND($D109&lt;AE$5+7,$E109&gt;AE$5),"■","")))</x:f>
      </x:c>
      <x:c r="AF109" s="7" t="str">
        <x:f>IF(OR($D109="",AF$5="",'상세일정'!AM109="제외"),"",IF($D109=$E109,IF(AND($D109&gt;=AF$5,$D109&lt;AF$5+7),"◆",""),IF(AND($D109&lt;AF$5+7,$E109&gt;AF$5),"■","")))</x:f>
      </x:c>
      <x:c r="AG109" s="7" t="str">
        <x:f>IF(OR($D109="",AG$5="",'상세일정'!AM109="제외"),"",IF($D109=$E109,IF(AND($D109&gt;=AG$5,$D109&lt;AG$5+7),"◆",""),IF(AND($D109&lt;AG$5+7,$E109&gt;AG$5),"■","")))</x:f>
      </x:c>
      <x:c r="AH109" s="7" t="str">
        <x:f>IF(OR($D109="",AH$5="",'상세일정'!AM109="제외"),"",IF($D109=$E109,IF(AND($D109&gt;=AH$5,$D109&lt;AH$5+7),"◆",""),IF(AND($D109&lt;AH$5+7,$E109&gt;AH$5),"■","")))</x:f>
      </x:c>
      <x:c r="AI109" s="7" t="str">
        <x:f>IF(OR($D109="",AI$5="",'상세일정'!AM109="제외"),"",IF($D109=$E109,IF(AND($D109&gt;=AI$5,$D109&lt;AI$5+7),"◆",""),IF(AND($D109&lt;AI$5+7,$E109&gt;AI$5),"■","")))</x:f>
      </x:c>
      <x:c r="AJ109" s="7" t="str">
        <x:f>IF(OR($D109="",AJ$5="",'상세일정'!AM109="제외"),"",IF($D109=$E109,IF(AND($D109&gt;=AJ$5,$D109&lt;AJ$5+7),"◆",""),IF(AND($D109&lt;AJ$5+7,$E109&gt;AJ$5),"■","")))</x:f>
      </x:c>
      <x:c r="AK109" s="7" t="str">
        <x:f>IF(OR($D109="",AK$5="",'상세일정'!AM109="제외"),"",IF($D109=$E109,IF(AND($D109&gt;=AK$5,$D109&lt;AK$5+7),"◆",""),IF(AND($D109&lt;AK$5+7,$E109&gt;AK$5),"■","")))</x:f>
      </x:c>
      <x:c r="AL109" s="7" t="str">
        <x:f>IF(OR($D109="",AL$5="",'상세일정'!AM109="제외"),"",IF($D109=$E109,IF(AND($D109&gt;=AL$5,$D109&lt;AL$5+7),"◆",""),IF(AND($D109&lt;AL$5+7,$E109&gt;AL$5),"■","")))</x:f>
      </x:c>
      <x:c r="AM109" s="7" t="str">
        <x:f>IF(OR($D109="",AM$5="",'상세일정'!AM109="제외"),"",IF($D109=$E109,IF(AND($D109&gt;=AM$5,$D109&lt;AM$5+7),"◆",""),IF(AND($D109&lt;AM$5+7,$E109&gt;AM$5),"■","")))</x:f>
      </x:c>
      <x:c r="AN109" s="7" t="str">
        <x:f>IF(OR($D109="",AN$5="",'상세일정'!AM109="제외"),"",IF($D109=$E109,IF(AND($D109&gt;=AN$5,$D109&lt;AN$5+7),"◆",""),IF(AND($D109&lt;AN$5+7,$E109&gt;AN$5),"■","")))</x:f>
      </x:c>
      <x:c r="AO109" s="7" t="str">
        <x:f>IF(OR($D109="",AO$5="",'상세일정'!AM109="제외"),"",IF($D109=$E109,IF(AND($D109&gt;=AO$5,$D109&lt;AO$5+7),"◆",""),IF(AND($D109&lt;AO$5+7,$E109&gt;AO$5),"■","")))</x:f>
      </x:c>
      <x:c r="AP109" s="7" t="str">
        <x:f>IF(OR($D109="",AP$5="",'상세일정'!AM109="제외"),"",IF($D109=$E109,IF(AND($D109&gt;=AP$5,$D109&lt;AP$5+7),"◆",""),IF(AND($D109&lt;AP$5+7,$E109&gt;AP$5),"■","")))</x:f>
      </x:c>
      <x:c r="AQ109" s="7" t="str">
        <x:f>IF(OR($D109="",AQ$5="",'상세일정'!AM109="제외"),"",IF($D109=$E109,IF(AND($D109&gt;=AQ$5,$D109&lt;AQ$5+7),"◆",""),IF(AND($D109&lt;AQ$5+7,$E109&gt;AQ$5),"■","")))</x:f>
      </x:c>
      <x:c r="AR109" s="7" t="str">
        <x:f>IF(OR($D109="",AR$5="",'상세일정'!AM109="제외"),"",IF($D109=$E109,IF(AND($D109&gt;=AR$5,$D109&lt;AR$5+7),"◆",""),IF(AND($D109&lt;AR$5+7,$E109&gt;AR$5),"■","")))</x:f>
      </x:c>
      <x:c r="AS109" s="7" t="str">
        <x:f>IF(OR($D109="",AS$5="",'상세일정'!AM109="제외"),"",IF($D109=$E109,IF(AND($D109&gt;=AS$5,$D109&lt;AS$5+7),"◆",""),IF(AND($D109&lt;AS$5+7,$E109&gt;AS$5),"■","")))</x:f>
      </x:c>
      <x:c r="AT109" s="7" t="str">
        <x:f>IF(OR($D109="",AT$5="",'상세일정'!AM109="제외"),"",IF($D109=$E109,IF(AND($D109&gt;=AT$5,$D109&lt;AT$5+7),"◆",""),IF(AND($D109&lt;AT$5+7,$E109&gt;AT$5),"■","")))</x:f>
      </x:c>
      <x:c r="AU109" s="7" t="str">
        <x:f>IF(OR($D109="",AU$5="",'상세일정'!AM109="제외"),"",IF($D109=$E109,IF(AND($D109&gt;=AU$5,$D109&lt;AU$5+7),"◆",""),IF(AND($D109&lt;AU$5+7,$E109&gt;AU$5),"■","")))</x:f>
      </x:c>
      <x:c r="AV109" s="7" t="str">
        <x:f>IF(OR($D109="",AV$5="",'상세일정'!AM109="제외"),"",IF($D109=$E109,IF(AND($D109&gt;=AV$5,$D109&lt;AV$5+7),"◆",""),IF(AND($D109&lt;AV$5+7,$E109&gt;AV$5),"■","")))</x:f>
      </x:c>
      <x:c r="AW109" s="7" t="str">
        <x:f>IF(OR($D109="",AW$5="",'상세일정'!AM109="제외"),"",IF($D109=$E109,IF(AND($D109&gt;=AW$5,$D109&lt;AW$5+7),"◆",""),IF(AND($D109&lt;AW$5+7,$E109&gt;AW$5),"■","")))</x:f>
      </x:c>
      <x:c r="AX109" s="7" t="str">
        <x:f>IF(OR($D109="",AX$5="",'상세일정'!AM109="제외"),"",IF($D109=$E109,IF(AND($D109&gt;=AX$5,$D109&lt;AX$5+7),"◆",""),IF(AND($D109&lt;AX$5+7,$E109&gt;AX$5),"■","")))</x:f>
      </x:c>
      <x:c r="AY109" s="7" t="str">
        <x:f>IF(OR($D109="",AY$5="",'상세일정'!AM109="제외"),"",IF($D109=$E109,IF(AND($D109&gt;=AY$5,$D109&lt;AY$5+7),"◆",""),IF(AND($D109&lt;AY$5+7,$E109&gt;AY$5),"■","")))</x:f>
      </x:c>
      <x:c r="AZ109" s="7" t="str">
        <x:f>IF(OR($D109="",AZ$5="",'상세일정'!AM109="제외"),"",IF($D109=$E109,IF(AND($D109&gt;=AZ$5,$D109&lt;AZ$5+7),"◆",""),IF(AND($D109&lt;AZ$5+7,$E109&gt;AZ$5),"■","")))</x:f>
      </x:c>
      <x:c r="BA109" s="7" t="str">
        <x:f>IF(OR($D109="",BA$5="",'상세일정'!AM109="제외"),"",IF($D109=$E109,IF(AND($D109&gt;=BA$5,$D109&lt;BA$5+7),"◆",""),IF(AND($D109&lt;BA$5+7,$E109&gt;BA$5),"■","")))</x:f>
      </x:c>
      <x:c r="BB109" s="7" t="str">
        <x:f>IF(OR($D109="",BB$5="",'상세일정'!AM109="제외"),"",IF($D109=$E109,IF(AND($D109&gt;=BB$5,$D109&lt;BB$5+7),"◆",""),IF(AND($D109&lt;BB$5+7,$E109&gt;BB$5),"■","")))</x:f>
      </x:c>
      <x:c r="BC109" s="7" t="str">
        <x:f>IF(OR($D109="",BC$5="",'상세일정'!AM109="제외"),"",IF($D109=$E109,IF(AND($D109&gt;=BC$5,$D109&lt;BC$5+7),"◆",""),IF(AND($D109&lt;BC$5+7,$E109&gt;BC$5),"■","")))</x:f>
      </x:c>
      <x:c r="BD109" s="7" t="str">
        <x:f>IF(OR($D109="",BD$5="",'상세일정'!AM109="제외"),"",IF($D109=$E109,IF(AND($D109&gt;=BD$5,$D109&lt;BD$5+7),"◆",""),IF(AND($D109&lt;BD$5+7,$E109&gt;BD$5),"■","")))</x:f>
      </x:c>
      <x:c r="BE109" s="7" t="str">
        <x:f>IF(OR($D109="",BE$5="",'상세일정'!AM109="제외"),"",IF($D109=$E109,IF(AND($D109&gt;=BE$5,$D109&lt;BE$5+7),"◆",""),IF(AND($D109&lt;BE$5+7,$E109&gt;BE$5),"■","")))</x:f>
      </x:c>
      <x:c r="BF109" s="7" t="str">
        <x:f>IF(OR($D109="",BF$5="",'상세일정'!AM109="제외"),"",IF($D109=$E109,IF(AND($D109&gt;=BF$5,$D109&lt;BF$5+7),"◆",""),IF(AND($D109&lt;BF$5+7,$E109&gt;BF$5),"■","")))</x:f>
      </x:c>
      <x:c r="BG109" s="7" t="str">
        <x:f>IF(OR($D109="",BG$5="",'상세일정'!AM109="제외"),"",IF($D109=$E109,IF(AND($D109&gt;=BG$5,$D109&lt;BG$5+7),"◆",""),IF(AND($D109&lt;BG$5+7,$E109&gt;BG$5),"■","")))</x:f>
      </x:c>
      <x:c r="BH109" s="7" t="str">
        <x:f>IF(OR($D109="",BH$5="",'상세일정'!AM109="제외"),"",IF($D109=$E109,IF(AND($D109&gt;=BH$5,$D109&lt;BH$5+7),"◆",""),IF(AND($D109&lt;BH$5+7,$E109&gt;BH$5),"■","")))</x:f>
      </x:c>
      <x:c r="BI109" s="7" t="str">
        <x:f>IF(OR($D109="",BI$5="",'상세일정'!AM109="제외"),"",IF($D109=$E109,IF(AND($D109&gt;=BI$5,$D109&lt;BI$5+7),"◆",""),IF(AND($D109&lt;BI$5+7,$E109&gt;BI$5),"■","")))</x:f>
      </x:c>
      <x:c r="BJ109" s="7" t="str">
        <x:f>IF(OR($D109="",BJ$5="",'상세일정'!AM109="제외"),"",IF($D109=$E109,IF(AND($D109&gt;=BJ$5,$D109&lt;BJ$5+7),"◆",""),IF(AND($D109&lt;BJ$5+7,$E109&gt;BJ$5),"■","")))</x:f>
      </x:c>
      <x:c r="BK109" s="7" t="str">
        <x:f>IF(OR($D109="",BK$5="",'상세일정'!AM109="제외"),"",IF($D109=$E109,IF(AND($D109&gt;=BK$5,$D109&lt;BK$5+7),"◆",""),IF(AND($D109&lt;BK$5+7,$E109&gt;BK$5),"■","")))</x:f>
      </x:c>
      <x:c r="BL109" s="7" t="str">
        <x:f>IF(OR($D109="",BL$5="",'상세일정'!AM109="제외"),"",IF($D109=$E109,IF(AND($D109&gt;=BL$5,$D109&lt;BL$5+7),"◆",""),IF(AND($D109&lt;BL$5+7,$E109&gt;BL$5),"■","")))</x:f>
      </x:c>
      <x:c r="BM109" s="7" t="str">
        <x:f>IF(OR($D109="",BM$5="",'상세일정'!AM109="제외"),"",IF($D109=$E109,IF(AND($D109&gt;=BM$5,$D109&lt;BM$5+7),"◆",""),IF(AND($D109&lt;BM$5+7,$E109&gt;BM$5),"■","")))</x:f>
      </x:c>
      <x:c r="BN109" s="7" t="str">
        <x:f>IF(OR($D109="",BN$5="",'상세일정'!AM109="제외"),"",IF($D109=$E109,IF(AND($D109&gt;=BN$5,$D109&lt;BN$5+7),"◆",""),IF(AND($D109&lt;BN$5+7,$E109&gt;BN$5),"■","")))</x:f>
      </x:c>
      <x:c r="BO109" s="7" t="str">
        <x:f>IF(OR($D109="",BO$5="",'상세일정'!AM109="제외"),"",IF($D109=$E109,IF(AND($D109&gt;=BO$5,$D109&lt;BO$5+7),"◆",""),IF(AND($D109&lt;BO$5+7,$E109&gt;BO$5),"■","")))</x:f>
      </x:c>
      <x:c r="BP109" s="7" t="str">
        <x:f>IF(OR($D109="",BP$5="",'상세일정'!AM109="제외"),"",IF($D109=$E109,IF(AND($D109&gt;=BP$5,$D109&lt;BP$5+7),"◆",""),IF(AND($D109&lt;BP$5+7,$E109&gt;BP$5),"■","")))</x:f>
      </x:c>
      <x:c r="BQ109" s="7" t="str">
        <x:f>IF(OR($D109="",BQ$5="",'상세일정'!AM109="제외"),"",IF($D109=$E109,IF(AND($D109&gt;=BQ$5,$D109&lt;BQ$5+7),"◆",""),IF(AND($D109&lt;BQ$5+7,$E109&gt;BQ$5),"■","")))</x:f>
      </x:c>
      <x:c r="BR109" s="7" t="str">
        <x:f>IF(OR($D109="",BR$5="",'상세일정'!AM109="제외"),"",IF($D109=$E109,IF(AND($D109&gt;=BR$5,$D109&lt;BR$5+7),"◆",""),IF(AND($D109&lt;BR$5+7,$E109&gt;BR$5),"■","")))</x:f>
      </x:c>
      <x:c r="BS109" s="7" t="str">
        <x:f>IF(OR($D109="",BS$5="",'상세일정'!AM109="제외"),"",IF($D109=$E109,IF(AND($D109&gt;=BS$5,$D109&lt;BS$5+7),"◆",""),IF(AND($D109&lt;BS$5+7,$E109&gt;BS$5),"■","")))</x:f>
      </x:c>
      <x:c r="BT109" s="7" t="str">
        <x:f>IF(OR($D109="",BT$5="",'상세일정'!AM109="제외"),"",IF($D109=$E109,IF(AND($D109&gt;=BT$5,$D109&lt;BT$5+7),"◆",""),IF(AND($D109&lt;BT$5+7,$E109&gt;BT$5),"■","")))</x:f>
      </x:c>
      <x:c r="BU109" s="7" t="str">
        <x:f>IF(OR($D109="",BU$5="",'상세일정'!AM109="제외"),"",IF($D109=$E109,IF(AND($D109&gt;=BU$5,$D109&lt;BU$5+7),"◆",""),IF(AND($D109&lt;BU$5+7,$E109&gt;BU$5),"■","")))</x:f>
      </x:c>
      <x:c r="BV109" s="7" t="str">
        <x:f>IF(OR($D109="",BV$5="",'상세일정'!AM109="제외"),"",IF($D109=$E109,IF(AND($D109&gt;=BV$5,$D109&lt;BV$5+7),"◆",""),IF(AND($D109&lt;BV$5+7,$E109&gt;BV$5),"■","")))</x:f>
      </x:c>
      <x:c r="BW109" s="7" t="str">
        <x:f>IF(OR($D109="",BW$5="",'상세일정'!AM109="제외"),"",IF($D109=$E109,IF(AND($D109&gt;=BW$5,$D109&lt;BW$5+7),"◆",""),IF(AND($D109&lt;BW$5+7,$E109&gt;BW$5),"■","")))</x:f>
      </x:c>
      <x:c r="BX109" s="7" t="str">
        <x:f>IF(OR($D109="",BX$5="",'상세일정'!AM109="제외"),"",IF($D109=$E109,IF(AND($D109&gt;=BX$5,$D109&lt;BX$5+7),"◆",""),IF(AND($D109&lt;BX$5+7,$E109&gt;BX$5),"■","")))</x:f>
      </x:c>
      <x:c r="BY109" s="7" t="str">
        <x:f>IF(OR($D109="",BY$5="",'상세일정'!AM109="제외"),"",IF($D109=$E109,IF(AND($D109&gt;=BY$5,$D109&lt;BY$5+7),"◆",""),IF(AND($D109&lt;BY$5+7,$E109&gt;BY$5),"■","")))</x:f>
      </x:c>
      <x:c r="BZ109" s="7" t="str">
        <x:f>IF(OR($D109="",BZ$5="",'상세일정'!AM109="제외"),"",IF($D109=$E109,IF(AND($D109&gt;=BZ$5,$D109&lt;BZ$5+7),"◆",""),IF(AND($D109&lt;BZ$5+7,$E109&gt;BZ$5),"■","")))</x:f>
      </x:c>
      <x:c r="CA109" s="7" t="str">
        <x:f>IF(OR($D109="",CA$5="",'상세일정'!AM109="제외"),"",IF($D109=$E109,IF(AND($D109&gt;=CA$5,$D109&lt;CA$5+7),"◆",""),IF(AND($D109&lt;CA$5+7,$E109&gt;CA$5),"■","")))</x:f>
      </x:c>
      <x:c r="CB109" s="7" t="str">
        <x:f>IF(OR($D109="",CB$5="",'상세일정'!AM109="제외"),"",IF($D109=$E109,IF(AND($D109&gt;=CB$5,$D109&lt;CB$5+7),"◆",""),IF(AND($D109&lt;CB$5+7,$E109&gt;CB$5),"■","")))</x:f>
      </x:c>
      <x:c r="CC109" s="7" t="str">
        <x:f>IF(OR($D109="",CC$5="",'상세일정'!AM109="제외"),"",IF($D109=$E109,IF(AND($D109&gt;=CC$5,$D109&lt;CC$5+7),"◆",""),IF(AND($D109&lt;CC$5+7,$E109&gt;CC$5),"■","")))</x:f>
      </x:c>
      <x:c r="CD109" s="7" t="str">
        <x:f>IF(OR($D109="",CD$5="",'상세일정'!AM109="제외"),"",IF($D109=$E109,IF(AND($D109&gt;=CD$5,$D109&lt;CD$5+7),"◆",""),IF(AND($D109&lt;CD$5+7,$E109&gt;CD$5),"■","")))</x:f>
      </x:c>
      <x:c r="CE109" s="7" t="str">
        <x:f>IF(OR($D109="",CE$5="",'상세일정'!AM109="제외"),"",IF($D109=$E109,IF(AND($D109&gt;=CE$5,$D109&lt;CE$5+7),"◆",""),IF(AND($D109&lt;CE$5+7,$E109&gt;CE$5),"■","")))</x:f>
      </x:c>
      <x:c r="CF109" s="7" t="str">
        <x:f>IF(OR($D109="",CF$5="",'상세일정'!AM109="제외"),"",IF($D109=$E109,IF(AND($D109&gt;=CF$5,$D109&lt;CF$5+7),"◆",""),IF(AND($D109&lt;CF$5+7,$E109&gt;CF$5),"■","")))</x:f>
      </x:c>
      <x:c r="CG109" s="7" t="str">
        <x:f>IF(OR($D109="",CG$5="",'상세일정'!AM109="제외"),"",IF($D109=$E109,IF(AND($D109&gt;=CG$5,$D109&lt;CG$5+7),"◆",""),IF(AND($D109&lt;CG$5+7,$E109&gt;CG$5),"■","")))</x:f>
      </x:c>
      <x:c r="CH109" s="7" t="str">
        <x:f>IF(OR($D109="",CH$5="",'상세일정'!AM109="제외"),"",IF($D109=$E109,IF(AND($D109&gt;=CH$5,$D109&lt;CH$5+7),"◆",""),IF(AND($D109&lt;CH$5+7,$E109&gt;CH$5),"■","")))</x:f>
      </x:c>
      <x:c r="CI109" s="7" t="str">
        <x:f>IF(OR($D109="",CI$5="",'상세일정'!AM109="제외"),"",IF($D109=$E109,IF(AND($D109&gt;=CI$5,$D109&lt;CI$5+7),"◆",""),IF(AND($D109&lt;CI$5+7,$E109&gt;CI$5),"■","")))</x:f>
      </x:c>
      <x:c r="CJ109" s="7" t="str">
        <x:f>IF(OR($D109="",CJ$5="",'상세일정'!AM109="제외"),"",IF($D109=$E109,IF(AND($D109&gt;=CJ$5,$D109&lt;CJ$5+7),"◆",""),IF(AND($D109&lt;CJ$5+7,$E109&gt;CJ$5),"■","")))</x:f>
      </x:c>
      <x:c r="CK109" s="7" t="str">
        <x:f>IF(OR($D109="",CK$5="",'상세일정'!AM109="제외"),"",IF($D109=$E109,IF(AND($D109&gt;=CK$5,$D109&lt;CK$5+7),"◆",""),IF(AND($D109&lt;CK$5+7,$E109&gt;CK$5),"■","")))</x:f>
      </x:c>
      <x:c r="CL109" s="7" t="str">
        <x:f>IF(OR($D109="",CL$5="",'상세일정'!AM109="제외"),"",IF($D109=$E109,IF(AND($D109&gt;=CL$5,$D109&lt;CL$5+7),"◆",""),IF(AND($D109&lt;CL$5+7,$E109&gt;CL$5),"■","")))</x:f>
      </x:c>
      <x:c r="CM109" s="7" t="str">
        <x:f>IF(OR($D109="",CM$5="",'상세일정'!AM109="제외"),"",IF($D109=$E109,IF(AND($D109&gt;=CM$5,$D109&lt;CM$5+7),"◆",""),IF(AND($D109&lt;CM$5+7,$E109&gt;CM$5),"■","")))</x:f>
      </x:c>
      <x:c r="CN109" s="7" t="str">
        <x:f>IF(OR($D109="",CN$5="",'상세일정'!AM109="제외"),"",IF($D109=$E109,IF(AND($D109&gt;=CN$5,$D109&lt;CN$5+7),"◆",""),IF(AND($D109&lt;CN$5+7,$E109&gt;CN$5),"■","")))</x:f>
      </x:c>
      <x:c r="CO109" s="7" t="str">
        <x:f>IF(OR($D109="",CO$5="",'상세일정'!AM109="제외"),"",IF($D109=$E109,IF(AND($D109&gt;=CO$5,$D109&lt;CO$5+7),"◆",""),IF(AND($D109&lt;CO$5+7,$E109&gt;CO$5),"■","")))</x:f>
      </x:c>
      <x:c r="CP109" s="7" t="str">
        <x:f>IF(OR($D109="",CP$5="",'상세일정'!AM109="제외"),"",IF($D109=$E109,IF(AND($D109&gt;=CP$5,$D109&lt;CP$5+7),"◆",""),IF(AND($D109&lt;CP$5+7,$E109&gt;CP$5),"■","")))</x:f>
      </x:c>
      <x:c r="CQ109" s="7" t="str">
        <x:f>IF(OR($D109="",CQ$5="",'상세일정'!AM109="제외"),"",IF($D109=$E109,IF(AND($D109&gt;=CQ$5,$D109&lt;CQ$5+7),"◆",""),IF(AND($D109&lt;CQ$5+7,$E109&gt;CQ$5),"■","")))</x:f>
      </x:c>
      <x:c r="CR109" s="7" t="str">
        <x:f>IF(OR($D109="",CR$5="",'상세일정'!AM109="제외"),"",IF($D109=$E109,IF(AND($D109&gt;=CR$5,$D109&lt;CR$5+7),"◆",""),IF(AND($D109&lt;CR$5+7,$E109&gt;CR$5),"■","")))</x:f>
      </x:c>
      <x:c r="CS109" s="7" t="str">
        <x:f>IF(OR($D109="",CS$5="",'상세일정'!AM109="제외"),"",IF($D109=$E109,IF(AND($D109&gt;=CS$5,$D109&lt;CS$5+7),"◆",""),IF(AND($D109&lt;CS$5+7,$E109&gt;CS$5),"■","")))</x:f>
      </x:c>
      <x:c r="CT109" s="7" t="str">
        <x:f>IF(OR($D109="",CT$5="",'상세일정'!AM109="제외"),"",IF($D109=$E109,IF(AND($D109&gt;=CT$5,$D109&lt;CT$5+7),"◆",""),IF(AND($D109&lt;CT$5+7,$E109&gt;CT$5),"■","")))</x:f>
      </x:c>
      <x:c r="CU109" s="7" t="str">
        <x:f>IF(OR($D109="",CU$5="",'상세일정'!AM109="제외"),"",IF($D109=$E109,IF(AND($D109&gt;=CU$5,$D109&lt;CU$5+7),"◆",""),IF(AND($D109&lt;CU$5+7,$E109&gt;CU$5),"■","")))</x:f>
      </x:c>
      <x:c r="CV109" s="7" t="str">
        <x:f>IF(OR($D109="",CV$5="",'상세일정'!AM109="제외"),"",IF($D109=$E109,IF(AND($D109&gt;=CV$5,$D109&lt;CV$5+7),"◆",""),IF(AND($D109&lt;CV$5+7,$E109&gt;CV$5),"■","")))</x:f>
      </x:c>
      <x:c r="CW109" s="7" t="str">
        <x:f>IF(OR($D109="",CW$5="",'상세일정'!AM109="제외"),"",IF($D109=$E109,IF(AND($D109&gt;=CW$5,$D109&lt;CW$5+7),"◆",""),IF(AND($D109&lt;CW$5+7,$E109&gt;CW$5),"■","")))</x:f>
      </x:c>
      <x:c r="CX109" s="7" t="str">
        <x:f>IF(OR($D109="",CX$5="",'상세일정'!AM109="제외"),"",IF($D109=$E109,IF(AND($D109&gt;=CX$5,$D109&lt;CX$5+7),"◆",""),IF(AND($D109&lt;CX$5+7,$E109&gt;CX$5),"■","")))</x:f>
      </x:c>
      <x:c r="CY109" s="7" t="str">
        <x:f>IF(OR($D109="",CY$5="",'상세일정'!AM109="제외"),"",IF($D109=$E109,IF(AND($D109&gt;=CY$5,$D109&lt;CY$5+7),"◆",""),IF(AND($D109&lt;CY$5+7,$E109&gt;CY$5),"■","")))</x:f>
      </x:c>
      <x:c r="CZ109" s="7" t="str">
        <x:f>IF(OR($D109="",CZ$5="",'상세일정'!AM109="제외"),"",IF($D109=$E109,IF(AND($D109&gt;=CZ$5,$D109&lt;CZ$5+7),"◆",""),IF(AND($D109&lt;CZ$5+7,$E109&gt;CZ$5),"■","")))</x:f>
      </x:c>
      <x:c r="DA109" s="7" t="str">
        <x:f>IF(OR($D109="",DA$5="",'상세일정'!AM109="제외"),"",IF($D109=$E109,IF(AND($D109&gt;=DA$5,$D109&lt;DA$5+7),"◆",""),IF(AND($D109&lt;DA$5+7,$E109&gt;DA$5),"■","")))</x:f>
      </x:c>
      <x:c r="DB109" s="7" t="str">
        <x:f>IF(OR($D109="",DB$5="",'상세일정'!AM109="제외"),"",IF($D109=$E109,IF(AND($D109&gt;=DB$5,$D109&lt;DB$5+7),"◆",""),IF(AND($D109&lt;DB$5+7,$E109&gt;DB$5),"■","")))</x:f>
      </x:c>
      <x:c r="DC109" s="7" t="str">
        <x:f>IF(OR($D109="",DC$5="",'상세일정'!AM109="제외"),"",IF($D109=$E109,IF(AND($D109&gt;=DC$5,$D109&lt;DC$5+7),"◆",""),IF(AND($D109&lt;DC$5+7,$E109&gt;DC$5),"■","")))</x:f>
      </x:c>
      <x:c r="DD109" s="7" t="str">
        <x:f>IF(OR($D109="",DD$5="",'상세일정'!AM109="제외"),"",IF($D109=$E109,IF(AND($D109&gt;=DD$5,$D109&lt;DD$5+7),"◆",""),IF(AND($D109&lt;DD$5+7,$E109&gt;DD$5),"■","")))</x:f>
      </x:c>
      <x:c r="DE109" s="7" t="str">
        <x:f>IF(OR($D109="",DE$5="",'상세일정'!AM109="제외"),"",IF($D109=$E109,IF(AND($D109&gt;=DE$5,$D109&lt;DE$5+7),"◆",""),IF(AND($D109&lt;DE$5+7,$E109&gt;DE$5),"■","")))</x:f>
      </x:c>
    </x:row>
    <x:row r="110" ht="34" customHeight="1">
      <x:c r="A110" s="7" t="str">
        <x:v>PR03</x:v>
      </x:c>
      <x:c r="B110" s="7" t="str">
        <x:v>16 기자재 구매·제작</x:v>
      </x:c>
      <x:c r="C110" s="7" t="str">
        <x:v>주공정 패키지 A 제작도·ITP 승인</x:v>
      </x:c>
      <x:c r="D110" s="10" t="str">
        <x:f>'상세일정'!AJ110</x:f>
      </x:c>
      <x:c r="E110" s="10" t="str">
        <x:f>'상세일정'!AK110</x:f>
      </x:c>
      <x:c r="F110" s="7" t="str">
        <x:f>IF(OR($D110="",F$5="",'상세일정'!AM110="제외"),"",IF($D110=$E110,IF(AND($D110&gt;=F$5,$D110&lt;F$5+7),"◆",""),IF(AND($D110&lt;F$5+7,$E110&gt;F$5),"■","")))</x:f>
      </x:c>
      <x:c r="G110" s="7" t="str">
        <x:f>IF(OR($D110="",G$5="",'상세일정'!AM110="제외"),"",IF($D110=$E110,IF(AND($D110&gt;=G$5,$D110&lt;G$5+7),"◆",""),IF(AND($D110&lt;G$5+7,$E110&gt;G$5),"■","")))</x:f>
      </x:c>
      <x:c r="H110" s="7" t="str">
        <x:f>IF(OR($D110="",H$5="",'상세일정'!AM110="제외"),"",IF($D110=$E110,IF(AND($D110&gt;=H$5,$D110&lt;H$5+7),"◆",""),IF(AND($D110&lt;H$5+7,$E110&gt;H$5),"■","")))</x:f>
      </x:c>
      <x:c r="I110" s="7" t="str">
        <x:f>IF(OR($D110="",I$5="",'상세일정'!AM110="제외"),"",IF($D110=$E110,IF(AND($D110&gt;=I$5,$D110&lt;I$5+7),"◆",""),IF(AND($D110&lt;I$5+7,$E110&gt;I$5),"■","")))</x:f>
      </x:c>
      <x:c r="J110" s="7" t="str">
        <x:f>IF(OR($D110="",J$5="",'상세일정'!AM110="제외"),"",IF($D110=$E110,IF(AND($D110&gt;=J$5,$D110&lt;J$5+7),"◆",""),IF(AND($D110&lt;J$5+7,$E110&gt;J$5),"■","")))</x:f>
      </x:c>
      <x:c r="K110" s="7" t="str">
        <x:f>IF(OR($D110="",K$5="",'상세일정'!AM110="제외"),"",IF($D110=$E110,IF(AND($D110&gt;=K$5,$D110&lt;K$5+7),"◆",""),IF(AND($D110&lt;K$5+7,$E110&gt;K$5),"■","")))</x:f>
      </x:c>
      <x:c r="L110" s="7" t="str">
        <x:f>IF(OR($D110="",L$5="",'상세일정'!AM110="제외"),"",IF($D110=$E110,IF(AND($D110&gt;=L$5,$D110&lt;L$5+7),"◆",""),IF(AND($D110&lt;L$5+7,$E110&gt;L$5),"■","")))</x:f>
      </x:c>
      <x:c r="M110" s="7" t="str">
        <x:f>IF(OR($D110="",M$5="",'상세일정'!AM110="제외"),"",IF($D110=$E110,IF(AND($D110&gt;=M$5,$D110&lt;M$5+7),"◆",""),IF(AND($D110&lt;M$5+7,$E110&gt;M$5),"■","")))</x:f>
      </x:c>
      <x:c r="N110" s="7" t="str">
        <x:f>IF(OR($D110="",N$5="",'상세일정'!AM110="제외"),"",IF($D110=$E110,IF(AND($D110&gt;=N$5,$D110&lt;N$5+7),"◆",""),IF(AND($D110&lt;N$5+7,$E110&gt;N$5),"■","")))</x:f>
      </x:c>
      <x:c r="O110" s="7" t="str">
        <x:f>IF(OR($D110="",O$5="",'상세일정'!AM110="제외"),"",IF($D110=$E110,IF(AND($D110&gt;=O$5,$D110&lt;O$5+7),"◆",""),IF(AND($D110&lt;O$5+7,$E110&gt;O$5),"■","")))</x:f>
      </x:c>
      <x:c r="P110" s="7" t="str">
        <x:f>IF(OR($D110="",P$5="",'상세일정'!AM110="제외"),"",IF($D110=$E110,IF(AND($D110&gt;=P$5,$D110&lt;P$5+7),"◆",""),IF(AND($D110&lt;P$5+7,$E110&gt;P$5),"■","")))</x:f>
      </x:c>
      <x:c r="Q110" s="7" t="str">
        <x:f>IF(OR($D110="",Q$5="",'상세일정'!AM110="제외"),"",IF($D110=$E110,IF(AND($D110&gt;=Q$5,$D110&lt;Q$5+7),"◆",""),IF(AND($D110&lt;Q$5+7,$E110&gt;Q$5),"■","")))</x:f>
      </x:c>
      <x:c r="R110" s="7" t="str">
        <x:f>IF(OR($D110="",R$5="",'상세일정'!AM110="제외"),"",IF($D110=$E110,IF(AND($D110&gt;=R$5,$D110&lt;R$5+7),"◆",""),IF(AND($D110&lt;R$5+7,$E110&gt;R$5),"■","")))</x:f>
      </x:c>
      <x:c r="S110" s="7" t="str">
        <x:f>IF(OR($D110="",S$5="",'상세일정'!AM110="제외"),"",IF($D110=$E110,IF(AND($D110&gt;=S$5,$D110&lt;S$5+7),"◆",""),IF(AND($D110&lt;S$5+7,$E110&gt;S$5),"■","")))</x:f>
      </x:c>
      <x:c r="T110" s="7" t="str">
        <x:f>IF(OR($D110="",T$5="",'상세일정'!AM110="제외"),"",IF($D110=$E110,IF(AND($D110&gt;=T$5,$D110&lt;T$5+7),"◆",""),IF(AND($D110&lt;T$5+7,$E110&gt;T$5),"■","")))</x:f>
      </x:c>
      <x:c r="U110" s="7" t="str">
        <x:f>IF(OR($D110="",U$5="",'상세일정'!AM110="제외"),"",IF($D110=$E110,IF(AND($D110&gt;=U$5,$D110&lt;U$5+7),"◆",""),IF(AND($D110&lt;U$5+7,$E110&gt;U$5),"■","")))</x:f>
      </x:c>
      <x:c r="V110" s="7" t="str">
        <x:f>IF(OR($D110="",V$5="",'상세일정'!AM110="제외"),"",IF($D110=$E110,IF(AND($D110&gt;=V$5,$D110&lt;V$5+7),"◆",""),IF(AND($D110&lt;V$5+7,$E110&gt;V$5),"■","")))</x:f>
      </x:c>
      <x:c r="W110" s="7" t="str">
        <x:f>IF(OR($D110="",W$5="",'상세일정'!AM110="제외"),"",IF($D110=$E110,IF(AND($D110&gt;=W$5,$D110&lt;W$5+7),"◆",""),IF(AND($D110&lt;W$5+7,$E110&gt;W$5),"■","")))</x:f>
      </x:c>
      <x:c r="X110" s="7" t="str">
        <x:f>IF(OR($D110="",X$5="",'상세일정'!AM110="제외"),"",IF($D110=$E110,IF(AND($D110&gt;=X$5,$D110&lt;X$5+7),"◆",""),IF(AND($D110&lt;X$5+7,$E110&gt;X$5),"■","")))</x:f>
      </x:c>
      <x:c r="Y110" s="7" t="str">
        <x:f>IF(OR($D110="",Y$5="",'상세일정'!AM110="제외"),"",IF($D110=$E110,IF(AND($D110&gt;=Y$5,$D110&lt;Y$5+7),"◆",""),IF(AND($D110&lt;Y$5+7,$E110&gt;Y$5),"■","")))</x:f>
      </x:c>
      <x:c r="Z110" s="7" t="str">
        <x:f>IF(OR($D110="",Z$5="",'상세일정'!AM110="제외"),"",IF($D110=$E110,IF(AND($D110&gt;=Z$5,$D110&lt;Z$5+7),"◆",""),IF(AND($D110&lt;Z$5+7,$E110&gt;Z$5),"■","")))</x:f>
      </x:c>
      <x:c r="AA110" s="7" t="str">
        <x:f>IF(OR($D110="",AA$5="",'상세일정'!AM110="제외"),"",IF($D110=$E110,IF(AND($D110&gt;=AA$5,$D110&lt;AA$5+7),"◆",""),IF(AND($D110&lt;AA$5+7,$E110&gt;AA$5),"■","")))</x:f>
      </x:c>
      <x:c r="AB110" s="7" t="str">
        <x:f>IF(OR($D110="",AB$5="",'상세일정'!AM110="제외"),"",IF($D110=$E110,IF(AND($D110&gt;=AB$5,$D110&lt;AB$5+7),"◆",""),IF(AND($D110&lt;AB$5+7,$E110&gt;AB$5),"■","")))</x:f>
      </x:c>
      <x:c r="AC110" s="7" t="str">
        <x:f>IF(OR($D110="",AC$5="",'상세일정'!AM110="제외"),"",IF($D110=$E110,IF(AND($D110&gt;=AC$5,$D110&lt;AC$5+7),"◆",""),IF(AND($D110&lt;AC$5+7,$E110&gt;AC$5),"■","")))</x:f>
      </x:c>
      <x:c r="AD110" s="7" t="str">
        <x:f>IF(OR($D110="",AD$5="",'상세일정'!AM110="제외"),"",IF($D110=$E110,IF(AND($D110&gt;=AD$5,$D110&lt;AD$5+7),"◆",""),IF(AND($D110&lt;AD$5+7,$E110&gt;AD$5),"■","")))</x:f>
      </x:c>
      <x:c r="AE110" s="7" t="str">
        <x:f>IF(OR($D110="",AE$5="",'상세일정'!AM110="제외"),"",IF($D110=$E110,IF(AND($D110&gt;=AE$5,$D110&lt;AE$5+7),"◆",""),IF(AND($D110&lt;AE$5+7,$E110&gt;AE$5),"■","")))</x:f>
      </x:c>
      <x:c r="AF110" s="7" t="str">
        <x:f>IF(OR($D110="",AF$5="",'상세일정'!AM110="제외"),"",IF($D110=$E110,IF(AND($D110&gt;=AF$5,$D110&lt;AF$5+7),"◆",""),IF(AND($D110&lt;AF$5+7,$E110&gt;AF$5),"■","")))</x:f>
      </x:c>
      <x:c r="AG110" s="7" t="str">
        <x:f>IF(OR($D110="",AG$5="",'상세일정'!AM110="제외"),"",IF($D110=$E110,IF(AND($D110&gt;=AG$5,$D110&lt;AG$5+7),"◆",""),IF(AND($D110&lt;AG$5+7,$E110&gt;AG$5),"■","")))</x:f>
      </x:c>
      <x:c r="AH110" s="7" t="str">
        <x:f>IF(OR($D110="",AH$5="",'상세일정'!AM110="제외"),"",IF($D110=$E110,IF(AND($D110&gt;=AH$5,$D110&lt;AH$5+7),"◆",""),IF(AND($D110&lt;AH$5+7,$E110&gt;AH$5),"■","")))</x:f>
      </x:c>
      <x:c r="AI110" s="7" t="str">
        <x:f>IF(OR($D110="",AI$5="",'상세일정'!AM110="제외"),"",IF($D110=$E110,IF(AND($D110&gt;=AI$5,$D110&lt;AI$5+7),"◆",""),IF(AND($D110&lt;AI$5+7,$E110&gt;AI$5),"■","")))</x:f>
      </x:c>
      <x:c r="AJ110" s="7" t="str">
        <x:f>IF(OR($D110="",AJ$5="",'상세일정'!AM110="제외"),"",IF($D110=$E110,IF(AND($D110&gt;=AJ$5,$D110&lt;AJ$5+7),"◆",""),IF(AND($D110&lt;AJ$5+7,$E110&gt;AJ$5),"■","")))</x:f>
      </x:c>
      <x:c r="AK110" s="7" t="str">
        <x:f>IF(OR($D110="",AK$5="",'상세일정'!AM110="제외"),"",IF($D110=$E110,IF(AND($D110&gt;=AK$5,$D110&lt;AK$5+7),"◆",""),IF(AND($D110&lt;AK$5+7,$E110&gt;AK$5),"■","")))</x:f>
      </x:c>
      <x:c r="AL110" s="7" t="str">
        <x:f>IF(OR($D110="",AL$5="",'상세일정'!AM110="제외"),"",IF($D110=$E110,IF(AND($D110&gt;=AL$5,$D110&lt;AL$5+7),"◆",""),IF(AND($D110&lt;AL$5+7,$E110&gt;AL$5),"■","")))</x:f>
      </x:c>
      <x:c r="AM110" s="7" t="str">
        <x:f>IF(OR($D110="",AM$5="",'상세일정'!AM110="제외"),"",IF($D110=$E110,IF(AND($D110&gt;=AM$5,$D110&lt;AM$5+7),"◆",""),IF(AND($D110&lt;AM$5+7,$E110&gt;AM$5),"■","")))</x:f>
      </x:c>
      <x:c r="AN110" s="7" t="str">
        <x:f>IF(OR($D110="",AN$5="",'상세일정'!AM110="제외"),"",IF($D110=$E110,IF(AND($D110&gt;=AN$5,$D110&lt;AN$5+7),"◆",""),IF(AND($D110&lt;AN$5+7,$E110&gt;AN$5),"■","")))</x:f>
      </x:c>
      <x:c r="AO110" s="7" t="str">
        <x:f>IF(OR($D110="",AO$5="",'상세일정'!AM110="제외"),"",IF($D110=$E110,IF(AND($D110&gt;=AO$5,$D110&lt;AO$5+7),"◆",""),IF(AND($D110&lt;AO$5+7,$E110&gt;AO$5),"■","")))</x:f>
      </x:c>
      <x:c r="AP110" s="7" t="str">
        <x:f>IF(OR($D110="",AP$5="",'상세일정'!AM110="제외"),"",IF($D110=$E110,IF(AND($D110&gt;=AP$5,$D110&lt;AP$5+7),"◆",""),IF(AND($D110&lt;AP$5+7,$E110&gt;AP$5),"■","")))</x:f>
      </x:c>
      <x:c r="AQ110" s="7" t="str">
        <x:f>IF(OR($D110="",AQ$5="",'상세일정'!AM110="제외"),"",IF($D110=$E110,IF(AND($D110&gt;=AQ$5,$D110&lt;AQ$5+7),"◆",""),IF(AND($D110&lt;AQ$5+7,$E110&gt;AQ$5),"■","")))</x:f>
      </x:c>
      <x:c r="AR110" s="7" t="str">
        <x:f>IF(OR($D110="",AR$5="",'상세일정'!AM110="제외"),"",IF($D110=$E110,IF(AND($D110&gt;=AR$5,$D110&lt;AR$5+7),"◆",""),IF(AND($D110&lt;AR$5+7,$E110&gt;AR$5),"■","")))</x:f>
      </x:c>
      <x:c r="AS110" s="7" t="str">
        <x:f>IF(OR($D110="",AS$5="",'상세일정'!AM110="제외"),"",IF($D110=$E110,IF(AND($D110&gt;=AS$5,$D110&lt;AS$5+7),"◆",""),IF(AND($D110&lt;AS$5+7,$E110&gt;AS$5),"■","")))</x:f>
      </x:c>
      <x:c r="AT110" s="7" t="str">
        <x:f>IF(OR($D110="",AT$5="",'상세일정'!AM110="제외"),"",IF($D110=$E110,IF(AND($D110&gt;=AT$5,$D110&lt;AT$5+7),"◆",""),IF(AND($D110&lt;AT$5+7,$E110&gt;AT$5),"■","")))</x:f>
      </x:c>
      <x:c r="AU110" s="7" t="str">
        <x:f>IF(OR($D110="",AU$5="",'상세일정'!AM110="제외"),"",IF($D110=$E110,IF(AND($D110&gt;=AU$5,$D110&lt;AU$5+7),"◆",""),IF(AND($D110&lt;AU$5+7,$E110&gt;AU$5),"■","")))</x:f>
      </x:c>
      <x:c r="AV110" s="7" t="str">
        <x:f>IF(OR($D110="",AV$5="",'상세일정'!AM110="제외"),"",IF($D110=$E110,IF(AND($D110&gt;=AV$5,$D110&lt;AV$5+7),"◆",""),IF(AND($D110&lt;AV$5+7,$E110&gt;AV$5),"■","")))</x:f>
      </x:c>
      <x:c r="AW110" s="7" t="str">
        <x:f>IF(OR($D110="",AW$5="",'상세일정'!AM110="제외"),"",IF($D110=$E110,IF(AND($D110&gt;=AW$5,$D110&lt;AW$5+7),"◆",""),IF(AND($D110&lt;AW$5+7,$E110&gt;AW$5),"■","")))</x:f>
      </x:c>
      <x:c r="AX110" s="7" t="str">
        <x:f>IF(OR($D110="",AX$5="",'상세일정'!AM110="제외"),"",IF($D110=$E110,IF(AND($D110&gt;=AX$5,$D110&lt;AX$5+7),"◆",""),IF(AND($D110&lt;AX$5+7,$E110&gt;AX$5),"■","")))</x:f>
      </x:c>
      <x:c r="AY110" s="7" t="str">
        <x:f>IF(OR($D110="",AY$5="",'상세일정'!AM110="제외"),"",IF($D110=$E110,IF(AND($D110&gt;=AY$5,$D110&lt;AY$5+7),"◆",""),IF(AND($D110&lt;AY$5+7,$E110&gt;AY$5),"■","")))</x:f>
      </x:c>
      <x:c r="AZ110" s="7" t="str">
        <x:f>IF(OR($D110="",AZ$5="",'상세일정'!AM110="제외"),"",IF($D110=$E110,IF(AND($D110&gt;=AZ$5,$D110&lt;AZ$5+7),"◆",""),IF(AND($D110&lt;AZ$5+7,$E110&gt;AZ$5),"■","")))</x:f>
      </x:c>
      <x:c r="BA110" s="7" t="str">
        <x:f>IF(OR($D110="",BA$5="",'상세일정'!AM110="제외"),"",IF($D110=$E110,IF(AND($D110&gt;=BA$5,$D110&lt;BA$5+7),"◆",""),IF(AND($D110&lt;BA$5+7,$E110&gt;BA$5),"■","")))</x:f>
      </x:c>
      <x:c r="BB110" s="7" t="str">
        <x:f>IF(OR($D110="",BB$5="",'상세일정'!AM110="제외"),"",IF($D110=$E110,IF(AND($D110&gt;=BB$5,$D110&lt;BB$5+7),"◆",""),IF(AND($D110&lt;BB$5+7,$E110&gt;BB$5),"■","")))</x:f>
      </x:c>
      <x:c r="BC110" s="7" t="str">
        <x:f>IF(OR($D110="",BC$5="",'상세일정'!AM110="제외"),"",IF($D110=$E110,IF(AND($D110&gt;=BC$5,$D110&lt;BC$5+7),"◆",""),IF(AND($D110&lt;BC$5+7,$E110&gt;BC$5),"■","")))</x:f>
      </x:c>
      <x:c r="BD110" s="7" t="str">
        <x:f>IF(OR($D110="",BD$5="",'상세일정'!AM110="제외"),"",IF($D110=$E110,IF(AND($D110&gt;=BD$5,$D110&lt;BD$5+7),"◆",""),IF(AND($D110&lt;BD$5+7,$E110&gt;BD$5),"■","")))</x:f>
      </x:c>
      <x:c r="BE110" s="7" t="str">
        <x:f>IF(OR($D110="",BE$5="",'상세일정'!AM110="제외"),"",IF($D110=$E110,IF(AND($D110&gt;=BE$5,$D110&lt;BE$5+7),"◆",""),IF(AND($D110&lt;BE$5+7,$E110&gt;BE$5),"■","")))</x:f>
      </x:c>
      <x:c r="BF110" s="7" t="str">
        <x:f>IF(OR($D110="",BF$5="",'상세일정'!AM110="제외"),"",IF($D110=$E110,IF(AND($D110&gt;=BF$5,$D110&lt;BF$5+7),"◆",""),IF(AND($D110&lt;BF$5+7,$E110&gt;BF$5),"■","")))</x:f>
      </x:c>
      <x:c r="BG110" s="7" t="str">
        <x:f>IF(OR($D110="",BG$5="",'상세일정'!AM110="제외"),"",IF($D110=$E110,IF(AND($D110&gt;=BG$5,$D110&lt;BG$5+7),"◆",""),IF(AND($D110&lt;BG$5+7,$E110&gt;BG$5),"■","")))</x:f>
      </x:c>
      <x:c r="BH110" s="7" t="str">
        <x:f>IF(OR($D110="",BH$5="",'상세일정'!AM110="제외"),"",IF($D110=$E110,IF(AND($D110&gt;=BH$5,$D110&lt;BH$5+7),"◆",""),IF(AND($D110&lt;BH$5+7,$E110&gt;BH$5),"■","")))</x:f>
      </x:c>
      <x:c r="BI110" s="7" t="str">
        <x:f>IF(OR($D110="",BI$5="",'상세일정'!AM110="제외"),"",IF($D110=$E110,IF(AND($D110&gt;=BI$5,$D110&lt;BI$5+7),"◆",""),IF(AND($D110&lt;BI$5+7,$E110&gt;BI$5),"■","")))</x:f>
      </x:c>
      <x:c r="BJ110" s="7" t="str">
        <x:f>IF(OR($D110="",BJ$5="",'상세일정'!AM110="제외"),"",IF($D110=$E110,IF(AND($D110&gt;=BJ$5,$D110&lt;BJ$5+7),"◆",""),IF(AND($D110&lt;BJ$5+7,$E110&gt;BJ$5),"■","")))</x:f>
      </x:c>
      <x:c r="BK110" s="7" t="str">
        <x:f>IF(OR($D110="",BK$5="",'상세일정'!AM110="제외"),"",IF($D110=$E110,IF(AND($D110&gt;=BK$5,$D110&lt;BK$5+7),"◆",""),IF(AND($D110&lt;BK$5+7,$E110&gt;BK$5),"■","")))</x:f>
      </x:c>
      <x:c r="BL110" s="7" t="str">
        <x:f>IF(OR($D110="",BL$5="",'상세일정'!AM110="제외"),"",IF($D110=$E110,IF(AND($D110&gt;=BL$5,$D110&lt;BL$5+7),"◆",""),IF(AND($D110&lt;BL$5+7,$E110&gt;BL$5),"■","")))</x:f>
      </x:c>
      <x:c r="BM110" s="7" t="str">
        <x:f>IF(OR($D110="",BM$5="",'상세일정'!AM110="제외"),"",IF($D110=$E110,IF(AND($D110&gt;=BM$5,$D110&lt;BM$5+7),"◆",""),IF(AND($D110&lt;BM$5+7,$E110&gt;BM$5),"■","")))</x:f>
      </x:c>
      <x:c r="BN110" s="7" t="str">
        <x:f>IF(OR($D110="",BN$5="",'상세일정'!AM110="제외"),"",IF($D110=$E110,IF(AND($D110&gt;=BN$5,$D110&lt;BN$5+7),"◆",""),IF(AND($D110&lt;BN$5+7,$E110&gt;BN$5),"■","")))</x:f>
      </x:c>
      <x:c r="BO110" s="7" t="str">
        <x:f>IF(OR($D110="",BO$5="",'상세일정'!AM110="제외"),"",IF($D110=$E110,IF(AND($D110&gt;=BO$5,$D110&lt;BO$5+7),"◆",""),IF(AND($D110&lt;BO$5+7,$E110&gt;BO$5),"■","")))</x:f>
      </x:c>
      <x:c r="BP110" s="7" t="str">
        <x:f>IF(OR($D110="",BP$5="",'상세일정'!AM110="제외"),"",IF($D110=$E110,IF(AND($D110&gt;=BP$5,$D110&lt;BP$5+7),"◆",""),IF(AND($D110&lt;BP$5+7,$E110&gt;BP$5),"■","")))</x:f>
      </x:c>
      <x:c r="BQ110" s="7" t="str">
        <x:f>IF(OR($D110="",BQ$5="",'상세일정'!AM110="제외"),"",IF($D110=$E110,IF(AND($D110&gt;=BQ$5,$D110&lt;BQ$5+7),"◆",""),IF(AND($D110&lt;BQ$5+7,$E110&gt;BQ$5),"■","")))</x:f>
      </x:c>
      <x:c r="BR110" s="7" t="str">
        <x:f>IF(OR($D110="",BR$5="",'상세일정'!AM110="제외"),"",IF($D110=$E110,IF(AND($D110&gt;=BR$5,$D110&lt;BR$5+7),"◆",""),IF(AND($D110&lt;BR$5+7,$E110&gt;BR$5),"■","")))</x:f>
      </x:c>
      <x:c r="BS110" s="7" t="str">
        <x:f>IF(OR($D110="",BS$5="",'상세일정'!AM110="제외"),"",IF($D110=$E110,IF(AND($D110&gt;=BS$5,$D110&lt;BS$5+7),"◆",""),IF(AND($D110&lt;BS$5+7,$E110&gt;BS$5),"■","")))</x:f>
      </x:c>
      <x:c r="BT110" s="7" t="str">
        <x:f>IF(OR($D110="",BT$5="",'상세일정'!AM110="제외"),"",IF($D110=$E110,IF(AND($D110&gt;=BT$5,$D110&lt;BT$5+7),"◆",""),IF(AND($D110&lt;BT$5+7,$E110&gt;BT$5),"■","")))</x:f>
      </x:c>
      <x:c r="BU110" s="7" t="str">
        <x:f>IF(OR($D110="",BU$5="",'상세일정'!AM110="제외"),"",IF($D110=$E110,IF(AND($D110&gt;=BU$5,$D110&lt;BU$5+7),"◆",""),IF(AND($D110&lt;BU$5+7,$E110&gt;BU$5),"■","")))</x:f>
      </x:c>
      <x:c r="BV110" s="7" t="str">
        <x:f>IF(OR($D110="",BV$5="",'상세일정'!AM110="제외"),"",IF($D110=$E110,IF(AND($D110&gt;=BV$5,$D110&lt;BV$5+7),"◆",""),IF(AND($D110&lt;BV$5+7,$E110&gt;BV$5),"■","")))</x:f>
      </x:c>
      <x:c r="BW110" s="7" t="str">
        <x:f>IF(OR($D110="",BW$5="",'상세일정'!AM110="제외"),"",IF($D110=$E110,IF(AND($D110&gt;=BW$5,$D110&lt;BW$5+7),"◆",""),IF(AND($D110&lt;BW$5+7,$E110&gt;BW$5),"■","")))</x:f>
      </x:c>
      <x:c r="BX110" s="7" t="str">
        <x:f>IF(OR($D110="",BX$5="",'상세일정'!AM110="제외"),"",IF($D110=$E110,IF(AND($D110&gt;=BX$5,$D110&lt;BX$5+7),"◆",""),IF(AND($D110&lt;BX$5+7,$E110&gt;BX$5),"■","")))</x:f>
      </x:c>
      <x:c r="BY110" s="7" t="str">
        <x:f>IF(OR($D110="",BY$5="",'상세일정'!AM110="제외"),"",IF($D110=$E110,IF(AND($D110&gt;=BY$5,$D110&lt;BY$5+7),"◆",""),IF(AND($D110&lt;BY$5+7,$E110&gt;BY$5),"■","")))</x:f>
      </x:c>
      <x:c r="BZ110" s="7" t="str">
        <x:f>IF(OR($D110="",BZ$5="",'상세일정'!AM110="제외"),"",IF($D110=$E110,IF(AND($D110&gt;=BZ$5,$D110&lt;BZ$5+7),"◆",""),IF(AND($D110&lt;BZ$5+7,$E110&gt;BZ$5),"■","")))</x:f>
      </x:c>
      <x:c r="CA110" s="7" t="str">
        <x:f>IF(OR($D110="",CA$5="",'상세일정'!AM110="제외"),"",IF($D110=$E110,IF(AND($D110&gt;=CA$5,$D110&lt;CA$5+7),"◆",""),IF(AND($D110&lt;CA$5+7,$E110&gt;CA$5),"■","")))</x:f>
      </x:c>
      <x:c r="CB110" s="7" t="str">
        <x:f>IF(OR($D110="",CB$5="",'상세일정'!AM110="제외"),"",IF($D110=$E110,IF(AND($D110&gt;=CB$5,$D110&lt;CB$5+7),"◆",""),IF(AND($D110&lt;CB$5+7,$E110&gt;CB$5),"■","")))</x:f>
      </x:c>
      <x:c r="CC110" s="7" t="str">
        <x:f>IF(OR($D110="",CC$5="",'상세일정'!AM110="제외"),"",IF($D110=$E110,IF(AND($D110&gt;=CC$5,$D110&lt;CC$5+7),"◆",""),IF(AND($D110&lt;CC$5+7,$E110&gt;CC$5),"■","")))</x:f>
      </x:c>
      <x:c r="CD110" s="7" t="str">
        <x:f>IF(OR($D110="",CD$5="",'상세일정'!AM110="제외"),"",IF($D110=$E110,IF(AND($D110&gt;=CD$5,$D110&lt;CD$5+7),"◆",""),IF(AND($D110&lt;CD$5+7,$E110&gt;CD$5),"■","")))</x:f>
      </x:c>
      <x:c r="CE110" s="7" t="str">
        <x:f>IF(OR($D110="",CE$5="",'상세일정'!AM110="제외"),"",IF($D110=$E110,IF(AND($D110&gt;=CE$5,$D110&lt;CE$5+7),"◆",""),IF(AND($D110&lt;CE$5+7,$E110&gt;CE$5),"■","")))</x:f>
      </x:c>
      <x:c r="CF110" s="7" t="str">
        <x:f>IF(OR($D110="",CF$5="",'상세일정'!AM110="제외"),"",IF($D110=$E110,IF(AND($D110&gt;=CF$5,$D110&lt;CF$5+7),"◆",""),IF(AND($D110&lt;CF$5+7,$E110&gt;CF$5),"■","")))</x:f>
      </x:c>
      <x:c r="CG110" s="7" t="str">
        <x:f>IF(OR($D110="",CG$5="",'상세일정'!AM110="제외"),"",IF($D110=$E110,IF(AND($D110&gt;=CG$5,$D110&lt;CG$5+7),"◆",""),IF(AND($D110&lt;CG$5+7,$E110&gt;CG$5),"■","")))</x:f>
      </x:c>
      <x:c r="CH110" s="7" t="str">
        <x:f>IF(OR($D110="",CH$5="",'상세일정'!AM110="제외"),"",IF($D110=$E110,IF(AND($D110&gt;=CH$5,$D110&lt;CH$5+7),"◆",""),IF(AND($D110&lt;CH$5+7,$E110&gt;CH$5),"■","")))</x:f>
      </x:c>
      <x:c r="CI110" s="7" t="str">
        <x:f>IF(OR($D110="",CI$5="",'상세일정'!AM110="제외"),"",IF($D110=$E110,IF(AND($D110&gt;=CI$5,$D110&lt;CI$5+7),"◆",""),IF(AND($D110&lt;CI$5+7,$E110&gt;CI$5),"■","")))</x:f>
      </x:c>
      <x:c r="CJ110" s="7" t="str">
        <x:f>IF(OR($D110="",CJ$5="",'상세일정'!AM110="제외"),"",IF($D110=$E110,IF(AND($D110&gt;=CJ$5,$D110&lt;CJ$5+7),"◆",""),IF(AND($D110&lt;CJ$5+7,$E110&gt;CJ$5),"■","")))</x:f>
      </x:c>
      <x:c r="CK110" s="7" t="str">
        <x:f>IF(OR($D110="",CK$5="",'상세일정'!AM110="제외"),"",IF($D110=$E110,IF(AND($D110&gt;=CK$5,$D110&lt;CK$5+7),"◆",""),IF(AND($D110&lt;CK$5+7,$E110&gt;CK$5),"■","")))</x:f>
      </x:c>
      <x:c r="CL110" s="7" t="str">
        <x:f>IF(OR($D110="",CL$5="",'상세일정'!AM110="제외"),"",IF($D110=$E110,IF(AND($D110&gt;=CL$5,$D110&lt;CL$5+7),"◆",""),IF(AND($D110&lt;CL$5+7,$E110&gt;CL$5),"■","")))</x:f>
      </x:c>
      <x:c r="CM110" s="7" t="str">
        <x:f>IF(OR($D110="",CM$5="",'상세일정'!AM110="제외"),"",IF($D110=$E110,IF(AND($D110&gt;=CM$5,$D110&lt;CM$5+7),"◆",""),IF(AND($D110&lt;CM$5+7,$E110&gt;CM$5),"■","")))</x:f>
      </x:c>
      <x:c r="CN110" s="7" t="str">
        <x:f>IF(OR($D110="",CN$5="",'상세일정'!AM110="제외"),"",IF($D110=$E110,IF(AND($D110&gt;=CN$5,$D110&lt;CN$5+7),"◆",""),IF(AND($D110&lt;CN$5+7,$E110&gt;CN$5),"■","")))</x:f>
      </x:c>
      <x:c r="CO110" s="7" t="str">
        <x:f>IF(OR($D110="",CO$5="",'상세일정'!AM110="제외"),"",IF($D110=$E110,IF(AND($D110&gt;=CO$5,$D110&lt;CO$5+7),"◆",""),IF(AND($D110&lt;CO$5+7,$E110&gt;CO$5),"■","")))</x:f>
      </x:c>
      <x:c r="CP110" s="7" t="str">
        <x:f>IF(OR($D110="",CP$5="",'상세일정'!AM110="제외"),"",IF($D110=$E110,IF(AND($D110&gt;=CP$5,$D110&lt;CP$5+7),"◆",""),IF(AND($D110&lt;CP$5+7,$E110&gt;CP$5),"■","")))</x:f>
      </x:c>
      <x:c r="CQ110" s="7" t="str">
        <x:f>IF(OR($D110="",CQ$5="",'상세일정'!AM110="제외"),"",IF($D110=$E110,IF(AND($D110&gt;=CQ$5,$D110&lt;CQ$5+7),"◆",""),IF(AND($D110&lt;CQ$5+7,$E110&gt;CQ$5),"■","")))</x:f>
      </x:c>
      <x:c r="CR110" s="7" t="str">
        <x:f>IF(OR($D110="",CR$5="",'상세일정'!AM110="제외"),"",IF($D110=$E110,IF(AND($D110&gt;=CR$5,$D110&lt;CR$5+7),"◆",""),IF(AND($D110&lt;CR$5+7,$E110&gt;CR$5),"■","")))</x:f>
      </x:c>
      <x:c r="CS110" s="7" t="str">
        <x:f>IF(OR($D110="",CS$5="",'상세일정'!AM110="제외"),"",IF($D110=$E110,IF(AND($D110&gt;=CS$5,$D110&lt;CS$5+7),"◆",""),IF(AND($D110&lt;CS$5+7,$E110&gt;CS$5),"■","")))</x:f>
      </x:c>
      <x:c r="CT110" s="7" t="str">
        <x:f>IF(OR($D110="",CT$5="",'상세일정'!AM110="제외"),"",IF($D110=$E110,IF(AND($D110&gt;=CT$5,$D110&lt;CT$5+7),"◆",""),IF(AND($D110&lt;CT$5+7,$E110&gt;CT$5),"■","")))</x:f>
      </x:c>
      <x:c r="CU110" s="7" t="str">
        <x:f>IF(OR($D110="",CU$5="",'상세일정'!AM110="제외"),"",IF($D110=$E110,IF(AND($D110&gt;=CU$5,$D110&lt;CU$5+7),"◆",""),IF(AND($D110&lt;CU$5+7,$E110&gt;CU$5),"■","")))</x:f>
      </x:c>
      <x:c r="CV110" s="7" t="str">
        <x:f>IF(OR($D110="",CV$5="",'상세일정'!AM110="제외"),"",IF($D110=$E110,IF(AND($D110&gt;=CV$5,$D110&lt;CV$5+7),"◆",""),IF(AND($D110&lt;CV$5+7,$E110&gt;CV$5),"■","")))</x:f>
      </x:c>
      <x:c r="CW110" s="7" t="str">
        <x:f>IF(OR($D110="",CW$5="",'상세일정'!AM110="제외"),"",IF($D110=$E110,IF(AND($D110&gt;=CW$5,$D110&lt;CW$5+7),"◆",""),IF(AND($D110&lt;CW$5+7,$E110&gt;CW$5),"■","")))</x:f>
      </x:c>
      <x:c r="CX110" s="7" t="str">
        <x:f>IF(OR($D110="",CX$5="",'상세일정'!AM110="제외"),"",IF($D110=$E110,IF(AND($D110&gt;=CX$5,$D110&lt;CX$5+7),"◆",""),IF(AND($D110&lt;CX$5+7,$E110&gt;CX$5),"■","")))</x:f>
      </x:c>
      <x:c r="CY110" s="7" t="str">
        <x:f>IF(OR($D110="",CY$5="",'상세일정'!AM110="제외"),"",IF($D110=$E110,IF(AND($D110&gt;=CY$5,$D110&lt;CY$5+7),"◆",""),IF(AND($D110&lt;CY$5+7,$E110&gt;CY$5),"■","")))</x:f>
      </x:c>
      <x:c r="CZ110" s="7" t="str">
        <x:f>IF(OR($D110="",CZ$5="",'상세일정'!AM110="제외"),"",IF($D110=$E110,IF(AND($D110&gt;=CZ$5,$D110&lt;CZ$5+7),"◆",""),IF(AND($D110&lt;CZ$5+7,$E110&gt;CZ$5),"■","")))</x:f>
      </x:c>
      <x:c r="DA110" s="7" t="str">
        <x:f>IF(OR($D110="",DA$5="",'상세일정'!AM110="제외"),"",IF($D110=$E110,IF(AND($D110&gt;=DA$5,$D110&lt;DA$5+7),"◆",""),IF(AND($D110&lt;DA$5+7,$E110&gt;DA$5),"■","")))</x:f>
      </x:c>
      <x:c r="DB110" s="7" t="str">
        <x:f>IF(OR($D110="",DB$5="",'상세일정'!AM110="제외"),"",IF($D110=$E110,IF(AND($D110&gt;=DB$5,$D110&lt;DB$5+7),"◆",""),IF(AND($D110&lt;DB$5+7,$E110&gt;DB$5),"■","")))</x:f>
      </x:c>
      <x:c r="DC110" s="7" t="str">
        <x:f>IF(OR($D110="",DC$5="",'상세일정'!AM110="제외"),"",IF($D110=$E110,IF(AND($D110&gt;=DC$5,$D110&lt;DC$5+7),"◆",""),IF(AND($D110&lt;DC$5+7,$E110&gt;DC$5),"■","")))</x:f>
      </x:c>
      <x:c r="DD110" s="7" t="str">
        <x:f>IF(OR($D110="",DD$5="",'상세일정'!AM110="제외"),"",IF($D110=$E110,IF(AND($D110&gt;=DD$5,$D110&lt;DD$5+7),"◆",""),IF(AND($D110&lt;DD$5+7,$E110&gt;DD$5),"■","")))</x:f>
      </x:c>
      <x:c r="DE110" s="7" t="str">
        <x:f>IF(OR($D110="",DE$5="",'상세일정'!AM110="제외"),"",IF($D110=$E110,IF(AND($D110&gt;=DE$5,$D110&lt;DE$5+7),"◆",""),IF(AND($D110&lt;DE$5+7,$E110&gt;DE$5),"■","")))</x:f>
      </x:c>
    </x:row>
    <x:row r="111" ht="34" customHeight="1">
      <x:c r="A111" s="7" t="str">
        <x:v>PR04</x:v>
      </x:c>
      <x:c r="B111" s="7" t="str">
        <x:v>16 기자재 구매·제작</x:v>
      </x:c>
      <x:c r="C111" s="7" t="str">
        <x:v>주공정 패키지 A 자재조달·제작</x:v>
      </x:c>
      <x:c r="D111" s="10" t="str">
        <x:f>'상세일정'!AJ111</x:f>
      </x:c>
      <x:c r="E111" s="10" t="str">
        <x:f>'상세일정'!AK111</x:f>
      </x:c>
      <x:c r="F111" s="7" t="str">
        <x:f>IF(OR($D111="",F$5="",'상세일정'!AM111="제외"),"",IF($D111=$E111,IF(AND($D111&gt;=F$5,$D111&lt;F$5+7),"◆",""),IF(AND($D111&lt;F$5+7,$E111&gt;F$5),"■","")))</x:f>
      </x:c>
      <x:c r="G111" s="7" t="str">
        <x:f>IF(OR($D111="",G$5="",'상세일정'!AM111="제외"),"",IF($D111=$E111,IF(AND($D111&gt;=G$5,$D111&lt;G$5+7),"◆",""),IF(AND($D111&lt;G$5+7,$E111&gt;G$5),"■","")))</x:f>
      </x:c>
      <x:c r="H111" s="7" t="str">
        <x:f>IF(OR($D111="",H$5="",'상세일정'!AM111="제외"),"",IF($D111=$E111,IF(AND($D111&gt;=H$5,$D111&lt;H$5+7),"◆",""),IF(AND($D111&lt;H$5+7,$E111&gt;H$5),"■","")))</x:f>
      </x:c>
      <x:c r="I111" s="7" t="str">
        <x:f>IF(OR($D111="",I$5="",'상세일정'!AM111="제외"),"",IF($D111=$E111,IF(AND($D111&gt;=I$5,$D111&lt;I$5+7),"◆",""),IF(AND($D111&lt;I$5+7,$E111&gt;I$5),"■","")))</x:f>
      </x:c>
      <x:c r="J111" s="7" t="str">
        <x:f>IF(OR($D111="",J$5="",'상세일정'!AM111="제외"),"",IF($D111=$E111,IF(AND($D111&gt;=J$5,$D111&lt;J$5+7),"◆",""),IF(AND($D111&lt;J$5+7,$E111&gt;J$5),"■","")))</x:f>
      </x:c>
      <x:c r="K111" s="7" t="str">
        <x:f>IF(OR($D111="",K$5="",'상세일정'!AM111="제외"),"",IF($D111=$E111,IF(AND($D111&gt;=K$5,$D111&lt;K$5+7),"◆",""),IF(AND($D111&lt;K$5+7,$E111&gt;K$5),"■","")))</x:f>
      </x:c>
      <x:c r="L111" s="7" t="str">
        <x:f>IF(OR($D111="",L$5="",'상세일정'!AM111="제외"),"",IF($D111=$E111,IF(AND($D111&gt;=L$5,$D111&lt;L$5+7),"◆",""),IF(AND($D111&lt;L$5+7,$E111&gt;L$5),"■","")))</x:f>
      </x:c>
      <x:c r="M111" s="7" t="str">
        <x:f>IF(OR($D111="",M$5="",'상세일정'!AM111="제외"),"",IF($D111=$E111,IF(AND($D111&gt;=M$5,$D111&lt;M$5+7),"◆",""),IF(AND($D111&lt;M$5+7,$E111&gt;M$5),"■","")))</x:f>
      </x:c>
      <x:c r="N111" s="7" t="str">
        <x:f>IF(OR($D111="",N$5="",'상세일정'!AM111="제외"),"",IF($D111=$E111,IF(AND($D111&gt;=N$5,$D111&lt;N$5+7),"◆",""),IF(AND($D111&lt;N$5+7,$E111&gt;N$5),"■","")))</x:f>
      </x:c>
      <x:c r="O111" s="7" t="str">
        <x:f>IF(OR($D111="",O$5="",'상세일정'!AM111="제외"),"",IF($D111=$E111,IF(AND($D111&gt;=O$5,$D111&lt;O$5+7),"◆",""),IF(AND($D111&lt;O$5+7,$E111&gt;O$5),"■","")))</x:f>
      </x:c>
      <x:c r="P111" s="7" t="str">
        <x:f>IF(OR($D111="",P$5="",'상세일정'!AM111="제외"),"",IF($D111=$E111,IF(AND($D111&gt;=P$5,$D111&lt;P$5+7),"◆",""),IF(AND($D111&lt;P$5+7,$E111&gt;P$5),"■","")))</x:f>
      </x:c>
      <x:c r="Q111" s="7" t="str">
        <x:f>IF(OR($D111="",Q$5="",'상세일정'!AM111="제외"),"",IF($D111=$E111,IF(AND($D111&gt;=Q$5,$D111&lt;Q$5+7),"◆",""),IF(AND($D111&lt;Q$5+7,$E111&gt;Q$5),"■","")))</x:f>
      </x:c>
      <x:c r="R111" s="7" t="str">
        <x:f>IF(OR($D111="",R$5="",'상세일정'!AM111="제외"),"",IF($D111=$E111,IF(AND($D111&gt;=R$5,$D111&lt;R$5+7),"◆",""),IF(AND($D111&lt;R$5+7,$E111&gt;R$5),"■","")))</x:f>
      </x:c>
      <x:c r="S111" s="7" t="str">
        <x:f>IF(OR($D111="",S$5="",'상세일정'!AM111="제외"),"",IF($D111=$E111,IF(AND($D111&gt;=S$5,$D111&lt;S$5+7),"◆",""),IF(AND($D111&lt;S$5+7,$E111&gt;S$5),"■","")))</x:f>
      </x:c>
      <x:c r="T111" s="7" t="str">
        <x:f>IF(OR($D111="",T$5="",'상세일정'!AM111="제외"),"",IF($D111=$E111,IF(AND($D111&gt;=T$5,$D111&lt;T$5+7),"◆",""),IF(AND($D111&lt;T$5+7,$E111&gt;T$5),"■","")))</x:f>
      </x:c>
      <x:c r="U111" s="7" t="str">
        <x:f>IF(OR($D111="",U$5="",'상세일정'!AM111="제외"),"",IF($D111=$E111,IF(AND($D111&gt;=U$5,$D111&lt;U$5+7),"◆",""),IF(AND($D111&lt;U$5+7,$E111&gt;U$5),"■","")))</x:f>
      </x:c>
      <x:c r="V111" s="7" t="str">
        <x:f>IF(OR($D111="",V$5="",'상세일정'!AM111="제외"),"",IF($D111=$E111,IF(AND($D111&gt;=V$5,$D111&lt;V$5+7),"◆",""),IF(AND($D111&lt;V$5+7,$E111&gt;V$5),"■","")))</x:f>
      </x:c>
      <x:c r="W111" s="7" t="str">
        <x:f>IF(OR($D111="",W$5="",'상세일정'!AM111="제외"),"",IF($D111=$E111,IF(AND($D111&gt;=W$5,$D111&lt;W$5+7),"◆",""),IF(AND($D111&lt;W$5+7,$E111&gt;W$5),"■","")))</x:f>
      </x:c>
      <x:c r="X111" s="7" t="str">
        <x:f>IF(OR($D111="",X$5="",'상세일정'!AM111="제외"),"",IF($D111=$E111,IF(AND($D111&gt;=X$5,$D111&lt;X$5+7),"◆",""),IF(AND($D111&lt;X$5+7,$E111&gt;X$5),"■","")))</x:f>
      </x:c>
      <x:c r="Y111" s="7" t="str">
        <x:f>IF(OR($D111="",Y$5="",'상세일정'!AM111="제외"),"",IF($D111=$E111,IF(AND($D111&gt;=Y$5,$D111&lt;Y$5+7),"◆",""),IF(AND($D111&lt;Y$5+7,$E111&gt;Y$5),"■","")))</x:f>
      </x:c>
      <x:c r="Z111" s="7" t="str">
        <x:f>IF(OR($D111="",Z$5="",'상세일정'!AM111="제외"),"",IF($D111=$E111,IF(AND($D111&gt;=Z$5,$D111&lt;Z$5+7),"◆",""),IF(AND($D111&lt;Z$5+7,$E111&gt;Z$5),"■","")))</x:f>
      </x:c>
      <x:c r="AA111" s="7" t="str">
        <x:f>IF(OR($D111="",AA$5="",'상세일정'!AM111="제외"),"",IF($D111=$E111,IF(AND($D111&gt;=AA$5,$D111&lt;AA$5+7),"◆",""),IF(AND($D111&lt;AA$5+7,$E111&gt;AA$5),"■","")))</x:f>
      </x:c>
      <x:c r="AB111" s="7" t="str">
        <x:f>IF(OR($D111="",AB$5="",'상세일정'!AM111="제외"),"",IF($D111=$E111,IF(AND($D111&gt;=AB$5,$D111&lt;AB$5+7),"◆",""),IF(AND($D111&lt;AB$5+7,$E111&gt;AB$5),"■","")))</x:f>
      </x:c>
      <x:c r="AC111" s="7" t="str">
        <x:f>IF(OR($D111="",AC$5="",'상세일정'!AM111="제외"),"",IF($D111=$E111,IF(AND($D111&gt;=AC$5,$D111&lt;AC$5+7),"◆",""),IF(AND($D111&lt;AC$5+7,$E111&gt;AC$5),"■","")))</x:f>
      </x:c>
      <x:c r="AD111" s="7" t="str">
        <x:f>IF(OR($D111="",AD$5="",'상세일정'!AM111="제외"),"",IF($D111=$E111,IF(AND($D111&gt;=AD$5,$D111&lt;AD$5+7),"◆",""),IF(AND($D111&lt;AD$5+7,$E111&gt;AD$5),"■","")))</x:f>
      </x:c>
      <x:c r="AE111" s="7" t="str">
        <x:f>IF(OR($D111="",AE$5="",'상세일정'!AM111="제외"),"",IF($D111=$E111,IF(AND($D111&gt;=AE$5,$D111&lt;AE$5+7),"◆",""),IF(AND($D111&lt;AE$5+7,$E111&gt;AE$5),"■","")))</x:f>
      </x:c>
      <x:c r="AF111" s="7" t="str">
        <x:f>IF(OR($D111="",AF$5="",'상세일정'!AM111="제외"),"",IF($D111=$E111,IF(AND($D111&gt;=AF$5,$D111&lt;AF$5+7),"◆",""),IF(AND($D111&lt;AF$5+7,$E111&gt;AF$5),"■","")))</x:f>
      </x:c>
      <x:c r="AG111" s="7" t="str">
        <x:f>IF(OR($D111="",AG$5="",'상세일정'!AM111="제외"),"",IF($D111=$E111,IF(AND($D111&gt;=AG$5,$D111&lt;AG$5+7),"◆",""),IF(AND($D111&lt;AG$5+7,$E111&gt;AG$5),"■","")))</x:f>
      </x:c>
      <x:c r="AH111" s="7" t="str">
        <x:f>IF(OR($D111="",AH$5="",'상세일정'!AM111="제외"),"",IF($D111=$E111,IF(AND($D111&gt;=AH$5,$D111&lt;AH$5+7),"◆",""),IF(AND($D111&lt;AH$5+7,$E111&gt;AH$5),"■","")))</x:f>
      </x:c>
      <x:c r="AI111" s="7" t="str">
        <x:f>IF(OR($D111="",AI$5="",'상세일정'!AM111="제외"),"",IF($D111=$E111,IF(AND($D111&gt;=AI$5,$D111&lt;AI$5+7),"◆",""),IF(AND($D111&lt;AI$5+7,$E111&gt;AI$5),"■","")))</x:f>
      </x:c>
      <x:c r="AJ111" s="7" t="str">
        <x:f>IF(OR($D111="",AJ$5="",'상세일정'!AM111="제외"),"",IF($D111=$E111,IF(AND($D111&gt;=AJ$5,$D111&lt;AJ$5+7),"◆",""),IF(AND($D111&lt;AJ$5+7,$E111&gt;AJ$5),"■","")))</x:f>
      </x:c>
      <x:c r="AK111" s="7" t="str">
        <x:f>IF(OR($D111="",AK$5="",'상세일정'!AM111="제외"),"",IF($D111=$E111,IF(AND($D111&gt;=AK$5,$D111&lt;AK$5+7),"◆",""),IF(AND($D111&lt;AK$5+7,$E111&gt;AK$5),"■","")))</x:f>
      </x:c>
      <x:c r="AL111" s="7" t="str">
        <x:f>IF(OR($D111="",AL$5="",'상세일정'!AM111="제외"),"",IF($D111=$E111,IF(AND($D111&gt;=AL$5,$D111&lt;AL$5+7),"◆",""),IF(AND($D111&lt;AL$5+7,$E111&gt;AL$5),"■","")))</x:f>
      </x:c>
      <x:c r="AM111" s="7" t="str">
        <x:f>IF(OR($D111="",AM$5="",'상세일정'!AM111="제외"),"",IF($D111=$E111,IF(AND($D111&gt;=AM$5,$D111&lt;AM$5+7),"◆",""),IF(AND($D111&lt;AM$5+7,$E111&gt;AM$5),"■","")))</x:f>
      </x:c>
      <x:c r="AN111" s="7" t="str">
        <x:f>IF(OR($D111="",AN$5="",'상세일정'!AM111="제외"),"",IF($D111=$E111,IF(AND($D111&gt;=AN$5,$D111&lt;AN$5+7),"◆",""),IF(AND($D111&lt;AN$5+7,$E111&gt;AN$5),"■","")))</x:f>
      </x:c>
      <x:c r="AO111" s="7" t="str">
        <x:f>IF(OR($D111="",AO$5="",'상세일정'!AM111="제외"),"",IF($D111=$E111,IF(AND($D111&gt;=AO$5,$D111&lt;AO$5+7),"◆",""),IF(AND($D111&lt;AO$5+7,$E111&gt;AO$5),"■","")))</x:f>
      </x:c>
      <x:c r="AP111" s="7" t="str">
        <x:f>IF(OR($D111="",AP$5="",'상세일정'!AM111="제외"),"",IF($D111=$E111,IF(AND($D111&gt;=AP$5,$D111&lt;AP$5+7),"◆",""),IF(AND($D111&lt;AP$5+7,$E111&gt;AP$5),"■","")))</x:f>
      </x:c>
      <x:c r="AQ111" s="7" t="str">
        <x:f>IF(OR($D111="",AQ$5="",'상세일정'!AM111="제외"),"",IF($D111=$E111,IF(AND($D111&gt;=AQ$5,$D111&lt;AQ$5+7),"◆",""),IF(AND($D111&lt;AQ$5+7,$E111&gt;AQ$5),"■","")))</x:f>
      </x:c>
      <x:c r="AR111" s="7" t="str">
        <x:f>IF(OR($D111="",AR$5="",'상세일정'!AM111="제외"),"",IF($D111=$E111,IF(AND($D111&gt;=AR$5,$D111&lt;AR$5+7),"◆",""),IF(AND($D111&lt;AR$5+7,$E111&gt;AR$5),"■","")))</x:f>
      </x:c>
      <x:c r="AS111" s="7" t="str">
        <x:f>IF(OR($D111="",AS$5="",'상세일정'!AM111="제외"),"",IF($D111=$E111,IF(AND($D111&gt;=AS$5,$D111&lt;AS$5+7),"◆",""),IF(AND($D111&lt;AS$5+7,$E111&gt;AS$5),"■","")))</x:f>
      </x:c>
      <x:c r="AT111" s="7" t="str">
        <x:f>IF(OR($D111="",AT$5="",'상세일정'!AM111="제외"),"",IF($D111=$E111,IF(AND($D111&gt;=AT$5,$D111&lt;AT$5+7),"◆",""),IF(AND($D111&lt;AT$5+7,$E111&gt;AT$5),"■","")))</x:f>
      </x:c>
      <x:c r="AU111" s="7" t="str">
        <x:f>IF(OR($D111="",AU$5="",'상세일정'!AM111="제외"),"",IF($D111=$E111,IF(AND($D111&gt;=AU$5,$D111&lt;AU$5+7),"◆",""),IF(AND($D111&lt;AU$5+7,$E111&gt;AU$5),"■","")))</x:f>
      </x:c>
      <x:c r="AV111" s="7" t="str">
        <x:f>IF(OR($D111="",AV$5="",'상세일정'!AM111="제외"),"",IF($D111=$E111,IF(AND($D111&gt;=AV$5,$D111&lt;AV$5+7),"◆",""),IF(AND($D111&lt;AV$5+7,$E111&gt;AV$5),"■","")))</x:f>
      </x:c>
      <x:c r="AW111" s="7" t="str">
        <x:f>IF(OR($D111="",AW$5="",'상세일정'!AM111="제외"),"",IF($D111=$E111,IF(AND($D111&gt;=AW$5,$D111&lt;AW$5+7),"◆",""),IF(AND($D111&lt;AW$5+7,$E111&gt;AW$5),"■","")))</x:f>
      </x:c>
      <x:c r="AX111" s="7" t="str">
        <x:f>IF(OR($D111="",AX$5="",'상세일정'!AM111="제외"),"",IF($D111=$E111,IF(AND($D111&gt;=AX$5,$D111&lt;AX$5+7),"◆",""),IF(AND($D111&lt;AX$5+7,$E111&gt;AX$5),"■","")))</x:f>
      </x:c>
      <x:c r="AY111" s="7" t="str">
        <x:f>IF(OR($D111="",AY$5="",'상세일정'!AM111="제외"),"",IF($D111=$E111,IF(AND($D111&gt;=AY$5,$D111&lt;AY$5+7),"◆",""),IF(AND($D111&lt;AY$5+7,$E111&gt;AY$5),"■","")))</x:f>
      </x:c>
      <x:c r="AZ111" s="7" t="str">
        <x:f>IF(OR($D111="",AZ$5="",'상세일정'!AM111="제외"),"",IF($D111=$E111,IF(AND($D111&gt;=AZ$5,$D111&lt;AZ$5+7),"◆",""),IF(AND($D111&lt;AZ$5+7,$E111&gt;AZ$5),"■","")))</x:f>
      </x:c>
      <x:c r="BA111" s="7" t="str">
        <x:f>IF(OR($D111="",BA$5="",'상세일정'!AM111="제외"),"",IF($D111=$E111,IF(AND($D111&gt;=BA$5,$D111&lt;BA$5+7),"◆",""),IF(AND($D111&lt;BA$5+7,$E111&gt;BA$5),"■","")))</x:f>
      </x:c>
      <x:c r="BB111" s="7" t="str">
        <x:f>IF(OR($D111="",BB$5="",'상세일정'!AM111="제외"),"",IF($D111=$E111,IF(AND($D111&gt;=BB$5,$D111&lt;BB$5+7),"◆",""),IF(AND($D111&lt;BB$5+7,$E111&gt;BB$5),"■","")))</x:f>
      </x:c>
      <x:c r="BC111" s="7" t="str">
        <x:f>IF(OR($D111="",BC$5="",'상세일정'!AM111="제외"),"",IF($D111=$E111,IF(AND($D111&gt;=BC$5,$D111&lt;BC$5+7),"◆",""),IF(AND($D111&lt;BC$5+7,$E111&gt;BC$5),"■","")))</x:f>
      </x:c>
      <x:c r="BD111" s="7" t="str">
        <x:f>IF(OR($D111="",BD$5="",'상세일정'!AM111="제외"),"",IF($D111=$E111,IF(AND($D111&gt;=BD$5,$D111&lt;BD$5+7),"◆",""),IF(AND($D111&lt;BD$5+7,$E111&gt;BD$5),"■","")))</x:f>
      </x:c>
      <x:c r="BE111" s="7" t="str">
        <x:f>IF(OR($D111="",BE$5="",'상세일정'!AM111="제외"),"",IF($D111=$E111,IF(AND($D111&gt;=BE$5,$D111&lt;BE$5+7),"◆",""),IF(AND($D111&lt;BE$5+7,$E111&gt;BE$5),"■","")))</x:f>
      </x:c>
      <x:c r="BF111" s="7" t="str">
        <x:f>IF(OR($D111="",BF$5="",'상세일정'!AM111="제외"),"",IF($D111=$E111,IF(AND($D111&gt;=BF$5,$D111&lt;BF$5+7),"◆",""),IF(AND($D111&lt;BF$5+7,$E111&gt;BF$5),"■","")))</x:f>
      </x:c>
      <x:c r="BG111" s="7" t="str">
        <x:f>IF(OR($D111="",BG$5="",'상세일정'!AM111="제외"),"",IF($D111=$E111,IF(AND($D111&gt;=BG$5,$D111&lt;BG$5+7),"◆",""),IF(AND($D111&lt;BG$5+7,$E111&gt;BG$5),"■","")))</x:f>
      </x:c>
      <x:c r="BH111" s="7" t="str">
        <x:f>IF(OR($D111="",BH$5="",'상세일정'!AM111="제외"),"",IF($D111=$E111,IF(AND($D111&gt;=BH$5,$D111&lt;BH$5+7),"◆",""),IF(AND($D111&lt;BH$5+7,$E111&gt;BH$5),"■","")))</x:f>
      </x:c>
      <x:c r="BI111" s="7" t="str">
        <x:f>IF(OR($D111="",BI$5="",'상세일정'!AM111="제외"),"",IF($D111=$E111,IF(AND($D111&gt;=BI$5,$D111&lt;BI$5+7),"◆",""),IF(AND($D111&lt;BI$5+7,$E111&gt;BI$5),"■","")))</x:f>
      </x:c>
      <x:c r="BJ111" s="7" t="str">
        <x:f>IF(OR($D111="",BJ$5="",'상세일정'!AM111="제외"),"",IF($D111=$E111,IF(AND($D111&gt;=BJ$5,$D111&lt;BJ$5+7),"◆",""),IF(AND($D111&lt;BJ$5+7,$E111&gt;BJ$5),"■","")))</x:f>
      </x:c>
      <x:c r="BK111" s="7" t="str">
        <x:f>IF(OR($D111="",BK$5="",'상세일정'!AM111="제외"),"",IF($D111=$E111,IF(AND($D111&gt;=BK$5,$D111&lt;BK$5+7),"◆",""),IF(AND($D111&lt;BK$5+7,$E111&gt;BK$5),"■","")))</x:f>
      </x:c>
      <x:c r="BL111" s="7" t="str">
        <x:f>IF(OR($D111="",BL$5="",'상세일정'!AM111="제외"),"",IF($D111=$E111,IF(AND($D111&gt;=BL$5,$D111&lt;BL$5+7),"◆",""),IF(AND($D111&lt;BL$5+7,$E111&gt;BL$5),"■","")))</x:f>
      </x:c>
      <x:c r="BM111" s="7" t="str">
        <x:f>IF(OR($D111="",BM$5="",'상세일정'!AM111="제외"),"",IF($D111=$E111,IF(AND($D111&gt;=BM$5,$D111&lt;BM$5+7),"◆",""),IF(AND($D111&lt;BM$5+7,$E111&gt;BM$5),"■","")))</x:f>
      </x:c>
      <x:c r="BN111" s="7" t="str">
        <x:f>IF(OR($D111="",BN$5="",'상세일정'!AM111="제외"),"",IF($D111=$E111,IF(AND($D111&gt;=BN$5,$D111&lt;BN$5+7),"◆",""),IF(AND($D111&lt;BN$5+7,$E111&gt;BN$5),"■","")))</x:f>
      </x:c>
      <x:c r="BO111" s="7" t="str">
        <x:f>IF(OR($D111="",BO$5="",'상세일정'!AM111="제외"),"",IF($D111=$E111,IF(AND($D111&gt;=BO$5,$D111&lt;BO$5+7),"◆",""),IF(AND($D111&lt;BO$5+7,$E111&gt;BO$5),"■","")))</x:f>
      </x:c>
      <x:c r="BP111" s="7" t="str">
        <x:f>IF(OR($D111="",BP$5="",'상세일정'!AM111="제외"),"",IF($D111=$E111,IF(AND($D111&gt;=BP$5,$D111&lt;BP$5+7),"◆",""),IF(AND($D111&lt;BP$5+7,$E111&gt;BP$5),"■","")))</x:f>
      </x:c>
      <x:c r="BQ111" s="7" t="str">
        <x:f>IF(OR($D111="",BQ$5="",'상세일정'!AM111="제외"),"",IF($D111=$E111,IF(AND($D111&gt;=BQ$5,$D111&lt;BQ$5+7),"◆",""),IF(AND($D111&lt;BQ$5+7,$E111&gt;BQ$5),"■","")))</x:f>
      </x:c>
      <x:c r="BR111" s="7" t="str">
        <x:f>IF(OR($D111="",BR$5="",'상세일정'!AM111="제외"),"",IF($D111=$E111,IF(AND($D111&gt;=BR$5,$D111&lt;BR$5+7),"◆",""),IF(AND($D111&lt;BR$5+7,$E111&gt;BR$5),"■","")))</x:f>
      </x:c>
      <x:c r="BS111" s="7" t="str">
        <x:f>IF(OR($D111="",BS$5="",'상세일정'!AM111="제외"),"",IF($D111=$E111,IF(AND($D111&gt;=BS$5,$D111&lt;BS$5+7),"◆",""),IF(AND($D111&lt;BS$5+7,$E111&gt;BS$5),"■","")))</x:f>
      </x:c>
      <x:c r="BT111" s="7" t="str">
        <x:f>IF(OR($D111="",BT$5="",'상세일정'!AM111="제외"),"",IF($D111=$E111,IF(AND($D111&gt;=BT$5,$D111&lt;BT$5+7),"◆",""),IF(AND($D111&lt;BT$5+7,$E111&gt;BT$5),"■","")))</x:f>
      </x:c>
      <x:c r="BU111" s="7" t="str">
        <x:f>IF(OR($D111="",BU$5="",'상세일정'!AM111="제외"),"",IF($D111=$E111,IF(AND($D111&gt;=BU$5,$D111&lt;BU$5+7),"◆",""),IF(AND($D111&lt;BU$5+7,$E111&gt;BU$5),"■","")))</x:f>
      </x:c>
      <x:c r="BV111" s="7" t="str">
        <x:f>IF(OR($D111="",BV$5="",'상세일정'!AM111="제외"),"",IF($D111=$E111,IF(AND($D111&gt;=BV$5,$D111&lt;BV$5+7),"◆",""),IF(AND($D111&lt;BV$5+7,$E111&gt;BV$5),"■","")))</x:f>
      </x:c>
      <x:c r="BW111" s="7" t="str">
        <x:f>IF(OR($D111="",BW$5="",'상세일정'!AM111="제외"),"",IF($D111=$E111,IF(AND($D111&gt;=BW$5,$D111&lt;BW$5+7),"◆",""),IF(AND($D111&lt;BW$5+7,$E111&gt;BW$5),"■","")))</x:f>
      </x:c>
      <x:c r="BX111" s="7" t="str">
        <x:f>IF(OR($D111="",BX$5="",'상세일정'!AM111="제외"),"",IF($D111=$E111,IF(AND($D111&gt;=BX$5,$D111&lt;BX$5+7),"◆",""),IF(AND($D111&lt;BX$5+7,$E111&gt;BX$5),"■","")))</x:f>
      </x:c>
      <x:c r="BY111" s="7" t="str">
        <x:f>IF(OR($D111="",BY$5="",'상세일정'!AM111="제외"),"",IF($D111=$E111,IF(AND($D111&gt;=BY$5,$D111&lt;BY$5+7),"◆",""),IF(AND($D111&lt;BY$5+7,$E111&gt;BY$5),"■","")))</x:f>
      </x:c>
      <x:c r="BZ111" s="7" t="str">
        <x:f>IF(OR($D111="",BZ$5="",'상세일정'!AM111="제외"),"",IF($D111=$E111,IF(AND($D111&gt;=BZ$5,$D111&lt;BZ$5+7),"◆",""),IF(AND($D111&lt;BZ$5+7,$E111&gt;BZ$5),"■","")))</x:f>
      </x:c>
      <x:c r="CA111" s="7" t="str">
        <x:f>IF(OR($D111="",CA$5="",'상세일정'!AM111="제외"),"",IF($D111=$E111,IF(AND($D111&gt;=CA$5,$D111&lt;CA$5+7),"◆",""),IF(AND($D111&lt;CA$5+7,$E111&gt;CA$5),"■","")))</x:f>
      </x:c>
      <x:c r="CB111" s="7" t="str">
        <x:f>IF(OR($D111="",CB$5="",'상세일정'!AM111="제외"),"",IF($D111=$E111,IF(AND($D111&gt;=CB$5,$D111&lt;CB$5+7),"◆",""),IF(AND($D111&lt;CB$5+7,$E111&gt;CB$5),"■","")))</x:f>
      </x:c>
      <x:c r="CC111" s="7" t="str">
        <x:f>IF(OR($D111="",CC$5="",'상세일정'!AM111="제외"),"",IF($D111=$E111,IF(AND($D111&gt;=CC$5,$D111&lt;CC$5+7),"◆",""),IF(AND($D111&lt;CC$5+7,$E111&gt;CC$5),"■","")))</x:f>
      </x:c>
      <x:c r="CD111" s="7" t="str">
        <x:f>IF(OR($D111="",CD$5="",'상세일정'!AM111="제외"),"",IF($D111=$E111,IF(AND($D111&gt;=CD$5,$D111&lt;CD$5+7),"◆",""),IF(AND($D111&lt;CD$5+7,$E111&gt;CD$5),"■","")))</x:f>
      </x:c>
      <x:c r="CE111" s="7" t="str">
        <x:f>IF(OR($D111="",CE$5="",'상세일정'!AM111="제외"),"",IF($D111=$E111,IF(AND($D111&gt;=CE$5,$D111&lt;CE$5+7),"◆",""),IF(AND($D111&lt;CE$5+7,$E111&gt;CE$5),"■","")))</x:f>
      </x:c>
      <x:c r="CF111" s="7" t="str">
        <x:f>IF(OR($D111="",CF$5="",'상세일정'!AM111="제외"),"",IF($D111=$E111,IF(AND($D111&gt;=CF$5,$D111&lt;CF$5+7),"◆",""),IF(AND($D111&lt;CF$5+7,$E111&gt;CF$5),"■","")))</x:f>
      </x:c>
      <x:c r="CG111" s="7" t="str">
        <x:f>IF(OR($D111="",CG$5="",'상세일정'!AM111="제외"),"",IF($D111=$E111,IF(AND($D111&gt;=CG$5,$D111&lt;CG$5+7),"◆",""),IF(AND($D111&lt;CG$5+7,$E111&gt;CG$5),"■","")))</x:f>
      </x:c>
      <x:c r="CH111" s="7" t="str">
        <x:f>IF(OR($D111="",CH$5="",'상세일정'!AM111="제외"),"",IF($D111=$E111,IF(AND($D111&gt;=CH$5,$D111&lt;CH$5+7),"◆",""),IF(AND($D111&lt;CH$5+7,$E111&gt;CH$5),"■","")))</x:f>
      </x:c>
      <x:c r="CI111" s="7" t="str">
        <x:f>IF(OR($D111="",CI$5="",'상세일정'!AM111="제외"),"",IF($D111=$E111,IF(AND($D111&gt;=CI$5,$D111&lt;CI$5+7),"◆",""),IF(AND($D111&lt;CI$5+7,$E111&gt;CI$5),"■","")))</x:f>
      </x:c>
      <x:c r="CJ111" s="7" t="str">
        <x:f>IF(OR($D111="",CJ$5="",'상세일정'!AM111="제외"),"",IF($D111=$E111,IF(AND($D111&gt;=CJ$5,$D111&lt;CJ$5+7),"◆",""),IF(AND($D111&lt;CJ$5+7,$E111&gt;CJ$5),"■","")))</x:f>
      </x:c>
      <x:c r="CK111" s="7" t="str">
        <x:f>IF(OR($D111="",CK$5="",'상세일정'!AM111="제외"),"",IF($D111=$E111,IF(AND($D111&gt;=CK$5,$D111&lt;CK$5+7),"◆",""),IF(AND($D111&lt;CK$5+7,$E111&gt;CK$5),"■","")))</x:f>
      </x:c>
      <x:c r="CL111" s="7" t="str">
        <x:f>IF(OR($D111="",CL$5="",'상세일정'!AM111="제외"),"",IF($D111=$E111,IF(AND($D111&gt;=CL$5,$D111&lt;CL$5+7),"◆",""),IF(AND($D111&lt;CL$5+7,$E111&gt;CL$5),"■","")))</x:f>
      </x:c>
      <x:c r="CM111" s="7" t="str">
        <x:f>IF(OR($D111="",CM$5="",'상세일정'!AM111="제외"),"",IF($D111=$E111,IF(AND($D111&gt;=CM$5,$D111&lt;CM$5+7),"◆",""),IF(AND($D111&lt;CM$5+7,$E111&gt;CM$5),"■","")))</x:f>
      </x:c>
      <x:c r="CN111" s="7" t="str">
        <x:f>IF(OR($D111="",CN$5="",'상세일정'!AM111="제외"),"",IF($D111=$E111,IF(AND($D111&gt;=CN$5,$D111&lt;CN$5+7),"◆",""),IF(AND($D111&lt;CN$5+7,$E111&gt;CN$5),"■","")))</x:f>
      </x:c>
      <x:c r="CO111" s="7" t="str">
        <x:f>IF(OR($D111="",CO$5="",'상세일정'!AM111="제외"),"",IF($D111=$E111,IF(AND($D111&gt;=CO$5,$D111&lt;CO$5+7),"◆",""),IF(AND($D111&lt;CO$5+7,$E111&gt;CO$5),"■","")))</x:f>
      </x:c>
      <x:c r="CP111" s="7" t="str">
        <x:f>IF(OR($D111="",CP$5="",'상세일정'!AM111="제외"),"",IF($D111=$E111,IF(AND($D111&gt;=CP$5,$D111&lt;CP$5+7),"◆",""),IF(AND($D111&lt;CP$5+7,$E111&gt;CP$5),"■","")))</x:f>
      </x:c>
      <x:c r="CQ111" s="7" t="str">
        <x:f>IF(OR($D111="",CQ$5="",'상세일정'!AM111="제외"),"",IF($D111=$E111,IF(AND($D111&gt;=CQ$5,$D111&lt;CQ$5+7),"◆",""),IF(AND($D111&lt;CQ$5+7,$E111&gt;CQ$5),"■","")))</x:f>
      </x:c>
      <x:c r="CR111" s="7" t="str">
        <x:f>IF(OR($D111="",CR$5="",'상세일정'!AM111="제외"),"",IF($D111=$E111,IF(AND($D111&gt;=CR$5,$D111&lt;CR$5+7),"◆",""),IF(AND($D111&lt;CR$5+7,$E111&gt;CR$5),"■","")))</x:f>
      </x:c>
      <x:c r="CS111" s="7" t="str">
        <x:f>IF(OR($D111="",CS$5="",'상세일정'!AM111="제외"),"",IF($D111=$E111,IF(AND($D111&gt;=CS$5,$D111&lt;CS$5+7),"◆",""),IF(AND($D111&lt;CS$5+7,$E111&gt;CS$5),"■","")))</x:f>
      </x:c>
      <x:c r="CT111" s="7" t="str">
        <x:f>IF(OR($D111="",CT$5="",'상세일정'!AM111="제외"),"",IF($D111=$E111,IF(AND($D111&gt;=CT$5,$D111&lt;CT$5+7),"◆",""),IF(AND($D111&lt;CT$5+7,$E111&gt;CT$5),"■","")))</x:f>
      </x:c>
      <x:c r="CU111" s="7" t="str">
        <x:f>IF(OR($D111="",CU$5="",'상세일정'!AM111="제외"),"",IF($D111=$E111,IF(AND($D111&gt;=CU$5,$D111&lt;CU$5+7),"◆",""),IF(AND($D111&lt;CU$5+7,$E111&gt;CU$5),"■","")))</x:f>
      </x:c>
      <x:c r="CV111" s="7" t="str">
        <x:f>IF(OR($D111="",CV$5="",'상세일정'!AM111="제외"),"",IF($D111=$E111,IF(AND($D111&gt;=CV$5,$D111&lt;CV$5+7),"◆",""),IF(AND($D111&lt;CV$5+7,$E111&gt;CV$5),"■","")))</x:f>
      </x:c>
      <x:c r="CW111" s="7" t="str">
        <x:f>IF(OR($D111="",CW$5="",'상세일정'!AM111="제외"),"",IF($D111=$E111,IF(AND($D111&gt;=CW$5,$D111&lt;CW$5+7),"◆",""),IF(AND($D111&lt;CW$5+7,$E111&gt;CW$5),"■","")))</x:f>
      </x:c>
      <x:c r="CX111" s="7" t="str">
        <x:f>IF(OR($D111="",CX$5="",'상세일정'!AM111="제외"),"",IF($D111=$E111,IF(AND($D111&gt;=CX$5,$D111&lt;CX$5+7),"◆",""),IF(AND($D111&lt;CX$5+7,$E111&gt;CX$5),"■","")))</x:f>
      </x:c>
      <x:c r="CY111" s="7" t="str">
        <x:f>IF(OR($D111="",CY$5="",'상세일정'!AM111="제외"),"",IF($D111=$E111,IF(AND($D111&gt;=CY$5,$D111&lt;CY$5+7),"◆",""),IF(AND($D111&lt;CY$5+7,$E111&gt;CY$5),"■","")))</x:f>
      </x:c>
      <x:c r="CZ111" s="7" t="str">
        <x:f>IF(OR($D111="",CZ$5="",'상세일정'!AM111="제외"),"",IF($D111=$E111,IF(AND($D111&gt;=CZ$5,$D111&lt;CZ$5+7),"◆",""),IF(AND($D111&lt;CZ$5+7,$E111&gt;CZ$5),"■","")))</x:f>
      </x:c>
      <x:c r="DA111" s="7" t="str">
        <x:f>IF(OR($D111="",DA$5="",'상세일정'!AM111="제외"),"",IF($D111=$E111,IF(AND($D111&gt;=DA$5,$D111&lt;DA$5+7),"◆",""),IF(AND($D111&lt;DA$5+7,$E111&gt;DA$5),"■","")))</x:f>
      </x:c>
      <x:c r="DB111" s="7" t="str">
        <x:f>IF(OR($D111="",DB$5="",'상세일정'!AM111="제외"),"",IF($D111=$E111,IF(AND($D111&gt;=DB$5,$D111&lt;DB$5+7),"◆",""),IF(AND($D111&lt;DB$5+7,$E111&gt;DB$5),"■","")))</x:f>
      </x:c>
      <x:c r="DC111" s="7" t="str">
        <x:f>IF(OR($D111="",DC$5="",'상세일정'!AM111="제외"),"",IF($D111=$E111,IF(AND($D111&gt;=DC$5,$D111&lt;DC$5+7),"◆",""),IF(AND($D111&lt;DC$5+7,$E111&gt;DC$5),"■","")))</x:f>
      </x:c>
      <x:c r="DD111" s="7" t="str">
        <x:f>IF(OR($D111="",DD$5="",'상세일정'!AM111="제외"),"",IF($D111=$E111,IF(AND($D111&gt;=DD$5,$D111&lt;DD$5+7),"◆",""),IF(AND($D111&lt;DD$5+7,$E111&gt;DD$5),"■","")))</x:f>
      </x:c>
      <x:c r="DE111" s="7" t="str">
        <x:f>IF(OR($D111="",DE$5="",'상세일정'!AM111="제외"),"",IF($D111=$E111,IF(AND($D111&gt;=DE$5,$D111&lt;DE$5+7),"◆",""),IF(AND($D111&lt;DE$5+7,$E111&gt;DE$5),"■","")))</x:f>
      </x:c>
    </x:row>
    <x:row r="112" ht="34" customHeight="1">
      <x:c r="A112" s="7" t="str">
        <x:v>PR05</x:v>
      </x:c>
      <x:c r="B112" s="7" t="str">
        <x:v>16 기자재 구매·제작</x:v>
      </x:c>
      <x:c r="C112" s="7" t="str">
        <x:v>주공정 패키지 A 조립·공장 기능시험</x:v>
      </x:c>
      <x:c r="D112" s="10" t="str">
        <x:f>'상세일정'!AJ112</x:f>
      </x:c>
      <x:c r="E112" s="10" t="str">
        <x:f>'상세일정'!AK112</x:f>
      </x:c>
      <x:c r="F112" s="7" t="str">
        <x:f>IF(OR($D112="",F$5="",'상세일정'!AM112="제외"),"",IF($D112=$E112,IF(AND($D112&gt;=F$5,$D112&lt;F$5+7),"◆",""),IF(AND($D112&lt;F$5+7,$E112&gt;F$5),"■","")))</x:f>
      </x:c>
      <x:c r="G112" s="7" t="str">
        <x:f>IF(OR($D112="",G$5="",'상세일정'!AM112="제외"),"",IF($D112=$E112,IF(AND($D112&gt;=G$5,$D112&lt;G$5+7),"◆",""),IF(AND($D112&lt;G$5+7,$E112&gt;G$5),"■","")))</x:f>
      </x:c>
      <x:c r="H112" s="7" t="str">
        <x:f>IF(OR($D112="",H$5="",'상세일정'!AM112="제외"),"",IF($D112=$E112,IF(AND($D112&gt;=H$5,$D112&lt;H$5+7),"◆",""),IF(AND($D112&lt;H$5+7,$E112&gt;H$5),"■","")))</x:f>
      </x:c>
      <x:c r="I112" s="7" t="str">
        <x:f>IF(OR($D112="",I$5="",'상세일정'!AM112="제외"),"",IF($D112=$E112,IF(AND($D112&gt;=I$5,$D112&lt;I$5+7),"◆",""),IF(AND($D112&lt;I$5+7,$E112&gt;I$5),"■","")))</x:f>
      </x:c>
      <x:c r="J112" s="7" t="str">
        <x:f>IF(OR($D112="",J$5="",'상세일정'!AM112="제외"),"",IF($D112=$E112,IF(AND($D112&gt;=J$5,$D112&lt;J$5+7),"◆",""),IF(AND($D112&lt;J$5+7,$E112&gt;J$5),"■","")))</x:f>
      </x:c>
      <x:c r="K112" s="7" t="str">
        <x:f>IF(OR($D112="",K$5="",'상세일정'!AM112="제외"),"",IF($D112=$E112,IF(AND($D112&gt;=K$5,$D112&lt;K$5+7),"◆",""),IF(AND($D112&lt;K$5+7,$E112&gt;K$5),"■","")))</x:f>
      </x:c>
      <x:c r="L112" s="7" t="str">
        <x:f>IF(OR($D112="",L$5="",'상세일정'!AM112="제외"),"",IF($D112=$E112,IF(AND($D112&gt;=L$5,$D112&lt;L$5+7),"◆",""),IF(AND($D112&lt;L$5+7,$E112&gt;L$5),"■","")))</x:f>
      </x:c>
      <x:c r="M112" s="7" t="str">
        <x:f>IF(OR($D112="",M$5="",'상세일정'!AM112="제외"),"",IF($D112=$E112,IF(AND($D112&gt;=M$5,$D112&lt;M$5+7),"◆",""),IF(AND($D112&lt;M$5+7,$E112&gt;M$5),"■","")))</x:f>
      </x:c>
      <x:c r="N112" s="7" t="str">
        <x:f>IF(OR($D112="",N$5="",'상세일정'!AM112="제외"),"",IF($D112=$E112,IF(AND($D112&gt;=N$5,$D112&lt;N$5+7),"◆",""),IF(AND($D112&lt;N$5+7,$E112&gt;N$5),"■","")))</x:f>
      </x:c>
      <x:c r="O112" s="7" t="str">
        <x:f>IF(OR($D112="",O$5="",'상세일정'!AM112="제외"),"",IF($D112=$E112,IF(AND($D112&gt;=O$5,$D112&lt;O$5+7),"◆",""),IF(AND($D112&lt;O$5+7,$E112&gt;O$5),"■","")))</x:f>
      </x:c>
      <x:c r="P112" s="7" t="str">
        <x:f>IF(OR($D112="",P$5="",'상세일정'!AM112="제외"),"",IF($D112=$E112,IF(AND($D112&gt;=P$5,$D112&lt;P$5+7),"◆",""),IF(AND($D112&lt;P$5+7,$E112&gt;P$5),"■","")))</x:f>
      </x:c>
      <x:c r="Q112" s="7" t="str">
        <x:f>IF(OR($D112="",Q$5="",'상세일정'!AM112="제외"),"",IF($D112=$E112,IF(AND($D112&gt;=Q$5,$D112&lt;Q$5+7),"◆",""),IF(AND($D112&lt;Q$5+7,$E112&gt;Q$5),"■","")))</x:f>
      </x:c>
      <x:c r="R112" s="7" t="str">
        <x:f>IF(OR($D112="",R$5="",'상세일정'!AM112="제외"),"",IF($D112=$E112,IF(AND($D112&gt;=R$5,$D112&lt;R$5+7),"◆",""),IF(AND($D112&lt;R$5+7,$E112&gt;R$5),"■","")))</x:f>
      </x:c>
      <x:c r="S112" s="7" t="str">
        <x:f>IF(OR($D112="",S$5="",'상세일정'!AM112="제외"),"",IF($D112=$E112,IF(AND($D112&gt;=S$5,$D112&lt;S$5+7),"◆",""),IF(AND($D112&lt;S$5+7,$E112&gt;S$5),"■","")))</x:f>
      </x:c>
      <x:c r="T112" s="7" t="str">
        <x:f>IF(OR($D112="",T$5="",'상세일정'!AM112="제외"),"",IF($D112=$E112,IF(AND($D112&gt;=T$5,$D112&lt;T$5+7),"◆",""),IF(AND($D112&lt;T$5+7,$E112&gt;T$5),"■","")))</x:f>
      </x:c>
      <x:c r="U112" s="7" t="str">
        <x:f>IF(OR($D112="",U$5="",'상세일정'!AM112="제외"),"",IF($D112=$E112,IF(AND($D112&gt;=U$5,$D112&lt;U$5+7),"◆",""),IF(AND($D112&lt;U$5+7,$E112&gt;U$5),"■","")))</x:f>
      </x:c>
      <x:c r="V112" s="7" t="str">
        <x:f>IF(OR($D112="",V$5="",'상세일정'!AM112="제외"),"",IF($D112=$E112,IF(AND($D112&gt;=V$5,$D112&lt;V$5+7),"◆",""),IF(AND($D112&lt;V$5+7,$E112&gt;V$5),"■","")))</x:f>
      </x:c>
      <x:c r="W112" s="7" t="str">
        <x:f>IF(OR($D112="",W$5="",'상세일정'!AM112="제외"),"",IF($D112=$E112,IF(AND($D112&gt;=W$5,$D112&lt;W$5+7),"◆",""),IF(AND($D112&lt;W$5+7,$E112&gt;W$5),"■","")))</x:f>
      </x:c>
      <x:c r="X112" s="7" t="str">
        <x:f>IF(OR($D112="",X$5="",'상세일정'!AM112="제외"),"",IF($D112=$E112,IF(AND($D112&gt;=X$5,$D112&lt;X$5+7),"◆",""),IF(AND($D112&lt;X$5+7,$E112&gt;X$5),"■","")))</x:f>
      </x:c>
      <x:c r="Y112" s="7" t="str">
        <x:f>IF(OR($D112="",Y$5="",'상세일정'!AM112="제외"),"",IF($D112=$E112,IF(AND($D112&gt;=Y$5,$D112&lt;Y$5+7),"◆",""),IF(AND($D112&lt;Y$5+7,$E112&gt;Y$5),"■","")))</x:f>
      </x:c>
      <x:c r="Z112" s="7" t="str">
        <x:f>IF(OR($D112="",Z$5="",'상세일정'!AM112="제외"),"",IF($D112=$E112,IF(AND($D112&gt;=Z$5,$D112&lt;Z$5+7),"◆",""),IF(AND($D112&lt;Z$5+7,$E112&gt;Z$5),"■","")))</x:f>
      </x:c>
      <x:c r="AA112" s="7" t="str">
        <x:f>IF(OR($D112="",AA$5="",'상세일정'!AM112="제외"),"",IF($D112=$E112,IF(AND($D112&gt;=AA$5,$D112&lt;AA$5+7),"◆",""),IF(AND($D112&lt;AA$5+7,$E112&gt;AA$5),"■","")))</x:f>
      </x:c>
      <x:c r="AB112" s="7" t="str">
        <x:f>IF(OR($D112="",AB$5="",'상세일정'!AM112="제외"),"",IF($D112=$E112,IF(AND($D112&gt;=AB$5,$D112&lt;AB$5+7),"◆",""),IF(AND($D112&lt;AB$5+7,$E112&gt;AB$5),"■","")))</x:f>
      </x:c>
      <x:c r="AC112" s="7" t="str">
        <x:f>IF(OR($D112="",AC$5="",'상세일정'!AM112="제외"),"",IF($D112=$E112,IF(AND($D112&gt;=AC$5,$D112&lt;AC$5+7),"◆",""),IF(AND($D112&lt;AC$5+7,$E112&gt;AC$5),"■","")))</x:f>
      </x:c>
      <x:c r="AD112" s="7" t="str">
        <x:f>IF(OR($D112="",AD$5="",'상세일정'!AM112="제외"),"",IF($D112=$E112,IF(AND($D112&gt;=AD$5,$D112&lt;AD$5+7),"◆",""),IF(AND($D112&lt;AD$5+7,$E112&gt;AD$5),"■","")))</x:f>
      </x:c>
      <x:c r="AE112" s="7" t="str">
        <x:f>IF(OR($D112="",AE$5="",'상세일정'!AM112="제외"),"",IF($D112=$E112,IF(AND($D112&gt;=AE$5,$D112&lt;AE$5+7),"◆",""),IF(AND($D112&lt;AE$5+7,$E112&gt;AE$5),"■","")))</x:f>
      </x:c>
      <x:c r="AF112" s="7" t="str">
        <x:f>IF(OR($D112="",AF$5="",'상세일정'!AM112="제외"),"",IF($D112=$E112,IF(AND($D112&gt;=AF$5,$D112&lt;AF$5+7),"◆",""),IF(AND($D112&lt;AF$5+7,$E112&gt;AF$5),"■","")))</x:f>
      </x:c>
      <x:c r="AG112" s="7" t="str">
        <x:f>IF(OR($D112="",AG$5="",'상세일정'!AM112="제외"),"",IF($D112=$E112,IF(AND($D112&gt;=AG$5,$D112&lt;AG$5+7),"◆",""),IF(AND($D112&lt;AG$5+7,$E112&gt;AG$5),"■","")))</x:f>
      </x:c>
      <x:c r="AH112" s="7" t="str">
        <x:f>IF(OR($D112="",AH$5="",'상세일정'!AM112="제외"),"",IF($D112=$E112,IF(AND($D112&gt;=AH$5,$D112&lt;AH$5+7),"◆",""),IF(AND($D112&lt;AH$5+7,$E112&gt;AH$5),"■","")))</x:f>
      </x:c>
      <x:c r="AI112" s="7" t="str">
        <x:f>IF(OR($D112="",AI$5="",'상세일정'!AM112="제외"),"",IF($D112=$E112,IF(AND($D112&gt;=AI$5,$D112&lt;AI$5+7),"◆",""),IF(AND($D112&lt;AI$5+7,$E112&gt;AI$5),"■","")))</x:f>
      </x:c>
      <x:c r="AJ112" s="7" t="str">
        <x:f>IF(OR($D112="",AJ$5="",'상세일정'!AM112="제외"),"",IF($D112=$E112,IF(AND($D112&gt;=AJ$5,$D112&lt;AJ$5+7),"◆",""),IF(AND($D112&lt;AJ$5+7,$E112&gt;AJ$5),"■","")))</x:f>
      </x:c>
      <x:c r="AK112" s="7" t="str">
        <x:f>IF(OR($D112="",AK$5="",'상세일정'!AM112="제외"),"",IF($D112=$E112,IF(AND($D112&gt;=AK$5,$D112&lt;AK$5+7),"◆",""),IF(AND($D112&lt;AK$5+7,$E112&gt;AK$5),"■","")))</x:f>
      </x:c>
      <x:c r="AL112" s="7" t="str">
        <x:f>IF(OR($D112="",AL$5="",'상세일정'!AM112="제외"),"",IF($D112=$E112,IF(AND($D112&gt;=AL$5,$D112&lt;AL$5+7),"◆",""),IF(AND($D112&lt;AL$5+7,$E112&gt;AL$5),"■","")))</x:f>
      </x:c>
      <x:c r="AM112" s="7" t="str">
        <x:f>IF(OR($D112="",AM$5="",'상세일정'!AM112="제외"),"",IF($D112=$E112,IF(AND($D112&gt;=AM$5,$D112&lt;AM$5+7),"◆",""),IF(AND($D112&lt;AM$5+7,$E112&gt;AM$5),"■","")))</x:f>
      </x:c>
      <x:c r="AN112" s="7" t="str">
        <x:f>IF(OR($D112="",AN$5="",'상세일정'!AM112="제외"),"",IF($D112=$E112,IF(AND($D112&gt;=AN$5,$D112&lt;AN$5+7),"◆",""),IF(AND($D112&lt;AN$5+7,$E112&gt;AN$5),"■","")))</x:f>
      </x:c>
      <x:c r="AO112" s="7" t="str">
        <x:f>IF(OR($D112="",AO$5="",'상세일정'!AM112="제외"),"",IF($D112=$E112,IF(AND($D112&gt;=AO$5,$D112&lt;AO$5+7),"◆",""),IF(AND($D112&lt;AO$5+7,$E112&gt;AO$5),"■","")))</x:f>
      </x:c>
      <x:c r="AP112" s="7" t="str">
        <x:f>IF(OR($D112="",AP$5="",'상세일정'!AM112="제외"),"",IF($D112=$E112,IF(AND($D112&gt;=AP$5,$D112&lt;AP$5+7),"◆",""),IF(AND($D112&lt;AP$5+7,$E112&gt;AP$5),"■","")))</x:f>
      </x:c>
      <x:c r="AQ112" s="7" t="str">
        <x:f>IF(OR($D112="",AQ$5="",'상세일정'!AM112="제외"),"",IF($D112=$E112,IF(AND($D112&gt;=AQ$5,$D112&lt;AQ$5+7),"◆",""),IF(AND($D112&lt;AQ$5+7,$E112&gt;AQ$5),"■","")))</x:f>
      </x:c>
      <x:c r="AR112" s="7" t="str">
        <x:f>IF(OR($D112="",AR$5="",'상세일정'!AM112="제외"),"",IF($D112=$E112,IF(AND($D112&gt;=AR$5,$D112&lt;AR$5+7),"◆",""),IF(AND($D112&lt;AR$5+7,$E112&gt;AR$5),"■","")))</x:f>
      </x:c>
      <x:c r="AS112" s="7" t="str">
        <x:f>IF(OR($D112="",AS$5="",'상세일정'!AM112="제외"),"",IF($D112=$E112,IF(AND($D112&gt;=AS$5,$D112&lt;AS$5+7),"◆",""),IF(AND($D112&lt;AS$5+7,$E112&gt;AS$5),"■","")))</x:f>
      </x:c>
      <x:c r="AT112" s="7" t="str">
        <x:f>IF(OR($D112="",AT$5="",'상세일정'!AM112="제외"),"",IF($D112=$E112,IF(AND($D112&gt;=AT$5,$D112&lt;AT$5+7),"◆",""),IF(AND($D112&lt;AT$5+7,$E112&gt;AT$5),"■","")))</x:f>
      </x:c>
      <x:c r="AU112" s="7" t="str">
        <x:f>IF(OR($D112="",AU$5="",'상세일정'!AM112="제외"),"",IF($D112=$E112,IF(AND($D112&gt;=AU$5,$D112&lt;AU$5+7),"◆",""),IF(AND($D112&lt;AU$5+7,$E112&gt;AU$5),"■","")))</x:f>
      </x:c>
      <x:c r="AV112" s="7" t="str">
        <x:f>IF(OR($D112="",AV$5="",'상세일정'!AM112="제외"),"",IF($D112=$E112,IF(AND($D112&gt;=AV$5,$D112&lt;AV$5+7),"◆",""),IF(AND($D112&lt;AV$5+7,$E112&gt;AV$5),"■","")))</x:f>
      </x:c>
      <x:c r="AW112" s="7" t="str">
        <x:f>IF(OR($D112="",AW$5="",'상세일정'!AM112="제외"),"",IF($D112=$E112,IF(AND($D112&gt;=AW$5,$D112&lt;AW$5+7),"◆",""),IF(AND($D112&lt;AW$5+7,$E112&gt;AW$5),"■","")))</x:f>
      </x:c>
      <x:c r="AX112" s="7" t="str">
        <x:f>IF(OR($D112="",AX$5="",'상세일정'!AM112="제외"),"",IF($D112=$E112,IF(AND($D112&gt;=AX$5,$D112&lt;AX$5+7),"◆",""),IF(AND($D112&lt;AX$5+7,$E112&gt;AX$5),"■","")))</x:f>
      </x:c>
      <x:c r="AY112" s="7" t="str">
        <x:f>IF(OR($D112="",AY$5="",'상세일정'!AM112="제외"),"",IF($D112=$E112,IF(AND($D112&gt;=AY$5,$D112&lt;AY$5+7),"◆",""),IF(AND($D112&lt;AY$5+7,$E112&gt;AY$5),"■","")))</x:f>
      </x:c>
      <x:c r="AZ112" s="7" t="str">
        <x:f>IF(OR($D112="",AZ$5="",'상세일정'!AM112="제외"),"",IF($D112=$E112,IF(AND($D112&gt;=AZ$5,$D112&lt;AZ$5+7),"◆",""),IF(AND($D112&lt;AZ$5+7,$E112&gt;AZ$5),"■","")))</x:f>
      </x:c>
      <x:c r="BA112" s="7" t="str">
        <x:f>IF(OR($D112="",BA$5="",'상세일정'!AM112="제외"),"",IF($D112=$E112,IF(AND($D112&gt;=BA$5,$D112&lt;BA$5+7),"◆",""),IF(AND($D112&lt;BA$5+7,$E112&gt;BA$5),"■","")))</x:f>
      </x:c>
      <x:c r="BB112" s="7" t="str">
        <x:f>IF(OR($D112="",BB$5="",'상세일정'!AM112="제외"),"",IF($D112=$E112,IF(AND($D112&gt;=BB$5,$D112&lt;BB$5+7),"◆",""),IF(AND($D112&lt;BB$5+7,$E112&gt;BB$5),"■","")))</x:f>
      </x:c>
      <x:c r="BC112" s="7" t="str">
        <x:f>IF(OR($D112="",BC$5="",'상세일정'!AM112="제외"),"",IF($D112=$E112,IF(AND($D112&gt;=BC$5,$D112&lt;BC$5+7),"◆",""),IF(AND($D112&lt;BC$5+7,$E112&gt;BC$5),"■","")))</x:f>
      </x:c>
      <x:c r="BD112" s="7" t="str">
        <x:f>IF(OR($D112="",BD$5="",'상세일정'!AM112="제외"),"",IF($D112=$E112,IF(AND($D112&gt;=BD$5,$D112&lt;BD$5+7),"◆",""),IF(AND($D112&lt;BD$5+7,$E112&gt;BD$5),"■","")))</x:f>
      </x:c>
      <x:c r="BE112" s="7" t="str">
        <x:f>IF(OR($D112="",BE$5="",'상세일정'!AM112="제외"),"",IF($D112=$E112,IF(AND($D112&gt;=BE$5,$D112&lt;BE$5+7),"◆",""),IF(AND($D112&lt;BE$5+7,$E112&gt;BE$5),"■","")))</x:f>
      </x:c>
      <x:c r="BF112" s="7" t="str">
        <x:f>IF(OR($D112="",BF$5="",'상세일정'!AM112="제외"),"",IF($D112=$E112,IF(AND($D112&gt;=BF$5,$D112&lt;BF$5+7),"◆",""),IF(AND($D112&lt;BF$5+7,$E112&gt;BF$5),"■","")))</x:f>
      </x:c>
      <x:c r="BG112" s="7" t="str">
        <x:f>IF(OR($D112="",BG$5="",'상세일정'!AM112="제외"),"",IF($D112=$E112,IF(AND($D112&gt;=BG$5,$D112&lt;BG$5+7),"◆",""),IF(AND($D112&lt;BG$5+7,$E112&gt;BG$5),"■","")))</x:f>
      </x:c>
      <x:c r="BH112" s="7" t="str">
        <x:f>IF(OR($D112="",BH$5="",'상세일정'!AM112="제외"),"",IF($D112=$E112,IF(AND($D112&gt;=BH$5,$D112&lt;BH$5+7),"◆",""),IF(AND($D112&lt;BH$5+7,$E112&gt;BH$5),"■","")))</x:f>
      </x:c>
      <x:c r="BI112" s="7" t="str">
        <x:f>IF(OR($D112="",BI$5="",'상세일정'!AM112="제외"),"",IF($D112=$E112,IF(AND($D112&gt;=BI$5,$D112&lt;BI$5+7),"◆",""),IF(AND($D112&lt;BI$5+7,$E112&gt;BI$5),"■","")))</x:f>
      </x:c>
      <x:c r="BJ112" s="7" t="str">
        <x:f>IF(OR($D112="",BJ$5="",'상세일정'!AM112="제외"),"",IF($D112=$E112,IF(AND($D112&gt;=BJ$5,$D112&lt;BJ$5+7),"◆",""),IF(AND($D112&lt;BJ$5+7,$E112&gt;BJ$5),"■","")))</x:f>
      </x:c>
      <x:c r="BK112" s="7" t="str">
        <x:f>IF(OR($D112="",BK$5="",'상세일정'!AM112="제외"),"",IF($D112=$E112,IF(AND($D112&gt;=BK$5,$D112&lt;BK$5+7),"◆",""),IF(AND($D112&lt;BK$5+7,$E112&gt;BK$5),"■","")))</x:f>
      </x:c>
      <x:c r="BL112" s="7" t="str">
        <x:f>IF(OR($D112="",BL$5="",'상세일정'!AM112="제외"),"",IF($D112=$E112,IF(AND($D112&gt;=BL$5,$D112&lt;BL$5+7),"◆",""),IF(AND($D112&lt;BL$5+7,$E112&gt;BL$5),"■","")))</x:f>
      </x:c>
      <x:c r="BM112" s="7" t="str">
        <x:f>IF(OR($D112="",BM$5="",'상세일정'!AM112="제외"),"",IF($D112=$E112,IF(AND($D112&gt;=BM$5,$D112&lt;BM$5+7),"◆",""),IF(AND($D112&lt;BM$5+7,$E112&gt;BM$5),"■","")))</x:f>
      </x:c>
      <x:c r="BN112" s="7" t="str">
        <x:f>IF(OR($D112="",BN$5="",'상세일정'!AM112="제외"),"",IF($D112=$E112,IF(AND($D112&gt;=BN$5,$D112&lt;BN$5+7),"◆",""),IF(AND($D112&lt;BN$5+7,$E112&gt;BN$5),"■","")))</x:f>
      </x:c>
      <x:c r="BO112" s="7" t="str">
        <x:f>IF(OR($D112="",BO$5="",'상세일정'!AM112="제외"),"",IF($D112=$E112,IF(AND($D112&gt;=BO$5,$D112&lt;BO$5+7),"◆",""),IF(AND($D112&lt;BO$5+7,$E112&gt;BO$5),"■","")))</x:f>
      </x:c>
      <x:c r="BP112" s="7" t="str">
        <x:f>IF(OR($D112="",BP$5="",'상세일정'!AM112="제외"),"",IF($D112=$E112,IF(AND($D112&gt;=BP$5,$D112&lt;BP$5+7),"◆",""),IF(AND($D112&lt;BP$5+7,$E112&gt;BP$5),"■","")))</x:f>
      </x:c>
      <x:c r="BQ112" s="7" t="str">
        <x:f>IF(OR($D112="",BQ$5="",'상세일정'!AM112="제외"),"",IF($D112=$E112,IF(AND($D112&gt;=BQ$5,$D112&lt;BQ$5+7),"◆",""),IF(AND($D112&lt;BQ$5+7,$E112&gt;BQ$5),"■","")))</x:f>
      </x:c>
      <x:c r="BR112" s="7" t="str">
        <x:f>IF(OR($D112="",BR$5="",'상세일정'!AM112="제외"),"",IF($D112=$E112,IF(AND($D112&gt;=BR$5,$D112&lt;BR$5+7),"◆",""),IF(AND($D112&lt;BR$5+7,$E112&gt;BR$5),"■","")))</x:f>
      </x:c>
      <x:c r="BS112" s="7" t="str">
        <x:f>IF(OR($D112="",BS$5="",'상세일정'!AM112="제외"),"",IF($D112=$E112,IF(AND($D112&gt;=BS$5,$D112&lt;BS$5+7),"◆",""),IF(AND($D112&lt;BS$5+7,$E112&gt;BS$5),"■","")))</x:f>
      </x:c>
      <x:c r="BT112" s="7" t="str">
        <x:f>IF(OR($D112="",BT$5="",'상세일정'!AM112="제외"),"",IF($D112=$E112,IF(AND($D112&gt;=BT$5,$D112&lt;BT$5+7),"◆",""),IF(AND($D112&lt;BT$5+7,$E112&gt;BT$5),"■","")))</x:f>
      </x:c>
      <x:c r="BU112" s="7" t="str">
        <x:f>IF(OR($D112="",BU$5="",'상세일정'!AM112="제외"),"",IF($D112=$E112,IF(AND($D112&gt;=BU$5,$D112&lt;BU$5+7),"◆",""),IF(AND($D112&lt;BU$5+7,$E112&gt;BU$5),"■","")))</x:f>
      </x:c>
      <x:c r="BV112" s="7" t="str">
        <x:f>IF(OR($D112="",BV$5="",'상세일정'!AM112="제외"),"",IF($D112=$E112,IF(AND($D112&gt;=BV$5,$D112&lt;BV$5+7),"◆",""),IF(AND($D112&lt;BV$5+7,$E112&gt;BV$5),"■","")))</x:f>
      </x:c>
      <x:c r="BW112" s="7" t="str">
        <x:f>IF(OR($D112="",BW$5="",'상세일정'!AM112="제외"),"",IF($D112=$E112,IF(AND($D112&gt;=BW$5,$D112&lt;BW$5+7),"◆",""),IF(AND($D112&lt;BW$5+7,$E112&gt;BW$5),"■","")))</x:f>
      </x:c>
      <x:c r="BX112" s="7" t="str">
        <x:f>IF(OR($D112="",BX$5="",'상세일정'!AM112="제외"),"",IF($D112=$E112,IF(AND($D112&gt;=BX$5,$D112&lt;BX$5+7),"◆",""),IF(AND($D112&lt;BX$5+7,$E112&gt;BX$5),"■","")))</x:f>
      </x:c>
      <x:c r="BY112" s="7" t="str">
        <x:f>IF(OR($D112="",BY$5="",'상세일정'!AM112="제외"),"",IF($D112=$E112,IF(AND($D112&gt;=BY$5,$D112&lt;BY$5+7),"◆",""),IF(AND($D112&lt;BY$5+7,$E112&gt;BY$5),"■","")))</x:f>
      </x:c>
      <x:c r="BZ112" s="7" t="str">
        <x:f>IF(OR($D112="",BZ$5="",'상세일정'!AM112="제외"),"",IF($D112=$E112,IF(AND($D112&gt;=BZ$5,$D112&lt;BZ$5+7),"◆",""),IF(AND($D112&lt;BZ$5+7,$E112&gt;BZ$5),"■","")))</x:f>
      </x:c>
      <x:c r="CA112" s="7" t="str">
        <x:f>IF(OR($D112="",CA$5="",'상세일정'!AM112="제외"),"",IF($D112=$E112,IF(AND($D112&gt;=CA$5,$D112&lt;CA$5+7),"◆",""),IF(AND($D112&lt;CA$5+7,$E112&gt;CA$5),"■","")))</x:f>
      </x:c>
      <x:c r="CB112" s="7" t="str">
        <x:f>IF(OR($D112="",CB$5="",'상세일정'!AM112="제외"),"",IF($D112=$E112,IF(AND($D112&gt;=CB$5,$D112&lt;CB$5+7),"◆",""),IF(AND($D112&lt;CB$5+7,$E112&gt;CB$5),"■","")))</x:f>
      </x:c>
      <x:c r="CC112" s="7" t="str">
        <x:f>IF(OR($D112="",CC$5="",'상세일정'!AM112="제외"),"",IF($D112=$E112,IF(AND($D112&gt;=CC$5,$D112&lt;CC$5+7),"◆",""),IF(AND($D112&lt;CC$5+7,$E112&gt;CC$5),"■","")))</x:f>
      </x:c>
      <x:c r="CD112" s="7" t="str">
        <x:f>IF(OR($D112="",CD$5="",'상세일정'!AM112="제외"),"",IF($D112=$E112,IF(AND($D112&gt;=CD$5,$D112&lt;CD$5+7),"◆",""),IF(AND($D112&lt;CD$5+7,$E112&gt;CD$5),"■","")))</x:f>
      </x:c>
      <x:c r="CE112" s="7" t="str">
        <x:f>IF(OR($D112="",CE$5="",'상세일정'!AM112="제외"),"",IF($D112=$E112,IF(AND($D112&gt;=CE$5,$D112&lt;CE$5+7),"◆",""),IF(AND($D112&lt;CE$5+7,$E112&gt;CE$5),"■","")))</x:f>
      </x:c>
      <x:c r="CF112" s="7" t="str">
        <x:f>IF(OR($D112="",CF$5="",'상세일정'!AM112="제외"),"",IF($D112=$E112,IF(AND($D112&gt;=CF$5,$D112&lt;CF$5+7),"◆",""),IF(AND($D112&lt;CF$5+7,$E112&gt;CF$5),"■","")))</x:f>
      </x:c>
      <x:c r="CG112" s="7" t="str">
        <x:f>IF(OR($D112="",CG$5="",'상세일정'!AM112="제외"),"",IF($D112=$E112,IF(AND($D112&gt;=CG$5,$D112&lt;CG$5+7),"◆",""),IF(AND($D112&lt;CG$5+7,$E112&gt;CG$5),"■","")))</x:f>
      </x:c>
      <x:c r="CH112" s="7" t="str">
        <x:f>IF(OR($D112="",CH$5="",'상세일정'!AM112="제외"),"",IF($D112=$E112,IF(AND($D112&gt;=CH$5,$D112&lt;CH$5+7),"◆",""),IF(AND($D112&lt;CH$5+7,$E112&gt;CH$5),"■","")))</x:f>
      </x:c>
      <x:c r="CI112" s="7" t="str">
        <x:f>IF(OR($D112="",CI$5="",'상세일정'!AM112="제외"),"",IF($D112=$E112,IF(AND($D112&gt;=CI$5,$D112&lt;CI$5+7),"◆",""),IF(AND($D112&lt;CI$5+7,$E112&gt;CI$5),"■","")))</x:f>
      </x:c>
      <x:c r="CJ112" s="7" t="str">
        <x:f>IF(OR($D112="",CJ$5="",'상세일정'!AM112="제외"),"",IF($D112=$E112,IF(AND($D112&gt;=CJ$5,$D112&lt;CJ$5+7),"◆",""),IF(AND($D112&lt;CJ$5+7,$E112&gt;CJ$5),"■","")))</x:f>
      </x:c>
      <x:c r="CK112" s="7" t="str">
        <x:f>IF(OR($D112="",CK$5="",'상세일정'!AM112="제외"),"",IF($D112=$E112,IF(AND($D112&gt;=CK$5,$D112&lt;CK$5+7),"◆",""),IF(AND($D112&lt;CK$5+7,$E112&gt;CK$5),"■","")))</x:f>
      </x:c>
      <x:c r="CL112" s="7" t="str">
        <x:f>IF(OR($D112="",CL$5="",'상세일정'!AM112="제외"),"",IF($D112=$E112,IF(AND($D112&gt;=CL$5,$D112&lt;CL$5+7),"◆",""),IF(AND($D112&lt;CL$5+7,$E112&gt;CL$5),"■","")))</x:f>
      </x:c>
      <x:c r="CM112" s="7" t="str">
        <x:f>IF(OR($D112="",CM$5="",'상세일정'!AM112="제외"),"",IF($D112=$E112,IF(AND($D112&gt;=CM$5,$D112&lt;CM$5+7),"◆",""),IF(AND($D112&lt;CM$5+7,$E112&gt;CM$5),"■","")))</x:f>
      </x:c>
      <x:c r="CN112" s="7" t="str">
        <x:f>IF(OR($D112="",CN$5="",'상세일정'!AM112="제외"),"",IF($D112=$E112,IF(AND($D112&gt;=CN$5,$D112&lt;CN$5+7),"◆",""),IF(AND($D112&lt;CN$5+7,$E112&gt;CN$5),"■","")))</x:f>
      </x:c>
      <x:c r="CO112" s="7" t="str">
        <x:f>IF(OR($D112="",CO$5="",'상세일정'!AM112="제외"),"",IF($D112=$E112,IF(AND($D112&gt;=CO$5,$D112&lt;CO$5+7),"◆",""),IF(AND($D112&lt;CO$5+7,$E112&gt;CO$5),"■","")))</x:f>
      </x:c>
      <x:c r="CP112" s="7" t="str">
        <x:f>IF(OR($D112="",CP$5="",'상세일정'!AM112="제외"),"",IF($D112=$E112,IF(AND($D112&gt;=CP$5,$D112&lt;CP$5+7),"◆",""),IF(AND($D112&lt;CP$5+7,$E112&gt;CP$5),"■","")))</x:f>
      </x:c>
      <x:c r="CQ112" s="7" t="str">
        <x:f>IF(OR($D112="",CQ$5="",'상세일정'!AM112="제외"),"",IF($D112=$E112,IF(AND($D112&gt;=CQ$5,$D112&lt;CQ$5+7),"◆",""),IF(AND($D112&lt;CQ$5+7,$E112&gt;CQ$5),"■","")))</x:f>
      </x:c>
      <x:c r="CR112" s="7" t="str">
        <x:f>IF(OR($D112="",CR$5="",'상세일정'!AM112="제외"),"",IF($D112=$E112,IF(AND($D112&gt;=CR$5,$D112&lt;CR$5+7),"◆",""),IF(AND($D112&lt;CR$5+7,$E112&gt;CR$5),"■","")))</x:f>
      </x:c>
      <x:c r="CS112" s="7" t="str">
        <x:f>IF(OR($D112="",CS$5="",'상세일정'!AM112="제외"),"",IF($D112=$E112,IF(AND($D112&gt;=CS$5,$D112&lt;CS$5+7),"◆",""),IF(AND($D112&lt;CS$5+7,$E112&gt;CS$5),"■","")))</x:f>
      </x:c>
      <x:c r="CT112" s="7" t="str">
        <x:f>IF(OR($D112="",CT$5="",'상세일정'!AM112="제외"),"",IF($D112=$E112,IF(AND($D112&gt;=CT$5,$D112&lt;CT$5+7),"◆",""),IF(AND($D112&lt;CT$5+7,$E112&gt;CT$5),"■","")))</x:f>
      </x:c>
      <x:c r="CU112" s="7" t="str">
        <x:f>IF(OR($D112="",CU$5="",'상세일정'!AM112="제외"),"",IF($D112=$E112,IF(AND($D112&gt;=CU$5,$D112&lt;CU$5+7),"◆",""),IF(AND($D112&lt;CU$5+7,$E112&gt;CU$5),"■","")))</x:f>
      </x:c>
      <x:c r="CV112" s="7" t="str">
        <x:f>IF(OR($D112="",CV$5="",'상세일정'!AM112="제외"),"",IF($D112=$E112,IF(AND($D112&gt;=CV$5,$D112&lt;CV$5+7),"◆",""),IF(AND($D112&lt;CV$5+7,$E112&gt;CV$5),"■","")))</x:f>
      </x:c>
      <x:c r="CW112" s="7" t="str">
        <x:f>IF(OR($D112="",CW$5="",'상세일정'!AM112="제외"),"",IF($D112=$E112,IF(AND($D112&gt;=CW$5,$D112&lt;CW$5+7),"◆",""),IF(AND($D112&lt;CW$5+7,$E112&gt;CW$5),"■","")))</x:f>
      </x:c>
      <x:c r="CX112" s="7" t="str">
        <x:f>IF(OR($D112="",CX$5="",'상세일정'!AM112="제외"),"",IF($D112=$E112,IF(AND($D112&gt;=CX$5,$D112&lt;CX$5+7),"◆",""),IF(AND($D112&lt;CX$5+7,$E112&gt;CX$5),"■","")))</x:f>
      </x:c>
      <x:c r="CY112" s="7" t="str">
        <x:f>IF(OR($D112="",CY$5="",'상세일정'!AM112="제외"),"",IF($D112=$E112,IF(AND($D112&gt;=CY$5,$D112&lt;CY$5+7),"◆",""),IF(AND($D112&lt;CY$5+7,$E112&gt;CY$5),"■","")))</x:f>
      </x:c>
      <x:c r="CZ112" s="7" t="str">
        <x:f>IF(OR($D112="",CZ$5="",'상세일정'!AM112="제외"),"",IF($D112=$E112,IF(AND($D112&gt;=CZ$5,$D112&lt;CZ$5+7),"◆",""),IF(AND($D112&lt;CZ$5+7,$E112&gt;CZ$5),"■","")))</x:f>
      </x:c>
      <x:c r="DA112" s="7" t="str">
        <x:f>IF(OR($D112="",DA$5="",'상세일정'!AM112="제외"),"",IF($D112=$E112,IF(AND($D112&gt;=DA$5,$D112&lt;DA$5+7),"◆",""),IF(AND($D112&lt;DA$5+7,$E112&gt;DA$5),"■","")))</x:f>
      </x:c>
      <x:c r="DB112" s="7" t="str">
        <x:f>IF(OR($D112="",DB$5="",'상세일정'!AM112="제외"),"",IF($D112=$E112,IF(AND($D112&gt;=DB$5,$D112&lt;DB$5+7),"◆",""),IF(AND($D112&lt;DB$5+7,$E112&gt;DB$5),"■","")))</x:f>
      </x:c>
      <x:c r="DC112" s="7" t="str">
        <x:f>IF(OR($D112="",DC$5="",'상세일정'!AM112="제외"),"",IF($D112=$E112,IF(AND($D112&gt;=DC$5,$D112&lt;DC$5+7),"◆",""),IF(AND($D112&lt;DC$5+7,$E112&gt;DC$5),"■","")))</x:f>
      </x:c>
      <x:c r="DD112" s="7" t="str">
        <x:f>IF(OR($D112="",DD$5="",'상세일정'!AM112="제외"),"",IF($D112=$E112,IF(AND($D112&gt;=DD$5,$D112&lt;DD$5+7),"◆",""),IF(AND($D112&lt;DD$5+7,$E112&gt;DD$5),"■","")))</x:f>
      </x:c>
      <x:c r="DE112" s="7" t="str">
        <x:f>IF(OR($D112="",DE$5="",'상세일정'!AM112="제외"),"",IF($D112=$E112,IF(AND($D112&gt;=DE$5,$D112&lt;DE$5+7),"◆",""),IF(AND($D112&lt;DE$5+7,$E112&gt;DE$5),"■","")))</x:f>
      </x:c>
    </x:row>
    <x:row r="113" ht="34" customHeight="1">
      <x:c r="A113" s="7" t="str">
        <x:v>PR06</x:v>
      </x:c>
      <x:c r="B113" s="7" t="str">
        <x:v>16 기자재 구매·제작</x:v>
      </x:c>
      <x:c r="C113" s="7" t="str">
        <x:v>주공정 패키지 A FAT 입회·지적사항 조치</x:v>
      </x:c>
      <x:c r="D113" s="10" t="str">
        <x:f>'상세일정'!AJ113</x:f>
      </x:c>
      <x:c r="E113" s="10" t="str">
        <x:f>'상세일정'!AK113</x:f>
      </x:c>
      <x:c r="F113" s="7" t="str">
        <x:f>IF(OR($D113="",F$5="",'상세일정'!AM113="제외"),"",IF($D113=$E113,IF(AND($D113&gt;=F$5,$D113&lt;F$5+7),"◆",""),IF(AND($D113&lt;F$5+7,$E113&gt;F$5),"■","")))</x:f>
      </x:c>
      <x:c r="G113" s="7" t="str">
        <x:f>IF(OR($D113="",G$5="",'상세일정'!AM113="제외"),"",IF($D113=$E113,IF(AND($D113&gt;=G$5,$D113&lt;G$5+7),"◆",""),IF(AND($D113&lt;G$5+7,$E113&gt;G$5),"■","")))</x:f>
      </x:c>
      <x:c r="H113" s="7" t="str">
        <x:f>IF(OR($D113="",H$5="",'상세일정'!AM113="제외"),"",IF($D113=$E113,IF(AND($D113&gt;=H$5,$D113&lt;H$5+7),"◆",""),IF(AND($D113&lt;H$5+7,$E113&gt;H$5),"■","")))</x:f>
      </x:c>
      <x:c r="I113" s="7" t="str">
        <x:f>IF(OR($D113="",I$5="",'상세일정'!AM113="제외"),"",IF($D113=$E113,IF(AND($D113&gt;=I$5,$D113&lt;I$5+7),"◆",""),IF(AND($D113&lt;I$5+7,$E113&gt;I$5),"■","")))</x:f>
      </x:c>
      <x:c r="J113" s="7" t="str">
        <x:f>IF(OR($D113="",J$5="",'상세일정'!AM113="제외"),"",IF($D113=$E113,IF(AND($D113&gt;=J$5,$D113&lt;J$5+7),"◆",""),IF(AND($D113&lt;J$5+7,$E113&gt;J$5),"■","")))</x:f>
      </x:c>
      <x:c r="K113" s="7" t="str">
        <x:f>IF(OR($D113="",K$5="",'상세일정'!AM113="제외"),"",IF($D113=$E113,IF(AND($D113&gt;=K$5,$D113&lt;K$5+7),"◆",""),IF(AND($D113&lt;K$5+7,$E113&gt;K$5),"■","")))</x:f>
      </x:c>
      <x:c r="L113" s="7" t="str">
        <x:f>IF(OR($D113="",L$5="",'상세일정'!AM113="제외"),"",IF($D113=$E113,IF(AND($D113&gt;=L$5,$D113&lt;L$5+7),"◆",""),IF(AND($D113&lt;L$5+7,$E113&gt;L$5),"■","")))</x:f>
      </x:c>
      <x:c r="M113" s="7" t="str">
        <x:f>IF(OR($D113="",M$5="",'상세일정'!AM113="제외"),"",IF($D113=$E113,IF(AND($D113&gt;=M$5,$D113&lt;M$5+7),"◆",""),IF(AND($D113&lt;M$5+7,$E113&gt;M$5),"■","")))</x:f>
      </x:c>
      <x:c r="N113" s="7" t="str">
        <x:f>IF(OR($D113="",N$5="",'상세일정'!AM113="제외"),"",IF($D113=$E113,IF(AND($D113&gt;=N$5,$D113&lt;N$5+7),"◆",""),IF(AND($D113&lt;N$5+7,$E113&gt;N$5),"■","")))</x:f>
      </x:c>
      <x:c r="O113" s="7" t="str">
        <x:f>IF(OR($D113="",O$5="",'상세일정'!AM113="제외"),"",IF($D113=$E113,IF(AND($D113&gt;=O$5,$D113&lt;O$5+7),"◆",""),IF(AND($D113&lt;O$5+7,$E113&gt;O$5),"■","")))</x:f>
      </x:c>
      <x:c r="P113" s="7" t="str">
        <x:f>IF(OR($D113="",P$5="",'상세일정'!AM113="제외"),"",IF($D113=$E113,IF(AND($D113&gt;=P$5,$D113&lt;P$5+7),"◆",""),IF(AND($D113&lt;P$5+7,$E113&gt;P$5),"■","")))</x:f>
      </x:c>
      <x:c r="Q113" s="7" t="str">
        <x:f>IF(OR($D113="",Q$5="",'상세일정'!AM113="제외"),"",IF($D113=$E113,IF(AND($D113&gt;=Q$5,$D113&lt;Q$5+7),"◆",""),IF(AND($D113&lt;Q$5+7,$E113&gt;Q$5),"■","")))</x:f>
      </x:c>
      <x:c r="R113" s="7" t="str">
        <x:f>IF(OR($D113="",R$5="",'상세일정'!AM113="제외"),"",IF($D113=$E113,IF(AND($D113&gt;=R$5,$D113&lt;R$5+7),"◆",""),IF(AND($D113&lt;R$5+7,$E113&gt;R$5),"■","")))</x:f>
      </x:c>
      <x:c r="S113" s="7" t="str">
        <x:f>IF(OR($D113="",S$5="",'상세일정'!AM113="제외"),"",IF($D113=$E113,IF(AND($D113&gt;=S$5,$D113&lt;S$5+7),"◆",""),IF(AND($D113&lt;S$5+7,$E113&gt;S$5),"■","")))</x:f>
      </x:c>
      <x:c r="T113" s="7" t="str">
        <x:f>IF(OR($D113="",T$5="",'상세일정'!AM113="제외"),"",IF($D113=$E113,IF(AND($D113&gt;=T$5,$D113&lt;T$5+7),"◆",""),IF(AND($D113&lt;T$5+7,$E113&gt;T$5),"■","")))</x:f>
      </x:c>
      <x:c r="U113" s="7" t="str">
        <x:f>IF(OR($D113="",U$5="",'상세일정'!AM113="제외"),"",IF($D113=$E113,IF(AND($D113&gt;=U$5,$D113&lt;U$5+7),"◆",""),IF(AND($D113&lt;U$5+7,$E113&gt;U$5),"■","")))</x:f>
      </x:c>
      <x:c r="V113" s="7" t="str">
        <x:f>IF(OR($D113="",V$5="",'상세일정'!AM113="제외"),"",IF($D113=$E113,IF(AND($D113&gt;=V$5,$D113&lt;V$5+7),"◆",""),IF(AND($D113&lt;V$5+7,$E113&gt;V$5),"■","")))</x:f>
      </x:c>
      <x:c r="W113" s="7" t="str">
        <x:f>IF(OR($D113="",W$5="",'상세일정'!AM113="제외"),"",IF($D113=$E113,IF(AND($D113&gt;=W$5,$D113&lt;W$5+7),"◆",""),IF(AND($D113&lt;W$5+7,$E113&gt;W$5),"■","")))</x:f>
      </x:c>
      <x:c r="X113" s="7" t="str">
        <x:f>IF(OR($D113="",X$5="",'상세일정'!AM113="제외"),"",IF($D113=$E113,IF(AND($D113&gt;=X$5,$D113&lt;X$5+7),"◆",""),IF(AND($D113&lt;X$5+7,$E113&gt;X$5),"■","")))</x:f>
      </x:c>
      <x:c r="Y113" s="7" t="str">
        <x:f>IF(OR($D113="",Y$5="",'상세일정'!AM113="제외"),"",IF($D113=$E113,IF(AND($D113&gt;=Y$5,$D113&lt;Y$5+7),"◆",""),IF(AND($D113&lt;Y$5+7,$E113&gt;Y$5),"■","")))</x:f>
      </x:c>
      <x:c r="Z113" s="7" t="str">
        <x:f>IF(OR($D113="",Z$5="",'상세일정'!AM113="제외"),"",IF($D113=$E113,IF(AND($D113&gt;=Z$5,$D113&lt;Z$5+7),"◆",""),IF(AND($D113&lt;Z$5+7,$E113&gt;Z$5),"■","")))</x:f>
      </x:c>
      <x:c r="AA113" s="7" t="str">
        <x:f>IF(OR($D113="",AA$5="",'상세일정'!AM113="제외"),"",IF($D113=$E113,IF(AND($D113&gt;=AA$5,$D113&lt;AA$5+7),"◆",""),IF(AND($D113&lt;AA$5+7,$E113&gt;AA$5),"■","")))</x:f>
      </x:c>
      <x:c r="AB113" s="7" t="str">
        <x:f>IF(OR($D113="",AB$5="",'상세일정'!AM113="제외"),"",IF($D113=$E113,IF(AND($D113&gt;=AB$5,$D113&lt;AB$5+7),"◆",""),IF(AND($D113&lt;AB$5+7,$E113&gt;AB$5),"■","")))</x:f>
      </x:c>
      <x:c r="AC113" s="7" t="str">
        <x:f>IF(OR($D113="",AC$5="",'상세일정'!AM113="제외"),"",IF($D113=$E113,IF(AND($D113&gt;=AC$5,$D113&lt;AC$5+7),"◆",""),IF(AND($D113&lt;AC$5+7,$E113&gt;AC$5),"■","")))</x:f>
      </x:c>
      <x:c r="AD113" s="7" t="str">
        <x:f>IF(OR($D113="",AD$5="",'상세일정'!AM113="제외"),"",IF($D113=$E113,IF(AND($D113&gt;=AD$5,$D113&lt;AD$5+7),"◆",""),IF(AND($D113&lt;AD$5+7,$E113&gt;AD$5),"■","")))</x:f>
      </x:c>
      <x:c r="AE113" s="7" t="str">
        <x:f>IF(OR($D113="",AE$5="",'상세일정'!AM113="제외"),"",IF($D113=$E113,IF(AND($D113&gt;=AE$5,$D113&lt;AE$5+7),"◆",""),IF(AND($D113&lt;AE$5+7,$E113&gt;AE$5),"■","")))</x:f>
      </x:c>
      <x:c r="AF113" s="7" t="str">
        <x:f>IF(OR($D113="",AF$5="",'상세일정'!AM113="제외"),"",IF($D113=$E113,IF(AND($D113&gt;=AF$5,$D113&lt;AF$5+7),"◆",""),IF(AND($D113&lt;AF$5+7,$E113&gt;AF$5),"■","")))</x:f>
      </x:c>
      <x:c r="AG113" s="7" t="str">
        <x:f>IF(OR($D113="",AG$5="",'상세일정'!AM113="제외"),"",IF($D113=$E113,IF(AND($D113&gt;=AG$5,$D113&lt;AG$5+7),"◆",""),IF(AND($D113&lt;AG$5+7,$E113&gt;AG$5),"■","")))</x:f>
      </x:c>
      <x:c r="AH113" s="7" t="str">
        <x:f>IF(OR($D113="",AH$5="",'상세일정'!AM113="제외"),"",IF($D113=$E113,IF(AND($D113&gt;=AH$5,$D113&lt;AH$5+7),"◆",""),IF(AND($D113&lt;AH$5+7,$E113&gt;AH$5),"■","")))</x:f>
      </x:c>
      <x:c r="AI113" s="7" t="str">
        <x:f>IF(OR($D113="",AI$5="",'상세일정'!AM113="제외"),"",IF($D113=$E113,IF(AND($D113&gt;=AI$5,$D113&lt;AI$5+7),"◆",""),IF(AND($D113&lt;AI$5+7,$E113&gt;AI$5),"■","")))</x:f>
      </x:c>
      <x:c r="AJ113" s="7" t="str">
        <x:f>IF(OR($D113="",AJ$5="",'상세일정'!AM113="제외"),"",IF($D113=$E113,IF(AND($D113&gt;=AJ$5,$D113&lt;AJ$5+7),"◆",""),IF(AND($D113&lt;AJ$5+7,$E113&gt;AJ$5),"■","")))</x:f>
      </x:c>
      <x:c r="AK113" s="7" t="str">
        <x:f>IF(OR($D113="",AK$5="",'상세일정'!AM113="제외"),"",IF($D113=$E113,IF(AND($D113&gt;=AK$5,$D113&lt;AK$5+7),"◆",""),IF(AND($D113&lt;AK$5+7,$E113&gt;AK$5),"■","")))</x:f>
      </x:c>
      <x:c r="AL113" s="7" t="str">
        <x:f>IF(OR($D113="",AL$5="",'상세일정'!AM113="제외"),"",IF($D113=$E113,IF(AND($D113&gt;=AL$5,$D113&lt;AL$5+7),"◆",""),IF(AND($D113&lt;AL$5+7,$E113&gt;AL$5),"■","")))</x:f>
      </x:c>
      <x:c r="AM113" s="7" t="str">
        <x:f>IF(OR($D113="",AM$5="",'상세일정'!AM113="제외"),"",IF($D113=$E113,IF(AND($D113&gt;=AM$5,$D113&lt;AM$5+7),"◆",""),IF(AND($D113&lt;AM$5+7,$E113&gt;AM$5),"■","")))</x:f>
      </x:c>
      <x:c r="AN113" s="7" t="str">
        <x:f>IF(OR($D113="",AN$5="",'상세일정'!AM113="제외"),"",IF($D113=$E113,IF(AND($D113&gt;=AN$5,$D113&lt;AN$5+7),"◆",""),IF(AND($D113&lt;AN$5+7,$E113&gt;AN$5),"■","")))</x:f>
      </x:c>
      <x:c r="AO113" s="7" t="str">
        <x:f>IF(OR($D113="",AO$5="",'상세일정'!AM113="제외"),"",IF($D113=$E113,IF(AND($D113&gt;=AO$5,$D113&lt;AO$5+7),"◆",""),IF(AND($D113&lt;AO$5+7,$E113&gt;AO$5),"■","")))</x:f>
      </x:c>
      <x:c r="AP113" s="7" t="str">
        <x:f>IF(OR($D113="",AP$5="",'상세일정'!AM113="제외"),"",IF($D113=$E113,IF(AND($D113&gt;=AP$5,$D113&lt;AP$5+7),"◆",""),IF(AND($D113&lt;AP$5+7,$E113&gt;AP$5),"■","")))</x:f>
      </x:c>
      <x:c r="AQ113" s="7" t="str">
        <x:f>IF(OR($D113="",AQ$5="",'상세일정'!AM113="제외"),"",IF($D113=$E113,IF(AND($D113&gt;=AQ$5,$D113&lt;AQ$5+7),"◆",""),IF(AND($D113&lt;AQ$5+7,$E113&gt;AQ$5),"■","")))</x:f>
      </x:c>
      <x:c r="AR113" s="7" t="str">
        <x:f>IF(OR($D113="",AR$5="",'상세일정'!AM113="제외"),"",IF($D113=$E113,IF(AND($D113&gt;=AR$5,$D113&lt;AR$5+7),"◆",""),IF(AND($D113&lt;AR$5+7,$E113&gt;AR$5),"■","")))</x:f>
      </x:c>
      <x:c r="AS113" s="7" t="str">
        <x:f>IF(OR($D113="",AS$5="",'상세일정'!AM113="제외"),"",IF($D113=$E113,IF(AND($D113&gt;=AS$5,$D113&lt;AS$5+7),"◆",""),IF(AND($D113&lt;AS$5+7,$E113&gt;AS$5),"■","")))</x:f>
      </x:c>
      <x:c r="AT113" s="7" t="str">
        <x:f>IF(OR($D113="",AT$5="",'상세일정'!AM113="제외"),"",IF($D113=$E113,IF(AND($D113&gt;=AT$5,$D113&lt;AT$5+7),"◆",""),IF(AND($D113&lt;AT$5+7,$E113&gt;AT$5),"■","")))</x:f>
      </x:c>
      <x:c r="AU113" s="7" t="str">
        <x:f>IF(OR($D113="",AU$5="",'상세일정'!AM113="제외"),"",IF($D113=$E113,IF(AND($D113&gt;=AU$5,$D113&lt;AU$5+7),"◆",""),IF(AND($D113&lt;AU$5+7,$E113&gt;AU$5),"■","")))</x:f>
      </x:c>
      <x:c r="AV113" s="7" t="str">
        <x:f>IF(OR($D113="",AV$5="",'상세일정'!AM113="제외"),"",IF($D113=$E113,IF(AND($D113&gt;=AV$5,$D113&lt;AV$5+7),"◆",""),IF(AND($D113&lt;AV$5+7,$E113&gt;AV$5),"■","")))</x:f>
      </x:c>
      <x:c r="AW113" s="7" t="str">
        <x:f>IF(OR($D113="",AW$5="",'상세일정'!AM113="제외"),"",IF($D113=$E113,IF(AND($D113&gt;=AW$5,$D113&lt;AW$5+7),"◆",""),IF(AND($D113&lt;AW$5+7,$E113&gt;AW$5),"■","")))</x:f>
      </x:c>
      <x:c r="AX113" s="7" t="str">
        <x:f>IF(OR($D113="",AX$5="",'상세일정'!AM113="제외"),"",IF($D113=$E113,IF(AND($D113&gt;=AX$5,$D113&lt;AX$5+7),"◆",""),IF(AND($D113&lt;AX$5+7,$E113&gt;AX$5),"■","")))</x:f>
      </x:c>
      <x:c r="AY113" s="7" t="str">
        <x:f>IF(OR($D113="",AY$5="",'상세일정'!AM113="제외"),"",IF($D113=$E113,IF(AND($D113&gt;=AY$5,$D113&lt;AY$5+7),"◆",""),IF(AND($D113&lt;AY$5+7,$E113&gt;AY$5),"■","")))</x:f>
      </x:c>
      <x:c r="AZ113" s="7" t="str">
        <x:f>IF(OR($D113="",AZ$5="",'상세일정'!AM113="제외"),"",IF($D113=$E113,IF(AND($D113&gt;=AZ$5,$D113&lt;AZ$5+7),"◆",""),IF(AND($D113&lt;AZ$5+7,$E113&gt;AZ$5),"■","")))</x:f>
      </x:c>
      <x:c r="BA113" s="7" t="str">
        <x:f>IF(OR($D113="",BA$5="",'상세일정'!AM113="제외"),"",IF($D113=$E113,IF(AND($D113&gt;=BA$5,$D113&lt;BA$5+7),"◆",""),IF(AND($D113&lt;BA$5+7,$E113&gt;BA$5),"■","")))</x:f>
      </x:c>
      <x:c r="BB113" s="7" t="str">
        <x:f>IF(OR($D113="",BB$5="",'상세일정'!AM113="제외"),"",IF($D113=$E113,IF(AND($D113&gt;=BB$5,$D113&lt;BB$5+7),"◆",""),IF(AND($D113&lt;BB$5+7,$E113&gt;BB$5),"■","")))</x:f>
      </x:c>
      <x:c r="BC113" s="7" t="str">
        <x:f>IF(OR($D113="",BC$5="",'상세일정'!AM113="제외"),"",IF($D113=$E113,IF(AND($D113&gt;=BC$5,$D113&lt;BC$5+7),"◆",""),IF(AND($D113&lt;BC$5+7,$E113&gt;BC$5),"■","")))</x:f>
      </x:c>
      <x:c r="BD113" s="7" t="str">
        <x:f>IF(OR($D113="",BD$5="",'상세일정'!AM113="제외"),"",IF($D113=$E113,IF(AND($D113&gt;=BD$5,$D113&lt;BD$5+7),"◆",""),IF(AND($D113&lt;BD$5+7,$E113&gt;BD$5),"■","")))</x:f>
      </x:c>
      <x:c r="BE113" s="7" t="str">
        <x:f>IF(OR($D113="",BE$5="",'상세일정'!AM113="제외"),"",IF($D113=$E113,IF(AND($D113&gt;=BE$5,$D113&lt;BE$5+7),"◆",""),IF(AND($D113&lt;BE$5+7,$E113&gt;BE$5),"■","")))</x:f>
      </x:c>
      <x:c r="BF113" s="7" t="str">
        <x:f>IF(OR($D113="",BF$5="",'상세일정'!AM113="제외"),"",IF($D113=$E113,IF(AND($D113&gt;=BF$5,$D113&lt;BF$5+7),"◆",""),IF(AND($D113&lt;BF$5+7,$E113&gt;BF$5),"■","")))</x:f>
      </x:c>
      <x:c r="BG113" s="7" t="str">
        <x:f>IF(OR($D113="",BG$5="",'상세일정'!AM113="제외"),"",IF($D113=$E113,IF(AND($D113&gt;=BG$5,$D113&lt;BG$5+7),"◆",""),IF(AND($D113&lt;BG$5+7,$E113&gt;BG$5),"■","")))</x:f>
      </x:c>
      <x:c r="BH113" s="7" t="str">
        <x:f>IF(OR($D113="",BH$5="",'상세일정'!AM113="제외"),"",IF($D113=$E113,IF(AND($D113&gt;=BH$5,$D113&lt;BH$5+7),"◆",""),IF(AND($D113&lt;BH$5+7,$E113&gt;BH$5),"■","")))</x:f>
      </x:c>
      <x:c r="BI113" s="7" t="str">
        <x:f>IF(OR($D113="",BI$5="",'상세일정'!AM113="제외"),"",IF($D113=$E113,IF(AND($D113&gt;=BI$5,$D113&lt;BI$5+7),"◆",""),IF(AND($D113&lt;BI$5+7,$E113&gt;BI$5),"■","")))</x:f>
      </x:c>
      <x:c r="BJ113" s="7" t="str">
        <x:f>IF(OR($D113="",BJ$5="",'상세일정'!AM113="제외"),"",IF($D113=$E113,IF(AND($D113&gt;=BJ$5,$D113&lt;BJ$5+7),"◆",""),IF(AND($D113&lt;BJ$5+7,$E113&gt;BJ$5),"■","")))</x:f>
      </x:c>
      <x:c r="BK113" s="7" t="str">
        <x:f>IF(OR($D113="",BK$5="",'상세일정'!AM113="제외"),"",IF($D113=$E113,IF(AND($D113&gt;=BK$5,$D113&lt;BK$5+7),"◆",""),IF(AND($D113&lt;BK$5+7,$E113&gt;BK$5),"■","")))</x:f>
      </x:c>
      <x:c r="BL113" s="7" t="str">
        <x:f>IF(OR($D113="",BL$5="",'상세일정'!AM113="제외"),"",IF($D113=$E113,IF(AND($D113&gt;=BL$5,$D113&lt;BL$5+7),"◆",""),IF(AND($D113&lt;BL$5+7,$E113&gt;BL$5),"■","")))</x:f>
      </x:c>
      <x:c r="BM113" s="7" t="str">
        <x:f>IF(OR($D113="",BM$5="",'상세일정'!AM113="제외"),"",IF($D113=$E113,IF(AND($D113&gt;=BM$5,$D113&lt;BM$5+7),"◆",""),IF(AND($D113&lt;BM$5+7,$E113&gt;BM$5),"■","")))</x:f>
      </x:c>
      <x:c r="BN113" s="7" t="str">
        <x:f>IF(OR($D113="",BN$5="",'상세일정'!AM113="제외"),"",IF($D113=$E113,IF(AND($D113&gt;=BN$5,$D113&lt;BN$5+7),"◆",""),IF(AND($D113&lt;BN$5+7,$E113&gt;BN$5),"■","")))</x:f>
      </x:c>
      <x:c r="BO113" s="7" t="str">
        <x:f>IF(OR($D113="",BO$5="",'상세일정'!AM113="제외"),"",IF($D113=$E113,IF(AND($D113&gt;=BO$5,$D113&lt;BO$5+7),"◆",""),IF(AND($D113&lt;BO$5+7,$E113&gt;BO$5),"■","")))</x:f>
      </x:c>
      <x:c r="BP113" s="7" t="str">
        <x:f>IF(OR($D113="",BP$5="",'상세일정'!AM113="제외"),"",IF($D113=$E113,IF(AND($D113&gt;=BP$5,$D113&lt;BP$5+7),"◆",""),IF(AND($D113&lt;BP$5+7,$E113&gt;BP$5),"■","")))</x:f>
      </x:c>
      <x:c r="BQ113" s="7" t="str">
        <x:f>IF(OR($D113="",BQ$5="",'상세일정'!AM113="제외"),"",IF($D113=$E113,IF(AND($D113&gt;=BQ$5,$D113&lt;BQ$5+7),"◆",""),IF(AND($D113&lt;BQ$5+7,$E113&gt;BQ$5),"■","")))</x:f>
      </x:c>
      <x:c r="BR113" s="7" t="str">
        <x:f>IF(OR($D113="",BR$5="",'상세일정'!AM113="제외"),"",IF($D113=$E113,IF(AND($D113&gt;=BR$5,$D113&lt;BR$5+7),"◆",""),IF(AND($D113&lt;BR$5+7,$E113&gt;BR$5),"■","")))</x:f>
      </x:c>
      <x:c r="BS113" s="7" t="str">
        <x:f>IF(OR($D113="",BS$5="",'상세일정'!AM113="제외"),"",IF($D113=$E113,IF(AND($D113&gt;=BS$5,$D113&lt;BS$5+7),"◆",""),IF(AND($D113&lt;BS$5+7,$E113&gt;BS$5),"■","")))</x:f>
      </x:c>
      <x:c r="BT113" s="7" t="str">
        <x:f>IF(OR($D113="",BT$5="",'상세일정'!AM113="제외"),"",IF($D113=$E113,IF(AND($D113&gt;=BT$5,$D113&lt;BT$5+7),"◆",""),IF(AND($D113&lt;BT$5+7,$E113&gt;BT$5),"■","")))</x:f>
      </x:c>
      <x:c r="BU113" s="7" t="str">
        <x:f>IF(OR($D113="",BU$5="",'상세일정'!AM113="제외"),"",IF($D113=$E113,IF(AND($D113&gt;=BU$5,$D113&lt;BU$5+7),"◆",""),IF(AND($D113&lt;BU$5+7,$E113&gt;BU$5),"■","")))</x:f>
      </x:c>
      <x:c r="BV113" s="7" t="str">
        <x:f>IF(OR($D113="",BV$5="",'상세일정'!AM113="제외"),"",IF($D113=$E113,IF(AND($D113&gt;=BV$5,$D113&lt;BV$5+7),"◆",""),IF(AND($D113&lt;BV$5+7,$E113&gt;BV$5),"■","")))</x:f>
      </x:c>
      <x:c r="BW113" s="7" t="str">
        <x:f>IF(OR($D113="",BW$5="",'상세일정'!AM113="제외"),"",IF($D113=$E113,IF(AND($D113&gt;=BW$5,$D113&lt;BW$5+7),"◆",""),IF(AND($D113&lt;BW$5+7,$E113&gt;BW$5),"■","")))</x:f>
      </x:c>
      <x:c r="BX113" s="7" t="str">
        <x:f>IF(OR($D113="",BX$5="",'상세일정'!AM113="제외"),"",IF($D113=$E113,IF(AND($D113&gt;=BX$5,$D113&lt;BX$5+7),"◆",""),IF(AND($D113&lt;BX$5+7,$E113&gt;BX$5),"■","")))</x:f>
      </x:c>
      <x:c r="BY113" s="7" t="str">
        <x:f>IF(OR($D113="",BY$5="",'상세일정'!AM113="제외"),"",IF($D113=$E113,IF(AND($D113&gt;=BY$5,$D113&lt;BY$5+7),"◆",""),IF(AND($D113&lt;BY$5+7,$E113&gt;BY$5),"■","")))</x:f>
      </x:c>
      <x:c r="BZ113" s="7" t="str">
        <x:f>IF(OR($D113="",BZ$5="",'상세일정'!AM113="제외"),"",IF($D113=$E113,IF(AND($D113&gt;=BZ$5,$D113&lt;BZ$5+7),"◆",""),IF(AND($D113&lt;BZ$5+7,$E113&gt;BZ$5),"■","")))</x:f>
      </x:c>
      <x:c r="CA113" s="7" t="str">
        <x:f>IF(OR($D113="",CA$5="",'상세일정'!AM113="제외"),"",IF($D113=$E113,IF(AND($D113&gt;=CA$5,$D113&lt;CA$5+7),"◆",""),IF(AND($D113&lt;CA$5+7,$E113&gt;CA$5),"■","")))</x:f>
      </x:c>
      <x:c r="CB113" s="7" t="str">
        <x:f>IF(OR($D113="",CB$5="",'상세일정'!AM113="제외"),"",IF($D113=$E113,IF(AND($D113&gt;=CB$5,$D113&lt;CB$5+7),"◆",""),IF(AND($D113&lt;CB$5+7,$E113&gt;CB$5),"■","")))</x:f>
      </x:c>
      <x:c r="CC113" s="7" t="str">
        <x:f>IF(OR($D113="",CC$5="",'상세일정'!AM113="제외"),"",IF($D113=$E113,IF(AND($D113&gt;=CC$5,$D113&lt;CC$5+7),"◆",""),IF(AND($D113&lt;CC$5+7,$E113&gt;CC$5),"■","")))</x:f>
      </x:c>
      <x:c r="CD113" s="7" t="str">
        <x:f>IF(OR($D113="",CD$5="",'상세일정'!AM113="제외"),"",IF($D113=$E113,IF(AND($D113&gt;=CD$5,$D113&lt;CD$5+7),"◆",""),IF(AND($D113&lt;CD$5+7,$E113&gt;CD$5),"■","")))</x:f>
      </x:c>
      <x:c r="CE113" s="7" t="str">
        <x:f>IF(OR($D113="",CE$5="",'상세일정'!AM113="제외"),"",IF($D113=$E113,IF(AND($D113&gt;=CE$5,$D113&lt;CE$5+7),"◆",""),IF(AND($D113&lt;CE$5+7,$E113&gt;CE$5),"■","")))</x:f>
      </x:c>
      <x:c r="CF113" s="7" t="str">
        <x:f>IF(OR($D113="",CF$5="",'상세일정'!AM113="제외"),"",IF($D113=$E113,IF(AND($D113&gt;=CF$5,$D113&lt;CF$5+7),"◆",""),IF(AND($D113&lt;CF$5+7,$E113&gt;CF$5),"■","")))</x:f>
      </x:c>
      <x:c r="CG113" s="7" t="str">
        <x:f>IF(OR($D113="",CG$5="",'상세일정'!AM113="제외"),"",IF($D113=$E113,IF(AND($D113&gt;=CG$5,$D113&lt;CG$5+7),"◆",""),IF(AND($D113&lt;CG$5+7,$E113&gt;CG$5),"■","")))</x:f>
      </x:c>
      <x:c r="CH113" s="7" t="str">
        <x:f>IF(OR($D113="",CH$5="",'상세일정'!AM113="제외"),"",IF($D113=$E113,IF(AND($D113&gt;=CH$5,$D113&lt;CH$5+7),"◆",""),IF(AND($D113&lt;CH$5+7,$E113&gt;CH$5),"■","")))</x:f>
      </x:c>
      <x:c r="CI113" s="7" t="str">
        <x:f>IF(OR($D113="",CI$5="",'상세일정'!AM113="제외"),"",IF($D113=$E113,IF(AND($D113&gt;=CI$5,$D113&lt;CI$5+7),"◆",""),IF(AND($D113&lt;CI$5+7,$E113&gt;CI$5),"■","")))</x:f>
      </x:c>
      <x:c r="CJ113" s="7" t="str">
        <x:f>IF(OR($D113="",CJ$5="",'상세일정'!AM113="제외"),"",IF($D113=$E113,IF(AND($D113&gt;=CJ$5,$D113&lt;CJ$5+7),"◆",""),IF(AND($D113&lt;CJ$5+7,$E113&gt;CJ$5),"■","")))</x:f>
      </x:c>
      <x:c r="CK113" s="7" t="str">
        <x:f>IF(OR($D113="",CK$5="",'상세일정'!AM113="제외"),"",IF($D113=$E113,IF(AND($D113&gt;=CK$5,$D113&lt;CK$5+7),"◆",""),IF(AND($D113&lt;CK$5+7,$E113&gt;CK$5),"■","")))</x:f>
      </x:c>
      <x:c r="CL113" s="7" t="str">
        <x:f>IF(OR($D113="",CL$5="",'상세일정'!AM113="제외"),"",IF($D113=$E113,IF(AND($D113&gt;=CL$5,$D113&lt;CL$5+7),"◆",""),IF(AND($D113&lt;CL$5+7,$E113&gt;CL$5),"■","")))</x:f>
      </x:c>
      <x:c r="CM113" s="7" t="str">
        <x:f>IF(OR($D113="",CM$5="",'상세일정'!AM113="제외"),"",IF($D113=$E113,IF(AND($D113&gt;=CM$5,$D113&lt;CM$5+7),"◆",""),IF(AND($D113&lt;CM$5+7,$E113&gt;CM$5),"■","")))</x:f>
      </x:c>
      <x:c r="CN113" s="7" t="str">
        <x:f>IF(OR($D113="",CN$5="",'상세일정'!AM113="제외"),"",IF($D113=$E113,IF(AND($D113&gt;=CN$5,$D113&lt;CN$5+7),"◆",""),IF(AND($D113&lt;CN$5+7,$E113&gt;CN$5),"■","")))</x:f>
      </x:c>
      <x:c r="CO113" s="7" t="str">
        <x:f>IF(OR($D113="",CO$5="",'상세일정'!AM113="제외"),"",IF($D113=$E113,IF(AND($D113&gt;=CO$5,$D113&lt;CO$5+7),"◆",""),IF(AND($D113&lt;CO$5+7,$E113&gt;CO$5),"■","")))</x:f>
      </x:c>
      <x:c r="CP113" s="7" t="str">
        <x:f>IF(OR($D113="",CP$5="",'상세일정'!AM113="제외"),"",IF($D113=$E113,IF(AND($D113&gt;=CP$5,$D113&lt;CP$5+7),"◆",""),IF(AND($D113&lt;CP$5+7,$E113&gt;CP$5),"■","")))</x:f>
      </x:c>
      <x:c r="CQ113" s="7" t="str">
        <x:f>IF(OR($D113="",CQ$5="",'상세일정'!AM113="제외"),"",IF($D113=$E113,IF(AND($D113&gt;=CQ$5,$D113&lt;CQ$5+7),"◆",""),IF(AND($D113&lt;CQ$5+7,$E113&gt;CQ$5),"■","")))</x:f>
      </x:c>
      <x:c r="CR113" s="7" t="str">
        <x:f>IF(OR($D113="",CR$5="",'상세일정'!AM113="제외"),"",IF($D113=$E113,IF(AND($D113&gt;=CR$5,$D113&lt;CR$5+7),"◆",""),IF(AND($D113&lt;CR$5+7,$E113&gt;CR$5),"■","")))</x:f>
      </x:c>
      <x:c r="CS113" s="7" t="str">
        <x:f>IF(OR($D113="",CS$5="",'상세일정'!AM113="제외"),"",IF($D113=$E113,IF(AND($D113&gt;=CS$5,$D113&lt;CS$5+7),"◆",""),IF(AND($D113&lt;CS$5+7,$E113&gt;CS$5),"■","")))</x:f>
      </x:c>
      <x:c r="CT113" s="7" t="str">
        <x:f>IF(OR($D113="",CT$5="",'상세일정'!AM113="제외"),"",IF($D113=$E113,IF(AND($D113&gt;=CT$5,$D113&lt;CT$5+7),"◆",""),IF(AND($D113&lt;CT$5+7,$E113&gt;CT$5),"■","")))</x:f>
      </x:c>
      <x:c r="CU113" s="7" t="str">
        <x:f>IF(OR($D113="",CU$5="",'상세일정'!AM113="제외"),"",IF($D113=$E113,IF(AND($D113&gt;=CU$5,$D113&lt;CU$5+7),"◆",""),IF(AND($D113&lt;CU$5+7,$E113&gt;CU$5),"■","")))</x:f>
      </x:c>
      <x:c r="CV113" s="7" t="str">
        <x:f>IF(OR($D113="",CV$5="",'상세일정'!AM113="제외"),"",IF($D113=$E113,IF(AND($D113&gt;=CV$5,$D113&lt;CV$5+7),"◆",""),IF(AND($D113&lt;CV$5+7,$E113&gt;CV$5),"■","")))</x:f>
      </x:c>
      <x:c r="CW113" s="7" t="str">
        <x:f>IF(OR($D113="",CW$5="",'상세일정'!AM113="제외"),"",IF($D113=$E113,IF(AND($D113&gt;=CW$5,$D113&lt;CW$5+7),"◆",""),IF(AND($D113&lt;CW$5+7,$E113&gt;CW$5),"■","")))</x:f>
      </x:c>
      <x:c r="CX113" s="7" t="str">
        <x:f>IF(OR($D113="",CX$5="",'상세일정'!AM113="제외"),"",IF($D113=$E113,IF(AND($D113&gt;=CX$5,$D113&lt;CX$5+7),"◆",""),IF(AND($D113&lt;CX$5+7,$E113&gt;CX$5),"■","")))</x:f>
      </x:c>
      <x:c r="CY113" s="7" t="str">
        <x:f>IF(OR($D113="",CY$5="",'상세일정'!AM113="제외"),"",IF($D113=$E113,IF(AND($D113&gt;=CY$5,$D113&lt;CY$5+7),"◆",""),IF(AND($D113&lt;CY$5+7,$E113&gt;CY$5),"■","")))</x:f>
      </x:c>
      <x:c r="CZ113" s="7" t="str">
        <x:f>IF(OR($D113="",CZ$5="",'상세일정'!AM113="제외"),"",IF($D113=$E113,IF(AND($D113&gt;=CZ$5,$D113&lt;CZ$5+7),"◆",""),IF(AND($D113&lt;CZ$5+7,$E113&gt;CZ$5),"■","")))</x:f>
      </x:c>
      <x:c r="DA113" s="7" t="str">
        <x:f>IF(OR($D113="",DA$5="",'상세일정'!AM113="제외"),"",IF($D113=$E113,IF(AND($D113&gt;=DA$5,$D113&lt;DA$5+7),"◆",""),IF(AND($D113&lt;DA$5+7,$E113&gt;DA$5),"■","")))</x:f>
      </x:c>
      <x:c r="DB113" s="7" t="str">
        <x:f>IF(OR($D113="",DB$5="",'상세일정'!AM113="제외"),"",IF($D113=$E113,IF(AND($D113&gt;=DB$5,$D113&lt;DB$5+7),"◆",""),IF(AND($D113&lt;DB$5+7,$E113&gt;DB$5),"■","")))</x:f>
      </x:c>
      <x:c r="DC113" s="7" t="str">
        <x:f>IF(OR($D113="",DC$5="",'상세일정'!AM113="제외"),"",IF($D113=$E113,IF(AND($D113&gt;=DC$5,$D113&lt;DC$5+7),"◆",""),IF(AND($D113&lt;DC$5+7,$E113&gt;DC$5),"■","")))</x:f>
      </x:c>
      <x:c r="DD113" s="7" t="str">
        <x:f>IF(OR($D113="",DD$5="",'상세일정'!AM113="제외"),"",IF($D113=$E113,IF(AND($D113&gt;=DD$5,$D113&lt;DD$5+7),"◆",""),IF(AND($D113&lt;DD$5+7,$E113&gt;DD$5),"■","")))</x:f>
      </x:c>
      <x:c r="DE113" s="7" t="str">
        <x:f>IF(OR($D113="",DE$5="",'상세일정'!AM113="제외"),"",IF($D113=$E113,IF(AND($D113&gt;=DE$5,$D113&lt;DE$5+7),"◆",""),IF(AND($D113&lt;DE$5+7,$E113&gt;DE$5),"■","")))</x:f>
      </x:c>
    </x:row>
    <x:row r="114" ht="34" customHeight="1">
      <x:c r="A114" s="7" t="str">
        <x:v>PR07</x:v>
      </x:c>
      <x:c r="B114" s="7" t="str">
        <x:v>16 기자재 구매·제작</x:v>
      </x:c>
      <x:c r="C114" s="7" t="str">
        <x:v>주공정 패키지 A 출하승인·운송·현장 입고</x:v>
      </x:c>
      <x:c r="D114" s="10" t="str">
        <x:f>'상세일정'!AJ114</x:f>
      </x:c>
      <x:c r="E114" s="10" t="str">
        <x:f>'상세일정'!AK114</x:f>
      </x:c>
      <x:c r="F114" s="7" t="str">
        <x:f>IF(OR($D114="",F$5="",'상세일정'!AM114="제외"),"",IF($D114=$E114,IF(AND($D114&gt;=F$5,$D114&lt;F$5+7),"◆",""),IF(AND($D114&lt;F$5+7,$E114&gt;F$5),"■","")))</x:f>
      </x:c>
      <x:c r="G114" s="7" t="str">
        <x:f>IF(OR($D114="",G$5="",'상세일정'!AM114="제외"),"",IF($D114=$E114,IF(AND($D114&gt;=G$5,$D114&lt;G$5+7),"◆",""),IF(AND($D114&lt;G$5+7,$E114&gt;G$5),"■","")))</x:f>
      </x:c>
      <x:c r="H114" s="7" t="str">
        <x:f>IF(OR($D114="",H$5="",'상세일정'!AM114="제외"),"",IF($D114=$E114,IF(AND($D114&gt;=H$5,$D114&lt;H$5+7),"◆",""),IF(AND($D114&lt;H$5+7,$E114&gt;H$5),"■","")))</x:f>
      </x:c>
      <x:c r="I114" s="7" t="str">
        <x:f>IF(OR($D114="",I$5="",'상세일정'!AM114="제외"),"",IF($D114=$E114,IF(AND($D114&gt;=I$5,$D114&lt;I$5+7),"◆",""),IF(AND($D114&lt;I$5+7,$E114&gt;I$5),"■","")))</x:f>
      </x:c>
      <x:c r="J114" s="7" t="str">
        <x:f>IF(OR($D114="",J$5="",'상세일정'!AM114="제외"),"",IF($D114=$E114,IF(AND($D114&gt;=J$5,$D114&lt;J$5+7),"◆",""),IF(AND($D114&lt;J$5+7,$E114&gt;J$5),"■","")))</x:f>
      </x:c>
      <x:c r="K114" s="7" t="str">
        <x:f>IF(OR($D114="",K$5="",'상세일정'!AM114="제외"),"",IF($D114=$E114,IF(AND($D114&gt;=K$5,$D114&lt;K$5+7),"◆",""),IF(AND($D114&lt;K$5+7,$E114&gt;K$5),"■","")))</x:f>
      </x:c>
      <x:c r="L114" s="7" t="str">
        <x:f>IF(OR($D114="",L$5="",'상세일정'!AM114="제외"),"",IF($D114=$E114,IF(AND($D114&gt;=L$5,$D114&lt;L$5+7),"◆",""),IF(AND($D114&lt;L$5+7,$E114&gt;L$5),"■","")))</x:f>
      </x:c>
      <x:c r="M114" s="7" t="str">
        <x:f>IF(OR($D114="",M$5="",'상세일정'!AM114="제외"),"",IF($D114=$E114,IF(AND($D114&gt;=M$5,$D114&lt;M$5+7),"◆",""),IF(AND($D114&lt;M$5+7,$E114&gt;M$5),"■","")))</x:f>
      </x:c>
      <x:c r="N114" s="7" t="str">
        <x:f>IF(OR($D114="",N$5="",'상세일정'!AM114="제외"),"",IF($D114=$E114,IF(AND($D114&gt;=N$5,$D114&lt;N$5+7),"◆",""),IF(AND($D114&lt;N$5+7,$E114&gt;N$5),"■","")))</x:f>
      </x:c>
      <x:c r="O114" s="7" t="str">
        <x:f>IF(OR($D114="",O$5="",'상세일정'!AM114="제외"),"",IF($D114=$E114,IF(AND($D114&gt;=O$5,$D114&lt;O$5+7),"◆",""),IF(AND($D114&lt;O$5+7,$E114&gt;O$5),"■","")))</x:f>
      </x:c>
      <x:c r="P114" s="7" t="str">
        <x:f>IF(OR($D114="",P$5="",'상세일정'!AM114="제외"),"",IF($D114=$E114,IF(AND($D114&gt;=P$5,$D114&lt;P$5+7),"◆",""),IF(AND($D114&lt;P$5+7,$E114&gt;P$5),"■","")))</x:f>
      </x:c>
      <x:c r="Q114" s="7" t="str">
        <x:f>IF(OR($D114="",Q$5="",'상세일정'!AM114="제외"),"",IF($D114=$E114,IF(AND($D114&gt;=Q$5,$D114&lt;Q$5+7),"◆",""),IF(AND($D114&lt;Q$5+7,$E114&gt;Q$5),"■","")))</x:f>
      </x:c>
      <x:c r="R114" s="7" t="str">
        <x:f>IF(OR($D114="",R$5="",'상세일정'!AM114="제외"),"",IF($D114=$E114,IF(AND($D114&gt;=R$5,$D114&lt;R$5+7),"◆",""),IF(AND($D114&lt;R$5+7,$E114&gt;R$5),"■","")))</x:f>
      </x:c>
      <x:c r="S114" s="7" t="str">
        <x:f>IF(OR($D114="",S$5="",'상세일정'!AM114="제외"),"",IF($D114=$E114,IF(AND($D114&gt;=S$5,$D114&lt;S$5+7),"◆",""),IF(AND($D114&lt;S$5+7,$E114&gt;S$5),"■","")))</x:f>
      </x:c>
      <x:c r="T114" s="7" t="str">
        <x:f>IF(OR($D114="",T$5="",'상세일정'!AM114="제외"),"",IF($D114=$E114,IF(AND($D114&gt;=T$5,$D114&lt;T$5+7),"◆",""),IF(AND($D114&lt;T$5+7,$E114&gt;T$5),"■","")))</x:f>
      </x:c>
      <x:c r="U114" s="7" t="str">
        <x:f>IF(OR($D114="",U$5="",'상세일정'!AM114="제외"),"",IF($D114=$E114,IF(AND($D114&gt;=U$5,$D114&lt;U$5+7),"◆",""),IF(AND($D114&lt;U$5+7,$E114&gt;U$5),"■","")))</x:f>
      </x:c>
      <x:c r="V114" s="7" t="str">
        <x:f>IF(OR($D114="",V$5="",'상세일정'!AM114="제외"),"",IF($D114=$E114,IF(AND($D114&gt;=V$5,$D114&lt;V$5+7),"◆",""),IF(AND($D114&lt;V$5+7,$E114&gt;V$5),"■","")))</x:f>
      </x:c>
      <x:c r="W114" s="7" t="str">
        <x:f>IF(OR($D114="",W$5="",'상세일정'!AM114="제외"),"",IF($D114=$E114,IF(AND($D114&gt;=W$5,$D114&lt;W$5+7),"◆",""),IF(AND($D114&lt;W$5+7,$E114&gt;W$5),"■","")))</x:f>
      </x:c>
      <x:c r="X114" s="7" t="str">
        <x:f>IF(OR($D114="",X$5="",'상세일정'!AM114="제외"),"",IF($D114=$E114,IF(AND($D114&gt;=X$5,$D114&lt;X$5+7),"◆",""),IF(AND($D114&lt;X$5+7,$E114&gt;X$5),"■","")))</x:f>
      </x:c>
      <x:c r="Y114" s="7" t="str">
        <x:f>IF(OR($D114="",Y$5="",'상세일정'!AM114="제외"),"",IF($D114=$E114,IF(AND($D114&gt;=Y$5,$D114&lt;Y$5+7),"◆",""),IF(AND($D114&lt;Y$5+7,$E114&gt;Y$5),"■","")))</x:f>
      </x:c>
      <x:c r="Z114" s="7" t="str">
        <x:f>IF(OR($D114="",Z$5="",'상세일정'!AM114="제외"),"",IF($D114=$E114,IF(AND($D114&gt;=Z$5,$D114&lt;Z$5+7),"◆",""),IF(AND($D114&lt;Z$5+7,$E114&gt;Z$5),"■","")))</x:f>
      </x:c>
      <x:c r="AA114" s="7" t="str">
        <x:f>IF(OR($D114="",AA$5="",'상세일정'!AM114="제외"),"",IF($D114=$E114,IF(AND($D114&gt;=AA$5,$D114&lt;AA$5+7),"◆",""),IF(AND($D114&lt;AA$5+7,$E114&gt;AA$5),"■","")))</x:f>
      </x:c>
      <x:c r="AB114" s="7" t="str">
        <x:f>IF(OR($D114="",AB$5="",'상세일정'!AM114="제외"),"",IF($D114=$E114,IF(AND($D114&gt;=AB$5,$D114&lt;AB$5+7),"◆",""),IF(AND($D114&lt;AB$5+7,$E114&gt;AB$5),"■","")))</x:f>
      </x:c>
      <x:c r="AC114" s="7" t="str">
        <x:f>IF(OR($D114="",AC$5="",'상세일정'!AM114="제외"),"",IF($D114=$E114,IF(AND($D114&gt;=AC$5,$D114&lt;AC$5+7),"◆",""),IF(AND($D114&lt;AC$5+7,$E114&gt;AC$5),"■","")))</x:f>
      </x:c>
      <x:c r="AD114" s="7" t="str">
        <x:f>IF(OR($D114="",AD$5="",'상세일정'!AM114="제외"),"",IF($D114=$E114,IF(AND($D114&gt;=AD$5,$D114&lt;AD$5+7),"◆",""),IF(AND($D114&lt;AD$5+7,$E114&gt;AD$5),"■","")))</x:f>
      </x:c>
      <x:c r="AE114" s="7" t="str">
        <x:f>IF(OR($D114="",AE$5="",'상세일정'!AM114="제외"),"",IF($D114=$E114,IF(AND($D114&gt;=AE$5,$D114&lt;AE$5+7),"◆",""),IF(AND($D114&lt;AE$5+7,$E114&gt;AE$5),"■","")))</x:f>
      </x:c>
      <x:c r="AF114" s="7" t="str">
        <x:f>IF(OR($D114="",AF$5="",'상세일정'!AM114="제외"),"",IF($D114=$E114,IF(AND($D114&gt;=AF$5,$D114&lt;AF$5+7),"◆",""),IF(AND($D114&lt;AF$5+7,$E114&gt;AF$5),"■","")))</x:f>
      </x:c>
      <x:c r="AG114" s="7" t="str">
        <x:f>IF(OR($D114="",AG$5="",'상세일정'!AM114="제외"),"",IF($D114=$E114,IF(AND($D114&gt;=AG$5,$D114&lt;AG$5+7),"◆",""),IF(AND($D114&lt;AG$5+7,$E114&gt;AG$5),"■","")))</x:f>
      </x:c>
      <x:c r="AH114" s="7" t="str">
        <x:f>IF(OR($D114="",AH$5="",'상세일정'!AM114="제외"),"",IF($D114=$E114,IF(AND($D114&gt;=AH$5,$D114&lt;AH$5+7),"◆",""),IF(AND($D114&lt;AH$5+7,$E114&gt;AH$5),"■","")))</x:f>
      </x:c>
      <x:c r="AI114" s="7" t="str">
        <x:f>IF(OR($D114="",AI$5="",'상세일정'!AM114="제외"),"",IF($D114=$E114,IF(AND($D114&gt;=AI$5,$D114&lt;AI$5+7),"◆",""),IF(AND($D114&lt;AI$5+7,$E114&gt;AI$5),"■","")))</x:f>
      </x:c>
      <x:c r="AJ114" s="7" t="str">
        <x:f>IF(OR($D114="",AJ$5="",'상세일정'!AM114="제외"),"",IF($D114=$E114,IF(AND($D114&gt;=AJ$5,$D114&lt;AJ$5+7),"◆",""),IF(AND($D114&lt;AJ$5+7,$E114&gt;AJ$5),"■","")))</x:f>
      </x:c>
      <x:c r="AK114" s="7" t="str">
        <x:f>IF(OR($D114="",AK$5="",'상세일정'!AM114="제외"),"",IF($D114=$E114,IF(AND($D114&gt;=AK$5,$D114&lt;AK$5+7),"◆",""),IF(AND($D114&lt;AK$5+7,$E114&gt;AK$5),"■","")))</x:f>
      </x:c>
      <x:c r="AL114" s="7" t="str">
        <x:f>IF(OR($D114="",AL$5="",'상세일정'!AM114="제외"),"",IF($D114=$E114,IF(AND($D114&gt;=AL$5,$D114&lt;AL$5+7),"◆",""),IF(AND($D114&lt;AL$5+7,$E114&gt;AL$5),"■","")))</x:f>
      </x:c>
      <x:c r="AM114" s="7" t="str">
        <x:f>IF(OR($D114="",AM$5="",'상세일정'!AM114="제외"),"",IF($D114=$E114,IF(AND($D114&gt;=AM$5,$D114&lt;AM$5+7),"◆",""),IF(AND($D114&lt;AM$5+7,$E114&gt;AM$5),"■","")))</x:f>
      </x:c>
      <x:c r="AN114" s="7" t="str">
        <x:f>IF(OR($D114="",AN$5="",'상세일정'!AM114="제외"),"",IF($D114=$E114,IF(AND($D114&gt;=AN$5,$D114&lt;AN$5+7),"◆",""),IF(AND($D114&lt;AN$5+7,$E114&gt;AN$5),"■","")))</x:f>
      </x:c>
      <x:c r="AO114" s="7" t="str">
        <x:f>IF(OR($D114="",AO$5="",'상세일정'!AM114="제외"),"",IF($D114=$E114,IF(AND($D114&gt;=AO$5,$D114&lt;AO$5+7),"◆",""),IF(AND($D114&lt;AO$5+7,$E114&gt;AO$5),"■","")))</x:f>
      </x:c>
      <x:c r="AP114" s="7" t="str">
        <x:f>IF(OR($D114="",AP$5="",'상세일정'!AM114="제외"),"",IF($D114=$E114,IF(AND($D114&gt;=AP$5,$D114&lt;AP$5+7),"◆",""),IF(AND($D114&lt;AP$5+7,$E114&gt;AP$5),"■","")))</x:f>
      </x:c>
      <x:c r="AQ114" s="7" t="str">
        <x:f>IF(OR($D114="",AQ$5="",'상세일정'!AM114="제외"),"",IF($D114=$E114,IF(AND($D114&gt;=AQ$5,$D114&lt;AQ$5+7),"◆",""),IF(AND($D114&lt;AQ$5+7,$E114&gt;AQ$5),"■","")))</x:f>
      </x:c>
      <x:c r="AR114" s="7" t="str">
        <x:f>IF(OR($D114="",AR$5="",'상세일정'!AM114="제외"),"",IF($D114=$E114,IF(AND($D114&gt;=AR$5,$D114&lt;AR$5+7),"◆",""),IF(AND($D114&lt;AR$5+7,$E114&gt;AR$5),"■","")))</x:f>
      </x:c>
      <x:c r="AS114" s="7" t="str">
        <x:f>IF(OR($D114="",AS$5="",'상세일정'!AM114="제외"),"",IF($D114=$E114,IF(AND($D114&gt;=AS$5,$D114&lt;AS$5+7),"◆",""),IF(AND($D114&lt;AS$5+7,$E114&gt;AS$5),"■","")))</x:f>
      </x:c>
      <x:c r="AT114" s="7" t="str">
        <x:f>IF(OR($D114="",AT$5="",'상세일정'!AM114="제외"),"",IF($D114=$E114,IF(AND($D114&gt;=AT$5,$D114&lt;AT$5+7),"◆",""),IF(AND($D114&lt;AT$5+7,$E114&gt;AT$5),"■","")))</x:f>
      </x:c>
      <x:c r="AU114" s="7" t="str">
        <x:f>IF(OR($D114="",AU$5="",'상세일정'!AM114="제외"),"",IF($D114=$E114,IF(AND($D114&gt;=AU$5,$D114&lt;AU$5+7),"◆",""),IF(AND($D114&lt;AU$5+7,$E114&gt;AU$5),"■","")))</x:f>
      </x:c>
      <x:c r="AV114" s="7" t="str">
        <x:f>IF(OR($D114="",AV$5="",'상세일정'!AM114="제외"),"",IF($D114=$E114,IF(AND($D114&gt;=AV$5,$D114&lt;AV$5+7),"◆",""),IF(AND($D114&lt;AV$5+7,$E114&gt;AV$5),"■","")))</x:f>
      </x:c>
      <x:c r="AW114" s="7" t="str">
        <x:f>IF(OR($D114="",AW$5="",'상세일정'!AM114="제외"),"",IF($D114=$E114,IF(AND($D114&gt;=AW$5,$D114&lt;AW$5+7),"◆",""),IF(AND($D114&lt;AW$5+7,$E114&gt;AW$5),"■","")))</x:f>
      </x:c>
      <x:c r="AX114" s="7" t="str">
        <x:f>IF(OR($D114="",AX$5="",'상세일정'!AM114="제외"),"",IF($D114=$E114,IF(AND($D114&gt;=AX$5,$D114&lt;AX$5+7),"◆",""),IF(AND($D114&lt;AX$5+7,$E114&gt;AX$5),"■","")))</x:f>
      </x:c>
      <x:c r="AY114" s="7" t="str">
        <x:f>IF(OR($D114="",AY$5="",'상세일정'!AM114="제외"),"",IF($D114=$E114,IF(AND($D114&gt;=AY$5,$D114&lt;AY$5+7),"◆",""),IF(AND($D114&lt;AY$5+7,$E114&gt;AY$5),"■","")))</x:f>
      </x:c>
      <x:c r="AZ114" s="7" t="str">
        <x:f>IF(OR($D114="",AZ$5="",'상세일정'!AM114="제외"),"",IF($D114=$E114,IF(AND($D114&gt;=AZ$5,$D114&lt;AZ$5+7),"◆",""),IF(AND($D114&lt;AZ$5+7,$E114&gt;AZ$5),"■","")))</x:f>
      </x:c>
      <x:c r="BA114" s="7" t="str">
        <x:f>IF(OR($D114="",BA$5="",'상세일정'!AM114="제외"),"",IF($D114=$E114,IF(AND($D114&gt;=BA$5,$D114&lt;BA$5+7),"◆",""),IF(AND($D114&lt;BA$5+7,$E114&gt;BA$5),"■","")))</x:f>
      </x:c>
      <x:c r="BB114" s="7" t="str">
        <x:f>IF(OR($D114="",BB$5="",'상세일정'!AM114="제외"),"",IF($D114=$E114,IF(AND($D114&gt;=BB$5,$D114&lt;BB$5+7),"◆",""),IF(AND($D114&lt;BB$5+7,$E114&gt;BB$5),"■","")))</x:f>
      </x:c>
      <x:c r="BC114" s="7" t="str">
        <x:f>IF(OR($D114="",BC$5="",'상세일정'!AM114="제외"),"",IF($D114=$E114,IF(AND($D114&gt;=BC$5,$D114&lt;BC$5+7),"◆",""),IF(AND($D114&lt;BC$5+7,$E114&gt;BC$5),"■","")))</x:f>
      </x:c>
      <x:c r="BD114" s="7" t="str">
        <x:f>IF(OR($D114="",BD$5="",'상세일정'!AM114="제외"),"",IF($D114=$E114,IF(AND($D114&gt;=BD$5,$D114&lt;BD$5+7),"◆",""),IF(AND($D114&lt;BD$5+7,$E114&gt;BD$5),"■","")))</x:f>
      </x:c>
      <x:c r="BE114" s="7" t="str">
        <x:f>IF(OR($D114="",BE$5="",'상세일정'!AM114="제외"),"",IF($D114=$E114,IF(AND($D114&gt;=BE$5,$D114&lt;BE$5+7),"◆",""),IF(AND($D114&lt;BE$5+7,$E114&gt;BE$5),"■","")))</x:f>
      </x:c>
      <x:c r="BF114" s="7" t="str">
        <x:f>IF(OR($D114="",BF$5="",'상세일정'!AM114="제외"),"",IF($D114=$E114,IF(AND($D114&gt;=BF$5,$D114&lt;BF$5+7),"◆",""),IF(AND($D114&lt;BF$5+7,$E114&gt;BF$5),"■","")))</x:f>
      </x:c>
      <x:c r="BG114" s="7" t="str">
        <x:f>IF(OR($D114="",BG$5="",'상세일정'!AM114="제외"),"",IF($D114=$E114,IF(AND($D114&gt;=BG$5,$D114&lt;BG$5+7),"◆",""),IF(AND($D114&lt;BG$5+7,$E114&gt;BG$5),"■","")))</x:f>
      </x:c>
      <x:c r="BH114" s="7" t="str">
        <x:f>IF(OR($D114="",BH$5="",'상세일정'!AM114="제외"),"",IF($D114=$E114,IF(AND($D114&gt;=BH$5,$D114&lt;BH$5+7),"◆",""),IF(AND($D114&lt;BH$5+7,$E114&gt;BH$5),"■","")))</x:f>
      </x:c>
      <x:c r="BI114" s="7" t="str">
        <x:f>IF(OR($D114="",BI$5="",'상세일정'!AM114="제외"),"",IF($D114=$E114,IF(AND($D114&gt;=BI$5,$D114&lt;BI$5+7),"◆",""),IF(AND($D114&lt;BI$5+7,$E114&gt;BI$5),"■","")))</x:f>
      </x:c>
      <x:c r="BJ114" s="7" t="str">
        <x:f>IF(OR($D114="",BJ$5="",'상세일정'!AM114="제외"),"",IF($D114=$E114,IF(AND($D114&gt;=BJ$5,$D114&lt;BJ$5+7),"◆",""),IF(AND($D114&lt;BJ$5+7,$E114&gt;BJ$5),"■","")))</x:f>
      </x:c>
      <x:c r="BK114" s="7" t="str">
        <x:f>IF(OR($D114="",BK$5="",'상세일정'!AM114="제외"),"",IF($D114=$E114,IF(AND($D114&gt;=BK$5,$D114&lt;BK$5+7),"◆",""),IF(AND($D114&lt;BK$5+7,$E114&gt;BK$5),"■","")))</x:f>
      </x:c>
      <x:c r="BL114" s="7" t="str">
        <x:f>IF(OR($D114="",BL$5="",'상세일정'!AM114="제외"),"",IF($D114=$E114,IF(AND($D114&gt;=BL$5,$D114&lt;BL$5+7),"◆",""),IF(AND($D114&lt;BL$5+7,$E114&gt;BL$5),"■","")))</x:f>
      </x:c>
      <x:c r="BM114" s="7" t="str">
        <x:f>IF(OR($D114="",BM$5="",'상세일정'!AM114="제외"),"",IF($D114=$E114,IF(AND($D114&gt;=BM$5,$D114&lt;BM$5+7),"◆",""),IF(AND($D114&lt;BM$5+7,$E114&gt;BM$5),"■","")))</x:f>
      </x:c>
      <x:c r="BN114" s="7" t="str">
        <x:f>IF(OR($D114="",BN$5="",'상세일정'!AM114="제외"),"",IF($D114=$E114,IF(AND($D114&gt;=BN$5,$D114&lt;BN$5+7),"◆",""),IF(AND($D114&lt;BN$5+7,$E114&gt;BN$5),"■","")))</x:f>
      </x:c>
      <x:c r="BO114" s="7" t="str">
        <x:f>IF(OR($D114="",BO$5="",'상세일정'!AM114="제외"),"",IF($D114=$E114,IF(AND($D114&gt;=BO$5,$D114&lt;BO$5+7),"◆",""),IF(AND($D114&lt;BO$5+7,$E114&gt;BO$5),"■","")))</x:f>
      </x:c>
      <x:c r="BP114" s="7" t="str">
        <x:f>IF(OR($D114="",BP$5="",'상세일정'!AM114="제외"),"",IF($D114=$E114,IF(AND($D114&gt;=BP$5,$D114&lt;BP$5+7),"◆",""),IF(AND($D114&lt;BP$5+7,$E114&gt;BP$5),"■","")))</x:f>
      </x:c>
      <x:c r="BQ114" s="7" t="str">
        <x:f>IF(OR($D114="",BQ$5="",'상세일정'!AM114="제외"),"",IF($D114=$E114,IF(AND($D114&gt;=BQ$5,$D114&lt;BQ$5+7),"◆",""),IF(AND($D114&lt;BQ$5+7,$E114&gt;BQ$5),"■","")))</x:f>
      </x:c>
      <x:c r="BR114" s="7" t="str">
        <x:f>IF(OR($D114="",BR$5="",'상세일정'!AM114="제외"),"",IF($D114=$E114,IF(AND($D114&gt;=BR$5,$D114&lt;BR$5+7),"◆",""),IF(AND($D114&lt;BR$5+7,$E114&gt;BR$5),"■","")))</x:f>
      </x:c>
      <x:c r="BS114" s="7" t="str">
        <x:f>IF(OR($D114="",BS$5="",'상세일정'!AM114="제외"),"",IF($D114=$E114,IF(AND($D114&gt;=BS$5,$D114&lt;BS$5+7),"◆",""),IF(AND($D114&lt;BS$5+7,$E114&gt;BS$5),"■","")))</x:f>
      </x:c>
      <x:c r="BT114" s="7" t="str">
        <x:f>IF(OR($D114="",BT$5="",'상세일정'!AM114="제외"),"",IF($D114=$E114,IF(AND($D114&gt;=BT$5,$D114&lt;BT$5+7),"◆",""),IF(AND($D114&lt;BT$5+7,$E114&gt;BT$5),"■","")))</x:f>
      </x:c>
      <x:c r="BU114" s="7" t="str">
        <x:f>IF(OR($D114="",BU$5="",'상세일정'!AM114="제외"),"",IF($D114=$E114,IF(AND($D114&gt;=BU$5,$D114&lt;BU$5+7),"◆",""),IF(AND($D114&lt;BU$5+7,$E114&gt;BU$5),"■","")))</x:f>
      </x:c>
      <x:c r="BV114" s="7" t="str">
        <x:f>IF(OR($D114="",BV$5="",'상세일정'!AM114="제외"),"",IF($D114=$E114,IF(AND($D114&gt;=BV$5,$D114&lt;BV$5+7),"◆",""),IF(AND($D114&lt;BV$5+7,$E114&gt;BV$5),"■","")))</x:f>
      </x:c>
      <x:c r="BW114" s="7" t="str">
        <x:f>IF(OR($D114="",BW$5="",'상세일정'!AM114="제외"),"",IF($D114=$E114,IF(AND($D114&gt;=BW$5,$D114&lt;BW$5+7),"◆",""),IF(AND($D114&lt;BW$5+7,$E114&gt;BW$5),"■","")))</x:f>
      </x:c>
      <x:c r="BX114" s="7" t="str">
        <x:f>IF(OR($D114="",BX$5="",'상세일정'!AM114="제외"),"",IF($D114=$E114,IF(AND($D114&gt;=BX$5,$D114&lt;BX$5+7),"◆",""),IF(AND($D114&lt;BX$5+7,$E114&gt;BX$5),"■","")))</x:f>
      </x:c>
      <x:c r="BY114" s="7" t="str">
        <x:f>IF(OR($D114="",BY$5="",'상세일정'!AM114="제외"),"",IF($D114=$E114,IF(AND($D114&gt;=BY$5,$D114&lt;BY$5+7),"◆",""),IF(AND($D114&lt;BY$5+7,$E114&gt;BY$5),"■","")))</x:f>
      </x:c>
      <x:c r="BZ114" s="7" t="str">
        <x:f>IF(OR($D114="",BZ$5="",'상세일정'!AM114="제외"),"",IF($D114=$E114,IF(AND($D114&gt;=BZ$5,$D114&lt;BZ$5+7),"◆",""),IF(AND($D114&lt;BZ$5+7,$E114&gt;BZ$5),"■","")))</x:f>
      </x:c>
      <x:c r="CA114" s="7" t="str">
        <x:f>IF(OR($D114="",CA$5="",'상세일정'!AM114="제외"),"",IF($D114=$E114,IF(AND($D114&gt;=CA$5,$D114&lt;CA$5+7),"◆",""),IF(AND($D114&lt;CA$5+7,$E114&gt;CA$5),"■","")))</x:f>
      </x:c>
      <x:c r="CB114" s="7" t="str">
        <x:f>IF(OR($D114="",CB$5="",'상세일정'!AM114="제외"),"",IF($D114=$E114,IF(AND($D114&gt;=CB$5,$D114&lt;CB$5+7),"◆",""),IF(AND($D114&lt;CB$5+7,$E114&gt;CB$5),"■","")))</x:f>
      </x:c>
      <x:c r="CC114" s="7" t="str">
        <x:f>IF(OR($D114="",CC$5="",'상세일정'!AM114="제외"),"",IF($D114=$E114,IF(AND($D114&gt;=CC$5,$D114&lt;CC$5+7),"◆",""),IF(AND($D114&lt;CC$5+7,$E114&gt;CC$5),"■","")))</x:f>
      </x:c>
      <x:c r="CD114" s="7" t="str">
        <x:f>IF(OR($D114="",CD$5="",'상세일정'!AM114="제외"),"",IF($D114=$E114,IF(AND($D114&gt;=CD$5,$D114&lt;CD$5+7),"◆",""),IF(AND($D114&lt;CD$5+7,$E114&gt;CD$5),"■","")))</x:f>
      </x:c>
      <x:c r="CE114" s="7" t="str">
        <x:f>IF(OR($D114="",CE$5="",'상세일정'!AM114="제외"),"",IF($D114=$E114,IF(AND($D114&gt;=CE$5,$D114&lt;CE$5+7),"◆",""),IF(AND($D114&lt;CE$5+7,$E114&gt;CE$5),"■","")))</x:f>
      </x:c>
      <x:c r="CF114" s="7" t="str">
        <x:f>IF(OR($D114="",CF$5="",'상세일정'!AM114="제외"),"",IF($D114=$E114,IF(AND($D114&gt;=CF$5,$D114&lt;CF$5+7),"◆",""),IF(AND($D114&lt;CF$5+7,$E114&gt;CF$5),"■","")))</x:f>
      </x:c>
      <x:c r="CG114" s="7" t="str">
        <x:f>IF(OR($D114="",CG$5="",'상세일정'!AM114="제외"),"",IF($D114=$E114,IF(AND($D114&gt;=CG$5,$D114&lt;CG$5+7),"◆",""),IF(AND($D114&lt;CG$5+7,$E114&gt;CG$5),"■","")))</x:f>
      </x:c>
      <x:c r="CH114" s="7" t="str">
        <x:f>IF(OR($D114="",CH$5="",'상세일정'!AM114="제외"),"",IF($D114=$E114,IF(AND($D114&gt;=CH$5,$D114&lt;CH$5+7),"◆",""),IF(AND($D114&lt;CH$5+7,$E114&gt;CH$5),"■","")))</x:f>
      </x:c>
      <x:c r="CI114" s="7" t="str">
        <x:f>IF(OR($D114="",CI$5="",'상세일정'!AM114="제외"),"",IF($D114=$E114,IF(AND($D114&gt;=CI$5,$D114&lt;CI$5+7),"◆",""),IF(AND($D114&lt;CI$5+7,$E114&gt;CI$5),"■","")))</x:f>
      </x:c>
      <x:c r="CJ114" s="7" t="str">
        <x:f>IF(OR($D114="",CJ$5="",'상세일정'!AM114="제외"),"",IF($D114=$E114,IF(AND($D114&gt;=CJ$5,$D114&lt;CJ$5+7),"◆",""),IF(AND($D114&lt;CJ$5+7,$E114&gt;CJ$5),"■","")))</x:f>
      </x:c>
      <x:c r="CK114" s="7" t="str">
        <x:f>IF(OR($D114="",CK$5="",'상세일정'!AM114="제외"),"",IF($D114=$E114,IF(AND($D114&gt;=CK$5,$D114&lt;CK$5+7),"◆",""),IF(AND($D114&lt;CK$5+7,$E114&gt;CK$5),"■","")))</x:f>
      </x:c>
      <x:c r="CL114" s="7" t="str">
        <x:f>IF(OR($D114="",CL$5="",'상세일정'!AM114="제외"),"",IF($D114=$E114,IF(AND($D114&gt;=CL$5,$D114&lt;CL$5+7),"◆",""),IF(AND($D114&lt;CL$5+7,$E114&gt;CL$5),"■","")))</x:f>
      </x:c>
      <x:c r="CM114" s="7" t="str">
        <x:f>IF(OR($D114="",CM$5="",'상세일정'!AM114="제외"),"",IF($D114=$E114,IF(AND($D114&gt;=CM$5,$D114&lt;CM$5+7),"◆",""),IF(AND($D114&lt;CM$5+7,$E114&gt;CM$5),"■","")))</x:f>
      </x:c>
      <x:c r="CN114" s="7" t="str">
        <x:f>IF(OR($D114="",CN$5="",'상세일정'!AM114="제외"),"",IF($D114=$E114,IF(AND($D114&gt;=CN$5,$D114&lt;CN$5+7),"◆",""),IF(AND($D114&lt;CN$5+7,$E114&gt;CN$5),"■","")))</x:f>
      </x:c>
      <x:c r="CO114" s="7" t="str">
        <x:f>IF(OR($D114="",CO$5="",'상세일정'!AM114="제외"),"",IF($D114=$E114,IF(AND($D114&gt;=CO$5,$D114&lt;CO$5+7),"◆",""),IF(AND($D114&lt;CO$5+7,$E114&gt;CO$5),"■","")))</x:f>
      </x:c>
      <x:c r="CP114" s="7" t="str">
        <x:f>IF(OR($D114="",CP$5="",'상세일정'!AM114="제외"),"",IF($D114=$E114,IF(AND($D114&gt;=CP$5,$D114&lt;CP$5+7),"◆",""),IF(AND($D114&lt;CP$5+7,$E114&gt;CP$5),"■","")))</x:f>
      </x:c>
      <x:c r="CQ114" s="7" t="str">
        <x:f>IF(OR($D114="",CQ$5="",'상세일정'!AM114="제외"),"",IF($D114=$E114,IF(AND($D114&gt;=CQ$5,$D114&lt;CQ$5+7),"◆",""),IF(AND($D114&lt;CQ$5+7,$E114&gt;CQ$5),"■","")))</x:f>
      </x:c>
      <x:c r="CR114" s="7" t="str">
        <x:f>IF(OR($D114="",CR$5="",'상세일정'!AM114="제외"),"",IF($D114=$E114,IF(AND($D114&gt;=CR$5,$D114&lt;CR$5+7),"◆",""),IF(AND($D114&lt;CR$5+7,$E114&gt;CR$5),"■","")))</x:f>
      </x:c>
      <x:c r="CS114" s="7" t="str">
        <x:f>IF(OR($D114="",CS$5="",'상세일정'!AM114="제외"),"",IF($D114=$E114,IF(AND($D114&gt;=CS$5,$D114&lt;CS$5+7),"◆",""),IF(AND($D114&lt;CS$5+7,$E114&gt;CS$5),"■","")))</x:f>
      </x:c>
      <x:c r="CT114" s="7" t="str">
        <x:f>IF(OR($D114="",CT$5="",'상세일정'!AM114="제외"),"",IF($D114=$E114,IF(AND($D114&gt;=CT$5,$D114&lt;CT$5+7),"◆",""),IF(AND($D114&lt;CT$5+7,$E114&gt;CT$5),"■","")))</x:f>
      </x:c>
      <x:c r="CU114" s="7" t="str">
        <x:f>IF(OR($D114="",CU$5="",'상세일정'!AM114="제외"),"",IF($D114=$E114,IF(AND($D114&gt;=CU$5,$D114&lt;CU$5+7),"◆",""),IF(AND($D114&lt;CU$5+7,$E114&gt;CU$5),"■","")))</x:f>
      </x:c>
      <x:c r="CV114" s="7" t="str">
        <x:f>IF(OR($D114="",CV$5="",'상세일정'!AM114="제외"),"",IF($D114=$E114,IF(AND($D114&gt;=CV$5,$D114&lt;CV$5+7),"◆",""),IF(AND($D114&lt;CV$5+7,$E114&gt;CV$5),"■","")))</x:f>
      </x:c>
      <x:c r="CW114" s="7" t="str">
        <x:f>IF(OR($D114="",CW$5="",'상세일정'!AM114="제외"),"",IF($D114=$E114,IF(AND($D114&gt;=CW$5,$D114&lt;CW$5+7),"◆",""),IF(AND($D114&lt;CW$5+7,$E114&gt;CW$5),"■","")))</x:f>
      </x:c>
      <x:c r="CX114" s="7" t="str">
        <x:f>IF(OR($D114="",CX$5="",'상세일정'!AM114="제외"),"",IF($D114=$E114,IF(AND($D114&gt;=CX$5,$D114&lt;CX$5+7),"◆",""),IF(AND($D114&lt;CX$5+7,$E114&gt;CX$5),"■","")))</x:f>
      </x:c>
      <x:c r="CY114" s="7" t="str">
        <x:f>IF(OR($D114="",CY$5="",'상세일정'!AM114="제외"),"",IF($D114=$E114,IF(AND($D114&gt;=CY$5,$D114&lt;CY$5+7),"◆",""),IF(AND($D114&lt;CY$5+7,$E114&gt;CY$5),"■","")))</x:f>
      </x:c>
      <x:c r="CZ114" s="7" t="str">
        <x:f>IF(OR($D114="",CZ$5="",'상세일정'!AM114="제외"),"",IF($D114=$E114,IF(AND($D114&gt;=CZ$5,$D114&lt;CZ$5+7),"◆",""),IF(AND($D114&lt;CZ$5+7,$E114&gt;CZ$5),"■","")))</x:f>
      </x:c>
      <x:c r="DA114" s="7" t="str">
        <x:f>IF(OR($D114="",DA$5="",'상세일정'!AM114="제외"),"",IF($D114=$E114,IF(AND($D114&gt;=DA$5,$D114&lt;DA$5+7),"◆",""),IF(AND($D114&lt;DA$5+7,$E114&gt;DA$5),"■","")))</x:f>
      </x:c>
      <x:c r="DB114" s="7" t="str">
        <x:f>IF(OR($D114="",DB$5="",'상세일정'!AM114="제외"),"",IF($D114=$E114,IF(AND($D114&gt;=DB$5,$D114&lt;DB$5+7),"◆",""),IF(AND($D114&lt;DB$5+7,$E114&gt;DB$5),"■","")))</x:f>
      </x:c>
      <x:c r="DC114" s="7" t="str">
        <x:f>IF(OR($D114="",DC$5="",'상세일정'!AM114="제외"),"",IF($D114=$E114,IF(AND($D114&gt;=DC$5,$D114&lt;DC$5+7),"◆",""),IF(AND($D114&lt;DC$5+7,$E114&gt;DC$5),"■","")))</x:f>
      </x:c>
      <x:c r="DD114" s="7" t="str">
        <x:f>IF(OR($D114="",DD$5="",'상세일정'!AM114="제외"),"",IF($D114=$E114,IF(AND($D114&gt;=DD$5,$D114&lt;DD$5+7),"◆",""),IF(AND($D114&lt;DD$5+7,$E114&gt;DD$5),"■","")))</x:f>
      </x:c>
      <x:c r="DE114" s="7" t="str">
        <x:f>IF(OR($D114="",DE$5="",'상세일정'!AM114="제외"),"",IF($D114=$E114,IF(AND($D114&gt;=DE$5,$D114&lt;DE$5+7),"◆",""),IF(AND($D114&lt;DE$5+7,$E114&gt;DE$5),"■","")))</x:f>
      </x:c>
    </x:row>
    <x:row r="115" ht="34" customHeight="1">
      <x:c r="A115" s="7" t="str">
        <x:v>BG01</x:v>
      </x:c>
      <x:c r="B115" s="7" t="str">
        <x:v>16 기자재 구매·제작</x:v>
      </x:c>
      <x:c r="C115" s="7" t="str">
        <x:v>전처리 패키지 B 잔여 발주범위·사양 확정</x:v>
      </x:c>
      <x:c r="D115" s="10" t="str">
        <x:f>'상세일정'!AJ115</x:f>
      </x:c>
      <x:c r="E115" s="10" t="str">
        <x:f>'상세일정'!AK115</x:f>
      </x:c>
      <x:c r="F115" s="7" t="str">
        <x:f>IF(OR($D115="",F$5="",'상세일정'!AM115="제외"),"",IF($D115=$E115,IF(AND($D115&gt;=F$5,$D115&lt;F$5+7),"◆",""),IF(AND($D115&lt;F$5+7,$E115&gt;F$5),"■","")))</x:f>
      </x:c>
      <x:c r="G115" s="7" t="str">
        <x:f>IF(OR($D115="",G$5="",'상세일정'!AM115="제외"),"",IF($D115=$E115,IF(AND($D115&gt;=G$5,$D115&lt;G$5+7),"◆",""),IF(AND($D115&lt;G$5+7,$E115&gt;G$5),"■","")))</x:f>
      </x:c>
      <x:c r="H115" s="7" t="str">
        <x:f>IF(OR($D115="",H$5="",'상세일정'!AM115="제외"),"",IF($D115=$E115,IF(AND($D115&gt;=H$5,$D115&lt;H$5+7),"◆",""),IF(AND($D115&lt;H$5+7,$E115&gt;H$5),"■","")))</x:f>
      </x:c>
      <x:c r="I115" s="7" t="str">
        <x:f>IF(OR($D115="",I$5="",'상세일정'!AM115="제외"),"",IF($D115=$E115,IF(AND($D115&gt;=I$5,$D115&lt;I$5+7),"◆",""),IF(AND($D115&lt;I$5+7,$E115&gt;I$5),"■","")))</x:f>
      </x:c>
      <x:c r="J115" s="7" t="str">
        <x:f>IF(OR($D115="",J$5="",'상세일정'!AM115="제외"),"",IF($D115=$E115,IF(AND($D115&gt;=J$5,$D115&lt;J$5+7),"◆",""),IF(AND($D115&lt;J$5+7,$E115&gt;J$5),"■","")))</x:f>
      </x:c>
      <x:c r="K115" s="7" t="str">
        <x:f>IF(OR($D115="",K$5="",'상세일정'!AM115="제외"),"",IF($D115=$E115,IF(AND($D115&gt;=K$5,$D115&lt;K$5+7),"◆",""),IF(AND($D115&lt;K$5+7,$E115&gt;K$5),"■","")))</x:f>
      </x:c>
      <x:c r="L115" s="7" t="str">
        <x:f>IF(OR($D115="",L$5="",'상세일정'!AM115="제외"),"",IF($D115=$E115,IF(AND($D115&gt;=L$5,$D115&lt;L$5+7),"◆",""),IF(AND($D115&lt;L$5+7,$E115&gt;L$5),"■","")))</x:f>
      </x:c>
      <x:c r="M115" s="7" t="str">
        <x:f>IF(OR($D115="",M$5="",'상세일정'!AM115="제외"),"",IF($D115=$E115,IF(AND($D115&gt;=M$5,$D115&lt;M$5+7),"◆",""),IF(AND($D115&lt;M$5+7,$E115&gt;M$5),"■","")))</x:f>
      </x:c>
      <x:c r="N115" s="7" t="str">
        <x:f>IF(OR($D115="",N$5="",'상세일정'!AM115="제외"),"",IF($D115=$E115,IF(AND($D115&gt;=N$5,$D115&lt;N$5+7),"◆",""),IF(AND($D115&lt;N$5+7,$E115&gt;N$5),"■","")))</x:f>
      </x:c>
      <x:c r="O115" s="7" t="str">
        <x:f>IF(OR($D115="",O$5="",'상세일정'!AM115="제외"),"",IF($D115=$E115,IF(AND($D115&gt;=O$5,$D115&lt;O$5+7),"◆",""),IF(AND($D115&lt;O$5+7,$E115&gt;O$5),"■","")))</x:f>
      </x:c>
      <x:c r="P115" s="7" t="str">
        <x:f>IF(OR($D115="",P$5="",'상세일정'!AM115="제외"),"",IF($D115=$E115,IF(AND($D115&gt;=P$5,$D115&lt;P$5+7),"◆",""),IF(AND($D115&lt;P$5+7,$E115&gt;P$5),"■","")))</x:f>
      </x:c>
      <x:c r="Q115" s="7" t="str">
        <x:f>IF(OR($D115="",Q$5="",'상세일정'!AM115="제외"),"",IF($D115=$E115,IF(AND($D115&gt;=Q$5,$D115&lt;Q$5+7),"◆",""),IF(AND($D115&lt;Q$5+7,$E115&gt;Q$5),"■","")))</x:f>
      </x:c>
      <x:c r="R115" s="7" t="str">
        <x:f>IF(OR($D115="",R$5="",'상세일정'!AM115="제외"),"",IF($D115=$E115,IF(AND($D115&gt;=R$5,$D115&lt;R$5+7),"◆",""),IF(AND($D115&lt;R$5+7,$E115&gt;R$5),"■","")))</x:f>
      </x:c>
      <x:c r="S115" s="7" t="str">
        <x:f>IF(OR($D115="",S$5="",'상세일정'!AM115="제외"),"",IF($D115=$E115,IF(AND($D115&gt;=S$5,$D115&lt;S$5+7),"◆",""),IF(AND($D115&lt;S$5+7,$E115&gt;S$5),"■","")))</x:f>
      </x:c>
      <x:c r="T115" s="7" t="str">
        <x:f>IF(OR($D115="",T$5="",'상세일정'!AM115="제외"),"",IF($D115=$E115,IF(AND($D115&gt;=T$5,$D115&lt;T$5+7),"◆",""),IF(AND($D115&lt;T$5+7,$E115&gt;T$5),"■","")))</x:f>
      </x:c>
      <x:c r="U115" s="7" t="str">
        <x:f>IF(OR($D115="",U$5="",'상세일정'!AM115="제외"),"",IF($D115=$E115,IF(AND($D115&gt;=U$5,$D115&lt;U$5+7),"◆",""),IF(AND($D115&lt;U$5+7,$E115&gt;U$5),"■","")))</x:f>
      </x:c>
      <x:c r="V115" s="7" t="str">
        <x:f>IF(OR($D115="",V$5="",'상세일정'!AM115="제외"),"",IF($D115=$E115,IF(AND($D115&gt;=V$5,$D115&lt;V$5+7),"◆",""),IF(AND($D115&lt;V$5+7,$E115&gt;V$5),"■","")))</x:f>
      </x:c>
      <x:c r="W115" s="7" t="str">
        <x:f>IF(OR($D115="",W$5="",'상세일정'!AM115="제외"),"",IF($D115=$E115,IF(AND($D115&gt;=W$5,$D115&lt;W$5+7),"◆",""),IF(AND($D115&lt;W$5+7,$E115&gt;W$5),"■","")))</x:f>
      </x:c>
      <x:c r="X115" s="7" t="str">
        <x:f>IF(OR($D115="",X$5="",'상세일정'!AM115="제외"),"",IF($D115=$E115,IF(AND($D115&gt;=X$5,$D115&lt;X$5+7),"◆",""),IF(AND($D115&lt;X$5+7,$E115&gt;X$5),"■","")))</x:f>
      </x:c>
      <x:c r="Y115" s="7" t="str">
        <x:f>IF(OR($D115="",Y$5="",'상세일정'!AM115="제외"),"",IF($D115=$E115,IF(AND($D115&gt;=Y$5,$D115&lt;Y$5+7),"◆",""),IF(AND($D115&lt;Y$5+7,$E115&gt;Y$5),"■","")))</x:f>
      </x:c>
      <x:c r="Z115" s="7" t="str">
        <x:f>IF(OR($D115="",Z$5="",'상세일정'!AM115="제외"),"",IF($D115=$E115,IF(AND($D115&gt;=Z$5,$D115&lt;Z$5+7),"◆",""),IF(AND($D115&lt;Z$5+7,$E115&gt;Z$5),"■","")))</x:f>
      </x:c>
      <x:c r="AA115" s="7" t="str">
        <x:f>IF(OR($D115="",AA$5="",'상세일정'!AM115="제외"),"",IF($D115=$E115,IF(AND($D115&gt;=AA$5,$D115&lt;AA$5+7),"◆",""),IF(AND($D115&lt;AA$5+7,$E115&gt;AA$5),"■","")))</x:f>
      </x:c>
      <x:c r="AB115" s="7" t="str">
        <x:f>IF(OR($D115="",AB$5="",'상세일정'!AM115="제외"),"",IF($D115=$E115,IF(AND($D115&gt;=AB$5,$D115&lt;AB$5+7),"◆",""),IF(AND($D115&lt;AB$5+7,$E115&gt;AB$5),"■","")))</x:f>
      </x:c>
      <x:c r="AC115" s="7" t="str">
        <x:f>IF(OR($D115="",AC$5="",'상세일정'!AM115="제외"),"",IF($D115=$E115,IF(AND($D115&gt;=AC$5,$D115&lt;AC$5+7),"◆",""),IF(AND($D115&lt;AC$5+7,$E115&gt;AC$5),"■","")))</x:f>
      </x:c>
      <x:c r="AD115" s="7" t="str">
        <x:f>IF(OR($D115="",AD$5="",'상세일정'!AM115="제외"),"",IF($D115=$E115,IF(AND($D115&gt;=AD$5,$D115&lt;AD$5+7),"◆",""),IF(AND($D115&lt;AD$5+7,$E115&gt;AD$5),"■","")))</x:f>
      </x:c>
      <x:c r="AE115" s="7" t="str">
        <x:f>IF(OR($D115="",AE$5="",'상세일정'!AM115="제외"),"",IF($D115=$E115,IF(AND($D115&gt;=AE$5,$D115&lt;AE$5+7),"◆",""),IF(AND($D115&lt;AE$5+7,$E115&gt;AE$5),"■","")))</x:f>
      </x:c>
      <x:c r="AF115" s="7" t="str">
        <x:f>IF(OR($D115="",AF$5="",'상세일정'!AM115="제외"),"",IF($D115=$E115,IF(AND($D115&gt;=AF$5,$D115&lt;AF$5+7),"◆",""),IF(AND($D115&lt;AF$5+7,$E115&gt;AF$5),"■","")))</x:f>
      </x:c>
      <x:c r="AG115" s="7" t="str">
        <x:f>IF(OR($D115="",AG$5="",'상세일정'!AM115="제외"),"",IF($D115=$E115,IF(AND($D115&gt;=AG$5,$D115&lt;AG$5+7),"◆",""),IF(AND($D115&lt;AG$5+7,$E115&gt;AG$5),"■","")))</x:f>
      </x:c>
      <x:c r="AH115" s="7" t="str">
        <x:f>IF(OR($D115="",AH$5="",'상세일정'!AM115="제외"),"",IF($D115=$E115,IF(AND($D115&gt;=AH$5,$D115&lt;AH$5+7),"◆",""),IF(AND($D115&lt;AH$5+7,$E115&gt;AH$5),"■","")))</x:f>
      </x:c>
      <x:c r="AI115" s="7" t="str">
        <x:f>IF(OR($D115="",AI$5="",'상세일정'!AM115="제외"),"",IF($D115=$E115,IF(AND($D115&gt;=AI$5,$D115&lt;AI$5+7),"◆",""),IF(AND($D115&lt;AI$5+7,$E115&gt;AI$5),"■","")))</x:f>
      </x:c>
      <x:c r="AJ115" s="7" t="str">
        <x:f>IF(OR($D115="",AJ$5="",'상세일정'!AM115="제외"),"",IF($D115=$E115,IF(AND($D115&gt;=AJ$5,$D115&lt;AJ$5+7),"◆",""),IF(AND($D115&lt;AJ$5+7,$E115&gt;AJ$5),"■","")))</x:f>
      </x:c>
      <x:c r="AK115" s="7" t="str">
        <x:f>IF(OR($D115="",AK$5="",'상세일정'!AM115="제외"),"",IF($D115=$E115,IF(AND($D115&gt;=AK$5,$D115&lt;AK$5+7),"◆",""),IF(AND($D115&lt;AK$5+7,$E115&gt;AK$5),"■","")))</x:f>
      </x:c>
      <x:c r="AL115" s="7" t="str">
        <x:f>IF(OR($D115="",AL$5="",'상세일정'!AM115="제외"),"",IF($D115=$E115,IF(AND($D115&gt;=AL$5,$D115&lt;AL$5+7),"◆",""),IF(AND($D115&lt;AL$5+7,$E115&gt;AL$5),"■","")))</x:f>
      </x:c>
      <x:c r="AM115" s="7" t="str">
        <x:f>IF(OR($D115="",AM$5="",'상세일정'!AM115="제외"),"",IF($D115=$E115,IF(AND($D115&gt;=AM$5,$D115&lt;AM$5+7),"◆",""),IF(AND($D115&lt;AM$5+7,$E115&gt;AM$5),"■","")))</x:f>
      </x:c>
      <x:c r="AN115" s="7" t="str">
        <x:f>IF(OR($D115="",AN$5="",'상세일정'!AM115="제외"),"",IF($D115=$E115,IF(AND($D115&gt;=AN$5,$D115&lt;AN$5+7),"◆",""),IF(AND($D115&lt;AN$5+7,$E115&gt;AN$5),"■","")))</x:f>
      </x:c>
      <x:c r="AO115" s="7" t="str">
        <x:f>IF(OR($D115="",AO$5="",'상세일정'!AM115="제외"),"",IF($D115=$E115,IF(AND($D115&gt;=AO$5,$D115&lt;AO$5+7),"◆",""),IF(AND($D115&lt;AO$5+7,$E115&gt;AO$5),"■","")))</x:f>
      </x:c>
      <x:c r="AP115" s="7" t="str">
        <x:f>IF(OR($D115="",AP$5="",'상세일정'!AM115="제외"),"",IF($D115=$E115,IF(AND($D115&gt;=AP$5,$D115&lt;AP$5+7),"◆",""),IF(AND($D115&lt;AP$5+7,$E115&gt;AP$5),"■","")))</x:f>
      </x:c>
      <x:c r="AQ115" s="7" t="str">
        <x:f>IF(OR($D115="",AQ$5="",'상세일정'!AM115="제외"),"",IF($D115=$E115,IF(AND($D115&gt;=AQ$5,$D115&lt;AQ$5+7),"◆",""),IF(AND($D115&lt;AQ$5+7,$E115&gt;AQ$5),"■","")))</x:f>
      </x:c>
      <x:c r="AR115" s="7" t="str">
        <x:f>IF(OR($D115="",AR$5="",'상세일정'!AM115="제외"),"",IF($D115=$E115,IF(AND($D115&gt;=AR$5,$D115&lt;AR$5+7),"◆",""),IF(AND($D115&lt;AR$5+7,$E115&gt;AR$5),"■","")))</x:f>
      </x:c>
      <x:c r="AS115" s="7" t="str">
        <x:f>IF(OR($D115="",AS$5="",'상세일정'!AM115="제외"),"",IF($D115=$E115,IF(AND($D115&gt;=AS$5,$D115&lt;AS$5+7),"◆",""),IF(AND($D115&lt;AS$5+7,$E115&gt;AS$5),"■","")))</x:f>
      </x:c>
      <x:c r="AT115" s="7" t="str">
        <x:f>IF(OR($D115="",AT$5="",'상세일정'!AM115="제외"),"",IF($D115=$E115,IF(AND($D115&gt;=AT$5,$D115&lt;AT$5+7),"◆",""),IF(AND($D115&lt;AT$5+7,$E115&gt;AT$5),"■","")))</x:f>
      </x:c>
      <x:c r="AU115" s="7" t="str">
        <x:f>IF(OR($D115="",AU$5="",'상세일정'!AM115="제외"),"",IF($D115=$E115,IF(AND($D115&gt;=AU$5,$D115&lt;AU$5+7),"◆",""),IF(AND($D115&lt;AU$5+7,$E115&gt;AU$5),"■","")))</x:f>
      </x:c>
      <x:c r="AV115" s="7" t="str">
        <x:f>IF(OR($D115="",AV$5="",'상세일정'!AM115="제외"),"",IF($D115=$E115,IF(AND($D115&gt;=AV$5,$D115&lt;AV$5+7),"◆",""),IF(AND($D115&lt;AV$5+7,$E115&gt;AV$5),"■","")))</x:f>
      </x:c>
      <x:c r="AW115" s="7" t="str">
        <x:f>IF(OR($D115="",AW$5="",'상세일정'!AM115="제외"),"",IF($D115=$E115,IF(AND($D115&gt;=AW$5,$D115&lt;AW$5+7),"◆",""),IF(AND($D115&lt;AW$5+7,$E115&gt;AW$5),"■","")))</x:f>
      </x:c>
      <x:c r="AX115" s="7" t="str">
        <x:f>IF(OR($D115="",AX$5="",'상세일정'!AM115="제외"),"",IF($D115=$E115,IF(AND($D115&gt;=AX$5,$D115&lt;AX$5+7),"◆",""),IF(AND($D115&lt;AX$5+7,$E115&gt;AX$5),"■","")))</x:f>
      </x:c>
      <x:c r="AY115" s="7" t="str">
        <x:f>IF(OR($D115="",AY$5="",'상세일정'!AM115="제외"),"",IF($D115=$E115,IF(AND($D115&gt;=AY$5,$D115&lt;AY$5+7),"◆",""),IF(AND($D115&lt;AY$5+7,$E115&gt;AY$5),"■","")))</x:f>
      </x:c>
      <x:c r="AZ115" s="7" t="str">
        <x:f>IF(OR($D115="",AZ$5="",'상세일정'!AM115="제외"),"",IF($D115=$E115,IF(AND($D115&gt;=AZ$5,$D115&lt;AZ$5+7),"◆",""),IF(AND($D115&lt;AZ$5+7,$E115&gt;AZ$5),"■","")))</x:f>
      </x:c>
      <x:c r="BA115" s="7" t="str">
        <x:f>IF(OR($D115="",BA$5="",'상세일정'!AM115="제외"),"",IF($D115=$E115,IF(AND($D115&gt;=BA$5,$D115&lt;BA$5+7),"◆",""),IF(AND($D115&lt;BA$5+7,$E115&gt;BA$5),"■","")))</x:f>
      </x:c>
      <x:c r="BB115" s="7" t="str">
        <x:f>IF(OR($D115="",BB$5="",'상세일정'!AM115="제외"),"",IF($D115=$E115,IF(AND($D115&gt;=BB$5,$D115&lt;BB$5+7),"◆",""),IF(AND($D115&lt;BB$5+7,$E115&gt;BB$5),"■","")))</x:f>
      </x:c>
      <x:c r="BC115" s="7" t="str">
        <x:f>IF(OR($D115="",BC$5="",'상세일정'!AM115="제외"),"",IF($D115=$E115,IF(AND($D115&gt;=BC$5,$D115&lt;BC$5+7),"◆",""),IF(AND($D115&lt;BC$5+7,$E115&gt;BC$5),"■","")))</x:f>
      </x:c>
      <x:c r="BD115" s="7" t="str">
        <x:f>IF(OR($D115="",BD$5="",'상세일정'!AM115="제외"),"",IF($D115=$E115,IF(AND($D115&gt;=BD$5,$D115&lt;BD$5+7),"◆",""),IF(AND($D115&lt;BD$5+7,$E115&gt;BD$5),"■","")))</x:f>
      </x:c>
      <x:c r="BE115" s="7" t="str">
        <x:f>IF(OR($D115="",BE$5="",'상세일정'!AM115="제외"),"",IF($D115=$E115,IF(AND($D115&gt;=BE$5,$D115&lt;BE$5+7),"◆",""),IF(AND($D115&lt;BE$5+7,$E115&gt;BE$5),"■","")))</x:f>
      </x:c>
      <x:c r="BF115" s="7" t="str">
        <x:f>IF(OR($D115="",BF$5="",'상세일정'!AM115="제외"),"",IF($D115=$E115,IF(AND($D115&gt;=BF$5,$D115&lt;BF$5+7),"◆",""),IF(AND($D115&lt;BF$5+7,$E115&gt;BF$5),"■","")))</x:f>
      </x:c>
      <x:c r="BG115" s="7" t="str">
        <x:f>IF(OR($D115="",BG$5="",'상세일정'!AM115="제외"),"",IF($D115=$E115,IF(AND($D115&gt;=BG$5,$D115&lt;BG$5+7),"◆",""),IF(AND($D115&lt;BG$5+7,$E115&gt;BG$5),"■","")))</x:f>
      </x:c>
      <x:c r="BH115" s="7" t="str">
        <x:f>IF(OR($D115="",BH$5="",'상세일정'!AM115="제외"),"",IF($D115=$E115,IF(AND($D115&gt;=BH$5,$D115&lt;BH$5+7),"◆",""),IF(AND($D115&lt;BH$5+7,$E115&gt;BH$5),"■","")))</x:f>
      </x:c>
      <x:c r="BI115" s="7" t="str">
        <x:f>IF(OR($D115="",BI$5="",'상세일정'!AM115="제외"),"",IF($D115=$E115,IF(AND($D115&gt;=BI$5,$D115&lt;BI$5+7),"◆",""),IF(AND($D115&lt;BI$5+7,$E115&gt;BI$5),"■","")))</x:f>
      </x:c>
      <x:c r="BJ115" s="7" t="str">
        <x:f>IF(OR($D115="",BJ$5="",'상세일정'!AM115="제외"),"",IF($D115=$E115,IF(AND($D115&gt;=BJ$5,$D115&lt;BJ$5+7),"◆",""),IF(AND($D115&lt;BJ$5+7,$E115&gt;BJ$5),"■","")))</x:f>
      </x:c>
      <x:c r="BK115" s="7" t="str">
        <x:f>IF(OR($D115="",BK$5="",'상세일정'!AM115="제외"),"",IF($D115=$E115,IF(AND($D115&gt;=BK$5,$D115&lt;BK$5+7),"◆",""),IF(AND($D115&lt;BK$5+7,$E115&gt;BK$5),"■","")))</x:f>
      </x:c>
      <x:c r="BL115" s="7" t="str">
        <x:f>IF(OR($D115="",BL$5="",'상세일정'!AM115="제외"),"",IF($D115=$E115,IF(AND($D115&gt;=BL$5,$D115&lt;BL$5+7),"◆",""),IF(AND($D115&lt;BL$5+7,$E115&gt;BL$5),"■","")))</x:f>
      </x:c>
      <x:c r="BM115" s="7" t="str">
        <x:f>IF(OR($D115="",BM$5="",'상세일정'!AM115="제외"),"",IF($D115=$E115,IF(AND($D115&gt;=BM$5,$D115&lt;BM$5+7),"◆",""),IF(AND($D115&lt;BM$5+7,$E115&gt;BM$5),"■","")))</x:f>
      </x:c>
      <x:c r="BN115" s="7" t="str">
        <x:f>IF(OR($D115="",BN$5="",'상세일정'!AM115="제외"),"",IF($D115=$E115,IF(AND($D115&gt;=BN$5,$D115&lt;BN$5+7),"◆",""),IF(AND($D115&lt;BN$5+7,$E115&gt;BN$5),"■","")))</x:f>
      </x:c>
      <x:c r="BO115" s="7" t="str">
        <x:f>IF(OR($D115="",BO$5="",'상세일정'!AM115="제외"),"",IF($D115=$E115,IF(AND($D115&gt;=BO$5,$D115&lt;BO$5+7),"◆",""),IF(AND($D115&lt;BO$5+7,$E115&gt;BO$5),"■","")))</x:f>
      </x:c>
      <x:c r="BP115" s="7" t="str">
        <x:f>IF(OR($D115="",BP$5="",'상세일정'!AM115="제외"),"",IF($D115=$E115,IF(AND($D115&gt;=BP$5,$D115&lt;BP$5+7),"◆",""),IF(AND($D115&lt;BP$5+7,$E115&gt;BP$5),"■","")))</x:f>
      </x:c>
      <x:c r="BQ115" s="7" t="str">
        <x:f>IF(OR($D115="",BQ$5="",'상세일정'!AM115="제외"),"",IF($D115=$E115,IF(AND($D115&gt;=BQ$5,$D115&lt;BQ$5+7),"◆",""),IF(AND($D115&lt;BQ$5+7,$E115&gt;BQ$5),"■","")))</x:f>
      </x:c>
      <x:c r="BR115" s="7" t="str">
        <x:f>IF(OR($D115="",BR$5="",'상세일정'!AM115="제외"),"",IF($D115=$E115,IF(AND($D115&gt;=BR$5,$D115&lt;BR$5+7),"◆",""),IF(AND($D115&lt;BR$5+7,$E115&gt;BR$5),"■","")))</x:f>
      </x:c>
      <x:c r="BS115" s="7" t="str">
        <x:f>IF(OR($D115="",BS$5="",'상세일정'!AM115="제외"),"",IF($D115=$E115,IF(AND($D115&gt;=BS$5,$D115&lt;BS$5+7),"◆",""),IF(AND($D115&lt;BS$5+7,$E115&gt;BS$5),"■","")))</x:f>
      </x:c>
      <x:c r="BT115" s="7" t="str">
        <x:f>IF(OR($D115="",BT$5="",'상세일정'!AM115="제외"),"",IF($D115=$E115,IF(AND($D115&gt;=BT$5,$D115&lt;BT$5+7),"◆",""),IF(AND($D115&lt;BT$5+7,$E115&gt;BT$5),"■","")))</x:f>
      </x:c>
      <x:c r="BU115" s="7" t="str">
        <x:f>IF(OR($D115="",BU$5="",'상세일정'!AM115="제외"),"",IF($D115=$E115,IF(AND($D115&gt;=BU$5,$D115&lt;BU$5+7),"◆",""),IF(AND($D115&lt;BU$5+7,$E115&gt;BU$5),"■","")))</x:f>
      </x:c>
      <x:c r="BV115" s="7" t="str">
        <x:f>IF(OR($D115="",BV$5="",'상세일정'!AM115="제외"),"",IF($D115=$E115,IF(AND($D115&gt;=BV$5,$D115&lt;BV$5+7),"◆",""),IF(AND($D115&lt;BV$5+7,$E115&gt;BV$5),"■","")))</x:f>
      </x:c>
      <x:c r="BW115" s="7" t="str">
        <x:f>IF(OR($D115="",BW$5="",'상세일정'!AM115="제외"),"",IF($D115=$E115,IF(AND($D115&gt;=BW$5,$D115&lt;BW$5+7),"◆",""),IF(AND($D115&lt;BW$5+7,$E115&gt;BW$5),"■","")))</x:f>
      </x:c>
      <x:c r="BX115" s="7" t="str">
        <x:f>IF(OR($D115="",BX$5="",'상세일정'!AM115="제외"),"",IF($D115=$E115,IF(AND($D115&gt;=BX$5,$D115&lt;BX$5+7),"◆",""),IF(AND($D115&lt;BX$5+7,$E115&gt;BX$5),"■","")))</x:f>
      </x:c>
      <x:c r="BY115" s="7" t="str">
        <x:f>IF(OR($D115="",BY$5="",'상세일정'!AM115="제외"),"",IF($D115=$E115,IF(AND($D115&gt;=BY$5,$D115&lt;BY$5+7),"◆",""),IF(AND($D115&lt;BY$5+7,$E115&gt;BY$5),"■","")))</x:f>
      </x:c>
      <x:c r="BZ115" s="7" t="str">
        <x:f>IF(OR($D115="",BZ$5="",'상세일정'!AM115="제외"),"",IF($D115=$E115,IF(AND($D115&gt;=BZ$5,$D115&lt;BZ$5+7),"◆",""),IF(AND($D115&lt;BZ$5+7,$E115&gt;BZ$5),"■","")))</x:f>
      </x:c>
      <x:c r="CA115" s="7" t="str">
        <x:f>IF(OR($D115="",CA$5="",'상세일정'!AM115="제외"),"",IF($D115=$E115,IF(AND($D115&gt;=CA$5,$D115&lt;CA$5+7),"◆",""),IF(AND($D115&lt;CA$5+7,$E115&gt;CA$5),"■","")))</x:f>
      </x:c>
      <x:c r="CB115" s="7" t="str">
        <x:f>IF(OR($D115="",CB$5="",'상세일정'!AM115="제외"),"",IF($D115=$E115,IF(AND($D115&gt;=CB$5,$D115&lt;CB$5+7),"◆",""),IF(AND($D115&lt;CB$5+7,$E115&gt;CB$5),"■","")))</x:f>
      </x:c>
      <x:c r="CC115" s="7" t="str">
        <x:f>IF(OR($D115="",CC$5="",'상세일정'!AM115="제외"),"",IF($D115=$E115,IF(AND($D115&gt;=CC$5,$D115&lt;CC$5+7),"◆",""),IF(AND($D115&lt;CC$5+7,$E115&gt;CC$5),"■","")))</x:f>
      </x:c>
      <x:c r="CD115" s="7" t="str">
        <x:f>IF(OR($D115="",CD$5="",'상세일정'!AM115="제외"),"",IF($D115=$E115,IF(AND($D115&gt;=CD$5,$D115&lt;CD$5+7),"◆",""),IF(AND($D115&lt;CD$5+7,$E115&gt;CD$5),"■","")))</x:f>
      </x:c>
      <x:c r="CE115" s="7" t="str">
        <x:f>IF(OR($D115="",CE$5="",'상세일정'!AM115="제외"),"",IF($D115=$E115,IF(AND($D115&gt;=CE$5,$D115&lt;CE$5+7),"◆",""),IF(AND($D115&lt;CE$5+7,$E115&gt;CE$5),"■","")))</x:f>
      </x:c>
      <x:c r="CF115" s="7" t="str">
        <x:f>IF(OR($D115="",CF$5="",'상세일정'!AM115="제외"),"",IF($D115=$E115,IF(AND($D115&gt;=CF$5,$D115&lt;CF$5+7),"◆",""),IF(AND($D115&lt;CF$5+7,$E115&gt;CF$5),"■","")))</x:f>
      </x:c>
      <x:c r="CG115" s="7" t="str">
        <x:f>IF(OR($D115="",CG$5="",'상세일정'!AM115="제외"),"",IF($D115=$E115,IF(AND($D115&gt;=CG$5,$D115&lt;CG$5+7),"◆",""),IF(AND($D115&lt;CG$5+7,$E115&gt;CG$5),"■","")))</x:f>
      </x:c>
      <x:c r="CH115" s="7" t="str">
        <x:f>IF(OR($D115="",CH$5="",'상세일정'!AM115="제외"),"",IF($D115=$E115,IF(AND($D115&gt;=CH$5,$D115&lt;CH$5+7),"◆",""),IF(AND($D115&lt;CH$5+7,$E115&gt;CH$5),"■","")))</x:f>
      </x:c>
      <x:c r="CI115" s="7" t="str">
        <x:f>IF(OR($D115="",CI$5="",'상세일정'!AM115="제외"),"",IF($D115=$E115,IF(AND($D115&gt;=CI$5,$D115&lt;CI$5+7),"◆",""),IF(AND($D115&lt;CI$5+7,$E115&gt;CI$5),"■","")))</x:f>
      </x:c>
      <x:c r="CJ115" s="7" t="str">
        <x:f>IF(OR($D115="",CJ$5="",'상세일정'!AM115="제외"),"",IF($D115=$E115,IF(AND($D115&gt;=CJ$5,$D115&lt;CJ$5+7),"◆",""),IF(AND($D115&lt;CJ$5+7,$E115&gt;CJ$5),"■","")))</x:f>
      </x:c>
      <x:c r="CK115" s="7" t="str">
        <x:f>IF(OR($D115="",CK$5="",'상세일정'!AM115="제외"),"",IF($D115=$E115,IF(AND($D115&gt;=CK$5,$D115&lt;CK$5+7),"◆",""),IF(AND($D115&lt;CK$5+7,$E115&gt;CK$5),"■","")))</x:f>
      </x:c>
      <x:c r="CL115" s="7" t="str">
        <x:f>IF(OR($D115="",CL$5="",'상세일정'!AM115="제외"),"",IF($D115=$E115,IF(AND($D115&gt;=CL$5,$D115&lt;CL$5+7),"◆",""),IF(AND($D115&lt;CL$5+7,$E115&gt;CL$5),"■","")))</x:f>
      </x:c>
      <x:c r="CM115" s="7" t="str">
        <x:f>IF(OR($D115="",CM$5="",'상세일정'!AM115="제외"),"",IF($D115=$E115,IF(AND($D115&gt;=CM$5,$D115&lt;CM$5+7),"◆",""),IF(AND($D115&lt;CM$5+7,$E115&gt;CM$5),"■","")))</x:f>
      </x:c>
      <x:c r="CN115" s="7" t="str">
        <x:f>IF(OR($D115="",CN$5="",'상세일정'!AM115="제외"),"",IF($D115=$E115,IF(AND($D115&gt;=CN$5,$D115&lt;CN$5+7),"◆",""),IF(AND($D115&lt;CN$5+7,$E115&gt;CN$5),"■","")))</x:f>
      </x:c>
      <x:c r="CO115" s="7" t="str">
        <x:f>IF(OR($D115="",CO$5="",'상세일정'!AM115="제외"),"",IF($D115=$E115,IF(AND($D115&gt;=CO$5,$D115&lt;CO$5+7),"◆",""),IF(AND($D115&lt;CO$5+7,$E115&gt;CO$5),"■","")))</x:f>
      </x:c>
      <x:c r="CP115" s="7" t="str">
        <x:f>IF(OR($D115="",CP$5="",'상세일정'!AM115="제외"),"",IF($D115=$E115,IF(AND($D115&gt;=CP$5,$D115&lt;CP$5+7),"◆",""),IF(AND($D115&lt;CP$5+7,$E115&gt;CP$5),"■","")))</x:f>
      </x:c>
      <x:c r="CQ115" s="7" t="str">
        <x:f>IF(OR($D115="",CQ$5="",'상세일정'!AM115="제외"),"",IF($D115=$E115,IF(AND($D115&gt;=CQ$5,$D115&lt;CQ$5+7),"◆",""),IF(AND($D115&lt;CQ$5+7,$E115&gt;CQ$5),"■","")))</x:f>
      </x:c>
      <x:c r="CR115" s="7" t="str">
        <x:f>IF(OR($D115="",CR$5="",'상세일정'!AM115="제외"),"",IF($D115=$E115,IF(AND($D115&gt;=CR$5,$D115&lt;CR$5+7),"◆",""),IF(AND($D115&lt;CR$5+7,$E115&gt;CR$5),"■","")))</x:f>
      </x:c>
      <x:c r="CS115" s="7" t="str">
        <x:f>IF(OR($D115="",CS$5="",'상세일정'!AM115="제외"),"",IF($D115=$E115,IF(AND($D115&gt;=CS$5,$D115&lt;CS$5+7),"◆",""),IF(AND($D115&lt;CS$5+7,$E115&gt;CS$5),"■","")))</x:f>
      </x:c>
      <x:c r="CT115" s="7" t="str">
        <x:f>IF(OR($D115="",CT$5="",'상세일정'!AM115="제외"),"",IF($D115=$E115,IF(AND($D115&gt;=CT$5,$D115&lt;CT$5+7),"◆",""),IF(AND($D115&lt;CT$5+7,$E115&gt;CT$5),"■","")))</x:f>
      </x:c>
      <x:c r="CU115" s="7" t="str">
        <x:f>IF(OR($D115="",CU$5="",'상세일정'!AM115="제외"),"",IF($D115=$E115,IF(AND($D115&gt;=CU$5,$D115&lt;CU$5+7),"◆",""),IF(AND($D115&lt;CU$5+7,$E115&gt;CU$5),"■","")))</x:f>
      </x:c>
      <x:c r="CV115" s="7" t="str">
        <x:f>IF(OR($D115="",CV$5="",'상세일정'!AM115="제외"),"",IF($D115=$E115,IF(AND($D115&gt;=CV$5,$D115&lt;CV$5+7),"◆",""),IF(AND($D115&lt;CV$5+7,$E115&gt;CV$5),"■","")))</x:f>
      </x:c>
      <x:c r="CW115" s="7" t="str">
        <x:f>IF(OR($D115="",CW$5="",'상세일정'!AM115="제외"),"",IF($D115=$E115,IF(AND($D115&gt;=CW$5,$D115&lt;CW$5+7),"◆",""),IF(AND($D115&lt;CW$5+7,$E115&gt;CW$5),"■","")))</x:f>
      </x:c>
      <x:c r="CX115" s="7" t="str">
        <x:f>IF(OR($D115="",CX$5="",'상세일정'!AM115="제외"),"",IF($D115=$E115,IF(AND($D115&gt;=CX$5,$D115&lt;CX$5+7),"◆",""),IF(AND($D115&lt;CX$5+7,$E115&gt;CX$5),"■","")))</x:f>
      </x:c>
      <x:c r="CY115" s="7" t="str">
        <x:f>IF(OR($D115="",CY$5="",'상세일정'!AM115="제외"),"",IF($D115=$E115,IF(AND($D115&gt;=CY$5,$D115&lt;CY$5+7),"◆",""),IF(AND($D115&lt;CY$5+7,$E115&gt;CY$5),"■","")))</x:f>
      </x:c>
      <x:c r="CZ115" s="7" t="str">
        <x:f>IF(OR($D115="",CZ$5="",'상세일정'!AM115="제외"),"",IF($D115=$E115,IF(AND($D115&gt;=CZ$5,$D115&lt;CZ$5+7),"◆",""),IF(AND($D115&lt;CZ$5+7,$E115&gt;CZ$5),"■","")))</x:f>
      </x:c>
      <x:c r="DA115" s="7" t="str">
        <x:f>IF(OR($D115="",DA$5="",'상세일정'!AM115="제외"),"",IF($D115=$E115,IF(AND($D115&gt;=DA$5,$D115&lt;DA$5+7),"◆",""),IF(AND($D115&lt;DA$5+7,$E115&gt;DA$5),"■","")))</x:f>
      </x:c>
      <x:c r="DB115" s="7" t="str">
        <x:f>IF(OR($D115="",DB$5="",'상세일정'!AM115="제외"),"",IF($D115=$E115,IF(AND($D115&gt;=DB$5,$D115&lt;DB$5+7),"◆",""),IF(AND($D115&lt;DB$5+7,$E115&gt;DB$5),"■","")))</x:f>
      </x:c>
      <x:c r="DC115" s="7" t="str">
        <x:f>IF(OR($D115="",DC$5="",'상세일정'!AM115="제외"),"",IF($D115=$E115,IF(AND($D115&gt;=DC$5,$D115&lt;DC$5+7),"◆",""),IF(AND($D115&lt;DC$5+7,$E115&gt;DC$5),"■","")))</x:f>
      </x:c>
      <x:c r="DD115" s="7" t="str">
        <x:f>IF(OR($D115="",DD$5="",'상세일정'!AM115="제외"),"",IF($D115=$E115,IF(AND($D115&gt;=DD$5,$D115&lt;DD$5+7),"◆",""),IF(AND($D115&lt;DD$5+7,$E115&gt;DD$5),"■","")))</x:f>
      </x:c>
      <x:c r="DE115" s="7" t="str">
        <x:f>IF(OR($D115="",DE$5="",'상세일정'!AM115="제외"),"",IF($D115=$E115,IF(AND($D115&gt;=DE$5,$D115&lt;DE$5+7),"◆",""),IF(AND($D115&lt;DE$5+7,$E115&gt;DE$5),"■","")))</x:f>
      </x:c>
    </x:row>
    <x:row r="116" ht="34" customHeight="1">
      <x:c r="A116" s="7" t="str">
        <x:v>BG02</x:v>
      </x:c>
      <x:c r="B116" s="7" t="str">
        <x:v>16 기자재 구매·제작</x:v>
      </x:c>
      <x:c r="C116" s="7" t="str">
        <x:v>전처리 패키지 B 견적/TBE·계약조건·납기 합의</x:v>
      </x:c>
      <x:c r="D116" s="10" t="str">
        <x:f>'상세일정'!AJ116</x:f>
      </x:c>
      <x:c r="E116" s="10" t="str">
        <x:f>'상세일정'!AK116</x:f>
      </x:c>
      <x:c r="F116" s="7" t="str">
        <x:f>IF(OR($D116="",F$5="",'상세일정'!AM116="제외"),"",IF($D116=$E116,IF(AND($D116&gt;=F$5,$D116&lt;F$5+7),"◆",""),IF(AND($D116&lt;F$5+7,$E116&gt;F$5),"■","")))</x:f>
      </x:c>
      <x:c r="G116" s="7" t="str">
        <x:f>IF(OR($D116="",G$5="",'상세일정'!AM116="제외"),"",IF($D116=$E116,IF(AND($D116&gt;=G$5,$D116&lt;G$5+7),"◆",""),IF(AND($D116&lt;G$5+7,$E116&gt;G$5),"■","")))</x:f>
      </x:c>
      <x:c r="H116" s="7" t="str">
        <x:f>IF(OR($D116="",H$5="",'상세일정'!AM116="제외"),"",IF($D116=$E116,IF(AND($D116&gt;=H$5,$D116&lt;H$5+7),"◆",""),IF(AND($D116&lt;H$5+7,$E116&gt;H$5),"■","")))</x:f>
      </x:c>
      <x:c r="I116" s="7" t="str">
        <x:f>IF(OR($D116="",I$5="",'상세일정'!AM116="제외"),"",IF($D116=$E116,IF(AND($D116&gt;=I$5,$D116&lt;I$5+7),"◆",""),IF(AND($D116&lt;I$5+7,$E116&gt;I$5),"■","")))</x:f>
      </x:c>
      <x:c r="J116" s="7" t="str">
        <x:f>IF(OR($D116="",J$5="",'상세일정'!AM116="제외"),"",IF($D116=$E116,IF(AND($D116&gt;=J$5,$D116&lt;J$5+7),"◆",""),IF(AND($D116&lt;J$5+7,$E116&gt;J$5),"■","")))</x:f>
      </x:c>
      <x:c r="K116" s="7" t="str">
        <x:f>IF(OR($D116="",K$5="",'상세일정'!AM116="제외"),"",IF($D116=$E116,IF(AND($D116&gt;=K$5,$D116&lt;K$5+7),"◆",""),IF(AND($D116&lt;K$5+7,$E116&gt;K$5),"■","")))</x:f>
      </x:c>
      <x:c r="L116" s="7" t="str">
        <x:f>IF(OR($D116="",L$5="",'상세일정'!AM116="제외"),"",IF($D116=$E116,IF(AND($D116&gt;=L$5,$D116&lt;L$5+7),"◆",""),IF(AND($D116&lt;L$5+7,$E116&gt;L$5),"■","")))</x:f>
      </x:c>
      <x:c r="M116" s="7" t="str">
        <x:f>IF(OR($D116="",M$5="",'상세일정'!AM116="제외"),"",IF($D116=$E116,IF(AND($D116&gt;=M$5,$D116&lt;M$5+7),"◆",""),IF(AND($D116&lt;M$5+7,$E116&gt;M$5),"■","")))</x:f>
      </x:c>
      <x:c r="N116" s="7" t="str">
        <x:f>IF(OR($D116="",N$5="",'상세일정'!AM116="제외"),"",IF($D116=$E116,IF(AND($D116&gt;=N$5,$D116&lt;N$5+7),"◆",""),IF(AND($D116&lt;N$5+7,$E116&gt;N$5),"■","")))</x:f>
      </x:c>
      <x:c r="O116" s="7" t="str">
        <x:f>IF(OR($D116="",O$5="",'상세일정'!AM116="제외"),"",IF($D116=$E116,IF(AND($D116&gt;=O$5,$D116&lt;O$5+7),"◆",""),IF(AND($D116&lt;O$5+7,$E116&gt;O$5),"■","")))</x:f>
      </x:c>
      <x:c r="P116" s="7" t="str">
        <x:f>IF(OR($D116="",P$5="",'상세일정'!AM116="제외"),"",IF($D116=$E116,IF(AND($D116&gt;=P$5,$D116&lt;P$5+7),"◆",""),IF(AND($D116&lt;P$5+7,$E116&gt;P$5),"■","")))</x:f>
      </x:c>
      <x:c r="Q116" s="7" t="str">
        <x:f>IF(OR($D116="",Q$5="",'상세일정'!AM116="제외"),"",IF($D116=$E116,IF(AND($D116&gt;=Q$5,$D116&lt;Q$5+7),"◆",""),IF(AND($D116&lt;Q$5+7,$E116&gt;Q$5),"■","")))</x:f>
      </x:c>
      <x:c r="R116" s="7" t="str">
        <x:f>IF(OR($D116="",R$5="",'상세일정'!AM116="제외"),"",IF($D116=$E116,IF(AND($D116&gt;=R$5,$D116&lt;R$5+7),"◆",""),IF(AND($D116&lt;R$5+7,$E116&gt;R$5),"■","")))</x:f>
      </x:c>
      <x:c r="S116" s="7" t="str">
        <x:f>IF(OR($D116="",S$5="",'상세일정'!AM116="제외"),"",IF($D116=$E116,IF(AND($D116&gt;=S$5,$D116&lt;S$5+7),"◆",""),IF(AND($D116&lt;S$5+7,$E116&gt;S$5),"■","")))</x:f>
      </x:c>
      <x:c r="T116" s="7" t="str">
        <x:f>IF(OR($D116="",T$5="",'상세일정'!AM116="제외"),"",IF($D116=$E116,IF(AND($D116&gt;=T$5,$D116&lt;T$5+7),"◆",""),IF(AND($D116&lt;T$5+7,$E116&gt;T$5),"■","")))</x:f>
      </x:c>
      <x:c r="U116" s="7" t="str">
        <x:f>IF(OR($D116="",U$5="",'상세일정'!AM116="제외"),"",IF($D116=$E116,IF(AND($D116&gt;=U$5,$D116&lt;U$5+7),"◆",""),IF(AND($D116&lt;U$5+7,$E116&gt;U$5),"■","")))</x:f>
      </x:c>
      <x:c r="V116" s="7" t="str">
        <x:f>IF(OR($D116="",V$5="",'상세일정'!AM116="제외"),"",IF($D116=$E116,IF(AND($D116&gt;=V$5,$D116&lt;V$5+7),"◆",""),IF(AND($D116&lt;V$5+7,$E116&gt;V$5),"■","")))</x:f>
      </x:c>
      <x:c r="W116" s="7" t="str">
        <x:f>IF(OR($D116="",W$5="",'상세일정'!AM116="제외"),"",IF($D116=$E116,IF(AND($D116&gt;=W$5,$D116&lt;W$5+7),"◆",""),IF(AND($D116&lt;W$5+7,$E116&gt;W$5),"■","")))</x:f>
      </x:c>
      <x:c r="X116" s="7" t="str">
        <x:f>IF(OR($D116="",X$5="",'상세일정'!AM116="제외"),"",IF($D116=$E116,IF(AND($D116&gt;=X$5,$D116&lt;X$5+7),"◆",""),IF(AND($D116&lt;X$5+7,$E116&gt;X$5),"■","")))</x:f>
      </x:c>
      <x:c r="Y116" s="7" t="str">
        <x:f>IF(OR($D116="",Y$5="",'상세일정'!AM116="제외"),"",IF($D116=$E116,IF(AND($D116&gt;=Y$5,$D116&lt;Y$5+7),"◆",""),IF(AND($D116&lt;Y$5+7,$E116&gt;Y$5),"■","")))</x:f>
      </x:c>
      <x:c r="Z116" s="7" t="str">
        <x:f>IF(OR($D116="",Z$5="",'상세일정'!AM116="제외"),"",IF($D116=$E116,IF(AND($D116&gt;=Z$5,$D116&lt;Z$5+7),"◆",""),IF(AND($D116&lt;Z$5+7,$E116&gt;Z$5),"■","")))</x:f>
      </x:c>
      <x:c r="AA116" s="7" t="str">
        <x:f>IF(OR($D116="",AA$5="",'상세일정'!AM116="제외"),"",IF($D116=$E116,IF(AND($D116&gt;=AA$5,$D116&lt;AA$5+7),"◆",""),IF(AND($D116&lt;AA$5+7,$E116&gt;AA$5),"■","")))</x:f>
      </x:c>
      <x:c r="AB116" s="7" t="str">
        <x:f>IF(OR($D116="",AB$5="",'상세일정'!AM116="제외"),"",IF($D116=$E116,IF(AND($D116&gt;=AB$5,$D116&lt;AB$5+7),"◆",""),IF(AND($D116&lt;AB$5+7,$E116&gt;AB$5),"■","")))</x:f>
      </x:c>
      <x:c r="AC116" s="7" t="str">
        <x:f>IF(OR($D116="",AC$5="",'상세일정'!AM116="제외"),"",IF($D116=$E116,IF(AND($D116&gt;=AC$5,$D116&lt;AC$5+7),"◆",""),IF(AND($D116&lt;AC$5+7,$E116&gt;AC$5),"■","")))</x:f>
      </x:c>
      <x:c r="AD116" s="7" t="str">
        <x:f>IF(OR($D116="",AD$5="",'상세일정'!AM116="제외"),"",IF($D116=$E116,IF(AND($D116&gt;=AD$5,$D116&lt;AD$5+7),"◆",""),IF(AND($D116&lt;AD$5+7,$E116&gt;AD$5),"■","")))</x:f>
      </x:c>
      <x:c r="AE116" s="7" t="str">
        <x:f>IF(OR($D116="",AE$5="",'상세일정'!AM116="제외"),"",IF($D116=$E116,IF(AND($D116&gt;=AE$5,$D116&lt;AE$5+7),"◆",""),IF(AND($D116&lt;AE$5+7,$E116&gt;AE$5),"■","")))</x:f>
      </x:c>
      <x:c r="AF116" s="7" t="str">
        <x:f>IF(OR($D116="",AF$5="",'상세일정'!AM116="제외"),"",IF($D116=$E116,IF(AND($D116&gt;=AF$5,$D116&lt;AF$5+7),"◆",""),IF(AND($D116&lt;AF$5+7,$E116&gt;AF$5),"■","")))</x:f>
      </x:c>
      <x:c r="AG116" s="7" t="str">
        <x:f>IF(OR($D116="",AG$5="",'상세일정'!AM116="제외"),"",IF($D116=$E116,IF(AND($D116&gt;=AG$5,$D116&lt;AG$5+7),"◆",""),IF(AND($D116&lt;AG$5+7,$E116&gt;AG$5),"■","")))</x:f>
      </x:c>
      <x:c r="AH116" s="7" t="str">
        <x:f>IF(OR($D116="",AH$5="",'상세일정'!AM116="제외"),"",IF($D116=$E116,IF(AND($D116&gt;=AH$5,$D116&lt;AH$5+7),"◆",""),IF(AND($D116&lt;AH$5+7,$E116&gt;AH$5),"■","")))</x:f>
      </x:c>
      <x:c r="AI116" s="7" t="str">
        <x:f>IF(OR($D116="",AI$5="",'상세일정'!AM116="제외"),"",IF($D116=$E116,IF(AND($D116&gt;=AI$5,$D116&lt;AI$5+7),"◆",""),IF(AND($D116&lt;AI$5+7,$E116&gt;AI$5),"■","")))</x:f>
      </x:c>
      <x:c r="AJ116" s="7" t="str">
        <x:f>IF(OR($D116="",AJ$5="",'상세일정'!AM116="제외"),"",IF($D116=$E116,IF(AND($D116&gt;=AJ$5,$D116&lt;AJ$5+7),"◆",""),IF(AND($D116&lt;AJ$5+7,$E116&gt;AJ$5),"■","")))</x:f>
      </x:c>
      <x:c r="AK116" s="7" t="str">
        <x:f>IF(OR($D116="",AK$5="",'상세일정'!AM116="제외"),"",IF($D116=$E116,IF(AND($D116&gt;=AK$5,$D116&lt;AK$5+7),"◆",""),IF(AND($D116&lt;AK$5+7,$E116&gt;AK$5),"■","")))</x:f>
      </x:c>
      <x:c r="AL116" s="7" t="str">
        <x:f>IF(OR($D116="",AL$5="",'상세일정'!AM116="제외"),"",IF($D116=$E116,IF(AND($D116&gt;=AL$5,$D116&lt;AL$5+7),"◆",""),IF(AND($D116&lt;AL$5+7,$E116&gt;AL$5),"■","")))</x:f>
      </x:c>
      <x:c r="AM116" s="7" t="str">
        <x:f>IF(OR($D116="",AM$5="",'상세일정'!AM116="제외"),"",IF($D116=$E116,IF(AND($D116&gt;=AM$5,$D116&lt;AM$5+7),"◆",""),IF(AND($D116&lt;AM$5+7,$E116&gt;AM$5),"■","")))</x:f>
      </x:c>
      <x:c r="AN116" s="7" t="str">
        <x:f>IF(OR($D116="",AN$5="",'상세일정'!AM116="제외"),"",IF($D116=$E116,IF(AND($D116&gt;=AN$5,$D116&lt;AN$5+7),"◆",""),IF(AND($D116&lt;AN$5+7,$E116&gt;AN$5),"■","")))</x:f>
      </x:c>
      <x:c r="AO116" s="7" t="str">
        <x:f>IF(OR($D116="",AO$5="",'상세일정'!AM116="제외"),"",IF($D116=$E116,IF(AND($D116&gt;=AO$5,$D116&lt;AO$5+7),"◆",""),IF(AND($D116&lt;AO$5+7,$E116&gt;AO$5),"■","")))</x:f>
      </x:c>
      <x:c r="AP116" s="7" t="str">
        <x:f>IF(OR($D116="",AP$5="",'상세일정'!AM116="제외"),"",IF($D116=$E116,IF(AND($D116&gt;=AP$5,$D116&lt;AP$5+7),"◆",""),IF(AND($D116&lt;AP$5+7,$E116&gt;AP$5),"■","")))</x:f>
      </x:c>
      <x:c r="AQ116" s="7" t="str">
        <x:f>IF(OR($D116="",AQ$5="",'상세일정'!AM116="제외"),"",IF($D116=$E116,IF(AND($D116&gt;=AQ$5,$D116&lt;AQ$5+7),"◆",""),IF(AND($D116&lt;AQ$5+7,$E116&gt;AQ$5),"■","")))</x:f>
      </x:c>
      <x:c r="AR116" s="7" t="str">
        <x:f>IF(OR($D116="",AR$5="",'상세일정'!AM116="제외"),"",IF($D116=$E116,IF(AND($D116&gt;=AR$5,$D116&lt;AR$5+7),"◆",""),IF(AND($D116&lt;AR$5+7,$E116&gt;AR$5),"■","")))</x:f>
      </x:c>
      <x:c r="AS116" s="7" t="str">
        <x:f>IF(OR($D116="",AS$5="",'상세일정'!AM116="제외"),"",IF($D116=$E116,IF(AND($D116&gt;=AS$5,$D116&lt;AS$5+7),"◆",""),IF(AND($D116&lt;AS$5+7,$E116&gt;AS$5),"■","")))</x:f>
      </x:c>
      <x:c r="AT116" s="7" t="str">
        <x:f>IF(OR($D116="",AT$5="",'상세일정'!AM116="제외"),"",IF($D116=$E116,IF(AND($D116&gt;=AT$5,$D116&lt;AT$5+7),"◆",""),IF(AND($D116&lt;AT$5+7,$E116&gt;AT$5),"■","")))</x:f>
      </x:c>
      <x:c r="AU116" s="7" t="str">
        <x:f>IF(OR($D116="",AU$5="",'상세일정'!AM116="제외"),"",IF($D116=$E116,IF(AND($D116&gt;=AU$5,$D116&lt;AU$5+7),"◆",""),IF(AND($D116&lt;AU$5+7,$E116&gt;AU$5),"■","")))</x:f>
      </x:c>
      <x:c r="AV116" s="7" t="str">
        <x:f>IF(OR($D116="",AV$5="",'상세일정'!AM116="제외"),"",IF($D116=$E116,IF(AND($D116&gt;=AV$5,$D116&lt;AV$5+7),"◆",""),IF(AND($D116&lt;AV$5+7,$E116&gt;AV$5),"■","")))</x:f>
      </x:c>
      <x:c r="AW116" s="7" t="str">
        <x:f>IF(OR($D116="",AW$5="",'상세일정'!AM116="제외"),"",IF($D116=$E116,IF(AND($D116&gt;=AW$5,$D116&lt;AW$5+7),"◆",""),IF(AND($D116&lt;AW$5+7,$E116&gt;AW$5),"■","")))</x:f>
      </x:c>
      <x:c r="AX116" s="7" t="str">
        <x:f>IF(OR($D116="",AX$5="",'상세일정'!AM116="제외"),"",IF($D116=$E116,IF(AND($D116&gt;=AX$5,$D116&lt;AX$5+7),"◆",""),IF(AND($D116&lt;AX$5+7,$E116&gt;AX$5),"■","")))</x:f>
      </x:c>
      <x:c r="AY116" s="7" t="str">
        <x:f>IF(OR($D116="",AY$5="",'상세일정'!AM116="제외"),"",IF($D116=$E116,IF(AND($D116&gt;=AY$5,$D116&lt;AY$5+7),"◆",""),IF(AND($D116&lt;AY$5+7,$E116&gt;AY$5),"■","")))</x:f>
      </x:c>
      <x:c r="AZ116" s="7" t="str">
        <x:f>IF(OR($D116="",AZ$5="",'상세일정'!AM116="제외"),"",IF($D116=$E116,IF(AND($D116&gt;=AZ$5,$D116&lt;AZ$5+7),"◆",""),IF(AND($D116&lt;AZ$5+7,$E116&gt;AZ$5),"■","")))</x:f>
      </x:c>
      <x:c r="BA116" s="7" t="str">
        <x:f>IF(OR($D116="",BA$5="",'상세일정'!AM116="제외"),"",IF($D116=$E116,IF(AND($D116&gt;=BA$5,$D116&lt;BA$5+7),"◆",""),IF(AND($D116&lt;BA$5+7,$E116&gt;BA$5),"■","")))</x:f>
      </x:c>
      <x:c r="BB116" s="7" t="str">
        <x:f>IF(OR($D116="",BB$5="",'상세일정'!AM116="제외"),"",IF($D116=$E116,IF(AND($D116&gt;=BB$5,$D116&lt;BB$5+7),"◆",""),IF(AND($D116&lt;BB$5+7,$E116&gt;BB$5),"■","")))</x:f>
      </x:c>
      <x:c r="BC116" s="7" t="str">
        <x:f>IF(OR($D116="",BC$5="",'상세일정'!AM116="제외"),"",IF($D116=$E116,IF(AND($D116&gt;=BC$5,$D116&lt;BC$5+7),"◆",""),IF(AND($D116&lt;BC$5+7,$E116&gt;BC$5),"■","")))</x:f>
      </x:c>
      <x:c r="BD116" s="7" t="str">
        <x:f>IF(OR($D116="",BD$5="",'상세일정'!AM116="제외"),"",IF($D116=$E116,IF(AND($D116&gt;=BD$5,$D116&lt;BD$5+7),"◆",""),IF(AND($D116&lt;BD$5+7,$E116&gt;BD$5),"■","")))</x:f>
      </x:c>
      <x:c r="BE116" s="7" t="str">
        <x:f>IF(OR($D116="",BE$5="",'상세일정'!AM116="제외"),"",IF($D116=$E116,IF(AND($D116&gt;=BE$5,$D116&lt;BE$5+7),"◆",""),IF(AND($D116&lt;BE$5+7,$E116&gt;BE$5),"■","")))</x:f>
      </x:c>
      <x:c r="BF116" s="7" t="str">
        <x:f>IF(OR($D116="",BF$5="",'상세일정'!AM116="제외"),"",IF($D116=$E116,IF(AND($D116&gt;=BF$5,$D116&lt;BF$5+7),"◆",""),IF(AND($D116&lt;BF$5+7,$E116&gt;BF$5),"■","")))</x:f>
      </x:c>
      <x:c r="BG116" s="7" t="str">
        <x:f>IF(OR($D116="",BG$5="",'상세일정'!AM116="제외"),"",IF($D116=$E116,IF(AND($D116&gt;=BG$5,$D116&lt;BG$5+7),"◆",""),IF(AND($D116&lt;BG$5+7,$E116&gt;BG$5),"■","")))</x:f>
      </x:c>
      <x:c r="BH116" s="7" t="str">
        <x:f>IF(OR($D116="",BH$5="",'상세일정'!AM116="제외"),"",IF($D116=$E116,IF(AND($D116&gt;=BH$5,$D116&lt;BH$5+7),"◆",""),IF(AND($D116&lt;BH$5+7,$E116&gt;BH$5),"■","")))</x:f>
      </x:c>
      <x:c r="BI116" s="7" t="str">
        <x:f>IF(OR($D116="",BI$5="",'상세일정'!AM116="제외"),"",IF($D116=$E116,IF(AND($D116&gt;=BI$5,$D116&lt;BI$5+7),"◆",""),IF(AND($D116&lt;BI$5+7,$E116&gt;BI$5),"■","")))</x:f>
      </x:c>
      <x:c r="BJ116" s="7" t="str">
        <x:f>IF(OR($D116="",BJ$5="",'상세일정'!AM116="제외"),"",IF($D116=$E116,IF(AND($D116&gt;=BJ$5,$D116&lt;BJ$5+7),"◆",""),IF(AND($D116&lt;BJ$5+7,$E116&gt;BJ$5),"■","")))</x:f>
      </x:c>
      <x:c r="BK116" s="7" t="str">
        <x:f>IF(OR($D116="",BK$5="",'상세일정'!AM116="제외"),"",IF($D116=$E116,IF(AND($D116&gt;=BK$5,$D116&lt;BK$5+7),"◆",""),IF(AND($D116&lt;BK$5+7,$E116&gt;BK$5),"■","")))</x:f>
      </x:c>
      <x:c r="BL116" s="7" t="str">
        <x:f>IF(OR($D116="",BL$5="",'상세일정'!AM116="제외"),"",IF($D116=$E116,IF(AND($D116&gt;=BL$5,$D116&lt;BL$5+7),"◆",""),IF(AND($D116&lt;BL$5+7,$E116&gt;BL$5),"■","")))</x:f>
      </x:c>
      <x:c r="BM116" s="7" t="str">
        <x:f>IF(OR($D116="",BM$5="",'상세일정'!AM116="제외"),"",IF($D116=$E116,IF(AND($D116&gt;=BM$5,$D116&lt;BM$5+7),"◆",""),IF(AND($D116&lt;BM$5+7,$E116&gt;BM$5),"■","")))</x:f>
      </x:c>
      <x:c r="BN116" s="7" t="str">
        <x:f>IF(OR($D116="",BN$5="",'상세일정'!AM116="제외"),"",IF($D116=$E116,IF(AND($D116&gt;=BN$5,$D116&lt;BN$5+7),"◆",""),IF(AND($D116&lt;BN$5+7,$E116&gt;BN$5),"■","")))</x:f>
      </x:c>
      <x:c r="BO116" s="7" t="str">
        <x:f>IF(OR($D116="",BO$5="",'상세일정'!AM116="제외"),"",IF($D116=$E116,IF(AND($D116&gt;=BO$5,$D116&lt;BO$5+7),"◆",""),IF(AND($D116&lt;BO$5+7,$E116&gt;BO$5),"■","")))</x:f>
      </x:c>
      <x:c r="BP116" s="7" t="str">
        <x:f>IF(OR($D116="",BP$5="",'상세일정'!AM116="제외"),"",IF($D116=$E116,IF(AND($D116&gt;=BP$5,$D116&lt;BP$5+7),"◆",""),IF(AND($D116&lt;BP$5+7,$E116&gt;BP$5),"■","")))</x:f>
      </x:c>
      <x:c r="BQ116" s="7" t="str">
        <x:f>IF(OR($D116="",BQ$5="",'상세일정'!AM116="제외"),"",IF($D116=$E116,IF(AND($D116&gt;=BQ$5,$D116&lt;BQ$5+7),"◆",""),IF(AND($D116&lt;BQ$5+7,$E116&gt;BQ$5),"■","")))</x:f>
      </x:c>
      <x:c r="BR116" s="7" t="str">
        <x:f>IF(OR($D116="",BR$5="",'상세일정'!AM116="제외"),"",IF($D116=$E116,IF(AND($D116&gt;=BR$5,$D116&lt;BR$5+7),"◆",""),IF(AND($D116&lt;BR$5+7,$E116&gt;BR$5),"■","")))</x:f>
      </x:c>
      <x:c r="BS116" s="7" t="str">
        <x:f>IF(OR($D116="",BS$5="",'상세일정'!AM116="제외"),"",IF($D116=$E116,IF(AND($D116&gt;=BS$5,$D116&lt;BS$5+7),"◆",""),IF(AND($D116&lt;BS$5+7,$E116&gt;BS$5),"■","")))</x:f>
      </x:c>
      <x:c r="BT116" s="7" t="str">
        <x:f>IF(OR($D116="",BT$5="",'상세일정'!AM116="제외"),"",IF($D116=$E116,IF(AND($D116&gt;=BT$5,$D116&lt;BT$5+7),"◆",""),IF(AND($D116&lt;BT$5+7,$E116&gt;BT$5),"■","")))</x:f>
      </x:c>
      <x:c r="BU116" s="7" t="str">
        <x:f>IF(OR($D116="",BU$5="",'상세일정'!AM116="제외"),"",IF($D116=$E116,IF(AND($D116&gt;=BU$5,$D116&lt;BU$5+7),"◆",""),IF(AND($D116&lt;BU$5+7,$E116&gt;BU$5),"■","")))</x:f>
      </x:c>
      <x:c r="BV116" s="7" t="str">
        <x:f>IF(OR($D116="",BV$5="",'상세일정'!AM116="제외"),"",IF($D116=$E116,IF(AND($D116&gt;=BV$5,$D116&lt;BV$5+7),"◆",""),IF(AND($D116&lt;BV$5+7,$E116&gt;BV$5),"■","")))</x:f>
      </x:c>
      <x:c r="BW116" s="7" t="str">
        <x:f>IF(OR($D116="",BW$5="",'상세일정'!AM116="제외"),"",IF($D116=$E116,IF(AND($D116&gt;=BW$5,$D116&lt;BW$5+7),"◆",""),IF(AND($D116&lt;BW$5+7,$E116&gt;BW$5),"■","")))</x:f>
      </x:c>
      <x:c r="BX116" s="7" t="str">
        <x:f>IF(OR($D116="",BX$5="",'상세일정'!AM116="제외"),"",IF($D116=$E116,IF(AND($D116&gt;=BX$5,$D116&lt;BX$5+7),"◆",""),IF(AND($D116&lt;BX$5+7,$E116&gt;BX$5),"■","")))</x:f>
      </x:c>
      <x:c r="BY116" s="7" t="str">
        <x:f>IF(OR($D116="",BY$5="",'상세일정'!AM116="제외"),"",IF($D116=$E116,IF(AND($D116&gt;=BY$5,$D116&lt;BY$5+7),"◆",""),IF(AND($D116&lt;BY$5+7,$E116&gt;BY$5),"■","")))</x:f>
      </x:c>
      <x:c r="BZ116" s="7" t="str">
        <x:f>IF(OR($D116="",BZ$5="",'상세일정'!AM116="제외"),"",IF($D116=$E116,IF(AND($D116&gt;=BZ$5,$D116&lt;BZ$5+7),"◆",""),IF(AND($D116&lt;BZ$5+7,$E116&gt;BZ$5),"■","")))</x:f>
      </x:c>
      <x:c r="CA116" s="7" t="str">
        <x:f>IF(OR($D116="",CA$5="",'상세일정'!AM116="제외"),"",IF($D116=$E116,IF(AND($D116&gt;=CA$5,$D116&lt;CA$5+7),"◆",""),IF(AND($D116&lt;CA$5+7,$E116&gt;CA$5),"■","")))</x:f>
      </x:c>
      <x:c r="CB116" s="7" t="str">
        <x:f>IF(OR($D116="",CB$5="",'상세일정'!AM116="제외"),"",IF($D116=$E116,IF(AND($D116&gt;=CB$5,$D116&lt;CB$5+7),"◆",""),IF(AND($D116&lt;CB$5+7,$E116&gt;CB$5),"■","")))</x:f>
      </x:c>
      <x:c r="CC116" s="7" t="str">
        <x:f>IF(OR($D116="",CC$5="",'상세일정'!AM116="제외"),"",IF($D116=$E116,IF(AND($D116&gt;=CC$5,$D116&lt;CC$5+7),"◆",""),IF(AND($D116&lt;CC$5+7,$E116&gt;CC$5),"■","")))</x:f>
      </x:c>
      <x:c r="CD116" s="7" t="str">
        <x:f>IF(OR($D116="",CD$5="",'상세일정'!AM116="제외"),"",IF($D116=$E116,IF(AND($D116&gt;=CD$5,$D116&lt;CD$5+7),"◆",""),IF(AND($D116&lt;CD$5+7,$E116&gt;CD$5),"■","")))</x:f>
      </x:c>
      <x:c r="CE116" s="7" t="str">
        <x:f>IF(OR($D116="",CE$5="",'상세일정'!AM116="제외"),"",IF($D116=$E116,IF(AND($D116&gt;=CE$5,$D116&lt;CE$5+7),"◆",""),IF(AND($D116&lt;CE$5+7,$E116&gt;CE$5),"■","")))</x:f>
      </x:c>
      <x:c r="CF116" s="7" t="str">
        <x:f>IF(OR($D116="",CF$5="",'상세일정'!AM116="제외"),"",IF($D116=$E116,IF(AND($D116&gt;=CF$5,$D116&lt;CF$5+7),"◆",""),IF(AND($D116&lt;CF$5+7,$E116&gt;CF$5),"■","")))</x:f>
      </x:c>
      <x:c r="CG116" s="7" t="str">
        <x:f>IF(OR($D116="",CG$5="",'상세일정'!AM116="제외"),"",IF($D116=$E116,IF(AND($D116&gt;=CG$5,$D116&lt;CG$5+7),"◆",""),IF(AND($D116&lt;CG$5+7,$E116&gt;CG$5),"■","")))</x:f>
      </x:c>
      <x:c r="CH116" s="7" t="str">
        <x:f>IF(OR($D116="",CH$5="",'상세일정'!AM116="제외"),"",IF($D116=$E116,IF(AND($D116&gt;=CH$5,$D116&lt;CH$5+7),"◆",""),IF(AND($D116&lt;CH$5+7,$E116&gt;CH$5),"■","")))</x:f>
      </x:c>
      <x:c r="CI116" s="7" t="str">
        <x:f>IF(OR($D116="",CI$5="",'상세일정'!AM116="제외"),"",IF($D116=$E116,IF(AND($D116&gt;=CI$5,$D116&lt;CI$5+7),"◆",""),IF(AND($D116&lt;CI$5+7,$E116&gt;CI$5),"■","")))</x:f>
      </x:c>
      <x:c r="CJ116" s="7" t="str">
        <x:f>IF(OR($D116="",CJ$5="",'상세일정'!AM116="제외"),"",IF($D116=$E116,IF(AND($D116&gt;=CJ$5,$D116&lt;CJ$5+7),"◆",""),IF(AND($D116&lt;CJ$5+7,$E116&gt;CJ$5),"■","")))</x:f>
      </x:c>
      <x:c r="CK116" s="7" t="str">
        <x:f>IF(OR($D116="",CK$5="",'상세일정'!AM116="제외"),"",IF($D116=$E116,IF(AND($D116&gt;=CK$5,$D116&lt;CK$5+7),"◆",""),IF(AND($D116&lt;CK$5+7,$E116&gt;CK$5),"■","")))</x:f>
      </x:c>
      <x:c r="CL116" s="7" t="str">
        <x:f>IF(OR($D116="",CL$5="",'상세일정'!AM116="제외"),"",IF($D116=$E116,IF(AND($D116&gt;=CL$5,$D116&lt;CL$5+7),"◆",""),IF(AND($D116&lt;CL$5+7,$E116&gt;CL$5),"■","")))</x:f>
      </x:c>
      <x:c r="CM116" s="7" t="str">
        <x:f>IF(OR($D116="",CM$5="",'상세일정'!AM116="제외"),"",IF($D116=$E116,IF(AND($D116&gt;=CM$5,$D116&lt;CM$5+7),"◆",""),IF(AND($D116&lt;CM$5+7,$E116&gt;CM$5),"■","")))</x:f>
      </x:c>
      <x:c r="CN116" s="7" t="str">
        <x:f>IF(OR($D116="",CN$5="",'상세일정'!AM116="제외"),"",IF($D116=$E116,IF(AND($D116&gt;=CN$5,$D116&lt;CN$5+7),"◆",""),IF(AND($D116&lt;CN$5+7,$E116&gt;CN$5),"■","")))</x:f>
      </x:c>
      <x:c r="CO116" s="7" t="str">
        <x:f>IF(OR($D116="",CO$5="",'상세일정'!AM116="제외"),"",IF($D116=$E116,IF(AND($D116&gt;=CO$5,$D116&lt;CO$5+7),"◆",""),IF(AND($D116&lt;CO$5+7,$E116&gt;CO$5),"■","")))</x:f>
      </x:c>
      <x:c r="CP116" s="7" t="str">
        <x:f>IF(OR($D116="",CP$5="",'상세일정'!AM116="제외"),"",IF($D116=$E116,IF(AND($D116&gt;=CP$5,$D116&lt;CP$5+7),"◆",""),IF(AND($D116&lt;CP$5+7,$E116&gt;CP$5),"■","")))</x:f>
      </x:c>
      <x:c r="CQ116" s="7" t="str">
        <x:f>IF(OR($D116="",CQ$5="",'상세일정'!AM116="제외"),"",IF($D116=$E116,IF(AND($D116&gt;=CQ$5,$D116&lt;CQ$5+7),"◆",""),IF(AND($D116&lt;CQ$5+7,$E116&gt;CQ$5),"■","")))</x:f>
      </x:c>
      <x:c r="CR116" s="7" t="str">
        <x:f>IF(OR($D116="",CR$5="",'상세일정'!AM116="제외"),"",IF($D116=$E116,IF(AND($D116&gt;=CR$5,$D116&lt;CR$5+7),"◆",""),IF(AND($D116&lt;CR$5+7,$E116&gt;CR$5),"■","")))</x:f>
      </x:c>
      <x:c r="CS116" s="7" t="str">
        <x:f>IF(OR($D116="",CS$5="",'상세일정'!AM116="제외"),"",IF($D116=$E116,IF(AND($D116&gt;=CS$5,$D116&lt;CS$5+7),"◆",""),IF(AND($D116&lt;CS$5+7,$E116&gt;CS$5),"■","")))</x:f>
      </x:c>
      <x:c r="CT116" s="7" t="str">
        <x:f>IF(OR($D116="",CT$5="",'상세일정'!AM116="제외"),"",IF($D116=$E116,IF(AND($D116&gt;=CT$5,$D116&lt;CT$5+7),"◆",""),IF(AND($D116&lt;CT$5+7,$E116&gt;CT$5),"■","")))</x:f>
      </x:c>
      <x:c r="CU116" s="7" t="str">
        <x:f>IF(OR($D116="",CU$5="",'상세일정'!AM116="제외"),"",IF($D116=$E116,IF(AND($D116&gt;=CU$5,$D116&lt;CU$5+7),"◆",""),IF(AND($D116&lt;CU$5+7,$E116&gt;CU$5),"■","")))</x:f>
      </x:c>
      <x:c r="CV116" s="7" t="str">
        <x:f>IF(OR($D116="",CV$5="",'상세일정'!AM116="제외"),"",IF($D116=$E116,IF(AND($D116&gt;=CV$5,$D116&lt;CV$5+7),"◆",""),IF(AND($D116&lt;CV$5+7,$E116&gt;CV$5),"■","")))</x:f>
      </x:c>
      <x:c r="CW116" s="7" t="str">
        <x:f>IF(OR($D116="",CW$5="",'상세일정'!AM116="제외"),"",IF($D116=$E116,IF(AND($D116&gt;=CW$5,$D116&lt;CW$5+7),"◆",""),IF(AND($D116&lt;CW$5+7,$E116&gt;CW$5),"■","")))</x:f>
      </x:c>
      <x:c r="CX116" s="7" t="str">
        <x:f>IF(OR($D116="",CX$5="",'상세일정'!AM116="제외"),"",IF($D116=$E116,IF(AND($D116&gt;=CX$5,$D116&lt;CX$5+7),"◆",""),IF(AND($D116&lt;CX$5+7,$E116&gt;CX$5),"■","")))</x:f>
      </x:c>
      <x:c r="CY116" s="7" t="str">
        <x:f>IF(OR($D116="",CY$5="",'상세일정'!AM116="제외"),"",IF($D116=$E116,IF(AND($D116&gt;=CY$5,$D116&lt;CY$5+7),"◆",""),IF(AND($D116&lt;CY$5+7,$E116&gt;CY$5),"■","")))</x:f>
      </x:c>
      <x:c r="CZ116" s="7" t="str">
        <x:f>IF(OR($D116="",CZ$5="",'상세일정'!AM116="제외"),"",IF($D116=$E116,IF(AND($D116&gt;=CZ$5,$D116&lt;CZ$5+7),"◆",""),IF(AND($D116&lt;CZ$5+7,$E116&gt;CZ$5),"■","")))</x:f>
      </x:c>
      <x:c r="DA116" s="7" t="str">
        <x:f>IF(OR($D116="",DA$5="",'상세일정'!AM116="제외"),"",IF($D116=$E116,IF(AND($D116&gt;=DA$5,$D116&lt;DA$5+7),"◆",""),IF(AND($D116&lt;DA$5+7,$E116&gt;DA$5),"■","")))</x:f>
      </x:c>
      <x:c r="DB116" s="7" t="str">
        <x:f>IF(OR($D116="",DB$5="",'상세일정'!AM116="제외"),"",IF($D116=$E116,IF(AND($D116&gt;=DB$5,$D116&lt;DB$5+7),"◆",""),IF(AND($D116&lt;DB$5+7,$E116&gt;DB$5),"■","")))</x:f>
      </x:c>
      <x:c r="DC116" s="7" t="str">
        <x:f>IF(OR($D116="",DC$5="",'상세일정'!AM116="제외"),"",IF($D116=$E116,IF(AND($D116&gt;=DC$5,$D116&lt;DC$5+7),"◆",""),IF(AND($D116&lt;DC$5+7,$E116&gt;DC$5),"■","")))</x:f>
      </x:c>
      <x:c r="DD116" s="7" t="str">
        <x:f>IF(OR($D116="",DD$5="",'상세일정'!AM116="제외"),"",IF($D116=$E116,IF(AND($D116&gt;=DD$5,$D116&lt;DD$5+7),"◆",""),IF(AND($D116&lt;DD$5+7,$E116&gt;DD$5),"■","")))</x:f>
      </x:c>
      <x:c r="DE116" s="7" t="str">
        <x:f>IF(OR($D116="",DE$5="",'상세일정'!AM116="제외"),"",IF($D116=$E116,IF(AND($D116&gt;=DE$5,$D116&lt;DE$5+7),"◆",""),IF(AND($D116&lt;DE$5+7,$E116&gt;DE$5),"■","")))</x:f>
      </x:c>
    </x:row>
    <x:row r="117" ht="34" customHeight="1">
      <x:c r="A117" s="7" t="str">
        <x:v>BG03</x:v>
      </x:c>
      <x:c r="B117" s="7" t="str">
        <x:v>16 기자재 구매·제작</x:v>
      </x:c>
      <x:c r="C117" s="7" t="str">
        <x:v>전처리 패키지 B 제작도·ITP 승인</x:v>
      </x:c>
      <x:c r="D117" s="10" t="str">
        <x:f>'상세일정'!AJ117</x:f>
      </x:c>
      <x:c r="E117" s="10" t="str">
        <x:f>'상세일정'!AK117</x:f>
      </x:c>
      <x:c r="F117" s="7" t="str">
        <x:f>IF(OR($D117="",F$5="",'상세일정'!AM117="제외"),"",IF($D117=$E117,IF(AND($D117&gt;=F$5,$D117&lt;F$5+7),"◆",""),IF(AND($D117&lt;F$5+7,$E117&gt;F$5),"■","")))</x:f>
      </x:c>
      <x:c r="G117" s="7" t="str">
        <x:f>IF(OR($D117="",G$5="",'상세일정'!AM117="제외"),"",IF($D117=$E117,IF(AND($D117&gt;=G$5,$D117&lt;G$5+7),"◆",""),IF(AND($D117&lt;G$5+7,$E117&gt;G$5),"■","")))</x:f>
      </x:c>
      <x:c r="H117" s="7" t="str">
        <x:f>IF(OR($D117="",H$5="",'상세일정'!AM117="제외"),"",IF($D117=$E117,IF(AND($D117&gt;=H$5,$D117&lt;H$5+7),"◆",""),IF(AND($D117&lt;H$5+7,$E117&gt;H$5),"■","")))</x:f>
      </x:c>
      <x:c r="I117" s="7" t="str">
        <x:f>IF(OR($D117="",I$5="",'상세일정'!AM117="제외"),"",IF($D117=$E117,IF(AND($D117&gt;=I$5,$D117&lt;I$5+7),"◆",""),IF(AND($D117&lt;I$5+7,$E117&gt;I$5),"■","")))</x:f>
      </x:c>
      <x:c r="J117" s="7" t="str">
        <x:f>IF(OR($D117="",J$5="",'상세일정'!AM117="제외"),"",IF($D117=$E117,IF(AND($D117&gt;=J$5,$D117&lt;J$5+7),"◆",""),IF(AND($D117&lt;J$5+7,$E117&gt;J$5),"■","")))</x:f>
      </x:c>
      <x:c r="K117" s="7" t="str">
        <x:f>IF(OR($D117="",K$5="",'상세일정'!AM117="제외"),"",IF($D117=$E117,IF(AND($D117&gt;=K$5,$D117&lt;K$5+7),"◆",""),IF(AND($D117&lt;K$5+7,$E117&gt;K$5),"■","")))</x:f>
      </x:c>
      <x:c r="L117" s="7" t="str">
        <x:f>IF(OR($D117="",L$5="",'상세일정'!AM117="제외"),"",IF($D117=$E117,IF(AND($D117&gt;=L$5,$D117&lt;L$5+7),"◆",""),IF(AND($D117&lt;L$5+7,$E117&gt;L$5),"■","")))</x:f>
      </x:c>
      <x:c r="M117" s="7" t="str">
        <x:f>IF(OR($D117="",M$5="",'상세일정'!AM117="제외"),"",IF($D117=$E117,IF(AND($D117&gt;=M$5,$D117&lt;M$5+7),"◆",""),IF(AND($D117&lt;M$5+7,$E117&gt;M$5),"■","")))</x:f>
      </x:c>
      <x:c r="N117" s="7" t="str">
        <x:f>IF(OR($D117="",N$5="",'상세일정'!AM117="제외"),"",IF($D117=$E117,IF(AND($D117&gt;=N$5,$D117&lt;N$5+7),"◆",""),IF(AND($D117&lt;N$5+7,$E117&gt;N$5),"■","")))</x:f>
      </x:c>
      <x:c r="O117" s="7" t="str">
        <x:f>IF(OR($D117="",O$5="",'상세일정'!AM117="제외"),"",IF($D117=$E117,IF(AND($D117&gt;=O$5,$D117&lt;O$5+7),"◆",""),IF(AND($D117&lt;O$5+7,$E117&gt;O$5),"■","")))</x:f>
      </x:c>
      <x:c r="P117" s="7" t="str">
        <x:f>IF(OR($D117="",P$5="",'상세일정'!AM117="제외"),"",IF($D117=$E117,IF(AND($D117&gt;=P$5,$D117&lt;P$5+7),"◆",""),IF(AND($D117&lt;P$5+7,$E117&gt;P$5),"■","")))</x:f>
      </x:c>
      <x:c r="Q117" s="7" t="str">
        <x:f>IF(OR($D117="",Q$5="",'상세일정'!AM117="제외"),"",IF($D117=$E117,IF(AND($D117&gt;=Q$5,$D117&lt;Q$5+7),"◆",""),IF(AND($D117&lt;Q$5+7,$E117&gt;Q$5),"■","")))</x:f>
      </x:c>
      <x:c r="R117" s="7" t="str">
        <x:f>IF(OR($D117="",R$5="",'상세일정'!AM117="제외"),"",IF($D117=$E117,IF(AND($D117&gt;=R$5,$D117&lt;R$5+7),"◆",""),IF(AND($D117&lt;R$5+7,$E117&gt;R$5),"■","")))</x:f>
      </x:c>
      <x:c r="S117" s="7" t="str">
        <x:f>IF(OR($D117="",S$5="",'상세일정'!AM117="제외"),"",IF($D117=$E117,IF(AND($D117&gt;=S$5,$D117&lt;S$5+7),"◆",""),IF(AND($D117&lt;S$5+7,$E117&gt;S$5),"■","")))</x:f>
      </x:c>
      <x:c r="T117" s="7" t="str">
        <x:f>IF(OR($D117="",T$5="",'상세일정'!AM117="제외"),"",IF($D117=$E117,IF(AND($D117&gt;=T$5,$D117&lt;T$5+7),"◆",""),IF(AND($D117&lt;T$5+7,$E117&gt;T$5),"■","")))</x:f>
      </x:c>
      <x:c r="U117" s="7" t="str">
        <x:f>IF(OR($D117="",U$5="",'상세일정'!AM117="제외"),"",IF($D117=$E117,IF(AND($D117&gt;=U$5,$D117&lt;U$5+7),"◆",""),IF(AND($D117&lt;U$5+7,$E117&gt;U$5),"■","")))</x:f>
      </x:c>
      <x:c r="V117" s="7" t="str">
        <x:f>IF(OR($D117="",V$5="",'상세일정'!AM117="제외"),"",IF($D117=$E117,IF(AND($D117&gt;=V$5,$D117&lt;V$5+7),"◆",""),IF(AND($D117&lt;V$5+7,$E117&gt;V$5),"■","")))</x:f>
      </x:c>
      <x:c r="W117" s="7" t="str">
        <x:f>IF(OR($D117="",W$5="",'상세일정'!AM117="제외"),"",IF($D117=$E117,IF(AND($D117&gt;=W$5,$D117&lt;W$5+7),"◆",""),IF(AND($D117&lt;W$5+7,$E117&gt;W$5),"■","")))</x:f>
      </x:c>
      <x:c r="X117" s="7" t="str">
        <x:f>IF(OR($D117="",X$5="",'상세일정'!AM117="제외"),"",IF($D117=$E117,IF(AND($D117&gt;=X$5,$D117&lt;X$5+7),"◆",""),IF(AND($D117&lt;X$5+7,$E117&gt;X$5),"■","")))</x:f>
      </x:c>
      <x:c r="Y117" s="7" t="str">
        <x:f>IF(OR($D117="",Y$5="",'상세일정'!AM117="제외"),"",IF($D117=$E117,IF(AND($D117&gt;=Y$5,$D117&lt;Y$5+7),"◆",""),IF(AND($D117&lt;Y$5+7,$E117&gt;Y$5),"■","")))</x:f>
      </x:c>
      <x:c r="Z117" s="7" t="str">
        <x:f>IF(OR($D117="",Z$5="",'상세일정'!AM117="제외"),"",IF($D117=$E117,IF(AND($D117&gt;=Z$5,$D117&lt;Z$5+7),"◆",""),IF(AND($D117&lt;Z$5+7,$E117&gt;Z$5),"■","")))</x:f>
      </x:c>
      <x:c r="AA117" s="7" t="str">
        <x:f>IF(OR($D117="",AA$5="",'상세일정'!AM117="제외"),"",IF($D117=$E117,IF(AND($D117&gt;=AA$5,$D117&lt;AA$5+7),"◆",""),IF(AND($D117&lt;AA$5+7,$E117&gt;AA$5),"■","")))</x:f>
      </x:c>
      <x:c r="AB117" s="7" t="str">
        <x:f>IF(OR($D117="",AB$5="",'상세일정'!AM117="제외"),"",IF($D117=$E117,IF(AND($D117&gt;=AB$5,$D117&lt;AB$5+7),"◆",""),IF(AND($D117&lt;AB$5+7,$E117&gt;AB$5),"■","")))</x:f>
      </x:c>
      <x:c r="AC117" s="7" t="str">
        <x:f>IF(OR($D117="",AC$5="",'상세일정'!AM117="제외"),"",IF($D117=$E117,IF(AND($D117&gt;=AC$5,$D117&lt;AC$5+7),"◆",""),IF(AND($D117&lt;AC$5+7,$E117&gt;AC$5),"■","")))</x:f>
      </x:c>
      <x:c r="AD117" s="7" t="str">
        <x:f>IF(OR($D117="",AD$5="",'상세일정'!AM117="제외"),"",IF($D117=$E117,IF(AND($D117&gt;=AD$5,$D117&lt;AD$5+7),"◆",""),IF(AND($D117&lt;AD$5+7,$E117&gt;AD$5),"■","")))</x:f>
      </x:c>
      <x:c r="AE117" s="7" t="str">
        <x:f>IF(OR($D117="",AE$5="",'상세일정'!AM117="제외"),"",IF($D117=$E117,IF(AND($D117&gt;=AE$5,$D117&lt;AE$5+7),"◆",""),IF(AND($D117&lt;AE$5+7,$E117&gt;AE$5),"■","")))</x:f>
      </x:c>
      <x:c r="AF117" s="7" t="str">
        <x:f>IF(OR($D117="",AF$5="",'상세일정'!AM117="제외"),"",IF($D117=$E117,IF(AND($D117&gt;=AF$5,$D117&lt;AF$5+7),"◆",""),IF(AND($D117&lt;AF$5+7,$E117&gt;AF$5),"■","")))</x:f>
      </x:c>
      <x:c r="AG117" s="7" t="str">
        <x:f>IF(OR($D117="",AG$5="",'상세일정'!AM117="제외"),"",IF($D117=$E117,IF(AND($D117&gt;=AG$5,$D117&lt;AG$5+7),"◆",""),IF(AND($D117&lt;AG$5+7,$E117&gt;AG$5),"■","")))</x:f>
      </x:c>
      <x:c r="AH117" s="7" t="str">
        <x:f>IF(OR($D117="",AH$5="",'상세일정'!AM117="제외"),"",IF($D117=$E117,IF(AND($D117&gt;=AH$5,$D117&lt;AH$5+7),"◆",""),IF(AND($D117&lt;AH$5+7,$E117&gt;AH$5),"■","")))</x:f>
      </x:c>
      <x:c r="AI117" s="7" t="str">
        <x:f>IF(OR($D117="",AI$5="",'상세일정'!AM117="제외"),"",IF($D117=$E117,IF(AND($D117&gt;=AI$5,$D117&lt;AI$5+7),"◆",""),IF(AND($D117&lt;AI$5+7,$E117&gt;AI$5),"■","")))</x:f>
      </x:c>
      <x:c r="AJ117" s="7" t="str">
        <x:f>IF(OR($D117="",AJ$5="",'상세일정'!AM117="제외"),"",IF($D117=$E117,IF(AND($D117&gt;=AJ$5,$D117&lt;AJ$5+7),"◆",""),IF(AND($D117&lt;AJ$5+7,$E117&gt;AJ$5),"■","")))</x:f>
      </x:c>
      <x:c r="AK117" s="7" t="str">
        <x:f>IF(OR($D117="",AK$5="",'상세일정'!AM117="제외"),"",IF($D117=$E117,IF(AND($D117&gt;=AK$5,$D117&lt;AK$5+7),"◆",""),IF(AND($D117&lt;AK$5+7,$E117&gt;AK$5),"■","")))</x:f>
      </x:c>
      <x:c r="AL117" s="7" t="str">
        <x:f>IF(OR($D117="",AL$5="",'상세일정'!AM117="제외"),"",IF($D117=$E117,IF(AND($D117&gt;=AL$5,$D117&lt;AL$5+7),"◆",""),IF(AND($D117&lt;AL$5+7,$E117&gt;AL$5),"■","")))</x:f>
      </x:c>
      <x:c r="AM117" s="7" t="str">
        <x:f>IF(OR($D117="",AM$5="",'상세일정'!AM117="제외"),"",IF($D117=$E117,IF(AND($D117&gt;=AM$5,$D117&lt;AM$5+7),"◆",""),IF(AND($D117&lt;AM$5+7,$E117&gt;AM$5),"■","")))</x:f>
      </x:c>
      <x:c r="AN117" s="7" t="str">
        <x:f>IF(OR($D117="",AN$5="",'상세일정'!AM117="제외"),"",IF($D117=$E117,IF(AND($D117&gt;=AN$5,$D117&lt;AN$5+7),"◆",""),IF(AND($D117&lt;AN$5+7,$E117&gt;AN$5),"■","")))</x:f>
      </x:c>
      <x:c r="AO117" s="7" t="str">
        <x:f>IF(OR($D117="",AO$5="",'상세일정'!AM117="제외"),"",IF($D117=$E117,IF(AND($D117&gt;=AO$5,$D117&lt;AO$5+7),"◆",""),IF(AND($D117&lt;AO$5+7,$E117&gt;AO$5),"■","")))</x:f>
      </x:c>
      <x:c r="AP117" s="7" t="str">
        <x:f>IF(OR($D117="",AP$5="",'상세일정'!AM117="제외"),"",IF($D117=$E117,IF(AND($D117&gt;=AP$5,$D117&lt;AP$5+7),"◆",""),IF(AND($D117&lt;AP$5+7,$E117&gt;AP$5),"■","")))</x:f>
      </x:c>
      <x:c r="AQ117" s="7" t="str">
        <x:f>IF(OR($D117="",AQ$5="",'상세일정'!AM117="제외"),"",IF($D117=$E117,IF(AND($D117&gt;=AQ$5,$D117&lt;AQ$5+7),"◆",""),IF(AND($D117&lt;AQ$5+7,$E117&gt;AQ$5),"■","")))</x:f>
      </x:c>
      <x:c r="AR117" s="7" t="str">
        <x:f>IF(OR($D117="",AR$5="",'상세일정'!AM117="제외"),"",IF($D117=$E117,IF(AND($D117&gt;=AR$5,$D117&lt;AR$5+7),"◆",""),IF(AND($D117&lt;AR$5+7,$E117&gt;AR$5),"■","")))</x:f>
      </x:c>
      <x:c r="AS117" s="7" t="str">
        <x:f>IF(OR($D117="",AS$5="",'상세일정'!AM117="제외"),"",IF($D117=$E117,IF(AND($D117&gt;=AS$5,$D117&lt;AS$5+7),"◆",""),IF(AND($D117&lt;AS$5+7,$E117&gt;AS$5),"■","")))</x:f>
      </x:c>
      <x:c r="AT117" s="7" t="str">
        <x:f>IF(OR($D117="",AT$5="",'상세일정'!AM117="제외"),"",IF($D117=$E117,IF(AND($D117&gt;=AT$5,$D117&lt;AT$5+7),"◆",""),IF(AND($D117&lt;AT$5+7,$E117&gt;AT$5),"■","")))</x:f>
      </x:c>
      <x:c r="AU117" s="7" t="str">
        <x:f>IF(OR($D117="",AU$5="",'상세일정'!AM117="제외"),"",IF($D117=$E117,IF(AND($D117&gt;=AU$5,$D117&lt;AU$5+7),"◆",""),IF(AND($D117&lt;AU$5+7,$E117&gt;AU$5),"■","")))</x:f>
      </x:c>
      <x:c r="AV117" s="7" t="str">
        <x:f>IF(OR($D117="",AV$5="",'상세일정'!AM117="제외"),"",IF($D117=$E117,IF(AND($D117&gt;=AV$5,$D117&lt;AV$5+7),"◆",""),IF(AND($D117&lt;AV$5+7,$E117&gt;AV$5),"■","")))</x:f>
      </x:c>
      <x:c r="AW117" s="7" t="str">
        <x:f>IF(OR($D117="",AW$5="",'상세일정'!AM117="제외"),"",IF($D117=$E117,IF(AND($D117&gt;=AW$5,$D117&lt;AW$5+7),"◆",""),IF(AND($D117&lt;AW$5+7,$E117&gt;AW$5),"■","")))</x:f>
      </x:c>
      <x:c r="AX117" s="7" t="str">
        <x:f>IF(OR($D117="",AX$5="",'상세일정'!AM117="제외"),"",IF($D117=$E117,IF(AND($D117&gt;=AX$5,$D117&lt;AX$5+7),"◆",""),IF(AND($D117&lt;AX$5+7,$E117&gt;AX$5),"■","")))</x:f>
      </x:c>
      <x:c r="AY117" s="7" t="str">
        <x:f>IF(OR($D117="",AY$5="",'상세일정'!AM117="제외"),"",IF($D117=$E117,IF(AND($D117&gt;=AY$5,$D117&lt;AY$5+7),"◆",""),IF(AND($D117&lt;AY$5+7,$E117&gt;AY$5),"■","")))</x:f>
      </x:c>
      <x:c r="AZ117" s="7" t="str">
        <x:f>IF(OR($D117="",AZ$5="",'상세일정'!AM117="제외"),"",IF($D117=$E117,IF(AND($D117&gt;=AZ$5,$D117&lt;AZ$5+7),"◆",""),IF(AND($D117&lt;AZ$5+7,$E117&gt;AZ$5),"■","")))</x:f>
      </x:c>
      <x:c r="BA117" s="7" t="str">
        <x:f>IF(OR($D117="",BA$5="",'상세일정'!AM117="제외"),"",IF($D117=$E117,IF(AND($D117&gt;=BA$5,$D117&lt;BA$5+7),"◆",""),IF(AND($D117&lt;BA$5+7,$E117&gt;BA$5),"■","")))</x:f>
      </x:c>
      <x:c r="BB117" s="7" t="str">
        <x:f>IF(OR($D117="",BB$5="",'상세일정'!AM117="제외"),"",IF($D117=$E117,IF(AND($D117&gt;=BB$5,$D117&lt;BB$5+7),"◆",""),IF(AND($D117&lt;BB$5+7,$E117&gt;BB$5),"■","")))</x:f>
      </x:c>
      <x:c r="BC117" s="7" t="str">
        <x:f>IF(OR($D117="",BC$5="",'상세일정'!AM117="제외"),"",IF($D117=$E117,IF(AND($D117&gt;=BC$5,$D117&lt;BC$5+7),"◆",""),IF(AND($D117&lt;BC$5+7,$E117&gt;BC$5),"■","")))</x:f>
      </x:c>
      <x:c r="BD117" s="7" t="str">
        <x:f>IF(OR($D117="",BD$5="",'상세일정'!AM117="제외"),"",IF($D117=$E117,IF(AND($D117&gt;=BD$5,$D117&lt;BD$5+7),"◆",""),IF(AND($D117&lt;BD$5+7,$E117&gt;BD$5),"■","")))</x:f>
      </x:c>
      <x:c r="BE117" s="7" t="str">
        <x:f>IF(OR($D117="",BE$5="",'상세일정'!AM117="제외"),"",IF($D117=$E117,IF(AND($D117&gt;=BE$5,$D117&lt;BE$5+7),"◆",""),IF(AND($D117&lt;BE$5+7,$E117&gt;BE$5),"■","")))</x:f>
      </x:c>
      <x:c r="BF117" s="7" t="str">
        <x:f>IF(OR($D117="",BF$5="",'상세일정'!AM117="제외"),"",IF($D117=$E117,IF(AND($D117&gt;=BF$5,$D117&lt;BF$5+7),"◆",""),IF(AND($D117&lt;BF$5+7,$E117&gt;BF$5),"■","")))</x:f>
      </x:c>
      <x:c r="BG117" s="7" t="str">
        <x:f>IF(OR($D117="",BG$5="",'상세일정'!AM117="제외"),"",IF($D117=$E117,IF(AND($D117&gt;=BG$5,$D117&lt;BG$5+7),"◆",""),IF(AND($D117&lt;BG$5+7,$E117&gt;BG$5),"■","")))</x:f>
      </x:c>
      <x:c r="BH117" s="7" t="str">
        <x:f>IF(OR($D117="",BH$5="",'상세일정'!AM117="제외"),"",IF($D117=$E117,IF(AND($D117&gt;=BH$5,$D117&lt;BH$5+7),"◆",""),IF(AND($D117&lt;BH$5+7,$E117&gt;BH$5),"■","")))</x:f>
      </x:c>
      <x:c r="BI117" s="7" t="str">
        <x:f>IF(OR($D117="",BI$5="",'상세일정'!AM117="제외"),"",IF($D117=$E117,IF(AND($D117&gt;=BI$5,$D117&lt;BI$5+7),"◆",""),IF(AND($D117&lt;BI$5+7,$E117&gt;BI$5),"■","")))</x:f>
      </x:c>
      <x:c r="BJ117" s="7" t="str">
        <x:f>IF(OR($D117="",BJ$5="",'상세일정'!AM117="제외"),"",IF($D117=$E117,IF(AND($D117&gt;=BJ$5,$D117&lt;BJ$5+7),"◆",""),IF(AND($D117&lt;BJ$5+7,$E117&gt;BJ$5),"■","")))</x:f>
      </x:c>
      <x:c r="BK117" s="7" t="str">
        <x:f>IF(OR($D117="",BK$5="",'상세일정'!AM117="제외"),"",IF($D117=$E117,IF(AND($D117&gt;=BK$5,$D117&lt;BK$5+7),"◆",""),IF(AND($D117&lt;BK$5+7,$E117&gt;BK$5),"■","")))</x:f>
      </x:c>
      <x:c r="BL117" s="7" t="str">
        <x:f>IF(OR($D117="",BL$5="",'상세일정'!AM117="제외"),"",IF($D117=$E117,IF(AND($D117&gt;=BL$5,$D117&lt;BL$5+7),"◆",""),IF(AND($D117&lt;BL$5+7,$E117&gt;BL$5),"■","")))</x:f>
      </x:c>
      <x:c r="BM117" s="7" t="str">
        <x:f>IF(OR($D117="",BM$5="",'상세일정'!AM117="제외"),"",IF($D117=$E117,IF(AND($D117&gt;=BM$5,$D117&lt;BM$5+7),"◆",""),IF(AND($D117&lt;BM$5+7,$E117&gt;BM$5),"■","")))</x:f>
      </x:c>
      <x:c r="BN117" s="7" t="str">
        <x:f>IF(OR($D117="",BN$5="",'상세일정'!AM117="제외"),"",IF($D117=$E117,IF(AND($D117&gt;=BN$5,$D117&lt;BN$5+7),"◆",""),IF(AND($D117&lt;BN$5+7,$E117&gt;BN$5),"■","")))</x:f>
      </x:c>
      <x:c r="BO117" s="7" t="str">
        <x:f>IF(OR($D117="",BO$5="",'상세일정'!AM117="제외"),"",IF($D117=$E117,IF(AND($D117&gt;=BO$5,$D117&lt;BO$5+7),"◆",""),IF(AND($D117&lt;BO$5+7,$E117&gt;BO$5),"■","")))</x:f>
      </x:c>
      <x:c r="BP117" s="7" t="str">
        <x:f>IF(OR($D117="",BP$5="",'상세일정'!AM117="제외"),"",IF($D117=$E117,IF(AND($D117&gt;=BP$5,$D117&lt;BP$5+7),"◆",""),IF(AND($D117&lt;BP$5+7,$E117&gt;BP$5),"■","")))</x:f>
      </x:c>
      <x:c r="BQ117" s="7" t="str">
        <x:f>IF(OR($D117="",BQ$5="",'상세일정'!AM117="제외"),"",IF($D117=$E117,IF(AND($D117&gt;=BQ$5,$D117&lt;BQ$5+7),"◆",""),IF(AND($D117&lt;BQ$5+7,$E117&gt;BQ$5),"■","")))</x:f>
      </x:c>
      <x:c r="BR117" s="7" t="str">
        <x:f>IF(OR($D117="",BR$5="",'상세일정'!AM117="제외"),"",IF($D117=$E117,IF(AND($D117&gt;=BR$5,$D117&lt;BR$5+7),"◆",""),IF(AND($D117&lt;BR$5+7,$E117&gt;BR$5),"■","")))</x:f>
      </x:c>
      <x:c r="BS117" s="7" t="str">
        <x:f>IF(OR($D117="",BS$5="",'상세일정'!AM117="제외"),"",IF($D117=$E117,IF(AND($D117&gt;=BS$5,$D117&lt;BS$5+7),"◆",""),IF(AND($D117&lt;BS$5+7,$E117&gt;BS$5),"■","")))</x:f>
      </x:c>
      <x:c r="BT117" s="7" t="str">
        <x:f>IF(OR($D117="",BT$5="",'상세일정'!AM117="제외"),"",IF($D117=$E117,IF(AND($D117&gt;=BT$5,$D117&lt;BT$5+7),"◆",""),IF(AND($D117&lt;BT$5+7,$E117&gt;BT$5),"■","")))</x:f>
      </x:c>
      <x:c r="BU117" s="7" t="str">
        <x:f>IF(OR($D117="",BU$5="",'상세일정'!AM117="제외"),"",IF($D117=$E117,IF(AND($D117&gt;=BU$5,$D117&lt;BU$5+7),"◆",""),IF(AND($D117&lt;BU$5+7,$E117&gt;BU$5),"■","")))</x:f>
      </x:c>
      <x:c r="BV117" s="7" t="str">
        <x:f>IF(OR($D117="",BV$5="",'상세일정'!AM117="제외"),"",IF($D117=$E117,IF(AND($D117&gt;=BV$5,$D117&lt;BV$5+7),"◆",""),IF(AND($D117&lt;BV$5+7,$E117&gt;BV$5),"■","")))</x:f>
      </x:c>
      <x:c r="BW117" s="7" t="str">
        <x:f>IF(OR($D117="",BW$5="",'상세일정'!AM117="제외"),"",IF($D117=$E117,IF(AND($D117&gt;=BW$5,$D117&lt;BW$5+7),"◆",""),IF(AND($D117&lt;BW$5+7,$E117&gt;BW$5),"■","")))</x:f>
      </x:c>
      <x:c r="BX117" s="7" t="str">
        <x:f>IF(OR($D117="",BX$5="",'상세일정'!AM117="제외"),"",IF($D117=$E117,IF(AND($D117&gt;=BX$5,$D117&lt;BX$5+7),"◆",""),IF(AND($D117&lt;BX$5+7,$E117&gt;BX$5),"■","")))</x:f>
      </x:c>
      <x:c r="BY117" s="7" t="str">
        <x:f>IF(OR($D117="",BY$5="",'상세일정'!AM117="제외"),"",IF($D117=$E117,IF(AND($D117&gt;=BY$5,$D117&lt;BY$5+7),"◆",""),IF(AND($D117&lt;BY$5+7,$E117&gt;BY$5),"■","")))</x:f>
      </x:c>
      <x:c r="BZ117" s="7" t="str">
        <x:f>IF(OR($D117="",BZ$5="",'상세일정'!AM117="제외"),"",IF($D117=$E117,IF(AND($D117&gt;=BZ$5,$D117&lt;BZ$5+7),"◆",""),IF(AND($D117&lt;BZ$5+7,$E117&gt;BZ$5),"■","")))</x:f>
      </x:c>
      <x:c r="CA117" s="7" t="str">
        <x:f>IF(OR($D117="",CA$5="",'상세일정'!AM117="제외"),"",IF($D117=$E117,IF(AND($D117&gt;=CA$5,$D117&lt;CA$5+7),"◆",""),IF(AND($D117&lt;CA$5+7,$E117&gt;CA$5),"■","")))</x:f>
      </x:c>
      <x:c r="CB117" s="7" t="str">
        <x:f>IF(OR($D117="",CB$5="",'상세일정'!AM117="제외"),"",IF($D117=$E117,IF(AND($D117&gt;=CB$5,$D117&lt;CB$5+7),"◆",""),IF(AND($D117&lt;CB$5+7,$E117&gt;CB$5),"■","")))</x:f>
      </x:c>
      <x:c r="CC117" s="7" t="str">
        <x:f>IF(OR($D117="",CC$5="",'상세일정'!AM117="제외"),"",IF($D117=$E117,IF(AND($D117&gt;=CC$5,$D117&lt;CC$5+7),"◆",""),IF(AND($D117&lt;CC$5+7,$E117&gt;CC$5),"■","")))</x:f>
      </x:c>
      <x:c r="CD117" s="7" t="str">
        <x:f>IF(OR($D117="",CD$5="",'상세일정'!AM117="제외"),"",IF($D117=$E117,IF(AND($D117&gt;=CD$5,$D117&lt;CD$5+7),"◆",""),IF(AND($D117&lt;CD$5+7,$E117&gt;CD$5),"■","")))</x:f>
      </x:c>
      <x:c r="CE117" s="7" t="str">
        <x:f>IF(OR($D117="",CE$5="",'상세일정'!AM117="제외"),"",IF($D117=$E117,IF(AND($D117&gt;=CE$5,$D117&lt;CE$5+7),"◆",""),IF(AND($D117&lt;CE$5+7,$E117&gt;CE$5),"■","")))</x:f>
      </x:c>
      <x:c r="CF117" s="7" t="str">
        <x:f>IF(OR($D117="",CF$5="",'상세일정'!AM117="제외"),"",IF($D117=$E117,IF(AND($D117&gt;=CF$5,$D117&lt;CF$5+7),"◆",""),IF(AND($D117&lt;CF$5+7,$E117&gt;CF$5),"■","")))</x:f>
      </x:c>
      <x:c r="CG117" s="7" t="str">
        <x:f>IF(OR($D117="",CG$5="",'상세일정'!AM117="제외"),"",IF($D117=$E117,IF(AND($D117&gt;=CG$5,$D117&lt;CG$5+7),"◆",""),IF(AND($D117&lt;CG$5+7,$E117&gt;CG$5),"■","")))</x:f>
      </x:c>
      <x:c r="CH117" s="7" t="str">
        <x:f>IF(OR($D117="",CH$5="",'상세일정'!AM117="제외"),"",IF($D117=$E117,IF(AND($D117&gt;=CH$5,$D117&lt;CH$5+7),"◆",""),IF(AND($D117&lt;CH$5+7,$E117&gt;CH$5),"■","")))</x:f>
      </x:c>
      <x:c r="CI117" s="7" t="str">
        <x:f>IF(OR($D117="",CI$5="",'상세일정'!AM117="제외"),"",IF($D117=$E117,IF(AND($D117&gt;=CI$5,$D117&lt;CI$5+7),"◆",""),IF(AND($D117&lt;CI$5+7,$E117&gt;CI$5),"■","")))</x:f>
      </x:c>
      <x:c r="CJ117" s="7" t="str">
        <x:f>IF(OR($D117="",CJ$5="",'상세일정'!AM117="제외"),"",IF($D117=$E117,IF(AND($D117&gt;=CJ$5,$D117&lt;CJ$5+7),"◆",""),IF(AND($D117&lt;CJ$5+7,$E117&gt;CJ$5),"■","")))</x:f>
      </x:c>
      <x:c r="CK117" s="7" t="str">
        <x:f>IF(OR($D117="",CK$5="",'상세일정'!AM117="제외"),"",IF($D117=$E117,IF(AND($D117&gt;=CK$5,$D117&lt;CK$5+7),"◆",""),IF(AND($D117&lt;CK$5+7,$E117&gt;CK$5),"■","")))</x:f>
      </x:c>
      <x:c r="CL117" s="7" t="str">
        <x:f>IF(OR($D117="",CL$5="",'상세일정'!AM117="제외"),"",IF($D117=$E117,IF(AND($D117&gt;=CL$5,$D117&lt;CL$5+7),"◆",""),IF(AND($D117&lt;CL$5+7,$E117&gt;CL$5),"■","")))</x:f>
      </x:c>
      <x:c r="CM117" s="7" t="str">
        <x:f>IF(OR($D117="",CM$5="",'상세일정'!AM117="제외"),"",IF($D117=$E117,IF(AND($D117&gt;=CM$5,$D117&lt;CM$5+7),"◆",""),IF(AND($D117&lt;CM$5+7,$E117&gt;CM$5),"■","")))</x:f>
      </x:c>
      <x:c r="CN117" s="7" t="str">
        <x:f>IF(OR($D117="",CN$5="",'상세일정'!AM117="제외"),"",IF($D117=$E117,IF(AND($D117&gt;=CN$5,$D117&lt;CN$5+7),"◆",""),IF(AND($D117&lt;CN$5+7,$E117&gt;CN$5),"■","")))</x:f>
      </x:c>
      <x:c r="CO117" s="7" t="str">
        <x:f>IF(OR($D117="",CO$5="",'상세일정'!AM117="제외"),"",IF($D117=$E117,IF(AND($D117&gt;=CO$5,$D117&lt;CO$5+7),"◆",""),IF(AND($D117&lt;CO$5+7,$E117&gt;CO$5),"■","")))</x:f>
      </x:c>
      <x:c r="CP117" s="7" t="str">
        <x:f>IF(OR($D117="",CP$5="",'상세일정'!AM117="제외"),"",IF($D117=$E117,IF(AND($D117&gt;=CP$5,$D117&lt;CP$5+7),"◆",""),IF(AND($D117&lt;CP$5+7,$E117&gt;CP$5),"■","")))</x:f>
      </x:c>
      <x:c r="CQ117" s="7" t="str">
        <x:f>IF(OR($D117="",CQ$5="",'상세일정'!AM117="제외"),"",IF($D117=$E117,IF(AND($D117&gt;=CQ$5,$D117&lt;CQ$5+7),"◆",""),IF(AND($D117&lt;CQ$5+7,$E117&gt;CQ$5),"■","")))</x:f>
      </x:c>
      <x:c r="CR117" s="7" t="str">
        <x:f>IF(OR($D117="",CR$5="",'상세일정'!AM117="제외"),"",IF($D117=$E117,IF(AND($D117&gt;=CR$5,$D117&lt;CR$5+7),"◆",""),IF(AND($D117&lt;CR$5+7,$E117&gt;CR$5),"■","")))</x:f>
      </x:c>
      <x:c r="CS117" s="7" t="str">
        <x:f>IF(OR($D117="",CS$5="",'상세일정'!AM117="제외"),"",IF($D117=$E117,IF(AND($D117&gt;=CS$5,$D117&lt;CS$5+7),"◆",""),IF(AND($D117&lt;CS$5+7,$E117&gt;CS$5),"■","")))</x:f>
      </x:c>
      <x:c r="CT117" s="7" t="str">
        <x:f>IF(OR($D117="",CT$5="",'상세일정'!AM117="제외"),"",IF($D117=$E117,IF(AND($D117&gt;=CT$5,$D117&lt;CT$5+7),"◆",""),IF(AND($D117&lt;CT$5+7,$E117&gt;CT$5),"■","")))</x:f>
      </x:c>
      <x:c r="CU117" s="7" t="str">
        <x:f>IF(OR($D117="",CU$5="",'상세일정'!AM117="제외"),"",IF($D117=$E117,IF(AND($D117&gt;=CU$5,$D117&lt;CU$5+7),"◆",""),IF(AND($D117&lt;CU$5+7,$E117&gt;CU$5),"■","")))</x:f>
      </x:c>
      <x:c r="CV117" s="7" t="str">
        <x:f>IF(OR($D117="",CV$5="",'상세일정'!AM117="제외"),"",IF($D117=$E117,IF(AND($D117&gt;=CV$5,$D117&lt;CV$5+7),"◆",""),IF(AND($D117&lt;CV$5+7,$E117&gt;CV$5),"■","")))</x:f>
      </x:c>
      <x:c r="CW117" s="7" t="str">
        <x:f>IF(OR($D117="",CW$5="",'상세일정'!AM117="제외"),"",IF($D117=$E117,IF(AND($D117&gt;=CW$5,$D117&lt;CW$5+7),"◆",""),IF(AND($D117&lt;CW$5+7,$E117&gt;CW$5),"■","")))</x:f>
      </x:c>
      <x:c r="CX117" s="7" t="str">
        <x:f>IF(OR($D117="",CX$5="",'상세일정'!AM117="제외"),"",IF($D117=$E117,IF(AND($D117&gt;=CX$5,$D117&lt;CX$5+7),"◆",""),IF(AND($D117&lt;CX$5+7,$E117&gt;CX$5),"■","")))</x:f>
      </x:c>
      <x:c r="CY117" s="7" t="str">
        <x:f>IF(OR($D117="",CY$5="",'상세일정'!AM117="제외"),"",IF($D117=$E117,IF(AND($D117&gt;=CY$5,$D117&lt;CY$5+7),"◆",""),IF(AND($D117&lt;CY$5+7,$E117&gt;CY$5),"■","")))</x:f>
      </x:c>
      <x:c r="CZ117" s="7" t="str">
        <x:f>IF(OR($D117="",CZ$5="",'상세일정'!AM117="제외"),"",IF($D117=$E117,IF(AND($D117&gt;=CZ$5,$D117&lt;CZ$5+7),"◆",""),IF(AND($D117&lt;CZ$5+7,$E117&gt;CZ$5),"■","")))</x:f>
      </x:c>
      <x:c r="DA117" s="7" t="str">
        <x:f>IF(OR($D117="",DA$5="",'상세일정'!AM117="제외"),"",IF($D117=$E117,IF(AND($D117&gt;=DA$5,$D117&lt;DA$5+7),"◆",""),IF(AND($D117&lt;DA$5+7,$E117&gt;DA$5),"■","")))</x:f>
      </x:c>
      <x:c r="DB117" s="7" t="str">
        <x:f>IF(OR($D117="",DB$5="",'상세일정'!AM117="제외"),"",IF($D117=$E117,IF(AND($D117&gt;=DB$5,$D117&lt;DB$5+7),"◆",""),IF(AND($D117&lt;DB$5+7,$E117&gt;DB$5),"■","")))</x:f>
      </x:c>
      <x:c r="DC117" s="7" t="str">
        <x:f>IF(OR($D117="",DC$5="",'상세일정'!AM117="제외"),"",IF($D117=$E117,IF(AND($D117&gt;=DC$5,$D117&lt;DC$5+7),"◆",""),IF(AND($D117&lt;DC$5+7,$E117&gt;DC$5),"■","")))</x:f>
      </x:c>
      <x:c r="DD117" s="7" t="str">
        <x:f>IF(OR($D117="",DD$5="",'상세일정'!AM117="제외"),"",IF($D117=$E117,IF(AND($D117&gt;=DD$5,$D117&lt;DD$5+7),"◆",""),IF(AND($D117&lt;DD$5+7,$E117&gt;DD$5),"■","")))</x:f>
      </x:c>
      <x:c r="DE117" s="7" t="str">
        <x:f>IF(OR($D117="",DE$5="",'상세일정'!AM117="제외"),"",IF($D117=$E117,IF(AND($D117&gt;=DE$5,$D117&lt;DE$5+7),"◆",""),IF(AND($D117&lt;DE$5+7,$E117&gt;DE$5),"■","")))</x:f>
      </x:c>
    </x:row>
    <x:row r="118" ht="34" customHeight="1">
      <x:c r="A118" s="7" t="str">
        <x:v>BG04</x:v>
      </x:c>
      <x:c r="B118" s="7" t="str">
        <x:v>16 기자재 구매·제작</x:v>
      </x:c>
      <x:c r="C118" s="7" t="str">
        <x:v>전처리 패키지 B 자재조달·제작</x:v>
      </x:c>
      <x:c r="D118" s="10" t="str">
        <x:f>'상세일정'!AJ118</x:f>
      </x:c>
      <x:c r="E118" s="10" t="str">
        <x:f>'상세일정'!AK118</x:f>
      </x:c>
      <x:c r="F118" s="7" t="str">
        <x:f>IF(OR($D118="",F$5="",'상세일정'!AM118="제외"),"",IF($D118=$E118,IF(AND($D118&gt;=F$5,$D118&lt;F$5+7),"◆",""),IF(AND($D118&lt;F$5+7,$E118&gt;F$5),"■","")))</x:f>
      </x:c>
      <x:c r="G118" s="7" t="str">
        <x:f>IF(OR($D118="",G$5="",'상세일정'!AM118="제외"),"",IF($D118=$E118,IF(AND($D118&gt;=G$5,$D118&lt;G$5+7),"◆",""),IF(AND($D118&lt;G$5+7,$E118&gt;G$5),"■","")))</x:f>
      </x:c>
      <x:c r="H118" s="7" t="str">
        <x:f>IF(OR($D118="",H$5="",'상세일정'!AM118="제외"),"",IF($D118=$E118,IF(AND($D118&gt;=H$5,$D118&lt;H$5+7),"◆",""),IF(AND($D118&lt;H$5+7,$E118&gt;H$5),"■","")))</x:f>
      </x:c>
      <x:c r="I118" s="7" t="str">
        <x:f>IF(OR($D118="",I$5="",'상세일정'!AM118="제외"),"",IF($D118=$E118,IF(AND($D118&gt;=I$5,$D118&lt;I$5+7),"◆",""),IF(AND($D118&lt;I$5+7,$E118&gt;I$5),"■","")))</x:f>
      </x:c>
      <x:c r="J118" s="7" t="str">
        <x:f>IF(OR($D118="",J$5="",'상세일정'!AM118="제외"),"",IF($D118=$E118,IF(AND($D118&gt;=J$5,$D118&lt;J$5+7),"◆",""),IF(AND($D118&lt;J$5+7,$E118&gt;J$5),"■","")))</x:f>
      </x:c>
      <x:c r="K118" s="7" t="str">
        <x:f>IF(OR($D118="",K$5="",'상세일정'!AM118="제외"),"",IF($D118=$E118,IF(AND($D118&gt;=K$5,$D118&lt;K$5+7),"◆",""),IF(AND($D118&lt;K$5+7,$E118&gt;K$5),"■","")))</x:f>
      </x:c>
      <x:c r="L118" s="7" t="str">
        <x:f>IF(OR($D118="",L$5="",'상세일정'!AM118="제외"),"",IF($D118=$E118,IF(AND($D118&gt;=L$5,$D118&lt;L$5+7),"◆",""),IF(AND($D118&lt;L$5+7,$E118&gt;L$5),"■","")))</x:f>
      </x:c>
      <x:c r="M118" s="7" t="str">
        <x:f>IF(OR($D118="",M$5="",'상세일정'!AM118="제외"),"",IF($D118=$E118,IF(AND($D118&gt;=M$5,$D118&lt;M$5+7),"◆",""),IF(AND($D118&lt;M$5+7,$E118&gt;M$5),"■","")))</x:f>
      </x:c>
      <x:c r="N118" s="7" t="str">
        <x:f>IF(OR($D118="",N$5="",'상세일정'!AM118="제외"),"",IF($D118=$E118,IF(AND($D118&gt;=N$5,$D118&lt;N$5+7),"◆",""),IF(AND($D118&lt;N$5+7,$E118&gt;N$5),"■","")))</x:f>
      </x:c>
      <x:c r="O118" s="7" t="str">
        <x:f>IF(OR($D118="",O$5="",'상세일정'!AM118="제외"),"",IF($D118=$E118,IF(AND($D118&gt;=O$5,$D118&lt;O$5+7),"◆",""),IF(AND($D118&lt;O$5+7,$E118&gt;O$5),"■","")))</x:f>
      </x:c>
      <x:c r="P118" s="7" t="str">
        <x:f>IF(OR($D118="",P$5="",'상세일정'!AM118="제외"),"",IF($D118=$E118,IF(AND($D118&gt;=P$5,$D118&lt;P$5+7),"◆",""),IF(AND($D118&lt;P$5+7,$E118&gt;P$5),"■","")))</x:f>
      </x:c>
      <x:c r="Q118" s="7" t="str">
        <x:f>IF(OR($D118="",Q$5="",'상세일정'!AM118="제외"),"",IF($D118=$E118,IF(AND($D118&gt;=Q$5,$D118&lt;Q$5+7),"◆",""),IF(AND($D118&lt;Q$5+7,$E118&gt;Q$5),"■","")))</x:f>
      </x:c>
      <x:c r="R118" s="7" t="str">
        <x:f>IF(OR($D118="",R$5="",'상세일정'!AM118="제외"),"",IF($D118=$E118,IF(AND($D118&gt;=R$5,$D118&lt;R$5+7),"◆",""),IF(AND($D118&lt;R$5+7,$E118&gt;R$5),"■","")))</x:f>
      </x:c>
      <x:c r="S118" s="7" t="str">
        <x:f>IF(OR($D118="",S$5="",'상세일정'!AM118="제외"),"",IF($D118=$E118,IF(AND($D118&gt;=S$5,$D118&lt;S$5+7),"◆",""),IF(AND($D118&lt;S$5+7,$E118&gt;S$5),"■","")))</x:f>
      </x:c>
      <x:c r="T118" s="7" t="str">
        <x:f>IF(OR($D118="",T$5="",'상세일정'!AM118="제외"),"",IF($D118=$E118,IF(AND($D118&gt;=T$5,$D118&lt;T$5+7),"◆",""),IF(AND($D118&lt;T$5+7,$E118&gt;T$5),"■","")))</x:f>
      </x:c>
      <x:c r="U118" s="7" t="str">
        <x:f>IF(OR($D118="",U$5="",'상세일정'!AM118="제외"),"",IF($D118=$E118,IF(AND($D118&gt;=U$5,$D118&lt;U$5+7),"◆",""),IF(AND($D118&lt;U$5+7,$E118&gt;U$5),"■","")))</x:f>
      </x:c>
      <x:c r="V118" s="7" t="str">
        <x:f>IF(OR($D118="",V$5="",'상세일정'!AM118="제외"),"",IF($D118=$E118,IF(AND($D118&gt;=V$5,$D118&lt;V$5+7),"◆",""),IF(AND($D118&lt;V$5+7,$E118&gt;V$5),"■","")))</x:f>
      </x:c>
      <x:c r="W118" s="7" t="str">
        <x:f>IF(OR($D118="",W$5="",'상세일정'!AM118="제외"),"",IF($D118=$E118,IF(AND($D118&gt;=W$5,$D118&lt;W$5+7),"◆",""),IF(AND($D118&lt;W$5+7,$E118&gt;W$5),"■","")))</x:f>
      </x:c>
      <x:c r="X118" s="7" t="str">
        <x:f>IF(OR($D118="",X$5="",'상세일정'!AM118="제외"),"",IF($D118=$E118,IF(AND($D118&gt;=X$5,$D118&lt;X$5+7),"◆",""),IF(AND($D118&lt;X$5+7,$E118&gt;X$5),"■","")))</x:f>
      </x:c>
      <x:c r="Y118" s="7" t="str">
        <x:f>IF(OR($D118="",Y$5="",'상세일정'!AM118="제외"),"",IF($D118=$E118,IF(AND($D118&gt;=Y$5,$D118&lt;Y$5+7),"◆",""),IF(AND($D118&lt;Y$5+7,$E118&gt;Y$5),"■","")))</x:f>
      </x:c>
      <x:c r="Z118" s="7" t="str">
        <x:f>IF(OR($D118="",Z$5="",'상세일정'!AM118="제외"),"",IF($D118=$E118,IF(AND($D118&gt;=Z$5,$D118&lt;Z$5+7),"◆",""),IF(AND($D118&lt;Z$5+7,$E118&gt;Z$5),"■","")))</x:f>
      </x:c>
      <x:c r="AA118" s="7" t="str">
        <x:f>IF(OR($D118="",AA$5="",'상세일정'!AM118="제외"),"",IF($D118=$E118,IF(AND($D118&gt;=AA$5,$D118&lt;AA$5+7),"◆",""),IF(AND($D118&lt;AA$5+7,$E118&gt;AA$5),"■","")))</x:f>
      </x:c>
      <x:c r="AB118" s="7" t="str">
        <x:f>IF(OR($D118="",AB$5="",'상세일정'!AM118="제외"),"",IF($D118=$E118,IF(AND($D118&gt;=AB$5,$D118&lt;AB$5+7),"◆",""),IF(AND($D118&lt;AB$5+7,$E118&gt;AB$5),"■","")))</x:f>
      </x:c>
      <x:c r="AC118" s="7" t="str">
        <x:f>IF(OR($D118="",AC$5="",'상세일정'!AM118="제외"),"",IF($D118=$E118,IF(AND($D118&gt;=AC$5,$D118&lt;AC$5+7),"◆",""),IF(AND($D118&lt;AC$5+7,$E118&gt;AC$5),"■","")))</x:f>
      </x:c>
      <x:c r="AD118" s="7" t="str">
        <x:f>IF(OR($D118="",AD$5="",'상세일정'!AM118="제외"),"",IF($D118=$E118,IF(AND($D118&gt;=AD$5,$D118&lt;AD$5+7),"◆",""),IF(AND($D118&lt;AD$5+7,$E118&gt;AD$5),"■","")))</x:f>
      </x:c>
      <x:c r="AE118" s="7" t="str">
        <x:f>IF(OR($D118="",AE$5="",'상세일정'!AM118="제외"),"",IF($D118=$E118,IF(AND($D118&gt;=AE$5,$D118&lt;AE$5+7),"◆",""),IF(AND($D118&lt;AE$5+7,$E118&gt;AE$5),"■","")))</x:f>
      </x:c>
      <x:c r="AF118" s="7" t="str">
        <x:f>IF(OR($D118="",AF$5="",'상세일정'!AM118="제외"),"",IF($D118=$E118,IF(AND($D118&gt;=AF$5,$D118&lt;AF$5+7),"◆",""),IF(AND($D118&lt;AF$5+7,$E118&gt;AF$5),"■","")))</x:f>
      </x:c>
      <x:c r="AG118" s="7" t="str">
        <x:f>IF(OR($D118="",AG$5="",'상세일정'!AM118="제외"),"",IF($D118=$E118,IF(AND($D118&gt;=AG$5,$D118&lt;AG$5+7),"◆",""),IF(AND($D118&lt;AG$5+7,$E118&gt;AG$5),"■","")))</x:f>
      </x:c>
      <x:c r="AH118" s="7" t="str">
        <x:f>IF(OR($D118="",AH$5="",'상세일정'!AM118="제외"),"",IF($D118=$E118,IF(AND($D118&gt;=AH$5,$D118&lt;AH$5+7),"◆",""),IF(AND($D118&lt;AH$5+7,$E118&gt;AH$5),"■","")))</x:f>
      </x:c>
      <x:c r="AI118" s="7" t="str">
        <x:f>IF(OR($D118="",AI$5="",'상세일정'!AM118="제외"),"",IF($D118=$E118,IF(AND($D118&gt;=AI$5,$D118&lt;AI$5+7),"◆",""),IF(AND($D118&lt;AI$5+7,$E118&gt;AI$5),"■","")))</x:f>
      </x:c>
      <x:c r="AJ118" s="7" t="str">
        <x:f>IF(OR($D118="",AJ$5="",'상세일정'!AM118="제외"),"",IF($D118=$E118,IF(AND($D118&gt;=AJ$5,$D118&lt;AJ$5+7),"◆",""),IF(AND($D118&lt;AJ$5+7,$E118&gt;AJ$5),"■","")))</x:f>
      </x:c>
      <x:c r="AK118" s="7" t="str">
        <x:f>IF(OR($D118="",AK$5="",'상세일정'!AM118="제외"),"",IF($D118=$E118,IF(AND($D118&gt;=AK$5,$D118&lt;AK$5+7),"◆",""),IF(AND($D118&lt;AK$5+7,$E118&gt;AK$5),"■","")))</x:f>
      </x:c>
      <x:c r="AL118" s="7" t="str">
        <x:f>IF(OR($D118="",AL$5="",'상세일정'!AM118="제외"),"",IF($D118=$E118,IF(AND($D118&gt;=AL$5,$D118&lt;AL$5+7),"◆",""),IF(AND($D118&lt;AL$5+7,$E118&gt;AL$5),"■","")))</x:f>
      </x:c>
      <x:c r="AM118" s="7" t="str">
        <x:f>IF(OR($D118="",AM$5="",'상세일정'!AM118="제외"),"",IF($D118=$E118,IF(AND($D118&gt;=AM$5,$D118&lt;AM$5+7),"◆",""),IF(AND($D118&lt;AM$5+7,$E118&gt;AM$5),"■","")))</x:f>
      </x:c>
      <x:c r="AN118" s="7" t="str">
        <x:f>IF(OR($D118="",AN$5="",'상세일정'!AM118="제외"),"",IF($D118=$E118,IF(AND($D118&gt;=AN$5,$D118&lt;AN$5+7),"◆",""),IF(AND($D118&lt;AN$5+7,$E118&gt;AN$5),"■","")))</x:f>
      </x:c>
      <x:c r="AO118" s="7" t="str">
        <x:f>IF(OR($D118="",AO$5="",'상세일정'!AM118="제외"),"",IF($D118=$E118,IF(AND($D118&gt;=AO$5,$D118&lt;AO$5+7),"◆",""),IF(AND($D118&lt;AO$5+7,$E118&gt;AO$5),"■","")))</x:f>
      </x:c>
      <x:c r="AP118" s="7" t="str">
        <x:f>IF(OR($D118="",AP$5="",'상세일정'!AM118="제외"),"",IF($D118=$E118,IF(AND($D118&gt;=AP$5,$D118&lt;AP$5+7),"◆",""),IF(AND($D118&lt;AP$5+7,$E118&gt;AP$5),"■","")))</x:f>
      </x:c>
      <x:c r="AQ118" s="7" t="str">
        <x:f>IF(OR($D118="",AQ$5="",'상세일정'!AM118="제외"),"",IF($D118=$E118,IF(AND($D118&gt;=AQ$5,$D118&lt;AQ$5+7),"◆",""),IF(AND($D118&lt;AQ$5+7,$E118&gt;AQ$5),"■","")))</x:f>
      </x:c>
      <x:c r="AR118" s="7" t="str">
        <x:f>IF(OR($D118="",AR$5="",'상세일정'!AM118="제외"),"",IF($D118=$E118,IF(AND($D118&gt;=AR$5,$D118&lt;AR$5+7),"◆",""),IF(AND($D118&lt;AR$5+7,$E118&gt;AR$5),"■","")))</x:f>
      </x:c>
      <x:c r="AS118" s="7" t="str">
        <x:f>IF(OR($D118="",AS$5="",'상세일정'!AM118="제외"),"",IF($D118=$E118,IF(AND($D118&gt;=AS$5,$D118&lt;AS$5+7),"◆",""),IF(AND($D118&lt;AS$5+7,$E118&gt;AS$5),"■","")))</x:f>
      </x:c>
      <x:c r="AT118" s="7" t="str">
        <x:f>IF(OR($D118="",AT$5="",'상세일정'!AM118="제외"),"",IF($D118=$E118,IF(AND($D118&gt;=AT$5,$D118&lt;AT$5+7),"◆",""),IF(AND($D118&lt;AT$5+7,$E118&gt;AT$5),"■","")))</x:f>
      </x:c>
      <x:c r="AU118" s="7" t="str">
        <x:f>IF(OR($D118="",AU$5="",'상세일정'!AM118="제외"),"",IF($D118=$E118,IF(AND($D118&gt;=AU$5,$D118&lt;AU$5+7),"◆",""),IF(AND($D118&lt;AU$5+7,$E118&gt;AU$5),"■","")))</x:f>
      </x:c>
      <x:c r="AV118" s="7" t="str">
        <x:f>IF(OR($D118="",AV$5="",'상세일정'!AM118="제외"),"",IF($D118=$E118,IF(AND($D118&gt;=AV$5,$D118&lt;AV$5+7),"◆",""),IF(AND($D118&lt;AV$5+7,$E118&gt;AV$5),"■","")))</x:f>
      </x:c>
      <x:c r="AW118" s="7" t="str">
        <x:f>IF(OR($D118="",AW$5="",'상세일정'!AM118="제외"),"",IF($D118=$E118,IF(AND($D118&gt;=AW$5,$D118&lt;AW$5+7),"◆",""),IF(AND($D118&lt;AW$5+7,$E118&gt;AW$5),"■","")))</x:f>
      </x:c>
      <x:c r="AX118" s="7" t="str">
        <x:f>IF(OR($D118="",AX$5="",'상세일정'!AM118="제외"),"",IF($D118=$E118,IF(AND($D118&gt;=AX$5,$D118&lt;AX$5+7),"◆",""),IF(AND($D118&lt;AX$5+7,$E118&gt;AX$5),"■","")))</x:f>
      </x:c>
      <x:c r="AY118" s="7" t="str">
        <x:f>IF(OR($D118="",AY$5="",'상세일정'!AM118="제외"),"",IF($D118=$E118,IF(AND($D118&gt;=AY$5,$D118&lt;AY$5+7),"◆",""),IF(AND($D118&lt;AY$5+7,$E118&gt;AY$5),"■","")))</x:f>
      </x:c>
      <x:c r="AZ118" s="7" t="str">
        <x:f>IF(OR($D118="",AZ$5="",'상세일정'!AM118="제외"),"",IF($D118=$E118,IF(AND($D118&gt;=AZ$5,$D118&lt;AZ$5+7),"◆",""),IF(AND($D118&lt;AZ$5+7,$E118&gt;AZ$5),"■","")))</x:f>
      </x:c>
      <x:c r="BA118" s="7" t="str">
        <x:f>IF(OR($D118="",BA$5="",'상세일정'!AM118="제외"),"",IF($D118=$E118,IF(AND($D118&gt;=BA$5,$D118&lt;BA$5+7),"◆",""),IF(AND($D118&lt;BA$5+7,$E118&gt;BA$5),"■","")))</x:f>
      </x:c>
      <x:c r="BB118" s="7" t="str">
        <x:f>IF(OR($D118="",BB$5="",'상세일정'!AM118="제외"),"",IF($D118=$E118,IF(AND($D118&gt;=BB$5,$D118&lt;BB$5+7),"◆",""),IF(AND($D118&lt;BB$5+7,$E118&gt;BB$5),"■","")))</x:f>
      </x:c>
      <x:c r="BC118" s="7" t="str">
        <x:f>IF(OR($D118="",BC$5="",'상세일정'!AM118="제외"),"",IF($D118=$E118,IF(AND($D118&gt;=BC$5,$D118&lt;BC$5+7),"◆",""),IF(AND($D118&lt;BC$5+7,$E118&gt;BC$5),"■","")))</x:f>
      </x:c>
      <x:c r="BD118" s="7" t="str">
        <x:f>IF(OR($D118="",BD$5="",'상세일정'!AM118="제외"),"",IF($D118=$E118,IF(AND($D118&gt;=BD$5,$D118&lt;BD$5+7),"◆",""),IF(AND($D118&lt;BD$5+7,$E118&gt;BD$5),"■","")))</x:f>
      </x:c>
      <x:c r="BE118" s="7" t="str">
        <x:f>IF(OR($D118="",BE$5="",'상세일정'!AM118="제외"),"",IF($D118=$E118,IF(AND($D118&gt;=BE$5,$D118&lt;BE$5+7),"◆",""),IF(AND($D118&lt;BE$5+7,$E118&gt;BE$5),"■","")))</x:f>
      </x:c>
      <x:c r="BF118" s="7" t="str">
        <x:f>IF(OR($D118="",BF$5="",'상세일정'!AM118="제외"),"",IF($D118=$E118,IF(AND($D118&gt;=BF$5,$D118&lt;BF$5+7),"◆",""),IF(AND($D118&lt;BF$5+7,$E118&gt;BF$5),"■","")))</x:f>
      </x:c>
      <x:c r="BG118" s="7" t="str">
        <x:f>IF(OR($D118="",BG$5="",'상세일정'!AM118="제외"),"",IF($D118=$E118,IF(AND($D118&gt;=BG$5,$D118&lt;BG$5+7),"◆",""),IF(AND($D118&lt;BG$5+7,$E118&gt;BG$5),"■","")))</x:f>
      </x:c>
      <x:c r="BH118" s="7" t="str">
        <x:f>IF(OR($D118="",BH$5="",'상세일정'!AM118="제외"),"",IF($D118=$E118,IF(AND($D118&gt;=BH$5,$D118&lt;BH$5+7),"◆",""),IF(AND($D118&lt;BH$5+7,$E118&gt;BH$5),"■","")))</x:f>
      </x:c>
      <x:c r="BI118" s="7" t="str">
        <x:f>IF(OR($D118="",BI$5="",'상세일정'!AM118="제외"),"",IF($D118=$E118,IF(AND($D118&gt;=BI$5,$D118&lt;BI$5+7),"◆",""),IF(AND($D118&lt;BI$5+7,$E118&gt;BI$5),"■","")))</x:f>
      </x:c>
      <x:c r="BJ118" s="7" t="str">
        <x:f>IF(OR($D118="",BJ$5="",'상세일정'!AM118="제외"),"",IF($D118=$E118,IF(AND($D118&gt;=BJ$5,$D118&lt;BJ$5+7),"◆",""),IF(AND($D118&lt;BJ$5+7,$E118&gt;BJ$5),"■","")))</x:f>
      </x:c>
      <x:c r="BK118" s="7" t="str">
        <x:f>IF(OR($D118="",BK$5="",'상세일정'!AM118="제외"),"",IF($D118=$E118,IF(AND($D118&gt;=BK$5,$D118&lt;BK$5+7),"◆",""),IF(AND($D118&lt;BK$5+7,$E118&gt;BK$5),"■","")))</x:f>
      </x:c>
      <x:c r="BL118" s="7" t="str">
        <x:f>IF(OR($D118="",BL$5="",'상세일정'!AM118="제외"),"",IF($D118=$E118,IF(AND($D118&gt;=BL$5,$D118&lt;BL$5+7),"◆",""),IF(AND($D118&lt;BL$5+7,$E118&gt;BL$5),"■","")))</x:f>
      </x:c>
      <x:c r="BM118" s="7" t="str">
        <x:f>IF(OR($D118="",BM$5="",'상세일정'!AM118="제외"),"",IF($D118=$E118,IF(AND($D118&gt;=BM$5,$D118&lt;BM$5+7),"◆",""),IF(AND($D118&lt;BM$5+7,$E118&gt;BM$5),"■","")))</x:f>
      </x:c>
      <x:c r="BN118" s="7" t="str">
        <x:f>IF(OR($D118="",BN$5="",'상세일정'!AM118="제외"),"",IF($D118=$E118,IF(AND($D118&gt;=BN$5,$D118&lt;BN$5+7),"◆",""),IF(AND($D118&lt;BN$5+7,$E118&gt;BN$5),"■","")))</x:f>
      </x:c>
      <x:c r="BO118" s="7" t="str">
        <x:f>IF(OR($D118="",BO$5="",'상세일정'!AM118="제외"),"",IF($D118=$E118,IF(AND($D118&gt;=BO$5,$D118&lt;BO$5+7),"◆",""),IF(AND($D118&lt;BO$5+7,$E118&gt;BO$5),"■","")))</x:f>
      </x:c>
      <x:c r="BP118" s="7" t="str">
        <x:f>IF(OR($D118="",BP$5="",'상세일정'!AM118="제외"),"",IF($D118=$E118,IF(AND($D118&gt;=BP$5,$D118&lt;BP$5+7),"◆",""),IF(AND($D118&lt;BP$5+7,$E118&gt;BP$5),"■","")))</x:f>
      </x:c>
      <x:c r="BQ118" s="7" t="str">
        <x:f>IF(OR($D118="",BQ$5="",'상세일정'!AM118="제외"),"",IF($D118=$E118,IF(AND($D118&gt;=BQ$5,$D118&lt;BQ$5+7),"◆",""),IF(AND($D118&lt;BQ$5+7,$E118&gt;BQ$5),"■","")))</x:f>
      </x:c>
      <x:c r="BR118" s="7" t="str">
        <x:f>IF(OR($D118="",BR$5="",'상세일정'!AM118="제외"),"",IF($D118=$E118,IF(AND($D118&gt;=BR$5,$D118&lt;BR$5+7),"◆",""),IF(AND($D118&lt;BR$5+7,$E118&gt;BR$5),"■","")))</x:f>
      </x:c>
      <x:c r="BS118" s="7" t="str">
        <x:f>IF(OR($D118="",BS$5="",'상세일정'!AM118="제외"),"",IF($D118=$E118,IF(AND($D118&gt;=BS$5,$D118&lt;BS$5+7),"◆",""),IF(AND($D118&lt;BS$5+7,$E118&gt;BS$5),"■","")))</x:f>
      </x:c>
      <x:c r="BT118" s="7" t="str">
        <x:f>IF(OR($D118="",BT$5="",'상세일정'!AM118="제외"),"",IF($D118=$E118,IF(AND($D118&gt;=BT$5,$D118&lt;BT$5+7),"◆",""),IF(AND($D118&lt;BT$5+7,$E118&gt;BT$5),"■","")))</x:f>
      </x:c>
      <x:c r="BU118" s="7" t="str">
        <x:f>IF(OR($D118="",BU$5="",'상세일정'!AM118="제외"),"",IF($D118=$E118,IF(AND($D118&gt;=BU$5,$D118&lt;BU$5+7),"◆",""),IF(AND($D118&lt;BU$5+7,$E118&gt;BU$5),"■","")))</x:f>
      </x:c>
      <x:c r="BV118" s="7" t="str">
        <x:f>IF(OR($D118="",BV$5="",'상세일정'!AM118="제외"),"",IF($D118=$E118,IF(AND($D118&gt;=BV$5,$D118&lt;BV$5+7),"◆",""),IF(AND($D118&lt;BV$5+7,$E118&gt;BV$5),"■","")))</x:f>
      </x:c>
      <x:c r="BW118" s="7" t="str">
        <x:f>IF(OR($D118="",BW$5="",'상세일정'!AM118="제외"),"",IF($D118=$E118,IF(AND($D118&gt;=BW$5,$D118&lt;BW$5+7),"◆",""),IF(AND($D118&lt;BW$5+7,$E118&gt;BW$5),"■","")))</x:f>
      </x:c>
      <x:c r="BX118" s="7" t="str">
        <x:f>IF(OR($D118="",BX$5="",'상세일정'!AM118="제외"),"",IF($D118=$E118,IF(AND($D118&gt;=BX$5,$D118&lt;BX$5+7),"◆",""),IF(AND($D118&lt;BX$5+7,$E118&gt;BX$5),"■","")))</x:f>
      </x:c>
      <x:c r="BY118" s="7" t="str">
        <x:f>IF(OR($D118="",BY$5="",'상세일정'!AM118="제외"),"",IF($D118=$E118,IF(AND($D118&gt;=BY$5,$D118&lt;BY$5+7),"◆",""),IF(AND($D118&lt;BY$5+7,$E118&gt;BY$5),"■","")))</x:f>
      </x:c>
      <x:c r="BZ118" s="7" t="str">
        <x:f>IF(OR($D118="",BZ$5="",'상세일정'!AM118="제외"),"",IF($D118=$E118,IF(AND($D118&gt;=BZ$5,$D118&lt;BZ$5+7),"◆",""),IF(AND($D118&lt;BZ$5+7,$E118&gt;BZ$5),"■","")))</x:f>
      </x:c>
      <x:c r="CA118" s="7" t="str">
        <x:f>IF(OR($D118="",CA$5="",'상세일정'!AM118="제외"),"",IF($D118=$E118,IF(AND($D118&gt;=CA$5,$D118&lt;CA$5+7),"◆",""),IF(AND($D118&lt;CA$5+7,$E118&gt;CA$5),"■","")))</x:f>
      </x:c>
      <x:c r="CB118" s="7" t="str">
        <x:f>IF(OR($D118="",CB$5="",'상세일정'!AM118="제외"),"",IF($D118=$E118,IF(AND($D118&gt;=CB$5,$D118&lt;CB$5+7),"◆",""),IF(AND($D118&lt;CB$5+7,$E118&gt;CB$5),"■","")))</x:f>
      </x:c>
      <x:c r="CC118" s="7" t="str">
        <x:f>IF(OR($D118="",CC$5="",'상세일정'!AM118="제외"),"",IF($D118=$E118,IF(AND($D118&gt;=CC$5,$D118&lt;CC$5+7),"◆",""),IF(AND($D118&lt;CC$5+7,$E118&gt;CC$5),"■","")))</x:f>
      </x:c>
      <x:c r="CD118" s="7" t="str">
        <x:f>IF(OR($D118="",CD$5="",'상세일정'!AM118="제외"),"",IF($D118=$E118,IF(AND($D118&gt;=CD$5,$D118&lt;CD$5+7),"◆",""),IF(AND($D118&lt;CD$5+7,$E118&gt;CD$5),"■","")))</x:f>
      </x:c>
      <x:c r="CE118" s="7" t="str">
        <x:f>IF(OR($D118="",CE$5="",'상세일정'!AM118="제외"),"",IF($D118=$E118,IF(AND($D118&gt;=CE$5,$D118&lt;CE$5+7),"◆",""),IF(AND($D118&lt;CE$5+7,$E118&gt;CE$5),"■","")))</x:f>
      </x:c>
      <x:c r="CF118" s="7" t="str">
        <x:f>IF(OR($D118="",CF$5="",'상세일정'!AM118="제외"),"",IF($D118=$E118,IF(AND($D118&gt;=CF$5,$D118&lt;CF$5+7),"◆",""),IF(AND($D118&lt;CF$5+7,$E118&gt;CF$5),"■","")))</x:f>
      </x:c>
      <x:c r="CG118" s="7" t="str">
        <x:f>IF(OR($D118="",CG$5="",'상세일정'!AM118="제외"),"",IF($D118=$E118,IF(AND($D118&gt;=CG$5,$D118&lt;CG$5+7),"◆",""),IF(AND($D118&lt;CG$5+7,$E118&gt;CG$5),"■","")))</x:f>
      </x:c>
      <x:c r="CH118" s="7" t="str">
        <x:f>IF(OR($D118="",CH$5="",'상세일정'!AM118="제외"),"",IF($D118=$E118,IF(AND($D118&gt;=CH$5,$D118&lt;CH$5+7),"◆",""),IF(AND($D118&lt;CH$5+7,$E118&gt;CH$5),"■","")))</x:f>
      </x:c>
      <x:c r="CI118" s="7" t="str">
        <x:f>IF(OR($D118="",CI$5="",'상세일정'!AM118="제외"),"",IF($D118=$E118,IF(AND($D118&gt;=CI$5,$D118&lt;CI$5+7),"◆",""),IF(AND($D118&lt;CI$5+7,$E118&gt;CI$5),"■","")))</x:f>
      </x:c>
      <x:c r="CJ118" s="7" t="str">
        <x:f>IF(OR($D118="",CJ$5="",'상세일정'!AM118="제외"),"",IF($D118=$E118,IF(AND($D118&gt;=CJ$5,$D118&lt;CJ$5+7),"◆",""),IF(AND($D118&lt;CJ$5+7,$E118&gt;CJ$5),"■","")))</x:f>
      </x:c>
      <x:c r="CK118" s="7" t="str">
        <x:f>IF(OR($D118="",CK$5="",'상세일정'!AM118="제외"),"",IF($D118=$E118,IF(AND($D118&gt;=CK$5,$D118&lt;CK$5+7),"◆",""),IF(AND($D118&lt;CK$5+7,$E118&gt;CK$5),"■","")))</x:f>
      </x:c>
      <x:c r="CL118" s="7" t="str">
        <x:f>IF(OR($D118="",CL$5="",'상세일정'!AM118="제외"),"",IF($D118=$E118,IF(AND($D118&gt;=CL$5,$D118&lt;CL$5+7),"◆",""),IF(AND($D118&lt;CL$5+7,$E118&gt;CL$5),"■","")))</x:f>
      </x:c>
      <x:c r="CM118" s="7" t="str">
        <x:f>IF(OR($D118="",CM$5="",'상세일정'!AM118="제외"),"",IF($D118=$E118,IF(AND($D118&gt;=CM$5,$D118&lt;CM$5+7),"◆",""),IF(AND($D118&lt;CM$5+7,$E118&gt;CM$5),"■","")))</x:f>
      </x:c>
      <x:c r="CN118" s="7" t="str">
        <x:f>IF(OR($D118="",CN$5="",'상세일정'!AM118="제외"),"",IF($D118=$E118,IF(AND($D118&gt;=CN$5,$D118&lt;CN$5+7),"◆",""),IF(AND($D118&lt;CN$5+7,$E118&gt;CN$5),"■","")))</x:f>
      </x:c>
      <x:c r="CO118" s="7" t="str">
        <x:f>IF(OR($D118="",CO$5="",'상세일정'!AM118="제외"),"",IF($D118=$E118,IF(AND($D118&gt;=CO$5,$D118&lt;CO$5+7),"◆",""),IF(AND($D118&lt;CO$5+7,$E118&gt;CO$5),"■","")))</x:f>
      </x:c>
      <x:c r="CP118" s="7" t="str">
        <x:f>IF(OR($D118="",CP$5="",'상세일정'!AM118="제외"),"",IF($D118=$E118,IF(AND($D118&gt;=CP$5,$D118&lt;CP$5+7),"◆",""),IF(AND($D118&lt;CP$5+7,$E118&gt;CP$5),"■","")))</x:f>
      </x:c>
      <x:c r="CQ118" s="7" t="str">
        <x:f>IF(OR($D118="",CQ$5="",'상세일정'!AM118="제외"),"",IF($D118=$E118,IF(AND($D118&gt;=CQ$5,$D118&lt;CQ$5+7),"◆",""),IF(AND($D118&lt;CQ$5+7,$E118&gt;CQ$5),"■","")))</x:f>
      </x:c>
      <x:c r="CR118" s="7" t="str">
        <x:f>IF(OR($D118="",CR$5="",'상세일정'!AM118="제외"),"",IF($D118=$E118,IF(AND($D118&gt;=CR$5,$D118&lt;CR$5+7),"◆",""),IF(AND($D118&lt;CR$5+7,$E118&gt;CR$5),"■","")))</x:f>
      </x:c>
      <x:c r="CS118" s="7" t="str">
        <x:f>IF(OR($D118="",CS$5="",'상세일정'!AM118="제외"),"",IF($D118=$E118,IF(AND($D118&gt;=CS$5,$D118&lt;CS$5+7),"◆",""),IF(AND($D118&lt;CS$5+7,$E118&gt;CS$5),"■","")))</x:f>
      </x:c>
      <x:c r="CT118" s="7" t="str">
        <x:f>IF(OR($D118="",CT$5="",'상세일정'!AM118="제외"),"",IF($D118=$E118,IF(AND($D118&gt;=CT$5,$D118&lt;CT$5+7),"◆",""),IF(AND($D118&lt;CT$5+7,$E118&gt;CT$5),"■","")))</x:f>
      </x:c>
      <x:c r="CU118" s="7" t="str">
        <x:f>IF(OR($D118="",CU$5="",'상세일정'!AM118="제외"),"",IF($D118=$E118,IF(AND($D118&gt;=CU$5,$D118&lt;CU$5+7),"◆",""),IF(AND($D118&lt;CU$5+7,$E118&gt;CU$5),"■","")))</x:f>
      </x:c>
      <x:c r="CV118" s="7" t="str">
        <x:f>IF(OR($D118="",CV$5="",'상세일정'!AM118="제외"),"",IF($D118=$E118,IF(AND($D118&gt;=CV$5,$D118&lt;CV$5+7),"◆",""),IF(AND($D118&lt;CV$5+7,$E118&gt;CV$5),"■","")))</x:f>
      </x:c>
      <x:c r="CW118" s="7" t="str">
        <x:f>IF(OR($D118="",CW$5="",'상세일정'!AM118="제외"),"",IF($D118=$E118,IF(AND($D118&gt;=CW$5,$D118&lt;CW$5+7),"◆",""),IF(AND($D118&lt;CW$5+7,$E118&gt;CW$5),"■","")))</x:f>
      </x:c>
      <x:c r="CX118" s="7" t="str">
        <x:f>IF(OR($D118="",CX$5="",'상세일정'!AM118="제외"),"",IF($D118=$E118,IF(AND($D118&gt;=CX$5,$D118&lt;CX$5+7),"◆",""),IF(AND($D118&lt;CX$5+7,$E118&gt;CX$5),"■","")))</x:f>
      </x:c>
      <x:c r="CY118" s="7" t="str">
        <x:f>IF(OR($D118="",CY$5="",'상세일정'!AM118="제외"),"",IF($D118=$E118,IF(AND($D118&gt;=CY$5,$D118&lt;CY$5+7),"◆",""),IF(AND($D118&lt;CY$5+7,$E118&gt;CY$5),"■","")))</x:f>
      </x:c>
      <x:c r="CZ118" s="7" t="str">
        <x:f>IF(OR($D118="",CZ$5="",'상세일정'!AM118="제외"),"",IF($D118=$E118,IF(AND($D118&gt;=CZ$5,$D118&lt;CZ$5+7),"◆",""),IF(AND($D118&lt;CZ$5+7,$E118&gt;CZ$5),"■","")))</x:f>
      </x:c>
      <x:c r="DA118" s="7" t="str">
        <x:f>IF(OR($D118="",DA$5="",'상세일정'!AM118="제외"),"",IF($D118=$E118,IF(AND($D118&gt;=DA$5,$D118&lt;DA$5+7),"◆",""),IF(AND($D118&lt;DA$5+7,$E118&gt;DA$5),"■","")))</x:f>
      </x:c>
      <x:c r="DB118" s="7" t="str">
        <x:f>IF(OR($D118="",DB$5="",'상세일정'!AM118="제외"),"",IF($D118=$E118,IF(AND($D118&gt;=DB$5,$D118&lt;DB$5+7),"◆",""),IF(AND($D118&lt;DB$5+7,$E118&gt;DB$5),"■","")))</x:f>
      </x:c>
      <x:c r="DC118" s="7" t="str">
        <x:f>IF(OR($D118="",DC$5="",'상세일정'!AM118="제외"),"",IF($D118=$E118,IF(AND($D118&gt;=DC$5,$D118&lt;DC$5+7),"◆",""),IF(AND($D118&lt;DC$5+7,$E118&gt;DC$5),"■","")))</x:f>
      </x:c>
      <x:c r="DD118" s="7" t="str">
        <x:f>IF(OR($D118="",DD$5="",'상세일정'!AM118="제외"),"",IF($D118=$E118,IF(AND($D118&gt;=DD$5,$D118&lt;DD$5+7),"◆",""),IF(AND($D118&lt;DD$5+7,$E118&gt;DD$5),"■","")))</x:f>
      </x:c>
      <x:c r="DE118" s="7" t="str">
        <x:f>IF(OR($D118="",DE$5="",'상세일정'!AM118="제외"),"",IF($D118=$E118,IF(AND($D118&gt;=DE$5,$D118&lt;DE$5+7),"◆",""),IF(AND($D118&lt;DE$5+7,$E118&gt;DE$5),"■","")))</x:f>
      </x:c>
    </x:row>
    <x:row r="119" ht="34" customHeight="1">
      <x:c r="A119" s="7" t="str">
        <x:v>BG05</x:v>
      </x:c>
      <x:c r="B119" s="7" t="str">
        <x:v>16 기자재 구매·제작</x:v>
      </x:c>
      <x:c r="C119" s="7" t="str">
        <x:v>전처리 패키지 B 조립·공장 기능시험</x:v>
      </x:c>
      <x:c r="D119" s="10" t="str">
        <x:f>'상세일정'!AJ119</x:f>
      </x:c>
      <x:c r="E119" s="10" t="str">
        <x:f>'상세일정'!AK119</x:f>
      </x:c>
      <x:c r="F119" s="7" t="str">
        <x:f>IF(OR($D119="",F$5="",'상세일정'!AM119="제외"),"",IF($D119=$E119,IF(AND($D119&gt;=F$5,$D119&lt;F$5+7),"◆",""),IF(AND($D119&lt;F$5+7,$E119&gt;F$5),"■","")))</x:f>
      </x:c>
      <x:c r="G119" s="7" t="str">
        <x:f>IF(OR($D119="",G$5="",'상세일정'!AM119="제외"),"",IF($D119=$E119,IF(AND($D119&gt;=G$5,$D119&lt;G$5+7),"◆",""),IF(AND($D119&lt;G$5+7,$E119&gt;G$5),"■","")))</x:f>
      </x:c>
      <x:c r="H119" s="7" t="str">
        <x:f>IF(OR($D119="",H$5="",'상세일정'!AM119="제외"),"",IF($D119=$E119,IF(AND($D119&gt;=H$5,$D119&lt;H$5+7),"◆",""),IF(AND($D119&lt;H$5+7,$E119&gt;H$5),"■","")))</x:f>
      </x:c>
      <x:c r="I119" s="7" t="str">
        <x:f>IF(OR($D119="",I$5="",'상세일정'!AM119="제외"),"",IF($D119=$E119,IF(AND($D119&gt;=I$5,$D119&lt;I$5+7),"◆",""),IF(AND($D119&lt;I$5+7,$E119&gt;I$5),"■","")))</x:f>
      </x:c>
      <x:c r="J119" s="7" t="str">
        <x:f>IF(OR($D119="",J$5="",'상세일정'!AM119="제외"),"",IF($D119=$E119,IF(AND($D119&gt;=J$5,$D119&lt;J$5+7),"◆",""),IF(AND($D119&lt;J$5+7,$E119&gt;J$5),"■","")))</x:f>
      </x:c>
      <x:c r="K119" s="7" t="str">
        <x:f>IF(OR($D119="",K$5="",'상세일정'!AM119="제외"),"",IF($D119=$E119,IF(AND($D119&gt;=K$5,$D119&lt;K$5+7),"◆",""),IF(AND($D119&lt;K$5+7,$E119&gt;K$5),"■","")))</x:f>
      </x:c>
      <x:c r="L119" s="7" t="str">
        <x:f>IF(OR($D119="",L$5="",'상세일정'!AM119="제외"),"",IF($D119=$E119,IF(AND($D119&gt;=L$5,$D119&lt;L$5+7),"◆",""),IF(AND($D119&lt;L$5+7,$E119&gt;L$5),"■","")))</x:f>
      </x:c>
      <x:c r="M119" s="7" t="str">
        <x:f>IF(OR($D119="",M$5="",'상세일정'!AM119="제외"),"",IF($D119=$E119,IF(AND($D119&gt;=M$5,$D119&lt;M$5+7),"◆",""),IF(AND($D119&lt;M$5+7,$E119&gt;M$5),"■","")))</x:f>
      </x:c>
      <x:c r="N119" s="7" t="str">
        <x:f>IF(OR($D119="",N$5="",'상세일정'!AM119="제외"),"",IF($D119=$E119,IF(AND($D119&gt;=N$5,$D119&lt;N$5+7),"◆",""),IF(AND($D119&lt;N$5+7,$E119&gt;N$5),"■","")))</x:f>
      </x:c>
      <x:c r="O119" s="7" t="str">
        <x:f>IF(OR($D119="",O$5="",'상세일정'!AM119="제외"),"",IF($D119=$E119,IF(AND($D119&gt;=O$5,$D119&lt;O$5+7),"◆",""),IF(AND($D119&lt;O$5+7,$E119&gt;O$5),"■","")))</x:f>
      </x:c>
      <x:c r="P119" s="7" t="str">
        <x:f>IF(OR($D119="",P$5="",'상세일정'!AM119="제외"),"",IF($D119=$E119,IF(AND($D119&gt;=P$5,$D119&lt;P$5+7),"◆",""),IF(AND($D119&lt;P$5+7,$E119&gt;P$5),"■","")))</x:f>
      </x:c>
      <x:c r="Q119" s="7" t="str">
        <x:f>IF(OR($D119="",Q$5="",'상세일정'!AM119="제외"),"",IF($D119=$E119,IF(AND($D119&gt;=Q$5,$D119&lt;Q$5+7),"◆",""),IF(AND($D119&lt;Q$5+7,$E119&gt;Q$5),"■","")))</x:f>
      </x:c>
      <x:c r="R119" s="7" t="str">
        <x:f>IF(OR($D119="",R$5="",'상세일정'!AM119="제외"),"",IF($D119=$E119,IF(AND($D119&gt;=R$5,$D119&lt;R$5+7),"◆",""),IF(AND($D119&lt;R$5+7,$E119&gt;R$5),"■","")))</x:f>
      </x:c>
      <x:c r="S119" s="7" t="str">
        <x:f>IF(OR($D119="",S$5="",'상세일정'!AM119="제외"),"",IF($D119=$E119,IF(AND($D119&gt;=S$5,$D119&lt;S$5+7),"◆",""),IF(AND($D119&lt;S$5+7,$E119&gt;S$5),"■","")))</x:f>
      </x:c>
      <x:c r="T119" s="7" t="str">
        <x:f>IF(OR($D119="",T$5="",'상세일정'!AM119="제외"),"",IF($D119=$E119,IF(AND($D119&gt;=T$5,$D119&lt;T$5+7),"◆",""),IF(AND($D119&lt;T$5+7,$E119&gt;T$5),"■","")))</x:f>
      </x:c>
      <x:c r="U119" s="7" t="str">
        <x:f>IF(OR($D119="",U$5="",'상세일정'!AM119="제외"),"",IF($D119=$E119,IF(AND($D119&gt;=U$5,$D119&lt;U$5+7),"◆",""),IF(AND($D119&lt;U$5+7,$E119&gt;U$5),"■","")))</x:f>
      </x:c>
      <x:c r="V119" s="7" t="str">
        <x:f>IF(OR($D119="",V$5="",'상세일정'!AM119="제외"),"",IF($D119=$E119,IF(AND($D119&gt;=V$5,$D119&lt;V$5+7),"◆",""),IF(AND($D119&lt;V$5+7,$E119&gt;V$5),"■","")))</x:f>
      </x:c>
      <x:c r="W119" s="7" t="str">
        <x:f>IF(OR($D119="",W$5="",'상세일정'!AM119="제외"),"",IF($D119=$E119,IF(AND($D119&gt;=W$5,$D119&lt;W$5+7),"◆",""),IF(AND($D119&lt;W$5+7,$E119&gt;W$5),"■","")))</x:f>
      </x:c>
      <x:c r="X119" s="7" t="str">
        <x:f>IF(OR($D119="",X$5="",'상세일정'!AM119="제외"),"",IF($D119=$E119,IF(AND($D119&gt;=X$5,$D119&lt;X$5+7),"◆",""),IF(AND($D119&lt;X$5+7,$E119&gt;X$5),"■","")))</x:f>
      </x:c>
      <x:c r="Y119" s="7" t="str">
        <x:f>IF(OR($D119="",Y$5="",'상세일정'!AM119="제외"),"",IF($D119=$E119,IF(AND($D119&gt;=Y$5,$D119&lt;Y$5+7),"◆",""),IF(AND($D119&lt;Y$5+7,$E119&gt;Y$5),"■","")))</x:f>
      </x:c>
      <x:c r="Z119" s="7" t="str">
        <x:f>IF(OR($D119="",Z$5="",'상세일정'!AM119="제외"),"",IF($D119=$E119,IF(AND($D119&gt;=Z$5,$D119&lt;Z$5+7),"◆",""),IF(AND($D119&lt;Z$5+7,$E119&gt;Z$5),"■","")))</x:f>
      </x:c>
      <x:c r="AA119" s="7" t="str">
        <x:f>IF(OR($D119="",AA$5="",'상세일정'!AM119="제외"),"",IF($D119=$E119,IF(AND($D119&gt;=AA$5,$D119&lt;AA$5+7),"◆",""),IF(AND($D119&lt;AA$5+7,$E119&gt;AA$5),"■","")))</x:f>
      </x:c>
      <x:c r="AB119" s="7" t="str">
        <x:f>IF(OR($D119="",AB$5="",'상세일정'!AM119="제외"),"",IF($D119=$E119,IF(AND($D119&gt;=AB$5,$D119&lt;AB$5+7),"◆",""),IF(AND($D119&lt;AB$5+7,$E119&gt;AB$5),"■","")))</x:f>
      </x:c>
      <x:c r="AC119" s="7" t="str">
        <x:f>IF(OR($D119="",AC$5="",'상세일정'!AM119="제외"),"",IF($D119=$E119,IF(AND($D119&gt;=AC$5,$D119&lt;AC$5+7),"◆",""),IF(AND($D119&lt;AC$5+7,$E119&gt;AC$5),"■","")))</x:f>
      </x:c>
      <x:c r="AD119" s="7" t="str">
        <x:f>IF(OR($D119="",AD$5="",'상세일정'!AM119="제외"),"",IF($D119=$E119,IF(AND($D119&gt;=AD$5,$D119&lt;AD$5+7),"◆",""),IF(AND($D119&lt;AD$5+7,$E119&gt;AD$5),"■","")))</x:f>
      </x:c>
      <x:c r="AE119" s="7" t="str">
        <x:f>IF(OR($D119="",AE$5="",'상세일정'!AM119="제외"),"",IF($D119=$E119,IF(AND($D119&gt;=AE$5,$D119&lt;AE$5+7),"◆",""),IF(AND($D119&lt;AE$5+7,$E119&gt;AE$5),"■","")))</x:f>
      </x:c>
      <x:c r="AF119" s="7" t="str">
        <x:f>IF(OR($D119="",AF$5="",'상세일정'!AM119="제외"),"",IF($D119=$E119,IF(AND($D119&gt;=AF$5,$D119&lt;AF$5+7),"◆",""),IF(AND($D119&lt;AF$5+7,$E119&gt;AF$5),"■","")))</x:f>
      </x:c>
      <x:c r="AG119" s="7" t="str">
        <x:f>IF(OR($D119="",AG$5="",'상세일정'!AM119="제외"),"",IF($D119=$E119,IF(AND($D119&gt;=AG$5,$D119&lt;AG$5+7),"◆",""),IF(AND($D119&lt;AG$5+7,$E119&gt;AG$5),"■","")))</x:f>
      </x:c>
      <x:c r="AH119" s="7" t="str">
        <x:f>IF(OR($D119="",AH$5="",'상세일정'!AM119="제외"),"",IF($D119=$E119,IF(AND($D119&gt;=AH$5,$D119&lt;AH$5+7),"◆",""),IF(AND($D119&lt;AH$5+7,$E119&gt;AH$5),"■","")))</x:f>
      </x:c>
      <x:c r="AI119" s="7" t="str">
        <x:f>IF(OR($D119="",AI$5="",'상세일정'!AM119="제외"),"",IF($D119=$E119,IF(AND($D119&gt;=AI$5,$D119&lt;AI$5+7),"◆",""),IF(AND($D119&lt;AI$5+7,$E119&gt;AI$5),"■","")))</x:f>
      </x:c>
      <x:c r="AJ119" s="7" t="str">
        <x:f>IF(OR($D119="",AJ$5="",'상세일정'!AM119="제외"),"",IF($D119=$E119,IF(AND($D119&gt;=AJ$5,$D119&lt;AJ$5+7),"◆",""),IF(AND($D119&lt;AJ$5+7,$E119&gt;AJ$5),"■","")))</x:f>
      </x:c>
      <x:c r="AK119" s="7" t="str">
        <x:f>IF(OR($D119="",AK$5="",'상세일정'!AM119="제외"),"",IF($D119=$E119,IF(AND($D119&gt;=AK$5,$D119&lt;AK$5+7),"◆",""),IF(AND($D119&lt;AK$5+7,$E119&gt;AK$5),"■","")))</x:f>
      </x:c>
      <x:c r="AL119" s="7" t="str">
        <x:f>IF(OR($D119="",AL$5="",'상세일정'!AM119="제외"),"",IF($D119=$E119,IF(AND($D119&gt;=AL$5,$D119&lt;AL$5+7),"◆",""),IF(AND($D119&lt;AL$5+7,$E119&gt;AL$5),"■","")))</x:f>
      </x:c>
      <x:c r="AM119" s="7" t="str">
        <x:f>IF(OR($D119="",AM$5="",'상세일정'!AM119="제외"),"",IF($D119=$E119,IF(AND($D119&gt;=AM$5,$D119&lt;AM$5+7),"◆",""),IF(AND($D119&lt;AM$5+7,$E119&gt;AM$5),"■","")))</x:f>
      </x:c>
      <x:c r="AN119" s="7" t="str">
        <x:f>IF(OR($D119="",AN$5="",'상세일정'!AM119="제외"),"",IF($D119=$E119,IF(AND($D119&gt;=AN$5,$D119&lt;AN$5+7),"◆",""),IF(AND($D119&lt;AN$5+7,$E119&gt;AN$5),"■","")))</x:f>
      </x:c>
      <x:c r="AO119" s="7" t="str">
        <x:f>IF(OR($D119="",AO$5="",'상세일정'!AM119="제외"),"",IF($D119=$E119,IF(AND($D119&gt;=AO$5,$D119&lt;AO$5+7),"◆",""),IF(AND($D119&lt;AO$5+7,$E119&gt;AO$5),"■","")))</x:f>
      </x:c>
      <x:c r="AP119" s="7" t="str">
        <x:f>IF(OR($D119="",AP$5="",'상세일정'!AM119="제외"),"",IF($D119=$E119,IF(AND($D119&gt;=AP$5,$D119&lt;AP$5+7),"◆",""),IF(AND($D119&lt;AP$5+7,$E119&gt;AP$5),"■","")))</x:f>
      </x:c>
      <x:c r="AQ119" s="7" t="str">
        <x:f>IF(OR($D119="",AQ$5="",'상세일정'!AM119="제외"),"",IF($D119=$E119,IF(AND($D119&gt;=AQ$5,$D119&lt;AQ$5+7),"◆",""),IF(AND($D119&lt;AQ$5+7,$E119&gt;AQ$5),"■","")))</x:f>
      </x:c>
      <x:c r="AR119" s="7" t="str">
        <x:f>IF(OR($D119="",AR$5="",'상세일정'!AM119="제외"),"",IF($D119=$E119,IF(AND($D119&gt;=AR$5,$D119&lt;AR$5+7),"◆",""),IF(AND($D119&lt;AR$5+7,$E119&gt;AR$5),"■","")))</x:f>
      </x:c>
      <x:c r="AS119" s="7" t="str">
        <x:f>IF(OR($D119="",AS$5="",'상세일정'!AM119="제외"),"",IF($D119=$E119,IF(AND($D119&gt;=AS$5,$D119&lt;AS$5+7),"◆",""),IF(AND($D119&lt;AS$5+7,$E119&gt;AS$5),"■","")))</x:f>
      </x:c>
      <x:c r="AT119" s="7" t="str">
        <x:f>IF(OR($D119="",AT$5="",'상세일정'!AM119="제외"),"",IF($D119=$E119,IF(AND($D119&gt;=AT$5,$D119&lt;AT$5+7),"◆",""),IF(AND($D119&lt;AT$5+7,$E119&gt;AT$5),"■","")))</x:f>
      </x:c>
      <x:c r="AU119" s="7" t="str">
        <x:f>IF(OR($D119="",AU$5="",'상세일정'!AM119="제외"),"",IF($D119=$E119,IF(AND($D119&gt;=AU$5,$D119&lt;AU$5+7),"◆",""),IF(AND($D119&lt;AU$5+7,$E119&gt;AU$5),"■","")))</x:f>
      </x:c>
      <x:c r="AV119" s="7" t="str">
        <x:f>IF(OR($D119="",AV$5="",'상세일정'!AM119="제외"),"",IF($D119=$E119,IF(AND($D119&gt;=AV$5,$D119&lt;AV$5+7),"◆",""),IF(AND($D119&lt;AV$5+7,$E119&gt;AV$5),"■","")))</x:f>
      </x:c>
      <x:c r="AW119" s="7" t="str">
        <x:f>IF(OR($D119="",AW$5="",'상세일정'!AM119="제외"),"",IF($D119=$E119,IF(AND($D119&gt;=AW$5,$D119&lt;AW$5+7),"◆",""),IF(AND($D119&lt;AW$5+7,$E119&gt;AW$5),"■","")))</x:f>
      </x:c>
      <x:c r="AX119" s="7" t="str">
        <x:f>IF(OR($D119="",AX$5="",'상세일정'!AM119="제외"),"",IF($D119=$E119,IF(AND($D119&gt;=AX$5,$D119&lt;AX$5+7),"◆",""),IF(AND($D119&lt;AX$5+7,$E119&gt;AX$5),"■","")))</x:f>
      </x:c>
      <x:c r="AY119" s="7" t="str">
        <x:f>IF(OR($D119="",AY$5="",'상세일정'!AM119="제외"),"",IF($D119=$E119,IF(AND($D119&gt;=AY$5,$D119&lt;AY$5+7),"◆",""),IF(AND($D119&lt;AY$5+7,$E119&gt;AY$5),"■","")))</x:f>
      </x:c>
      <x:c r="AZ119" s="7" t="str">
        <x:f>IF(OR($D119="",AZ$5="",'상세일정'!AM119="제외"),"",IF($D119=$E119,IF(AND($D119&gt;=AZ$5,$D119&lt;AZ$5+7),"◆",""),IF(AND($D119&lt;AZ$5+7,$E119&gt;AZ$5),"■","")))</x:f>
      </x:c>
      <x:c r="BA119" s="7" t="str">
        <x:f>IF(OR($D119="",BA$5="",'상세일정'!AM119="제외"),"",IF($D119=$E119,IF(AND($D119&gt;=BA$5,$D119&lt;BA$5+7),"◆",""),IF(AND($D119&lt;BA$5+7,$E119&gt;BA$5),"■","")))</x:f>
      </x:c>
      <x:c r="BB119" s="7" t="str">
        <x:f>IF(OR($D119="",BB$5="",'상세일정'!AM119="제외"),"",IF($D119=$E119,IF(AND($D119&gt;=BB$5,$D119&lt;BB$5+7),"◆",""),IF(AND($D119&lt;BB$5+7,$E119&gt;BB$5),"■","")))</x:f>
      </x:c>
      <x:c r="BC119" s="7" t="str">
        <x:f>IF(OR($D119="",BC$5="",'상세일정'!AM119="제외"),"",IF($D119=$E119,IF(AND($D119&gt;=BC$5,$D119&lt;BC$5+7),"◆",""),IF(AND($D119&lt;BC$5+7,$E119&gt;BC$5),"■","")))</x:f>
      </x:c>
      <x:c r="BD119" s="7" t="str">
        <x:f>IF(OR($D119="",BD$5="",'상세일정'!AM119="제외"),"",IF($D119=$E119,IF(AND($D119&gt;=BD$5,$D119&lt;BD$5+7),"◆",""),IF(AND($D119&lt;BD$5+7,$E119&gt;BD$5),"■","")))</x:f>
      </x:c>
      <x:c r="BE119" s="7" t="str">
        <x:f>IF(OR($D119="",BE$5="",'상세일정'!AM119="제외"),"",IF($D119=$E119,IF(AND($D119&gt;=BE$5,$D119&lt;BE$5+7),"◆",""),IF(AND($D119&lt;BE$5+7,$E119&gt;BE$5),"■","")))</x:f>
      </x:c>
      <x:c r="BF119" s="7" t="str">
        <x:f>IF(OR($D119="",BF$5="",'상세일정'!AM119="제외"),"",IF($D119=$E119,IF(AND($D119&gt;=BF$5,$D119&lt;BF$5+7),"◆",""),IF(AND($D119&lt;BF$5+7,$E119&gt;BF$5),"■","")))</x:f>
      </x:c>
      <x:c r="BG119" s="7" t="str">
        <x:f>IF(OR($D119="",BG$5="",'상세일정'!AM119="제외"),"",IF($D119=$E119,IF(AND($D119&gt;=BG$5,$D119&lt;BG$5+7),"◆",""),IF(AND($D119&lt;BG$5+7,$E119&gt;BG$5),"■","")))</x:f>
      </x:c>
      <x:c r="BH119" s="7" t="str">
        <x:f>IF(OR($D119="",BH$5="",'상세일정'!AM119="제외"),"",IF($D119=$E119,IF(AND($D119&gt;=BH$5,$D119&lt;BH$5+7),"◆",""),IF(AND($D119&lt;BH$5+7,$E119&gt;BH$5),"■","")))</x:f>
      </x:c>
      <x:c r="BI119" s="7" t="str">
        <x:f>IF(OR($D119="",BI$5="",'상세일정'!AM119="제외"),"",IF($D119=$E119,IF(AND($D119&gt;=BI$5,$D119&lt;BI$5+7),"◆",""),IF(AND($D119&lt;BI$5+7,$E119&gt;BI$5),"■","")))</x:f>
      </x:c>
      <x:c r="BJ119" s="7" t="str">
        <x:f>IF(OR($D119="",BJ$5="",'상세일정'!AM119="제외"),"",IF($D119=$E119,IF(AND($D119&gt;=BJ$5,$D119&lt;BJ$5+7),"◆",""),IF(AND($D119&lt;BJ$5+7,$E119&gt;BJ$5),"■","")))</x:f>
      </x:c>
      <x:c r="BK119" s="7" t="str">
        <x:f>IF(OR($D119="",BK$5="",'상세일정'!AM119="제외"),"",IF($D119=$E119,IF(AND($D119&gt;=BK$5,$D119&lt;BK$5+7),"◆",""),IF(AND($D119&lt;BK$5+7,$E119&gt;BK$5),"■","")))</x:f>
      </x:c>
      <x:c r="BL119" s="7" t="str">
        <x:f>IF(OR($D119="",BL$5="",'상세일정'!AM119="제외"),"",IF($D119=$E119,IF(AND($D119&gt;=BL$5,$D119&lt;BL$5+7),"◆",""),IF(AND($D119&lt;BL$5+7,$E119&gt;BL$5),"■","")))</x:f>
      </x:c>
      <x:c r="BM119" s="7" t="str">
        <x:f>IF(OR($D119="",BM$5="",'상세일정'!AM119="제외"),"",IF($D119=$E119,IF(AND($D119&gt;=BM$5,$D119&lt;BM$5+7),"◆",""),IF(AND($D119&lt;BM$5+7,$E119&gt;BM$5),"■","")))</x:f>
      </x:c>
      <x:c r="BN119" s="7" t="str">
        <x:f>IF(OR($D119="",BN$5="",'상세일정'!AM119="제외"),"",IF($D119=$E119,IF(AND($D119&gt;=BN$5,$D119&lt;BN$5+7),"◆",""),IF(AND($D119&lt;BN$5+7,$E119&gt;BN$5),"■","")))</x:f>
      </x:c>
      <x:c r="BO119" s="7" t="str">
        <x:f>IF(OR($D119="",BO$5="",'상세일정'!AM119="제외"),"",IF($D119=$E119,IF(AND($D119&gt;=BO$5,$D119&lt;BO$5+7),"◆",""),IF(AND($D119&lt;BO$5+7,$E119&gt;BO$5),"■","")))</x:f>
      </x:c>
      <x:c r="BP119" s="7" t="str">
        <x:f>IF(OR($D119="",BP$5="",'상세일정'!AM119="제외"),"",IF($D119=$E119,IF(AND($D119&gt;=BP$5,$D119&lt;BP$5+7),"◆",""),IF(AND($D119&lt;BP$5+7,$E119&gt;BP$5),"■","")))</x:f>
      </x:c>
      <x:c r="BQ119" s="7" t="str">
        <x:f>IF(OR($D119="",BQ$5="",'상세일정'!AM119="제외"),"",IF($D119=$E119,IF(AND($D119&gt;=BQ$5,$D119&lt;BQ$5+7),"◆",""),IF(AND($D119&lt;BQ$5+7,$E119&gt;BQ$5),"■","")))</x:f>
      </x:c>
      <x:c r="BR119" s="7" t="str">
        <x:f>IF(OR($D119="",BR$5="",'상세일정'!AM119="제외"),"",IF($D119=$E119,IF(AND($D119&gt;=BR$5,$D119&lt;BR$5+7),"◆",""),IF(AND($D119&lt;BR$5+7,$E119&gt;BR$5),"■","")))</x:f>
      </x:c>
      <x:c r="BS119" s="7" t="str">
        <x:f>IF(OR($D119="",BS$5="",'상세일정'!AM119="제외"),"",IF($D119=$E119,IF(AND($D119&gt;=BS$5,$D119&lt;BS$5+7),"◆",""),IF(AND($D119&lt;BS$5+7,$E119&gt;BS$5),"■","")))</x:f>
      </x:c>
      <x:c r="BT119" s="7" t="str">
        <x:f>IF(OR($D119="",BT$5="",'상세일정'!AM119="제외"),"",IF($D119=$E119,IF(AND($D119&gt;=BT$5,$D119&lt;BT$5+7),"◆",""),IF(AND($D119&lt;BT$5+7,$E119&gt;BT$5),"■","")))</x:f>
      </x:c>
      <x:c r="BU119" s="7" t="str">
        <x:f>IF(OR($D119="",BU$5="",'상세일정'!AM119="제외"),"",IF($D119=$E119,IF(AND($D119&gt;=BU$5,$D119&lt;BU$5+7),"◆",""),IF(AND($D119&lt;BU$5+7,$E119&gt;BU$5),"■","")))</x:f>
      </x:c>
      <x:c r="BV119" s="7" t="str">
        <x:f>IF(OR($D119="",BV$5="",'상세일정'!AM119="제외"),"",IF($D119=$E119,IF(AND($D119&gt;=BV$5,$D119&lt;BV$5+7),"◆",""),IF(AND($D119&lt;BV$5+7,$E119&gt;BV$5),"■","")))</x:f>
      </x:c>
      <x:c r="BW119" s="7" t="str">
        <x:f>IF(OR($D119="",BW$5="",'상세일정'!AM119="제외"),"",IF($D119=$E119,IF(AND($D119&gt;=BW$5,$D119&lt;BW$5+7),"◆",""),IF(AND($D119&lt;BW$5+7,$E119&gt;BW$5),"■","")))</x:f>
      </x:c>
      <x:c r="BX119" s="7" t="str">
        <x:f>IF(OR($D119="",BX$5="",'상세일정'!AM119="제외"),"",IF($D119=$E119,IF(AND($D119&gt;=BX$5,$D119&lt;BX$5+7),"◆",""),IF(AND($D119&lt;BX$5+7,$E119&gt;BX$5),"■","")))</x:f>
      </x:c>
      <x:c r="BY119" s="7" t="str">
        <x:f>IF(OR($D119="",BY$5="",'상세일정'!AM119="제외"),"",IF($D119=$E119,IF(AND($D119&gt;=BY$5,$D119&lt;BY$5+7),"◆",""),IF(AND($D119&lt;BY$5+7,$E119&gt;BY$5),"■","")))</x:f>
      </x:c>
      <x:c r="BZ119" s="7" t="str">
        <x:f>IF(OR($D119="",BZ$5="",'상세일정'!AM119="제외"),"",IF($D119=$E119,IF(AND($D119&gt;=BZ$5,$D119&lt;BZ$5+7),"◆",""),IF(AND($D119&lt;BZ$5+7,$E119&gt;BZ$5),"■","")))</x:f>
      </x:c>
      <x:c r="CA119" s="7" t="str">
        <x:f>IF(OR($D119="",CA$5="",'상세일정'!AM119="제외"),"",IF($D119=$E119,IF(AND($D119&gt;=CA$5,$D119&lt;CA$5+7),"◆",""),IF(AND($D119&lt;CA$5+7,$E119&gt;CA$5),"■","")))</x:f>
      </x:c>
      <x:c r="CB119" s="7" t="str">
        <x:f>IF(OR($D119="",CB$5="",'상세일정'!AM119="제외"),"",IF($D119=$E119,IF(AND($D119&gt;=CB$5,$D119&lt;CB$5+7),"◆",""),IF(AND($D119&lt;CB$5+7,$E119&gt;CB$5),"■","")))</x:f>
      </x:c>
      <x:c r="CC119" s="7" t="str">
        <x:f>IF(OR($D119="",CC$5="",'상세일정'!AM119="제외"),"",IF($D119=$E119,IF(AND($D119&gt;=CC$5,$D119&lt;CC$5+7),"◆",""),IF(AND($D119&lt;CC$5+7,$E119&gt;CC$5),"■","")))</x:f>
      </x:c>
      <x:c r="CD119" s="7" t="str">
        <x:f>IF(OR($D119="",CD$5="",'상세일정'!AM119="제외"),"",IF($D119=$E119,IF(AND($D119&gt;=CD$5,$D119&lt;CD$5+7),"◆",""),IF(AND($D119&lt;CD$5+7,$E119&gt;CD$5),"■","")))</x:f>
      </x:c>
      <x:c r="CE119" s="7" t="str">
        <x:f>IF(OR($D119="",CE$5="",'상세일정'!AM119="제외"),"",IF($D119=$E119,IF(AND($D119&gt;=CE$5,$D119&lt;CE$5+7),"◆",""),IF(AND($D119&lt;CE$5+7,$E119&gt;CE$5),"■","")))</x:f>
      </x:c>
      <x:c r="CF119" s="7" t="str">
        <x:f>IF(OR($D119="",CF$5="",'상세일정'!AM119="제외"),"",IF($D119=$E119,IF(AND($D119&gt;=CF$5,$D119&lt;CF$5+7),"◆",""),IF(AND($D119&lt;CF$5+7,$E119&gt;CF$5),"■","")))</x:f>
      </x:c>
      <x:c r="CG119" s="7" t="str">
        <x:f>IF(OR($D119="",CG$5="",'상세일정'!AM119="제외"),"",IF($D119=$E119,IF(AND($D119&gt;=CG$5,$D119&lt;CG$5+7),"◆",""),IF(AND($D119&lt;CG$5+7,$E119&gt;CG$5),"■","")))</x:f>
      </x:c>
      <x:c r="CH119" s="7" t="str">
        <x:f>IF(OR($D119="",CH$5="",'상세일정'!AM119="제외"),"",IF($D119=$E119,IF(AND($D119&gt;=CH$5,$D119&lt;CH$5+7),"◆",""),IF(AND($D119&lt;CH$5+7,$E119&gt;CH$5),"■","")))</x:f>
      </x:c>
      <x:c r="CI119" s="7" t="str">
        <x:f>IF(OR($D119="",CI$5="",'상세일정'!AM119="제외"),"",IF($D119=$E119,IF(AND($D119&gt;=CI$5,$D119&lt;CI$5+7),"◆",""),IF(AND($D119&lt;CI$5+7,$E119&gt;CI$5),"■","")))</x:f>
      </x:c>
      <x:c r="CJ119" s="7" t="str">
        <x:f>IF(OR($D119="",CJ$5="",'상세일정'!AM119="제외"),"",IF($D119=$E119,IF(AND($D119&gt;=CJ$5,$D119&lt;CJ$5+7),"◆",""),IF(AND($D119&lt;CJ$5+7,$E119&gt;CJ$5),"■","")))</x:f>
      </x:c>
      <x:c r="CK119" s="7" t="str">
        <x:f>IF(OR($D119="",CK$5="",'상세일정'!AM119="제외"),"",IF($D119=$E119,IF(AND($D119&gt;=CK$5,$D119&lt;CK$5+7),"◆",""),IF(AND($D119&lt;CK$5+7,$E119&gt;CK$5),"■","")))</x:f>
      </x:c>
      <x:c r="CL119" s="7" t="str">
        <x:f>IF(OR($D119="",CL$5="",'상세일정'!AM119="제외"),"",IF($D119=$E119,IF(AND($D119&gt;=CL$5,$D119&lt;CL$5+7),"◆",""),IF(AND($D119&lt;CL$5+7,$E119&gt;CL$5),"■","")))</x:f>
      </x:c>
      <x:c r="CM119" s="7" t="str">
        <x:f>IF(OR($D119="",CM$5="",'상세일정'!AM119="제외"),"",IF($D119=$E119,IF(AND($D119&gt;=CM$5,$D119&lt;CM$5+7),"◆",""),IF(AND($D119&lt;CM$5+7,$E119&gt;CM$5),"■","")))</x:f>
      </x:c>
      <x:c r="CN119" s="7" t="str">
        <x:f>IF(OR($D119="",CN$5="",'상세일정'!AM119="제외"),"",IF($D119=$E119,IF(AND($D119&gt;=CN$5,$D119&lt;CN$5+7),"◆",""),IF(AND($D119&lt;CN$5+7,$E119&gt;CN$5),"■","")))</x:f>
      </x:c>
      <x:c r="CO119" s="7" t="str">
        <x:f>IF(OR($D119="",CO$5="",'상세일정'!AM119="제외"),"",IF($D119=$E119,IF(AND($D119&gt;=CO$5,$D119&lt;CO$5+7),"◆",""),IF(AND($D119&lt;CO$5+7,$E119&gt;CO$5),"■","")))</x:f>
      </x:c>
      <x:c r="CP119" s="7" t="str">
        <x:f>IF(OR($D119="",CP$5="",'상세일정'!AM119="제외"),"",IF($D119=$E119,IF(AND($D119&gt;=CP$5,$D119&lt;CP$5+7),"◆",""),IF(AND($D119&lt;CP$5+7,$E119&gt;CP$5),"■","")))</x:f>
      </x:c>
      <x:c r="CQ119" s="7" t="str">
        <x:f>IF(OR($D119="",CQ$5="",'상세일정'!AM119="제외"),"",IF($D119=$E119,IF(AND($D119&gt;=CQ$5,$D119&lt;CQ$5+7),"◆",""),IF(AND($D119&lt;CQ$5+7,$E119&gt;CQ$5),"■","")))</x:f>
      </x:c>
      <x:c r="CR119" s="7" t="str">
        <x:f>IF(OR($D119="",CR$5="",'상세일정'!AM119="제외"),"",IF($D119=$E119,IF(AND($D119&gt;=CR$5,$D119&lt;CR$5+7),"◆",""),IF(AND($D119&lt;CR$5+7,$E119&gt;CR$5),"■","")))</x:f>
      </x:c>
      <x:c r="CS119" s="7" t="str">
        <x:f>IF(OR($D119="",CS$5="",'상세일정'!AM119="제외"),"",IF($D119=$E119,IF(AND($D119&gt;=CS$5,$D119&lt;CS$5+7),"◆",""),IF(AND($D119&lt;CS$5+7,$E119&gt;CS$5),"■","")))</x:f>
      </x:c>
      <x:c r="CT119" s="7" t="str">
        <x:f>IF(OR($D119="",CT$5="",'상세일정'!AM119="제외"),"",IF($D119=$E119,IF(AND($D119&gt;=CT$5,$D119&lt;CT$5+7),"◆",""),IF(AND($D119&lt;CT$5+7,$E119&gt;CT$5),"■","")))</x:f>
      </x:c>
      <x:c r="CU119" s="7" t="str">
        <x:f>IF(OR($D119="",CU$5="",'상세일정'!AM119="제외"),"",IF($D119=$E119,IF(AND($D119&gt;=CU$5,$D119&lt;CU$5+7),"◆",""),IF(AND($D119&lt;CU$5+7,$E119&gt;CU$5),"■","")))</x:f>
      </x:c>
      <x:c r="CV119" s="7" t="str">
        <x:f>IF(OR($D119="",CV$5="",'상세일정'!AM119="제외"),"",IF($D119=$E119,IF(AND($D119&gt;=CV$5,$D119&lt;CV$5+7),"◆",""),IF(AND($D119&lt;CV$5+7,$E119&gt;CV$5),"■","")))</x:f>
      </x:c>
      <x:c r="CW119" s="7" t="str">
        <x:f>IF(OR($D119="",CW$5="",'상세일정'!AM119="제외"),"",IF($D119=$E119,IF(AND($D119&gt;=CW$5,$D119&lt;CW$5+7),"◆",""),IF(AND($D119&lt;CW$5+7,$E119&gt;CW$5),"■","")))</x:f>
      </x:c>
      <x:c r="CX119" s="7" t="str">
        <x:f>IF(OR($D119="",CX$5="",'상세일정'!AM119="제외"),"",IF($D119=$E119,IF(AND($D119&gt;=CX$5,$D119&lt;CX$5+7),"◆",""),IF(AND($D119&lt;CX$5+7,$E119&gt;CX$5),"■","")))</x:f>
      </x:c>
      <x:c r="CY119" s="7" t="str">
        <x:f>IF(OR($D119="",CY$5="",'상세일정'!AM119="제외"),"",IF($D119=$E119,IF(AND($D119&gt;=CY$5,$D119&lt;CY$5+7),"◆",""),IF(AND($D119&lt;CY$5+7,$E119&gt;CY$5),"■","")))</x:f>
      </x:c>
      <x:c r="CZ119" s="7" t="str">
        <x:f>IF(OR($D119="",CZ$5="",'상세일정'!AM119="제외"),"",IF($D119=$E119,IF(AND($D119&gt;=CZ$5,$D119&lt;CZ$5+7),"◆",""),IF(AND($D119&lt;CZ$5+7,$E119&gt;CZ$5),"■","")))</x:f>
      </x:c>
      <x:c r="DA119" s="7" t="str">
        <x:f>IF(OR($D119="",DA$5="",'상세일정'!AM119="제외"),"",IF($D119=$E119,IF(AND($D119&gt;=DA$5,$D119&lt;DA$5+7),"◆",""),IF(AND($D119&lt;DA$5+7,$E119&gt;DA$5),"■","")))</x:f>
      </x:c>
      <x:c r="DB119" s="7" t="str">
        <x:f>IF(OR($D119="",DB$5="",'상세일정'!AM119="제외"),"",IF($D119=$E119,IF(AND($D119&gt;=DB$5,$D119&lt;DB$5+7),"◆",""),IF(AND($D119&lt;DB$5+7,$E119&gt;DB$5),"■","")))</x:f>
      </x:c>
      <x:c r="DC119" s="7" t="str">
        <x:f>IF(OR($D119="",DC$5="",'상세일정'!AM119="제외"),"",IF($D119=$E119,IF(AND($D119&gt;=DC$5,$D119&lt;DC$5+7),"◆",""),IF(AND($D119&lt;DC$5+7,$E119&gt;DC$5),"■","")))</x:f>
      </x:c>
      <x:c r="DD119" s="7" t="str">
        <x:f>IF(OR($D119="",DD$5="",'상세일정'!AM119="제외"),"",IF($D119=$E119,IF(AND($D119&gt;=DD$5,$D119&lt;DD$5+7),"◆",""),IF(AND($D119&lt;DD$5+7,$E119&gt;DD$5),"■","")))</x:f>
      </x:c>
      <x:c r="DE119" s="7" t="str">
        <x:f>IF(OR($D119="",DE$5="",'상세일정'!AM119="제외"),"",IF($D119=$E119,IF(AND($D119&gt;=DE$5,$D119&lt;DE$5+7),"◆",""),IF(AND($D119&lt;DE$5+7,$E119&gt;DE$5),"■","")))</x:f>
      </x:c>
    </x:row>
    <x:row r="120" ht="34" customHeight="1">
      <x:c r="A120" s="7" t="str">
        <x:v>BG06</x:v>
      </x:c>
      <x:c r="B120" s="7" t="str">
        <x:v>16 기자재 구매·제작</x:v>
      </x:c>
      <x:c r="C120" s="7" t="str">
        <x:v>전처리 패키지 B FAT 입회·지적사항 조치</x:v>
      </x:c>
      <x:c r="D120" s="10" t="str">
        <x:f>'상세일정'!AJ120</x:f>
      </x:c>
      <x:c r="E120" s="10" t="str">
        <x:f>'상세일정'!AK120</x:f>
      </x:c>
      <x:c r="F120" s="7" t="str">
        <x:f>IF(OR($D120="",F$5="",'상세일정'!AM120="제외"),"",IF($D120=$E120,IF(AND($D120&gt;=F$5,$D120&lt;F$5+7),"◆",""),IF(AND($D120&lt;F$5+7,$E120&gt;F$5),"■","")))</x:f>
      </x:c>
      <x:c r="G120" s="7" t="str">
        <x:f>IF(OR($D120="",G$5="",'상세일정'!AM120="제외"),"",IF($D120=$E120,IF(AND($D120&gt;=G$5,$D120&lt;G$5+7),"◆",""),IF(AND($D120&lt;G$5+7,$E120&gt;G$5),"■","")))</x:f>
      </x:c>
      <x:c r="H120" s="7" t="str">
        <x:f>IF(OR($D120="",H$5="",'상세일정'!AM120="제외"),"",IF($D120=$E120,IF(AND($D120&gt;=H$5,$D120&lt;H$5+7),"◆",""),IF(AND($D120&lt;H$5+7,$E120&gt;H$5),"■","")))</x:f>
      </x:c>
      <x:c r="I120" s="7" t="str">
        <x:f>IF(OR($D120="",I$5="",'상세일정'!AM120="제외"),"",IF($D120=$E120,IF(AND($D120&gt;=I$5,$D120&lt;I$5+7),"◆",""),IF(AND($D120&lt;I$5+7,$E120&gt;I$5),"■","")))</x:f>
      </x:c>
      <x:c r="J120" s="7" t="str">
        <x:f>IF(OR($D120="",J$5="",'상세일정'!AM120="제외"),"",IF($D120=$E120,IF(AND($D120&gt;=J$5,$D120&lt;J$5+7),"◆",""),IF(AND($D120&lt;J$5+7,$E120&gt;J$5),"■","")))</x:f>
      </x:c>
      <x:c r="K120" s="7" t="str">
        <x:f>IF(OR($D120="",K$5="",'상세일정'!AM120="제외"),"",IF($D120=$E120,IF(AND($D120&gt;=K$5,$D120&lt;K$5+7),"◆",""),IF(AND($D120&lt;K$5+7,$E120&gt;K$5),"■","")))</x:f>
      </x:c>
      <x:c r="L120" s="7" t="str">
        <x:f>IF(OR($D120="",L$5="",'상세일정'!AM120="제외"),"",IF($D120=$E120,IF(AND($D120&gt;=L$5,$D120&lt;L$5+7),"◆",""),IF(AND($D120&lt;L$5+7,$E120&gt;L$5),"■","")))</x:f>
      </x:c>
      <x:c r="M120" s="7" t="str">
        <x:f>IF(OR($D120="",M$5="",'상세일정'!AM120="제외"),"",IF($D120=$E120,IF(AND($D120&gt;=M$5,$D120&lt;M$5+7),"◆",""),IF(AND($D120&lt;M$5+7,$E120&gt;M$5),"■","")))</x:f>
      </x:c>
      <x:c r="N120" s="7" t="str">
        <x:f>IF(OR($D120="",N$5="",'상세일정'!AM120="제외"),"",IF($D120=$E120,IF(AND($D120&gt;=N$5,$D120&lt;N$5+7),"◆",""),IF(AND($D120&lt;N$5+7,$E120&gt;N$5),"■","")))</x:f>
      </x:c>
      <x:c r="O120" s="7" t="str">
        <x:f>IF(OR($D120="",O$5="",'상세일정'!AM120="제외"),"",IF($D120=$E120,IF(AND($D120&gt;=O$5,$D120&lt;O$5+7),"◆",""),IF(AND($D120&lt;O$5+7,$E120&gt;O$5),"■","")))</x:f>
      </x:c>
      <x:c r="P120" s="7" t="str">
        <x:f>IF(OR($D120="",P$5="",'상세일정'!AM120="제외"),"",IF($D120=$E120,IF(AND($D120&gt;=P$5,$D120&lt;P$5+7),"◆",""),IF(AND($D120&lt;P$5+7,$E120&gt;P$5),"■","")))</x:f>
      </x:c>
      <x:c r="Q120" s="7" t="str">
        <x:f>IF(OR($D120="",Q$5="",'상세일정'!AM120="제외"),"",IF($D120=$E120,IF(AND($D120&gt;=Q$5,$D120&lt;Q$5+7),"◆",""),IF(AND($D120&lt;Q$5+7,$E120&gt;Q$5),"■","")))</x:f>
      </x:c>
      <x:c r="R120" s="7" t="str">
        <x:f>IF(OR($D120="",R$5="",'상세일정'!AM120="제외"),"",IF($D120=$E120,IF(AND($D120&gt;=R$5,$D120&lt;R$5+7),"◆",""),IF(AND($D120&lt;R$5+7,$E120&gt;R$5),"■","")))</x:f>
      </x:c>
      <x:c r="S120" s="7" t="str">
        <x:f>IF(OR($D120="",S$5="",'상세일정'!AM120="제외"),"",IF($D120=$E120,IF(AND($D120&gt;=S$5,$D120&lt;S$5+7),"◆",""),IF(AND($D120&lt;S$5+7,$E120&gt;S$5),"■","")))</x:f>
      </x:c>
      <x:c r="T120" s="7" t="str">
        <x:f>IF(OR($D120="",T$5="",'상세일정'!AM120="제외"),"",IF($D120=$E120,IF(AND($D120&gt;=T$5,$D120&lt;T$5+7),"◆",""),IF(AND($D120&lt;T$5+7,$E120&gt;T$5),"■","")))</x:f>
      </x:c>
      <x:c r="U120" s="7" t="str">
        <x:f>IF(OR($D120="",U$5="",'상세일정'!AM120="제외"),"",IF($D120=$E120,IF(AND($D120&gt;=U$5,$D120&lt;U$5+7),"◆",""),IF(AND($D120&lt;U$5+7,$E120&gt;U$5),"■","")))</x:f>
      </x:c>
      <x:c r="V120" s="7" t="str">
        <x:f>IF(OR($D120="",V$5="",'상세일정'!AM120="제외"),"",IF($D120=$E120,IF(AND($D120&gt;=V$5,$D120&lt;V$5+7),"◆",""),IF(AND($D120&lt;V$5+7,$E120&gt;V$5),"■","")))</x:f>
      </x:c>
      <x:c r="W120" s="7" t="str">
        <x:f>IF(OR($D120="",W$5="",'상세일정'!AM120="제외"),"",IF($D120=$E120,IF(AND($D120&gt;=W$5,$D120&lt;W$5+7),"◆",""),IF(AND($D120&lt;W$5+7,$E120&gt;W$5),"■","")))</x:f>
      </x:c>
      <x:c r="X120" s="7" t="str">
        <x:f>IF(OR($D120="",X$5="",'상세일정'!AM120="제외"),"",IF($D120=$E120,IF(AND($D120&gt;=X$5,$D120&lt;X$5+7),"◆",""),IF(AND($D120&lt;X$5+7,$E120&gt;X$5),"■","")))</x:f>
      </x:c>
      <x:c r="Y120" s="7" t="str">
        <x:f>IF(OR($D120="",Y$5="",'상세일정'!AM120="제외"),"",IF($D120=$E120,IF(AND($D120&gt;=Y$5,$D120&lt;Y$5+7),"◆",""),IF(AND($D120&lt;Y$5+7,$E120&gt;Y$5),"■","")))</x:f>
      </x:c>
      <x:c r="Z120" s="7" t="str">
        <x:f>IF(OR($D120="",Z$5="",'상세일정'!AM120="제외"),"",IF($D120=$E120,IF(AND($D120&gt;=Z$5,$D120&lt;Z$5+7),"◆",""),IF(AND($D120&lt;Z$5+7,$E120&gt;Z$5),"■","")))</x:f>
      </x:c>
      <x:c r="AA120" s="7" t="str">
        <x:f>IF(OR($D120="",AA$5="",'상세일정'!AM120="제외"),"",IF($D120=$E120,IF(AND($D120&gt;=AA$5,$D120&lt;AA$5+7),"◆",""),IF(AND($D120&lt;AA$5+7,$E120&gt;AA$5),"■","")))</x:f>
      </x:c>
      <x:c r="AB120" s="7" t="str">
        <x:f>IF(OR($D120="",AB$5="",'상세일정'!AM120="제외"),"",IF($D120=$E120,IF(AND($D120&gt;=AB$5,$D120&lt;AB$5+7),"◆",""),IF(AND($D120&lt;AB$5+7,$E120&gt;AB$5),"■","")))</x:f>
      </x:c>
      <x:c r="AC120" s="7" t="str">
        <x:f>IF(OR($D120="",AC$5="",'상세일정'!AM120="제외"),"",IF($D120=$E120,IF(AND($D120&gt;=AC$5,$D120&lt;AC$5+7),"◆",""),IF(AND($D120&lt;AC$5+7,$E120&gt;AC$5),"■","")))</x:f>
      </x:c>
      <x:c r="AD120" s="7" t="str">
        <x:f>IF(OR($D120="",AD$5="",'상세일정'!AM120="제외"),"",IF($D120=$E120,IF(AND($D120&gt;=AD$5,$D120&lt;AD$5+7),"◆",""),IF(AND($D120&lt;AD$5+7,$E120&gt;AD$5),"■","")))</x:f>
      </x:c>
      <x:c r="AE120" s="7" t="str">
        <x:f>IF(OR($D120="",AE$5="",'상세일정'!AM120="제외"),"",IF($D120=$E120,IF(AND($D120&gt;=AE$5,$D120&lt;AE$5+7),"◆",""),IF(AND($D120&lt;AE$5+7,$E120&gt;AE$5),"■","")))</x:f>
      </x:c>
      <x:c r="AF120" s="7" t="str">
        <x:f>IF(OR($D120="",AF$5="",'상세일정'!AM120="제외"),"",IF($D120=$E120,IF(AND($D120&gt;=AF$5,$D120&lt;AF$5+7),"◆",""),IF(AND($D120&lt;AF$5+7,$E120&gt;AF$5),"■","")))</x:f>
      </x:c>
      <x:c r="AG120" s="7" t="str">
        <x:f>IF(OR($D120="",AG$5="",'상세일정'!AM120="제외"),"",IF($D120=$E120,IF(AND($D120&gt;=AG$5,$D120&lt;AG$5+7),"◆",""),IF(AND($D120&lt;AG$5+7,$E120&gt;AG$5),"■","")))</x:f>
      </x:c>
      <x:c r="AH120" s="7" t="str">
        <x:f>IF(OR($D120="",AH$5="",'상세일정'!AM120="제외"),"",IF($D120=$E120,IF(AND($D120&gt;=AH$5,$D120&lt;AH$5+7),"◆",""),IF(AND($D120&lt;AH$5+7,$E120&gt;AH$5),"■","")))</x:f>
      </x:c>
      <x:c r="AI120" s="7" t="str">
        <x:f>IF(OR($D120="",AI$5="",'상세일정'!AM120="제외"),"",IF($D120=$E120,IF(AND($D120&gt;=AI$5,$D120&lt;AI$5+7),"◆",""),IF(AND($D120&lt;AI$5+7,$E120&gt;AI$5),"■","")))</x:f>
      </x:c>
      <x:c r="AJ120" s="7" t="str">
        <x:f>IF(OR($D120="",AJ$5="",'상세일정'!AM120="제외"),"",IF($D120=$E120,IF(AND($D120&gt;=AJ$5,$D120&lt;AJ$5+7),"◆",""),IF(AND($D120&lt;AJ$5+7,$E120&gt;AJ$5),"■","")))</x:f>
      </x:c>
      <x:c r="AK120" s="7" t="str">
        <x:f>IF(OR($D120="",AK$5="",'상세일정'!AM120="제외"),"",IF($D120=$E120,IF(AND($D120&gt;=AK$5,$D120&lt;AK$5+7),"◆",""),IF(AND($D120&lt;AK$5+7,$E120&gt;AK$5),"■","")))</x:f>
      </x:c>
      <x:c r="AL120" s="7" t="str">
        <x:f>IF(OR($D120="",AL$5="",'상세일정'!AM120="제외"),"",IF($D120=$E120,IF(AND($D120&gt;=AL$5,$D120&lt;AL$5+7),"◆",""),IF(AND($D120&lt;AL$5+7,$E120&gt;AL$5),"■","")))</x:f>
      </x:c>
      <x:c r="AM120" s="7" t="str">
        <x:f>IF(OR($D120="",AM$5="",'상세일정'!AM120="제외"),"",IF($D120=$E120,IF(AND($D120&gt;=AM$5,$D120&lt;AM$5+7),"◆",""),IF(AND($D120&lt;AM$5+7,$E120&gt;AM$5),"■","")))</x:f>
      </x:c>
      <x:c r="AN120" s="7" t="str">
        <x:f>IF(OR($D120="",AN$5="",'상세일정'!AM120="제외"),"",IF($D120=$E120,IF(AND($D120&gt;=AN$5,$D120&lt;AN$5+7),"◆",""),IF(AND($D120&lt;AN$5+7,$E120&gt;AN$5),"■","")))</x:f>
      </x:c>
      <x:c r="AO120" s="7" t="str">
        <x:f>IF(OR($D120="",AO$5="",'상세일정'!AM120="제외"),"",IF($D120=$E120,IF(AND($D120&gt;=AO$5,$D120&lt;AO$5+7),"◆",""),IF(AND($D120&lt;AO$5+7,$E120&gt;AO$5),"■","")))</x:f>
      </x:c>
      <x:c r="AP120" s="7" t="str">
        <x:f>IF(OR($D120="",AP$5="",'상세일정'!AM120="제외"),"",IF($D120=$E120,IF(AND($D120&gt;=AP$5,$D120&lt;AP$5+7),"◆",""),IF(AND($D120&lt;AP$5+7,$E120&gt;AP$5),"■","")))</x:f>
      </x:c>
      <x:c r="AQ120" s="7" t="str">
        <x:f>IF(OR($D120="",AQ$5="",'상세일정'!AM120="제외"),"",IF($D120=$E120,IF(AND($D120&gt;=AQ$5,$D120&lt;AQ$5+7),"◆",""),IF(AND($D120&lt;AQ$5+7,$E120&gt;AQ$5),"■","")))</x:f>
      </x:c>
      <x:c r="AR120" s="7" t="str">
        <x:f>IF(OR($D120="",AR$5="",'상세일정'!AM120="제외"),"",IF($D120=$E120,IF(AND($D120&gt;=AR$5,$D120&lt;AR$5+7),"◆",""),IF(AND($D120&lt;AR$5+7,$E120&gt;AR$5),"■","")))</x:f>
      </x:c>
      <x:c r="AS120" s="7" t="str">
        <x:f>IF(OR($D120="",AS$5="",'상세일정'!AM120="제외"),"",IF($D120=$E120,IF(AND($D120&gt;=AS$5,$D120&lt;AS$5+7),"◆",""),IF(AND($D120&lt;AS$5+7,$E120&gt;AS$5),"■","")))</x:f>
      </x:c>
      <x:c r="AT120" s="7" t="str">
        <x:f>IF(OR($D120="",AT$5="",'상세일정'!AM120="제외"),"",IF($D120=$E120,IF(AND($D120&gt;=AT$5,$D120&lt;AT$5+7),"◆",""),IF(AND($D120&lt;AT$5+7,$E120&gt;AT$5),"■","")))</x:f>
      </x:c>
      <x:c r="AU120" s="7" t="str">
        <x:f>IF(OR($D120="",AU$5="",'상세일정'!AM120="제외"),"",IF($D120=$E120,IF(AND($D120&gt;=AU$5,$D120&lt;AU$5+7),"◆",""),IF(AND($D120&lt;AU$5+7,$E120&gt;AU$5),"■","")))</x:f>
      </x:c>
      <x:c r="AV120" s="7" t="str">
        <x:f>IF(OR($D120="",AV$5="",'상세일정'!AM120="제외"),"",IF($D120=$E120,IF(AND($D120&gt;=AV$5,$D120&lt;AV$5+7),"◆",""),IF(AND($D120&lt;AV$5+7,$E120&gt;AV$5),"■","")))</x:f>
      </x:c>
      <x:c r="AW120" s="7" t="str">
        <x:f>IF(OR($D120="",AW$5="",'상세일정'!AM120="제외"),"",IF($D120=$E120,IF(AND($D120&gt;=AW$5,$D120&lt;AW$5+7),"◆",""),IF(AND($D120&lt;AW$5+7,$E120&gt;AW$5),"■","")))</x:f>
      </x:c>
      <x:c r="AX120" s="7" t="str">
        <x:f>IF(OR($D120="",AX$5="",'상세일정'!AM120="제외"),"",IF($D120=$E120,IF(AND($D120&gt;=AX$5,$D120&lt;AX$5+7),"◆",""),IF(AND($D120&lt;AX$5+7,$E120&gt;AX$5),"■","")))</x:f>
      </x:c>
      <x:c r="AY120" s="7" t="str">
        <x:f>IF(OR($D120="",AY$5="",'상세일정'!AM120="제외"),"",IF($D120=$E120,IF(AND($D120&gt;=AY$5,$D120&lt;AY$5+7),"◆",""),IF(AND($D120&lt;AY$5+7,$E120&gt;AY$5),"■","")))</x:f>
      </x:c>
      <x:c r="AZ120" s="7" t="str">
        <x:f>IF(OR($D120="",AZ$5="",'상세일정'!AM120="제외"),"",IF($D120=$E120,IF(AND($D120&gt;=AZ$5,$D120&lt;AZ$5+7),"◆",""),IF(AND($D120&lt;AZ$5+7,$E120&gt;AZ$5),"■","")))</x:f>
      </x:c>
      <x:c r="BA120" s="7" t="str">
        <x:f>IF(OR($D120="",BA$5="",'상세일정'!AM120="제외"),"",IF($D120=$E120,IF(AND($D120&gt;=BA$5,$D120&lt;BA$5+7),"◆",""),IF(AND($D120&lt;BA$5+7,$E120&gt;BA$5),"■","")))</x:f>
      </x:c>
      <x:c r="BB120" s="7" t="str">
        <x:f>IF(OR($D120="",BB$5="",'상세일정'!AM120="제외"),"",IF($D120=$E120,IF(AND($D120&gt;=BB$5,$D120&lt;BB$5+7),"◆",""),IF(AND($D120&lt;BB$5+7,$E120&gt;BB$5),"■","")))</x:f>
      </x:c>
      <x:c r="BC120" s="7" t="str">
        <x:f>IF(OR($D120="",BC$5="",'상세일정'!AM120="제외"),"",IF($D120=$E120,IF(AND($D120&gt;=BC$5,$D120&lt;BC$5+7),"◆",""),IF(AND($D120&lt;BC$5+7,$E120&gt;BC$5),"■","")))</x:f>
      </x:c>
      <x:c r="BD120" s="7" t="str">
        <x:f>IF(OR($D120="",BD$5="",'상세일정'!AM120="제외"),"",IF($D120=$E120,IF(AND($D120&gt;=BD$5,$D120&lt;BD$5+7),"◆",""),IF(AND($D120&lt;BD$5+7,$E120&gt;BD$5),"■","")))</x:f>
      </x:c>
      <x:c r="BE120" s="7" t="str">
        <x:f>IF(OR($D120="",BE$5="",'상세일정'!AM120="제외"),"",IF($D120=$E120,IF(AND($D120&gt;=BE$5,$D120&lt;BE$5+7),"◆",""),IF(AND($D120&lt;BE$5+7,$E120&gt;BE$5),"■","")))</x:f>
      </x:c>
      <x:c r="BF120" s="7" t="str">
        <x:f>IF(OR($D120="",BF$5="",'상세일정'!AM120="제외"),"",IF($D120=$E120,IF(AND($D120&gt;=BF$5,$D120&lt;BF$5+7),"◆",""),IF(AND($D120&lt;BF$5+7,$E120&gt;BF$5),"■","")))</x:f>
      </x:c>
      <x:c r="BG120" s="7" t="str">
        <x:f>IF(OR($D120="",BG$5="",'상세일정'!AM120="제외"),"",IF($D120=$E120,IF(AND($D120&gt;=BG$5,$D120&lt;BG$5+7),"◆",""),IF(AND($D120&lt;BG$5+7,$E120&gt;BG$5),"■","")))</x:f>
      </x:c>
      <x:c r="BH120" s="7" t="str">
        <x:f>IF(OR($D120="",BH$5="",'상세일정'!AM120="제외"),"",IF($D120=$E120,IF(AND($D120&gt;=BH$5,$D120&lt;BH$5+7),"◆",""),IF(AND($D120&lt;BH$5+7,$E120&gt;BH$5),"■","")))</x:f>
      </x:c>
      <x:c r="BI120" s="7" t="str">
        <x:f>IF(OR($D120="",BI$5="",'상세일정'!AM120="제외"),"",IF($D120=$E120,IF(AND($D120&gt;=BI$5,$D120&lt;BI$5+7),"◆",""),IF(AND($D120&lt;BI$5+7,$E120&gt;BI$5),"■","")))</x:f>
      </x:c>
      <x:c r="BJ120" s="7" t="str">
        <x:f>IF(OR($D120="",BJ$5="",'상세일정'!AM120="제외"),"",IF($D120=$E120,IF(AND($D120&gt;=BJ$5,$D120&lt;BJ$5+7),"◆",""),IF(AND($D120&lt;BJ$5+7,$E120&gt;BJ$5),"■","")))</x:f>
      </x:c>
      <x:c r="BK120" s="7" t="str">
        <x:f>IF(OR($D120="",BK$5="",'상세일정'!AM120="제외"),"",IF($D120=$E120,IF(AND($D120&gt;=BK$5,$D120&lt;BK$5+7),"◆",""),IF(AND($D120&lt;BK$5+7,$E120&gt;BK$5),"■","")))</x:f>
      </x:c>
      <x:c r="BL120" s="7" t="str">
        <x:f>IF(OR($D120="",BL$5="",'상세일정'!AM120="제외"),"",IF($D120=$E120,IF(AND($D120&gt;=BL$5,$D120&lt;BL$5+7),"◆",""),IF(AND($D120&lt;BL$5+7,$E120&gt;BL$5),"■","")))</x:f>
      </x:c>
      <x:c r="BM120" s="7" t="str">
        <x:f>IF(OR($D120="",BM$5="",'상세일정'!AM120="제외"),"",IF($D120=$E120,IF(AND($D120&gt;=BM$5,$D120&lt;BM$5+7),"◆",""),IF(AND($D120&lt;BM$5+7,$E120&gt;BM$5),"■","")))</x:f>
      </x:c>
      <x:c r="BN120" s="7" t="str">
        <x:f>IF(OR($D120="",BN$5="",'상세일정'!AM120="제외"),"",IF($D120=$E120,IF(AND($D120&gt;=BN$5,$D120&lt;BN$5+7),"◆",""),IF(AND($D120&lt;BN$5+7,$E120&gt;BN$5),"■","")))</x:f>
      </x:c>
      <x:c r="BO120" s="7" t="str">
        <x:f>IF(OR($D120="",BO$5="",'상세일정'!AM120="제외"),"",IF($D120=$E120,IF(AND($D120&gt;=BO$5,$D120&lt;BO$5+7),"◆",""),IF(AND($D120&lt;BO$5+7,$E120&gt;BO$5),"■","")))</x:f>
      </x:c>
      <x:c r="BP120" s="7" t="str">
        <x:f>IF(OR($D120="",BP$5="",'상세일정'!AM120="제외"),"",IF($D120=$E120,IF(AND($D120&gt;=BP$5,$D120&lt;BP$5+7),"◆",""),IF(AND($D120&lt;BP$5+7,$E120&gt;BP$5),"■","")))</x:f>
      </x:c>
      <x:c r="BQ120" s="7" t="str">
        <x:f>IF(OR($D120="",BQ$5="",'상세일정'!AM120="제외"),"",IF($D120=$E120,IF(AND($D120&gt;=BQ$5,$D120&lt;BQ$5+7),"◆",""),IF(AND($D120&lt;BQ$5+7,$E120&gt;BQ$5),"■","")))</x:f>
      </x:c>
      <x:c r="BR120" s="7" t="str">
        <x:f>IF(OR($D120="",BR$5="",'상세일정'!AM120="제외"),"",IF($D120=$E120,IF(AND($D120&gt;=BR$5,$D120&lt;BR$5+7),"◆",""),IF(AND($D120&lt;BR$5+7,$E120&gt;BR$5),"■","")))</x:f>
      </x:c>
      <x:c r="BS120" s="7" t="str">
        <x:f>IF(OR($D120="",BS$5="",'상세일정'!AM120="제외"),"",IF($D120=$E120,IF(AND($D120&gt;=BS$5,$D120&lt;BS$5+7),"◆",""),IF(AND($D120&lt;BS$5+7,$E120&gt;BS$5),"■","")))</x:f>
      </x:c>
      <x:c r="BT120" s="7" t="str">
        <x:f>IF(OR($D120="",BT$5="",'상세일정'!AM120="제외"),"",IF($D120=$E120,IF(AND($D120&gt;=BT$5,$D120&lt;BT$5+7),"◆",""),IF(AND($D120&lt;BT$5+7,$E120&gt;BT$5),"■","")))</x:f>
      </x:c>
      <x:c r="BU120" s="7" t="str">
        <x:f>IF(OR($D120="",BU$5="",'상세일정'!AM120="제외"),"",IF($D120=$E120,IF(AND($D120&gt;=BU$5,$D120&lt;BU$5+7),"◆",""),IF(AND($D120&lt;BU$5+7,$E120&gt;BU$5),"■","")))</x:f>
      </x:c>
      <x:c r="BV120" s="7" t="str">
        <x:f>IF(OR($D120="",BV$5="",'상세일정'!AM120="제외"),"",IF($D120=$E120,IF(AND($D120&gt;=BV$5,$D120&lt;BV$5+7),"◆",""),IF(AND($D120&lt;BV$5+7,$E120&gt;BV$5),"■","")))</x:f>
      </x:c>
      <x:c r="BW120" s="7" t="str">
        <x:f>IF(OR($D120="",BW$5="",'상세일정'!AM120="제외"),"",IF($D120=$E120,IF(AND($D120&gt;=BW$5,$D120&lt;BW$5+7),"◆",""),IF(AND($D120&lt;BW$5+7,$E120&gt;BW$5),"■","")))</x:f>
      </x:c>
      <x:c r="BX120" s="7" t="str">
        <x:f>IF(OR($D120="",BX$5="",'상세일정'!AM120="제외"),"",IF($D120=$E120,IF(AND($D120&gt;=BX$5,$D120&lt;BX$5+7),"◆",""),IF(AND($D120&lt;BX$5+7,$E120&gt;BX$5),"■","")))</x:f>
      </x:c>
      <x:c r="BY120" s="7" t="str">
        <x:f>IF(OR($D120="",BY$5="",'상세일정'!AM120="제외"),"",IF($D120=$E120,IF(AND($D120&gt;=BY$5,$D120&lt;BY$5+7),"◆",""),IF(AND($D120&lt;BY$5+7,$E120&gt;BY$5),"■","")))</x:f>
      </x:c>
      <x:c r="BZ120" s="7" t="str">
        <x:f>IF(OR($D120="",BZ$5="",'상세일정'!AM120="제외"),"",IF($D120=$E120,IF(AND($D120&gt;=BZ$5,$D120&lt;BZ$5+7),"◆",""),IF(AND($D120&lt;BZ$5+7,$E120&gt;BZ$5),"■","")))</x:f>
      </x:c>
      <x:c r="CA120" s="7" t="str">
        <x:f>IF(OR($D120="",CA$5="",'상세일정'!AM120="제외"),"",IF($D120=$E120,IF(AND($D120&gt;=CA$5,$D120&lt;CA$5+7),"◆",""),IF(AND($D120&lt;CA$5+7,$E120&gt;CA$5),"■","")))</x:f>
      </x:c>
      <x:c r="CB120" s="7" t="str">
        <x:f>IF(OR($D120="",CB$5="",'상세일정'!AM120="제외"),"",IF($D120=$E120,IF(AND($D120&gt;=CB$5,$D120&lt;CB$5+7),"◆",""),IF(AND($D120&lt;CB$5+7,$E120&gt;CB$5),"■","")))</x:f>
      </x:c>
      <x:c r="CC120" s="7" t="str">
        <x:f>IF(OR($D120="",CC$5="",'상세일정'!AM120="제외"),"",IF($D120=$E120,IF(AND($D120&gt;=CC$5,$D120&lt;CC$5+7),"◆",""),IF(AND($D120&lt;CC$5+7,$E120&gt;CC$5),"■","")))</x:f>
      </x:c>
      <x:c r="CD120" s="7" t="str">
        <x:f>IF(OR($D120="",CD$5="",'상세일정'!AM120="제외"),"",IF($D120=$E120,IF(AND($D120&gt;=CD$5,$D120&lt;CD$5+7),"◆",""),IF(AND($D120&lt;CD$5+7,$E120&gt;CD$5),"■","")))</x:f>
      </x:c>
      <x:c r="CE120" s="7" t="str">
        <x:f>IF(OR($D120="",CE$5="",'상세일정'!AM120="제외"),"",IF($D120=$E120,IF(AND($D120&gt;=CE$5,$D120&lt;CE$5+7),"◆",""),IF(AND($D120&lt;CE$5+7,$E120&gt;CE$5),"■","")))</x:f>
      </x:c>
      <x:c r="CF120" s="7" t="str">
        <x:f>IF(OR($D120="",CF$5="",'상세일정'!AM120="제외"),"",IF($D120=$E120,IF(AND($D120&gt;=CF$5,$D120&lt;CF$5+7),"◆",""),IF(AND($D120&lt;CF$5+7,$E120&gt;CF$5),"■","")))</x:f>
      </x:c>
      <x:c r="CG120" s="7" t="str">
        <x:f>IF(OR($D120="",CG$5="",'상세일정'!AM120="제외"),"",IF($D120=$E120,IF(AND($D120&gt;=CG$5,$D120&lt;CG$5+7),"◆",""),IF(AND($D120&lt;CG$5+7,$E120&gt;CG$5),"■","")))</x:f>
      </x:c>
      <x:c r="CH120" s="7" t="str">
        <x:f>IF(OR($D120="",CH$5="",'상세일정'!AM120="제외"),"",IF($D120=$E120,IF(AND($D120&gt;=CH$5,$D120&lt;CH$5+7),"◆",""),IF(AND($D120&lt;CH$5+7,$E120&gt;CH$5),"■","")))</x:f>
      </x:c>
      <x:c r="CI120" s="7" t="str">
        <x:f>IF(OR($D120="",CI$5="",'상세일정'!AM120="제외"),"",IF($D120=$E120,IF(AND($D120&gt;=CI$5,$D120&lt;CI$5+7),"◆",""),IF(AND($D120&lt;CI$5+7,$E120&gt;CI$5),"■","")))</x:f>
      </x:c>
      <x:c r="CJ120" s="7" t="str">
        <x:f>IF(OR($D120="",CJ$5="",'상세일정'!AM120="제외"),"",IF($D120=$E120,IF(AND($D120&gt;=CJ$5,$D120&lt;CJ$5+7),"◆",""),IF(AND($D120&lt;CJ$5+7,$E120&gt;CJ$5),"■","")))</x:f>
      </x:c>
      <x:c r="CK120" s="7" t="str">
        <x:f>IF(OR($D120="",CK$5="",'상세일정'!AM120="제외"),"",IF($D120=$E120,IF(AND($D120&gt;=CK$5,$D120&lt;CK$5+7),"◆",""),IF(AND($D120&lt;CK$5+7,$E120&gt;CK$5),"■","")))</x:f>
      </x:c>
      <x:c r="CL120" s="7" t="str">
        <x:f>IF(OR($D120="",CL$5="",'상세일정'!AM120="제외"),"",IF($D120=$E120,IF(AND($D120&gt;=CL$5,$D120&lt;CL$5+7),"◆",""),IF(AND($D120&lt;CL$5+7,$E120&gt;CL$5),"■","")))</x:f>
      </x:c>
      <x:c r="CM120" s="7" t="str">
        <x:f>IF(OR($D120="",CM$5="",'상세일정'!AM120="제외"),"",IF($D120=$E120,IF(AND($D120&gt;=CM$5,$D120&lt;CM$5+7),"◆",""),IF(AND($D120&lt;CM$5+7,$E120&gt;CM$5),"■","")))</x:f>
      </x:c>
      <x:c r="CN120" s="7" t="str">
        <x:f>IF(OR($D120="",CN$5="",'상세일정'!AM120="제외"),"",IF($D120=$E120,IF(AND($D120&gt;=CN$5,$D120&lt;CN$5+7),"◆",""),IF(AND($D120&lt;CN$5+7,$E120&gt;CN$5),"■","")))</x:f>
      </x:c>
      <x:c r="CO120" s="7" t="str">
        <x:f>IF(OR($D120="",CO$5="",'상세일정'!AM120="제외"),"",IF($D120=$E120,IF(AND($D120&gt;=CO$5,$D120&lt;CO$5+7),"◆",""),IF(AND($D120&lt;CO$5+7,$E120&gt;CO$5),"■","")))</x:f>
      </x:c>
      <x:c r="CP120" s="7" t="str">
        <x:f>IF(OR($D120="",CP$5="",'상세일정'!AM120="제외"),"",IF($D120=$E120,IF(AND($D120&gt;=CP$5,$D120&lt;CP$5+7),"◆",""),IF(AND($D120&lt;CP$5+7,$E120&gt;CP$5),"■","")))</x:f>
      </x:c>
      <x:c r="CQ120" s="7" t="str">
        <x:f>IF(OR($D120="",CQ$5="",'상세일정'!AM120="제외"),"",IF($D120=$E120,IF(AND($D120&gt;=CQ$5,$D120&lt;CQ$5+7),"◆",""),IF(AND($D120&lt;CQ$5+7,$E120&gt;CQ$5),"■","")))</x:f>
      </x:c>
      <x:c r="CR120" s="7" t="str">
        <x:f>IF(OR($D120="",CR$5="",'상세일정'!AM120="제외"),"",IF($D120=$E120,IF(AND($D120&gt;=CR$5,$D120&lt;CR$5+7),"◆",""),IF(AND($D120&lt;CR$5+7,$E120&gt;CR$5),"■","")))</x:f>
      </x:c>
      <x:c r="CS120" s="7" t="str">
        <x:f>IF(OR($D120="",CS$5="",'상세일정'!AM120="제외"),"",IF($D120=$E120,IF(AND($D120&gt;=CS$5,$D120&lt;CS$5+7),"◆",""),IF(AND($D120&lt;CS$5+7,$E120&gt;CS$5),"■","")))</x:f>
      </x:c>
      <x:c r="CT120" s="7" t="str">
        <x:f>IF(OR($D120="",CT$5="",'상세일정'!AM120="제외"),"",IF($D120=$E120,IF(AND($D120&gt;=CT$5,$D120&lt;CT$5+7),"◆",""),IF(AND($D120&lt;CT$5+7,$E120&gt;CT$5),"■","")))</x:f>
      </x:c>
      <x:c r="CU120" s="7" t="str">
        <x:f>IF(OR($D120="",CU$5="",'상세일정'!AM120="제외"),"",IF($D120=$E120,IF(AND($D120&gt;=CU$5,$D120&lt;CU$5+7),"◆",""),IF(AND($D120&lt;CU$5+7,$E120&gt;CU$5),"■","")))</x:f>
      </x:c>
      <x:c r="CV120" s="7" t="str">
        <x:f>IF(OR($D120="",CV$5="",'상세일정'!AM120="제외"),"",IF($D120=$E120,IF(AND($D120&gt;=CV$5,$D120&lt;CV$5+7),"◆",""),IF(AND($D120&lt;CV$5+7,$E120&gt;CV$5),"■","")))</x:f>
      </x:c>
      <x:c r="CW120" s="7" t="str">
        <x:f>IF(OR($D120="",CW$5="",'상세일정'!AM120="제외"),"",IF($D120=$E120,IF(AND($D120&gt;=CW$5,$D120&lt;CW$5+7),"◆",""),IF(AND($D120&lt;CW$5+7,$E120&gt;CW$5),"■","")))</x:f>
      </x:c>
      <x:c r="CX120" s="7" t="str">
        <x:f>IF(OR($D120="",CX$5="",'상세일정'!AM120="제외"),"",IF($D120=$E120,IF(AND($D120&gt;=CX$5,$D120&lt;CX$5+7),"◆",""),IF(AND($D120&lt;CX$5+7,$E120&gt;CX$5),"■","")))</x:f>
      </x:c>
      <x:c r="CY120" s="7" t="str">
        <x:f>IF(OR($D120="",CY$5="",'상세일정'!AM120="제외"),"",IF($D120=$E120,IF(AND($D120&gt;=CY$5,$D120&lt;CY$5+7),"◆",""),IF(AND($D120&lt;CY$5+7,$E120&gt;CY$5),"■","")))</x:f>
      </x:c>
      <x:c r="CZ120" s="7" t="str">
        <x:f>IF(OR($D120="",CZ$5="",'상세일정'!AM120="제외"),"",IF($D120=$E120,IF(AND($D120&gt;=CZ$5,$D120&lt;CZ$5+7),"◆",""),IF(AND($D120&lt;CZ$5+7,$E120&gt;CZ$5),"■","")))</x:f>
      </x:c>
      <x:c r="DA120" s="7" t="str">
        <x:f>IF(OR($D120="",DA$5="",'상세일정'!AM120="제외"),"",IF($D120=$E120,IF(AND($D120&gt;=DA$5,$D120&lt;DA$5+7),"◆",""),IF(AND($D120&lt;DA$5+7,$E120&gt;DA$5),"■","")))</x:f>
      </x:c>
      <x:c r="DB120" s="7" t="str">
        <x:f>IF(OR($D120="",DB$5="",'상세일정'!AM120="제외"),"",IF($D120=$E120,IF(AND($D120&gt;=DB$5,$D120&lt;DB$5+7),"◆",""),IF(AND($D120&lt;DB$5+7,$E120&gt;DB$5),"■","")))</x:f>
      </x:c>
      <x:c r="DC120" s="7" t="str">
        <x:f>IF(OR($D120="",DC$5="",'상세일정'!AM120="제외"),"",IF($D120=$E120,IF(AND($D120&gt;=DC$5,$D120&lt;DC$5+7),"◆",""),IF(AND($D120&lt;DC$5+7,$E120&gt;DC$5),"■","")))</x:f>
      </x:c>
      <x:c r="DD120" s="7" t="str">
        <x:f>IF(OR($D120="",DD$5="",'상세일정'!AM120="제외"),"",IF($D120=$E120,IF(AND($D120&gt;=DD$5,$D120&lt;DD$5+7),"◆",""),IF(AND($D120&lt;DD$5+7,$E120&gt;DD$5),"■","")))</x:f>
      </x:c>
      <x:c r="DE120" s="7" t="str">
        <x:f>IF(OR($D120="",DE$5="",'상세일정'!AM120="제외"),"",IF($D120=$E120,IF(AND($D120&gt;=DE$5,$D120&lt;DE$5+7),"◆",""),IF(AND($D120&lt;DE$5+7,$E120&gt;DE$5),"■","")))</x:f>
      </x:c>
    </x:row>
    <x:row r="121" ht="34" customHeight="1">
      <x:c r="A121" s="7" t="str">
        <x:v>BG07</x:v>
      </x:c>
      <x:c r="B121" s="7" t="str">
        <x:v>16 기자재 구매·제작</x:v>
      </x:c>
      <x:c r="C121" s="7" t="str">
        <x:v>전처리 패키지 B 출하승인·운송·현장 입고</x:v>
      </x:c>
      <x:c r="D121" s="10" t="str">
        <x:f>'상세일정'!AJ121</x:f>
      </x:c>
      <x:c r="E121" s="10" t="str">
        <x:f>'상세일정'!AK121</x:f>
      </x:c>
      <x:c r="F121" s="7" t="str">
        <x:f>IF(OR($D121="",F$5="",'상세일정'!AM121="제외"),"",IF($D121=$E121,IF(AND($D121&gt;=F$5,$D121&lt;F$5+7),"◆",""),IF(AND($D121&lt;F$5+7,$E121&gt;F$5),"■","")))</x:f>
      </x:c>
      <x:c r="G121" s="7" t="str">
        <x:f>IF(OR($D121="",G$5="",'상세일정'!AM121="제외"),"",IF($D121=$E121,IF(AND($D121&gt;=G$5,$D121&lt;G$5+7),"◆",""),IF(AND($D121&lt;G$5+7,$E121&gt;G$5),"■","")))</x:f>
      </x:c>
      <x:c r="H121" s="7" t="str">
        <x:f>IF(OR($D121="",H$5="",'상세일정'!AM121="제외"),"",IF($D121=$E121,IF(AND($D121&gt;=H$5,$D121&lt;H$5+7),"◆",""),IF(AND($D121&lt;H$5+7,$E121&gt;H$5),"■","")))</x:f>
      </x:c>
      <x:c r="I121" s="7" t="str">
        <x:f>IF(OR($D121="",I$5="",'상세일정'!AM121="제외"),"",IF($D121=$E121,IF(AND($D121&gt;=I$5,$D121&lt;I$5+7),"◆",""),IF(AND($D121&lt;I$5+7,$E121&gt;I$5),"■","")))</x:f>
      </x:c>
      <x:c r="J121" s="7" t="str">
        <x:f>IF(OR($D121="",J$5="",'상세일정'!AM121="제외"),"",IF($D121=$E121,IF(AND($D121&gt;=J$5,$D121&lt;J$5+7),"◆",""),IF(AND($D121&lt;J$5+7,$E121&gt;J$5),"■","")))</x:f>
      </x:c>
      <x:c r="K121" s="7" t="str">
        <x:f>IF(OR($D121="",K$5="",'상세일정'!AM121="제외"),"",IF($D121=$E121,IF(AND($D121&gt;=K$5,$D121&lt;K$5+7),"◆",""),IF(AND($D121&lt;K$5+7,$E121&gt;K$5),"■","")))</x:f>
      </x:c>
      <x:c r="L121" s="7" t="str">
        <x:f>IF(OR($D121="",L$5="",'상세일정'!AM121="제외"),"",IF($D121=$E121,IF(AND($D121&gt;=L$5,$D121&lt;L$5+7),"◆",""),IF(AND($D121&lt;L$5+7,$E121&gt;L$5),"■","")))</x:f>
      </x:c>
      <x:c r="M121" s="7" t="str">
        <x:f>IF(OR($D121="",M$5="",'상세일정'!AM121="제외"),"",IF($D121=$E121,IF(AND($D121&gt;=M$5,$D121&lt;M$5+7),"◆",""),IF(AND($D121&lt;M$5+7,$E121&gt;M$5),"■","")))</x:f>
      </x:c>
      <x:c r="N121" s="7" t="str">
        <x:f>IF(OR($D121="",N$5="",'상세일정'!AM121="제외"),"",IF($D121=$E121,IF(AND($D121&gt;=N$5,$D121&lt;N$5+7),"◆",""),IF(AND($D121&lt;N$5+7,$E121&gt;N$5),"■","")))</x:f>
      </x:c>
      <x:c r="O121" s="7" t="str">
        <x:f>IF(OR($D121="",O$5="",'상세일정'!AM121="제외"),"",IF($D121=$E121,IF(AND($D121&gt;=O$5,$D121&lt;O$5+7),"◆",""),IF(AND($D121&lt;O$5+7,$E121&gt;O$5),"■","")))</x:f>
      </x:c>
      <x:c r="P121" s="7" t="str">
        <x:f>IF(OR($D121="",P$5="",'상세일정'!AM121="제외"),"",IF($D121=$E121,IF(AND($D121&gt;=P$5,$D121&lt;P$5+7),"◆",""),IF(AND($D121&lt;P$5+7,$E121&gt;P$5),"■","")))</x:f>
      </x:c>
      <x:c r="Q121" s="7" t="str">
        <x:f>IF(OR($D121="",Q$5="",'상세일정'!AM121="제외"),"",IF($D121=$E121,IF(AND($D121&gt;=Q$5,$D121&lt;Q$5+7),"◆",""),IF(AND($D121&lt;Q$5+7,$E121&gt;Q$5),"■","")))</x:f>
      </x:c>
      <x:c r="R121" s="7" t="str">
        <x:f>IF(OR($D121="",R$5="",'상세일정'!AM121="제외"),"",IF($D121=$E121,IF(AND($D121&gt;=R$5,$D121&lt;R$5+7),"◆",""),IF(AND($D121&lt;R$5+7,$E121&gt;R$5),"■","")))</x:f>
      </x:c>
      <x:c r="S121" s="7" t="str">
        <x:f>IF(OR($D121="",S$5="",'상세일정'!AM121="제외"),"",IF($D121=$E121,IF(AND($D121&gt;=S$5,$D121&lt;S$5+7),"◆",""),IF(AND($D121&lt;S$5+7,$E121&gt;S$5),"■","")))</x:f>
      </x:c>
      <x:c r="T121" s="7" t="str">
        <x:f>IF(OR($D121="",T$5="",'상세일정'!AM121="제외"),"",IF($D121=$E121,IF(AND($D121&gt;=T$5,$D121&lt;T$5+7),"◆",""),IF(AND($D121&lt;T$5+7,$E121&gt;T$5),"■","")))</x:f>
      </x:c>
      <x:c r="U121" s="7" t="str">
        <x:f>IF(OR($D121="",U$5="",'상세일정'!AM121="제외"),"",IF($D121=$E121,IF(AND($D121&gt;=U$5,$D121&lt;U$5+7),"◆",""),IF(AND($D121&lt;U$5+7,$E121&gt;U$5),"■","")))</x:f>
      </x:c>
      <x:c r="V121" s="7" t="str">
        <x:f>IF(OR($D121="",V$5="",'상세일정'!AM121="제외"),"",IF($D121=$E121,IF(AND($D121&gt;=V$5,$D121&lt;V$5+7),"◆",""),IF(AND($D121&lt;V$5+7,$E121&gt;V$5),"■","")))</x:f>
      </x:c>
      <x:c r="W121" s="7" t="str">
        <x:f>IF(OR($D121="",W$5="",'상세일정'!AM121="제외"),"",IF($D121=$E121,IF(AND($D121&gt;=W$5,$D121&lt;W$5+7),"◆",""),IF(AND($D121&lt;W$5+7,$E121&gt;W$5),"■","")))</x:f>
      </x:c>
      <x:c r="X121" s="7" t="str">
        <x:f>IF(OR($D121="",X$5="",'상세일정'!AM121="제외"),"",IF($D121=$E121,IF(AND($D121&gt;=X$5,$D121&lt;X$5+7),"◆",""),IF(AND($D121&lt;X$5+7,$E121&gt;X$5),"■","")))</x:f>
      </x:c>
      <x:c r="Y121" s="7" t="str">
        <x:f>IF(OR($D121="",Y$5="",'상세일정'!AM121="제외"),"",IF($D121=$E121,IF(AND($D121&gt;=Y$5,$D121&lt;Y$5+7),"◆",""),IF(AND($D121&lt;Y$5+7,$E121&gt;Y$5),"■","")))</x:f>
      </x:c>
      <x:c r="Z121" s="7" t="str">
        <x:f>IF(OR($D121="",Z$5="",'상세일정'!AM121="제외"),"",IF($D121=$E121,IF(AND($D121&gt;=Z$5,$D121&lt;Z$5+7),"◆",""),IF(AND($D121&lt;Z$5+7,$E121&gt;Z$5),"■","")))</x:f>
      </x:c>
      <x:c r="AA121" s="7" t="str">
        <x:f>IF(OR($D121="",AA$5="",'상세일정'!AM121="제외"),"",IF($D121=$E121,IF(AND($D121&gt;=AA$5,$D121&lt;AA$5+7),"◆",""),IF(AND($D121&lt;AA$5+7,$E121&gt;AA$5),"■","")))</x:f>
      </x:c>
      <x:c r="AB121" s="7" t="str">
        <x:f>IF(OR($D121="",AB$5="",'상세일정'!AM121="제외"),"",IF($D121=$E121,IF(AND($D121&gt;=AB$5,$D121&lt;AB$5+7),"◆",""),IF(AND($D121&lt;AB$5+7,$E121&gt;AB$5),"■","")))</x:f>
      </x:c>
      <x:c r="AC121" s="7" t="str">
        <x:f>IF(OR($D121="",AC$5="",'상세일정'!AM121="제외"),"",IF($D121=$E121,IF(AND($D121&gt;=AC$5,$D121&lt;AC$5+7),"◆",""),IF(AND($D121&lt;AC$5+7,$E121&gt;AC$5),"■","")))</x:f>
      </x:c>
      <x:c r="AD121" s="7" t="str">
        <x:f>IF(OR($D121="",AD$5="",'상세일정'!AM121="제외"),"",IF($D121=$E121,IF(AND($D121&gt;=AD$5,$D121&lt;AD$5+7),"◆",""),IF(AND($D121&lt;AD$5+7,$E121&gt;AD$5),"■","")))</x:f>
      </x:c>
      <x:c r="AE121" s="7" t="str">
        <x:f>IF(OR($D121="",AE$5="",'상세일정'!AM121="제외"),"",IF($D121=$E121,IF(AND($D121&gt;=AE$5,$D121&lt;AE$5+7),"◆",""),IF(AND($D121&lt;AE$5+7,$E121&gt;AE$5),"■","")))</x:f>
      </x:c>
      <x:c r="AF121" s="7" t="str">
        <x:f>IF(OR($D121="",AF$5="",'상세일정'!AM121="제외"),"",IF($D121=$E121,IF(AND($D121&gt;=AF$5,$D121&lt;AF$5+7),"◆",""),IF(AND($D121&lt;AF$5+7,$E121&gt;AF$5),"■","")))</x:f>
      </x:c>
      <x:c r="AG121" s="7" t="str">
        <x:f>IF(OR($D121="",AG$5="",'상세일정'!AM121="제외"),"",IF($D121=$E121,IF(AND($D121&gt;=AG$5,$D121&lt;AG$5+7),"◆",""),IF(AND($D121&lt;AG$5+7,$E121&gt;AG$5),"■","")))</x:f>
      </x:c>
      <x:c r="AH121" s="7" t="str">
        <x:f>IF(OR($D121="",AH$5="",'상세일정'!AM121="제외"),"",IF($D121=$E121,IF(AND($D121&gt;=AH$5,$D121&lt;AH$5+7),"◆",""),IF(AND($D121&lt;AH$5+7,$E121&gt;AH$5),"■","")))</x:f>
      </x:c>
      <x:c r="AI121" s="7" t="str">
        <x:f>IF(OR($D121="",AI$5="",'상세일정'!AM121="제외"),"",IF($D121=$E121,IF(AND($D121&gt;=AI$5,$D121&lt;AI$5+7),"◆",""),IF(AND($D121&lt;AI$5+7,$E121&gt;AI$5),"■","")))</x:f>
      </x:c>
      <x:c r="AJ121" s="7" t="str">
        <x:f>IF(OR($D121="",AJ$5="",'상세일정'!AM121="제외"),"",IF($D121=$E121,IF(AND($D121&gt;=AJ$5,$D121&lt;AJ$5+7),"◆",""),IF(AND($D121&lt;AJ$5+7,$E121&gt;AJ$5),"■","")))</x:f>
      </x:c>
      <x:c r="AK121" s="7" t="str">
        <x:f>IF(OR($D121="",AK$5="",'상세일정'!AM121="제외"),"",IF($D121=$E121,IF(AND($D121&gt;=AK$5,$D121&lt;AK$5+7),"◆",""),IF(AND($D121&lt;AK$5+7,$E121&gt;AK$5),"■","")))</x:f>
      </x:c>
      <x:c r="AL121" s="7" t="str">
        <x:f>IF(OR($D121="",AL$5="",'상세일정'!AM121="제외"),"",IF($D121=$E121,IF(AND($D121&gt;=AL$5,$D121&lt;AL$5+7),"◆",""),IF(AND($D121&lt;AL$5+7,$E121&gt;AL$5),"■","")))</x:f>
      </x:c>
      <x:c r="AM121" s="7" t="str">
        <x:f>IF(OR($D121="",AM$5="",'상세일정'!AM121="제외"),"",IF($D121=$E121,IF(AND($D121&gt;=AM$5,$D121&lt;AM$5+7),"◆",""),IF(AND($D121&lt;AM$5+7,$E121&gt;AM$5),"■","")))</x:f>
      </x:c>
      <x:c r="AN121" s="7" t="str">
        <x:f>IF(OR($D121="",AN$5="",'상세일정'!AM121="제외"),"",IF($D121=$E121,IF(AND($D121&gt;=AN$5,$D121&lt;AN$5+7),"◆",""),IF(AND($D121&lt;AN$5+7,$E121&gt;AN$5),"■","")))</x:f>
      </x:c>
      <x:c r="AO121" s="7" t="str">
        <x:f>IF(OR($D121="",AO$5="",'상세일정'!AM121="제외"),"",IF($D121=$E121,IF(AND($D121&gt;=AO$5,$D121&lt;AO$5+7),"◆",""),IF(AND($D121&lt;AO$5+7,$E121&gt;AO$5),"■","")))</x:f>
      </x:c>
      <x:c r="AP121" s="7" t="str">
        <x:f>IF(OR($D121="",AP$5="",'상세일정'!AM121="제외"),"",IF($D121=$E121,IF(AND($D121&gt;=AP$5,$D121&lt;AP$5+7),"◆",""),IF(AND($D121&lt;AP$5+7,$E121&gt;AP$5),"■","")))</x:f>
      </x:c>
      <x:c r="AQ121" s="7" t="str">
        <x:f>IF(OR($D121="",AQ$5="",'상세일정'!AM121="제외"),"",IF($D121=$E121,IF(AND($D121&gt;=AQ$5,$D121&lt;AQ$5+7),"◆",""),IF(AND($D121&lt;AQ$5+7,$E121&gt;AQ$5),"■","")))</x:f>
      </x:c>
      <x:c r="AR121" s="7" t="str">
        <x:f>IF(OR($D121="",AR$5="",'상세일정'!AM121="제외"),"",IF($D121=$E121,IF(AND($D121&gt;=AR$5,$D121&lt;AR$5+7),"◆",""),IF(AND($D121&lt;AR$5+7,$E121&gt;AR$5),"■","")))</x:f>
      </x:c>
      <x:c r="AS121" s="7" t="str">
        <x:f>IF(OR($D121="",AS$5="",'상세일정'!AM121="제외"),"",IF($D121=$E121,IF(AND($D121&gt;=AS$5,$D121&lt;AS$5+7),"◆",""),IF(AND($D121&lt;AS$5+7,$E121&gt;AS$5),"■","")))</x:f>
      </x:c>
      <x:c r="AT121" s="7" t="str">
        <x:f>IF(OR($D121="",AT$5="",'상세일정'!AM121="제외"),"",IF($D121=$E121,IF(AND($D121&gt;=AT$5,$D121&lt;AT$5+7),"◆",""),IF(AND($D121&lt;AT$5+7,$E121&gt;AT$5),"■","")))</x:f>
      </x:c>
      <x:c r="AU121" s="7" t="str">
        <x:f>IF(OR($D121="",AU$5="",'상세일정'!AM121="제외"),"",IF($D121=$E121,IF(AND($D121&gt;=AU$5,$D121&lt;AU$5+7),"◆",""),IF(AND($D121&lt;AU$5+7,$E121&gt;AU$5),"■","")))</x:f>
      </x:c>
      <x:c r="AV121" s="7" t="str">
        <x:f>IF(OR($D121="",AV$5="",'상세일정'!AM121="제외"),"",IF($D121=$E121,IF(AND($D121&gt;=AV$5,$D121&lt;AV$5+7),"◆",""),IF(AND($D121&lt;AV$5+7,$E121&gt;AV$5),"■","")))</x:f>
      </x:c>
      <x:c r="AW121" s="7" t="str">
        <x:f>IF(OR($D121="",AW$5="",'상세일정'!AM121="제외"),"",IF($D121=$E121,IF(AND($D121&gt;=AW$5,$D121&lt;AW$5+7),"◆",""),IF(AND($D121&lt;AW$5+7,$E121&gt;AW$5),"■","")))</x:f>
      </x:c>
      <x:c r="AX121" s="7" t="str">
        <x:f>IF(OR($D121="",AX$5="",'상세일정'!AM121="제외"),"",IF($D121=$E121,IF(AND($D121&gt;=AX$5,$D121&lt;AX$5+7),"◆",""),IF(AND($D121&lt;AX$5+7,$E121&gt;AX$5),"■","")))</x:f>
      </x:c>
      <x:c r="AY121" s="7" t="str">
        <x:f>IF(OR($D121="",AY$5="",'상세일정'!AM121="제외"),"",IF($D121=$E121,IF(AND($D121&gt;=AY$5,$D121&lt;AY$5+7),"◆",""),IF(AND($D121&lt;AY$5+7,$E121&gt;AY$5),"■","")))</x:f>
      </x:c>
      <x:c r="AZ121" s="7" t="str">
        <x:f>IF(OR($D121="",AZ$5="",'상세일정'!AM121="제외"),"",IF($D121=$E121,IF(AND($D121&gt;=AZ$5,$D121&lt;AZ$5+7),"◆",""),IF(AND($D121&lt;AZ$5+7,$E121&gt;AZ$5),"■","")))</x:f>
      </x:c>
      <x:c r="BA121" s="7" t="str">
        <x:f>IF(OR($D121="",BA$5="",'상세일정'!AM121="제외"),"",IF($D121=$E121,IF(AND($D121&gt;=BA$5,$D121&lt;BA$5+7),"◆",""),IF(AND($D121&lt;BA$5+7,$E121&gt;BA$5),"■","")))</x:f>
      </x:c>
      <x:c r="BB121" s="7" t="str">
        <x:f>IF(OR($D121="",BB$5="",'상세일정'!AM121="제외"),"",IF($D121=$E121,IF(AND($D121&gt;=BB$5,$D121&lt;BB$5+7),"◆",""),IF(AND($D121&lt;BB$5+7,$E121&gt;BB$5),"■","")))</x:f>
      </x:c>
      <x:c r="BC121" s="7" t="str">
        <x:f>IF(OR($D121="",BC$5="",'상세일정'!AM121="제외"),"",IF($D121=$E121,IF(AND($D121&gt;=BC$5,$D121&lt;BC$5+7),"◆",""),IF(AND($D121&lt;BC$5+7,$E121&gt;BC$5),"■","")))</x:f>
      </x:c>
      <x:c r="BD121" s="7" t="str">
        <x:f>IF(OR($D121="",BD$5="",'상세일정'!AM121="제외"),"",IF($D121=$E121,IF(AND($D121&gt;=BD$5,$D121&lt;BD$5+7),"◆",""),IF(AND($D121&lt;BD$5+7,$E121&gt;BD$5),"■","")))</x:f>
      </x:c>
      <x:c r="BE121" s="7" t="str">
        <x:f>IF(OR($D121="",BE$5="",'상세일정'!AM121="제외"),"",IF($D121=$E121,IF(AND($D121&gt;=BE$5,$D121&lt;BE$5+7),"◆",""),IF(AND($D121&lt;BE$5+7,$E121&gt;BE$5),"■","")))</x:f>
      </x:c>
      <x:c r="BF121" s="7" t="str">
        <x:f>IF(OR($D121="",BF$5="",'상세일정'!AM121="제외"),"",IF($D121=$E121,IF(AND($D121&gt;=BF$5,$D121&lt;BF$5+7),"◆",""),IF(AND($D121&lt;BF$5+7,$E121&gt;BF$5),"■","")))</x:f>
      </x:c>
      <x:c r="BG121" s="7" t="str">
        <x:f>IF(OR($D121="",BG$5="",'상세일정'!AM121="제외"),"",IF($D121=$E121,IF(AND($D121&gt;=BG$5,$D121&lt;BG$5+7),"◆",""),IF(AND($D121&lt;BG$5+7,$E121&gt;BG$5),"■","")))</x:f>
      </x:c>
      <x:c r="BH121" s="7" t="str">
        <x:f>IF(OR($D121="",BH$5="",'상세일정'!AM121="제외"),"",IF($D121=$E121,IF(AND($D121&gt;=BH$5,$D121&lt;BH$5+7),"◆",""),IF(AND($D121&lt;BH$5+7,$E121&gt;BH$5),"■","")))</x:f>
      </x:c>
      <x:c r="BI121" s="7" t="str">
        <x:f>IF(OR($D121="",BI$5="",'상세일정'!AM121="제외"),"",IF($D121=$E121,IF(AND($D121&gt;=BI$5,$D121&lt;BI$5+7),"◆",""),IF(AND($D121&lt;BI$5+7,$E121&gt;BI$5),"■","")))</x:f>
      </x:c>
      <x:c r="BJ121" s="7" t="str">
        <x:f>IF(OR($D121="",BJ$5="",'상세일정'!AM121="제외"),"",IF($D121=$E121,IF(AND($D121&gt;=BJ$5,$D121&lt;BJ$5+7),"◆",""),IF(AND($D121&lt;BJ$5+7,$E121&gt;BJ$5),"■","")))</x:f>
      </x:c>
      <x:c r="BK121" s="7" t="str">
        <x:f>IF(OR($D121="",BK$5="",'상세일정'!AM121="제외"),"",IF($D121=$E121,IF(AND($D121&gt;=BK$5,$D121&lt;BK$5+7),"◆",""),IF(AND($D121&lt;BK$5+7,$E121&gt;BK$5),"■","")))</x:f>
      </x:c>
      <x:c r="BL121" s="7" t="str">
        <x:f>IF(OR($D121="",BL$5="",'상세일정'!AM121="제외"),"",IF($D121=$E121,IF(AND($D121&gt;=BL$5,$D121&lt;BL$5+7),"◆",""),IF(AND($D121&lt;BL$5+7,$E121&gt;BL$5),"■","")))</x:f>
      </x:c>
      <x:c r="BM121" s="7" t="str">
        <x:f>IF(OR($D121="",BM$5="",'상세일정'!AM121="제외"),"",IF($D121=$E121,IF(AND($D121&gt;=BM$5,$D121&lt;BM$5+7),"◆",""),IF(AND($D121&lt;BM$5+7,$E121&gt;BM$5),"■","")))</x:f>
      </x:c>
      <x:c r="BN121" s="7" t="str">
        <x:f>IF(OR($D121="",BN$5="",'상세일정'!AM121="제외"),"",IF($D121=$E121,IF(AND($D121&gt;=BN$5,$D121&lt;BN$5+7),"◆",""),IF(AND($D121&lt;BN$5+7,$E121&gt;BN$5),"■","")))</x:f>
      </x:c>
      <x:c r="BO121" s="7" t="str">
        <x:f>IF(OR($D121="",BO$5="",'상세일정'!AM121="제외"),"",IF($D121=$E121,IF(AND($D121&gt;=BO$5,$D121&lt;BO$5+7),"◆",""),IF(AND($D121&lt;BO$5+7,$E121&gt;BO$5),"■","")))</x:f>
      </x:c>
      <x:c r="BP121" s="7" t="str">
        <x:f>IF(OR($D121="",BP$5="",'상세일정'!AM121="제외"),"",IF($D121=$E121,IF(AND($D121&gt;=BP$5,$D121&lt;BP$5+7),"◆",""),IF(AND($D121&lt;BP$5+7,$E121&gt;BP$5),"■","")))</x:f>
      </x:c>
      <x:c r="BQ121" s="7" t="str">
        <x:f>IF(OR($D121="",BQ$5="",'상세일정'!AM121="제외"),"",IF($D121=$E121,IF(AND($D121&gt;=BQ$5,$D121&lt;BQ$5+7),"◆",""),IF(AND($D121&lt;BQ$5+7,$E121&gt;BQ$5),"■","")))</x:f>
      </x:c>
      <x:c r="BR121" s="7" t="str">
        <x:f>IF(OR($D121="",BR$5="",'상세일정'!AM121="제외"),"",IF($D121=$E121,IF(AND($D121&gt;=BR$5,$D121&lt;BR$5+7),"◆",""),IF(AND($D121&lt;BR$5+7,$E121&gt;BR$5),"■","")))</x:f>
      </x:c>
      <x:c r="BS121" s="7" t="str">
        <x:f>IF(OR($D121="",BS$5="",'상세일정'!AM121="제외"),"",IF($D121=$E121,IF(AND($D121&gt;=BS$5,$D121&lt;BS$5+7),"◆",""),IF(AND($D121&lt;BS$5+7,$E121&gt;BS$5),"■","")))</x:f>
      </x:c>
      <x:c r="BT121" s="7" t="str">
        <x:f>IF(OR($D121="",BT$5="",'상세일정'!AM121="제외"),"",IF($D121=$E121,IF(AND($D121&gt;=BT$5,$D121&lt;BT$5+7),"◆",""),IF(AND($D121&lt;BT$5+7,$E121&gt;BT$5),"■","")))</x:f>
      </x:c>
      <x:c r="BU121" s="7" t="str">
        <x:f>IF(OR($D121="",BU$5="",'상세일정'!AM121="제외"),"",IF($D121=$E121,IF(AND($D121&gt;=BU$5,$D121&lt;BU$5+7),"◆",""),IF(AND($D121&lt;BU$5+7,$E121&gt;BU$5),"■","")))</x:f>
      </x:c>
      <x:c r="BV121" s="7" t="str">
        <x:f>IF(OR($D121="",BV$5="",'상세일정'!AM121="제외"),"",IF($D121=$E121,IF(AND($D121&gt;=BV$5,$D121&lt;BV$5+7),"◆",""),IF(AND($D121&lt;BV$5+7,$E121&gt;BV$5),"■","")))</x:f>
      </x:c>
      <x:c r="BW121" s="7" t="str">
        <x:f>IF(OR($D121="",BW$5="",'상세일정'!AM121="제외"),"",IF($D121=$E121,IF(AND($D121&gt;=BW$5,$D121&lt;BW$5+7),"◆",""),IF(AND($D121&lt;BW$5+7,$E121&gt;BW$5),"■","")))</x:f>
      </x:c>
      <x:c r="BX121" s="7" t="str">
        <x:f>IF(OR($D121="",BX$5="",'상세일정'!AM121="제외"),"",IF($D121=$E121,IF(AND($D121&gt;=BX$5,$D121&lt;BX$5+7),"◆",""),IF(AND($D121&lt;BX$5+7,$E121&gt;BX$5),"■","")))</x:f>
      </x:c>
      <x:c r="BY121" s="7" t="str">
        <x:f>IF(OR($D121="",BY$5="",'상세일정'!AM121="제외"),"",IF($D121=$E121,IF(AND($D121&gt;=BY$5,$D121&lt;BY$5+7),"◆",""),IF(AND($D121&lt;BY$5+7,$E121&gt;BY$5),"■","")))</x:f>
      </x:c>
      <x:c r="BZ121" s="7" t="str">
        <x:f>IF(OR($D121="",BZ$5="",'상세일정'!AM121="제외"),"",IF($D121=$E121,IF(AND($D121&gt;=BZ$5,$D121&lt;BZ$5+7),"◆",""),IF(AND($D121&lt;BZ$5+7,$E121&gt;BZ$5),"■","")))</x:f>
      </x:c>
      <x:c r="CA121" s="7" t="str">
        <x:f>IF(OR($D121="",CA$5="",'상세일정'!AM121="제외"),"",IF($D121=$E121,IF(AND($D121&gt;=CA$5,$D121&lt;CA$5+7),"◆",""),IF(AND($D121&lt;CA$5+7,$E121&gt;CA$5),"■","")))</x:f>
      </x:c>
      <x:c r="CB121" s="7" t="str">
        <x:f>IF(OR($D121="",CB$5="",'상세일정'!AM121="제외"),"",IF($D121=$E121,IF(AND($D121&gt;=CB$5,$D121&lt;CB$5+7),"◆",""),IF(AND($D121&lt;CB$5+7,$E121&gt;CB$5),"■","")))</x:f>
      </x:c>
      <x:c r="CC121" s="7" t="str">
        <x:f>IF(OR($D121="",CC$5="",'상세일정'!AM121="제외"),"",IF($D121=$E121,IF(AND($D121&gt;=CC$5,$D121&lt;CC$5+7),"◆",""),IF(AND($D121&lt;CC$5+7,$E121&gt;CC$5),"■","")))</x:f>
      </x:c>
      <x:c r="CD121" s="7" t="str">
        <x:f>IF(OR($D121="",CD$5="",'상세일정'!AM121="제외"),"",IF($D121=$E121,IF(AND($D121&gt;=CD$5,$D121&lt;CD$5+7),"◆",""),IF(AND($D121&lt;CD$5+7,$E121&gt;CD$5),"■","")))</x:f>
      </x:c>
      <x:c r="CE121" s="7" t="str">
        <x:f>IF(OR($D121="",CE$5="",'상세일정'!AM121="제외"),"",IF($D121=$E121,IF(AND($D121&gt;=CE$5,$D121&lt;CE$5+7),"◆",""),IF(AND($D121&lt;CE$5+7,$E121&gt;CE$5),"■","")))</x:f>
      </x:c>
      <x:c r="CF121" s="7" t="str">
        <x:f>IF(OR($D121="",CF$5="",'상세일정'!AM121="제외"),"",IF($D121=$E121,IF(AND($D121&gt;=CF$5,$D121&lt;CF$5+7),"◆",""),IF(AND($D121&lt;CF$5+7,$E121&gt;CF$5),"■","")))</x:f>
      </x:c>
      <x:c r="CG121" s="7" t="str">
        <x:f>IF(OR($D121="",CG$5="",'상세일정'!AM121="제외"),"",IF($D121=$E121,IF(AND($D121&gt;=CG$5,$D121&lt;CG$5+7),"◆",""),IF(AND($D121&lt;CG$5+7,$E121&gt;CG$5),"■","")))</x:f>
      </x:c>
      <x:c r="CH121" s="7" t="str">
        <x:f>IF(OR($D121="",CH$5="",'상세일정'!AM121="제외"),"",IF($D121=$E121,IF(AND($D121&gt;=CH$5,$D121&lt;CH$5+7),"◆",""),IF(AND($D121&lt;CH$5+7,$E121&gt;CH$5),"■","")))</x:f>
      </x:c>
      <x:c r="CI121" s="7" t="str">
        <x:f>IF(OR($D121="",CI$5="",'상세일정'!AM121="제외"),"",IF($D121=$E121,IF(AND($D121&gt;=CI$5,$D121&lt;CI$5+7),"◆",""),IF(AND($D121&lt;CI$5+7,$E121&gt;CI$5),"■","")))</x:f>
      </x:c>
      <x:c r="CJ121" s="7" t="str">
        <x:f>IF(OR($D121="",CJ$5="",'상세일정'!AM121="제외"),"",IF($D121=$E121,IF(AND($D121&gt;=CJ$5,$D121&lt;CJ$5+7),"◆",""),IF(AND($D121&lt;CJ$5+7,$E121&gt;CJ$5),"■","")))</x:f>
      </x:c>
      <x:c r="CK121" s="7" t="str">
        <x:f>IF(OR($D121="",CK$5="",'상세일정'!AM121="제외"),"",IF($D121=$E121,IF(AND($D121&gt;=CK$5,$D121&lt;CK$5+7),"◆",""),IF(AND($D121&lt;CK$5+7,$E121&gt;CK$5),"■","")))</x:f>
      </x:c>
      <x:c r="CL121" s="7" t="str">
        <x:f>IF(OR($D121="",CL$5="",'상세일정'!AM121="제외"),"",IF($D121=$E121,IF(AND($D121&gt;=CL$5,$D121&lt;CL$5+7),"◆",""),IF(AND($D121&lt;CL$5+7,$E121&gt;CL$5),"■","")))</x:f>
      </x:c>
      <x:c r="CM121" s="7" t="str">
        <x:f>IF(OR($D121="",CM$5="",'상세일정'!AM121="제외"),"",IF($D121=$E121,IF(AND($D121&gt;=CM$5,$D121&lt;CM$5+7),"◆",""),IF(AND($D121&lt;CM$5+7,$E121&gt;CM$5),"■","")))</x:f>
      </x:c>
      <x:c r="CN121" s="7" t="str">
        <x:f>IF(OR($D121="",CN$5="",'상세일정'!AM121="제외"),"",IF($D121=$E121,IF(AND($D121&gt;=CN$5,$D121&lt;CN$5+7),"◆",""),IF(AND($D121&lt;CN$5+7,$E121&gt;CN$5),"■","")))</x:f>
      </x:c>
      <x:c r="CO121" s="7" t="str">
        <x:f>IF(OR($D121="",CO$5="",'상세일정'!AM121="제외"),"",IF($D121=$E121,IF(AND($D121&gt;=CO$5,$D121&lt;CO$5+7),"◆",""),IF(AND($D121&lt;CO$5+7,$E121&gt;CO$5),"■","")))</x:f>
      </x:c>
      <x:c r="CP121" s="7" t="str">
        <x:f>IF(OR($D121="",CP$5="",'상세일정'!AM121="제외"),"",IF($D121=$E121,IF(AND($D121&gt;=CP$5,$D121&lt;CP$5+7),"◆",""),IF(AND($D121&lt;CP$5+7,$E121&gt;CP$5),"■","")))</x:f>
      </x:c>
      <x:c r="CQ121" s="7" t="str">
        <x:f>IF(OR($D121="",CQ$5="",'상세일정'!AM121="제외"),"",IF($D121=$E121,IF(AND($D121&gt;=CQ$5,$D121&lt;CQ$5+7),"◆",""),IF(AND($D121&lt;CQ$5+7,$E121&gt;CQ$5),"■","")))</x:f>
      </x:c>
      <x:c r="CR121" s="7" t="str">
        <x:f>IF(OR($D121="",CR$5="",'상세일정'!AM121="제외"),"",IF($D121=$E121,IF(AND($D121&gt;=CR$5,$D121&lt;CR$5+7),"◆",""),IF(AND($D121&lt;CR$5+7,$E121&gt;CR$5),"■","")))</x:f>
      </x:c>
      <x:c r="CS121" s="7" t="str">
        <x:f>IF(OR($D121="",CS$5="",'상세일정'!AM121="제외"),"",IF($D121=$E121,IF(AND($D121&gt;=CS$5,$D121&lt;CS$5+7),"◆",""),IF(AND($D121&lt;CS$5+7,$E121&gt;CS$5),"■","")))</x:f>
      </x:c>
      <x:c r="CT121" s="7" t="str">
        <x:f>IF(OR($D121="",CT$5="",'상세일정'!AM121="제외"),"",IF($D121=$E121,IF(AND($D121&gt;=CT$5,$D121&lt;CT$5+7),"◆",""),IF(AND($D121&lt;CT$5+7,$E121&gt;CT$5),"■","")))</x:f>
      </x:c>
      <x:c r="CU121" s="7" t="str">
        <x:f>IF(OR($D121="",CU$5="",'상세일정'!AM121="제외"),"",IF($D121=$E121,IF(AND($D121&gt;=CU$5,$D121&lt;CU$5+7),"◆",""),IF(AND($D121&lt;CU$5+7,$E121&gt;CU$5),"■","")))</x:f>
      </x:c>
      <x:c r="CV121" s="7" t="str">
        <x:f>IF(OR($D121="",CV$5="",'상세일정'!AM121="제외"),"",IF($D121=$E121,IF(AND($D121&gt;=CV$5,$D121&lt;CV$5+7),"◆",""),IF(AND($D121&lt;CV$5+7,$E121&gt;CV$5),"■","")))</x:f>
      </x:c>
      <x:c r="CW121" s="7" t="str">
        <x:f>IF(OR($D121="",CW$5="",'상세일정'!AM121="제외"),"",IF($D121=$E121,IF(AND($D121&gt;=CW$5,$D121&lt;CW$5+7),"◆",""),IF(AND($D121&lt;CW$5+7,$E121&gt;CW$5),"■","")))</x:f>
      </x:c>
      <x:c r="CX121" s="7" t="str">
        <x:f>IF(OR($D121="",CX$5="",'상세일정'!AM121="제외"),"",IF($D121=$E121,IF(AND($D121&gt;=CX$5,$D121&lt;CX$5+7),"◆",""),IF(AND($D121&lt;CX$5+7,$E121&gt;CX$5),"■","")))</x:f>
      </x:c>
      <x:c r="CY121" s="7" t="str">
        <x:f>IF(OR($D121="",CY$5="",'상세일정'!AM121="제외"),"",IF($D121=$E121,IF(AND($D121&gt;=CY$5,$D121&lt;CY$5+7),"◆",""),IF(AND($D121&lt;CY$5+7,$E121&gt;CY$5),"■","")))</x:f>
      </x:c>
      <x:c r="CZ121" s="7" t="str">
        <x:f>IF(OR($D121="",CZ$5="",'상세일정'!AM121="제외"),"",IF($D121=$E121,IF(AND($D121&gt;=CZ$5,$D121&lt;CZ$5+7),"◆",""),IF(AND($D121&lt;CZ$5+7,$E121&gt;CZ$5),"■","")))</x:f>
      </x:c>
      <x:c r="DA121" s="7" t="str">
        <x:f>IF(OR($D121="",DA$5="",'상세일정'!AM121="제외"),"",IF($D121=$E121,IF(AND($D121&gt;=DA$5,$D121&lt;DA$5+7),"◆",""),IF(AND($D121&lt;DA$5+7,$E121&gt;DA$5),"■","")))</x:f>
      </x:c>
      <x:c r="DB121" s="7" t="str">
        <x:f>IF(OR($D121="",DB$5="",'상세일정'!AM121="제외"),"",IF($D121=$E121,IF(AND($D121&gt;=DB$5,$D121&lt;DB$5+7),"◆",""),IF(AND($D121&lt;DB$5+7,$E121&gt;DB$5),"■","")))</x:f>
      </x:c>
      <x:c r="DC121" s="7" t="str">
        <x:f>IF(OR($D121="",DC$5="",'상세일정'!AM121="제외"),"",IF($D121=$E121,IF(AND($D121&gt;=DC$5,$D121&lt;DC$5+7),"◆",""),IF(AND($D121&lt;DC$5+7,$E121&gt;DC$5),"■","")))</x:f>
      </x:c>
      <x:c r="DD121" s="7" t="str">
        <x:f>IF(OR($D121="",DD$5="",'상세일정'!AM121="제외"),"",IF($D121=$E121,IF(AND($D121&gt;=DD$5,$D121&lt;DD$5+7),"◆",""),IF(AND($D121&lt;DD$5+7,$E121&gt;DD$5),"■","")))</x:f>
      </x:c>
      <x:c r="DE121" s="7" t="str">
        <x:f>IF(OR($D121="",DE$5="",'상세일정'!AM121="제외"),"",IF($D121=$E121,IF(AND($D121&gt;=DE$5,$D121&lt;DE$5+7),"◆",""),IF(AND($D121&lt;DE$5+7,$E121&gt;DE$5),"■","")))</x:f>
      </x:c>
    </x:row>
    <x:row r="122" ht="34" customHeight="1">
      <x:c r="A122" s="7" t="str">
        <x:v>CP01</x:v>
      </x:c>
      <x:c r="B122" s="7" t="str">
        <x:v>16 기자재 구매·제작</x:v>
      </x:c>
      <x:c r="C122" s="7" t="str">
        <x:v>압축기 잔여 발주범위·사양 확정</x:v>
      </x:c>
      <x:c r="D122" s="10" t="str">
        <x:f>'상세일정'!AJ122</x:f>
      </x:c>
      <x:c r="E122" s="10" t="str">
        <x:f>'상세일정'!AK122</x:f>
      </x:c>
      <x:c r="F122" s="7" t="str">
        <x:f>IF(OR($D122="",F$5="",'상세일정'!AM122="제외"),"",IF($D122=$E122,IF(AND($D122&gt;=F$5,$D122&lt;F$5+7),"◆",""),IF(AND($D122&lt;F$5+7,$E122&gt;F$5),"■","")))</x:f>
      </x:c>
      <x:c r="G122" s="7" t="str">
        <x:f>IF(OR($D122="",G$5="",'상세일정'!AM122="제외"),"",IF($D122=$E122,IF(AND($D122&gt;=G$5,$D122&lt;G$5+7),"◆",""),IF(AND($D122&lt;G$5+7,$E122&gt;G$5),"■","")))</x:f>
      </x:c>
      <x:c r="H122" s="7" t="str">
        <x:f>IF(OR($D122="",H$5="",'상세일정'!AM122="제외"),"",IF($D122=$E122,IF(AND($D122&gt;=H$5,$D122&lt;H$5+7),"◆",""),IF(AND($D122&lt;H$5+7,$E122&gt;H$5),"■","")))</x:f>
      </x:c>
      <x:c r="I122" s="7" t="str">
        <x:f>IF(OR($D122="",I$5="",'상세일정'!AM122="제외"),"",IF($D122=$E122,IF(AND($D122&gt;=I$5,$D122&lt;I$5+7),"◆",""),IF(AND($D122&lt;I$5+7,$E122&gt;I$5),"■","")))</x:f>
      </x:c>
      <x:c r="J122" s="7" t="str">
        <x:f>IF(OR($D122="",J$5="",'상세일정'!AM122="제외"),"",IF($D122=$E122,IF(AND($D122&gt;=J$5,$D122&lt;J$5+7),"◆",""),IF(AND($D122&lt;J$5+7,$E122&gt;J$5),"■","")))</x:f>
      </x:c>
      <x:c r="K122" s="7" t="str">
        <x:f>IF(OR($D122="",K$5="",'상세일정'!AM122="제외"),"",IF($D122=$E122,IF(AND($D122&gt;=K$5,$D122&lt;K$5+7),"◆",""),IF(AND($D122&lt;K$5+7,$E122&gt;K$5),"■","")))</x:f>
      </x:c>
      <x:c r="L122" s="7" t="str">
        <x:f>IF(OR($D122="",L$5="",'상세일정'!AM122="제외"),"",IF($D122=$E122,IF(AND($D122&gt;=L$5,$D122&lt;L$5+7),"◆",""),IF(AND($D122&lt;L$5+7,$E122&gt;L$5),"■","")))</x:f>
      </x:c>
      <x:c r="M122" s="7" t="str">
        <x:f>IF(OR($D122="",M$5="",'상세일정'!AM122="제외"),"",IF($D122=$E122,IF(AND($D122&gt;=M$5,$D122&lt;M$5+7),"◆",""),IF(AND($D122&lt;M$5+7,$E122&gt;M$5),"■","")))</x:f>
      </x:c>
      <x:c r="N122" s="7" t="str">
        <x:f>IF(OR($D122="",N$5="",'상세일정'!AM122="제외"),"",IF($D122=$E122,IF(AND($D122&gt;=N$5,$D122&lt;N$5+7),"◆",""),IF(AND($D122&lt;N$5+7,$E122&gt;N$5),"■","")))</x:f>
      </x:c>
      <x:c r="O122" s="7" t="str">
        <x:f>IF(OR($D122="",O$5="",'상세일정'!AM122="제외"),"",IF($D122=$E122,IF(AND($D122&gt;=O$5,$D122&lt;O$5+7),"◆",""),IF(AND($D122&lt;O$5+7,$E122&gt;O$5),"■","")))</x:f>
      </x:c>
      <x:c r="P122" s="7" t="str">
        <x:f>IF(OR($D122="",P$5="",'상세일정'!AM122="제외"),"",IF($D122=$E122,IF(AND($D122&gt;=P$5,$D122&lt;P$5+7),"◆",""),IF(AND($D122&lt;P$5+7,$E122&gt;P$5),"■","")))</x:f>
      </x:c>
      <x:c r="Q122" s="7" t="str">
        <x:f>IF(OR($D122="",Q$5="",'상세일정'!AM122="제외"),"",IF($D122=$E122,IF(AND($D122&gt;=Q$5,$D122&lt;Q$5+7),"◆",""),IF(AND($D122&lt;Q$5+7,$E122&gt;Q$5),"■","")))</x:f>
      </x:c>
      <x:c r="R122" s="7" t="str">
        <x:f>IF(OR($D122="",R$5="",'상세일정'!AM122="제외"),"",IF($D122=$E122,IF(AND($D122&gt;=R$5,$D122&lt;R$5+7),"◆",""),IF(AND($D122&lt;R$5+7,$E122&gt;R$5),"■","")))</x:f>
      </x:c>
      <x:c r="S122" s="7" t="str">
        <x:f>IF(OR($D122="",S$5="",'상세일정'!AM122="제외"),"",IF($D122=$E122,IF(AND($D122&gt;=S$5,$D122&lt;S$5+7),"◆",""),IF(AND($D122&lt;S$5+7,$E122&gt;S$5),"■","")))</x:f>
      </x:c>
      <x:c r="T122" s="7" t="str">
        <x:f>IF(OR($D122="",T$5="",'상세일정'!AM122="제외"),"",IF($D122=$E122,IF(AND($D122&gt;=T$5,$D122&lt;T$5+7),"◆",""),IF(AND($D122&lt;T$5+7,$E122&gt;T$5),"■","")))</x:f>
      </x:c>
      <x:c r="U122" s="7" t="str">
        <x:f>IF(OR($D122="",U$5="",'상세일정'!AM122="제외"),"",IF($D122=$E122,IF(AND($D122&gt;=U$5,$D122&lt;U$5+7),"◆",""),IF(AND($D122&lt;U$5+7,$E122&gt;U$5),"■","")))</x:f>
      </x:c>
      <x:c r="V122" s="7" t="str">
        <x:f>IF(OR($D122="",V$5="",'상세일정'!AM122="제외"),"",IF($D122=$E122,IF(AND($D122&gt;=V$5,$D122&lt;V$5+7),"◆",""),IF(AND($D122&lt;V$5+7,$E122&gt;V$5),"■","")))</x:f>
      </x:c>
      <x:c r="W122" s="7" t="str">
        <x:f>IF(OR($D122="",W$5="",'상세일정'!AM122="제외"),"",IF($D122=$E122,IF(AND($D122&gt;=W$5,$D122&lt;W$5+7),"◆",""),IF(AND($D122&lt;W$5+7,$E122&gt;W$5),"■","")))</x:f>
      </x:c>
      <x:c r="X122" s="7" t="str">
        <x:f>IF(OR($D122="",X$5="",'상세일정'!AM122="제외"),"",IF($D122=$E122,IF(AND($D122&gt;=X$5,$D122&lt;X$5+7),"◆",""),IF(AND($D122&lt;X$5+7,$E122&gt;X$5),"■","")))</x:f>
      </x:c>
      <x:c r="Y122" s="7" t="str">
        <x:f>IF(OR($D122="",Y$5="",'상세일정'!AM122="제외"),"",IF($D122=$E122,IF(AND($D122&gt;=Y$5,$D122&lt;Y$5+7),"◆",""),IF(AND($D122&lt;Y$5+7,$E122&gt;Y$5),"■","")))</x:f>
      </x:c>
      <x:c r="Z122" s="7" t="str">
        <x:f>IF(OR($D122="",Z$5="",'상세일정'!AM122="제외"),"",IF($D122=$E122,IF(AND($D122&gt;=Z$5,$D122&lt;Z$5+7),"◆",""),IF(AND($D122&lt;Z$5+7,$E122&gt;Z$5),"■","")))</x:f>
      </x:c>
      <x:c r="AA122" s="7" t="str">
        <x:f>IF(OR($D122="",AA$5="",'상세일정'!AM122="제외"),"",IF($D122=$E122,IF(AND($D122&gt;=AA$5,$D122&lt;AA$5+7),"◆",""),IF(AND($D122&lt;AA$5+7,$E122&gt;AA$5),"■","")))</x:f>
      </x:c>
      <x:c r="AB122" s="7" t="str">
        <x:f>IF(OR($D122="",AB$5="",'상세일정'!AM122="제외"),"",IF($D122=$E122,IF(AND($D122&gt;=AB$5,$D122&lt;AB$5+7),"◆",""),IF(AND($D122&lt;AB$5+7,$E122&gt;AB$5),"■","")))</x:f>
      </x:c>
      <x:c r="AC122" s="7" t="str">
        <x:f>IF(OR($D122="",AC$5="",'상세일정'!AM122="제외"),"",IF($D122=$E122,IF(AND($D122&gt;=AC$5,$D122&lt;AC$5+7),"◆",""),IF(AND($D122&lt;AC$5+7,$E122&gt;AC$5),"■","")))</x:f>
      </x:c>
      <x:c r="AD122" s="7" t="str">
        <x:f>IF(OR($D122="",AD$5="",'상세일정'!AM122="제외"),"",IF($D122=$E122,IF(AND($D122&gt;=AD$5,$D122&lt;AD$5+7),"◆",""),IF(AND($D122&lt;AD$5+7,$E122&gt;AD$5),"■","")))</x:f>
      </x:c>
      <x:c r="AE122" s="7" t="str">
        <x:f>IF(OR($D122="",AE$5="",'상세일정'!AM122="제외"),"",IF($D122=$E122,IF(AND($D122&gt;=AE$5,$D122&lt;AE$5+7),"◆",""),IF(AND($D122&lt;AE$5+7,$E122&gt;AE$5),"■","")))</x:f>
      </x:c>
      <x:c r="AF122" s="7" t="str">
        <x:f>IF(OR($D122="",AF$5="",'상세일정'!AM122="제외"),"",IF($D122=$E122,IF(AND($D122&gt;=AF$5,$D122&lt;AF$5+7),"◆",""),IF(AND($D122&lt;AF$5+7,$E122&gt;AF$5),"■","")))</x:f>
      </x:c>
      <x:c r="AG122" s="7" t="str">
        <x:f>IF(OR($D122="",AG$5="",'상세일정'!AM122="제외"),"",IF($D122=$E122,IF(AND($D122&gt;=AG$5,$D122&lt;AG$5+7),"◆",""),IF(AND($D122&lt;AG$5+7,$E122&gt;AG$5),"■","")))</x:f>
      </x:c>
      <x:c r="AH122" s="7" t="str">
        <x:f>IF(OR($D122="",AH$5="",'상세일정'!AM122="제외"),"",IF($D122=$E122,IF(AND($D122&gt;=AH$5,$D122&lt;AH$5+7),"◆",""),IF(AND($D122&lt;AH$5+7,$E122&gt;AH$5),"■","")))</x:f>
      </x:c>
      <x:c r="AI122" s="7" t="str">
        <x:f>IF(OR($D122="",AI$5="",'상세일정'!AM122="제외"),"",IF($D122=$E122,IF(AND($D122&gt;=AI$5,$D122&lt;AI$5+7),"◆",""),IF(AND($D122&lt;AI$5+7,$E122&gt;AI$5),"■","")))</x:f>
      </x:c>
      <x:c r="AJ122" s="7" t="str">
        <x:f>IF(OR($D122="",AJ$5="",'상세일정'!AM122="제외"),"",IF($D122=$E122,IF(AND($D122&gt;=AJ$5,$D122&lt;AJ$5+7),"◆",""),IF(AND($D122&lt;AJ$5+7,$E122&gt;AJ$5),"■","")))</x:f>
      </x:c>
      <x:c r="AK122" s="7" t="str">
        <x:f>IF(OR($D122="",AK$5="",'상세일정'!AM122="제외"),"",IF($D122=$E122,IF(AND($D122&gt;=AK$5,$D122&lt;AK$5+7),"◆",""),IF(AND($D122&lt;AK$5+7,$E122&gt;AK$5),"■","")))</x:f>
      </x:c>
      <x:c r="AL122" s="7" t="str">
        <x:f>IF(OR($D122="",AL$5="",'상세일정'!AM122="제외"),"",IF($D122=$E122,IF(AND($D122&gt;=AL$5,$D122&lt;AL$5+7),"◆",""),IF(AND($D122&lt;AL$5+7,$E122&gt;AL$5),"■","")))</x:f>
      </x:c>
      <x:c r="AM122" s="7" t="str">
        <x:f>IF(OR($D122="",AM$5="",'상세일정'!AM122="제외"),"",IF($D122=$E122,IF(AND($D122&gt;=AM$5,$D122&lt;AM$5+7),"◆",""),IF(AND($D122&lt;AM$5+7,$E122&gt;AM$5),"■","")))</x:f>
      </x:c>
      <x:c r="AN122" s="7" t="str">
        <x:f>IF(OR($D122="",AN$5="",'상세일정'!AM122="제외"),"",IF($D122=$E122,IF(AND($D122&gt;=AN$5,$D122&lt;AN$5+7),"◆",""),IF(AND($D122&lt;AN$5+7,$E122&gt;AN$5),"■","")))</x:f>
      </x:c>
      <x:c r="AO122" s="7" t="str">
        <x:f>IF(OR($D122="",AO$5="",'상세일정'!AM122="제외"),"",IF($D122=$E122,IF(AND($D122&gt;=AO$5,$D122&lt;AO$5+7),"◆",""),IF(AND($D122&lt;AO$5+7,$E122&gt;AO$5),"■","")))</x:f>
      </x:c>
      <x:c r="AP122" s="7" t="str">
        <x:f>IF(OR($D122="",AP$5="",'상세일정'!AM122="제외"),"",IF($D122=$E122,IF(AND($D122&gt;=AP$5,$D122&lt;AP$5+7),"◆",""),IF(AND($D122&lt;AP$5+7,$E122&gt;AP$5),"■","")))</x:f>
      </x:c>
      <x:c r="AQ122" s="7" t="str">
        <x:f>IF(OR($D122="",AQ$5="",'상세일정'!AM122="제외"),"",IF($D122=$E122,IF(AND($D122&gt;=AQ$5,$D122&lt;AQ$5+7),"◆",""),IF(AND($D122&lt;AQ$5+7,$E122&gt;AQ$5),"■","")))</x:f>
      </x:c>
      <x:c r="AR122" s="7" t="str">
        <x:f>IF(OR($D122="",AR$5="",'상세일정'!AM122="제외"),"",IF($D122=$E122,IF(AND($D122&gt;=AR$5,$D122&lt;AR$5+7),"◆",""),IF(AND($D122&lt;AR$5+7,$E122&gt;AR$5),"■","")))</x:f>
      </x:c>
      <x:c r="AS122" s="7" t="str">
        <x:f>IF(OR($D122="",AS$5="",'상세일정'!AM122="제외"),"",IF($D122=$E122,IF(AND($D122&gt;=AS$5,$D122&lt;AS$5+7),"◆",""),IF(AND($D122&lt;AS$5+7,$E122&gt;AS$5),"■","")))</x:f>
      </x:c>
      <x:c r="AT122" s="7" t="str">
        <x:f>IF(OR($D122="",AT$5="",'상세일정'!AM122="제외"),"",IF($D122=$E122,IF(AND($D122&gt;=AT$5,$D122&lt;AT$5+7),"◆",""),IF(AND($D122&lt;AT$5+7,$E122&gt;AT$5),"■","")))</x:f>
      </x:c>
      <x:c r="AU122" s="7" t="str">
        <x:f>IF(OR($D122="",AU$5="",'상세일정'!AM122="제외"),"",IF($D122=$E122,IF(AND($D122&gt;=AU$5,$D122&lt;AU$5+7),"◆",""),IF(AND($D122&lt;AU$5+7,$E122&gt;AU$5),"■","")))</x:f>
      </x:c>
      <x:c r="AV122" s="7" t="str">
        <x:f>IF(OR($D122="",AV$5="",'상세일정'!AM122="제외"),"",IF($D122=$E122,IF(AND($D122&gt;=AV$5,$D122&lt;AV$5+7),"◆",""),IF(AND($D122&lt;AV$5+7,$E122&gt;AV$5),"■","")))</x:f>
      </x:c>
      <x:c r="AW122" s="7" t="str">
        <x:f>IF(OR($D122="",AW$5="",'상세일정'!AM122="제외"),"",IF($D122=$E122,IF(AND($D122&gt;=AW$5,$D122&lt;AW$5+7),"◆",""),IF(AND($D122&lt;AW$5+7,$E122&gt;AW$5),"■","")))</x:f>
      </x:c>
      <x:c r="AX122" s="7" t="str">
        <x:f>IF(OR($D122="",AX$5="",'상세일정'!AM122="제외"),"",IF($D122=$E122,IF(AND($D122&gt;=AX$5,$D122&lt;AX$5+7),"◆",""),IF(AND($D122&lt;AX$5+7,$E122&gt;AX$5),"■","")))</x:f>
      </x:c>
      <x:c r="AY122" s="7" t="str">
        <x:f>IF(OR($D122="",AY$5="",'상세일정'!AM122="제외"),"",IF($D122=$E122,IF(AND($D122&gt;=AY$5,$D122&lt;AY$5+7),"◆",""),IF(AND($D122&lt;AY$5+7,$E122&gt;AY$5),"■","")))</x:f>
      </x:c>
      <x:c r="AZ122" s="7" t="str">
        <x:f>IF(OR($D122="",AZ$5="",'상세일정'!AM122="제외"),"",IF($D122=$E122,IF(AND($D122&gt;=AZ$5,$D122&lt;AZ$5+7),"◆",""),IF(AND($D122&lt;AZ$5+7,$E122&gt;AZ$5),"■","")))</x:f>
      </x:c>
      <x:c r="BA122" s="7" t="str">
        <x:f>IF(OR($D122="",BA$5="",'상세일정'!AM122="제외"),"",IF($D122=$E122,IF(AND($D122&gt;=BA$5,$D122&lt;BA$5+7),"◆",""),IF(AND($D122&lt;BA$5+7,$E122&gt;BA$5),"■","")))</x:f>
      </x:c>
      <x:c r="BB122" s="7" t="str">
        <x:f>IF(OR($D122="",BB$5="",'상세일정'!AM122="제외"),"",IF($D122=$E122,IF(AND($D122&gt;=BB$5,$D122&lt;BB$5+7),"◆",""),IF(AND($D122&lt;BB$5+7,$E122&gt;BB$5),"■","")))</x:f>
      </x:c>
      <x:c r="BC122" s="7" t="str">
        <x:f>IF(OR($D122="",BC$5="",'상세일정'!AM122="제외"),"",IF($D122=$E122,IF(AND($D122&gt;=BC$5,$D122&lt;BC$5+7),"◆",""),IF(AND($D122&lt;BC$5+7,$E122&gt;BC$5),"■","")))</x:f>
      </x:c>
      <x:c r="BD122" s="7" t="str">
        <x:f>IF(OR($D122="",BD$5="",'상세일정'!AM122="제외"),"",IF($D122=$E122,IF(AND($D122&gt;=BD$5,$D122&lt;BD$5+7),"◆",""),IF(AND($D122&lt;BD$5+7,$E122&gt;BD$5),"■","")))</x:f>
      </x:c>
      <x:c r="BE122" s="7" t="str">
        <x:f>IF(OR($D122="",BE$5="",'상세일정'!AM122="제외"),"",IF($D122=$E122,IF(AND($D122&gt;=BE$5,$D122&lt;BE$5+7),"◆",""),IF(AND($D122&lt;BE$5+7,$E122&gt;BE$5),"■","")))</x:f>
      </x:c>
      <x:c r="BF122" s="7" t="str">
        <x:f>IF(OR($D122="",BF$5="",'상세일정'!AM122="제외"),"",IF($D122=$E122,IF(AND($D122&gt;=BF$5,$D122&lt;BF$5+7),"◆",""),IF(AND($D122&lt;BF$5+7,$E122&gt;BF$5),"■","")))</x:f>
      </x:c>
      <x:c r="BG122" s="7" t="str">
        <x:f>IF(OR($D122="",BG$5="",'상세일정'!AM122="제외"),"",IF($D122=$E122,IF(AND($D122&gt;=BG$5,$D122&lt;BG$5+7),"◆",""),IF(AND($D122&lt;BG$5+7,$E122&gt;BG$5),"■","")))</x:f>
      </x:c>
      <x:c r="BH122" s="7" t="str">
        <x:f>IF(OR($D122="",BH$5="",'상세일정'!AM122="제외"),"",IF($D122=$E122,IF(AND($D122&gt;=BH$5,$D122&lt;BH$5+7),"◆",""),IF(AND($D122&lt;BH$5+7,$E122&gt;BH$5),"■","")))</x:f>
      </x:c>
      <x:c r="BI122" s="7" t="str">
        <x:f>IF(OR($D122="",BI$5="",'상세일정'!AM122="제외"),"",IF($D122=$E122,IF(AND($D122&gt;=BI$5,$D122&lt;BI$5+7),"◆",""),IF(AND($D122&lt;BI$5+7,$E122&gt;BI$5),"■","")))</x:f>
      </x:c>
      <x:c r="BJ122" s="7" t="str">
        <x:f>IF(OR($D122="",BJ$5="",'상세일정'!AM122="제외"),"",IF($D122=$E122,IF(AND($D122&gt;=BJ$5,$D122&lt;BJ$5+7),"◆",""),IF(AND($D122&lt;BJ$5+7,$E122&gt;BJ$5),"■","")))</x:f>
      </x:c>
      <x:c r="BK122" s="7" t="str">
        <x:f>IF(OR($D122="",BK$5="",'상세일정'!AM122="제외"),"",IF($D122=$E122,IF(AND($D122&gt;=BK$5,$D122&lt;BK$5+7),"◆",""),IF(AND($D122&lt;BK$5+7,$E122&gt;BK$5),"■","")))</x:f>
      </x:c>
      <x:c r="BL122" s="7" t="str">
        <x:f>IF(OR($D122="",BL$5="",'상세일정'!AM122="제외"),"",IF($D122=$E122,IF(AND($D122&gt;=BL$5,$D122&lt;BL$5+7),"◆",""),IF(AND($D122&lt;BL$5+7,$E122&gt;BL$5),"■","")))</x:f>
      </x:c>
      <x:c r="BM122" s="7" t="str">
        <x:f>IF(OR($D122="",BM$5="",'상세일정'!AM122="제외"),"",IF($D122=$E122,IF(AND($D122&gt;=BM$5,$D122&lt;BM$5+7),"◆",""),IF(AND($D122&lt;BM$5+7,$E122&gt;BM$5),"■","")))</x:f>
      </x:c>
      <x:c r="BN122" s="7" t="str">
        <x:f>IF(OR($D122="",BN$5="",'상세일정'!AM122="제외"),"",IF($D122=$E122,IF(AND($D122&gt;=BN$5,$D122&lt;BN$5+7),"◆",""),IF(AND($D122&lt;BN$5+7,$E122&gt;BN$5),"■","")))</x:f>
      </x:c>
      <x:c r="BO122" s="7" t="str">
        <x:f>IF(OR($D122="",BO$5="",'상세일정'!AM122="제외"),"",IF($D122=$E122,IF(AND($D122&gt;=BO$5,$D122&lt;BO$5+7),"◆",""),IF(AND($D122&lt;BO$5+7,$E122&gt;BO$5),"■","")))</x:f>
      </x:c>
      <x:c r="BP122" s="7" t="str">
        <x:f>IF(OR($D122="",BP$5="",'상세일정'!AM122="제외"),"",IF($D122=$E122,IF(AND($D122&gt;=BP$5,$D122&lt;BP$5+7),"◆",""),IF(AND($D122&lt;BP$5+7,$E122&gt;BP$5),"■","")))</x:f>
      </x:c>
      <x:c r="BQ122" s="7" t="str">
        <x:f>IF(OR($D122="",BQ$5="",'상세일정'!AM122="제외"),"",IF($D122=$E122,IF(AND($D122&gt;=BQ$5,$D122&lt;BQ$5+7),"◆",""),IF(AND($D122&lt;BQ$5+7,$E122&gt;BQ$5),"■","")))</x:f>
      </x:c>
      <x:c r="BR122" s="7" t="str">
        <x:f>IF(OR($D122="",BR$5="",'상세일정'!AM122="제외"),"",IF($D122=$E122,IF(AND($D122&gt;=BR$5,$D122&lt;BR$5+7),"◆",""),IF(AND($D122&lt;BR$5+7,$E122&gt;BR$5),"■","")))</x:f>
      </x:c>
      <x:c r="BS122" s="7" t="str">
        <x:f>IF(OR($D122="",BS$5="",'상세일정'!AM122="제외"),"",IF($D122=$E122,IF(AND($D122&gt;=BS$5,$D122&lt;BS$5+7),"◆",""),IF(AND($D122&lt;BS$5+7,$E122&gt;BS$5),"■","")))</x:f>
      </x:c>
      <x:c r="BT122" s="7" t="str">
        <x:f>IF(OR($D122="",BT$5="",'상세일정'!AM122="제외"),"",IF($D122=$E122,IF(AND($D122&gt;=BT$5,$D122&lt;BT$5+7),"◆",""),IF(AND($D122&lt;BT$5+7,$E122&gt;BT$5),"■","")))</x:f>
      </x:c>
      <x:c r="BU122" s="7" t="str">
        <x:f>IF(OR($D122="",BU$5="",'상세일정'!AM122="제외"),"",IF($D122=$E122,IF(AND($D122&gt;=BU$5,$D122&lt;BU$5+7),"◆",""),IF(AND($D122&lt;BU$5+7,$E122&gt;BU$5),"■","")))</x:f>
      </x:c>
      <x:c r="BV122" s="7" t="str">
        <x:f>IF(OR($D122="",BV$5="",'상세일정'!AM122="제외"),"",IF($D122=$E122,IF(AND($D122&gt;=BV$5,$D122&lt;BV$5+7),"◆",""),IF(AND($D122&lt;BV$5+7,$E122&gt;BV$5),"■","")))</x:f>
      </x:c>
      <x:c r="BW122" s="7" t="str">
        <x:f>IF(OR($D122="",BW$5="",'상세일정'!AM122="제외"),"",IF($D122=$E122,IF(AND($D122&gt;=BW$5,$D122&lt;BW$5+7),"◆",""),IF(AND($D122&lt;BW$5+7,$E122&gt;BW$5),"■","")))</x:f>
      </x:c>
      <x:c r="BX122" s="7" t="str">
        <x:f>IF(OR($D122="",BX$5="",'상세일정'!AM122="제외"),"",IF($D122=$E122,IF(AND($D122&gt;=BX$5,$D122&lt;BX$5+7),"◆",""),IF(AND($D122&lt;BX$5+7,$E122&gt;BX$5),"■","")))</x:f>
      </x:c>
      <x:c r="BY122" s="7" t="str">
        <x:f>IF(OR($D122="",BY$5="",'상세일정'!AM122="제외"),"",IF($D122=$E122,IF(AND($D122&gt;=BY$5,$D122&lt;BY$5+7),"◆",""),IF(AND($D122&lt;BY$5+7,$E122&gt;BY$5),"■","")))</x:f>
      </x:c>
      <x:c r="BZ122" s="7" t="str">
        <x:f>IF(OR($D122="",BZ$5="",'상세일정'!AM122="제외"),"",IF($D122=$E122,IF(AND($D122&gt;=BZ$5,$D122&lt;BZ$5+7),"◆",""),IF(AND($D122&lt;BZ$5+7,$E122&gt;BZ$5),"■","")))</x:f>
      </x:c>
      <x:c r="CA122" s="7" t="str">
        <x:f>IF(OR($D122="",CA$5="",'상세일정'!AM122="제외"),"",IF($D122=$E122,IF(AND($D122&gt;=CA$5,$D122&lt;CA$5+7),"◆",""),IF(AND($D122&lt;CA$5+7,$E122&gt;CA$5),"■","")))</x:f>
      </x:c>
      <x:c r="CB122" s="7" t="str">
        <x:f>IF(OR($D122="",CB$5="",'상세일정'!AM122="제외"),"",IF($D122=$E122,IF(AND($D122&gt;=CB$5,$D122&lt;CB$5+7),"◆",""),IF(AND($D122&lt;CB$5+7,$E122&gt;CB$5),"■","")))</x:f>
      </x:c>
      <x:c r="CC122" s="7" t="str">
        <x:f>IF(OR($D122="",CC$5="",'상세일정'!AM122="제외"),"",IF($D122=$E122,IF(AND($D122&gt;=CC$5,$D122&lt;CC$5+7),"◆",""),IF(AND($D122&lt;CC$5+7,$E122&gt;CC$5),"■","")))</x:f>
      </x:c>
      <x:c r="CD122" s="7" t="str">
        <x:f>IF(OR($D122="",CD$5="",'상세일정'!AM122="제외"),"",IF($D122=$E122,IF(AND($D122&gt;=CD$5,$D122&lt;CD$5+7),"◆",""),IF(AND($D122&lt;CD$5+7,$E122&gt;CD$5),"■","")))</x:f>
      </x:c>
      <x:c r="CE122" s="7" t="str">
        <x:f>IF(OR($D122="",CE$5="",'상세일정'!AM122="제외"),"",IF($D122=$E122,IF(AND($D122&gt;=CE$5,$D122&lt;CE$5+7),"◆",""),IF(AND($D122&lt;CE$5+7,$E122&gt;CE$5),"■","")))</x:f>
      </x:c>
      <x:c r="CF122" s="7" t="str">
        <x:f>IF(OR($D122="",CF$5="",'상세일정'!AM122="제외"),"",IF($D122=$E122,IF(AND($D122&gt;=CF$5,$D122&lt;CF$5+7),"◆",""),IF(AND($D122&lt;CF$5+7,$E122&gt;CF$5),"■","")))</x:f>
      </x:c>
      <x:c r="CG122" s="7" t="str">
        <x:f>IF(OR($D122="",CG$5="",'상세일정'!AM122="제외"),"",IF($D122=$E122,IF(AND($D122&gt;=CG$5,$D122&lt;CG$5+7),"◆",""),IF(AND($D122&lt;CG$5+7,$E122&gt;CG$5),"■","")))</x:f>
      </x:c>
      <x:c r="CH122" s="7" t="str">
        <x:f>IF(OR($D122="",CH$5="",'상세일정'!AM122="제외"),"",IF($D122=$E122,IF(AND($D122&gt;=CH$5,$D122&lt;CH$5+7),"◆",""),IF(AND($D122&lt;CH$5+7,$E122&gt;CH$5),"■","")))</x:f>
      </x:c>
      <x:c r="CI122" s="7" t="str">
        <x:f>IF(OR($D122="",CI$5="",'상세일정'!AM122="제외"),"",IF($D122=$E122,IF(AND($D122&gt;=CI$5,$D122&lt;CI$5+7),"◆",""),IF(AND($D122&lt;CI$5+7,$E122&gt;CI$5),"■","")))</x:f>
      </x:c>
      <x:c r="CJ122" s="7" t="str">
        <x:f>IF(OR($D122="",CJ$5="",'상세일정'!AM122="제외"),"",IF($D122=$E122,IF(AND($D122&gt;=CJ$5,$D122&lt;CJ$5+7),"◆",""),IF(AND($D122&lt;CJ$5+7,$E122&gt;CJ$5),"■","")))</x:f>
      </x:c>
      <x:c r="CK122" s="7" t="str">
        <x:f>IF(OR($D122="",CK$5="",'상세일정'!AM122="제외"),"",IF($D122=$E122,IF(AND($D122&gt;=CK$5,$D122&lt;CK$5+7),"◆",""),IF(AND($D122&lt;CK$5+7,$E122&gt;CK$5),"■","")))</x:f>
      </x:c>
      <x:c r="CL122" s="7" t="str">
        <x:f>IF(OR($D122="",CL$5="",'상세일정'!AM122="제외"),"",IF($D122=$E122,IF(AND($D122&gt;=CL$5,$D122&lt;CL$5+7),"◆",""),IF(AND($D122&lt;CL$5+7,$E122&gt;CL$5),"■","")))</x:f>
      </x:c>
      <x:c r="CM122" s="7" t="str">
        <x:f>IF(OR($D122="",CM$5="",'상세일정'!AM122="제외"),"",IF($D122=$E122,IF(AND($D122&gt;=CM$5,$D122&lt;CM$5+7),"◆",""),IF(AND($D122&lt;CM$5+7,$E122&gt;CM$5),"■","")))</x:f>
      </x:c>
      <x:c r="CN122" s="7" t="str">
        <x:f>IF(OR($D122="",CN$5="",'상세일정'!AM122="제외"),"",IF($D122=$E122,IF(AND($D122&gt;=CN$5,$D122&lt;CN$5+7),"◆",""),IF(AND($D122&lt;CN$5+7,$E122&gt;CN$5),"■","")))</x:f>
      </x:c>
      <x:c r="CO122" s="7" t="str">
        <x:f>IF(OR($D122="",CO$5="",'상세일정'!AM122="제외"),"",IF($D122=$E122,IF(AND($D122&gt;=CO$5,$D122&lt;CO$5+7),"◆",""),IF(AND($D122&lt;CO$5+7,$E122&gt;CO$5),"■","")))</x:f>
      </x:c>
      <x:c r="CP122" s="7" t="str">
        <x:f>IF(OR($D122="",CP$5="",'상세일정'!AM122="제외"),"",IF($D122=$E122,IF(AND($D122&gt;=CP$5,$D122&lt;CP$5+7),"◆",""),IF(AND($D122&lt;CP$5+7,$E122&gt;CP$5),"■","")))</x:f>
      </x:c>
      <x:c r="CQ122" s="7" t="str">
        <x:f>IF(OR($D122="",CQ$5="",'상세일정'!AM122="제외"),"",IF($D122=$E122,IF(AND($D122&gt;=CQ$5,$D122&lt;CQ$5+7),"◆",""),IF(AND($D122&lt;CQ$5+7,$E122&gt;CQ$5),"■","")))</x:f>
      </x:c>
      <x:c r="CR122" s="7" t="str">
        <x:f>IF(OR($D122="",CR$5="",'상세일정'!AM122="제외"),"",IF($D122=$E122,IF(AND($D122&gt;=CR$5,$D122&lt;CR$5+7),"◆",""),IF(AND($D122&lt;CR$5+7,$E122&gt;CR$5),"■","")))</x:f>
      </x:c>
      <x:c r="CS122" s="7" t="str">
        <x:f>IF(OR($D122="",CS$5="",'상세일정'!AM122="제외"),"",IF($D122=$E122,IF(AND($D122&gt;=CS$5,$D122&lt;CS$5+7),"◆",""),IF(AND($D122&lt;CS$5+7,$E122&gt;CS$5),"■","")))</x:f>
      </x:c>
      <x:c r="CT122" s="7" t="str">
        <x:f>IF(OR($D122="",CT$5="",'상세일정'!AM122="제외"),"",IF($D122=$E122,IF(AND($D122&gt;=CT$5,$D122&lt;CT$5+7),"◆",""),IF(AND($D122&lt;CT$5+7,$E122&gt;CT$5),"■","")))</x:f>
      </x:c>
      <x:c r="CU122" s="7" t="str">
        <x:f>IF(OR($D122="",CU$5="",'상세일정'!AM122="제외"),"",IF($D122=$E122,IF(AND($D122&gt;=CU$5,$D122&lt;CU$5+7),"◆",""),IF(AND($D122&lt;CU$5+7,$E122&gt;CU$5),"■","")))</x:f>
      </x:c>
      <x:c r="CV122" s="7" t="str">
        <x:f>IF(OR($D122="",CV$5="",'상세일정'!AM122="제외"),"",IF($D122=$E122,IF(AND($D122&gt;=CV$5,$D122&lt;CV$5+7),"◆",""),IF(AND($D122&lt;CV$5+7,$E122&gt;CV$5),"■","")))</x:f>
      </x:c>
      <x:c r="CW122" s="7" t="str">
        <x:f>IF(OR($D122="",CW$5="",'상세일정'!AM122="제외"),"",IF($D122=$E122,IF(AND($D122&gt;=CW$5,$D122&lt;CW$5+7),"◆",""),IF(AND($D122&lt;CW$5+7,$E122&gt;CW$5),"■","")))</x:f>
      </x:c>
      <x:c r="CX122" s="7" t="str">
        <x:f>IF(OR($D122="",CX$5="",'상세일정'!AM122="제외"),"",IF($D122=$E122,IF(AND($D122&gt;=CX$5,$D122&lt;CX$5+7),"◆",""),IF(AND($D122&lt;CX$5+7,$E122&gt;CX$5),"■","")))</x:f>
      </x:c>
      <x:c r="CY122" s="7" t="str">
        <x:f>IF(OR($D122="",CY$5="",'상세일정'!AM122="제외"),"",IF($D122=$E122,IF(AND($D122&gt;=CY$5,$D122&lt;CY$5+7),"◆",""),IF(AND($D122&lt;CY$5+7,$E122&gt;CY$5),"■","")))</x:f>
      </x:c>
      <x:c r="CZ122" s="7" t="str">
        <x:f>IF(OR($D122="",CZ$5="",'상세일정'!AM122="제외"),"",IF($D122=$E122,IF(AND($D122&gt;=CZ$5,$D122&lt;CZ$5+7),"◆",""),IF(AND($D122&lt;CZ$5+7,$E122&gt;CZ$5),"■","")))</x:f>
      </x:c>
      <x:c r="DA122" s="7" t="str">
        <x:f>IF(OR($D122="",DA$5="",'상세일정'!AM122="제외"),"",IF($D122=$E122,IF(AND($D122&gt;=DA$5,$D122&lt;DA$5+7),"◆",""),IF(AND($D122&lt;DA$5+7,$E122&gt;DA$5),"■","")))</x:f>
      </x:c>
      <x:c r="DB122" s="7" t="str">
        <x:f>IF(OR($D122="",DB$5="",'상세일정'!AM122="제외"),"",IF($D122=$E122,IF(AND($D122&gt;=DB$5,$D122&lt;DB$5+7),"◆",""),IF(AND($D122&lt;DB$5+7,$E122&gt;DB$5),"■","")))</x:f>
      </x:c>
      <x:c r="DC122" s="7" t="str">
        <x:f>IF(OR($D122="",DC$5="",'상세일정'!AM122="제외"),"",IF($D122=$E122,IF(AND($D122&gt;=DC$5,$D122&lt;DC$5+7),"◆",""),IF(AND($D122&lt;DC$5+7,$E122&gt;DC$5),"■","")))</x:f>
      </x:c>
      <x:c r="DD122" s="7" t="str">
        <x:f>IF(OR($D122="",DD$5="",'상세일정'!AM122="제외"),"",IF($D122=$E122,IF(AND($D122&gt;=DD$5,$D122&lt;DD$5+7),"◆",""),IF(AND($D122&lt;DD$5+7,$E122&gt;DD$5),"■","")))</x:f>
      </x:c>
      <x:c r="DE122" s="7" t="str">
        <x:f>IF(OR($D122="",DE$5="",'상세일정'!AM122="제외"),"",IF($D122=$E122,IF(AND($D122&gt;=DE$5,$D122&lt;DE$5+7),"◆",""),IF(AND($D122&lt;DE$5+7,$E122&gt;DE$5),"■","")))</x:f>
      </x:c>
    </x:row>
    <x:row r="123" ht="34" customHeight="1">
      <x:c r="A123" s="7" t="str">
        <x:v>CP02</x:v>
      </x:c>
      <x:c r="B123" s="7" t="str">
        <x:v>16 기자재 구매·제작</x:v>
      </x:c>
      <x:c r="C123" s="7" t="str">
        <x:v>압축기 견적/TBE·계약조건·납기 합의</x:v>
      </x:c>
      <x:c r="D123" s="10" t="str">
        <x:f>'상세일정'!AJ123</x:f>
      </x:c>
      <x:c r="E123" s="10" t="str">
        <x:f>'상세일정'!AK123</x:f>
      </x:c>
      <x:c r="F123" s="7" t="str">
        <x:f>IF(OR($D123="",F$5="",'상세일정'!AM123="제외"),"",IF($D123=$E123,IF(AND($D123&gt;=F$5,$D123&lt;F$5+7),"◆",""),IF(AND($D123&lt;F$5+7,$E123&gt;F$5),"■","")))</x:f>
      </x:c>
      <x:c r="G123" s="7" t="str">
        <x:f>IF(OR($D123="",G$5="",'상세일정'!AM123="제외"),"",IF($D123=$E123,IF(AND($D123&gt;=G$5,$D123&lt;G$5+7),"◆",""),IF(AND($D123&lt;G$5+7,$E123&gt;G$5),"■","")))</x:f>
      </x:c>
      <x:c r="H123" s="7" t="str">
        <x:f>IF(OR($D123="",H$5="",'상세일정'!AM123="제외"),"",IF($D123=$E123,IF(AND($D123&gt;=H$5,$D123&lt;H$5+7),"◆",""),IF(AND($D123&lt;H$5+7,$E123&gt;H$5),"■","")))</x:f>
      </x:c>
      <x:c r="I123" s="7" t="str">
        <x:f>IF(OR($D123="",I$5="",'상세일정'!AM123="제외"),"",IF($D123=$E123,IF(AND($D123&gt;=I$5,$D123&lt;I$5+7),"◆",""),IF(AND($D123&lt;I$5+7,$E123&gt;I$5),"■","")))</x:f>
      </x:c>
      <x:c r="J123" s="7" t="str">
        <x:f>IF(OR($D123="",J$5="",'상세일정'!AM123="제외"),"",IF($D123=$E123,IF(AND($D123&gt;=J$5,$D123&lt;J$5+7),"◆",""),IF(AND($D123&lt;J$5+7,$E123&gt;J$5),"■","")))</x:f>
      </x:c>
      <x:c r="K123" s="7" t="str">
        <x:f>IF(OR($D123="",K$5="",'상세일정'!AM123="제외"),"",IF($D123=$E123,IF(AND($D123&gt;=K$5,$D123&lt;K$5+7),"◆",""),IF(AND($D123&lt;K$5+7,$E123&gt;K$5),"■","")))</x:f>
      </x:c>
      <x:c r="L123" s="7" t="str">
        <x:f>IF(OR($D123="",L$5="",'상세일정'!AM123="제외"),"",IF($D123=$E123,IF(AND($D123&gt;=L$5,$D123&lt;L$5+7),"◆",""),IF(AND($D123&lt;L$5+7,$E123&gt;L$5),"■","")))</x:f>
      </x:c>
      <x:c r="M123" s="7" t="str">
        <x:f>IF(OR($D123="",M$5="",'상세일정'!AM123="제외"),"",IF($D123=$E123,IF(AND($D123&gt;=M$5,$D123&lt;M$5+7),"◆",""),IF(AND($D123&lt;M$5+7,$E123&gt;M$5),"■","")))</x:f>
      </x:c>
      <x:c r="N123" s="7" t="str">
        <x:f>IF(OR($D123="",N$5="",'상세일정'!AM123="제외"),"",IF($D123=$E123,IF(AND($D123&gt;=N$5,$D123&lt;N$5+7),"◆",""),IF(AND($D123&lt;N$5+7,$E123&gt;N$5),"■","")))</x:f>
      </x:c>
      <x:c r="O123" s="7" t="str">
        <x:f>IF(OR($D123="",O$5="",'상세일정'!AM123="제외"),"",IF($D123=$E123,IF(AND($D123&gt;=O$5,$D123&lt;O$5+7),"◆",""),IF(AND($D123&lt;O$5+7,$E123&gt;O$5),"■","")))</x:f>
      </x:c>
      <x:c r="P123" s="7" t="str">
        <x:f>IF(OR($D123="",P$5="",'상세일정'!AM123="제외"),"",IF($D123=$E123,IF(AND($D123&gt;=P$5,$D123&lt;P$5+7),"◆",""),IF(AND($D123&lt;P$5+7,$E123&gt;P$5),"■","")))</x:f>
      </x:c>
      <x:c r="Q123" s="7" t="str">
        <x:f>IF(OR($D123="",Q$5="",'상세일정'!AM123="제외"),"",IF($D123=$E123,IF(AND($D123&gt;=Q$5,$D123&lt;Q$5+7),"◆",""),IF(AND($D123&lt;Q$5+7,$E123&gt;Q$5),"■","")))</x:f>
      </x:c>
      <x:c r="R123" s="7" t="str">
        <x:f>IF(OR($D123="",R$5="",'상세일정'!AM123="제외"),"",IF($D123=$E123,IF(AND($D123&gt;=R$5,$D123&lt;R$5+7),"◆",""),IF(AND($D123&lt;R$5+7,$E123&gt;R$5),"■","")))</x:f>
      </x:c>
      <x:c r="S123" s="7" t="str">
        <x:f>IF(OR($D123="",S$5="",'상세일정'!AM123="제외"),"",IF($D123=$E123,IF(AND($D123&gt;=S$5,$D123&lt;S$5+7),"◆",""),IF(AND($D123&lt;S$5+7,$E123&gt;S$5),"■","")))</x:f>
      </x:c>
      <x:c r="T123" s="7" t="str">
        <x:f>IF(OR($D123="",T$5="",'상세일정'!AM123="제외"),"",IF($D123=$E123,IF(AND($D123&gt;=T$5,$D123&lt;T$5+7),"◆",""),IF(AND($D123&lt;T$5+7,$E123&gt;T$5),"■","")))</x:f>
      </x:c>
      <x:c r="U123" s="7" t="str">
        <x:f>IF(OR($D123="",U$5="",'상세일정'!AM123="제외"),"",IF($D123=$E123,IF(AND($D123&gt;=U$5,$D123&lt;U$5+7),"◆",""),IF(AND($D123&lt;U$5+7,$E123&gt;U$5),"■","")))</x:f>
      </x:c>
      <x:c r="V123" s="7" t="str">
        <x:f>IF(OR($D123="",V$5="",'상세일정'!AM123="제외"),"",IF($D123=$E123,IF(AND($D123&gt;=V$5,$D123&lt;V$5+7),"◆",""),IF(AND($D123&lt;V$5+7,$E123&gt;V$5),"■","")))</x:f>
      </x:c>
      <x:c r="W123" s="7" t="str">
        <x:f>IF(OR($D123="",W$5="",'상세일정'!AM123="제외"),"",IF($D123=$E123,IF(AND($D123&gt;=W$5,$D123&lt;W$5+7),"◆",""),IF(AND($D123&lt;W$5+7,$E123&gt;W$5),"■","")))</x:f>
      </x:c>
      <x:c r="X123" s="7" t="str">
        <x:f>IF(OR($D123="",X$5="",'상세일정'!AM123="제외"),"",IF($D123=$E123,IF(AND($D123&gt;=X$5,$D123&lt;X$5+7),"◆",""),IF(AND($D123&lt;X$5+7,$E123&gt;X$5),"■","")))</x:f>
      </x:c>
      <x:c r="Y123" s="7" t="str">
        <x:f>IF(OR($D123="",Y$5="",'상세일정'!AM123="제외"),"",IF($D123=$E123,IF(AND($D123&gt;=Y$5,$D123&lt;Y$5+7),"◆",""),IF(AND($D123&lt;Y$5+7,$E123&gt;Y$5),"■","")))</x:f>
      </x:c>
      <x:c r="Z123" s="7" t="str">
        <x:f>IF(OR($D123="",Z$5="",'상세일정'!AM123="제외"),"",IF($D123=$E123,IF(AND($D123&gt;=Z$5,$D123&lt;Z$5+7),"◆",""),IF(AND($D123&lt;Z$5+7,$E123&gt;Z$5),"■","")))</x:f>
      </x:c>
      <x:c r="AA123" s="7" t="str">
        <x:f>IF(OR($D123="",AA$5="",'상세일정'!AM123="제외"),"",IF($D123=$E123,IF(AND($D123&gt;=AA$5,$D123&lt;AA$5+7),"◆",""),IF(AND($D123&lt;AA$5+7,$E123&gt;AA$5),"■","")))</x:f>
      </x:c>
      <x:c r="AB123" s="7" t="str">
        <x:f>IF(OR($D123="",AB$5="",'상세일정'!AM123="제외"),"",IF($D123=$E123,IF(AND($D123&gt;=AB$5,$D123&lt;AB$5+7),"◆",""),IF(AND($D123&lt;AB$5+7,$E123&gt;AB$5),"■","")))</x:f>
      </x:c>
      <x:c r="AC123" s="7" t="str">
        <x:f>IF(OR($D123="",AC$5="",'상세일정'!AM123="제외"),"",IF($D123=$E123,IF(AND($D123&gt;=AC$5,$D123&lt;AC$5+7),"◆",""),IF(AND($D123&lt;AC$5+7,$E123&gt;AC$5),"■","")))</x:f>
      </x:c>
      <x:c r="AD123" s="7" t="str">
        <x:f>IF(OR($D123="",AD$5="",'상세일정'!AM123="제외"),"",IF($D123=$E123,IF(AND($D123&gt;=AD$5,$D123&lt;AD$5+7),"◆",""),IF(AND($D123&lt;AD$5+7,$E123&gt;AD$5),"■","")))</x:f>
      </x:c>
      <x:c r="AE123" s="7" t="str">
        <x:f>IF(OR($D123="",AE$5="",'상세일정'!AM123="제외"),"",IF($D123=$E123,IF(AND($D123&gt;=AE$5,$D123&lt;AE$5+7),"◆",""),IF(AND($D123&lt;AE$5+7,$E123&gt;AE$5),"■","")))</x:f>
      </x:c>
      <x:c r="AF123" s="7" t="str">
        <x:f>IF(OR($D123="",AF$5="",'상세일정'!AM123="제외"),"",IF($D123=$E123,IF(AND($D123&gt;=AF$5,$D123&lt;AF$5+7),"◆",""),IF(AND($D123&lt;AF$5+7,$E123&gt;AF$5),"■","")))</x:f>
      </x:c>
      <x:c r="AG123" s="7" t="str">
        <x:f>IF(OR($D123="",AG$5="",'상세일정'!AM123="제외"),"",IF($D123=$E123,IF(AND($D123&gt;=AG$5,$D123&lt;AG$5+7),"◆",""),IF(AND($D123&lt;AG$5+7,$E123&gt;AG$5),"■","")))</x:f>
      </x:c>
      <x:c r="AH123" s="7" t="str">
        <x:f>IF(OR($D123="",AH$5="",'상세일정'!AM123="제외"),"",IF($D123=$E123,IF(AND($D123&gt;=AH$5,$D123&lt;AH$5+7),"◆",""),IF(AND($D123&lt;AH$5+7,$E123&gt;AH$5),"■","")))</x:f>
      </x:c>
      <x:c r="AI123" s="7" t="str">
        <x:f>IF(OR($D123="",AI$5="",'상세일정'!AM123="제외"),"",IF($D123=$E123,IF(AND($D123&gt;=AI$5,$D123&lt;AI$5+7),"◆",""),IF(AND($D123&lt;AI$5+7,$E123&gt;AI$5),"■","")))</x:f>
      </x:c>
      <x:c r="AJ123" s="7" t="str">
        <x:f>IF(OR($D123="",AJ$5="",'상세일정'!AM123="제외"),"",IF($D123=$E123,IF(AND($D123&gt;=AJ$5,$D123&lt;AJ$5+7),"◆",""),IF(AND($D123&lt;AJ$5+7,$E123&gt;AJ$5),"■","")))</x:f>
      </x:c>
      <x:c r="AK123" s="7" t="str">
        <x:f>IF(OR($D123="",AK$5="",'상세일정'!AM123="제외"),"",IF($D123=$E123,IF(AND($D123&gt;=AK$5,$D123&lt;AK$5+7),"◆",""),IF(AND($D123&lt;AK$5+7,$E123&gt;AK$5),"■","")))</x:f>
      </x:c>
      <x:c r="AL123" s="7" t="str">
        <x:f>IF(OR($D123="",AL$5="",'상세일정'!AM123="제외"),"",IF($D123=$E123,IF(AND($D123&gt;=AL$5,$D123&lt;AL$5+7),"◆",""),IF(AND($D123&lt;AL$5+7,$E123&gt;AL$5),"■","")))</x:f>
      </x:c>
      <x:c r="AM123" s="7" t="str">
        <x:f>IF(OR($D123="",AM$5="",'상세일정'!AM123="제외"),"",IF($D123=$E123,IF(AND($D123&gt;=AM$5,$D123&lt;AM$5+7),"◆",""),IF(AND($D123&lt;AM$5+7,$E123&gt;AM$5),"■","")))</x:f>
      </x:c>
      <x:c r="AN123" s="7" t="str">
        <x:f>IF(OR($D123="",AN$5="",'상세일정'!AM123="제외"),"",IF($D123=$E123,IF(AND($D123&gt;=AN$5,$D123&lt;AN$5+7),"◆",""),IF(AND($D123&lt;AN$5+7,$E123&gt;AN$5),"■","")))</x:f>
      </x:c>
      <x:c r="AO123" s="7" t="str">
        <x:f>IF(OR($D123="",AO$5="",'상세일정'!AM123="제외"),"",IF($D123=$E123,IF(AND($D123&gt;=AO$5,$D123&lt;AO$5+7),"◆",""),IF(AND($D123&lt;AO$5+7,$E123&gt;AO$5),"■","")))</x:f>
      </x:c>
      <x:c r="AP123" s="7" t="str">
        <x:f>IF(OR($D123="",AP$5="",'상세일정'!AM123="제외"),"",IF($D123=$E123,IF(AND($D123&gt;=AP$5,$D123&lt;AP$5+7),"◆",""),IF(AND($D123&lt;AP$5+7,$E123&gt;AP$5),"■","")))</x:f>
      </x:c>
      <x:c r="AQ123" s="7" t="str">
        <x:f>IF(OR($D123="",AQ$5="",'상세일정'!AM123="제외"),"",IF($D123=$E123,IF(AND($D123&gt;=AQ$5,$D123&lt;AQ$5+7),"◆",""),IF(AND($D123&lt;AQ$5+7,$E123&gt;AQ$5),"■","")))</x:f>
      </x:c>
      <x:c r="AR123" s="7" t="str">
        <x:f>IF(OR($D123="",AR$5="",'상세일정'!AM123="제외"),"",IF($D123=$E123,IF(AND($D123&gt;=AR$5,$D123&lt;AR$5+7),"◆",""),IF(AND($D123&lt;AR$5+7,$E123&gt;AR$5),"■","")))</x:f>
      </x:c>
      <x:c r="AS123" s="7" t="str">
        <x:f>IF(OR($D123="",AS$5="",'상세일정'!AM123="제외"),"",IF($D123=$E123,IF(AND($D123&gt;=AS$5,$D123&lt;AS$5+7),"◆",""),IF(AND($D123&lt;AS$5+7,$E123&gt;AS$5),"■","")))</x:f>
      </x:c>
      <x:c r="AT123" s="7" t="str">
        <x:f>IF(OR($D123="",AT$5="",'상세일정'!AM123="제외"),"",IF($D123=$E123,IF(AND($D123&gt;=AT$5,$D123&lt;AT$5+7),"◆",""),IF(AND($D123&lt;AT$5+7,$E123&gt;AT$5),"■","")))</x:f>
      </x:c>
      <x:c r="AU123" s="7" t="str">
        <x:f>IF(OR($D123="",AU$5="",'상세일정'!AM123="제외"),"",IF($D123=$E123,IF(AND($D123&gt;=AU$5,$D123&lt;AU$5+7),"◆",""),IF(AND($D123&lt;AU$5+7,$E123&gt;AU$5),"■","")))</x:f>
      </x:c>
      <x:c r="AV123" s="7" t="str">
        <x:f>IF(OR($D123="",AV$5="",'상세일정'!AM123="제외"),"",IF($D123=$E123,IF(AND($D123&gt;=AV$5,$D123&lt;AV$5+7),"◆",""),IF(AND($D123&lt;AV$5+7,$E123&gt;AV$5),"■","")))</x:f>
      </x:c>
      <x:c r="AW123" s="7" t="str">
        <x:f>IF(OR($D123="",AW$5="",'상세일정'!AM123="제외"),"",IF($D123=$E123,IF(AND($D123&gt;=AW$5,$D123&lt;AW$5+7),"◆",""),IF(AND($D123&lt;AW$5+7,$E123&gt;AW$5),"■","")))</x:f>
      </x:c>
      <x:c r="AX123" s="7" t="str">
        <x:f>IF(OR($D123="",AX$5="",'상세일정'!AM123="제외"),"",IF($D123=$E123,IF(AND($D123&gt;=AX$5,$D123&lt;AX$5+7),"◆",""),IF(AND($D123&lt;AX$5+7,$E123&gt;AX$5),"■","")))</x:f>
      </x:c>
      <x:c r="AY123" s="7" t="str">
        <x:f>IF(OR($D123="",AY$5="",'상세일정'!AM123="제외"),"",IF($D123=$E123,IF(AND($D123&gt;=AY$5,$D123&lt;AY$5+7),"◆",""),IF(AND($D123&lt;AY$5+7,$E123&gt;AY$5),"■","")))</x:f>
      </x:c>
      <x:c r="AZ123" s="7" t="str">
        <x:f>IF(OR($D123="",AZ$5="",'상세일정'!AM123="제외"),"",IF($D123=$E123,IF(AND($D123&gt;=AZ$5,$D123&lt;AZ$5+7),"◆",""),IF(AND($D123&lt;AZ$5+7,$E123&gt;AZ$5),"■","")))</x:f>
      </x:c>
      <x:c r="BA123" s="7" t="str">
        <x:f>IF(OR($D123="",BA$5="",'상세일정'!AM123="제외"),"",IF($D123=$E123,IF(AND($D123&gt;=BA$5,$D123&lt;BA$5+7),"◆",""),IF(AND($D123&lt;BA$5+7,$E123&gt;BA$5),"■","")))</x:f>
      </x:c>
      <x:c r="BB123" s="7" t="str">
        <x:f>IF(OR($D123="",BB$5="",'상세일정'!AM123="제외"),"",IF($D123=$E123,IF(AND($D123&gt;=BB$5,$D123&lt;BB$5+7),"◆",""),IF(AND($D123&lt;BB$5+7,$E123&gt;BB$5),"■","")))</x:f>
      </x:c>
      <x:c r="BC123" s="7" t="str">
        <x:f>IF(OR($D123="",BC$5="",'상세일정'!AM123="제외"),"",IF($D123=$E123,IF(AND($D123&gt;=BC$5,$D123&lt;BC$5+7),"◆",""),IF(AND($D123&lt;BC$5+7,$E123&gt;BC$5),"■","")))</x:f>
      </x:c>
      <x:c r="BD123" s="7" t="str">
        <x:f>IF(OR($D123="",BD$5="",'상세일정'!AM123="제외"),"",IF($D123=$E123,IF(AND($D123&gt;=BD$5,$D123&lt;BD$5+7),"◆",""),IF(AND($D123&lt;BD$5+7,$E123&gt;BD$5),"■","")))</x:f>
      </x:c>
      <x:c r="BE123" s="7" t="str">
        <x:f>IF(OR($D123="",BE$5="",'상세일정'!AM123="제외"),"",IF($D123=$E123,IF(AND($D123&gt;=BE$5,$D123&lt;BE$5+7),"◆",""),IF(AND($D123&lt;BE$5+7,$E123&gt;BE$5),"■","")))</x:f>
      </x:c>
      <x:c r="BF123" s="7" t="str">
        <x:f>IF(OR($D123="",BF$5="",'상세일정'!AM123="제외"),"",IF($D123=$E123,IF(AND($D123&gt;=BF$5,$D123&lt;BF$5+7),"◆",""),IF(AND($D123&lt;BF$5+7,$E123&gt;BF$5),"■","")))</x:f>
      </x:c>
      <x:c r="BG123" s="7" t="str">
        <x:f>IF(OR($D123="",BG$5="",'상세일정'!AM123="제외"),"",IF($D123=$E123,IF(AND($D123&gt;=BG$5,$D123&lt;BG$5+7),"◆",""),IF(AND($D123&lt;BG$5+7,$E123&gt;BG$5),"■","")))</x:f>
      </x:c>
      <x:c r="BH123" s="7" t="str">
        <x:f>IF(OR($D123="",BH$5="",'상세일정'!AM123="제외"),"",IF($D123=$E123,IF(AND($D123&gt;=BH$5,$D123&lt;BH$5+7),"◆",""),IF(AND($D123&lt;BH$5+7,$E123&gt;BH$5),"■","")))</x:f>
      </x:c>
      <x:c r="BI123" s="7" t="str">
        <x:f>IF(OR($D123="",BI$5="",'상세일정'!AM123="제외"),"",IF($D123=$E123,IF(AND($D123&gt;=BI$5,$D123&lt;BI$5+7),"◆",""),IF(AND($D123&lt;BI$5+7,$E123&gt;BI$5),"■","")))</x:f>
      </x:c>
      <x:c r="BJ123" s="7" t="str">
        <x:f>IF(OR($D123="",BJ$5="",'상세일정'!AM123="제외"),"",IF($D123=$E123,IF(AND($D123&gt;=BJ$5,$D123&lt;BJ$5+7),"◆",""),IF(AND($D123&lt;BJ$5+7,$E123&gt;BJ$5),"■","")))</x:f>
      </x:c>
      <x:c r="BK123" s="7" t="str">
        <x:f>IF(OR($D123="",BK$5="",'상세일정'!AM123="제외"),"",IF($D123=$E123,IF(AND($D123&gt;=BK$5,$D123&lt;BK$5+7),"◆",""),IF(AND($D123&lt;BK$5+7,$E123&gt;BK$5),"■","")))</x:f>
      </x:c>
      <x:c r="BL123" s="7" t="str">
        <x:f>IF(OR($D123="",BL$5="",'상세일정'!AM123="제외"),"",IF($D123=$E123,IF(AND($D123&gt;=BL$5,$D123&lt;BL$5+7),"◆",""),IF(AND($D123&lt;BL$5+7,$E123&gt;BL$5),"■","")))</x:f>
      </x:c>
      <x:c r="BM123" s="7" t="str">
        <x:f>IF(OR($D123="",BM$5="",'상세일정'!AM123="제외"),"",IF($D123=$E123,IF(AND($D123&gt;=BM$5,$D123&lt;BM$5+7),"◆",""),IF(AND($D123&lt;BM$5+7,$E123&gt;BM$5),"■","")))</x:f>
      </x:c>
      <x:c r="BN123" s="7" t="str">
        <x:f>IF(OR($D123="",BN$5="",'상세일정'!AM123="제외"),"",IF($D123=$E123,IF(AND($D123&gt;=BN$5,$D123&lt;BN$5+7),"◆",""),IF(AND($D123&lt;BN$5+7,$E123&gt;BN$5),"■","")))</x:f>
      </x:c>
      <x:c r="BO123" s="7" t="str">
        <x:f>IF(OR($D123="",BO$5="",'상세일정'!AM123="제외"),"",IF($D123=$E123,IF(AND($D123&gt;=BO$5,$D123&lt;BO$5+7),"◆",""),IF(AND($D123&lt;BO$5+7,$E123&gt;BO$5),"■","")))</x:f>
      </x:c>
      <x:c r="BP123" s="7" t="str">
        <x:f>IF(OR($D123="",BP$5="",'상세일정'!AM123="제외"),"",IF($D123=$E123,IF(AND($D123&gt;=BP$5,$D123&lt;BP$5+7),"◆",""),IF(AND($D123&lt;BP$5+7,$E123&gt;BP$5),"■","")))</x:f>
      </x:c>
      <x:c r="BQ123" s="7" t="str">
        <x:f>IF(OR($D123="",BQ$5="",'상세일정'!AM123="제외"),"",IF($D123=$E123,IF(AND($D123&gt;=BQ$5,$D123&lt;BQ$5+7),"◆",""),IF(AND($D123&lt;BQ$5+7,$E123&gt;BQ$5),"■","")))</x:f>
      </x:c>
      <x:c r="BR123" s="7" t="str">
        <x:f>IF(OR($D123="",BR$5="",'상세일정'!AM123="제외"),"",IF($D123=$E123,IF(AND($D123&gt;=BR$5,$D123&lt;BR$5+7),"◆",""),IF(AND($D123&lt;BR$5+7,$E123&gt;BR$5),"■","")))</x:f>
      </x:c>
      <x:c r="BS123" s="7" t="str">
        <x:f>IF(OR($D123="",BS$5="",'상세일정'!AM123="제외"),"",IF($D123=$E123,IF(AND($D123&gt;=BS$5,$D123&lt;BS$5+7),"◆",""),IF(AND($D123&lt;BS$5+7,$E123&gt;BS$5),"■","")))</x:f>
      </x:c>
      <x:c r="BT123" s="7" t="str">
        <x:f>IF(OR($D123="",BT$5="",'상세일정'!AM123="제외"),"",IF($D123=$E123,IF(AND($D123&gt;=BT$5,$D123&lt;BT$5+7),"◆",""),IF(AND($D123&lt;BT$5+7,$E123&gt;BT$5),"■","")))</x:f>
      </x:c>
      <x:c r="BU123" s="7" t="str">
        <x:f>IF(OR($D123="",BU$5="",'상세일정'!AM123="제외"),"",IF($D123=$E123,IF(AND($D123&gt;=BU$5,$D123&lt;BU$5+7),"◆",""),IF(AND($D123&lt;BU$5+7,$E123&gt;BU$5),"■","")))</x:f>
      </x:c>
      <x:c r="BV123" s="7" t="str">
        <x:f>IF(OR($D123="",BV$5="",'상세일정'!AM123="제외"),"",IF($D123=$E123,IF(AND($D123&gt;=BV$5,$D123&lt;BV$5+7),"◆",""),IF(AND($D123&lt;BV$5+7,$E123&gt;BV$5),"■","")))</x:f>
      </x:c>
      <x:c r="BW123" s="7" t="str">
        <x:f>IF(OR($D123="",BW$5="",'상세일정'!AM123="제외"),"",IF($D123=$E123,IF(AND($D123&gt;=BW$5,$D123&lt;BW$5+7),"◆",""),IF(AND($D123&lt;BW$5+7,$E123&gt;BW$5),"■","")))</x:f>
      </x:c>
      <x:c r="BX123" s="7" t="str">
        <x:f>IF(OR($D123="",BX$5="",'상세일정'!AM123="제외"),"",IF($D123=$E123,IF(AND($D123&gt;=BX$5,$D123&lt;BX$5+7),"◆",""),IF(AND($D123&lt;BX$5+7,$E123&gt;BX$5),"■","")))</x:f>
      </x:c>
      <x:c r="BY123" s="7" t="str">
        <x:f>IF(OR($D123="",BY$5="",'상세일정'!AM123="제외"),"",IF($D123=$E123,IF(AND($D123&gt;=BY$5,$D123&lt;BY$5+7),"◆",""),IF(AND($D123&lt;BY$5+7,$E123&gt;BY$5),"■","")))</x:f>
      </x:c>
      <x:c r="BZ123" s="7" t="str">
        <x:f>IF(OR($D123="",BZ$5="",'상세일정'!AM123="제외"),"",IF($D123=$E123,IF(AND($D123&gt;=BZ$5,$D123&lt;BZ$5+7),"◆",""),IF(AND($D123&lt;BZ$5+7,$E123&gt;BZ$5),"■","")))</x:f>
      </x:c>
      <x:c r="CA123" s="7" t="str">
        <x:f>IF(OR($D123="",CA$5="",'상세일정'!AM123="제외"),"",IF($D123=$E123,IF(AND($D123&gt;=CA$5,$D123&lt;CA$5+7),"◆",""),IF(AND($D123&lt;CA$5+7,$E123&gt;CA$5),"■","")))</x:f>
      </x:c>
      <x:c r="CB123" s="7" t="str">
        <x:f>IF(OR($D123="",CB$5="",'상세일정'!AM123="제외"),"",IF($D123=$E123,IF(AND($D123&gt;=CB$5,$D123&lt;CB$5+7),"◆",""),IF(AND($D123&lt;CB$5+7,$E123&gt;CB$5),"■","")))</x:f>
      </x:c>
      <x:c r="CC123" s="7" t="str">
        <x:f>IF(OR($D123="",CC$5="",'상세일정'!AM123="제외"),"",IF($D123=$E123,IF(AND($D123&gt;=CC$5,$D123&lt;CC$5+7),"◆",""),IF(AND($D123&lt;CC$5+7,$E123&gt;CC$5),"■","")))</x:f>
      </x:c>
      <x:c r="CD123" s="7" t="str">
        <x:f>IF(OR($D123="",CD$5="",'상세일정'!AM123="제외"),"",IF($D123=$E123,IF(AND($D123&gt;=CD$5,$D123&lt;CD$5+7),"◆",""),IF(AND($D123&lt;CD$5+7,$E123&gt;CD$5),"■","")))</x:f>
      </x:c>
      <x:c r="CE123" s="7" t="str">
        <x:f>IF(OR($D123="",CE$5="",'상세일정'!AM123="제외"),"",IF($D123=$E123,IF(AND($D123&gt;=CE$5,$D123&lt;CE$5+7),"◆",""),IF(AND($D123&lt;CE$5+7,$E123&gt;CE$5),"■","")))</x:f>
      </x:c>
      <x:c r="CF123" s="7" t="str">
        <x:f>IF(OR($D123="",CF$5="",'상세일정'!AM123="제외"),"",IF($D123=$E123,IF(AND($D123&gt;=CF$5,$D123&lt;CF$5+7),"◆",""),IF(AND($D123&lt;CF$5+7,$E123&gt;CF$5),"■","")))</x:f>
      </x:c>
      <x:c r="CG123" s="7" t="str">
        <x:f>IF(OR($D123="",CG$5="",'상세일정'!AM123="제외"),"",IF($D123=$E123,IF(AND($D123&gt;=CG$5,$D123&lt;CG$5+7),"◆",""),IF(AND($D123&lt;CG$5+7,$E123&gt;CG$5),"■","")))</x:f>
      </x:c>
      <x:c r="CH123" s="7" t="str">
        <x:f>IF(OR($D123="",CH$5="",'상세일정'!AM123="제외"),"",IF($D123=$E123,IF(AND($D123&gt;=CH$5,$D123&lt;CH$5+7),"◆",""),IF(AND($D123&lt;CH$5+7,$E123&gt;CH$5),"■","")))</x:f>
      </x:c>
      <x:c r="CI123" s="7" t="str">
        <x:f>IF(OR($D123="",CI$5="",'상세일정'!AM123="제외"),"",IF($D123=$E123,IF(AND($D123&gt;=CI$5,$D123&lt;CI$5+7),"◆",""),IF(AND($D123&lt;CI$5+7,$E123&gt;CI$5),"■","")))</x:f>
      </x:c>
      <x:c r="CJ123" s="7" t="str">
        <x:f>IF(OR($D123="",CJ$5="",'상세일정'!AM123="제외"),"",IF($D123=$E123,IF(AND($D123&gt;=CJ$5,$D123&lt;CJ$5+7),"◆",""),IF(AND($D123&lt;CJ$5+7,$E123&gt;CJ$5),"■","")))</x:f>
      </x:c>
      <x:c r="CK123" s="7" t="str">
        <x:f>IF(OR($D123="",CK$5="",'상세일정'!AM123="제외"),"",IF($D123=$E123,IF(AND($D123&gt;=CK$5,$D123&lt;CK$5+7),"◆",""),IF(AND($D123&lt;CK$5+7,$E123&gt;CK$5),"■","")))</x:f>
      </x:c>
      <x:c r="CL123" s="7" t="str">
        <x:f>IF(OR($D123="",CL$5="",'상세일정'!AM123="제외"),"",IF($D123=$E123,IF(AND($D123&gt;=CL$5,$D123&lt;CL$5+7),"◆",""),IF(AND($D123&lt;CL$5+7,$E123&gt;CL$5),"■","")))</x:f>
      </x:c>
      <x:c r="CM123" s="7" t="str">
        <x:f>IF(OR($D123="",CM$5="",'상세일정'!AM123="제외"),"",IF($D123=$E123,IF(AND($D123&gt;=CM$5,$D123&lt;CM$5+7),"◆",""),IF(AND($D123&lt;CM$5+7,$E123&gt;CM$5),"■","")))</x:f>
      </x:c>
      <x:c r="CN123" s="7" t="str">
        <x:f>IF(OR($D123="",CN$5="",'상세일정'!AM123="제외"),"",IF($D123=$E123,IF(AND($D123&gt;=CN$5,$D123&lt;CN$5+7),"◆",""),IF(AND($D123&lt;CN$5+7,$E123&gt;CN$5),"■","")))</x:f>
      </x:c>
      <x:c r="CO123" s="7" t="str">
        <x:f>IF(OR($D123="",CO$5="",'상세일정'!AM123="제외"),"",IF($D123=$E123,IF(AND($D123&gt;=CO$5,$D123&lt;CO$5+7),"◆",""),IF(AND($D123&lt;CO$5+7,$E123&gt;CO$5),"■","")))</x:f>
      </x:c>
      <x:c r="CP123" s="7" t="str">
        <x:f>IF(OR($D123="",CP$5="",'상세일정'!AM123="제외"),"",IF($D123=$E123,IF(AND($D123&gt;=CP$5,$D123&lt;CP$5+7),"◆",""),IF(AND($D123&lt;CP$5+7,$E123&gt;CP$5),"■","")))</x:f>
      </x:c>
      <x:c r="CQ123" s="7" t="str">
        <x:f>IF(OR($D123="",CQ$5="",'상세일정'!AM123="제외"),"",IF($D123=$E123,IF(AND($D123&gt;=CQ$5,$D123&lt;CQ$5+7),"◆",""),IF(AND($D123&lt;CQ$5+7,$E123&gt;CQ$5),"■","")))</x:f>
      </x:c>
      <x:c r="CR123" s="7" t="str">
        <x:f>IF(OR($D123="",CR$5="",'상세일정'!AM123="제외"),"",IF($D123=$E123,IF(AND($D123&gt;=CR$5,$D123&lt;CR$5+7),"◆",""),IF(AND($D123&lt;CR$5+7,$E123&gt;CR$5),"■","")))</x:f>
      </x:c>
      <x:c r="CS123" s="7" t="str">
        <x:f>IF(OR($D123="",CS$5="",'상세일정'!AM123="제외"),"",IF($D123=$E123,IF(AND($D123&gt;=CS$5,$D123&lt;CS$5+7),"◆",""),IF(AND($D123&lt;CS$5+7,$E123&gt;CS$5),"■","")))</x:f>
      </x:c>
      <x:c r="CT123" s="7" t="str">
        <x:f>IF(OR($D123="",CT$5="",'상세일정'!AM123="제외"),"",IF($D123=$E123,IF(AND($D123&gt;=CT$5,$D123&lt;CT$5+7),"◆",""),IF(AND($D123&lt;CT$5+7,$E123&gt;CT$5),"■","")))</x:f>
      </x:c>
      <x:c r="CU123" s="7" t="str">
        <x:f>IF(OR($D123="",CU$5="",'상세일정'!AM123="제외"),"",IF($D123=$E123,IF(AND($D123&gt;=CU$5,$D123&lt;CU$5+7),"◆",""),IF(AND($D123&lt;CU$5+7,$E123&gt;CU$5),"■","")))</x:f>
      </x:c>
      <x:c r="CV123" s="7" t="str">
        <x:f>IF(OR($D123="",CV$5="",'상세일정'!AM123="제외"),"",IF($D123=$E123,IF(AND($D123&gt;=CV$5,$D123&lt;CV$5+7),"◆",""),IF(AND($D123&lt;CV$5+7,$E123&gt;CV$5),"■","")))</x:f>
      </x:c>
      <x:c r="CW123" s="7" t="str">
        <x:f>IF(OR($D123="",CW$5="",'상세일정'!AM123="제외"),"",IF($D123=$E123,IF(AND($D123&gt;=CW$5,$D123&lt;CW$5+7),"◆",""),IF(AND($D123&lt;CW$5+7,$E123&gt;CW$5),"■","")))</x:f>
      </x:c>
      <x:c r="CX123" s="7" t="str">
        <x:f>IF(OR($D123="",CX$5="",'상세일정'!AM123="제외"),"",IF($D123=$E123,IF(AND($D123&gt;=CX$5,$D123&lt;CX$5+7),"◆",""),IF(AND($D123&lt;CX$5+7,$E123&gt;CX$5),"■","")))</x:f>
      </x:c>
      <x:c r="CY123" s="7" t="str">
        <x:f>IF(OR($D123="",CY$5="",'상세일정'!AM123="제외"),"",IF($D123=$E123,IF(AND($D123&gt;=CY$5,$D123&lt;CY$5+7),"◆",""),IF(AND($D123&lt;CY$5+7,$E123&gt;CY$5),"■","")))</x:f>
      </x:c>
      <x:c r="CZ123" s="7" t="str">
        <x:f>IF(OR($D123="",CZ$5="",'상세일정'!AM123="제외"),"",IF($D123=$E123,IF(AND($D123&gt;=CZ$5,$D123&lt;CZ$5+7),"◆",""),IF(AND($D123&lt;CZ$5+7,$E123&gt;CZ$5),"■","")))</x:f>
      </x:c>
      <x:c r="DA123" s="7" t="str">
        <x:f>IF(OR($D123="",DA$5="",'상세일정'!AM123="제외"),"",IF($D123=$E123,IF(AND($D123&gt;=DA$5,$D123&lt;DA$5+7),"◆",""),IF(AND($D123&lt;DA$5+7,$E123&gt;DA$5),"■","")))</x:f>
      </x:c>
      <x:c r="DB123" s="7" t="str">
        <x:f>IF(OR($D123="",DB$5="",'상세일정'!AM123="제외"),"",IF($D123=$E123,IF(AND($D123&gt;=DB$5,$D123&lt;DB$5+7),"◆",""),IF(AND($D123&lt;DB$5+7,$E123&gt;DB$5),"■","")))</x:f>
      </x:c>
      <x:c r="DC123" s="7" t="str">
        <x:f>IF(OR($D123="",DC$5="",'상세일정'!AM123="제외"),"",IF($D123=$E123,IF(AND($D123&gt;=DC$5,$D123&lt;DC$5+7),"◆",""),IF(AND($D123&lt;DC$5+7,$E123&gt;DC$5),"■","")))</x:f>
      </x:c>
      <x:c r="DD123" s="7" t="str">
        <x:f>IF(OR($D123="",DD$5="",'상세일정'!AM123="제외"),"",IF($D123=$E123,IF(AND($D123&gt;=DD$5,$D123&lt;DD$5+7),"◆",""),IF(AND($D123&lt;DD$5+7,$E123&gt;DD$5),"■","")))</x:f>
      </x:c>
      <x:c r="DE123" s="7" t="str">
        <x:f>IF(OR($D123="",DE$5="",'상세일정'!AM123="제외"),"",IF($D123=$E123,IF(AND($D123&gt;=DE$5,$D123&lt;DE$5+7),"◆",""),IF(AND($D123&lt;DE$5+7,$E123&gt;DE$5),"■","")))</x:f>
      </x:c>
    </x:row>
    <x:row r="124" ht="34" customHeight="1">
      <x:c r="A124" s="7" t="str">
        <x:v>CP03</x:v>
      </x:c>
      <x:c r="B124" s="7" t="str">
        <x:v>16 기자재 구매·제작</x:v>
      </x:c>
      <x:c r="C124" s="7" t="str">
        <x:v>압축기 제작도·ITP 승인</x:v>
      </x:c>
      <x:c r="D124" s="10" t="str">
        <x:f>'상세일정'!AJ124</x:f>
      </x:c>
      <x:c r="E124" s="10" t="str">
        <x:f>'상세일정'!AK124</x:f>
      </x:c>
      <x:c r="F124" s="7" t="str">
        <x:f>IF(OR($D124="",F$5="",'상세일정'!AM124="제외"),"",IF($D124=$E124,IF(AND($D124&gt;=F$5,$D124&lt;F$5+7),"◆",""),IF(AND($D124&lt;F$5+7,$E124&gt;F$5),"■","")))</x:f>
      </x:c>
      <x:c r="G124" s="7" t="str">
        <x:f>IF(OR($D124="",G$5="",'상세일정'!AM124="제외"),"",IF($D124=$E124,IF(AND($D124&gt;=G$5,$D124&lt;G$5+7),"◆",""),IF(AND($D124&lt;G$5+7,$E124&gt;G$5),"■","")))</x:f>
      </x:c>
      <x:c r="H124" s="7" t="str">
        <x:f>IF(OR($D124="",H$5="",'상세일정'!AM124="제외"),"",IF($D124=$E124,IF(AND($D124&gt;=H$5,$D124&lt;H$5+7),"◆",""),IF(AND($D124&lt;H$5+7,$E124&gt;H$5),"■","")))</x:f>
      </x:c>
      <x:c r="I124" s="7" t="str">
        <x:f>IF(OR($D124="",I$5="",'상세일정'!AM124="제외"),"",IF($D124=$E124,IF(AND($D124&gt;=I$5,$D124&lt;I$5+7),"◆",""),IF(AND($D124&lt;I$5+7,$E124&gt;I$5),"■","")))</x:f>
      </x:c>
      <x:c r="J124" s="7" t="str">
        <x:f>IF(OR($D124="",J$5="",'상세일정'!AM124="제외"),"",IF($D124=$E124,IF(AND($D124&gt;=J$5,$D124&lt;J$5+7),"◆",""),IF(AND($D124&lt;J$5+7,$E124&gt;J$5),"■","")))</x:f>
      </x:c>
      <x:c r="K124" s="7" t="str">
        <x:f>IF(OR($D124="",K$5="",'상세일정'!AM124="제외"),"",IF($D124=$E124,IF(AND($D124&gt;=K$5,$D124&lt;K$5+7),"◆",""),IF(AND($D124&lt;K$5+7,$E124&gt;K$5),"■","")))</x:f>
      </x:c>
      <x:c r="L124" s="7" t="str">
        <x:f>IF(OR($D124="",L$5="",'상세일정'!AM124="제외"),"",IF($D124=$E124,IF(AND($D124&gt;=L$5,$D124&lt;L$5+7),"◆",""),IF(AND($D124&lt;L$5+7,$E124&gt;L$5),"■","")))</x:f>
      </x:c>
      <x:c r="M124" s="7" t="str">
        <x:f>IF(OR($D124="",M$5="",'상세일정'!AM124="제외"),"",IF($D124=$E124,IF(AND($D124&gt;=M$5,$D124&lt;M$5+7),"◆",""),IF(AND($D124&lt;M$5+7,$E124&gt;M$5),"■","")))</x:f>
      </x:c>
      <x:c r="N124" s="7" t="str">
        <x:f>IF(OR($D124="",N$5="",'상세일정'!AM124="제외"),"",IF($D124=$E124,IF(AND($D124&gt;=N$5,$D124&lt;N$5+7),"◆",""),IF(AND($D124&lt;N$5+7,$E124&gt;N$5),"■","")))</x:f>
      </x:c>
      <x:c r="O124" s="7" t="str">
        <x:f>IF(OR($D124="",O$5="",'상세일정'!AM124="제외"),"",IF($D124=$E124,IF(AND($D124&gt;=O$5,$D124&lt;O$5+7),"◆",""),IF(AND($D124&lt;O$5+7,$E124&gt;O$5),"■","")))</x:f>
      </x:c>
      <x:c r="P124" s="7" t="str">
        <x:f>IF(OR($D124="",P$5="",'상세일정'!AM124="제외"),"",IF($D124=$E124,IF(AND($D124&gt;=P$5,$D124&lt;P$5+7),"◆",""),IF(AND($D124&lt;P$5+7,$E124&gt;P$5),"■","")))</x:f>
      </x:c>
      <x:c r="Q124" s="7" t="str">
        <x:f>IF(OR($D124="",Q$5="",'상세일정'!AM124="제외"),"",IF($D124=$E124,IF(AND($D124&gt;=Q$5,$D124&lt;Q$5+7),"◆",""),IF(AND($D124&lt;Q$5+7,$E124&gt;Q$5),"■","")))</x:f>
      </x:c>
      <x:c r="R124" s="7" t="str">
        <x:f>IF(OR($D124="",R$5="",'상세일정'!AM124="제외"),"",IF($D124=$E124,IF(AND($D124&gt;=R$5,$D124&lt;R$5+7),"◆",""),IF(AND($D124&lt;R$5+7,$E124&gt;R$5),"■","")))</x:f>
      </x:c>
      <x:c r="S124" s="7" t="str">
        <x:f>IF(OR($D124="",S$5="",'상세일정'!AM124="제외"),"",IF($D124=$E124,IF(AND($D124&gt;=S$5,$D124&lt;S$5+7),"◆",""),IF(AND($D124&lt;S$5+7,$E124&gt;S$5),"■","")))</x:f>
      </x:c>
      <x:c r="T124" s="7" t="str">
        <x:f>IF(OR($D124="",T$5="",'상세일정'!AM124="제외"),"",IF($D124=$E124,IF(AND($D124&gt;=T$5,$D124&lt;T$5+7),"◆",""),IF(AND($D124&lt;T$5+7,$E124&gt;T$5),"■","")))</x:f>
      </x:c>
      <x:c r="U124" s="7" t="str">
        <x:f>IF(OR($D124="",U$5="",'상세일정'!AM124="제외"),"",IF($D124=$E124,IF(AND($D124&gt;=U$5,$D124&lt;U$5+7),"◆",""),IF(AND($D124&lt;U$5+7,$E124&gt;U$5),"■","")))</x:f>
      </x:c>
      <x:c r="V124" s="7" t="str">
        <x:f>IF(OR($D124="",V$5="",'상세일정'!AM124="제외"),"",IF($D124=$E124,IF(AND($D124&gt;=V$5,$D124&lt;V$5+7),"◆",""),IF(AND($D124&lt;V$5+7,$E124&gt;V$5),"■","")))</x:f>
      </x:c>
      <x:c r="W124" s="7" t="str">
        <x:f>IF(OR($D124="",W$5="",'상세일정'!AM124="제외"),"",IF($D124=$E124,IF(AND($D124&gt;=W$5,$D124&lt;W$5+7),"◆",""),IF(AND($D124&lt;W$5+7,$E124&gt;W$5),"■","")))</x:f>
      </x:c>
      <x:c r="X124" s="7" t="str">
        <x:f>IF(OR($D124="",X$5="",'상세일정'!AM124="제외"),"",IF($D124=$E124,IF(AND($D124&gt;=X$5,$D124&lt;X$5+7),"◆",""),IF(AND($D124&lt;X$5+7,$E124&gt;X$5),"■","")))</x:f>
      </x:c>
      <x:c r="Y124" s="7" t="str">
        <x:f>IF(OR($D124="",Y$5="",'상세일정'!AM124="제외"),"",IF($D124=$E124,IF(AND($D124&gt;=Y$5,$D124&lt;Y$5+7),"◆",""),IF(AND($D124&lt;Y$5+7,$E124&gt;Y$5),"■","")))</x:f>
      </x:c>
      <x:c r="Z124" s="7" t="str">
        <x:f>IF(OR($D124="",Z$5="",'상세일정'!AM124="제외"),"",IF($D124=$E124,IF(AND($D124&gt;=Z$5,$D124&lt;Z$5+7),"◆",""),IF(AND($D124&lt;Z$5+7,$E124&gt;Z$5),"■","")))</x:f>
      </x:c>
      <x:c r="AA124" s="7" t="str">
        <x:f>IF(OR($D124="",AA$5="",'상세일정'!AM124="제외"),"",IF($D124=$E124,IF(AND($D124&gt;=AA$5,$D124&lt;AA$5+7),"◆",""),IF(AND($D124&lt;AA$5+7,$E124&gt;AA$5),"■","")))</x:f>
      </x:c>
      <x:c r="AB124" s="7" t="str">
        <x:f>IF(OR($D124="",AB$5="",'상세일정'!AM124="제외"),"",IF($D124=$E124,IF(AND($D124&gt;=AB$5,$D124&lt;AB$5+7),"◆",""),IF(AND($D124&lt;AB$5+7,$E124&gt;AB$5),"■","")))</x:f>
      </x:c>
      <x:c r="AC124" s="7" t="str">
        <x:f>IF(OR($D124="",AC$5="",'상세일정'!AM124="제외"),"",IF($D124=$E124,IF(AND($D124&gt;=AC$5,$D124&lt;AC$5+7),"◆",""),IF(AND($D124&lt;AC$5+7,$E124&gt;AC$5),"■","")))</x:f>
      </x:c>
      <x:c r="AD124" s="7" t="str">
        <x:f>IF(OR($D124="",AD$5="",'상세일정'!AM124="제외"),"",IF($D124=$E124,IF(AND($D124&gt;=AD$5,$D124&lt;AD$5+7),"◆",""),IF(AND($D124&lt;AD$5+7,$E124&gt;AD$5),"■","")))</x:f>
      </x:c>
      <x:c r="AE124" s="7" t="str">
        <x:f>IF(OR($D124="",AE$5="",'상세일정'!AM124="제외"),"",IF($D124=$E124,IF(AND($D124&gt;=AE$5,$D124&lt;AE$5+7),"◆",""),IF(AND($D124&lt;AE$5+7,$E124&gt;AE$5),"■","")))</x:f>
      </x:c>
      <x:c r="AF124" s="7" t="str">
        <x:f>IF(OR($D124="",AF$5="",'상세일정'!AM124="제외"),"",IF($D124=$E124,IF(AND($D124&gt;=AF$5,$D124&lt;AF$5+7),"◆",""),IF(AND($D124&lt;AF$5+7,$E124&gt;AF$5),"■","")))</x:f>
      </x:c>
      <x:c r="AG124" s="7" t="str">
        <x:f>IF(OR($D124="",AG$5="",'상세일정'!AM124="제외"),"",IF($D124=$E124,IF(AND($D124&gt;=AG$5,$D124&lt;AG$5+7),"◆",""),IF(AND($D124&lt;AG$5+7,$E124&gt;AG$5),"■","")))</x:f>
      </x:c>
      <x:c r="AH124" s="7" t="str">
        <x:f>IF(OR($D124="",AH$5="",'상세일정'!AM124="제외"),"",IF($D124=$E124,IF(AND($D124&gt;=AH$5,$D124&lt;AH$5+7),"◆",""),IF(AND($D124&lt;AH$5+7,$E124&gt;AH$5),"■","")))</x:f>
      </x:c>
      <x:c r="AI124" s="7" t="str">
        <x:f>IF(OR($D124="",AI$5="",'상세일정'!AM124="제외"),"",IF($D124=$E124,IF(AND($D124&gt;=AI$5,$D124&lt;AI$5+7),"◆",""),IF(AND($D124&lt;AI$5+7,$E124&gt;AI$5),"■","")))</x:f>
      </x:c>
      <x:c r="AJ124" s="7" t="str">
        <x:f>IF(OR($D124="",AJ$5="",'상세일정'!AM124="제외"),"",IF($D124=$E124,IF(AND($D124&gt;=AJ$5,$D124&lt;AJ$5+7),"◆",""),IF(AND($D124&lt;AJ$5+7,$E124&gt;AJ$5),"■","")))</x:f>
      </x:c>
      <x:c r="AK124" s="7" t="str">
        <x:f>IF(OR($D124="",AK$5="",'상세일정'!AM124="제외"),"",IF($D124=$E124,IF(AND($D124&gt;=AK$5,$D124&lt;AK$5+7),"◆",""),IF(AND($D124&lt;AK$5+7,$E124&gt;AK$5),"■","")))</x:f>
      </x:c>
      <x:c r="AL124" s="7" t="str">
        <x:f>IF(OR($D124="",AL$5="",'상세일정'!AM124="제외"),"",IF($D124=$E124,IF(AND($D124&gt;=AL$5,$D124&lt;AL$5+7),"◆",""),IF(AND($D124&lt;AL$5+7,$E124&gt;AL$5),"■","")))</x:f>
      </x:c>
      <x:c r="AM124" s="7" t="str">
        <x:f>IF(OR($D124="",AM$5="",'상세일정'!AM124="제외"),"",IF($D124=$E124,IF(AND($D124&gt;=AM$5,$D124&lt;AM$5+7),"◆",""),IF(AND($D124&lt;AM$5+7,$E124&gt;AM$5),"■","")))</x:f>
      </x:c>
      <x:c r="AN124" s="7" t="str">
        <x:f>IF(OR($D124="",AN$5="",'상세일정'!AM124="제외"),"",IF($D124=$E124,IF(AND($D124&gt;=AN$5,$D124&lt;AN$5+7),"◆",""),IF(AND($D124&lt;AN$5+7,$E124&gt;AN$5),"■","")))</x:f>
      </x:c>
      <x:c r="AO124" s="7" t="str">
        <x:f>IF(OR($D124="",AO$5="",'상세일정'!AM124="제외"),"",IF($D124=$E124,IF(AND($D124&gt;=AO$5,$D124&lt;AO$5+7),"◆",""),IF(AND($D124&lt;AO$5+7,$E124&gt;AO$5),"■","")))</x:f>
      </x:c>
      <x:c r="AP124" s="7" t="str">
        <x:f>IF(OR($D124="",AP$5="",'상세일정'!AM124="제외"),"",IF($D124=$E124,IF(AND($D124&gt;=AP$5,$D124&lt;AP$5+7),"◆",""),IF(AND($D124&lt;AP$5+7,$E124&gt;AP$5),"■","")))</x:f>
      </x:c>
      <x:c r="AQ124" s="7" t="str">
        <x:f>IF(OR($D124="",AQ$5="",'상세일정'!AM124="제외"),"",IF($D124=$E124,IF(AND($D124&gt;=AQ$5,$D124&lt;AQ$5+7),"◆",""),IF(AND($D124&lt;AQ$5+7,$E124&gt;AQ$5),"■","")))</x:f>
      </x:c>
      <x:c r="AR124" s="7" t="str">
        <x:f>IF(OR($D124="",AR$5="",'상세일정'!AM124="제외"),"",IF($D124=$E124,IF(AND($D124&gt;=AR$5,$D124&lt;AR$5+7),"◆",""),IF(AND($D124&lt;AR$5+7,$E124&gt;AR$5),"■","")))</x:f>
      </x:c>
      <x:c r="AS124" s="7" t="str">
        <x:f>IF(OR($D124="",AS$5="",'상세일정'!AM124="제외"),"",IF($D124=$E124,IF(AND($D124&gt;=AS$5,$D124&lt;AS$5+7),"◆",""),IF(AND($D124&lt;AS$5+7,$E124&gt;AS$5),"■","")))</x:f>
      </x:c>
      <x:c r="AT124" s="7" t="str">
        <x:f>IF(OR($D124="",AT$5="",'상세일정'!AM124="제외"),"",IF($D124=$E124,IF(AND($D124&gt;=AT$5,$D124&lt;AT$5+7),"◆",""),IF(AND($D124&lt;AT$5+7,$E124&gt;AT$5),"■","")))</x:f>
      </x:c>
      <x:c r="AU124" s="7" t="str">
        <x:f>IF(OR($D124="",AU$5="",'상세일정'!AM124="제외"),"",IF($D124=$E124,IF(AND($D124&gt;=AU$5,$D124&lt;AU$5+7),"◆",""),IF(AND($D124&lt;AU$5+7,$E124&gt;AU$5),"■","")))</x:f>
      </x:c>
      <x:c r="AV124" s="7" t="str">
        <x:f>IF(OR($D124="",AV$5="",'상세일정'!AM124="제외"),"",IF($D124=$E124,IF(AND($D124&gt;=AV$5,$D124&lt;AV$5+7),"◆",""),IF(AND($D124&lt;AV$5+7,$E124&gt;AV$5),"■","")))</x:f>
      </x:c>
      <x:c r="AW124" s="7" t="str">
        <x:f>IF(OR($D124="",AW$5="",'상세일정'!AM124="제외"),"",IF($D124=$E124,IF(AND($D124&gt;=AW$5,$D124&lt;AW$5+7),"◆",""),IF(AND($D124&lt;AW$5+7,$E124&gt;AW$5),"■","")))</x:f>
      </x:c>
      <x:c r="AX124" s="7" t="str">
        <x:f>IF(OR($D124="",AX$5="",'상세일정'!AM124="제외"),"",IF($D124=$E124,IF(AND($D124&gt;=AX$5,$D124&lt;AX$5+7),"◆",""),IF(AND($D124&lt;AX$5+7,$E124&gt;AX$5),"■","")))</x:f>
      </x:c>
      <x:c r="AY124" s="7" t="str">
        <x:f>IF(OR($D124="",AY$5="",'상세일정'!AM124="제외"),"",IF($D124=$E124,IF(AND($D124&gt;=AY$5,$D124&lt;AY$5+7),"◆",""),IF(AND($D124&lt;AY$5+7,$E124&gt;AY$5),"■","")))</x:f>
      </x:c>
      <x:c r="AZ124" s="7" t="str">
        <x:f>IF(OR($D124="",AZ$5="",'상세일정'!AM124="제외"),"",IF($D124=$E124,IF(AND($D124&gt;=AZ$5,$D124&lt;AZ$5+7),"◆",""),IF(AND($D124&lt;AZ$5+7,$E124&gt;AZ$5),"■","")))</x:f>
      </x:c>
      <x:c r="BA124" s="7" t="str">
        <x:f>IF(OR($D124="",BA$5="",'상세일정'!AM124="제외"),"",IF($D124=$E124,IF(AND($D124&gt;=BA$5,$D124&lt;BA$5+7),"◆",""),IF(AND($D124&lt;BA$5+7,$E124&gt;BA$5),"■","")))</x:f>
      </x:c>
      <x:c r="BB124" s="7" t="str">
        <x:f>IF(OR($D124="",BB$5="",'상세일정'!AM124="제외"),"",IF($D124=$E124,IF(AND($D124&gt;=BB$5,$D124&lt;BB$5+7),"◆",""),IF(AND($D124&lt;BB$5+7,$E124&gt;BB$5),"■","")))</x:f>
      </x:c>
      <x:c r="BC124" s="7" t="str">
        <x:f>IF(OR($D124="",BC$5="",'상세일정'!AM124="제외"),"",IF($D124=$E124,IF(AND($D124&gt;=BC$5,$D124&lt;BC$5+7),"◆",""),IF(AND($D124&lt;BC$5+7,$E124&gt;BC$5),"■","")))</x:f>
      </x:c>
      <x:c r="BD124" s="7" t="str">
        <x:f>IF(OR($D124="",BD$5="",'상세일정'!AM124="제외"),"",IF($D124=$E124,IF(AND($D124&gt;=BD$5,$D124&lt;BD$5+7),"◆",""),IF(AND($D124&lt;BD$5+7,$E124&gt;BD$5),"■","")))</x:f>
      </x:c>
      <x:c r="BE124" s="7" t="str">
        <x:f>IF(OR($D124="",BE$5="",'상세일정'!AM124="제외"),"",IF($D124=$E124,IF(AND($D124&gt;=BE$5,$D124&lt;BE$5+7),"◆",""),IF(AND($D124&lt;BE$5+7,$E124&gt;BE$5),"■","")))</x:f>
      </x:c>
      <x:c r="BF124" s="7" t="str">
        <x:f>IF(OR($D124="",BF$5="",'상세일정'!AM124="제외"),"",IF($D124=$E124,IF(AND($D124&gt;=BF$5,$D124&lt;BF$5+7),"◆",""),IF(AND($D124&lt;BF$5+7,$E124&gt;BF$5),"■","")))</x:f>
      </x:c>
      <x:c r="BG124" s="7" t="str">
        <x:f>IF(OR($D124="",BG$5="",'상세일정'!AM124="제외"),"",IF($D124=$E124,IF(AND($D124&gt;=BG$5,$D124&lt;BG$5+7),"◆",""),IF(AND($D124&lt;BG$5+7,$E124&gt;BG$5),"■","")))</x:f>
      </x:c>
      <x:c r="BH124" s="7" t="str">
        <x:f>IF(OR($D124="",BH$5="",'상세일정'!AM124="제외"),"",IF($D124=$E124,IF(AND($D124&gt;=BH$5,$D124&lt;BH$5+7),"◆",""),IF(AND($D124&lt;BH$5+7,$E124&gt;BH$5),"■","")))</x:f>
      </x:c>
      <x:c r="BI124" s="7" t="str">
        <x:f>IF(OR($D124="",BI$5="",'상세일정'!AM124="제외"),"",IF($D124=$E124,IF(AND($D124&gt;=BI$5,$D124&lt;BI$5+7),"◆",""),IF(AND($D124&lt;BI$5+7,$E124&gt;BI$5),"■","")))</x:f>
      </x:c>
      <x:c r="BJ124" s="7" t="str">
        <x:f>IF(OR($D124="",BJ$5="",'상세일정'!AM124="제외"),"",IF($D124=$E124,IF(AND($D124&gt;=BJ$5,$D124&lt;BJ$5+7),"◆",""),IF(AND($D124&lt;BJ$5+7,$E124&gt;BJ$5),"■","")))</x:f>
      </x:c>
      <x:c r="BK124" s="7" t="str">
        <x:f>IF(OR($D124="",BK$5="",'상세일정'!AM124="제외"),"",IF($D124=$E124,IF(AND($D124&gt;=BK$5,$D124&lt;BK$5+7),"◆",""),IF(AND($D124&lt;BK$5+7,$E124&gt;BK$5),"■","")))</x:f>
      </x:c>
      <x:c r="BL124" s="7" t="str">
        <x:f>IF(OR($D124="",BL$5="",'상세일정'!AM124="제외"),"",IF($D124=$E124,IF(AND($D124&gt;=BL$5,$D124&lt;BL$5+7),"◆",""),IF(AND($D124&lt;BL$5+7,$E124&gt;BL$5),"■","")))</x:f>
      </x:c>
      <x:c r="BM124" s="7" t="str">
        <x:f>IF(OR($D124="",BM$5="",'상세일정'!AM124="제외"),"",IF($D124=$E124,IF(AND($D124&gt;=BM$5,$D124&lt;BM$5+7),"◆",""),IF(AND($D124&lt;BM$5+7,$E124&gt;BM$5),"■","")))</x:f>
      </x:c>
      <x:c r="BN124" s="7" t="str">
        <x:f>IF(OR($D124="",BN$5="",'상세일정'!AM124="제외"),"",IF($D124=$E124,IF(AND($D124&gt;=BN$5,$D124&lt;BN$5+7),"◆",""),IF(AND($D124&lt;BN$5+7,$E124&gt;BN$5),"■","")))</x:f>
      </x:c>
      <x:c r="BO124" s="7" t="str">
        <x:f>IF(OR($D124="",BO$5="",'상세일정'!AM124="제외"),"",IF($D124=$E124,IF(AND($D124&gt;=BO$5,$D124&lt;BO$5+7),"◆",""),IF(AND($D124&lt;BO$5+7,$E124&gt;BO$5),"■","")))</x:f>
      </x:c>
      <x:c r="BP124" s="7" t="str">
        <x:f>IF(OR($D124="",BP$5="",'상세일정'!AM124="제외"),"",IF($D124=$E124,IF(AND($D124&gt;=BP$5,$D124&lt;BP$5+7),"◆",""),IF(AND($D124&lt;BP$5+7,$E124&gt;BP$5),"■","")))</x:f>
      </x:c>
      <x:c r="BQ124" s="7" t="str">
        <x:f>IF(OR($D124="",BQ$5="",'상세일정'!AM124="제외"),"",IF($D124=$E124,IF(AND($D124&gt;=BQ$5,$D124&lt;BQ$5+7),"◆",""),IF(AND($D124&lt;BQ$5+7,$E124&gt;BQ$5),"■","")))</x:f>
      </x:c>
      <x:c r="BR124" s="7" t="str">
        <x:f>IF(OR($D124="",BR$5="",'상세일정'!AM124="제외"),"",IF($D124=$E124,IF(AND($D124&gt;=BR$5,$D124&lt;BR$5+7),"◆",""),IF(AND($D124&lt;BR$5+7,$E124&gt;BR$5),"■","")))</x:f>
      </x:c>
      <x:c r="BS124" s="7" t="str">
        <x:f>IF(OR($D124="",BS$5="",'상세일정'!AM124="제외"),"",IF($D124=$E124,IF(AND($D124&gt;=BS$5,$D124&lt;BS$5+7),"◆",""),IF(AND($D124&lt;BS$5+7,$E124&gt;BS$5),"■","")))</x:f>
      </x:c>
      <x:c r="BT124" s="7" t="str">
        <x:f>IF(OR($D124="",BT$5="",'상세일정'!AM124="제외"),"",IF($D124=$E124,IF(AND($D124&gt;=BT$5,$D124&lt;BT$5+7),"◆",""),IF(AND($D124&lt;BT$5+7,$E124&gt;BT$5),"■","")))</x:f>
      </x:c>
      <x:c r="BU124" s="7" t="str">
        <x:f>IF(OR($D124="",BU$5="",'상세일정'!AM124="제외"),"",IF($D124=$E124,IF(AND($D124&gt;=BU$5,$D124&lt;BU$5+7),"◆",""),IF(AND($D124&lt;BU$5+7,$E124&gt;BU$5),"■","")))</x:f>
      </x:c>
      <x:c r="BV124" s="7" t="str">
        <x:f>IF(OR($D124="",BV$5="",'상세일정'!AM124="제외"),"",IF($D124=$E124,IF(AND($D124&gt;=BV$5,$D124&lt;BV$5+7),"◆",""),IF(AND($D124&lt;BV$5+7,$E124&gt;BV$5),"■","")))</x:f>
      </x:c>
      <x:c r="BW124" s="7" t="str">
        <x:f>IF(OR($D124="",BW$5="",'상세일정'!AM124="제외"),"",IF($D124=$E124,IF(AND($D124&gt;=BW$5,$D124&lt;BW$5+7),"◆",""),IF(AND($D124&lt;BW$5+7,$E124&gt;BW$5),"■","")))</x:f>
      </x:c>
      <x:c r="BX124" s="7" t="str">
        <x:f>IF(OR($D124="",BX$5="",'상세일정'!AM124="제외"),"",IF($D124=$E124,IF(AND($D124&gt;=BX$5,$D124&lt;BX$5+7),"◆",""),IF(AND($D124&lt;BX$5+7,$E124&gt;BX$5),"■","")))</x:f>
      </x:c>
      <x:c r="BY124" s="7" t="str">
        <x:f>IF(OR($D124="",BY$5="",'상세일정'!AM124="제외"),"",IF($D124=$E124,IF(AND($D124&gt;=BY$5,$D124&lt;BY$5+7),"◆",""),IF(AND($D124&lt;BY$5+7,$E124&gt;BY$5),"■","")))</x:f>
      </x:c>
      <x:c r="BZ124" s="7" t="str">
        <x:f>IF(OR($D124="",BZ$5="",'상세일정'!AM124="제외"),"",IF($D124=$E124,IF(AND($D124&gt;=BZ$5,$D124&lt;BZ$5+7),"◆",""),IF(AND($D124&lt;BZ$5+7,$E124&gt;BZ$5),"■","")))</x:f>
      </x:c>
      <x:c r="CA124" s="7" t="str">
        <x:f>IF(OR($D124="",CA$5="",'상세일정'!AM124="제외"),"",IF($D124=$E124,IF(AND($D124&gt;=CA$5,$D124&lt;CA$5+7),"◆",""),IF(AND($D124&lt;CA$5+7,$E124&gt;CA$5),"■","")))</x:f>
      </x:c>
      <x:c r="CB124" s="7" t="str">
        <x:f>IF(OR($D124="",CB$5="",'상세일정'!AM124="제외"),"",IF($D124=$E124,IF(AND($D124&gt;=CB$5,$D124&lt;CB$5+7),"◆",""),IF(AND($D124&lt;CB$5+7,$E124&gt;CB$5),"■","")))</x:f>
      </x:c>
      <x:c r="CC124" s="7" t="str">
        <x:f>IF(OR($D124="",CC$5="",'상세일정'!AM124="제외"),"",IF($D124=$E124,IF(AND($D124&gt;=CC$5,$D124&lt;CC$5+7),"◆",""),IF(AND($D124&lt;CC$5+7,$E124&gt;CC$5),"■","")))</x:f>
      </x:c>
      <x:c r="CD124" s="7" t="str">
        <x:f>IF(OR($D124="",CD$5="",'상세일정'!AM124="제외"),"",IF($D124=$E124,IF(AND($D124&gt;=CD$5,$D124&lt;CD$5+7),"◆",""),IF(AND($D124&lt;CD$5+7,$E124&gt;CD$5),"■","")))</x:f>
      </x:c>
      <x:c r="CE124" s="7" t="str">
        <x:f>IF(OR($D124="",CE$5="",'상세일정'!AM124="제외"),"",IF($D124=$E124,IF(AND($D124&gt;=CE$5,$D124&lt;CE$5+7),"◆",""),IF(AND($D124&lt;CE$5+7,$E124&gt;CE$5),"■","")))</x:f>
      </x:c>
      <x:c r="CF124" s="7" t="str">
        <x:f>IF(OR($D124="",CF$5="",'상세일정'!AM124="제외"),"",IF($D124=$E124,IF(AND($D124&gt;=CF$5,$D124&lt;CF$5+7),"◆",""),IF(AND($D124&lt;CF$5+7,$E124&gt;CF$5),"■","")))</x:f>
      </x:c>
      <x:c r="CG124" s="7" t="str">
        <x:f>IF(OR($D124="",CG$5="",'상세일정'!AM124="제외"),"",IF($D124=$E124,IF(AND($D124&gt;=CG$5,$D124&lt;CG$5+7),"◆",""),IF(AND($D124&lt;CG$5+7,$E124&gt;CG$5),"■","")))</x:f>
      </x:c>
      <x:c r="CH124" s="7" t="str">
        <x:f>IF(OR($D124="",CH$5="",'상세일정'!AM124="제외"),"",IF($D124=$E124,IF(AND($D124&gt;=CH$5,$D124&lt;CH$5+7),"◆",""),IF(AND($D124&lt;CH$5+7,$E124&gt;CH$5),"■","")))</x:f>
      </x:c>
      <x:c r="CI124" s="7" t="str">
        <x:f>IF(OR($D124="",CI$5="",'상세일정'!AM124="제외"),"",IF($D124=$E124,IF(AND($D124&gt;=CI$5,$D124&lt;CI$5+7),"◆",""),IF(AND($D124&lt;CI$5+7,$E124&gt;CI$5),"■","")))</x:f>
      </x:c>
      <x:c r="CJ124" s="7" t="str">
        <x:f>IF(OR($D124="",CJ$5="",'상세일정'!AM124="제외"),"",IF($D124=$E124,IF(AND($D124&gt;=CJ$5,$D124&lt;CJ$5+7),"◆",""),IF(AND($D124&lt;CJ$5+7,$E124&gt;CJ$5),"■","")))</x:f>
      </x:c>
      <x:c r="CK124" s="7" t="str">
        <x:f>IF(OR($D124="",CK$5="",'상세일정'!AM124="제외"),"",IF($D124=$E124,IF(AND($D124&gt;=CK$5,$D124&lt;CK$5+7),"◆",""),IF(AND($D124&lt;CK$5+7,$E124&gt;CK$5),"■","")))</x:f>
      </x:c>
      <x:c r="CL124" s="7" t="str">
        <x:f>IF(OR($D124="",CL$5="",'상세일정'!AM124="제외"),"",IF($D124=$E124,IF(AND($D124&gt;=CL$5,$D124&lt;CL$5+7),"◆",""),IF(AND($D124&lt;CL$5+7,$E124&gt;CL$5),"■","")))</x:f>
      </x:c>
      <x:c r="CM124" s="7" t="str">
        <x:f>IF(OR($D124="",CM$5="",'상세일정'!AM124="제외"),"",IF($D124=$E124,IF(AND($D124&gt;=CM$5,$D124&lt;CM$5+7),"◆",""),IF(AND($D124&lt;CM$5+7,$E124&gt;CM$5),"■","")))</x:f>
      </x:c>
      <x:c r="CN124" s="7" t="str">
        <x:f>IF(OR($D124="",CN$5="",'상세일정'!AM124="제외"),"",IF($D124=$E124,IF(AND($D124&gt;=CN$5,$D124&lt;CN$5+7),"◆",""),IF(AND($D124&lt;CN$5+7,$E124&gt;CN$5),"■","")))</x:f>
      </x:c>
      <x:c r="CO124" s="7" t="str">
        <x:f>IF(OR($D124="",CO$5="",'상세일정'!AM124="제외"),"",IF($D124=$E124,IF(AND($D124&gt;=CO$5,$D124&lt;CO$5+7),"◆",""),IF(AND($D124&lt;CO$5+7,$E124&gt;CO$5),"■","")))</x:f>
      </x:c>
      <x:c r="CP124" s="7" t="str">
        <x:f>IF(OR($D124="",CP$5="",'상세일정'!AM124="제외"),"",IF($D124=$E124,IF(AND($D124&gt;=CP$5,$D124&lt;CP$5+7),"◆",""),IF(AND($D124&lt;CP$5+7,$E124&gt;CP$5),"■","")))</x:f>
      </x:c>
      <x:c r="CQ124" s="7" t="str">
        <x:f>IF(OR($D124="",CQ$5="",'상세일정'!AM124="제외"),"",IF($D124=$E124,IF(AND($D124&gt;=CQ$5,$D124&lt;CQ$5+7),"◆",""),IF(AND($D124&lt;CQ$5+7,$E124&gt;CQ$5),"■","")))</x:f>
      </x:c>
      <x:c r="CR124" s="7" t="str">
        <x:f>IF(OR($D124="",CR$5="",'상세일정'!AM124="제외"),"",IF($D124=$E124,IF(AND($D124&gt;=CR$5,$D124&lt;CR$5+7),"◆",""),IF(AND($D124&lt;CR$5+7,$E124&gt;CR$5),"■","")))</x:f>
      </x:c>
      <x:c r="CS124" s="7" t="str">
        <x:f>IF(OR($D124="",CS$5="",'상세일정'!AM124="제외"),"",IF($D124=$E124,IF(AND($D124&gt;=CS$5,$D124&lt;CS$5+7),"◆",""),IF(AND($D124&lt;CS$5+7,$E124&gt;CS$5),"■","")))</x:f>
      </x:c>
      <x:c r="CT124" s="7" t="str">
        <x:f>IF(OR($D124="",CT$5="",'상세일정'!AM124="제외"),"",IF($D124=$E124,IF(AND($D124&gt;=CT$5,$D124&lt;CT$5+7),"◆",""),IF(AND($D124&lt;CT$5+7,$E124&gt;CT$5),"■","")))</x:f>
      </x:c>
      <x:c r="CU124" s="7" t="str">
        <x:f>IF(OR($D124="",CU$5="",'상세일정'!AM124="제외"),"",IF($D124=$E124,IF(AND($D124&gt;=CU$5,$D124&lt;CU$5+7),"◆",""),IF(AND($D124&lt;CU$5+7,$E124&gt;CU$5),"■","")))</x:f>
      </x:c>
      <x:c r="CV124" s="7" t="str">
        <x:f>IF(OR($D124="",CV$5="",'상세일정'!AM124="제외"),"",IF($D124=$E124,IF(AND($D124&gt;=CV$5,$D124&lt;CV$5+7),"◆",""),IF(AND($D124&lt;CV$5+7,$E124&gt;CV$5),"■","")))</x:f>
      </x:c>
      <x:c r="CW124" s="7" t="str">
        <x:f>IF(OR($D124="",CW$5="",'상세일정'!AM124="제외"),"",IF($D124=$E124,IF(AND($D124&gt;=CW$5,$D124&lt;CW$5+7),"◆",""),IF(AND($D124&lt;CW$5+7,$E124&gt;CW$5),"■","")))</x:f>
      </x:c>
      <x:c r="CX124" s="7" t="str">
        <x:f>IF(OR($D124="",CX$5="",'상세일정'!AM124="제외"),"",IF($D124=$E124,IF(AND($D124&gt;=CX$5,$D124&lt;CX$5+7),"◆",""),IF(AND($D124&lt;CX$5+7,$E124&gt;CX$5),"■","")))</x:f>
      </x:c>
      <x:c r="CY124" s="7" t="str">
        <x:f>IF(OR($D124="",CY$5="",'상세일정'!AM124="제외"),"",IF($D124=$E124,IF(AND($D124&gt;=CY$5,$D124&lt;CY$5+7),"◆",""),IF(AND($D124&lt;CY$5+7,$E124&gt;CY$5),"■","")))</x:f>
      </x:c>
      <x:c r="CZ124" s="7" t="str">
        <x:f>IF(OR($D124="",CZ$5="",'상세일정'!AM124="제외"),"",IF($D124=$E124,IF(AND($D124&gt;=CZ$5,$D124&lt;CZ$5+7),"◆",""),IF(AND($D124&lt;CZ$5+7,$E124&gt;CZ$5),"■","")))</x:f>
      </x:c>
      <x:c r="DA124" s="7" t="str">
        <x:f>IF(OR($D124="",DA$5="",'상세일정'!AM124="제외"),"",IF($D124=$E124,IF(AND($D124&gt;=DA$5,$D124&lt;DA$5+7),"◆",""),IF(AND($D124&lt;DA$5+7,$E124&gt;DA$5),"■","")))</x:f>
      </x:c>
      <x:c r="DB124" s="7" t="str">
        <x:f>IF(OR($D124="",DB$5="",'상세일정'!AM124="제외"),"",IF($D124=$E124,IF(AND($D124&gt;=DB$5,$D124&lt;DB$5+7),"◆",""),IF(AND($D124&lt;DB$5+7,$E124&gt;DB$5),"■","")))</x:f>
      </x:c>
      <x:c r="DC124" s="7" t="str">
        <x:f>IF(OR($D124="",DC$5="",'상세일정'!AM124="제외"),"",IF($D124=$E124,IF(AND($D124&gt;=DC$5,$D124&lt;DC$5+7),"◆",""),IF(AND($D124&lt;DC$5+7,$E124&gt;DC$5),"■","")))</x:f>
      </x:c>
      <x:c r="DD124" s="7" t="str">
        <x:f>IF(OR($D124="",DD$5="",'상세일정'!AM124="제외"),"",IF($D124=$E124,IF(AND($D124&gt;=DD$5,$D124&lt;DD$5+7),"◆",""),IF(AND($D124&lt;DD$5+7,$E124&gt;DD$5),"■","")))</x:f>
      </x:c>
      <x:c r="DE124" s="7" t="str">
        <x:f>IF(OR($D124="",DE$5="",'상세일정'!AM124="제외"),"",IF($D124=$E124,IF(AND($D124&gt;=DE$5,$D124&lt;DE$5+7),"◆",""),IF(AND($D124&lt;DE$5+7,$E124&gt;DE$5),"■","")))</x:f>
      </x:c>
    </x:row>
    <x:row r="125" ht="34" customHeight="1">
      <x:c r="A125" s="7" t="str">
        <x:v>CP04</x:v>
      </x:c>
      <x:c r="B125" s="7" t="str">
        <x:v>16 기자재 구매·제작</x:v>
      </x:c>
      <x:c r="C125" s="7" t="str">
        <x:v>압축기 자재조달·제작</x:v>
      </x:c>
      <x:c r="D125" s="10" t="str">
        <x:f>'상세일정'!AJ125</x:f>
      </x:c>
      <x:c r="E125" s="10" t="str">
        <x:f>'상세일정'!AK125</x:f>
      </x:c>
      <x:c r="F125" s="7" t="str">
        <x:f>IF(OR($D125="",F$5="",'상세일정'!AM125="제외"),"",IF($D125=$E125,IF(AND($D125&gt;=F$5,$D125&lt;F$5+7),"◆",""),IF(AND($D125&lt;F$5+7,$E125&gt;F$5),"■","")))</x:f>
      </x:c>
      <x:c r="G125" s="7" t="str">
        <x:f>IF(OR($D125="",G$5="",'상세일정'!AM125="제외"),"",IF($D125=$E125,IF(AND($D125&gt;=G$5,$D125&lt;G$5+7),"◆",""),IF(AND($D125&lt;G$5+7,$E125&gt;G$5),"■","")))</x:f>
      </x:c>
      <x:c r="H125" s="7" t="str">
        <x:f>IF(OR($D125="",H$5="",'상세일정'!AM125="제외"),"",IF($D125=$E125,IF(AND($D125&gt;=H$5,$D125&lt;H$5+7),"◆",""),IF(AND($D125&lt;H$5+7,$E125&gt;H$5),"■","")))</x:f>
      </x:c>
      <x:c r="I125" s="7" t="str">
        <x:f>IF(OR($D125="",I$5="",'상세일정'!AM125="제외"),"",IF($D125=$E125,IF(AND($D125&gt;=I$5,$D125&lt;I$5+7),"◆",""),IF(AND($D125&lt;I$5+7,$E125&gt;I$5),"■","")))</x:f>
      </x:c>
      <x:c r="J125" s="7" t="str">
        <x:f>IF(OR($D125="",J$5="",'상세일정'!AM125="제외"),"",IF($D125=$E125,IF(AND($D125&gt;=J$5,$D125&lt;J$5+7),"◆",""),IF(AND($D125&lt;J$5+7,$E125&gt;J$5),"■","")))</x:f>
      </x:c>
      <x:c r="K125" s="7" t="str">
        <x:f>IF(OR($D125="",K$5="",'상세일정'!AM125="제외"),"",IF($D125=$E125,IF(AND($D125&gt;=K$5,$D125&lt;K$5+7),"◆",""),IF(AND($D125&lt;K$5+7,$E125&gt;K$5),"■","")))</x:f>
      </x:c>
      <x:c r="L125" s="7" t="str">
        <x:f>IF(OR($D125="",L$5="",'상세일정'!AM125="제외"),"",IF($D125=$E125,IF(AND($D125&gt;=L$5,$D125&lt;L$5+7),"◆",""),IF(AND($D125&lt;L$5+7,$E125&gt;L$5),"■","")))</x:f>
      </x:c>
      <x:c r="M125" s="7" t="str">
        <x:f>IF(OR($D125="",M$5="",'상세일정'!AM125="제외"),"",IF($D125=$E125,IF(AND($D125&gt;=M$5,$D125&lt;M$5+7),"◆",""),IF(AND($D125&lt;M$5+7,$E125&gt;M$5),"■","")))</x:f>
      </x:c>
      <x:c r="N125" s="7" t="str">
        <x:f>IF(OR($D125="",N$5="",'상세일정'!AM125="제외"),"",IF($D125=$E125,IF(AND($D125&gt;=N$5,$D125&lt;N$5+7),"◆",""),IF(AND($D125&lt;N$5+7,$E125&gt;N$5),"■","")))</x:f>
      </x:c>
      <x:c r="O125" s="7" t="str">
        <x:f>IF(OR($D125="",O$5="",'상세일정'!AM125="제외"),"",IF($D125=$E125,IF(AND($D125&gt;=O$5,$D125&lt;O$5+7),"◆",""),IF(AND($D125&lt;O$5+7,$E125&gt;O$5),"■","")))</x:f>
      </x:c>
      <x:c r="P125" s="7" t="str">
        <x:f>IF(OR($D125="",P$5="",'상세일정'!AM125="제외"),"",IF($D125=$E125,IF(AND($D125&gt;=P$5,$D125&lt;P$5+7),"◆",""),IF(AND($D125&lt;P$5+7,$E125&gt;P$5),"■","")))</x:f>
      </x:c>
      <x:c r="Q125" s="7" t="str">
        <x:f>IF(OR($D125="",Q$5="",'상세일정'!AM125="제외"),"",IF($D125=$E125,IF(AND($D125&gt;=Q$5,$D125&lt;Q$5+7),"◆",""),IF(AND($D125&lt;Q$5+7,$E125&gt;Q$5),"■","")))</x:f>
      </x:c>
      <x:c r="R125" s="7" t="str">
        <x:f>IF(OR($D125="",R$5="",'상세일정'!AM125="제외"),"",IF($D125=$E125,IF(AND($D125&gt;=R$5,$D125&lt;R$5+7),"◆",""),IF(AND($D125&lt;R$5+7,$E125&gt;R$5),"■","")))</x:f>
      </x:c>
      <x:c r="S125" s="7" t="str">
        <x:f>IF(OR($D125="",S$5="",'상세일정'!AM125="제외"),"",IF($D125=$E125,IF(AND($D125&gt;=S$5,$D125&lt;S$5+7),"◆",""),IF(AND($D125&lt;S$5+7,$E125&gt;S$5),"■","")))</x:f>
      </x:c>
      <x:c r="T125" s="7" t="str">
        <x:f>IF(OR($D125="",T$5="",'상세일정'!AM125="제외"),"",IF($D125=$E125,IF(AND($D125&gt;=T$5,$D125&lt;T$5+7),"◆",""),IF(AND($D125&lt;T$5+7,$E125&gt;T$5),"■","")))</x:f>
      </x:c>
      <x:c r="U125" s="7" t="str">
        <x:f>IF(OR($D125="",U$5="",'상세일정'!AM125="제외"),"",IF($D125=$E125,IF(AND($D125&gt;=U$5,$D125&lt;U$5+7),"◆",""),IF(AND($D125&lt;U$5+7,$E125&gt;U$5),"■","")))</x:f>
      </x:c>
      <x:c r="V125" s="7" t="str">
        <x:f>IF(OR($D125="",V$5="",'상세일정'!AM125="제외"),"",IF($D125=$E125,IF(AND($D125&gt;=V$5,$D125&lt;V$5+7),"◆",""),IF(AND($D125&lt;V$5+7,$E125&gt;V$5),"■","")))</x:f>
      </x:c>
      <x:c r="W125" s="7" t="str">
        <x:f>IF(OR($D125="",W$5="",'상세일정'!AM125="제외"),"",IF($D125=$E125,IF(AND($D125&gt;=W$5,$D125&lt;W$5+7),"◆",""),IF(AND($D125&lt;W$5+7,$E125&gt;W$5),"■","")))</x:f>
      </x:c>
      <x:c r="X125" s="7" t="str">
        <x:f>IF(OR($D125="",X$5="",'상세일정'!AM125="제외"),"",IF($D125=$E125,IF(AND($D125&gt;=X$5,$D125&lt;X$5+7),"◆",""),IF(AND($D125&lt;X$5+7,$E125&gt;X$5),"■","")))</x:f>
      </x:c>
      <x:c r="Y125" s="7" t="str">
        <x:f>IF(OR($D125="",Y$5="",'상세일정'!AM125="제외"),"",IF($D125=$E125,IF(AND($D125&gt;=Y$5,$D125&lt;Y$5+7),"◆",""),IF(AND($D125&lt;Y$5+7,$E125&gt;Y$5),"■","")))</x:f>
      </x:c>
      <x:c r="Z125" s="7" t="str">
        <x:f>IF(OR($D125="",Z$5="",'상세일정'!AM125="제외"),"",IF($D125=$E125,IF(AND($D125&gt;=Z$5,$D125&lt;Z$5+7),"◆",""),IF(AND($D125&lt;Z$5+7,$E125&gt;Z$5),"■","")))</x:f>
      </x:c>
      <x:c r="AA125" s="7" t="str">
        <x:f>IF(OR($D125="",AA$5="",'상세일정'!AM125="제외"),"",IF($D125=$E125,IF(AND($D125&gt;=AA$5,$D125&lt;AA$5+7),"◆",""),IF(AND($D125&lt;AA$5+7,$E125&gt;AA$5),"■","")))</x:f>
      </x:c>
      <x:c r="AB125" s="7" t="str">
        <x:f>IF(OR($D125="",AB$5="",'상세일정'!AM125="제외"),"",IF($D125=$E125,IF(AND($D125&gt;=AB$5,$D125&lt;AB$5+7),"◆",""),IF(AND($D125&lt;AB$5+7,$E125&gt;AB$5),"■","")))</x:f>
      </x:c>
      <x:c r="AC125" s="7" t="str">
        <x:f>IF(OR($D125="",AC$5="",'상세일정'!AM125="제외"),"",IF($D125=$E125,IF(AND($D125&gt;=AC$5,$D125&lt;AC$5+7),"◆",""),IF(AND($D125&lt;AC$5+7,$E125&gt;AC$5),"■","")))</x:f>
      </x:c>
      <x:c r="AD125" s="7" t="str">
        <x:f>IF(OR($D125="",AD$5="",'상세일정'!AM125="제외"),"",IF($D125=$E125,IF(AND($D125&gt;=AD$5,$D125&lt;AD$5+7),"◆",""),IF(AND($D125&lt;AD$5+7,$E125&gt;AD$5),"■","")))</x:f>
      </x:c>
      <x:c r="AE125" s="7" t="str">
        <x:f>IF(OR($D125="",AE$5="",'상세일정'!AM125="제외"),"",IF($D125=$E125,IF(AND($D125&gt;=AE$5,$D125&lt;AE$5+7),"◆",""),IF(AND($D125&lt;AE$5+7,$E125&gt;AE$5),"■","")))</x:f>
      </x:c>
      <x:c r="AF125" s="7" t="str">
        <x:f>IF(OR($D125="",AF$5="",'상세일정'!AM125="제외"),"",IF($D125=$E125,IF(AND($D125&gt;=AF$5,$D125&lt;AF$5+7),"◆",""),IF(AND($D125&lt;AF$5+7,$E125&gt;AF$5),"■","")))</x:f>
      </x:c>
      <x:c r="AG125" s="7" t="str">
        <x:f>IF(OR($D125="",AG$5="",'상세일정'!AM125="제외"),"",IF($D125=$E125,IF(AND($D125&gt;=AG$5,$D125&lt;AG$5+7),"◆",""),IF(AND($D125&lt;AG$5+7,$E125&gt;AG$5),"■","")))</x:f>
      </x:c>
      <x:c r="AH125" s="7" t="str">
        <x:f>IF(OR($D125="",AH$5="",'상세일정'!AM125="제외"),"",IF($D125=$E125,IF(AND($D125&gt;=AH$5,$D125&lt;AH$5+7),"◆",""),IF(AND($D125&lt;AH$5+7,$E125&gt;AH$5),"■","")))</x:f>
      </x:c>
      <x:c r="AI125" s="7" t="str">
        <x:f>IF(OR($D125="",AI$5="",'상세일정'!AM125="제외"),"",IF($D125=$E125,IF(AND($D125&gt;=AI$5,$D125&lt;AI$5+7),"◆",""),IF(AND($D125&lt;AI$5+7,$E125&gt;AI$5),"■","")))</x:f>
      </x:c>
      <x:c r="AJ125" s="7" t="str">
        <x:f>IF(OR($D125="",AJ$5="",'상세일정'!AM125="제외"),"",IF($D125=$E125,IF(AND($D125&gt;=AJ$5,$D125&lt;AJ$5+7),"◆",""),IF(AND($D125&lt;AJ$5+7,$E125&gt;AJ$5),"■","")))</x:f>
      </x:c>
      <x:c r="AK125" s="7" t="str">
        <x:f>IF(OR($D125="",AK$5="",'상세일정'!AM125="제외"),"",IF($D125=$E125,IF(AND($D125&gt;=AK$5,$D125&lt;AK$5+7),"◆",""),IF(AND($D125&lt;AK$5+7,$E125&gt;AK$5),"■","")))</x:f>
      </x:c>
      <x:c r="AL125" s="7" t="str">
        <x:f>IF(OR($D125="",AL$5="",'상세일정'!AM125="제외"),"",IF($D125=$E125,IF(AND($D125&gt;=AL$5,$D125&lt;AL$5+7),"◆",""),IF(AND($D125&lt;AL$5+7,$E125&gt;AL$5),"■","")))</x:f>
      </x:c>
      <x:c r="AM125" s="7" t="str">
        <x:f>IF(OR($D125="",AM$5="",'상세일정'!AM125="제외"),"",IF($D125=$E125,IF(AND($D125&gt;=AM$5,$D125&lt;AM$5+7),"◆",""),IF(AND($D125&lt;AM$5+7,$E125&gt;AM$5),"■","")))</x:f>
      </x:c>
      <x:c r="AN125" s="7" t="str">
        <x:f>IF(OR($D125="",AN$5="",'상세일정'!AM125="제외"),"",IF($D125=$E125,IF(AND($D125&gt;=AN$5,$D125&lt;AN$5+7),"◆",""),IF(AND($D125&lt;AN$5+7,$E125&gt;AN$5),"■","")))</x:f>
      </x:c>
      <x:c r="AO125" s="7" t="str">
        <x:f>IF(OR($D125="",AO$5="",'상세일정'!AM125="제외"),"",IF($D125=$E125,IF(AND($D125&gt;=AO$5,$D125&lt;AO$5+7),"◆",""),IF(AND($D125&lt;AO$5+7,$E125&gt;AO$5),"■","")))</x:f>
      </x:c>
      <x:c r="AP125" s="7" t="str">
        <x:f>IF(OR($D125="",AP$5="",'상세일정'!AM125="제외"),"",IF($D125=$E125,IF(AND($D125&gt;=AP$5,$D125&lt;AP$5+7),"◆",""),IF(AND($D125&lt;AP$5+7,$E125&gt;AP$5),"■","")))</x:f>
      </x:c>
      <x:c r="AQ125" s="7" t="str">
        <x:f>IF(OR($D125="",AQ$5="",'상세일정'!AM125="제외"),"",IF($D125=$E125,IF(AND($D125&gt;=AQ$5,$D125&lt;AQ$5+7),"◆",""),IF(AND($D125&lt;AQ$5+7,$E125&gt;AQ$5),"■","")))</x:f>
      </x:c>
      <x:c r="AR125" s="7" t="str">
        <x:f>IF(OR($D125="",AR$5="",'상세일정'!AM125="제외"),"",IF($D125=$E125,IF(AND($D125&gt;=AR$5,$D125&lt;AR$5+7),"◆",""),IF(AND($D125&lt;AR$5+7,$E125&gt;AR$5),"■","")))</x:f>
      </x:c>
      <x:c r="AS125" s="7" t="str">
        <x:f>IF(OR($D125="",AS$5="",'상세일정'!AM125="제외"),"",IF($D125=$E125,IF(AND($D125&gt;=AS$5,$D125&lt;AS$5+7),"◆",""),IF(AND($D125&lt;AS$5+7,$E125&gt;AS$5),"■","")))</x:f>
      </x:c>
      <x:c r="AT125" s="7" t="str">
        <x:f>IF(OR($D125="",AT$5="",'상세일정'!AM125="제외"),"",IF($D125=$E125,IF(AND($D125&gt;=AT$5,$D125&lt;AT$5+7),"◆",""),IF(AND($D125&lt;AT$5+7,$E125&gt;AT$5),"■","")))</x:f>
      </x:c>
      <x:c r="AU125" s="7" t="str">
        <x:f>IF(OR($D125="",AU$5="",'상세일정'!AM125="제외"),"",IF($D125=$E125,IF(AND($D125&gt;=AU$5,$D125&lt;AU$5+7),"◆",""),IF(AND($D125&lt;AU$5+7,$E125&gt;AU$5),"■","")))</x:f>
      </x:c>
      <x:c r="AV125" s="7" t="str">
        <x:f>IF(OR($D125="",AV$5="",'상세일정'!AM125="제외"),"",IF($D125=$E125,IF(AND($D125&gt;=AV$5,$D125&lt;AV$5+7),"◆",""),IF(AND($D125&lt;AV$5+7,$E125&gt;AV$5),"■","")))</x:f>
      </x:c>
      <x:c r="AW125" s="7" t="str">
        <x:f>IF(OR($D125="",AW$5="",'상세일정'!AM125="제외"),"",IF($D125=$E125,IF(AND($D125&gt;=AW$5,$D125&lt;AW$5+7),"◆",""),IF(AND($D125&lt;AW$5+7,$E125&gt;AW$5),"■","")))</x:f>
      </x:c>
      <x:c r="AX125" s="7" t="str">
        <x:f>IF(OR($D125="",AX$5="",'상세일정'!AM125="제외"),"",IF($D125=$E125,IF(AND($D125&gt;=AX$5,$D125&lt;AX$5+7),"◆",""),IF(AND($D125&lt;AX$5+7,$E125&gt;AX$5),"■","")))</x:f>
      </x:c>
      <x:c r="AY125" s="7" t="str">
        <x:f>IF(OR($D125="",AY$5="",'상세일정'!AM125="제외"),"",IF($D125=$E125,IF(AND($D125&gt;=AY$5,$D125&lt;AY$5+7),"◆",""),IF(AND($D125&lt;AY$5+7,$E125&gt;AY$5),"■","")))</x:f>
      </x:c>
      <x:c r="AZ125" s="7" t="str">
        <x:f>IF(OR($D125="",AZ$5="",'상세일정'!AM125="제외"),"",IF($D125=$E125,IF(AND($D125&gt;=AZ$5,$D125&lt;AZ$5+7),"◆",""),IF(AND($D125&lt;AZ$5+7,$E125&gt;AZ$5),"■","")))</x:f>
      </x:c>
      <x:c r="BA125" s="7" t="str">
        <x:f>IF(OR($D125="",BA$5="",'상세일정'!AM125="제외"),"",IF($D125=$E125,IF(AND($D125&gt;=BA$5,$D125&lt;BA$5+7),"◆",""),IF(AND($D125&lt;BA$5+7,$E125&gt;BA$5),"■","")))</x:f>
      </x:c>
      <x:c r="BB125" s="7" t="str">
        <x:f>IF(OR($D125="",BB$5="",'상세일정'!AM125="제외"),"",IF($D125=$E125,IF(AND($D125&gt;=BB$5,$D125&lt;BB$5+7),"◆",""),IF(AND($D125&lt;BB$5+7,$E125&gt;BB$5),"■","")))</x:f>
      </x:c>
      <x:c r="BC125" s="7" t="str">
        <x:f>IF(OR($D125="",BC$5="",'상세일정'!AM125="제외"),"",IF($D125=$E125,IF(AND($D125&gt;=BC$5,$D125&lt;BC$5+7),"◆",""),IF(AND($D125&lt;BC$5+7,$E125&gt;BC$5),"■","")))</x:f>
      </x:c>
      <x:c r="BD125" s="7" t="str">
        <x:f>IF(OR($D125="",BD$5="",'상세일정'!AM125="제외"),"",IF($D125=$E125,IF(AND($D125&gt;=BD$5,$D125&lt;BD$5+7),"◆",""),IF(AND($D125&lt;BD$5+7,$E125&gt;BD$5),"■","")))</x:f>
      </x:c>
      <x:c r="BE125" s="7" t="str">
        <x:f>IF(OR($D125="",BE$5="",'상세일정'!AM125="제외"),"",IF($D125=$E125,IF(AND($D125&gt;=BE$5,$D125&lt;BE$5+7),"◆",""),IF(AND($D125&lt;BE$5+7,$E125&gt;BE$5),"■","")))</x:f>
      </x:c>
      <x:c r="BF125" s="7" t="str">
        <x:f>IF(OR($D125="",BF$5="",'상세일정'!AM125="제외"),"",IF($D125=$E125,IF(AND($D125&gt;=BF$5,$D125&lt;BF$5+7),"◆",""),IF(AND($D125&lt;BF$5+7,$E125&gt;BF$5),"■","")))</x:f>
      </x:c>
      <x:c r="BG125" s="7" t="str">
        <x:f>IF(OR($D125="",BG$5="",'상세일정'!AM125="제외"),"",IF($D125=$E125,IF(AND($D125&gt;=BG$5,$D125&lt;BG$5+7),"◆",""),IF(AND($D125&lt;BG$5+7,$E125&gt;BG$5),"■","")))</x:f>
      </x:c>
      <x:c r="BH125" s="7" t="str">
        <x:f>IF(OR($D125="",BH$5="",'상세일정'!AM125="제외"),"",IF($D125=$E125,IF(AND($D125&gt;=BH$5,$D125&lt;BH$5+7),"◆",""),IF(AND($D125&lt;BH$5+7,$E125&gt;BH$5),"■","")))</x:f>
      </x:c>
      <x:c r="BI125" s="7" t="str">
        <x:f>IF(OR($D125="",BI$5="",'상세일정'!AM125="제외"),"",IF($D125=$E125,IF(AND($D125&gt;=BI$5,$D125&lt;BI$5+7),"◆",""),IF(AND($D125&lt;BI$5+7,$E125&gt;BI$5),"■","")))</x:f>
      </x:c>
      <x:c r="BJ125" s="7" t="str">
        <x:f>IF(OR($D125="",BJ$5="",'상세일정'!AM125="제외"),"",IF($D125=$E125,IF(AND($D125&gt;=BJ$5,$D125&lt;BJ$5+7),"◆",""),IF(AND($D125&lt;BJ$5+7,$E125&gt;BJ$5),"■","")))</x:f>
      </x:c>
      <x:c r="BK125" s="7" t="str">
        <x:f>IF(OR($D125="",BK$5="",'상세일정'!AM125="제외"),"",IF($D125=$E125,IF(AND($D125&gt;=BK$5,$D125&lt;BK$5+7),"◆",""),IF(AND($D125&lt;BK$5+7,$E125&gt;BK$5),"■","")))</x:f>
      </x:c>
      <x:c r="BL125" s="7" t="str">
        <x:f>IF(OR($D125="",BL$5="",'상세일정'!AM125="제외"),"",IF($D125=$E125,IF(AND($D125&gt;=BL$5,$D125&lt;BL$5+7),"◆",""),IF(AND($D125&lt;BL$5+7,$E125&gt;BL$5),"■","")))</x:f>
      </x:c>
      <x:c r="BM125" s="7" t="str">
        <x:f>IF(OR($D125="",BM$5="",'상세일정'!AM125="제외"),"",IF($D125=$E125,IF(AND($D125&gt;=BM$5,$D125&lt;BM$5+7),"◆",""),IF(AND($D125&lt;BM$5+7,$E125&gt;BM$5),"■","")))</x:f>
      </x:c>
      <x:c r="BN125" s="7" t="str">
        <x:f>IF(OR($D125="",BN$5="",'상세일정'!AM125="제외"),"",IF($D125=$E125,IF(AND($D125&gt;=BN$5,$D125&lt;BN$5+7),"◆",""),IF(AND($D125&lt;BN$5+7,$E125&gt;BN$5),"■","")))</x:f>
      </x:c>
      <x:c r="BO125" s="7" t="str">
        <x:f>IF(OR($D125="",BO$5="",'상세일정'!AM125="제외"),"",IF($D125=$E125,IF(AND($D125&gt;=BO$5,$D125&lt;BO$5+7),"◆",""),IF(AND($D125&lt;BO$5+7,$E125&gt;BO$5),"■","")))</x:f>
      </x:c>
      <x:c r="BP125" s="7" t="str">
        <x:f>IF(OR($D125="",BP$5="",'상세일정'!AM125="제외"),"",IF($D125=$E125,IF(AND($D125&gt;=BP$5,$D125&lt;BP$5+7),"◆",""),IF(AND($D125&lt;BP$5+7,$E125&gt;BP$5),"■","")))</x:f>
      </x:c>
      <x:c r="BQ125" s="7" t="str">
        <x:f>IF(OR($D125="",BQ$5="",'상세일정'!AM125="제외"),"",IF($D125=$E125,IF(AND($D125&gt;=BQ$5,$D125&lt;BQ$5+7),"◆",""),IF(AND($D125&lt;BQ$5+7,$E125&gt;BQ$5),"■","")))</x:f>
      </x:c>
      <x:c r="BR125" s="7" t="str">
        <x:f>IF(OR($D125="",BR$5="",'상세일정'!AM125="제외"),"",IF($D125=$E125,IF(AND($D125&gt;=BR$5,$D125&lt;BR$5+7),"◆",""),IF(AND($D125&lt;BR$5+7,$E125&gt;BR$5),"■","")))</x:f>
      </x:c>
      <x:c r="BS125" s="7" t="str">
        <x:f>IF(OR($D125="",BS$5="",'상세일정'!AM125="제외"),"",IF($D125=$E125,IF(AND($D125&gt;=BS$5,$D125&lt;BS$5+7),"◆",""),IF(AND($D125&lt;BS$5+7,$E125&gt;BS$5),"■","")))</x:f>
      </x:c>
      <x:c r="BT125" s="7" t="str">
        <x:f>IF(OR($D125="",BT$5="",'상세일정'!AM125="제외"),"",IF($D125=$E125,IF(AND($D125&gt;=BT$5,$D125&lt;BT$5+7),"◆",""),IF(AND($D125&lt;BT$5+7,$E125&gt;BT$5),"■","")))</x:f>
      </x:c>
      <x:c r="BU125" s="7" t="str">
        <x:f>IF(OR($D125="",BU$5="",'상세일정'!AM125="제외"),"",IF($D125=$E125,IF(AND($D125&gt;=BU$5,$D125&lt;BU$5+7),"◆",""),IF(AND($D125&lt;BU$5+7,$E125&gt;BU$5),"■","")))</x:f>
      </x:c>
      <x:c r="BV125" s="7" t="str">
        <x:f>IF(OR($D125="",BV$5="",'상세일정'!AM125="제외"),"",IF($D125=$E125,IF(AND($D125&gt;=BV$5,$D125&lt;BV$5+7),"◆",""),IF(AND($D125&lt;BV$5+7,$E125&gt;BV$5),"■","")))</x:f>
      </x:c>
      <x:c r="BW125" s="7" t="str">
        <x:f>IF(OR($D125="",BW$5="",'상세일정'!AM125="제외"),"",IF($D125=$E125,IF(AND($D125&gt;=BW$5,$D125&lt;BW$5+7),"◆",""),IF(AND($D125&lt;BW$5+7,$E125&gt;BW$5),"■","")))</x:f>
      </x:c>
      <x:c r="BX125" s="7" t="str">
        <x:f>IF(OR($D125="",BX$5="",'상세일정'!AM125="제외"),"",IF($D125=$E125,IF(AND($D125&gt;=BX$5,$D125&lt;BX$5+7),"◆",""),IF(AND($D125&lt;BX$5+7,$E125&gt;BX$5),"■","")))</x:f>
      </x:c>
      <x:c r="BY125" s="7" t="str">
        <x:f>IF(OR($D125="",BY$5="",'상세일정'!AM125="제외"),"",IF($D125=$E125,IF(AND($D125&gt;=BY$5,$D125&lt;BY$5+7),"◆",""),IF(AND($D125&lt;BY$5+7,$E125&gt;BY$5),"■","")))</x:f>
      </x:c>
      <x:c r="BZ125" s="7" t="str">
        <x:f>IF(OR($D125="",BZ$5="",'상세일정'!AM125="제외"),"",IF($D125=$E125,IF(AND($D125&gt;=BZ$5,$D125&lt;BZ$5+7),"◆",""),IF(AND($D125&lt;BZ$5+7,$E125&gt;BZ$5),"■","")))</x:f>
      </x:c>
      <x:c r="CA125" s="7" t="str">
        <x:f>IF(OR($D125="",CA$5="",'상세일정'!AM125="제외"),"",IF($D125=$E125,IF(AND($D125&gt;=CA$5,$D125&lt;CA$5+7),"◆",""),IF(AND($D125&lt;CA$5+7,$E125&gt;CA$5),"■","")))</x:f>
      </x:c>
      <x:c r="CB125" s="7" t="str">
        <x:f>IF(OR($D125="",CB$5="",'상세일정'!AM125="제외"),"",IF($D125=$E125,IF(AND($D125&gt;=CB$5,$D125&lt;CB$5+7),"◆",""),IF(AND($D125&lt;CB$5+7,$E125&gt;CB$5),"■","")))</x:f>
      </x:c>
      <x:c r="CC125" s="7" t="str">
        <x:f>IF(OR($D125="",CC$5="",'상세일정'!AM125="제외"),"",IF($D125=$E125,IF(AND($D125&gt;=CC$5,$D125&lt;CC$5+7),"◆",""),IF(AND($D125&lt;CC$5+7,$E125&gt;CC$5),"■","")))</x:f>
      </x:c>
      <x:c r="CD125" s="7" t="str">
        <x:f>IF(OR($D125="",CD$5="",'상세일정'!AM125="제외"),"",IF($D125=$E125,IF(AND($D125&gt;=CD$5,$D125&lt;CD$5+7),"◆",""),IF(AND($D125&lt;CD$5+7,$E125&gt;CD$5),"■","")))</x:f>
      </x:c>
      <x:c r="CE125" s="7" t="str">
        <x:f>IF(OR($D125="",CE$5="",'상세일정'!AM125="제외"),"",IF($D125=$E125,IF(AND($D125&gt;=CE$5,$D125&lt;CE$5+7),"◆",""),IF(AND($D125&lt;CE$5+7,$E125&gt;CE$5),"■","")))</x:f>
      </x:c>
      <x:c r="CF125" s="7" t="str">
        <x:f>IF(OR($D125="",CF$5="",'상세일정'!AM125="제외"),"",IF($D125=$E125,IF(AND($D125&gt;=CF$5,$D125&lt;CF$5+7),"◆",""),IF(AND($D125&lt;CF$5+7,$E125&gt;CF$5),"■","")))</x:f>
      </x:c>
      <x:c r="CG125" s="7" t="str">
        <x:f>IF(OR($D125="",CG$5="",'상세일정'!AM125="제외"),"",IF($D125=$E125,IF(AND($D125&gt;=CG$5,$D125&lt;CG$5+7),"◆",""),IF(AND($D125&lt;CG$5+7,$E125&gt;CG$5),"■","")))</x:f>
      </x:c>
      <x:c r="CH125" s="7" t="str">
        <x:f>IF(OR($D125="",CH$5="",'상세일정'!AM125="제외"),"",IF($D125=$E125,IF(AND($D125&gt;=CH$5,$D125&lt;CH$5+7),"◆",""),IF(AND($D125&lt;CH$5+7,$E125&gt;CH$5),"■","")))</x:f>
      </x:c>
      <x:c r="CI125" s="7" t="str">
        <x:f>IF(OR($D125="",CI$5="",'상세일정'!AM125="제외"),"",IF($D125=$E125,IF(AND($D125&gt;=CI$5,$D125&lt;CI$5+7),"◆",""),IF(AND($D125&lt;CI$5+7,$E125&gt;CI$5),"■","")))</x:f>
      </x:c>
      <x:c r="CJ125" s="7" t="str">
        <x:f>IF(OR($D125="",CJ$5="",'상세일정'!AM125="제외"),"",IF($D125=$E125,IF(AND($D125&gt;=CJ$5,$D125&lt;CJ$5+7),"◆",""),IF(AND($D125&lt;CJ$5+7,$E125&gt;CJ$5),"■","")))</x:f>
      </x:c>
      <x:c r="CK125" s="7" t="str">
        <x:f>IF(OR($D125="",CK$5="",'상세일정'!AM125="제외"),"",IF($D125=$E125,IF(AND($D125&gt;=CK$5,$D125&lt;CK$5+7),"◆",""),IF(AND($D125&lt;CK$5+7,$E125&gt;CK$5),"■","")))</x:f>
      </x:c>
      <x:c r="CL125" s="7" t="str">
        <x:f>IF(OR($D125="",CL$5="",'상세일정'!AM125="제외"),"",IF($D125=$E125,IF(AND($D125&gt;=CL$5,$D125&lt;CL$5+7),"◆",""),IF(AND($D125&lt;CL$5+7,$E125&gt;CL$5),"■","")))</x:f>
      </x:c>
      <x:c r="CM125" s="7" t="str">
        <x:f>IF(OR($D125="",CM$5="",'상세일정'!AM125="제외"),"",IF($D125=$E125,IF(AND($D125&gt;=CM$5,$D125&lt;CM$5+7),"◆",""),IF(AND($D125&lt;CM$5+7,$E125&gt;CM$5),"■","")))</x:f>
      </x:c>
      <x:c r="CN125" s="7" t="str">
        <x:f>IF(OR($D125="",CN$5="",'상세일정'!AM125="제외"),"",IF($D125=$E125,IF(AND($D125&gt;=CN$5,$D125&lt;CN$5+7),"◆",""),IF(AND($D125&lt;CN$5+7,$E125&gt;CN$5),"■","")))</x:f>
      </x:c>
      <x:c r="CO125" s="7" t="str">
        <x:f>IF(OR($D125="",CO$5="",'상세일정'!AM125="제외"),"",IF($D125=$E125,IF(AND($D125&gt;=CO$5,$D125&lt;CO$5+7),"◆",""),IF(AND($D125&lt;CO$5+7,$E125&gt;CO$5),"■","")))</x:f>
      </x:c>
      <x:c r="CP125" s="7" t="str">
        <x:f>IF(OR($D125="",CP$5="",'상세일정'!AM125="제외"),"",IF($D125=$E125,IF(AND($D125&gt;=CP$5,$D125&lt;CP$5+7),"◆",""),IF(AND($D125&lt;CP$5+7,$E125&gt;CP$5),"■","")))</x:f>
      </x:c>
      <x:c r="CQ125" s="7" t="str">
        <x:f>IF(OR($D125="",CQ$5="",'상세일정'!AM125="제외"),"",IF($D125=$E125,IF(AND($D125&gt;=CQ$5,$D125&lt;CQ$5+7),"◆",""),IF(AND($D125&lt;CQ$5+7,$E125&gt;CQ$5),"■","")))</x:f>
      </x:c>
      <x:c r="CR125" s="7" t="str">
        <x:f>IF(OR($D125="",CR$5="",'상세일정'!AM125="제외"),"",IF($D125=$E125,IF(AND($D125&gt;=CR$5,$D125&lt;CR$5+7),"◆",""),IF(AND($D125&lt;CR$5+7,$E125&gt;CR$5),"■","")))</x:f>
      </x:c>
      <x:c r="CS125" s="7" t="str">
        <x:f>IF(OR($D125="",CS$5="",'상세일정'!AM125="제외"),"",IF($D125=$E125,IF(AND($D125&gt;=CS$5,$D125&lt;CS$5+7),"◆",""),IF(AND($D125&lt;CS$5+7,$E125&gt;CS$5),"■","")))</x:f>
      </x:c>
      <x:c r="CT125" s="7" t="str">
        <x:f>IF(OR($D125="",CT$5="",'상세일정'!AM125="제외"),"",IF($D125=$E125,IF(AND($D125&gt;=CT$5,$D125&lt;CT$5+7),"◆",""),IF(AND($D125&lt;CT$5+7,$E125&gt;CT$5),"■","")))</x:f>
      </x:c>
      <x:c r="CU125" s="7" t="str">
        <x:f>IF(OR($D125="",CU$5="",'상세일정'!AM125="제외"),"",IF($D125=$E125,IF(AND($D125&gt;=CU$5,$D125&lt;CU$5+7),"◆",""),IF(AND($D125&lt;CU$5+7,$E125&gt;CU$5),"■","")))</x:f>
      </x:c>
      <x:c r="CV125" s="7" t="str">
        <x:f>IF(OR($D125="",CV$5="",'상세일정'!AM125="제외"),"",IF($D125=$E125,IF(AND($D125&gt;=CV$5,$D125&lt;CV$5+7),"◆",""),IF(AND($D125&lt;CV$5+7,$E125&gt;CV$5),"■","")))</x:f>
      </x:c>
      <x:c r="CW125" s="7" t="str">
        <x:f>IF(OR($D125="",CW$5="",'상세일정'!AM125="제외"),"",IF($D125=$E125,IF(AND($D125&gt;=CW$5,$D125&lt;CW$5+7),"◆",""),IF(AND($D125&lt;CW$5+7,$E125&gt;CW$5),"■","")))</x:f>
      </x:c>
      <x:c r="CX125" s="7" t="str">
        <x:f>IF(OR($D125="",CX$5="",'상세일정'!AM125="제외"),"",IF($D125=$E125,IF(AND($D125&gt;=CX$5,$D125&lt;CX$5+7),"◆",""),IF(AND($D125&lt;CX$5+7,$E125&gt;CX$5),"■","")))</x:f>
      </x:c>
      <x:c r="CY125" s="7" t="str">
        <x:f>IF(OR($D125="",CY$5="",'상세일정'!AM125="제외"),"",IF($D125=$E125,IF(AND($D125&gt;=CY$5,$D125&lt;CY$5+7),"◆",""),IF(AND($D125&lt;CY$5+7,$E125&gt;CY$5),"■","")))</x:f>
      </x:c>
      <x:c r="CZ125" s="7" t="str">
        <x:f>IF(OR($D125="",CZ$5="",'상세일정'!AM125="제외"),"",IF($D125=$E125,IF(AND($D125&gt;=CZ$5,$D125&lt;CZ$5+7),"◆",""),IF(AND($D125&lt;CZ$5+7,$E125&gt;CZ$5),"■","")))</x:f>
      </x:c>
      <x:c r="DA125" s="7" t="str">
        <x:f>IF(OR($D125="",DA$5="",'상세일정'!AM125="제외"),"",IF($D125=$E125,IF(AND($D125&gt;=DA$5,$D125&lt;DA$5+7),"◆",""),IF(AND($D125&lt;DA$5+7,$E125&gt;DA$5),"■","")))</x:f>
      </x:c>
      <x:c r="DB125" s="7" t="str">
        <x:f>IF(OR($D125="",DB$5="",'상세일정'!AM125="제외"),"",IF($D125=$E125,IF(AND($D125&gt;=DB$5,$D125&lt;DB$5+7),"◆",""),IF(AND($D125&lt;DB$5+7,$E125&gt;DB$5),"■","")))</x:f>
      </x:c>
      <x:c r="DC125" s="7" t="str">
        <x:f>IF(OR($D125="",DC$5="",'상세일정'!AM125="제외"),"",IF($D125=$E125,IF(AND($D125&gt;=DC$5,$D125&lt;DC$5+7),"◆",""),IF(AND($D125&lt;DC$5+7,$E125&gt;DC$5),"■","")))</x:f>
      </x:c>
      <x:c r="DD125" s="7" t="str">
        <x:f>IF(OR($D125="",DD$5="",'상세일정'!AM125="제외"),"",IF($D125=$E125,IF(AND($D125&gt;=DD$5,$D125&lt;DD$5+7),"◆",""),IF(AND($D125&lt;DD$5+7,$E125&gt;DD$5),"■","")))</x:f>
      </x:c>
      <x:c r="DE125" s="7" t="str">
        <x:f>IF(OR($D125="",DE$5="",'상세일정'!AM125="제외"),"",IF($D125=$E125,IF(AND($D125&gt;=DE$5,$D125&lt;DE$5+7),"◆",""),IF(AND($D125&lt;DE$5+7,$E125&gt;DE$5),"■","")))</x:f>
      </x:c>
    </x:row>
    <x:row r="126" ht="34" customHeight="1">
      <x:c r="A126" s="7" t="str">
        <x:v>CP05</x:v>
      </x:c>
      <x:c r="B126" s="7" t="str">
        <x:v>16 기자재 구매·제작</x:v>
      </x:c>
      <x:c r="C126" s="7" t="str">
        <x:v>압축기 조립·공장 기능시험</x:v>
      </x:c>
      <x:c r="D126" s="10" t="str">
        <x:f>'상세일정'!AJ126</x:f>
      </x:c>
      <x:c r="E126" s="10" t="str">
        <x:f>'상세일정'!AK126</x:f>
      </x:c>
      <x:c r="F126" s="7" t="str">
        <x:f>IF(OR($D126="",F$5="",'상세일정'!AM126="제외"),"",IF($D126=$E126,IF(AND($D126&gt;=F$5,$D126&lt;F$5+7),"◆",""),IF(AND($D126&lt;F$5+7,$E126&gt;F$5),"■","")))</x:f>
      </x:c>
      <x:c r="G126" s="7" t="str">
        <x:f>IF(OR($D126="",G$5="",'상세일정'!AM126="제외"),"",IF($D126=$E126,IF(AND($D126&gt;=G$5,$D126&lt;G$5+7),"◆",""),IF(AND($D126&lt;G$5+7,$E126&gt;G$5),"■","")))</x:f>
      </x:c>
      <x:c r="H126" s="7" t="str">
        <x:f>IF(OR($D126="",H$5="",'상세일정'!AM126="제외"),"",IF($D126=$E126,IF(AND($D126&gt;=H$5,$D126&lt;H$5+7),"◆",""),IF(AND($D126&lt;H$5+7,$E126&gt;H$5),"■","")))</x:f>
      </x:c>
      <x:c r="I126" s="7" t="str">
        <x:f>IF(OR($D126="",I$5="",'상세일정'!AM126="제외"),"",IF($D126=$E126,IF(AND($D126&gt;=I$5,$D126&lt;I$5+7),"◆",""),IF(AND($D126&lt;I$5+7,$E126&gt;I$5),"■","")))</x:f>
      </x:c>
      <x:c r="J126" s="7" t="str">
        <x:f>IF(OR($D126="",J$5="",'상세일정'!AM126="제외"),"",IF($D126=$E126,IF(AND($D126&gt;=J$5,$D126&lt;J$5+7),"◆",""),IF(AND($D126&lt;J$5+7,$E126&gt;J$5),"■","")))</x:f>
      </x:c>
      <x:c r="K126" s="7" t="str">
        <x:f>IF(OR($D126="",K$5="",'상세일정'!AM126="제외"),"",IF($D126=$E126,IF(AND($D126&gt;=K$5,$D126&lt;K$5+7),"◆",""),IF(AND($D126&lt;K$5+7,$E126&gt;K$5),"■","")))</x:f>
      </x:c>
      <x:c r="L126" s="7" t="str">
        <x:f>IF(OR($D126="",L$5="",'상세일정'!AM126="제외"),"",IF($D126=$E126,IF(AND($D126&gt;=L$5,$D126&lt;L$5+7),"◆",""),IF(AND($D126&lt;L$5+7,$E126&gt;L$5),"■","")))</x:f>
      </x:c>
      <x:c r="M126" s="7" t="str">
        <x:f>IF(OR($D126="",M$5="",'상세일정'!AM126="제외"),"",IF($D126=$E126,IF(AND($D126&gt;=M$5,$D126&lt;M$5+7),"◆",""),IF(AND($D126&lt;M$5+7,$E126&gt;M$5),"■","")))</x:f>
      </x:c>
      <x:c r="N126" s="7" t="str">
        <x:f>IF(OR($D126="",N$5="",'상세일정'!AM126="제외"),"",IF($D126=$E126,IF(AND($D126&gt;=N$5,$D126&lt;N$5+7),"◆",""),IF(AND($D126&lt;N$5+7,$E126&gt;N$5),"■","")))</x:f>
      </x:c>
      <x:c r="O126" s="7" t="str">
        <x:f>IF(OR($D126="",O$5="",'상세일정'!AM126="제외"),"",IF($D126=$E126,IF(AND($D126&gt;=O$5,$D126&lt;O$5+7),"◆",""),IF(AND($D126&lt;O$5+7,$E126&gt;O$5),"■","")))</x:f>
      </x:c>
      <x:c r="P126" s="7" t="str">
        <x:f>IF(OR($D126="",P$5="",'상세일정'!AM126="제외"),"",IF($D126=$E126,IF(AND($D126&gt;=P$5,$D126&lt;P$5+7),"◆",""),IF(AND($D126&lt;P$5+7,$E126&gt;P$5),"■","")))</x:f>
      </x:c>
      <x:c r="Q126" s="7" t="str">
        <x:f>IF(OR($D126="",Q$5="",'상세일정'!AM126="제외"),"",IF($D126=$E126,IF(AND($D126&gt;=Q$5,$D126&lt;Q$5+7),"◆",""),IF(AND($D126&lt;Q$5+7,$E126&gt;Q$5),"■","")))</x:f>
      </x:c>
      <x:c r="R126" s="7" t="str">
        <x:f>IF(OR($D126="",R$5="",'상세일정'!AM126="제외"),"",IF($D126=$E126,IF(AND($D126&gt;=R$5,$D126&lt;R$5+7),"◆",""),IF(AND($D126&lt;R$5+7,$E126&gt;R$5),"■","")))</x:f>
      </x:c>
      <x:c r="S126" s="7" t="str">
        <x:f>IF(OR($D126="",S$5="",'상세일정'!AM126="제외"),"",IF($D126=$E126,IF(AND($D126&gt;=S$5,$D126&lt;S$5+7),"◆",""),IF(AND($D126&lt;S$5+7,$E126&gt;S$5),"■","")))</x:f>
      </x:c>
      <x:c r="T126" s="7" t="str">
        <x:f>IF(OR($D126="",T$5="",'상세일정'!AM126="제외"),"",IF($D126=$E126,IF(AND($D126&gt;=T$5,$D126&lt;T$5+7),"◆",""),IF(AND($D126&lt;T$5+7,$E126&gt;T$5),"■","")))</x:f>
      </x:c>
      <x:c r="U126" s="7" t="str">
        <x:f>IF(OR($D126="",U$5="",'상세일정'!AM126="제외"),"",IF($D126=$E126,IF(AND($D126&gt;=U$5,$D126&lt;U$5+7),"◆",""),IF(AND($D126&lt;U$5+7,$E126&gt;U$5),"■","")))</x:f>
      </x:c>
      <x:c r="V126" s="7" t="str">
        <x:f>IF(OR($D126="",V$5="",'상세일정'!AM126="제외"),"",IF($D126=$E126,IF(AND($D126&gt;=V$5,$D126&lt;V$5+7),"◆",""),IF(AND($D126&lt;V$5+7,$E126&gt;V$5),"■","")))</x:f>
      </x:c>
      <x:c r="W126" s="7" t="str">
        <x:f>IF(OR($D126="",W$5="",'상세일정'!AM126="제외"),"",IF($D126=$E126,IF(AND($D126&gt;=W$5,$D126&lt;W$5+7),"◆",""),IF(AND($D126&lt;W$5+7,$E126&gt;W$5),"■","")))</x:f>
      </x:c>
      <x:c r="X126" s="7" t="str">
        <x:f>IF(OR($D126="",X$5="",'상세일정'!AM126="제외"),"",IF($D126=$E126,IF(AND($D126&gt;=X$5,$D126&lt;X$5+7),"◆",""),IF(AND($D126&lt;X$5+7,$E126&gt;X$5),"■","")))</x:f>
      </x:c>
      <x:c r="Y126" s="7" t="str">
        <x:f>IF(OR($D126="",Y$5="",'상세일정'!AM126="제외"),"",IF($D126=$E126,IF(AND($D126&gt;=Y$5,$D126&lt;Y$5+7),"◆",""),IF(AND($D126&lt;Y$5+7,$E126&gt;Y$5),"■","")))</x:f>
      </x:c>
      <x:c r="Z126" s="7" t="str">
        <x:f>IF(OR($D126="",Z$5="",'상세일정'!AM126="제외"),"",IF($D126=$E126,IF(AND($D126&gt;=Z$5,$D126&lt;Z$5+7),"◆",""),IF(AND($D126&lt;Z$5+7,$E126&gt;Z$5),"■","")))</x:f>
      </x:c>
      <x:c r="AA126" s="7" t="str">
        <x:f>IF(OR($D126="",AA$5="",'상세일정'!AM126="제외"),"",IF($D126=$E126,IF(AND($D126&gt;=AA$5,$D126&lt;AA$5+7),"◆",""),IF(AND($D126&lt;AA$5+7,$E126&gt;AA$5),"■","")))</x:f>
      </x:c>
      <x:c r="AB126" s="7" t="str">
        <x:f>IF(OR($D126="",AB$5="",'상세일정'!AM126="제외"),"",IF($D126=$E126,IF(AND($D126&gt;=AB$5,$D126&lt;AB$5+7),"◆",""),IF(AND($D126&lt;AB$5+7,$E126&gt;AB$5),"■","")))</x:f>
      </x:c>
      <x:c r="AC126" s="7" t="str">
        <x:f>IF(OR($D126="",AC$5="",'상세일정'!AM126="제외"),"",IF($D126=$E126,IF(AND($D126&gt;=AC$5,$D126&lt;AC$5+7),"◆",""),IF(AND($D126&lt;AC$5+7,$E126&gt;AC$5),"■","")))</x:f>
      </x:c>
      <x:c r="AD126" s="7" t="str">
        <x:f>IF(OR($D126="",AD$5="",'상세일정'!AM126="제외"),"",IF($D126=$E126,IF(AND($D126&gt;=AD$5,$D126&lt;AD$5+7),"◆",""),IF(AND($D126&lt;AD$5+7,$E126&gt;AD$5),"■","")))</x:f>
      </x:c>
      <x:c r="AE126" s="7" t="str">
        <x:f>IF(OR($D126="",AE$5="",'상세일정'!AM126="제외"),"",IF($D126=$E126,IF(AND($D126&gt;=AE$5,$D126&lt;AE$5+7),"◆",""),IF(AND($D126&lt;AE$5+7,$E126&gt;AE$5),"■","")))</x:f>
      </x:c>
      <x:c r="AF126" s="7" t="str">
        <x:f>IF(OR($D126="",AF$5="",'상세일정'!AM126="제외"),"",IF($D126=$E126,IF(AND($D126&gt;=AF$5,$D126&lt;AF$5+7),"◆",""),IF(AND($D126&lt;AF$5+7,$E126&gt;AF$5),"■","")))</x:f>
      </x:c>
      <x:c r="AG126" s="7" t="str">
        <x:f>IF(OR($D126="",AG$5="",'상세일정'!AM126="제외"),"",IF($D126=$E126,IF(AND($D126&gt;=AG$5,$D126&lt;AG$5+7),"◆",""),IF(AND($D126&lt;AG$5+7,$E126&gt;AG$5),"■","")))</x:f>
      </x:c>
      <x:c r="AH126" s="7" t="str">
        <x:f>IF(OR($D126="",AH$5="",'상세일정'!AM126="제외"),"",IF($D126=$E126,IF(AND($D126&gt;=AH$5,$D126&lt;AH$5+7),"◆",""),IF(AND($D126&lt;AH$5+7,$E126&gt;AH$5),"■","")))</x:f>
      </x:c>
      <x:c r="AI126" s="7" t="str">
        <x:f>IF(OR($D126="",AI$5="",'상세일정'!AM126="제외"),"",IF($D126=$E126,IF(AND($D126&gt;=AI$5,$D126&lt;AI$5+7),"◆",""),IF(AND($D126&lt;AI$5+7,$E126&gt;AI$5),"■","")))</x:f>
      </x:c>
      <x:c r="AJ126" s="7" t="str">
        <x:f>IF(OR($D126="",AJ$5="",'상세일정'!AM126="제외"),"",IF($D126=$E126,IF(AND($D126&gt;=AJ$5,$D126&lt;AJ$5+7),"◆",""),IF(AND($D126&lt;AJ$5+7,$E126&gt;AJ$5),"■","")))</x:f>
      </x:c>
      <x:c r="AK126" s="7" t="str">
        <x:f>IF(OR($D126="",AK$5="",'상세일정'!AM126="제외"),"",IF($D126=$E126,IF(AND($D126&gt;=AK$5,$D126&lt;AK$5+7),"◆",""),IF(AND($D126&lt;AK$5+7,$E126&gt;AK$5),"■","")))</x:f>
      </x:c>
      <x:c r="AL126" s="7" t="str">
        <x:f>IF(OR($D126="",AL$5="",'상세일정'!AM126="제외"),"",IF($D126=$E126,IF(AND($D126&gt;=AL$5,$D126&lt;AL$5+7),"◆",""),IF(AND($D126&lt;AL$5+7,$E126&gt;AL$5),"■","")))</x:f>
      </x:c>
      <x:c r="AM126" s="7" t="str">
        <x:f>IF(OR($D126="",AM$5="",'상세일정'!AM126="제외"),"",IF($D126=$E126,IF(AND($D126&gt;=AM$5,$D126&lt;AM$5+7),"◆",""),IF(AND($D126&lt;AM$5+7,$E126&gt;AM$5),"■","")))</x:f>
      </x:c>
      <x:c r="AN126" s="7" t="str">
        <x:f>IF(OR($D126="",AN$5="",'상세일정'!AM126="제외"),"",IF($D126=$E126,IF(AND($D126&gt;=AN$5,$D126&lt;AN$5+7),"◆",""),IF(AND($D126&lt;AN$5+7,$E126&gt;AN$5),"■","")))</x:f>
      </x:c>
      <x:c r="AO126" s="7" t="str">
        <x:f>IF(OR($D126="",AO$5="",'상세일정'!AM126="제외"),"",IF($D126=$E126,IF(AND($D126&gt;=AO$5,$D126&lt;AO$5+7),"◆",""),IF(AND($D126&lt;AO$5+7,$E126&gt;AO$5),"■","")))</x:f>
      </x:c>
      <x:c r="AP126" s="7" t="str">
        <x:f>IF(OR($D126="",AP$5="",'상세일정'!AM126="제외"),"",IF($D126=$E126,IF(AND($D126&gt;=AP$5,$D126&lt;AP$5+7),"◆",""),IF(AND($D126&lt;AP$5+7,$E126&gt;AP$5),"■","")))</x:f>
      </x:c>
      <x:c r="AQ126" s="7" t="str">
        <x:f>IF(OR($D126="",AQ$5="",'상세일정'!AM126="제외"),"",IF($D126=$E126,IF(AND($D126&gt;=AQ$5,$D126&lt;AQ$5+7),"◆",""),IF(AND($D126&lt;AQ$5+7,$E126&gt;AQ$5),"■","")))</x:f>
      </x:c>
      <x:c r="AR126" s="7" t="str">
        <x:f>IF(OR($D126="",AR$5="",'상세일정'!AM126="제외"),"",IF($D126=$E126,IF(AND($D126&gt;=AR$5,$D126&lt;AR$5+7),"◆",""),IF(AND($D126&lt;AR$5+7,$E126&gt;AR$5),"■","")))</x:f>
      </x:c>
      <x:c r="AS126" s="7" t="str">
        <x:f>IF(OR($D126="",AS$5="",'상세일정'!AM126="제외"),"",IF($D126=$E126,IF(AND($D126&gt;=AS$5,$D126&lt;AS$5+7),"◆",""),IF(AND($D126&lt;AS$5+7,$E126&gt;AS$5),"■","")))</x:f>
      </x:c>
      <x:c r="AT126" s="7" t="str">
        <x:f>IF(OR($D126="",AT$5="",'상세일정'!AM126="제외"),"",IF($D126=$E126,IF(AND($D126&gt;=AT$5,$D126&lt;AT$5+7),"◆",""),IF(AND($D126&lt;AT$5+7,$E126&gt;AT$5),"■","")))</x:f>
      </x:c>
      <x:c r="AU126" s="7" t="str">
        <x:f>IF(OR($D126="",AU$5="",'상세일정'!AM126="제외"),"",IF($D126=$E126,IF(AND($D126&gt;=AU$5,$D126&lt;AU$5+7),"◆",""),IF(AND($D126&lt;AU$5+7,$E126&gt;AU$5),"■","")))</x:f>
      </x:c>
      <x:c r="AV126" s="7" t="str">
        <x:f>IF(OR($D126="",AV$5="",'상세일정'!AM126="제외"),"",IF($D126=$E126,IF(AND($D126&gt;=AV$5,$D126&lt;AV$5+7),"◆",""),IF(AND($D126&lt;AV$5+7,$E126&gt;AV$5),"■","")))</x:f>
      </x:c>
      <x:c r="AW126" s="7" t="str">
        <x:f>IF(OR($D126="",AW$5="",'상세일정'!AM126="제외"),"",IF($D126=$E126,IF(AND($D126&gt;=AW$5,$D126&lt;AW$5+7),"◆",""),IF(AND($D126&lt;AW$5+7,$E126&gt;AW$5),"■","")))</x:f>
      </x:c>
      <x:c r="AX126" s="7" t="str">
        <x:f>IF(OR($D126="",AX$5="",'상세일정'!AM126="제외"),"",IF($D126=$E126,IF(AND($D126&gt;=AX$5,$D126&lt;AX$5+7),"◆",""),IF(AND($D126&lt;AX$5+7,$E126&gt;AX$5),"■","")))</x:f>
      </x:c>
      <x:c r="AY126" s="7" t="str">
        <x:f>IF(OR($D126="",AY$5="",'상세일정'!AM126="제외"),"",IF($D126=$E126,IF(AND($D126&gt;=AY$5,$D126&lt;AY$5+7),"◆",""),IF(AND($D126&lt;AY$5+7,$E126&gt;AY$5),"■","")))</x:f>
      </x:c>
      <x:c r="AZ126" s="7" t="str">
        <x:f>IF(OR($D126="",AZ$5="",'상세일정'!AM126="제외"),"",IF($D126=$E126,IF(AND($D126&gt;=AZ$5,$D126&lt;AZ$5+7),"◆",""),IF(AND($D126&lt;AZ$5+7,$E126&gt;AZ$5),"■","")))</x:f>
      </x:c>
      <x:c r="BA126" s="7" t="str">
        <x:f>IF(OR($D126="",BA$5="",'상세일정'!AM126="제외"),"",IF($D126=$E126,IF(AND($D126&gt;=BA$5,$D126&lt;BA$5+7),"◆",""),IF(AND($D126&lt;BA$5+7,$E126&gt;BA$5),"■","")))</x:f>
      </x:c>
      <x:c r="BB126" s="7" t="str">
        <x:f>IF(OR($D126="",BB$5="",'상세일정'!AM126="제외"),"",IF($D126=$E126,IF(AND($D126&gt;=BB$5,$D126&lt;BB$5+7),"◆",""),IF(AND($D126&lt;BB$5+7,$E126&gt;BB$5),"■","")))</x:f>
      </x:c>
      <x:c r="BC126" s="7" t="str">
        <x:f>IF(OR($D126="",BC$5="",'상세일정'!AM126="제외"),"",IF($D126=$E126,IF(AND($D126&gt;=BC$5,$D126&lt;BC$5+7),"◆",""),IF(AND($D126&lt;BC$5+7,$E126&gt;BC$5),"■","")))</x:f>
      </x:c>
      <x:c r="BD126" s="7" t="str">
        <x:f>IF(OR($D126="",BD$5="",'상세일정'!AM126="제외"),"",IF($D126=$E126,IF(AND($D126&gt;=BD$5,$D126&lt;BD$5+7),"◆",""),IF(AND($D126&lt;BD$5+7,$E126&gt;BD$5),"■","")))</x:f>
      </x:c>
      <x:c r="BE126" s="7" t="str">
        <x:f>IF(OR($D126="",BE$5="",'상세일정'!AM126="제외"),"",IF($D126=$E126,IF(AND($D126&gt;=BE$5,$D126&lt;BE$5+7),"◆",""),IF(AND($D126&lt;BE$5+7,$E126&gt;BE$5),"■","")))</x:f>
      </x:c>
      <x:c r="BF126" s="7" t="str">
        <x:f>IF(OR($D126="",BF$5="",'상세일정'!AM126="제외"),"",IF($D126=$E126,IF(AND($D126&gt;=BF$5,$D126&lt;BF$5+7),"◆",""),IF(AND($D126&lt;BF$5+7,$E126&gt;BF$5),"■","")))</x:f>
      </x:c>
      <x:c r="BG126" s="7" t="str">
        <x:f>IF(OR($D126="",BG$5="",'상세일정'!AM126="제외"),"",IF($D126=$E126,IF(AND($D126&gt;=BG$5,$D126&lt;BG$5+7),"◆",""),IF(AND($D126&lt;BG$5+7,$E126&gt;BG$5),"■","")))</x:f>
      </x:c>
      <x:c r="BH126" s="7" t="str">
        <x:f>IF(OR($D126="",BH$5="",'상세일정'!AM126="제외"),"",IF($D126=$E126,IF(AND($D126&gt;=BH$5,$D126&lt;BH$5+7),"◆",""),IF(AND($D126&lt;BH$5+7,$E126&gt;BH$5),"■","")))</x:f>
      </x:c>
      <x:c r="BI126" s="7" t="str">
        <x:f>IF(OR($D126="",BI$5="",'상세일정'!AM126="제외"),"",IF($D126=$E126,IF(AND($D126&gt;=BI$5,$D126&lt;BI$5+7),"◆",""),IF(AND($D126&lt;BI$5+7,$E126&gt;BI$5),"■","")))</x:f>
      </x:c>
      <x:c r="BJ126" s="7" t="str">
        <x:f>IF(OR($D126="",BJ$5="",'상세일정'!AM126="제외"),"",IF($D126=$E126,IF(AND($D126&gt;=BJ$5,$D126&lt;BJ$5+7),"◆",""),IF(AND($D126&lt;BJ$5+7,$E126&gt;BJ$5),"■","")))</x:f>
      </x:c>
      <x:c r="BK126" s="7" t="str">
        <x:f>IF(OR($D126="",BK$5="",'상세일정'!AM126="제외"),"",IF($D126=$E126,IF(AND($D126&gt;=BK$5,$D126&lt;BK$5+7),"◆",""),IF(AND($D126&lt;BK$5+7,$E126&gt;BK$5),"■","")))</x:f>
      </x:c>
      <x:c r="BL126" s="7" t="str">
        <x:f>IF(OR($D126="",BL$5="",'상세일정'!AM126="제외"),"",IF($D126=$E126,IF(AND($D126&gt;=BL$5,$D126&lt;BL$5+7),"◆",""),IF(AND($D126&lt;BL$5+7,$E126&gt;BL$5),"■","")))</x:f>
      </x:c>
      <x:c r="BM126" s="7" t="str">
        <x:f>IF(OR($D126="",BM$5="",'상세일정'!AM126="제외"),"",IF($D126=$E126,IF(AND($D126&gt;=BM$5,$D126&lt;BM$5+7),"◆",""),IF(AND($D126&lt;BM$5+7,$E126&gt;BM$5),"■","")))</x:f>
      </x:c>
      <x:c r="BN126" s="7" t="str">
        <x:f>IF(OR($D126="",BN$5="",'상세일정'!AM126="제외"),"",IF($D126=$E126,IF(AND($D126&gt;=BN$5,$D126&lt;BN$5+7),"◆",""),IF(AND($D126&lt;BN$5+7,$E126&gt;BN$5),"■","")))</x:f>
      </x:c>
      <x:c r="BO126" s="7" t="str">
        <x:f>IF(OR($D126="",BO$5="",'상세일정'!AM126="제외"),"",IF($D126=$E126,IF(AND($D126&gt;=BO$5,$D126&lt;BO$5+7),"◆",""),IF(AND($D126&lt;BO$5+7,$E126&gt;BO$5),"■","")))</x:f>
      </x:c>
      <x:c r="BP126" s="7" t="str">
        <x:f>IF(OR($D126="",BP$5="",'상세일정'!AM126="제외"),"",IF($D126=$E126,IF(AND($D126&gt;=BP$5,$D126&lt;BP$5+7),"◆",""),IF(AND($D126&lt;BP$5+7,$E126&gt;BP$5),"■","")))</x:f>
      </x:c>
      <x:c r="BQ126" s="7" t="str">
        <x:f>IF(OR($D126="",BQ$5="",'상세일정'!AM126="제외"),"",IF($D126=$E126,IF(AND($D126&gt;=BQ$5,$D126&lt;BQ$5+7),"◆",""),IF(AND($D126&lt;BQ$5+7,$E126&gt;BQ$5),"■","")))</x:f>
      </x:c>
      <x:c r="BR126" s="7" t="str">
        <x:f>IF(OR($D126="",BR$5="",'상세일정'!AM126="제외"),"",IF($D126=$E126,IF(AND($D126&gt;=BR$5,$D126&lt;BR$5+7),"◆",""),IF(AND($D126&lt;BR$5+7,$E126&gt;BR$5),"■","")))</x:f>
      </x:c>
      <x:c r="BS126" s="7" t="str">
        <x:f>IF(OR($D126="",BS$5="",'상세일정'!AM126="제외"),"",IF($D126=$E126,IF(AND($D126&gt;=BS$5,$D126&lt;BS$5+7),"◆",""),IF(AND($D126&lt;BS$5+7,$E126&gt;BS$5),"■","")))</x:f>
      </x:c>
      <x:c r="BT126" s="7" t="str">
        <x:f>IF(OR($D126="",BT$5="",'상세일정'!AM126="제외"),"",IF($D126=$E126,IF(AND($D126&gt;=BT$5,$D126&lt;BT$5+7),"◆",""),IF(AND($D126&lt;BT$5+7,$E126&gt;BT$5),"■","")))</x:f>
      </x:c>
      <x:c r="BU126" s="7" t="str">
        <x:f>IF(OR($D126="",BU$5="",'상세일정'!AM126="제외"),"",IF($D126=$E126,IF(AND($D126&gt;=BU$5,$D126&lt;BU$5+7),"◆",""),IF(AND($D126&lt;BU$5+7,$E126&gt;BU$5),"■","")))</x:f>
      </x:c>
      <x:c r="BV126" s="7" t="str">
        <x:f>IF(OR($D126="",BV$5="",'상세일정'!AM126="제외"),"",IF($D126=$E126,IF(AND($D126&gt;=BV$5,$D126&lt;BV$5+7),"◆",""),IF(AND($D126&lt;BV$5+7,$E126&gt;BV$5),"■","")))</x:f>
      </x:c>
      <x:c r="BW126" s="7" t="str">
        <x:f>IF(OR($D126="",BW$5="",'상세일정'!AM126="제외"),"",IF($D126=$E126,IF(AND($D126&gt;=BW$5,$D126&lt;BW$5+7),"◆",""),IF(AND($D126&lt;BW$5+7,$E126&gt;BW$5),"■","")))</x:f>
      </x:c>
      <x:c r="BX126" s="7" t="str">
        <x:f>IF(OR($D126="",BX$5="",'상세일정'!AM126="제외"),"",IF($D126=$E126,IF(AND($D126&gt;=BX$5,$D126&lt;BX$5+7),"◆",""),IF(AND($D126&lt;BX$5+7,$E126&gt;BX$5),"■","")))</x:f>
      </x:c>
      <x:c r="BY126" s="7" t="str">
        <x:f>IF(OR($D126="",BY$5="",'상세일정'!AM126="제외"),"",IF($D126=$E126,IF(AND($D126&gt;=BY$5,$D126&lt;BY$5+7),"◆",""),IF(AND($D126&lt;BY$5+7,$E126&gt;BY$5),"■","")))</x:f>
      </x:c>
      <x:c r="BZ126" s="7" t="str">
        <x:f>IF(OR($D126="",BZ$5="",'상세일정'!AM126="제외"),"",IF($D126=$E126,IF(AND($D126&gt;=BZ$5,$D126&lt;BZ$5+7),"◆",""),IF(AND($D126&lt;BZ$5+7,$E126&gt;BZ$5),"■","")))</x:f>
      </x:c>
      <x:c r="CA126" s="7" t="str">
        <x:f>IF(OR($D126="",CA$5="",'상세일정'!AM126="제외"),"",IF($D126=$E126,IF(AND($D126&gt;=CA$5,$D126&lt;CA$5+7),"◆",""),IF(AND($D126&lt;CA$5+7,$E126&gt;CA$5),"■","")))</x:f>
      </x:c>
      <x:c r="CB126" s="7" t="str">
        <x:f>IF(OR($D126="",CB$5="",'상세일정'!AM126="제외"),"",IF($D126=$E126,IF(AND($D126&gt;=CB$5,$D126&lt;CB$5+7),"◆",""),IF(AND($D126&lt;CB$5+7,$E126&gt;CB$5),"■","")))</x:f>
      </x:c>
      <x:c r="CC126" s="7" t="str">
        <x:f>IF(OR($D126="",CC$5="",'상세일정'!AM126="제외"),"",IF($D126=$E126,IF(AND($D126&gt;=CC$5,$D126&lt;CC$5+7),"◆",""),IF(AND($D126&lt;CC$5+7,$E126&gt;CC$5),"■","")))</x:f>
      </x:c>
      <x:c r="CD126" s="7" t="str">
        <x:f>IF(OR($D126="",CD$5="",'상세일정'!AM126="제외"),"",IF($D126=$E126,IF(AND($D126&gt;=CD$5,$D126&lt;CD$5+7),"◆",""),IF(AND($D126&lt;CD$5+7,$E126&gt;CD$5),"■","")))</x:f>
      </x:c>
      <x:c r="CE126" s="7" t="str">
        <x:f>IF(OR($D126="",CE$5="",'상세일정'!AM126="제외"),"",IF($D126=$E126,IF(AND($D126&gt;=CE$5,$D126&lt;CE$5+7),"◆",""),IF(AND($D126&lt;CE$5+7,$E126&gt;CE$5),"■","")))</x:f>
      </x:c>
      <x:c r="CF126" s="7" t="str">
        <x:f>IF(OR($D126="",CF$5="",'상세일정'!AM126="제외"),"",IF($D126=$E126,IF(AND($D126&gt;=CF$5,$D126&lt;CF$5+7),"◆",""),IF(AND($D126&lt;CF$5+7,$E126&gt;CF$5),"■","")))</x:f>
      </x:c>
      <x:c r="CG126" s="7" t="str">
        <x:f>IF(OR($D126="",CG$5="",'상세일정'!AM126="제외"),"",IF($D126=$E126,IF(AND($D126&gt;=CG$5,$D126&lt;CG$5+7),"◆",""),IF(AND($D126&lt;CG$5+7,$E126&gt;CG$5),"■","")))</x:f>
      </x:c>
      <x:c r="CH126" s="7" t="str">
        <x:f>IF(OR($D126="",CH$5="",'상세일정'!AM126="제외"),"",IF($D126=$E126,IF(AND($D126&gt;=CH$5,$D126&lt;CH$5+7),"◆",""),IF(AND($D126&lt;CH$5+7,$E126&gt;CH$5),"■","")))</x:f>
      </x:c>
      <x:c r="CI126" s="7" t="str">
        <x:f>IF(OR($D126="",CI$5="",'상세일정'!AM126="제외"),"",IF($D126=$E126,IF(AND($D126&gt;=CI$5,$D126&lt;CI$5+7),"◆",""),IF(AND($D126&lt;CI$5+7,$E126&gt;CI$5),"■","")))</x:f>
      </x:c>
      <x:c r="CJ126" s="7" t="str">
        <x:f>IF(OR($D126="",CJ$5="",'상세일정'!AM126="제외"),"",IF($D126=$E126,IF(AND($D126&gt;=CJ$5,$D126&lt;CJ$5+7),"◆",""),IF(AND($D126&lt;CJ$5+7,$E126&gt;CJ$5),"■","")))</x:f>
      </x:c>
      <x:c r="CK126" s="7" t="str">
        <x:f>IF(OR($D126="",CK$5="",'상세일정'!AM126="제외"),"",IF($D126=$E126,IF(AND($D126&gt;=CK$5,$D126&lt;CK$5+7),"◆",""),IF(AND($D126&lt;CK$5+7,$E126&gt;CK$5),"■","")))</x:f>
      </x:c>
      <x:c r="CL126" s="7" t="str">
        <x:f>IF(OR($D126="",CL$5="",'상세일정'!AM126="제외"),"",IF($D126=$E126,IF(AND($D126&gt;=CL$5,$D126&lt;CL$5+7),"◆",""),IF(AND($D126&lt;CL$5+7,$E126&gt;CL$5),"■","")))</x:f>
      </x:c>
      <x:c r="CM126" s="7" t="str">
        <x:f>IF(OR($D126="",CM$5="",'상세일정'!AM126="제외"),"",IF($D126=$E126,IF(AND($D126&gt;=CM$5,$D126&lt;CM$5+7),"◆",""),IF(AND($D126&lt;CM$5+7,$E126&gt;CM$5),"■","")))</x:f>
      </x:c>
      <x:c r="CN126" s="7" t="str">
        <x:f>IF(OR($D126="",CN$5="",'상세일정'!AM126="제외"),"",IF($D126=$E126,IF(AND($D126&gt;=CN$5,$D126&lt;CN$5+7),"◆",""),IF(AND($D126&lt;CN$5+7,$E126&gt;CN$5),"■","")))</x:f>
      </x:c>
      <x:c r="CO126" s="7" t="str">
        <x:f>IF(OR($D126="",CO$5="",'상세일정'!AM126="제외"),"",IF($D126=$E126,IF(AND($D126&gt;=CO$5,$D126&lt;CO$5+7),"◆",""),IF(AND($D126&lt;CO$5+7,$E126&gt;CO$5),"■","")))</x:f>
      </x:c>
      <x:c r="CP126" s="7" t="str">
        <x:f>IF(OR($D126="",CP$5="",'상세일정'!AM126="제외"),"",IF($D126=$E126,IF(AND($D126&gt;=CP$5,$D126&lt;CP$5+7),"◆",""),IF(AND($D126&lt;CP$5+7,$E126&gt;CP$5),"■","")))</x:f>
      </x:c>
      <x:c r="CQ126" s="7" t="str">
        <x:f>IF(OR($D126="",CQ$5="",'상세일정'!AM126="제외"),"",IF($D126=$E126,IF(AND($D126&gt;=CQ$5,$D126&lt;CQ$5+7),"◆",""),IF(AND($D126&lt;CQ$5+7,$E126&gt;CQ$5),"■","")))</x:f>
      </x:c>
      <x:c r="CR126" s="7" t="str">
        <x:f>IF(OR($D126="",CR$5="",'상세일정'!AM126="제외"),"",IF($D126=$E126,IF(AND($D126&gt;=CR$5,$D126&lt;CR$5+7),"◆",""),IF(AND($D126&lt;CR$5+7,$E126&gt;CR$5),"■","")))</x:f>
      </x:c>
      <x:c r="CS126" s="7" t="str">
        <x:f>IF(OR($D126="",CS$5="",'상세일정'!AM126="제외"),"",IF($D126=$E126,IF(AND($D126&gt;=CS$5,$D126&lt;CS$5+7),"◆",""),IF(AND($D126&lt;CS$5+7,$E126&gt;CS$5),"■","")))</x:f>
      </x:c>
      <x:c r="CT126" s="7" t="str">
        <x:f>IF(OR($D126="",CT$5="",'상세일정'!AM126="제외"),"",IF($D126=$E126,IF(AND($D126&gt;=CT$5,$D126&lt;CT$5+7),"◆",""),IF(AND($D126&lt;CT$5+7,$E126&gt;CT$5),"■","")))</x:f>
      </x:c>
      <x:c r="CU126" s="7" t="str">
        <x:f>IF(OR($D126="",CU$5="",'상세일정'!AM126="제외"),"",IF($D126=$E126,IF(AND($D126&gt;=CU$5,$D126&lt;CU$5+7),"◆",""),IF(AND($D126&lt;CU$5+7,$E126&gt;CU$5),"■","")))</x:f>
      </x:c>
      <x:c r="CV126" s="7" t="str">
        <x:f>IF(OR($D126="",CV$5="",'상세일정'!AM126="제외"),"",IF($D126=$E126,IF(AND($D126&gt;=CV$5,$D126&lt;CV$5+7),"◆",""),IF(AND($D126&lt;CV$5+7,$E126&gt;CV$5),"■","")))</x:f>
      </x:c>
      <x:c r="CW126" s="7" t="str">
        <x:f>IF(OR($D126="",CW$5="",'상세일정'!AM126="제외"),"",IF($D126=$E126,IF(AND($D126&gt;=CW$5,$D126&lt;CW$5+7),"◆",""),IF(AND($D126&lt;CW$5+7,$E126&gt;CW$5),"■","")))</x:f>
      </x:c>
      <x:c r="CX126" s="7" t="str">
        <x:f>IF(OR($D126="",CX$5="",'상세일정'!AM126="제외"),"",IF($D126=$E126,IF(AND($D126&gt;=CX$5,$D126&lt;CX$5+7),"◆",""),IF(AND($D126&lt;CX$5+7,$E126&gt;CX$5),"■","")))</x:f>
      </x:c>
      <x:c r="CY126" s="7" t="str">
        <x:f>IF(OR($D126="",CY$5="",'상세일정'!AM126="제외"),"",IF($D126=$E126,IF(AND($D126&gt;=CY$5,$D126&lt;CY$5+7),"◆",""),IF(AND($D126&lt;CY$5+7,$E126&gt;CY$5),"■","")))</x:f>
      </x:c>
      <x:c r="CZ126" s="7" t="str">
        <x:f>IF(OR($D126="",CZ$5="",'상세일정'!AM126="제외"),"",IF($D126=$E126,IF(AND($D126&gt;=CZ$5,$D126&lt;CZ$5+7),"◆",""),IF(AND($D126&lt;CZ$5+7,$E126&gt;CZ$5),"■","")))</x:f>
      </x:c>
      <x:c r="DA126" s="7" t="str">
        <x:f>IF(OR($D126="",DA$5="",'상세일정'!AM126="제외"),"",IF($D126=$E126,IF(AND($D126&gt;=DA$5,$D126&lt;DA$5+7),"◆",""),IF(AND($D126&lt;DA$5+7,$E126&gt;DA$5),"■","")))</x:f>
      </x:c>
      <x:c r="DB126" s="7" t="str">
        <x:f>IF(OR($D126="",DB$5="",'상세일정'!AM126="제외"),"",IF($D126=$E126,IF(AND($D126&gt;=DB$5,$D126&lt;DB$5+7),"◆",""),IF(AND($D126&lt;DB$5+7,$E126&gt;DB$5),"■","")))</x:f>
      </x:c>
      <x:c r="DC126" s="7" t="str">
        <x:f>IF(OR($D126="",DC$5="",'상세일정'!AM126="제외"),"",IF($D126=$E126,IF(AND($D126&gt;=DC$5,$D126&lt;DC$5+7),"◆",""),IF(AND($D126&lt;DC$5+7,$E126&gt;DC$5),"■","")))</x:f>
      </x:c>
      <x:c r="DD126" s="7" t="str">
        <x:f>IF(OR($D126="",DD$5="",'상세일정'!AM126="제외"),"",IF($D126=$E126,IF(AND($D126&gt;=DD$5,$D126&lt;DD$5+7),"◆",""),IF(AND($D126&lt;DD$5+7,$E126&gt;DD$5),"■","")))</x:f>
      </x:c>
      <x:c r="DE126" s="7" t="str">
        <x:f>IF(OR($D126="",DE$5="",'상세일정'!AM126="제외"),"",IF($D126=$E126,IF(AND($D126&gt;=DE$5,$D126&lt;DE$5+7),"◆",""),IF(AND($D126&lt;DE$5+7,$E126&gt;DE$5),"■","")))</x:f>
      </x:c>
    </x:row>
    <x:row r="127" ht="34" customHeight="1">
      <x:c r="A127" s="7" t="str">
        <x:v>CP06</x:v>
      </x:c>
      <x:c r="B127" s="7" t="str">
        <x:v>16 기자재 구매·제작</x:v>
      </x:c>
      <x:c r="C127" s="7" t="str">
        <x:v>압축기 FAT 입회·지적사항 조치</x:v>
      </x:c>
      <x:c r="D127" s="10" t="str">
        <x:f>'상세일정'!AJ127</x:f>
      </x:c>
      <x:c r="E127" s="10" t="str">
        <x:f>'상세일정'!AK127</x:f>
      </x:c>
      <x:c r="F127" s="7" t="str">
        <x:f>IF(OR($D127="",F$5="",'상세일정'!AM127="제외"),"",IF($D127=$E127,IF(AND($D127&gt;=F$5,$D127&lt;F$5+7),"◆",""),IF(AND($D127&lt;F$5+7,$E127&gt;F$5),"■","")))</x:f>
      </x:c>
      <x:c r="G127" s="7" t="str">
        <x:f>IF(OR($D127="",G$5="",'상세일정'!AM127="제외"),"",IF($D127=$E127,IF(AND($D127&gt;=G$5,$D127&lt;G$5+7),"◆",""),IF(AND($D127&lt;G$5+7,$E127&gt;G$5),"■","")))</x:f>
      </x:c>
      <x:c r="H127" s="7" t="str">
        <x:f>IF(OR($D127="",H$5="",'상세일정'!AM127="제외"),"",IF($D127=$E127,IF(AND($D127&gt;=H$5,$D127&lt;H$5+7),"◆",""),IF(AND($D127&lt;H$5+7,$E127&gt;H$5),"■","")))</x:f>
      </x:c>
      <x:c r="I127" s="7" t="str">
        <x:f>IF(OR($D127="",I$5="",'상세일정'!AM127="제외"),"",IF($D127=$E127,IF(AND($D127&gt;=I$5,$D127&lt;I$5+7),"◆",""),IF(AND($D127&lt;I$5+7,$E127&gt;I$5),"■","")))</x:f>
      </x:c>
      <x:c r="J127" s="7" t="str">
        <x:f>IF(OR($D127="",J$5="",'상세일정'!AM127="제외"),"",IF($D127=$E127,IF(AND($D127&gt;=J$5,$D127&lt;J$5+7),"◆",""),IF(AND($D127&lt;J$5+7,$E127&gt;J$5),"■","")))</x:f>
      </x:c>
      <x:c r="K127" s="7" t="str">
        <x:f>IF(OR($D127="",K$5="",'상세일정'!AM127="제외"),"",IF($D127=$E127,IF(AND($D127&gt;=K$5,$D127&lt;K$5+7),"◆",""),IF(AND($D127&lt;K$5+7,$E127&gt;K$5),"■","")))</x:f>
      </x:c>
      <x:c r="L127" s="7" t="str">
        <x:f>IF(OR($D127="",L$5="",'상세일정'!AM127="제외"),"",IF($D127=$E127,IF(AND($D127&gt;=L$5,$D127&lt;L$5+7),"◆",""),IF(AND($D127&lt;L$5+7,$E127&gt;L$5),"■","")))</x:f>
      </x:c>
      <x:c r="M127" s="7" t="str">
        <x:f>IF(OR($D127="",M$5="",'상세일정'!AM127="제외"),"",IF($D127=$E127,IF(AND($D127&gt;=M$5,$D127&lt;M$5+7),"◆",""),IF(AND($D127&lt;M$5+7,$E127&gt;M$5),"■","")))</x:f>
      </x:c>
      <x:c r="N127" s="7" t="str">
        <x:f>IF(OR($D127="",N$5="",'상세일정'!AM127="제외"),"",IF($D127=$E127,IF(AND($D127&gt;=N$5,$D127&lt;N$5+7),"◆",""),IF(AND($D127&lt;N$5+7,$E127&gt;N$5),"■","")))</x:f>
      </x:c>
      <x:c r="O127" s="7" t="str">
        <x:f>IF(OR($D127="",O$5="",'상세일정'!AM127="제외"),"",IF($D127=$E127,IF(AND($D127&gt;=O$5,$D127&lt;O$5+7),"◆",""),IF(AND($D127&lt;O$5+7,$E127&gt;O$5),"■","")))</x:f>
      </x:c>
      <x:c r="P127" s="7" t="str">
        <x:f>IF(OR($D127="",P$5="",'상세일정'!AM127="제외"),"",IF($D127=$E127,IF(AND($D127&gt;=P$5,$D127&lt;P$5+7),"◆",""),IF(AND($D127&lt;P$5+7,$E127&gt;P$5),"■","")))</x:f>
      </x:c>
      <x:c r="Q127" s="7" t="str">
        <x:f>IF(OR($D127="",Q$5="",'상세일정'!AM127="제외"),"",IF($D127=$E127,IF(AND($D127&gt;=Q$5,$D127&lt;Q$5+7),"◆",""),IF(AND($D127&lt;Q$5+7,$E127&gt;Q$5),"■","")))</x:f>
      </x:c>
      <x:c r="R127" s="7" t="str">
        <x:f>IF(OR($D127="",R$5="",'상세일정'!AM127="제외"),"",IF($D127=$E127,IF(AND($D127&gt;=R$5,$D127&lt;R$5+7),"◆",""),IF(AND($D127&lt;R$5+7,$E127&gt;R$5),"■","")))</x:f>
      </x:c>
      <x:c r="S127" s="7" t="str">
        <x:f>IF(OR($D127="",S$5="",'상세일정'!AM127="제외"),"",IF($D127=$E127,IF(AND($D127&gt;=S$5,$D127&lt;S$5+7),"◆",""),IF(AND($D127&lt;S$5+7,$E127&gt;S$5),"■","")))</x:f>
      </x:c>
      <x:c r="T127" s="7" t="str">
        <x:f>IF(OR($D127="",T$5="",'상세일정'!AM127="제외"),"",IF($D127=$E127,IF(AND($D127&gt;=T$5,$D127&lt;T$5+7),"◆",""),IF(AND($D127&lt;T$5+7,$E127&gt;T$5),"■","")))</x:f>
      </x:c>
      <x:c r="U127" s="7" t="str">
        <x:f>IF(OR($D127="",U$5="",'상세일정'!AM127="제외"),"",IF($D127=$E127,IF(AND($D127&gt;=U$5,$D127&lt;U$5+7),"◆",""),IF(AND($D127&lt;U$5+7,$E127&gt;U$5),"■","")))</x:f>
      </x:c>
      <x:c r="V127" s="7" t="str">
        <x:f>IF(OR($D127="",V$5="",'상세일정'!AM127="제외"),"",IF($D127=$E127,IF(AND($D127&gt;=V$5,$D127&lt;V$5+7),"◆",""),IF(AND($D127&lt;V$5+7,$E127&gt;V$5),"■","")))</x:f>
      </x:c>
      <x:c r="W127" s="7" t="str">
        <x:f>IF(OR($D127="",W$5="",'상세일정'!AM127="제외"),"",IF($D127=$E127,IF(AND($D127&gt;=W$5,$D127&lt;W$5+7),"◆",""),IF(AND($D127&lt;W$5+7,$E127&gt;W$5),"■","")))</x:f>
      </x:c>
      <x:c r="X127" s="7" t="str">
        <x:f>IF(OR($D127="",X$5="",'상세일정'!AM127="제외"),"",IF($D127=$E127,IF(AND($D127&gt;=X$5,$D127&lt;X$5+7),"◆",""),IF(AND($D127&lt;X$5+7,$E127&gt;X$5),"■","")))</x:f>
      </x:c>
      <x:c r="Y127" s="7" t="str">
        <x:f>IF(OR($D127="",Y$5="",'상세일정'!AM127="제외"),"",IF($D127=$E127,IF(AND($D127&gt;=Y$5,$D127&lt;Y$5+7),"◆",""),IF(AND($D127&lt;Y$5+7,$E127&gt;Y$5),"■","")))</x:f>
      </x:c>
      <x:c r="Z127" s="7" t="str">
        <x:f>IF(OR($D127="",Z$5="",'상세일정'!AM127="제외"),"",IF($D127=$E127,IF(AND($D127&gt;=Z$5,$D127&lt;Z$5+7),"◆",""),IF(AND($D127&lt;Z$5+7,$E127&gt;Z$5),"■","")))</x:f>
      </x:c>
      <x:c r="AA127" s="7" t="str">
        <x:f>IF(OR($D127="",AA$5="",'상세일정'!AM127="제외"),"",IF($D127=$E127,IF(AND($D127&gt;=AA$5,$D127&lt;AA$5+7),"◆",""),IF(AND($D127&lt;AA$5+7,$E127&gt;AA$5),"■","")))</x:f>
      </x:c>
      <x:c r="AB127" s="7" t="str">
        <x:f>IF(OR($D127="",AB$5="",'상세일정'!AM127="제외"),"",IF($D127=$E127,IF(AND($D127&gt;=AB$5,$D127&lt;AB$5+7),"◆",""),IF(AND($D127&lt;AB$5+7,$E127&gt;AB$5),"■","")))</x:f>
      </x:c>
      <x:c r="AC127" s="7" t="str">
        <x:f>IF(OR($D127="",AC$5="",'상세일정'!AM127="제외"),"",IF($D127=$E127,IF(AND($D127&gt;=AC$5,$D127&lt;AC$5+7),"◆",""),IF(AND($D127&lt;AC$5+7,$E127&gt;AC$5),"■","")))</x:f>
      </x:c>
      <x:c r="AD127" s="7" t="str">
        <x:f>IF(OR($D127="",AD$5="",'상세일정'!AM127="제외"),"",IF($D127=$E127,IF(AND($D127&gt;=AD$5,$D127&lt;AD$5+7),"◆",""),IF(AND($D127&lt;AD$5+7,$E127&gt;AD$5),"■","")))</x:f>
      </x:c>
      <x:c r="AE127" s="7" t="str">
        <x:f>IF(OR($D127="",AE$5="",'상세일정'!AM127="제외"),"",IF($D127=$E127,IF(AND($D127&gt;=AE$5,$D127&lt;AE$5+7),"◆",""),IF(AND($D127&lt;AE$5+7,$E127&gt;AE$5),"■","")))</x:f>
      </x:c>
      <x:c r="AF127" s="7" t="str">
        <x:f>IF(OR($D127="",AF$5="",'상세일정'!AM127="제외"),"",IF($D127=$E127,IF(AND($D127&gt;=AF$5,$D127&lt;AF$5+7),"◆",""),IF(AND($D127&lt;AF$5+7,$E127&gt;AF$5),"■","")))</x:f>
      </x:c>
      <x:c r="AG127" s="7" t="str">
        <x:f>IF(OR($D127="",AG$5="",'상세일정'!AM127="제외"),"",IF($D127=$E127,IF(AND($D127&gt;=AG$5,$D127&lt;AG$5+7),"◆",""),IF(AND($D127&lt;AG$5+7,$E127&gt;AG$5),"■","")))</x:f>
      </x:c>
      <x:c r="AH127" s="7" t="str">
        <x:f>IF(OR($D127="",AH$5="",'상세일정'!AM127="제외"),"",IF($D127=$E127,IF(AND($D127&gt;=AH$5,$D127&lt;AH$5+7),"◆",""),IF(AND($D127&lt;AH$5+7,$E127&gt;AH$5),"■","")))</x:f>
      </x:c>
      <x:c r="AI127" s="7" t="str">
        <x:f>IF(OR($D127="",AI$5="",'상세일정'!AM127="제외"),"",IF($D127=$E127,IF(AND($D127&gt;=AI$5,$D127&lt;AI$5+7),"◆",""),IF(AND($D127&lt;AI$5+7,$E127&gt;AI$5),"■","")))</x:f>
      </x:c>
      <x:c r="AJ127" s="7" t="str">
        <x:f>IF(OR($D127="",AJ$5="",'상세일정'!AM127="제외"),"",IF($D127=$E127,IF(AND($D127&gt;=AJ$5,$D127&lt;AJ$5+7),"◆",""),IF(AND($D127&lt;AJ$5+7,$E127&gt;AJ$5),"■","")))</x:f>
      </x:c>
      <x:c r="AK127" s="7" t="str">
        <x:f>IF(OR($D127="",AK$5="",'상세일정'!AM127="제외"),"",IF($D127=$E127,IF(AND($D127&gt;=AK$5,$D127&lt;AK$5+7),"◆",""),IF(AND($D127&lt;AK$5+7,$E127&gt;AK$5),"■","")))</x:f>
      </x:c>
      <x:c r="AL127" s="7" t="str">
        <x:f>IF(OR($D127="",AL$5="",'상세일정'!AM127="제외"),"",IF($D127=$E127,IF(AND($D127&gt;=AL$5,$D127&lt;AL$5+7),"◆",""),IF(AND($D127&lt;AL$5+7,$E127&gt;AL$5),"■","")))</x:f>
      </x:c>
      <x:c r="AM127" s="7" t="str">
        <x:f>IF(OR($D127="",AM$5="",'상세일정'!AM127="제외"),"",IF($D127=$E127,IF(AND($D127&gt;=AM$5,$D127&lt;AM$5+7),"◆",""),IF(AND($D127&lt;AM$5+7,$E127&gt;AM$5),"■","")))</x:f>
      </x:c>
      <x:c r="AN127" s="7" t="str">
        <x:f>IF(OR($D127="",AN$5="",'상세일정'!AM127="제외"),"",IF($D127=$E127,IF(AND($D127&gt;=AN$5,$D127&lt;AN$5+7),"◆",""),IF(AND($D127&lt;AN$5+7,$E127&gt;AN$5),"■","")))</x:f>
      </x:c>
      <x:c r="AO127" s="7" t="str">
        <x:f>IF(OR($D127="",AO$5="",'상세일정'!AM127="제외"),"",IF($D127=$E127,IF(AND($D127&gt;=AO$5,$D127&lt;AO$5+7),"◆",""),IF(AND($D127&lt;AO$5+7,$E127&gt;AO$5),"■","")))</x:f>
      </x:c>
      <x:c r="AP127" s="7" t="str">
        <x:f>IF(OR($D127="",AP$5="",'상세일정'!AM127="제외"),"",IF($D127=$E127,IF(AND($D127&gt;=AP$5,$D127&lt;AP$5+7),"◆",""),IF(AND($D127&lt;AP$5+7,$E127&gt;AP$5),"■","")))</x:f>
      </x:c>
      <x:c r="AQ127" s="7" t="str">
        <x:f>IF(OR($D127="",AQ$5="",'상세일정'!AM127="제외"),"",IF($D127=$E127,IF(AND($D127&gt;=AQ$5,$D127&lt;AQ$5+7),"◆",""),IF(AND($D127&lt;AQ$5+7,$E127&gt;AQ$5),"■","")))</x:f>
      </x:c>
      <x:c r="AR127" s="7" t="str">
        <x:f>IF(OR($D127="",AR$5="",'상세일정'!AM127="제외"),"",IF($D127=$E127,IF(AND($D127&gt;=AR$5,$D127&lt;AR$5+7),"◆",""),IF(AND($D127&lt;AR$5+7,$E127&gt;AR$5),"■","")))</x:f>
      </x:c>
      <x:c r="AS127" s="7" t="str">
        <x:f>IF(OR($D127="",AS$5="",'상세일정'!AM127="제외"),"",IF($D127=$E127,IF(AND($D127&gt;=AS$5,$D127&lt;AS$5+7),"◆",""),IF(AND($D127&lt;AS$5+7,$E127&gt;AS$5),"■","")))</x:f>
      </x:c>
      <x:c r="AT127" s="7" t="str">
        <x:f>IF(OR($D127="",AT$5="",'상세일정'!AM127="제외"),"",IF($D127=$E127,IF(AND($D127&gt;=AT$5,$D127&lt;AT$5+7),"◆",""),IF(AND($D127&lt;AT$5+7,$E127&gt;AT$5),"■","")))</x:f>
      </x:c>
      <x:c r="AU127" s="7" t="str">
        <x:f>IF(OR($D127="",AU$5="",'상세일정'!AM127="제외"),"",IF($D127=$E127,IF(AND($D127&gt;=AU$5,$D127&lt;AU$5+7),"◆",""),IF(AND($D127&lt;AU$5+7,$E127&gt;AU$5),"■","")))</x:f>
      </x:c>
      <x:c r="AV127" s="7" t="str">
        <x:f>IF(OR($D127="",AV$5="",'상세일정'!AM127="제외"),"",IF($D127=$E127,IF(AND($D127&gt;=AV$5,$D127&lt;AV$5+7),"◆",""),IF(AND($D127&lt;AV$5+7,$E127&gt;AV$5),"■","")))</x:f>
      </x:c>
      <x:c r="AW127" s="7" t="str">
        <x:f>IF(OR($D127="",AW$5="",'상세일정'!AM127="제외"),"",IF($D127=$E127,IF(AND($D127&gt;=AW$5,$D127&lt;AW$5+7),"◆",""),IF(AND($D127&lt;AW$5+7,$E127&gt;AW$5),"■","")))</x:f>
      </x:c>
      <x:c r="AX127" s="7" t="str">
        <x:f>IF(OR($D127="",AX$5="",'상세일정'!AM127="제외"),"",IF($D127=$E127,IF(AND($D127&gt;=AX$5,$D127&lt;AX$5+7),"◆",""),IF(AND($D127&lt;AX$5+7,$E127&gt;AX$5),"■","")))</x:f>
      </x:c>
      <x:c r="AY127" s="7" t="str">
        <x:f>IF(OR($D127="",AY$5="",'상세일정'!AM127="제외"),"",IF($D127=$E127,IF(AND($D127&gt;=AY$5,$D127&lt;AY$5+7),"◆",""),IF(AND($D127&lt;AY$5+7,$E127&gt;AY$5),"■","")))</x:f>
      </x:c>
      <x:c r="AZ127" s="7" t="str">
        <x:f>IF(OR($D127="",AZ$5="",'상세일정'!AM127="제외"),"",IF($D127=$E127,IF(AND($D127&gt;=AZ$5,$D127&lt;AZ$5+7),"◆",""),IF(AND($D127&lt;AZ$5+7,$E127&gt;AZ$5),"■","")))</x:f>
      </x:c>
      <x:c r="BA127" s="7" t="str">
        <x:f>IF(OR($D127="",BA$5="",'상세일정'!AM127="제외"),"",IF($D127=$E127,IF(AND($D127&gt;=BA$5,$D127&lt;BA$5+7),"◆",""),IF(AND($D127&lt;BA$5+7,$E127&gt;BA$5),"■","")))</x:f>
      </x:c>
      <x:c r="BB127" s="7" t="str">
        <x:f>IF(OR($D127="",BB$5="",'상세일정'!AM127="제외"),"",IF($D127=$E127,IF(AND($D127&gt;=BB$5,$D127&lt;BB$5+7),"◆",""),IF(AND($D127&lt;BB$5+7,$E127&gt;BB$5),"■","")))</x:f>
      </x:c>
      <x:c r="BC127" s="7" t="str">
        <x:f>IF(OR($D127="",BC$5="",'상세일정'!AM127="제외"),"",IF($D127=$E127,IF(AND($D127&gt;=BC$5,$D127&lt;BC$5+7),"◆",""),IF(AND($D127&lt;BC$5+7,$E127&gt;BC$5),"■","")))</x:f>
      </x:c>
      <x:c r="BD127" s="7" t="str">
        <x:f>IF(OR($D127="",BD$5="",'상세일정'!AM127="제외"),"",IF($D127=$E127,IF(AND($D127&gt;=BD$5,$D127&lt;BD$5+7),"◆",""),IF(AND($D127&lt;BD$5+7,$E127&gt;BD$5),"■","")))</x:f>
      </x:c>
      <x:c r="BE127" s="7" t="str">
        <x:f>IF(OR($D127="",BE$5="",'상세일정'!AM127="제외"),"",IF($D127=$E127,IF(AND($D127&gt;=BE$5,$D127&lt;BE$5+7),"◆",""),IF(AND($D127&lt;BE$5+7,$E127&gt;BE$5),"■","")))</x:f>
      </x:c>
      <x:c r="BF127" s="7" t="str">
        <x:f>IF(OR($D127="",BF$5="",'상세일정'!AM127="제외"),"",IF($D127=$E127,IF(AND($D127&gt;=BF$5,$D127&lt;BF$5+7),"◆",""),IF(AND($D127&lt;BF$5+7,$E127&gt;BF$5),"■","")))</x:f>
      </x:c>
      <x:c r="BG127" s="7" t="str">
        <x:f>IF(OR($D127="",BG$5="",'상세일정'!AM127="제외"),"",IF($D127=$E127,IF(AND($D127&gt;=BG$5,$D127&lt;BG$5+7),"◆",""),IF(AND($D127&lt;BG$5+7,$E127&gt;BG$5),"■","")))</x:f>
      </x:c>
      <x:c r="BH127" s="7" t="str">
        <x:f>IF(OR($D127="",BH$5="",'상세일정'!AM127="제외"),"",IF($D127=$E127,IF(AND($D127&gt;=BH$5,$D127&lt;BH$5+7),"◆",""),IF(AND($D127&lt;BH$5+7,$E127&gt;BH$5),"■","")))</x:f>
      </x:c>
      <x:c r="BI127" s="7" t="str">
        <x:f>IF(OR($D127="",BI$5="",'상세일정'!AM127="제외"),"",IF($D127=$E127,IF(AND($D127&gt;=BI$5,$D127&lt;BI$5+7),"◆",""),IF(AND($D127&lt;BI$5+7,$E127&gt;BI$5),"■","")))</x:f>
      </x:c>
      <x:c r="BJ127" s="7" t="str">
        <x:f>IF(OR($D127="",BJ$5="",'상세일정'!AM127="제외"),"",IF($D127=$E127,IF(AND($D127&gt;=BJ$5,$D127&lt;BJ$5+7),"◆",""),IF(AND($D127&lt;BJ$5+7,$E127&gt;BJ$5),"■","")))</x:f>
      </x:c>
      <x:c r="BK127" s="7" t="str">
        <x:f>IF(OR($D127="",BK$5="",'상세일정'!AM127="제외"),"",IF($D127=$E127,IF(AND($D127&gt;=BK$5,$D127&lt;BK$5+7),"◆",""),IF(AND($D127&lt;BK$5+7,$E127&gt;BK$5),"■","")))</x:f>
      </x:c>
      <x:c r="BL127" s="7" t="str">
        <x:f>IF(OR($D127="",BL$5="",'상세일정'!AM127="제외"),"",IF($D127=$E127,IF(AND($D127&gt;=BL$5,$D127&lt;BL$5+7),"◆",""),IF(AND($D127&lt;BL$5+7,$E127&gt;BL$5),"■","")))</x:f>
      </x:c>
      <x:c r="BM127" s="7" t="str">
        <x:f>IF(OR($D127="",BM$5="",'상세일정'!AM127="제외"),"",IF($D127=$E127,IF(AND($D127&gt;=BM$5,$D127&lt;BM$5+7),"◆",""),IF(AND($D127&lt;BM$5+7,$E127&gt;BM$5),"■","")))</x:f>
      </x:c>
      <x:c r="BN127" s="7" t="str">
        <x:f>IF(OR($D127="",BN$5="",'상세일정'!AM127="제외"),"",IF($D127=$E127,IF(AND($D127&gt;=BN$5,$D127&lt;BN$5+7),"◆",""),IF(AND($D127&lt;BN$5+7,$E127&gt;BN$5),"■","")))</x:f>
      </x:c>
      <x:c r="BO127" s="7" t="str">
        <x:f>IF(OR($D127="",BO$5="",'상세일정'!AM127="제외"),"",IF($D127=$E127,IF(AND($D127&gt;=BO$5,$D127&lt;BO$5+7),"◆",""),IF(AND($D127&lt;BO$5+7,$E127&gt;BO$5),"■","")))</x:f>
      </x:c>
      <x:c r="BP127" s="7" t="str">
        <x:f>IF(OR($D127="",BP$5="",'상세일정'!AM127="제외"),"",IF($D127=$E127,IF(AND($D127&gt;=BP$5,$D127&lt;BP$5+7),"◆",""),IF(AND($D127&lt;BP$5+7,$E127&gt;BP$5),"■","")))</x:f>
      </x:c>
      <x:c r="BQ127" s="7" t="str">
        <x:f>IF(OR($D127="",BQ$5="",'상세일정'!AM127="제외"),"",IF($D127=$E127,IF(AND($D127&gt;=BQ$5,$D127&lt;BQ$5+7),"◆",""),IF(AND($D127&lt;BQ$5+7,$E127&gt;BQ$5),"■","")))</x:f>
      </x:c>
      <x:c r="BR127" s="7" t="str">
        <x:f>IF(OR($D127="",BR$5="",'상세일정'!AM127="제외"),"",IF($D127=$E127,IF(AND($D127&gt;=BR$5,$D127&lt;BR$5+7),"◆",""),IF(AND($D127&lt;BR$5+7,$E127&gt;BR$5),"■","")))</x:f>
      </x:c>
      <x:c r="BS127" s="7" t="str">
        <x:f>IF(OR($D127="",BS$5="",'상세일정'!AM127="제외"),"",IF($D127=$E127,IF(AND($D127&gt;=BS$5,$D127&lt;BS$5+7),"◆",""),IF(AND($D127&lt;BS$5+7,$E127&gt;BS$5),"■","")))</x:f>
      </x:c>
      <x:c r="BT127" s="7" t="str">
        <x:f>IF(OR($D127="",BT$5="",'상세일정'!AM127="제외"),"",IF($D127=$E127,IF(AND($D127&gt;=BT$5,$D127&lt;BT$5+7),"◆",""),IF(AND($D127&lt;BT$5+7,$E127&gt;BT$5),"■","")))</x:f>
      </x:c>
      <x:c r="BU127" s="7" t="str">
        <x:f>IF(OR($D127="",BU$5="",'상세일정'!AM127="제외"),"",IF($D127=$E127,IF(AND($D127&gt;=BU$5,$D127&lt;BU$5+7),"◆",""),IF(AND($D127&lt;BU$5+7,$E127&gt;BU$5),"■","")))</x:f>
      </x:c>
      <x:c r="BV127" s="7" t="str">
        <x:f>IF(OR($D127="",BV$5="",'상세일정'!AM127="제외"),"",IF($D127=$E127,IF(AND($D127&gt;=BV$5,$D127&lt;BV$5+7),"◆",""),IF(AND($D127&lt;BV$5+7,$E127&gt;BV$5),"■","")))</x:f>
      </x:c>
      <x:c r="BW127" s="7" t="str">
        <x:f>IF(OR($D127="",BW$5="",'상세일정'!AM127="제외"),"",IF($D127=$E127,IF(AND($D127&gt;=BW$5,$D127&lt;BW$5+7),"◆",""),IF(AND($D127&lt;BW$5+7,$E127&gt;BW$5),"■","")))</x:f>
      </x:c>
      <x:c r="BX127" s="7" t="str">
        <x:f>IF(OR($D127="",BX$5="",'상세일정'!AM127="제외"),"",IF($D127=$E127,IF(AND($D127&gt;=BX$5,$D127&lt;BX$5+7),"◆",""),IF(AND($D127&lt;BX$5+7,$E127&gt;BX$5),"■","")))</x:f>
      </x:c>
      <x:c r="BY127" s="7" t="str">
        <x:f>IF(OR($D127="",BY$5="",'상세일정'!AM127="제외"),"",IF($D127=$E127,IF(AND($D127&gt;=BY$5,$D127&lt;BY$5+7),"◆",""),IF(AND($D127&lt;BY$5+7,$E127&gt;BY$5),"■","")))</x:f>
      </x:c>
      <x:c r="BZ127" s="7" t="str">
        <x:f>IF(OR($D127="",BZ$5="",'상세일정'!AM127="제외"),"",IF($D127=$E127,IF(AND($D127&gt;=BZ$5,$D127&lt;BZ$5+7),"◆",""),IF(AND($D127&lt;BZ$5+7,$E127&gt;BZ$5),"■","")))</x:f>
      </x:c>
      <x:c r="CA127" s="7" t="str">
        <x:f>IF(OR($D127="",CA$5="",'상세일정'!AM127="제외"),"",IF($D127=$E127,IF(AND($D127&gt;=CA$5,$D127&lt;CA$5+7),"◆",""),IF(AND($D127&lt;CA$5+7,$E127&gt;CA$5),"■","")))</x:f>
      </x:c>
      <x:c r="CB127" s="7" t="str">
        <x:f>IF(OR($D127="",CB$5="",'상세일정'!AM127="제외"),"",IF($D127=$E127,IF(AND($D127&gt;=CB$5,$D127&lt;CB$5+7),"◆",""),IF(AND($D127&lt;CB$5+7,$E127&gt;CB$5),"■","")))</x:f>
      </x:c>
      <x:c r="CC127" s="7" t="str">
        <x:f>IF(OR($D127="",CC$5="",'상세일정'!AM127="제외"),"",IF($D127=$E127,IF(AND($D127&gt;=CC$5,$D127&lt;CC$5+7),"◆",""),IF(AND($D127&lt;CC$5+7,$E127&gt;CC$5),"■","")))</x:f>
      </x:c>
      <x:c r="CD127" s="7" t="str">
        <x:f>IF(OR($D127="",CD$5="",'상세일정'!AM127="제외"),"",IF($D127=$E127,IF(AND($D127&gt;=CD$5,$D127&lt;CD$5+7),"◆",""),IF(AND($D127&lt;CD$5+7,$E127&gt;CD$5),"■","")))</x:f>
      </x:c>
      <x:c r="CE127" s="7" t="str">
        <x:f>IF(OR($D127="",CE$5="",'상세일정'!AM127="제외"),"",IF($D127=$E127,IF(AND($D127&gt;=CE$5,$D127&lt;CE$5+7),"◆",""),IF(AND($D127&lt;CE$5+7,$E127&gt;CE$5),"■","")))</x:f>
      </x:c>
      <x:c r="CF127" s="7" t="str">
        <x:f>IF(OR($D127="",CF$5="",'상세일정'!AM127="제외"),"",IF($D127=$E127,IF(AND($D127&gt;=CF$5,$D127&lt;CF$5+7),"◆",""),IF(AND($D127&lt;CF$5+7,$E127&gt;CF$5),"■","")))</x:f>
      </x:c>
      <x:c r="CG127" s="7" t="str">
        <x:f>IF(OR($D127="",CG$5="",'상세일정'!AM127="제외"),"",IF($D127=$E127,IF(AND($D127&gt;=CG$5,$D127&lt;CG$5+7),"◆",""),IF(AND($D127&lt;CG$5+7,$E127&gt;CG$5),"■","")))</x:f>
      </x:c>
      <x:c r="CH127" s="7" t="str">
        <x:f>IF(OR($D127="",CH$5="",'상세일정'!AM127="제외"),"",IF($D127=$E127,IF(AND($D127&gt;=CH$5,$D127&lt;CH$5+7),"◆",""),IF(AND($D127&lt;CH$5+7,$E127&gt;CH$5),"■","")))</x:f>
      </x:c>
      <x:c r="CI127" s="7" t="str">
        <x:f>IF(OR($D127="",CI$5="",'상세일정'!AM127="제외"),"",IF($D127=$E127,IF(AND($D127&gt;=CI$5,$D127&lt;CI$5+7),"◆",""),IF(AND($D127&lt;CI$5+7,$E127&gt;CI$5),"■","")))</x:f>
      </x:c>
      <x:c r="CJ127" s="7" t="str">
        <x:f>IF(OR($D127="",CJ$5="",'상세일정'!AM127="제외"),"",IF($D127=$E127,IF(AND($D127&gt;=CJ$5,$D127&lt;CJ$5+7),"◆",""),IF(AND($D127&lt;CJ$5+7,$E127&gt;CJ$5),"■","")))</x:f>
      </x:c>
      <x:c r="CK127" s="7" t="str">
        <x:f>IF(OR($D127="",CK$5="",'상세일정'!AM127="제외"),"",IF($D127=$E127,IF(AND($D127&gt;=CK$5,$D127&lt;CK$5+7),"◆",""),IF(AND($D127&lt;CK$5+7,$E127&gt;CK$5),"■","")))</x:f>
      </x:c>
      <x:c r="CL127" s="7" t="str">
        <x:f>IF(OR($D127="",CL$5="",'상세일정'!AM127="제외"),"",IF($D127=$E127,IF(AND($D127&gt;=CL$5,$D127&lt;CL$5+7),"◆",""),IF(AND($D127&lt;CL$5+7,$E127&gt;CL$5),"■","")))</x:f>
      </x:c>
      <x:c r="CM127" s="7" t="str">
        <x:f>IF(OR($D127="",CM$5="",'상세일정'!AM127="제외"),"",IF($D127=$E127,IF(AND($D127&gt;=CM$5,$D127&lt;CM$5+7),"◆",""),IF(AND($D127&lt;CM$5+7,$E127&gt;CM$5),"■","")))</x:f>
      </x:c>
      <x:c r="CN127" s="7" t="str">
        <x:f>IF(OR($D127="",CN$5="",'상세일정'!AM127="제외"),"",IF($D127=$E127,IF(AND($D127&gt;=CN$5,$D127&lt;CN$5+7),"◆",""),IF(AND($D127&lt;CN$5+7,$E127&gt;CN$5),"■","")))</x:f>
      </x:c>
      <x:c r="CO127" s="7" t="str">
        <x:f>IF(OR($D127="",CO$5="",'상세일정'!AM127="제외"),"",IF($D127=$E127,IF(AND($D127&gt;=CO$5,$D127&lt;CO$5+7),"◆",""),IF(AND($D127&lt;CO$5+7,$E127&gt;CO$5),"■","")))</x:f>
      </x:c>
      <x:c r="CP127" s="7" t="str">
        <x:f>IF(OR($D127="",CP$5="",'상세일정'!AM127="제외"),"",IF($D127=$E127,IF(AND($D127&gt;=CP$5,$D127&lt;CP$5+7),"◆",""),IF(AND($D127&lt;CP$5+7,$E127&gt;CP$5),"■","")))</x:f>
      </x:c>
      <x:c r="CQ127" s="7" t="str">
        <x:f>IF(OR($D127="",CQ$5="",'상세일정'!AM127="제외"),"",IF($D127=$E127,IF(AND($D127&gt;=CQ$5,$D127&lt;CQ$5+7),"◆",""),IF(AND($D127&lt;CQ$5+7,$E127&gt;CQ$5),"■","")))</x:f>
      </x:c>
      <x:c r="CR127" s="7" t="str">
        <x:f>IF(OR($D127="",CR$5="",'상세일정'!AM127="제외"),"",IF($D127=$E127,IF(AND($D127&gt;=CR$5,$D127&lt;CR$5+7),"◆",""),IF(AND($D127&lt;CR$5+7,$E127&gt;CR$5),"■","")))</x:f>
      </x:c>
      <x:c r="CS127" s="7" t="str">
        <x:f>IF(OR($D127="",CS$5="",'상세일정'!AM127="제외"),"",IF($D127=$E127,IF(AND($D127&gt;=CS$5,$D127&lt;CS$5+7),"◆",""),IF(AND($D127&lt;CS$5+7,$E127&gt;CS$5),"■","")))</x:f>
      </x:c>
      <x:c r="CT127" s="7" t="str">
        <x:f>IF(OR($D127="",CT$5="",'상세일정'!AM127="제외"),"",IF($D127=$E127,IF(AND($D127&gt;=CT$5,$D127&lt;CT$5+7),"◆",""),IF(AND($D127&lt;CT$5+7,$E127&gt;CT$5),"■","")))</x:f>
      </x:c>
      <x:c r="CU127" s="7" t="str">
        <x:f>IF(OR($D127="",CU$5="",'상세일정'!AM127="제외"),"",IF($D127=$E127,IF(AND($D127&gt;=CU$5,$D127&lt;CU$5+7),"◆",""),IF(AND($D127&lt;CU$5+7,$E127&gt;CU$5),"■","")))</x:f>
      </x:c>
      <x:c r="CV127" s="7" t="str">
        <x:f>IF(OR($D127="",CV$5="",'상세일정'!AM127="제외"),"",IF($D127=$E127,IF(AND($D127&gt;=CV$5,$D127&lt;CV$5+7),"◆",""),IF(AND($D127&lt;CV$5+7,$E127&gt;CV$5),"■","")))</x:f>
      </x:c>
      <x:c r="CW127" s="7" t="str">
        <x:f>IF(OR($D127="",CW$5="",'상세일정'!AM127="제외"),"",IF($D127=$E127,IF(AND($D127&gt;=CW$5,$D127&lt;CW$5+7),"◆",""),IF(AND($D127&lt;CW$5+7,$E127&gt;CW$5),"■","")))</x:f>
      </x:c>
      <x:c r="CX127" s="7" t="str">
        <x:f>IF(OR($D127="",CX$5="",'상세일정'!AM127="제외"),"",IF($D127=$E127,IF(AND($D127&gt;=CX$5,$D127&lt;CX$5+7),"◆",""),IF(AND($D127&lt;CX$5+7,$E127&gt;CX$5),"■","")))</x:f>
      </x:c>
      <x:c r="CY127" s="7" t="str">
        <x:f>IF(OR($D127="",CY$5="",'상세일정'!AM127="제외"),"",IF($D127=$E127,IF(AND($D127&gt;=CY$5,$D127&lt;CY$5+7),"◆",""),IF(AND($D127&lt;CY$5+7,$E127&gt;CY$5),"■","")))</x:f>
      </x:c>
      <x:c r="CZ127" s="7" t="str">
        <x:f>IF(OR($D127="",CZ$5="",'상세일정'!AM127="제외"),"",IF($D127=$E127,IF(AND($D127&gt;=CZ$5,$D127&lt;CZ$5+7),"◆",""),IF(AND($D127&lt;CZ$5+7,$E127&gt;CZ$5),"■","")))</x:f>
      </x:c>
      <x:c r="DA127" s="7" t="str">
        <x:f>IF(OR($D127="",DA$5="",'상세일정'!AM127="제외"),"",IF($D127=$E127,IF(AND($D127&gt;=DA$5,$D127&lt;DA$5+7),"◆",""),IF(AND($D127&lt;DA$5+7,$E127&gt;DA$5),"■","")))</x:f>
      </x:c>
      <x:c r="DB127" s="7" t="str">
        <x:f>IF(OR($D127="",DB$5="",'상세일정'!AM127="제외"),"",IF($D127=$E127,IF(AND($D127&gt;=DB$5,$D127&lt;DB$5+7),"◆",""),IF(AND($D127&lt;DB$5+7,$E127&gt;DB$5),"■","")))</x:f>
      </x:c>
      <x:c r="DC127" s="7" t="str">
        <x:f>IF(OR($D127="",DC$5="",'상세일정'!AM127="제외"),"",IF($D127=$E127,IF(AND($D127&gt;=DC$5,$D127&lt;DC$5+7),"◆",""),IF(AND($D127&lt;DC$5+7,$E127&gt;DC$5),"■","")))</x:f>
      </x:c>
      <x:c r="DD127" s="7" t="str">
        <x:f>IF(OR($D127="",DD$5="",'상세일정'!AM127="제외"),"",IF($D127=$E127,IF(AND($D127&gt;=DD$5,$D127&lt;DD$5+7),"◆",""),IF(AND($D127&lt;DD$5+7,$E127&gt;DD$5),"■","")))</x:f>
      </x:c>
      <x:c r="DE127" s="7" t="str">
        <x:f>IF(OR($D127="",DE$5="",'상세일정'!AM127="제외"),"",IF($D127=$E127,IF(AND($D127&gt;=DE$5,$D127&lt;DE$5+7),"◆",""),IF(AND($D127&lt;DE$5+7,$E127&gt;DE$5),"■","")))</x:f>
      </x:c>
    </x:row>
    <x:row r="128" ht="34" customHeight="1">
      <x:c r="A128" s="7" t="str">
        <x:v>CP07</x:v>
      </x:c>
      <x:c r="B128" s="7" t="str">
        <x:v>16 기자재 구매·제작</x:v>
      </x:c>
      <x:c r="C128" s="7" t="str">
        <x:v>압축기 출하승인·운송·현장 입고</x:v>
      </x:c>
      <x:c r="D128" s="10" t="str">
        <x:f>'상세일정'!AJ128</x:f>
      </x:c>
      <x:c r="E128" s="10" t="str">
        <x:f>'상세일정'!AK128</x:f>
      </x:c>
      <x:c r="F128" s="7" t="str">
        <x:f>IF(OR($D128="",F$5="",'상세일정'!AM128="제외"),"",IF($D128=$E128,IF(AND($D128&gt;=F$5,$D128&lt;F$5+7),"◆",""),IF(AND($D128&lt;F$5+7,$E128&gt;F$5),"■","")))</x:f>
      </x:c>
      <x:c r="G128" s="7" t="str">
        <x:f>IF(OR($D128="",G$5="",'상세일정'!AM128="제외"),"",IF($D128=$E128,IF(AND($D128&gt;=G$5,$D128&lt;G$5+7),"◆",""),IF(AND($D128&lt;G$5+7,$E128&gt;G$5),"■","")))</x:f>
      </x:c>
      <x:c r="H128" s="7" t="str">
        <x:f>IF(OR($D128="",H$5="",'상세일정'!AM128="제외"),"",IF($D128=$E128,IF(AND($D128&gt;=H$5,$D128&lt;H$5+7),"◆",""),IF(AND($D128&lt;H$5+7,$E128&gt;H$5),"■","")))</x:f>
      </x:c>
      <x:c r="I128" s="7" t="str">
        <x:f>IF(OR($D128="",I$5="",'상세일정'!AM128="제외"),"",IF($D128=$E128,IF(AND($D128&gt;=I$5,$D128&lt;I$5+7),"◆",""),IF(AND($D128&lt;I$5+7,$E128&gt;I$5),"■","")))</x:f>
      </x:c>
      <x:c r="J128" s="7" t="str">
        <x:f>IF(OR($D128="",J$5="",'상세일정'!AM128="제외"),"",IF($D128=$E128,IF(AND($D128&gt;=J$5,$D128&lt;J$5+7),"◆",""),IF(AND($D128&lt;J$5+7,$E128&gt;J$5),"■","")))</x:f>
      </x:c>
      <x:c r="K128" s="7" t="str">
        <x:f>IF(OR($D128="",K$5="",'상세일정'!AM128="제외"),"",IF($D128=$E128,IF(AND($D128&gt;=K$5,$D128&lt;K$5+7),"◆",""),IF(AND($D128&lt;K$5+7,$E128&gt;K$5),"■","")))</x:f>
      </x:c>
      <x:c r="L128" s="7" t="str">
        <x:f>IF(OR($D128="",L$5="",'상세일정'!AM128="제외"),"",IF($D128=$E128,IF(AND($D128&gt;=L$5,$D128&lt;L$5+7),"◆",""),IF(AND($D128&lt;L$5+7,$E128&gt;L$5),"■","")))</x:f>
      </x:c>
      <x:c r="M128" s="7" t="str">
        <x:f>IF(OR($D128="",M$5="",'상세일정'!AM128="제외"),"",IF($D128=$E128,IF(AND($D128&gt;=M$5,$D128&lt;M$5+7),"◆",""),IF(AND($D128&lt;M$5+7,$E128&gt;M$5),"■","")))</x:f>
      </x:c>
      <x:c r="N128" s="7" t="str">
        <x:f>IF(OR($D128="",N$5="",'상세일정'!AM128="제외"),"",IF($D128=$E128,IF(AND($D128&gt;=N$5,$D128&lt;N$5+7),"◆",""),IF(AND($D128&lt;N$5+7,$E128&gt;N$5),"■","")))</x:f>
      </x:c>
      <x:c r="O128" s="7" t="str">
        <x:f>IF(OR($D128="",O$5="",'상세일정'!AM128="제외"),"",IF($D128=$E128,IF(AND($D128&gt;=O$5,$D128&lt;O$5+7),"◆",""),IF(AND($D128&lt;O$5+7,$E128&gt;O$5),"■","")))</x:f>
      </x:c>
      <x:c r="P128" s="7" t="str">
        <x:f>IF(OR($D128="",P$5="",'상세일정'!AM128="제외"),"",IF($D128=$E128,IF(AND($D128&gt;=P$5,$D128&lt;P$5+7),"◆",""),IF(AND($D128&lt;P$5+7,$E128&gt;P$5),"■","")))</x:f>
      </x:c>
      <x:c r="Q128" s="7" t="str">
        <x:f>IF(OR($D128="",Q$5="",'상세일정'!AM128="제외"),"",IF($D128=$E128,IF(AND($D128&gt;=Q$5,$D128&lt;Q$5+7),"◆",""),IF(AND($D128&lt;Q$5+7,$E128&gt;Q$5),"■","")))</x:f>
      </x:c>
      <x:c r="R128" s="7" t="str">
        <x:f>IF(OR($D128="",R$5="",'상세일정'!AM128="제외"),"",IF($D128=$E128,IF(AND($D128&gt;=R$5,$D128&lt;R$5+7),"◆",""),IF(AND($D128&lt;R$5+7,$E128&gt;R$5),"■","")))</x:f>
      </x:c>
      <x:c r="S128" s="7" t="str">
        <x:f>IF(OR($D128="",S$5="",'상세일정'!AM128="제외"),"",IF($D128=$E128,IF(AND($D128&gt;=S$5,$D128&lt;S$5+7),"◆",""),IF(AND($D128&lt;S$5+7,$E128&gt;S$5),"■","")))</x:f>
      </x:c>
      <x:c r="T128" s="7" t="str">
        <x:f>IF(OR($D128="",T$5="",'상세일정'!AM128="제외"),"",IF($D128=$E128,IF(AND($D128&gt;=T$5,$D128&lt;T$5+7),"◆",""),IF(AND($D128&lt;T$5+7,$E128&gt;T$5),"■","")))</x:f>
      </x:c>
      <x:c r="U128" s="7" t="str">
        <x:f>IF(OR($D128="",U$5="",'상세일정'!AM128="제외"),"",IF($D128=$E128,IF(AND($D128&gt;=U$5,$D128&lt;U$5+7),"◆",""),IF(AND($D128&lt;U$5+7,$E128&gt;U$5),"■","")))</x:f>
      </x:c>
      <x:c r="V128" s="7" t="str">
        <x:f>IF(OR($D128="",V$5="",'상세일정'!AM128="제외"),"",IF($D128=$E128,IF(AND($D128&gt;=V$5,$D128&lt;V$5+7),"◆",""),IF(AND($D128&lt;V$5+7,$E128&gt;V$5),"■","")))</x:f>
      </x:c>
      <x:c r="W128" s="7" t="str">
        <x:f>IF(OR($D128="",W$5="",'상세일정'!AM128="제외"),"",IF($D128=$E128,IF(AND($D128&gt;=W$5,$D128&lt;W$5+7),"◆",""),IF(AND($D128&lt;W$5+7,$E128&gt;W$5),"■","")))</x:f>
      </x:c>
      <x:c r="X128" s="7" t="str">
        <x:f>IF(OR($D128="",X$5="",'상세일정'!AM128="제외"),"",IF($D128=$E128,IF(AND($D128&gt;=X$5,$D128&lt;X$5+7),"◆",""),IF(AND($D128&lt;X$5+7,$E128&gt;X$5),"■","")))</x:f>
      </x:c>
      <x:c r="Y128" s="7" t="str">
        <x:f>IF(OR($D128="",Y$5="",'상세일정'!AM128="제외"),"",IF($D128=$E128,IF(AND($D128&gt;=Y$5,$D128&lt;Y$5+7),"◆",""),IF(AND($D128&lt;Y$5+7,$E128&gt;Y$5),"■","")))</x:f>
      </x:c>
      <x:c r="Z128" s="7" t="str">
        <x:f>IF(OR($D128="",Z$5="",'상세일정'!AM128="제외"),"",IF($D128=$E128,IF(AND($D128&gt;=Z$5,$D128&lt;Z$5+7),"◆",""),IF(AND($D128&lt;Z$5+7,$E128&gt;Z$5),"■","")))</x:f>
      </x:c>
      <x:c r="AA128" s="7" t="str">
        <x:f>IF(OR($D128="",AA$5="",'상세일정'!AM128="제외"),"",IF($D128=$E128,IF(AND($D128&gt;=AA$5,$D128&lt;AA$5+7),"◆",""),IF(AND($D128&lt;AA$5+7,$E128&gt;AA$5),"■","")))</x:f>
      </x:c>
      <x:c r="AB128" s="7" t="str">
        <x:f>IF(OR($D128="",AB$5="",'상세일정'!AM128="제외"),"",IF($D128=$E128,IF(AND($D128&gt;=AB$5,$D128&lt;AB$5+7),"◆",""),IF(AND($D128&lt;AB$5+7,$E128&gt;AB$5),"■","")))</x:f>
      </x:c>
      <x:c r="AC128" s="7" t="str">
        <x:f>IF(OR($D128="",AC$5="",'상세일정'!AM128="제외"),"",IF($D128=$E128,IF(AND($D128&gt;=AC$5,$D128&lt;AC$5+7),"◆",""),IF(AND($D128&lt;AC$5+7,$E128&gt;AC$5),"■","")))</x:f>
      </x:c>
      <x:c r="AD128" s="7" t="str">
        <x:f>IF(OR($D128="",AD$5="",'상세일정'!AM128="제외"),"",IF($D128=$E128,IF(AND($D128&gt;=AD$5,$D128&lt;AD$5+7),"◆",""),IF(AND($D128&lt;AD$5+7,$E128&gt;AD$5),"■","")))</x:f>
      </x:c>
      <x:c r="AE128" s="7" t="str">
        <x:f>IF(OR($D128="",AE$5="",'상세일정'!AM128="제외"),"",IF($D128=$E128,IF(AND($D128&gt;=AE$5,$D128&lt;AE$5+7),"◆",""),IF(AND($D128&lt;AE$5+7,$E128&gt;AE$5),"■","")))</x:f>
      </x:c>
      <x:c r="AF128" s="7" t="str">
        <x:f>IF(OR($D128="",AF$5="",'상세일정'!AM128="제외"),"",IF($D128=$E128,IF(AND($D128&gt;=AF$5,$D128&lt;AF$5+7),"◆",""),IF(AND($D128&lt;AF$5+7,$E128&gt;AF$5),"■","")))</x:f>
      </x:c>
      <x:c r="AG128" s="7" t="str">
        <x:f>IF(OR($D128="",AG$5="",'상세일정'!AM128="제외"),"",IF($D128=$E128,IF(AND($D128&gt;=AG$5,$D128&lt;AG$5+7),"◆",""),IF(AND($D128&lt;AG$5+7,$E128&gt;AG$5),"■","")))</x:f>
      </x:c>
      <x:c r="AH128" s="7" t="str">
        <x:f>IF(OR($D128="",AH$5="",'상세일정'!AM128="제외"),"",IF($D128=$E128,IF(AND($D128&gt;=AH$5,$D128&lt;AH$5+7),"◆",""),IF(AND($D128&lt;AH$5+7,$E128&gt;AH$5),"■","")))</x:f>
      </x:c>
      <x:c r="AI128" s="7" t="str">
        <x:f>IF(OR($D128="",AI$5="",'상세일정'!AM128="제외"),"",IF($D128=$E128,IF(AND($D128&gt;=AI$5,$D128&lt;AI$5+7),"◆",""),IF(AND($D128&lt;AI$5+7,$E128&gt;AI$5),"■","")))</x:f>
      </x:c>
      <x:c r="AJ128" s="7" t="str">
        <x:f>IF(OR($D128="",AJ$5="",'상세일정'!AM128="제외"),"",IF($D128=$E128,IF(AND($D128&gt;=AJ$5,$D128&lt;AJ$5+7),"◆",""),IF(AND($D128&lt;AJ$5+7,$E128&gt;AJ$5),"■","")))</x:f>
      </x:c>
      <x:c r="AK128" s="7" t="str">
        <x:f>IF(OR($D128="",AK$5="",'상세일정'!AM128="제외"),"",IF($D128=$E128,IF(AND($D128&gt;=AK$5,$D128&lt;AK$5+7),"◆",""),IF(AND($D128&lt;AK$5+7,$E128&gt;AK$5),"■","")))</x:f>
      </x:c>
      <x:c r="AL128" s="7" t="str">
        <x:f>IF(OR($D128="",AL$5="",'상세일정'!AM128="제외"),"",IF($D128=$E128,IF(AND($D128&gt;=AL$5,$D128&lt;AL$5+7),"◆",""),IF(AND($D128&lt;AL$5+7,$E128&gt;AL$5),"■","")))</x:f>
      </x:c>
      <x:c r="AM128" s="7" t="str">
        <x:f>IF(OR($D128="",AM$5="",'상세일정'!AM128="제외"),"",IF($D128=$E128,IF(AND($D128&gt;=AM$5,$D128&lt;AM$5+7),"◆",""),IF(AND($D128&lt;AM$5+7,$E128&gt;AM$5),"■","")))</x:f>
      </x:c>
      <x:c r="AN128" s="7" t="str">
        <x:f>IF(OR($D128="",AN$5="",'상세일정'!AM128="제외"),"",IF($D128=$E128,IF(AND($D128&gt;=AN$5,$D128&lt;AN$5+7),"◆",""),IF(AND($D128&lt;AN$5+7,$E128&gt;AN$5),"■","")))</x:f>
      </x:c>
      <x:c r="AO128" s="7" t="str">
        <x:f>IF(OR($D128="",AO$5="",'상세일정'!AM128="제외"),"",IF($D128=$E128,IF(AND($D128&gt;=AO$5,$D128&lt;AO$5+7),"◆",""),IF(AND($D128&lt;AO$5+7,$E128&gt;AO$5),"■","")))</x:f>
      </x:c>
      <x:c r="AP128" s="7" t="str">
        <x:f>IF(OR($D128="",AP$5="",'상세일정'!AM128="제외"),"",IF($D128=$E128,IF(AND($D128&gt;=AP$5,$D128&lt;AP$5+7),"◆",""),IF(AND($D128&lt;AP$5+7,$E128&gt;AP$5),"■","")))</x:f>
      </x:c>
      <x:c r="AQ128" s="7" t="str">
        <x:f>IF(OR($D128="",AQ$5="",'상세일정'!AM128="제외"),"",IF($D128=$E128,IF(AND($D128&gt;=AQ$5,$D128&lt;AQ$5+7),"◆",""),IF(AND($D128&lt;AQ$5+7,$E128&gt;AQ$5),"■","")))</x:f>
      </x:c>
      <x:c r="AR128" s="7" t="str">
        <x:f>IF(OR($D128="",AR$5="",'상세일정'!AM128="제외"),"",IF($D128=$E128,IF(AND($D128&gt;=AR$5,$D128&lt;AR$5+7),"◆",""),IF(AND($D128&lt;AR$5+7,$E128&gt;AR$5),"■","")))</x:f>
      </x:c>
      <x:c r="AS128" s="7" t="str">
        <x:f>IF(OR($D128="",AS$5="",'상세일정'!AM128="제외"),"",IF($D128=$E128,IF(AND($D128&gt;=AS$5,$D128&lt;AS$5+7),"◆",""),IF(AND($D128&lt;AS$5+7,$E128&gt;AS$5),"■","")))</x:f>
      </x:c>
      <x:c r="AT128" s="7" t="str">
        <x:f>IF(OR($D128="",AT$5="",'상세일정'!AM128="제외"),"",IF($D128=$E128,IF(AND($D128&gt;=AT$5,$D128&lt;AT$5+7),"◆",""),IF(AND($D128&lt;AT$5+7,$E128&gt;AT$5),"■","")))</x:f>
      </x:c>
      <x:c r="AU128" s="7" t="str">
        <x:f>IF(OR($D128="",AU$5="",'상세일정'!AM128="제외"),"",IF($D128=$E128,IF(AND($D128&gt;=AU$5,$D128&lt;AU$5+7),"◆",""),IF(AND($D128&lt;AU$5+7,$E128&gt;AU$5),"■","")))</x:f>
      </x:c>
      <x:c r="AV128" s="7" t="str">
        <x:f>IF(OR($D128="",AV$5="",'상세일정'!AM128="제외"),"",IF($D128=$E128,IF(AND($D128&gt;=AV$5,$D128&lt;AV$5+7),"◆",""),IF(AND($D128&lt;AV$5+7,$E128&gt;AV$5),"■","")))</x:f>
      </x:c>
      <x:c r="AW128" s="7" t="str">
        <x:f>IF(OR($D128="",AW$5="",'상세일정'!AM128="제외"),"",IF($D128=$E128,IF(AND($D128&gt;=AW$5,$D128&lt;AW$5+7),"◆",""),IF(AND($D128&lt;AW$5+7,$E128&gt;AW$5),"■","")))</x:f>
      </x:c>
      <x:c r="AX128" s="7" t="str">
        <x:f>IF(OR($D128="",AX$5="",'상세일정'!AM128="제외"),"",IF($D128=$E128,IF(AND($D128&gt;=AX$5,$D128&lt;AX$5+7),"◆",""),IF(AND($D128&lt;AX$5+7,$E128&gt;AX$5),"■","")))</x:f>
      </x:c>
      <x:c r="AY128" s="7" t="str">
        <x:f>IF(OR($D128="",AY$5="",'상세일정'!AM128="제외"),"",IF($D128=$E128,IF(AND($D128&gt;=AY$5,$D128&lt;AY$5+7),"◆",""),IF(AND($D128&lt;AY$5+7,$E128&gt;AY$5),"■","")))</x:f>
      </x:c>
      <x:c r="AZ128" s="7" t="str">
        <x:f>IF(OR($D128="",AZ$5="",'상세일정'!AM128="제외"),"",IF($D128=$E128,IF(AND($D128&gt;=AZ$5,$D128&lt;AZ$5+7),"◆",""),IF(AND($D128&lt;AZ$5+7,$E128&gt;AZ$5),"■","")))</x:f>
      </x:c>
      <x:c r="BA128" s="7" t="str">
        <x:f>IF(OR($D128="",BA$5="",'상세일정'!AM128="제외"),"",IF($D128=$E128,IF(AND($D128&gt;=BA$5,$D128&lt;BA$5+7),"◆",""),IF(AND($D128&lt;BA$5+7,$E128&gt;BA$5),"■","")))</x:f>
      </x:c>
      <x:c r="BB128" s="7" t="str">
        <x:f>IF(OR($D128="",BB$5="",'상세일정'!AM128="제외"),"",IF($D128=$E128,IF(AND($D128&gt;=BB$5,$D128&lt;BB$5+7),"◆",""),IF(AND($D128&lt;BB$5+7,$E128&gt;BB$5),"■","")))</x:f>
      </x:c>
      <x:c r="BC128" s="7" t="str">
        <x:f>IF(OR($D128="",BC$5="",'상세일정'!AM128="제외"),"",IF($D128=$E128,IF(AND($D128&gt;=BC$5,$D128&lt;BC$5+7),"◆",""),IF(AND($D128&lt;BC$5+7,$E128&gt;BC$5),"■","")))</x:f>
      </x:c>
      <x:c r="BD128" s="7" t="str">
        <x:f>IF(OR($D128="",BD$5="",'상세일정'!AM128="제외"),"",IF($D128=$E128,IF(AND($D128&gt;=BD$5,$D128&lt;BD$5+7),"◆",""),IF(AND($D128&lt;BD$5+7,$E128&gt;BD$5),"■","")))</x:f>
      </x:c>
      <x:c r="BE128" s="7" t="str">
        <x:f>IF(OR($D128="",BE$5="",'상세일정'!AM128="제외"),"",IF($D128=$E128,IF(AND($D128&gt;=BE$5,$D128&lt;BE$5+7),"◆",""),IF(AND($D128&lt;BE$5+7,$E128&gt;BE$5),"■","")))</x:f>
      </x:c>
      <x:c r="BF128" s="7" t="str">
        <x:f>IF(OR($D128="",BF$5="",'상세일정'!AM128="제외"),"",IF($D128=$E128,IF(AND($D128&gt;=BF$5,$D128&lt;BF$5+7),"◆",""),IF(AND($D128&lt;BF$5+7,$E128&gt;BF$5),"■","")))</x:f>
      </x:c>
      <x:c r="BG128" s="7" t="str">
        <x:f>IF(OR($D128="",BG$5="",'상세일정'!AM128="제외"),"",IF($D128=$E128,IF(AND($D128&gt;=BG$5,$D128&lt;BG$5+7),"◆",""),IF(AND($D128&lt;BG$5+7,$E128&gt;BG$5),"■","")))</x:f>
      </x:c>
      <x:c r="BH128" s="7" t="str">
        <x:f>IF(OR($D128="",BH$5="",'상세일정'!AM128="제외"),"",IF($D128=$E128,IF(AND($D128&gt;=BH$5,$D128&lt;BH$5+7),"◆",""),IF(AND($D128&lt;BH$5+7,$E128&gt;BH$5),"■","")))</x:f>
      </x:c>
      <x:c r="BI128" s="7" t="str">
        <x:f>IF(OR($D128="",BI$5="",'상세일정'!AM128="제외"),"",IF($D128=$E128,IF(AND($D128&gt;=BI$5,$D128&lt;BI$5+7),"◆",""),IF(AND($D128&lt;BI$5+7,$E128&gt;BI$5),"■","")))</x:f>
      </x:c>
      <x:c r="BJ128" s="7" t="str">
        <x:f>IF(OR($D128="",BJ$5="",'상세일정'!AM128="제외"),"",IF($D128=$E128,IF(AND($D128&gt;=BJ$5,$D128&lt;BJ$5+7),"◆",""),IF(AND($D128&lt;BJ$5+7,$E128&gt;BJ$5),"■","")))</x:f>
      </x:c>
      <x:c r="BK128" s="7" t="str">
        <x:f>IF(OR($D128="",BK$5="",'상세일정'!AM128="제외"),"",IF($D128=$E128,IF(AND($D128&gt;=BK$5,$D128&lt;BK$5+7),"◆",""),IF(AND($D128&lt;BK$5+7,$E128&gt;BK$5),"■","")))</x:f>
      </x:c>
      <x:c r="BL128" s="7" t="str">
        <x:f>IF(OR($D128="",BL$5="",'상세일정'!AM128="제외"),"",IF($D128=$E128,IF(AND($D128&gt;=BL$5,$D128&lt;BL$5+7),"◆",""),IF(AND($D128&lt;BL$5+7,$E128&gt;BL$5),"■","")))</x:f>
      </x:c>
      <x:c r="BM128" s="7" t="str">
        <x:f>IF(OR($D128="",BM$5="",'상세일정'!AM128="제외"),"",IF($D128=$E128,IF(AND($D128&gt;=BM$5,$D128&lt;BM$5+7),"◆",""),IF(AND($D128&lt;BM$5+7,$E128&gt;BM$5),"■","")))</x:f>
      </x:c>
      <x:c r="BN128" s="7" t="str">
        <x:f>IF(OR($D128="",BN$5="",'상세일정'!AM128="제외"),"",IF($D128=$E128,IF(AND($D128&gt;=BN$5,$D128&lt;BN$5+7),"◆",""),IF(AND($D128&lt;BN$5+7,$E128&gt;BN$5),"■","")))</x:f>
      </x:c>
      <x:c r="BO128" s="7" t="str">
        <x:f>IF(OR($D128="",BO$5="",'상세일정'!AM128="제외"),"",IF($D128=$E128,IF(AND($D128&gt;=BO$5,$D128&lt;BO$5+7),"◆",""),IF(AND($D128&lt;BO$5+7,$E128&gt;BO$5),"■","")))</x:f>
      </x:c>
      <x:c r="BP128" s="7" t="str">
        <x:f>IF(OR($D128="",BP$5="",'상세일정'!AM128="제외"),"",IF($D128=$E128,IF(AND($D128&gt;=BP$5,$D128&lt;BP$5+7),"◆",""),IF(AND($D128&lt;BP$5+7,$E128&gt;BP$5),"■","")))</x:f>
      </x:c>
      <x:c r="BQ128" s="7" t="str">
        <x:f>IF(OR($D128="",BQ$5="",'상세일정'!AM128="제외"),"",IF($D128=$E128,IF(AND($D128&gt;=BQ$5,$D128&lt;BQ$5+7),"◆",""),IF(AND($D128&lt;BQ$5+7,$E128&gt;BQ$5),"■","")))</x:f>
      </x:c>
      <x:c r="BR128" s="7" t="str">
        <x:f>IF(OR($D128="",BR$5="",'상세일정'!AM128="제외"),"",IF($D128=$E128,IF(AND($D128&gt;=BR$5,$D128&lt;BR$5+7),"◆",""),IF(AND($D128&lt;BR$5+7,$E128&gt;BR$5),"■","")))</x:f>
      </x:c>
      <x:c r="BS128" s="7" t="str">
        <x:f>IF(OR($D128="",BS$5="",'상세일정'!AM128="제외"),"",IF($D128=$E128,IF(AND($D128&gt;=BS$5,$D128&lt;BS$5+7),"◆",""),IF(AND($D128&lt;BS$5+7,$E128&gt;BS$5),"■","")))</x:f>
      </x:c>
      <x:c r="BT128" s="7" t="str">
        <x:f>IF(OR($D128="",BT$5="",'상세일정'!AM128="제외"),"",IF($D128=$E128,IF(AND($D128&gt;=BT$5,$D128&lt;BT$5+7),"◆",""),IF(AND($D128&lt;BT$5+7,$E128&gt;BT$5),"■","")))</x:f>
      </x:c>
      <x:c r="BU128" s="7" t="str">
        <x:f>IF(OR($D128="",BU$5="",'상세일정'!AM128="제외"),"",IF($D128=$E128,IF(AND($D128&gt;=BU$5,$D128&lt;BU$5+7),"◆",""),IF(AND($D128&lt;BU$5+7,$E128&gt;BU$5),"■","")))</x:f>
      </x:c>
      <x:c r="BV128" s="7" t="str">
        <x:f>IF(OR($D128="",BV$5="",'상세일정'!AM128="제외"),"",IF($D128=$E128,IF(AND($D128&gt;=BV$5,$D128&lt;BV$5+7),"◆",""),IF(AND($D128&lt;BV$5+7,$E128&gt;BV$5),"■","")))</x:f>
      </x:c>
      <x:c r="BW128" s="7" t="str">
        <x:f>IF(OR($D128="",BW$5="",'상세일정'!AM128="제외"),"",IF($D128=$E128,IF(AND($D128&gt;=BW$5,$D128&lt;BW$5+7),"◆",""),IF(AND($D128&lt;BW$5+7,$E128&gt;BW$5),"■","")))</x:f>
      </x:c>
      <x:c r="BX128" s="7" t="str">
        <x:f>IF(OR($D128="",BX$5="",'상세일정'!AM128="제외"),"",IF($D128=$E128,IF(AND($D128&gt;=BX$5,$D128&lt;BX$5+7),"◆",""),IF(AND($D128&lt;BX$5+7,$E128&gt;BX$5),"■","")))</x:f>
      </x:c>
      <x:c r="BY128" s="7" t="str">
        <x:f>IF(OR($D128="",BY$5="",'상세일정'!AM128="제외"),"",IF($D128=$E128,IF(AND($D128&gt;=BY$5,$D128&lt;BY$5+7),"◆",""),IF(AND($D128&lt;BY$5+7,$E128&gt;BY$5),"■","")))</x:f>
      </x:c>
      <x:c r="BZ128" s="7" t="str">
        <x:f>IF(OR($D128="",BZ$5="",'상세일정'!AM128="제외"),"",IF($D128=$E128,IF(AND($D128&gt;=BZ$5,$D128&lt;BZ$5+7),"◆",""),IF(AND($D128&lt;BZ$5+7,$E128&gt;BZ$5),"■","")))</x:f>
      </x:c>
      <x:c r="CA128" s="7" t="str">
        <x:f>IF(OR($D128="",CA$5="",'상세일정'!AM128="제외"),"",IF($D128=$E128,IF(AND($D128&gt;=CA$5,$D128&lt;CA$5+7),"◆",""),IF(AND($D128&lt;CA$5+7,$E128&gt;CA$5),"■","")))</x:f>
      </x:c>
      <x:c r="CB128" s="7" t="str">
        <x:f>IF(OR($D128="",CB$5="",'상세일정'!AM128="제외"),"",IF($D128=$E128,IF(AND($D128&gt;=CB$5,$D128&lt;CB$5+7),"◆",""),IF(AND($D128&lt;CB$5+7,$E128&gt;CB$5),"■","")))</x:f>
      </x:c>
      <x:c r="CC128" s="7" t="str">
        <x:f>IF(OR($D128="",CC$5="",'상세일정'!AM128="제외"),"",IF($D128=$E128,IF(AND($D128&gt;=CC$5,$D128&lt;CC$5+7),"◆",""),IF(AND($D128&lt;CC$5+7,$E128&gt;CC$5),"■","")))</x:f>
      </x:c>
      <x:c r="CD128" s="7" t="str">
        <x:f>IF(OR($D128="",CD$5="",'상세일정'!AM128="제외"),"",IF($D128=$E128,IF(AND($D128&gt;=CD$5,$D128&lt;CD$5+7),"◆",""),IF(AND($D128&lt;CD$5+7,$E128&gt;CD$5),"■","")))</x:f>
      </x:c>
      <x:c r="CE128" s="7" t="str">
        <x:f>IF(OR($D128="",CE$5="",'상세일정'!AM128="제외"),"",IF($D128=$E128,IF(AND($D128&gt;=CE$5,$D128&lt;CE$5+7),"◆",""),IF(AND($D128&lt;CE$5+7,$E128&gt;CE$5),"■","")))</x:f>
      </x:c>
      <x:c r="CF128" s="7" t="str">
        <x:f>IF(OR($D128="",CF$5="",'상세일정'!AM128="제외"),"",IF($D128=$E128,IF(AND($D128&gt;=CF$5,$D128&lt;CF$5+7),"◆",""),IF(AND($D128&lt;CF$5+7,$E128&gt;CF$5),"■","")))</x:f>
      </x:c>
      <x:c r="CG128" s="7" t="str">
        <x:f>IF(OR($D128="",CG$5="",'상세일정'!AM128="제외"),"",IF($D128=$E128,IF(AND($D128&gt;=CG$5,$D128&lt;CG$5+7),"◆",""),IF(AND($D128&lt;CG$5+7,$E128&gt;CG$5),"■","")))</x:f>
      </x:c>
      <x:c r="CH128" s="7" t="str">
        <x:f>IF(OR($D128="",CH$5="",'상세일정'!AM128="제외"),"",IF($D128=$E128,IF(AND($D128&gt;=CH$5,$D128&lt;CH$5+7),"◆",""),IF(AND($D128&lt;CH$5+7,$E128&gt;CH$5),"■","")))</x:f>
      </x:c>
      <x:c r="CI128" s="7" t="str">
        <x:f>IF(OR($D128="",CI$5="",'상세일정'!AM128="제외"),"",IF($D128=$E128,IF(AND($D128&gt;=CI$5,$D128&lt;CI$5+7),"◆",""),IF(AND($D128&lt;CI$5+7,$E128&gt;CI$5),"■","")))</x:f>
      </x:c>
      <x:c r="CJ128" s="7" t="str">
        <x:f>IF(OR($D128="",CJ$5="",'상세일정'!AM128="제외"),"",IF($D128=$E128,IF(AND($D128&gt;=CJ$5,$D128&lt;CJ$5+7),"◆",""),IF(AND($D128&lt;CJ$5+7,$E128&gt;CJ$5),"■","")))</x:f>
      </x:c>
      <x:c r="CK128" s="7" t="str">
        <x:f>IF(OR($D128="",CK$5="",'상세일정'!AM128="제외"),"",IF($D128=$E128,IF(AND($D128&gt;=CK$5,$D128&lt;CK$5+7),"◆",""),IF(AND($D128&lt;CK$5+7,$E128&gt;CK$5),"■","")))</x:f>
      </x:c>
      <x:c r="CL128" s="7" t="str">
        <x:f>IF(OR($D128="",CL$5="",'상세일정'!AM128="제외"),"",IF($D128=$E128,IF(AND($D128&gt;=CL$5,$D128&lt;CL$5+7),"◆",""),IF(AND($D128&lt;CL$5+7,$E128&gt;CL$5),"■","")))</x:f>
      </x:c>
      <x:c r="CM128" s="7" t="str">
        <x:f>IF(OR($D128="",CM$5="",'상세일정'!AM128="제외"),"",IF($D128=$E128,IF(AND($D128&gt;=CM$5,$D128&lt;CM$5+7),"◆",""),IF(AND($D128&lt;CM$5+7,$E128&gt;CM$5),"■","")))</x:f>
      </x:c>
      <x:c r="CN128" s="7" t="str">
        <x:f>IF(OR($D128="",CN$5="",'상세일정'!AM128="제외"),"",IF($D128=$E128,IF(AND($D128&gt;=CN$5,$D128&lt;CN$5+7),"◆",""),IF(AND($D128&lt;CN$5+7,$E128&gt;CN$5),"■","")))</x:f>
      </x:c>
      <x:c r="CO128" s="7" t="str">
        <x:f>IF(OR($D128="",CO$5="",'상세일정'!AM128="제외"),"",IF($D128=$E128,IF(AND($D128&gt;=CO$5,$D128&lt;CO$5+7),"◆",""),IF(AND($D128&lt;CO$5+7,$E128&gt;CO$5),"■","")))</x:f>
      </x:c>
      <x:c r="CP128" s="7" t="str">
        <x:f>IF(OR($D128="",CP$5="",'상세일정'!AM128="제외"),"",IF($D128=$E128,IF(AND($D128&gt;=CP$5,$D128&lt;CP$5+7),"◆",""),IF(AND($D128&lt;CP$5+7,$E128&gt;CP$5),"■","")))</x:f>
      </x:c>
      <x:c r="CQ128" s="7" t="str">
        <x:f>IF(OR($D128="",CQ$5="",'상세일정'!AM128="제외"),"",IF($D128=$E128,IF(AND($D128&gt;=CQ$5,$D128&lt;CQ$5+7),"◆",""),IF(AND($D128&lt;CQ$5+7,$E128&gt;CQ$5),"■","")))</x:f>
      </x:c>
      <x:c r="CR128" s="7" t="str">
        <x:f>IF(OR($D128="",CR$5="",'상세일정'!AM128="제외"),"",IF($D128=$E128,IF(AND($D128&gt;=CR$5,$D128&lt;CR$5+7),"◆",""),IF(AND($D128&lt;CR$5+7,$E128&gt;CR$5),"■","")))</x:f>
      </x:c>
      <x:c r="CS128" s="7" t="str">
        <x:f>IF(OR($D128="",CS$5="",'상세일정'!AM128="제외"),"",IF($D128=$E128,IF(AND($D128&gt;=CS$5,$D128&lt;CS$5+7),"◆",""),IF(AND($D128&lt;CS$5+7,$E128&gt;CS$5),"■","")))</x:f>
      </x:c>
      <x:c r="CT128" s="7" t="str">
        <x:f>IF(OR($D128="",CT$5="",'상세일정'!AM128="제외"),"",IF($D128=$E128,IF(AND($D128&gt;=CT$5,$D128&lt;CT$5+7),"◆",""),IF(AND($D128&lt;CT$5+7,$E128&gt;CT$5),"■","")))</x:f>
      </x:c>
      <x:c r="CU128" s="7" t="str">
        <x:f>IF(OR($D128="",CU$5="",'상세일정'!AM128="제외"),"",IF($D128=$E128,IF(AND($D128&gt;=CU$5,$D128&lt;CU$5+7),"◆",""),IF(AND($D128&lt;CU$5+7,$E128&gt;CU$5),"■","")))</x:f>
      </x:c>
      <x:c r="CV128" s="7" t="str">
        <x:f>IF(OR($D128="",CV$5="",'상세일정'!AM128="제외"),"",IF($D128=$E128,IF(AND($D128&gt;=CV$5,$D128&lt;CV$5+7),"◆",""),IF(AND($D128&lt;CV$5+7,$E128&gt;CV$5),"■","")))</x:f>
      </x:c>
      <x:c r="CW128" s="7" t="str">
        <x:f>IF(OR($D128="",CW$5="",'상세일정'!AM128="제외"),"",IF($D128=$E128,IF(AND($D128&gt;=CW$5,$D128&lt;CW$5+7),"◆",""),IF(AND($D128&lt;CW$5+7,$E128&gt;CW$5),"■","")))</x:f>
      </x:c>
      <x:c r="CX128" s="7" t="str">
        <x:f>IF(OR($D128="",CX$5="",'상세일정'!AM128="제외"),"",IF($D128=$E128,IF(AND($D128&gt;=CX$5,$D128&lt;CX$5+7),"◆",""),IF(AND($D128&lt;CX$5+7,$E128&gt;CX$5),"■","")))</x:f>
      </x:c>
      <x:c r="CY128" s="7" t="str">
        <x:f>IF(OR($D128="",CY$5="",'상세일정'!AM128="제외"),"",IF($D128=$E128,IF(AND($D128&gt;=CY$5,$D128&lt;CY$5+7),"◆",""),IF(AND($D128&lt;CY$5+7,$E128&gt;CY$5),"■","")))</x:f>
      </x:c>
      <x:c r="CZ128" s="7" t="str">
        <x:f>IF(OR($D128="",CZ$5="",'상세일정'!AM128="제외"),"",IF($D128=$E128,IF(AND($D128&gt;=CZ$5,$D128&lt;CZ$5+7),"◆",""),IF(AND($D128&lt;CZ$5+7,$E128&gt;CZ$5),"■","")))</x:f>
      </x:c>
      <x:c r="DA128" s="7" t="str">
        <x:f>IF(OR($D128="",DA$5="",'상세일정'!AM128="제외"),"",IF($D128=$E128,IF(AND($D128&gt;=DA$5,$D128&lt;DA$5+7),"◆",""),IF(AND($D128&lt;DA$5+7,$E128&gt;DA$5),"■","")))</x:f>
      </x:c>
      <x:c r="DB128" s="7" t="str">
        <x:f>IF(OR($D128="",DB$5="",'상세일정'!AM128="제외"),"",IF($D128=$E128,IF(AND($D128&gt;=DB$5,$D128&lt;DB$5+7),"◆",""),IF(AND($D128&lt;DB$5+7,$E128&gt;DB$5),"■","")))</x:f>
      </x:c>
      <x:c r="DC128" s="7" t="str">
        <x:f>IF(OR($D128="",DC$5="",'상세일정'!AM128="제외"),"",IF($D128=$E128,IF(AND($D128&gt;=DC$5,$D128&lt;DC$5+7),"◆",""),IF(AND($D128&lt;DC$5+7,$E128&gt;DC$5),"■","")))</x:f>
      </x:c>
      <x:c r="DD128" s="7" t="str">
        <x:f>IF(OR($D128="",DD$5="",'상세일정'!AM128="제외"),"",IF($D128=$E128,IF(AND($D128&gt;=DD$5,$D128&lt;DD$5+7),"◆",""),IF(AND($D128&lt;DD$5+7,$E128&gt;DD$5),"■","")))</x:f>
      </x:c>
      <x:c r="DE128" s="7" t="str">
        <x:f>IF(OR($D128="",DE$5="",'상세일정'!AM128="제외"),"",IF($D128=$E128,IF(AND($D128&gt;=DE$5,$D128&lt;DE$5+7),"◆",""),IF(AND($D128&lt;DE$5+7,$E128&gt;DE$5),"■","")))</x:f>
      </x:c>
    </x:row>
    <x:row r="129" ht="34" customHeight="1">
      <x:c r="A129" s="7" t="str">
        <x:v>TK01</x:v>
      </x:c>
      <x:c r="B129" s="7" t="str">
        <x:v>16 기자재 구매·제작</x:v>
      </x:c>
      <x:c r="C129" s="7" t="str">
        <x:v>저장용기·버퍼탱크 잔여 발주범위·사양 확정</x:v>
      </x:c>
      <x:c r="D129" s="10" t="str">
        <x:f>'상세일정'!AJ129</x:f>
      </x:c>
      <x:c r="E129" s="10" t="str">
        <x:f>'상세일정'!AK129</x:f>
      </x:c>
      <x:c r="F129" s="7" t="str">
        <x:f>IF(OR($D129="",F$5="",'상세일정'!AM129="제외"),"",IF($D129=$E129,IF(AND($D129&gt;=F$5,$D129&lt;F$5+7),"◆",""),IF(AND($D129&lt;F$5+7,$E129&gt;F$5),"■","")))</x:f>
      </x:c>
      <x:c r="G129" s="7" t="str">
        <x:f>IF(OR($D129="",G$5="",'상세일정'!AM129="제외"),"",IF($D129=$E129,IF(AND($D129&gt;=G$5,$D129&lt;G$5+7),"◆",""),IF(AND($D129&lt;G$5+7,$E129&gt;G$5),"■","")))</x:f>
      </x:c>
      <x:c r="H129" s="7" t="str">
        <x:f>IF(OR($D129="",H$5="",'상세일정'!AM129="제외"),"",IF($D129=$E129,IF(AND($D129&gt;=H$5,$D129&lt;H$5+7),"◆",""),IF(AND($D129&lt;H$5+7,$E129&gt;H$5),"■","")))</x:f>
      </x:c>
      <x:c r="I129" s="7" t="str">
        <x:f>IF(OR($D129="",I$5="",'상세일정'!AM129="제외"),"",IF($D129=$E129,IF(AND($D129&gt;=I$5,$D129&lt;I$5+7),"◆",""),IF(AND($D129&lt;I$5+7,$E129&gt;I$5),"■","")))</x:f>
      </x:c>
      <x:c r="J129" s="7" t="str">
        <x:f>IF(OR($D129="",J$5="",'상세일정'!AM129="제외"),"",IF($D129=$E129,IF(AND($D129&gt;=J$5,$D129&lt;J$5+7),"◆",""),IF(AND($D129&lt;J$5+7,$E129&gt;J$5),"■","")))</x:f>
      </x:c>
      <x:c r="K129" s="7" t="str">
        <x:f>IF(OR($D129="",K$5="",'상세일정'!AM129="제외"),"",IF($D129=$E129,IF(AND($D129&gt;=K$5,$D129&lt;K$5+7),"◆",""),IF(AND($D129&lt;K$5+7,$E129&gt;K$5),"■","")))</x:f>
      </x:c>
      <x:c r="L129" s="7" t="str">
        <x:f>IF(OR($D129="",L$5="",'상세일정'!AM129="제외"),"",IF($D129=$E129,IF(AND($D129&gt;=L$5,$D129&lt;L$5+7),"◆",""),IF(AND($D129&lt;L$5+7,$E129&gt;L$5),"■","")))</x:f>
      </x:c>
      <x:c r="M129" s="7" t="str">
        <x:f>IF(OR($D129="",M$5="",'상세일정'!AM129="제외"),"",IF($D129=$E129,IF(AND($D129&gt;=M$5,$D129&lt;M$5+7),"◆",""),IF(AND($D129&lt;M$5+7,$E129&gt;M$5),"■","")))</x:f>
      </x:c>
      <x:c r="N129" s="7" t="str">
        <x:f>IF(OR($D129="",N$5="",'상세일정'!AM129="제외"),"",IF($D129=$E129,IF(AND($D129&gt;=N$5,$D129&lt;N$5+7),"◆",""),IF(AND($D129&lt;N$5+7,$E129&gt;N$5),"■","")))</x:f>
      </x:c>
      <x:c r="O129" s="7" t="str">
        <x:f>IF(OR($D129="",O$5="",'상세일정'!AM129="제외"),"",IF($D129=$E129,IF(AND($D129&gt;=O$5,$D129&lt;O$5+7),"◆",""),IF(AND($D129&lt;O$5+7,$E129&gt;O$5),"■","")))</x:f>
      </x:c>
      <x:c r="P129" s="7" t="str">
        <x:f>IF(OR($D129="",P$5="",'상세일정'!AM129="제외"),"",IF($D129=$E129,IF(AND($D129&gt;=P$5,$D129&lt;P$5+7),"◆",""),IF(AND($D129&lt;P$5+7,$E129&gt;P$5),"■","")))</x:f>
      </x:c>
      <x:c r="Q129" s="7" t="str">
        <x:f>IF(OR($D129="",Q$5="",'상세일정'!AM129="제외"),"",IF($D129=$E129,IF(AND($D129&gt;=Q$5,$D129&lt;Q$5+7),"◆",""),IF(AND($D129&lt;Q$5+7,$E129&gt;Q$5),"■","")))</x:f>
      </x:c>
      <x:c r="R129" s="7" t="str">
        <x:f>IF(OR($D129="",R$5="",'상세일정'!AM129="제외"),"",IF($D129=$E129,IF(AND($D129&gt;=R$5,$D129&lt;R$5+7),"◆",""),IF(AND($D129&lt;R$5+7,$E129&gt;R$5),"■","")))</x:f>
      </x:c>
      <x:c r="S129" s="7" t="str">
        <x:f>IF(OR($D129="",S$5="",'상세일정'!AM129="제외"),"",IF($D129=$E129,IF(AND($D129&gt;=S$5,$D129&lt;S$5+7),"◆",""),IF(AND($D129&lt;S$5+7,$E129&gt;S$5),"■","")))</x:f>
      </x:c>
      <x:c r="T129" s="7" t="str">
        <x:f>IF(OR($D129="",T$5="",'상세일정'!AM129="제외"),"",IF($D129=$E129,IF(AND($D129&gt;=T$5,$D129&lt;T$5+7),"◆",""),IF(AND($D129&lt;T$5+7,$E129&gt;T$5),"■","")))</x:f>
      </x:c>
      <x:c r="U129" s="7" t="str">
        <x:f>IF(OR($D129="",U$5="",'상세일정'!AM129="제외"),"",IF($D129=$E129,IF(AND($D129&gt;=U$5,$D129&lt;U$5+7),"◆",""),IF(AND($D129&lt;U$5+7,$E129&gt;U$5),"■","")))</x:f>
      </x:c>
      <x:c r="V129" s="7" t="str">
        <x:f>IF(OR($D129="",V$5="",'상세일정'!AM129="제외"),"",IF($D129=$E129,IF(AND($D129&gt;=V$5,$D129&lt;V$5+7),"◆",""),IF(AND($D129&lt;V$5+7,$E129&gt;V$5),"■","")))</x:f>
      </x:c>
      <x:c r="W129" s="7" t="str">
        <x:f>IF(OR($D129="",W$5="",'상세일정'!AM129="제외"),"",IF($D129=$E129,IF(AND($D129&gt;=W$5,$D129&lt;W$5+7),"◆",""),IF(AND($D129&lt;W$5+7,$E129&gt;W$5),"■","")))</x:f>
      </x:c>
      <x:c r="X129" s="7" t="str">
        <x:f>IF(OR($D129="",X$5="",'상세일정'!AM129="제외"),"",IF($D129=$E129,IF(AND($D129&gt;=X$5,$D129&lt;X$5+7),"◆",""),IF(AND($D129&lt;X$5+7,$E129&gt;X$5),"■","")))</x:f>
      </x:c>
      <x:c r="Y129" s="7" t="str">
        <x:f>IF(OR($D129="",Y$5="",'상세일정'!AM129="제외"),"",IF($D129=$E129,IF(AND($D129&gt;=Y$5,$D129&lt;Y$5+7),"◆",""),IF(AND($D129&lt;Y$5+7,$E129&gt;Y$5),"■","")))</x:f>
      </x:c>
      <x:c r="Z129" s="7" t="str">
        <x:f>IF(OR($D129="",Z$5="",'상세일정'!AM129="제외"),"",IF($D129=$E129,IF(AND($D129&gt;=Z$5,$D129&lt;Z$5+7),"◆",""),IF(AND($D129&lt;Z$5+7,$E129&gt;Z$5),"■","")))</x:f>
      </x:c>
      <x:c r="AA129" s="7" t="str">
        <x:f>IF(OR($D129="",AA$5="",'상세일정'!AM129="제외"),"",IF($D129=$E129,IF(AND($D129&gt;=AA$5,$D129&lt;AA$5+7),"◆",""),IF(AND($D129&lt;AA$5+7,$E129&gt;AA$5),"■","")))</x:f>
      </x:c>
      <x:c r="AB129" s="7" t="str">
        <x:f>IF(OR($D129="",AB$5="",'상세일정'!AM129="제외"),"",IF($D129=$E129,IF(AND($D129&gt;=AB$5,$D129&lt;AB$5+7),"◆",""),IF(AND($D129&lt;AB$5+7,$E129&gt;AB$5),"■","")))</x:f>
      </x:c>
      <x:c r="AC129" s="7" t="str">
        <x:f>IF(OR($D129="",AC$5="",'상세일정'!AM129="제외"),"",IF($D129=$E129,IF(AND($D129&gt;=AC$5,$D129&lt;AC$5+7),"◆",""),IF(AND($D129&lt;AC$5+7,$E129&gt;AC$5),"■","")))</x:f>
      </x:c>
      <x:c r="AD129" s="7" t="str">
        <x:f>IF(OR($D129="",AD$5="",'상세일정'!AM129="제외"),"",IF($D129=$E129,IF(AND($D129&gt;=AD$5,$D129&lt;AD$5+7),"◆",""),IF(AND($D129&lt;AD$5+7,$E129&gt;AD$5),"■","")))</x:f>
      </x:c>
      <x:c r="AE129" s="7" t="str">
        <x:f>IF(OR($D129="",AE$5="",'상세일정'!AM129="제외"),"",IF($D129=$E129,IF(AND($D129&gt;=AE$5,$D129&lt;AE$5+7),"◆",""),IF(AND($D129&lt;AE$5+7,$E129&gt;AE$5),"■","")))</x:f>
      </x:c>
      <x:c r="AF129" s="7" t="str">
        <x:f>IF(OR($D129="",AF$5="",'상세일정'!AM129="제외"),"",IF($D129=$E129,IF(AND($D129&gt;=AF$5,$D129&lt;AF$5+7),"◆",""),IF(AND($D129&lt;AF$5+7,$E129&gt;AF$5),"■","")))</x:f>
      </x:c>
      <x:c r="AG129" s="7" t="str">
        <x:f>IF(OR($D129="",AG$5="",'상세일정'!AM129="제외"),"",IF($D129=$E129,IF(AND($D129&gt;=AG$5,$D129&lt;AG$5+7),"◆",""),IF(AND($D129&lt;AG$5+7,$E129&gt;AG$5),"■","")))</x:f>
      </x:c>
      <x:c r="AH129" s="7" t="str">
        <x:f>IF(OR($D129="",AH$5="",'상세일정'!AM129="제외"),"",IF($D129=$E129,IF(AND($D129&gt;=AH$5,$D129&lt;AH$5+7),"◆",""),IF(AND($D129&lt;AH$5+7,$E129&gt;AH$5),"■","")))</x:f>
      </x:c>
      <x:c r="AI129" s="7" t="str">
        <x:f>IF(OR($D129="",AI$5="",'상세일정'!AM129="제외"),"",IF($D129=$E129,IF(AND($D129&gt;=AI$5,$D129&lt;AI$5+7),"◆",""),IF(AND($D129&lt;AI$5+7,$E129&gt;AI$5),"■","")))</x:f>
      </x:c>
      <x:c r="AJ129" s="7" t="str">
        <x:f>IF(OR($D129="",AJ$5="",'상세일정'!AM129="제외"),"",IF($D129=$E129,IF(AND($D129&gt;=AJ$5,$D129&lt;AJ$5+7),"◆",""),IF(AND($D129&lt;AJ$5+7,$E129&gt;AJ$5),"■","")))</x:f>
      </x:c>
      <x:c r="AK129" s="7" t="str">
        <x:f>IF(OR($D129="",AK$5="",'상세일정'!AM129="제외"),"",IF($D129=$E129,IF(AND($D129&gt;=AK$5,$D129&lt;AK$5+7),"◆",""),IF(AND($D129&lt;AK$5+7,$E129&gt;AK$5),"■","")))</x:f>
      </x:c>
      <x:c r="AL129" s="7" t="str">
        <x:f>IF(OR($D129="",AL$5="",'상세일정'!AM129="제외"),"",IF($D129=$E129,IF(AND($D129&gt;=AL$5,$D129&lt;AL$5+7),"◆",""),IF(AND($D129&lt;AL$5+7,$E129&gt;AL$5),"■","")))</x:f>
      </x:c>
      <x:c r="AM129" s="7" t="str">
        <x:f>IF(OR($D129="",AM$5="",'상세일정'!AM129="제외"),"",IF($D129=$E129,IF(AND($D129&gt;=AM$5,$D129&lt;AM$5+7),"◆",""),IF(AND($D129&lt;AM$5+7,$E129&gt;AM$5),"■","")))</x:f>
      </x:c>
      <x:c r="AN129" s="7" t="str">
        <x:f>IF(OR($D129="",AN$5="",'상세일정'!AM129="제외"),"",IF($D129=$E129,IF(AND($D129&gt;=AN$5,$D129&lt;AN$5+7),"◆",""),IF(AND($D129&lt;AN$5+7,$E129&gt;AN$5),"■","")))</x:f>
      </x:c>
      <x:c r="AO129" s="7" t="str">
        <x:f>IF(OR($D129="",AO$5="",'상세일정'!AM129="제외"),"",IF($D129=$E129,IF(AND($D129&gt;=AO$5,$D129&lt;AO$5+7),"◆",""),IF(AND($D129&lt;AO$5+7,$E129&gt;AO$5),"■","")))</x:f>
      </x:c>
      <x:c r="AP129" s="7" t="str">
        <x:f>IF(OR($D129="",AP$5="",'상세일정'!AM129="제외"),"",IF($D129=$E129,IF(AND($D129&gt;=AP$5,$D129&lt;AP$5+7),"◆",""),IF(AND($D129&lt;AP$5+7,$E129&gt;AP$5),"■","")))</x:f>
      </x:c>
      <x:c r="AQ129" s="7" t="str">
        <x:f>IF(OR($D129="",AQ$5="",'상세일정'!AM129="제외"),"",IF($D129=$E129,IF(AND($D129&gt;=AQ$5,$D129&lt;AQ$5+7),"◆",""),IF(AND($D129&lt;AQ$5+7,$E129&gt;AQ$5),"■","")))</x:f>
      </x:c>
      <x:c r="AR129" s="7" t="str">
        <x:f>IF(OR($D129="",AR$5="",'상세일정'!AM129="제외"),"",IF($D129=$E129,IF(AND($D129&gt;=AR$5,$D129&lt;AR$5+7),"◆",""),IF(AND($D129&lt;AR$5+7,$E129&gt;AR$5),"■","")))</x:f>
      </x:c>
      <x:c r="AS129" s="7" t="str">
        <x:f>IF(OR($D129="",AS$5="",'상세일정'!AM129="제외"),"",IF($D129=$E129,IF(AND($D129&gt;=AS$5,$D129&lt;AS$5+7),"◆",""),IF(AND($D129&lt;AS$5+7,$E129&gt;AS$5),"■","")))</x:f>
      </x:c>
      <x:c r="AT129" s="7" t="str">
        <x:f>IF(OR($D129="",AT$5="",'상세일정'!AM129="제외"),"",IF($D129=$E129,IF(AND($D129&gt;=AT$5,$D129&lt;AT$5+7),"◆",""),IF(AND($D129&lt;AT$5+7,$E129&gt;AT$5),"■","")))</x:f>
      </x:c>
      <x:c r="AU129" s="7" t="str">
        <x:f>IF(OR($D129="",AU$5="",'상세일정'!AM129="제외"),"",IF($D129=$E129,IF(AND($D129&gt;=AU$5,$D129&lt;AU$5+7),"◆",""),IF(AND($D129&lt;AU$5+7,$E129&gt;AU$5),"■","")))</x:f>
      </x:c>
      <x:c r="AV129" s="7" t="str">
        <x:f>IF(OR($D129="",AV$5="",'상세일정'!AM129="제외"),"",IF($D129=$E129,IF(AND($D129&gt;=AV$5,$D129&lt;AV$5+7),"◆",""),IF(AND($D129&lt;AV$5+7,$E129&gt;AV$5),"■","")))</x:f>
      </x:c>
      <x:c r="AW129" s="7" t="str">
        <x:f>IF(OR($D129="",AW$5="",'상세일정'!AM129="제외"),"",IF($D129=$E129,IF(AND($D129&gt;=AW$5,$D129&lt;AW$5+7),"◆",""),IF(AND($D129&lt;AW$5+7,$E129&gt;AW$5),"■","")))</x:f>
      </x:c>
      <x:c r="AX129" s="7" t="str">
        <x:f>IF(OR($D129="",AX$5="",'상세일정'!AM129="제외"),"",IF($D129=$E129,IF(AND($D129&gt;=AX$5,$D129&lt;AX$5+7),"◆",""),IF(AND($D129&lt;AX$5+7,$E129&gt;AX$5),"■","")))</x:f>
      </x:c>
      <x:c r="AY129" s="7" t="str">
        <x:f>IF(OR($D129="",AY$5="",'상세일정'!AM129="제외"),"",IF($D129=$E129,IF(AND($D129&gt;=AY$5,$D129&lt;AY$5+7),"◆",""),IF(AND($D129&lt;AY$5+7,$E129&gt;AY$5),"■","")))</x:f>
      </x:c>
      <x:c r="AZ129" s="7" t="str">
        <x:f>IF(OR($D129="",AZ$5="",'상세일정'!AM129="제외"),"",IF($D129=$E129,IF(AND($D129&gt;=AZ$5,$D129&lt;AZ$5+7),"◆",""),IF(AND($D129&lt;AZ$5+7,$E129&gt;AZ$5),"■","")))</x:f>
      </x:c>
      <x:c r="BA129" s="7" t="str">
        <x:f>IF(OR($D129="",BA$5="",'상세일정'!AM129="제외"),"",IF($D129=$E129,IF(AND($D129&gt;=BA$5,$D129&lt;BA$5+7),"◆",""),IF(AND($D129&lt;BA$5+7,$E129&gt;BA$5),"■","")))</x:f>
      </x:c>
      <x:c r="BB129" s="7" t="str">
        <x:f>IF(OR($D129="",BB$5="",'상세일정'!AM129="제외"),"",IF($D129=$E129,IF(AND($D129&gt;=BB$5,$D129&lt;BB$5+7),"◆",""),IF(AND($D129&lt;BB$5+7,$E129&gt;BB$5),"■","")))</x:f>
      </x:c>
      <x:c r="BC129" s="7" t="str">
        <x:f>IF(OR($D129="",BC$5="",'상세일정'!AM129="제외"),"",IF($D129=$E129,IF(AND($D129&gt;=BC$5,$D129&lt;BC$5+7),"◆",""),IF(AND($D129&lt;BC$5+7,$E129&gt;BC$5),"■","")))</x:f>
      </x:c>
      <x:c r="BD129" s="7" t="str">
        <x:f>IF(OR($D129="",BD$5="",'상세일정'!AM129="제외"),"",IF($D129=$E129,IF(AND($D129&gt;=BD$5,$D129&lt;BD$5+7),"◆",""),IF(AND($D129&lt;BD$5+7,$E129&gt;BD$5),"■","")))</x:f>
      </x:c>
      <x:c r="BE129" s="7" t="str">
        <x:f>IF(OR($D129="",BE$5="",'상세일정'!AM129="제외"),"",IF($D129=$E129,IF(AND($D129&gt;=BE$5,$D129&lt;BE$5+7),"◆",""),IF(AND($D129&lt;BE$5+7,$E129&gt;BE$5),"■","")))</x:f>
      </x:c>
      <x:c r="BF129" s="7" t="str">
        <x:f>IF(OR($D129="",BF$5="",'상세일정'!AM129="제외"),"",IF($D129=$E129,IF(AND($D129&gt;=BF$5,$D129&lt;BF$5+7),"◆",""),IF(AND($D129&lt;BF$5+7,$E129&gt;BF$5),"■","")))</x:f>
      </x:c>
      <x:c r="BG129" s="7" t="str">
        <x:f>IF(OR($D129="",BG$5="",'상세일정'!AM129="제외"),"",IF($D129=$E129,IF(AND($D129&gt;=BG$5,$D129&lt;BG$5+7),"◆",""),IF(AND($D129&lt;BG$5+7,$E129&gt;BG$5),"■","")))</x:f>
      </x:c>
      <x:c r="BH129" s="7" t="str">
        <x:f>IF(OR($D129="",BH$5="",'상세일정'!AM129="제외"),"",IF($D129=$E129,IF(AND($D129&gt;=BH$5,$D129&lt;BH$5+7),"◆",""),IF(AND($D129&lt;BH$5+7,$E129&gt;BH$5),"■","")))</x:f>
      </x:c>
      <x:c r="BI129" s="7" t="str">
        <x:f>IF(OR($D129="",BI$5="",'상세일정'!AM129="제외"),"",IF($D129=$E129,IF(AND($D129&gt;=BI$5,$D129&lt;BI$5+7),"◆",""),IF(AND($D129&lt;BI$5+7,$E129&gt;BI$5),"■","")))</x:f>
      </x:c>
      <x:c r="BJ129" s="7" t="str">
        <x:f>IF(OR($D129="",BJ$5="",'상세일정'!AM129="제외"),"",IF($D129=$E129,IF(AND($D129&gt;=BJ$5,$D129&lt;BJ$5+7),"◆",""),IF(AND($D129&lt;BJ$5+7,$E129&gt;BJ$5),"■","")))</x:f>
      </x:c>
      <x:c r="BK129" s="7" t="str">
        <x:f>IF(OR($D129="",BK$5="",'상세일정'!AM129="제외"),"",IF($D129=$E129,IF(AND($D129&gt;=BK$5,$D129&lt;BK$5+7),"◆",""),IF(AND($D129&lt;BK$5+7,$E129&gt;BK$5),"■","")))</x:f>
      </x:c>
      <x:c r="BL129" s="7" t="str">
        <x:f>IF(OR($D129="",BL$5="",'상세일정'!AM129="제외"),"",IF($D129=$E129,IF(AND($D129&gt;=BL$5,$D129&lt;BL$5+7),"◆",""),IF(AND($D129&lt;BL$5+7,$E129&gt;BL$5),"■","")))</x:f>
      </x:c>
      <x:c r="BM129" s="7" t="str">
        <x:f>IF(OR($D129="",BM$5="",'상세일정'!AM129="제외"),"",IF($D129=$E129,IF(AND($D129&gt;=BM$5,$D129&lt;BM$5+7),"◆",""),IF(AND($D129&lt;BM$5+7,$E129&gt;BM$5),"■","")))</x:f>
      </x:c>
      <x:c r="BN129" s="7" t="str">
        <x:f>IF(OR($D129="",BN$5="",'상세일정'!AM129="제외"),"",IF($D129=$E129,IF(AND($D129&gt;=BN$5,$D129&lt;BN$5+7),"◆",""),IF(AND($D129&lt;BN$5+7,$E129&gt;BN$5),"■","")))</x:f>
      </x:c>
      <x:c r="BO129" s="7" t="str">
        <x:f>IF(OR($D129="",BO$5="",'상세일정'!AM129="제외"),"",IF($D129=$E129,IF(AND($D129&gt;=BO$5,$D129&lt;BO$5+7),"◆",""),IF(AND($D129&lt;BO$5+7,$E129&gt;BO$5),"■","")))</x:f>
      </x:c>
      <x:c r="BP129" s="7" t="str">
        <x:f>IF(OR($D129="",BP$5="",'상세일정'!AM129="제외"),"",IF($D129=$E129,IF(AND($D129&gt;=BP$5,$D129&lt;BP$5+7),"◆",""),IF(AND($D129&lt;BP$5+7,$E129&gt;BP$5),"■","")))</x:f>
      </x:c>
      <x:c r="BQ129" s="7" t="str">
        <x:f>IF(OR($D129="",BQ$5="",'상세일정'!AM129="제외"),"",IF($D129=$E129,IF(AND($D129&gt;=BQ$5,$D129&lt;BQ$5+7),"◆",""),IF(AND($D129&lt;BQ$5+7,$E129&gt;BQ$5),"■","")))</x:f>
      </x:c>
      <x:c r="BR129" s="7" t="str">
        <x:f>IF(OR($D129="",BR$5="",'상세일정'!AM129="제외"),"",IF($D129=$E129,IF(AND($D129&gt;=BR$5,$D129&lt;BR$5+7),"◆",""),IF(AND($D129&lt;BR$5+7,$E129&gt;BR$5),"■","")))</x:f>
      </x:c>
      <x:c r="BS129" s="7" t="str">
        <x:f>IF(OR($D129="",BS$5="",'상세일정'!AM129="제외"),"",IF($D129=$E129,IF(AND($D129&gt;=BS$5,$D129&lt;BS$5+7),"◆",""),IF(AND($D129&lt;BS$5+7,$E129&gt;BS$5),"■","")))</x:f>
      </x:c>
      <x:c r="BT129" s="7" t="str">
        <x:f>IF(OR($D129="",BT$5="",'상세일정'!AM129="제외"),"",IF($D129=$E129,IF(AND($D129&gt;=BT$5,$D129&lt;BT$5+7),"◆",""),IF(AND($D129&lt;BT$5+7,$E129&gt;BT$5),"■","")))</x:f>
      </x:c>
      <x:c r="BU129" s="7" t="str">
        <x:f>IF(OR($D129="",BU$5="",'상세일정'!AM129="제외"),"",IF($D129=$E129,IF(AND($D129&gt;=BU$5,$D129&lt;BU$5+7),"◆",""),IF(AND($D129&lt;BU$5+7,$E129&gt;BU$5),"■","")))</x:f>
      </x:c>
      <x:c r="BV129" s="7" t="str">
        <x:f>IF(OR($D129="",BV$5="",'상세일정'!AM129="제외"),"",IF($D129=$E129,IF(AND($D129&gt;=BV$5,$D129&lt;BV$5+7),"◆",""),IF(AND($D129&lt;BV$5+7,$E129&gt;BV$5),"■","")))</x:f>
      </x:c>
      <x:c r="BW129" s="7" t="str">
        <x:f>IF(OR($D129="",BW$5="",'상세일정'!AM129="제외"),"",IF($D129=$E129,IF(AND($D129&gt;=BW$5,$D129&lt;BW$5+7),"◆",""),IF(AND($D129&lt;BW$5+7,$E129&gt;BW$5),"■","")))</x:f>
      </x:c>
      <x:c r="BX129" s="7" t="str">
        <x:f>IF(OR($D129="",BX$5="",'상세일정'!AM129="제외"),"",IF($D129=$E129,IF(AND($D129&gt;=BX$5,$D129&lt;BX$5+7),"◆",""),IF(AND($D129&lt;BX$5+7,$E129&gt;BX$5),"■","")))</x:f>
      </x:c>
      <x:c r="BY129" s="7" t="str">
        <x:f>IF(OR($D129="",BY$5="",'상세일정'!AM129="제외"),"",IF($D129=$E129,IF(AND($D129&gt;=BY$5,$D129&lt;BY$5+7),"◆",""),IF(AND($D129&lt;BY$5+7,$E129&gt;BY$5),"■","")))</x:f>
      </x:c>
      <x:c r="BZ129" s="7" t="str">
        <x:f>IF(OR($D129="",BZ$5="",'상세일정'!AM129="제외"),"",IF($D129=$E129,IF(AND($D129&gt;=BZ$5,$D129&lt;BZ$5+7),"◆",""),IF(AND($D129&lt;BZ$5+7,$E129&gt;BZ$5),"■","")))</x:f>
      </x:c>
      <x:c r="CA129" s="7" t="str">
        <x:f>IF(OR($D129="",CA$5="",'상세일정'!AM129="제외"),"",IF($D129=$E129,IF(AND($D129&gt;=CA$5,$D129&lt;CA$5+7),"◆",""),IF(AND($D129&lt;CA$5+7,$E129&gt;CA$5),"■","")))</x:f>
      </x:c>
      <x:c r="CB129" s="7" t="str">
        <x:f>IF(OR($D129="",CB$5="",'상세일정'!AM129="제외"),"",IF($D129=$E129,IF(AND($D129&gt;=CB$5,$D129&lt;CB$5+7),"◆",""),IF(AND($D129&lt;CB$5+7,$E129&gt;CB$5),"■","")))</x:f>
      </x:c>
      <x:c r="CC129" s="7" t="str">
        <x:f>IF(OR($D129="",CC$5="",'상세일정'!AM129="제외"),"",IF($D129=$E129,IF(AND($D129&gt;=CC$5,$D129&lt;CC$5+7),"◆",""),IF(AND($D129&lt;CC$5+7,$E129&gt;CC$5),"■","")))</x:f>
      </x:c>
      <x:c r="CD129" s="7" t="str">
        <x:f>IF(OR($D129="",CD$5="",'상세일정'!AM129="제외"),"",IF($D129=$E129,IF(AND($D129&gt;=CD$5,$D129&lt;CD$5+7),"◆",""),IF(AND($D129&lt;CD$5+7,$E129&gt;CD$5),"■","")))</x:f>
      </x:c>
      <x:c r="CE129" s="7" t="str">
        <x:f>IF(OR($D129="",CE$5="",'상세일정'!AM129="제외"),"",IF($D129=$E129,IF(AND($D129&gt;=CE$5,$D129&lt;CE$5+7),"◆",""),IF(AND($D129&lt;CE$5+7,$E129&gt;CE$5),"■","")))</x:f>
      </x:c>
      <x:c r="CF129" s="7" t="str">
        <x:f>IF(OR($D129="",CF$5="",'상세일정'!AM129="제외"),"",IF($D129=$E129,IF(AND($D129&gt;=CF$5,$D129&lt;CF$5+7),"◆",""),IF(AND($D129&lt;CF$5+7,$E129&gt;CF$5),"■","")))</x:f>
      </x:c>
      <x:c r="CG129" s="7" t="str">
        <x:f>IF(OR($D129="",CG$5="",'상세일정'!AM129="제외"),"",IF($D129=$E129,IF(AND($D129&gt;=CG$5,$D129&lt;CG$5+7),"◆",""),IF(AND($D129&lt;CG$5+7,$E129&gt;CG$5),"■","")))</x:f>
      </x:c>
      <x:c r="CH129" s="7" t="str">
        <x:f>IF(OR($D129="",CH$5="",'상세일정'!AM129="제외"),"",IF($D129=$E129,IF(AND($D129&gt;=CH$5,$D129&lt;CH$5+7),"◆",""),IF(AND($D129&lt;CH$5+7,$E129&gt;CH$5),"■","")))</x:f>
      </x:c>
      <x:c r="CI129" s="7" t="str">
        <x:f>IF(OR($D129="",CI$5="",'상세일정'!AM129="제외"),"",IF($D129=$E129,IF(AND($D129&gt;=CI$5,$D129&lt;CI$5+7),"◆",""),IF(AND($D129&lt;CI$5+7,$E129&gt;CI$5),"■","")))</x:f>
      </x:c>
      <x:c r="CJ129" s="7" t="str">
        <x:f>IF(OR($D129="",CJ$5="",'상세일정'!AM129="제외"),"",IF($D129=$E129,IF(AND($D129&gt;=CJ$5,$D129&lt;CJ$5+7),"◆",""),IF(AND($D129&lt;CJ$5+7,$E129&gt;CJ$5),"■","")))</x:f>
      </x:c>
      <x:c r="CK129" s="7" t="str">
        <x:f>IF(OR($D129="",CK$5="",'상세일정'!AM129="제외"),"",IF($D129=$E129,IF(AND($D129&gt;=CK$5,$D129&lt;CK$5+7),"◆",""),IF(AND($D129&lt;CK$5+7,$E129&gt;CK$5),"■","")))</x:f>
      </x:c>
      <x:c r="CL129" s="7" t="str">
        <x:f>IF(OR($D129="",CL$5="",'상세일정'!AM129="제외"),"",IF($D129=$E129,IF(AND($D129&gt;=CL$5,$D129&lt;CL$5+7),"◆",""),IF(AND($D129&lt;CL$5+7,$E129&gt;CL$5),"■","")))</x:f>
      </x:c>
      <x:c r="CM129" s="7" t="str">
        <x:f>IF(OR($D129="",CM$5="",'상세일정'!AM129="제외"),"",IF($D129=$E129,IF(AND($D129&gt;=CM$5,$D129&lt;CM$5+7),"◆",""),IF(AND($D129&lt;CM$5+7,$E129&gt;CM$5),"■","")))</x:f>
      </x:c>
      <x:c r="CN129" s="7" t="str">
        <x:f>IF(OR($D129="",CN$5="",'상세일정'!AM129="제외"),"",IF($D129=$E129,IF(AND($D129&gt;=CN$5,$D129&lt;CN$5+7),"◆",""),IF(AND($D129&lt;CN$5+7,$E129&gt;CN$5),"■","")))</x:f>
      </x:c>
      <x:c r="CO129" s="7" t="str">
        <x:f>IF(OR($D129="",CO$5="",'상세일정'!AM129="제외"),"",IF($D129=$E129,IF(AND($D129&gt;=CO$5,$D129&lt;CO$5+7),"◆",""),IF(AND($D129&lt;CO$5+7,$E129&gt;CO$5),"■","")))</x:f>
      </x:c>
      <x:c r="CP129" s="7" t="str">
        <x:f>IF(OR($D129="",CP$5="",'상세일정'!AM129="제외"),"",IF($D129=$E129,IF(AND($D129&gt;=CP$5,$D129&lt;CP$5+7),"◆",""),IF(AND($D129&lt;CP$5+7,$E129&gt;CP$5),"■","")))</x:f>
      </x:c>
      <x:c r="CQ129" s="7" t="str">
        <x:f>IF(OR($D129="",CQ$5="",'상세일정'!AM129="제외"),"",IF($D129=$E129,IF(AND($D129&gt;=CQ$5,$D129&lt;CQ$5+7),"◆",""),IF(AND($D129&lt;CQ$5+7,$E129&gt;CQ$5),"■","")))</x:f>
      </x:c>
      <x:c r="CR129" s="7" t="str">
        <x:f>IF(OR($D129="",CR$5="",'상세일정'!AM129="제외"),"",IF($D129=$E129,IF(AND($D129&gt;=CR$5,$D129&lt;CR$5+7),"◆",""),IF(AND($D129&lt;CR$5+7,$E129&gt;CR$5),"■","")))</x:f>
      </x:c>
      <x:c r="CS129" s="7" t="str">
        <x:f>IF(OR($D129="",CS$5="",'상세일정'!AM129="제외"),"",IF($D129=$E129,IF(AND($D129&gt;=CS$5,$D129&lt;CS$5+7),"◆",""),IF(AND($D129&lt;CS$5+7,$E129&gt;CS$5),"■","")))</x:f>
      </x:c>
      <x:c r="CT129" s="7" t="str">
        <x:f>IF(OR($D129="",CT$5="",'상세일정'!AM129="제외"),"",IF($D129=$E129,IF(AND($D129&gt;=CT$5,$D129&lt;CT$5+7),"◆",""),IF(AND($D129&lt;CT$5+7,$E129&gt;CT$5),"■","")))</x:f>
      </x:c>
      <x:c r="CU129" s="7" t="str">
        <x:f>IF(OR($D129="",CU$5="",'상세일정'!AM129="제외"),"",IF($D129=$E129,IF(AND($D129&gt;=CU$5,$D129&lt;CU$5+7),"◆",""),IF(AND($D129&lt;CU$5+7,$E129&gt;CU$5),"■","")))</x:f>
      </x:c>
      <x:c r="CV129" s="7" t="str">
        <x:f>IF(OR($D129="",CV$5="",'상세일정'!AM129="제외"),"",IF($D129=$E129,IF(AND($D129&gt;=CV$5,$D129&lt;CV$5+7),"◆",""),IF(AND($D129&lt;CV$5+7,$E129&gt;CV$5),"■","")))</x:f>
      </x:c>
      <x:c r="CW129" s="7" t="str">
        <x:f>IF(OR($D129="",CW$5="",'상세일정'!AM129="제외"),"",IF($D129=$E129,IF(AND($D129&gt;=CW$5,$D129&lt;CW$5+7),"◆",""),IF(AND($D129&lt;CW$5+7,$E129&gt;CW$5),"■","")))</x:f>
      </x:c>
      <x:c r="CX129" s="7" t="str">
        <x:f>IF(OR($D129="",CX$5="",'상세일정'!AM129="제외"),"",IF($D129=$E129,IF(AND($D129&gt;=CX$5,$D129&lt;CX$5+7),"◆",""),IF(AND($D129&lt;CX$5+7,$E129&gt;CX$5),"■","")))</x:f>
      </x:c>
      <x:c r="CY129" s="7" t="str">
        <x:f>IF(OR($D129="",CY$5="",'상세일정'!AM129="제외"),"",IF($D129=$E129,IF(AND($D129&gt;=CY$5,$D129&lt;CY$5+7),"◆",""),IF(AND($D129&lt;CY$5+7,$E129&gt;CY$5),"■","")))</x:f>
      </x:c>
      <x:c r="CZ129" s="7" t="str">
        <x:f>IF(OR($D129="",CZ$5="",'상세일정'!AM129="제외"),"",IF($D129=$E129,IF(AND($D129&gt;=CZ$5,$D129&lt;CZ$5+7),"◆",""),IF(AND($D129&lt;CZ$5+7,$E129&gt;CZ$5),"■","")))</x:f>
      </x:c>
      <x:c r="DA129" s="7" t="str">
        <x:f>IF(OR($D129="",DA$5="",'상세일정'!AM129="제외"),"",IF($D129=$E129,IF(AND($D129&gt;=DA$5,$D129&lt;DA$5+7),"◆",""),IF(AND($D129&lt;DA$5+7,$E129&gt;DA$5),"■","")))</x:f>
      </x:c>
      <x:c r="DB129" s="7" t="str">
        <x:f>IF(OR($D129="",DB$5="",'상세일정'!AM129="제외"),"",IF($D129=$E129,IF(AND($D129&gt;=DB$5,$D129&lt;DB$5+7),"◆",""),IF(AND($D129&lt;DB$5+7,$E129&gt;DB$5),"■","")))</x:f>
      </x:c>
      <x:c r="DC129" s="7" t="str">
        <x:f>IF(OR($D129="",DC$5="",'상세일정'!AM129="제외"),"",IF($D129=$E129,IF(AND($D129&gt;=DC$5,$D129&lt;DC$5+7),"◆",""),IF(AND($D129&lt;DC$5+7,$E129&gt;DC$5),"■","")))</x:f>
      </x:c>
      <x:c r="DD129" s="7" t="str">
        <x:f>IF(OR($D129="",DD$5="",'상세일정'!AM129="제외"),"",IF($D129=$E129,IF(AND($D129&gt;=DD$5,$D129&lt;DD$5+7),"◆",""),IF(AND($D129&lt;DD$5+7,$E129&gt;DD$5),"■","")))</x:f>
      </x:c>
      <x:c r="DE129" s="7" t="str">
        <x:f>IF(OR($D129="",DE$5="",'상세일정'!AM129="제외"),"",IF($D129=$E129,IF(AND($D129&gt;=DE$5,$D129&lt;DE$5+7),"◆",""),IF(AND($D129&lt;DE$5+7,$E129&gt;DE$5),"■","")))</x:f>
      </x:c>
    </x:row>
    <x:row r="130" ht="34" customHeight="1">
      <x:c r="A130" s="7" t="str">
        <x:v>TK02</x:v>
      </x:c>
      <x:c r="B130" s="7" t="str">
        <x:v>16 기자재 구매·제작</x:v>
      </x:c>
      <x:c r="C130" s="7" t="str">
        <x:v>저장용기·버퍼탱크 견적/TBE·계약조건·납기 합의</x:v>
      </x:c>
      <x:c r="D130" s="10" t="str">
        <x:f>'상세일정'!AJ130</x:f>
      </x:c>
      <x:c r="E130" s="10" t="str">
        <x:f>'상세일정'!AK130</x:f>
      </x:c>
      <x:c r="F130" s="7" t="str">
        <x:f>IF(OR($D130="",F$5="",'상세일정'!AM130="제외"),"",IF($D130=$E130,IF(AND($D130&gt;=F$5,$D130&lt;F$5+7),"◆",""),IF(AND($D130&lt;F$5+7,$E130&gt;F$5),"■","")))</x:f>
      </x:c>
      <x:c r="G130" s="7" t="str">
        <x:f>IF(OR($D130="",G$5="",'상세일정'!AM130="제외"),"",IF($D130=$E130,IF(AND($D130&gt;=G$5,$D130&lt;G$5+7),"◆",""),IF(AND($D130&lt;G$5+7,$E130&gt;G$5),"■","")))</x:f>
      </x:c>
      <x:c r="H130" s="7" t="str">
        <x:f>IF(OR($D130="",H$5="",'상세일정'!AM130="제외"),"",IF($D130=$E130,IF(AND($D130&gt;=H$5,$D130&lt;H$5+7),"◆",""),IF(AND($D130&lt;H$5+7,$E130&gt;H$5),"■","")))</x:f>
      </x:c>
      <x:c r="I130" s="7" t="str">
        <x:f>IF(OR($D130="",I$5="",'상세일정'!AM130="제외"),"",IF($D130=$E130,IF(AND($D130&gt;=I$5,$D130&lt;I$5+7),"◆",""),IF(AND($D130&lt;I$5+7,$E130&gt;I$5),"■","")))</x:f>
      </x:c>
      <x:c r="J130" s="7" t="str">
        <x:f>IF(OR($D130="",J$5="",'상세일정'!AM130="제외"),"",IF($D130=$E130,IF(AND($D130&gt;=J$5,$D130&lt;J$5+7),"◆",""),IF(AND($D130&lt;J$5+7,$E130&gt;J$5),"■","")))</x:f>
      </x:c>
      <x:c r="K130" s="7" t="str">
        <x:f>IF(OR($D130="",K$5="",'상세일정'!AM130="제외"),"",IF($D130=$E130,IF(AND($D130&gt;=K$5,$D130&lt;K$5+7),"◆",""),IF(AND($D130&lt;K$5+7,$E130&gt;K$5),"■","")))</x:f>
      </x:c>
      <x:c r="L130" s="7" t="str">
        <x:f>IF(OR($D130="",L$5="",'상세일정'!AM130="제외"),"",IF($D130=$E130,IF(AND($D130&gt;=L$5,$D130&lt;L$5+7),"◆",""),IF(AND($D130&lt;L$5+7,$E130&gt;L$5),"■","")))</x:f>
      </x:c>
      <x:c r="M130" s="7" t="str">
        <x:f>IF(OR($D130="",M$5="",'상세일정'!AM130="제외"),"",IF($D130=$E130,IF(AND($D130&gt;=M$5,$D130&lt;M$5+7),"◆",""),IF(AND($D130&lt;M$5+7,$E130&gt;M$5),"■","")))</x:f>
      </x:c>
      <x:c r="N130" s="7" t="str">
        <x:f>IF(OR($D130="",N$5="",'상세일정'!AM130="제외"),"",IF($D130=$E130,IF(AND($D130&gt;=N$5,$D130&lt;N$5+7),"◆",""),IF(AND($D130&lt;N$5+7,$E130&gt;N$5),"■","")))</x:f>
      </x:c>
      <x:c r="O130" s="7" t="str">
        <x:f>IF(OR($D130="",O$5="",'상세일정'!AM130="제외"),"",IF($D130=$E130,IF(AND($D130&gt;=O$5,$D130&lt;O$5+7),"◆",""),IF(AND($D130&lt;O$5+7,$E130&gt;O$5),"■","")))</x:f>
      </x:c>
      <x:c r="P130" s="7" t="str">
        <x:f>IF(OR($D130="",P$5="",'상세일정'!AM130="제외"),"",IF($D130=$E130,IF(AND($D130&gt;=P$5,$D130&lt;P$5+7),"◆",""),IF(AND($D130&lt;P$5+7,$E130&gt;P$5),"■","")))</x:f>
      </x:c>
      <x:c r="Q130" s="7" t="str">
        <x:f>IF(OR($D130="",Q$5="",'상세일정'!AM130="제외"),"",IF($D130=$E130,IF(AND($D130&gt;=Q$5,$D130&lt;Q$5+7),"◆",""),IF(AND($D130&lt;Q$5+7,$E130&gt;Q$5),"■","")))</x:f>
      </x:c>
      <x:c r="R130" s="7" t="str">
        <x:f>IF(OR($D130="",R$5="",'상세일정'!AM130="제외"),"",IF($D130=$E130,IF(AND($D130&gt;=R$5,$D130&lt;R$5+7),"◆",""),IF(AND($D130&lt;R$5+7,$E130&gt;R$5),"■","")))</x:f>
      </x:c>
      <x:c r="S130" s="7" t="str">
        <x:f>IF(OR($D130="",S$5="",'상세일정'!AM130="제외"),"",IF($D130=$E130,IF(AND($D130&gt;=S$5,$D130&lt;S$5+7),"◆",""),IF(AND($D130&lt;S$5+7,$E130&gt;S$5),"■","")))</x:f>
      </x:c>
      <x:c r="T130" s="7" t="str">
        <x:f>IF(OR($D130="",T$5="",'상세일정'!AM130="제외"),"",IF($D130=$E130,IF(AND($D130&gt;=T$5,$D130&lt;T$5+7),"◆",""),IF(AND($D130&lt;T$5+7,$E130&gt;T$5),"■","")))</x:f>
      </x:c>
      <x:c r="U130" s="7" t="str">
        <x:f>IF(OR($D130="",U$5="",'상세일정'!AM130="제외"),"",IF($D130=$E130,IF(AND($D130&gt;=U$5,$D130&lt;U$5+7),"◆",""),IF(AND($D130&lt;U$5+7,$E130&gt;U$5),"■","")))</x:f>
      </x:c>
      <x:c r="V130" s="7" t="str">
        <x:f>IF(OR($D130="",V$5="",'상세일정'!AM130="제외"),"",IF($D130=$E130,IF(AND($D130&gt;=V$5,$D130&lt;V$5+7),"◆",""),IF(AND($D130&lt;V$5+7,$E130&gt;V$5),"■","")))</x:f>
      </x:c>
      <x:c r="W130" s="7" t="str">
        <x:f>IF(OR($D130="",W$5="",'상세일정'!AM130="제외"),"",IF($D130=$E130,IF(AND($D130&gt;=W$5,$D130&lt;W$5+7),"◆",""),IF(AND($D130&lt;W$5+7,$E130&gt;W$5),"■","")))</x:f>
      </x:c>
      <x:c r="X130" s="7" t="str">
        <x:f>IF(OR($D130="",X$5="",'상세일정'!AM130="제외"),"",IF($D130=$E130,IF(AND($D130&gt;=X$5,$D130&lt;X$5+7),"◆",""),IF(AND($D130&lt;X$5+7,$E130&gt;X$5),"■","")))</x:f>
      </x:c>
      <x:c r="Y130" s="7" t="str">
        <x:f>IF(OR($D130="",Y$5="",'상세일정'!AM130="제외"),"",IF($D130=$E130,IF(AND($D130&gt;=Y$5,$D130&lt;Y$5+7),"◆",""),IF(AND($D130&lt;Y$5+7,$E130&gt;Y$5),"■","")))</x:f>
      </x:c>
      <x:c r="Z130" s="7" t="str">
        <x:f>IF(OR($D130="",Z$5="",'상세일정'!AM130="제외"),"",IF($D130=$E130,IF(AND($D130&gt;=Z$5,$D130&lt;Z$5+7),"◆",""),IF(AND($D130&lt;Z$5+7,$E130&gt;Z$5),"■","")))</x:f>
      </x:c>
      <x:c r="AA130" s="7" t="str">
        <x:f>IF(OR($D130="",AA$5="",'상세일정'!AM130="제외"),"",IF($D130=$E130,IF(AND($D130&gt;=AA$5,$D130&lt;AA$5+7),"◆",""),IF(AND($D130&lt;AA$5+7,$E130&gt;AA$5),"■","")))</x:f>
      </x:c>
      <x:c r="AB130" s="7" t="str">
        <x:f>IF(OR($D130="",AB$5="",'상세일정'!AM130="제외"),"",IF($D130=$E130,IF(AND($D130&gt;=AB$5,$D130&lt;AB$5+7),"◆",""),IF(AND($D130&lt;AB$5+7,$E130&gt;AB$5),"■","")))</x:f>
      </x:c>
      <x:c r="AC130" s="7" t="str">
        <x:f>IF(OR($D130="",AC$5="",'상세일정'!AM130="제외"),"",IF($D130=$E130,IF(AND($D130&gt;=AC$5,$D130&lt;AC$5+7),"◆",""),IF(AND($D130&lt;AC$5+7,$E130&gt;AC$5),"■","")))</x:f>
      </x:c>
      <x:c r="AD130" s="7" t="str">
        <x:f>IF(OR($D130="",AD$5="",'상세일정'!AM130="제외"),"",IF($D130=$E130,IF(AND($D130&gt;=AD$5,$D130&lt;AD$5+7),"◆",""),IF(AND($D130&lt;AD$5+7,$E130&gt;AD$5),"■","")))</x:f>
      </x:c>
      <x:c r="AE130" s="7" t="str">
        <x:f>IF(OR($D130="",AE$5="",'상세일정'!AM130="제외"),"",IF($D130=$E130,IF(AND($D130&gt;=AE$5,$D130&lt;AE$5+7),"◆",""),IF(AND($D130&lt;AE$5+7,$E130&gt;AE$5),"■","")))</x:f>
      </x:c>
      <x:c r="AF130" s="7" t="str">
        <x:f>IF(OR($D130="",AF$5="",'상세일정'!AM130="제외"),"",IF($D130=$E130,IF(AND($D130&gt;=AF$5,$D130&lt;AF$5+7),"◆",""),IF(AND($D130&lt;AF$5+7,$E130&gt;AF$5),"■","")))</x:f>
      </x:c>
      <x:c r="AG130" s="7" t="str">
        <x:f>IF(OR($D130="",AG$5="",'상세일정'!AM130="제외"),"",IF($D130=$E130,IF(AND($D130&gt;=AG$5,$D130&lt;AG$5+7),"◆",""),IF(AND($D130&lt;AG$5+7,$E130&gt;AG$5),"■","")))</x:f>
      </x:c>
      <x:c r="AH130" s="7" t="str">
        <x:f>IF(OR($D130="",AH$5="",'상세일정'!AM130="제외"),"",IF($D130=$E130,IF(AND($D130&gt;=AH$5,$D130&lt;AH$5+7),"◆",""),IF(AND($D130&lt;AH$5+7,$E130&gt;AH$5),"■","")))</x:f>
      </x:c>
      <x:c r="AI130" s="7" t="str">
        <x:f>IF(OR($D130="",AI$5="",'상세일정'!AM130="제외"),"",IF($D130=$E130,IF(AND($D130&gt;=AI$5,$D130&lt;AI$5+7),"◆",""),IF(AND($D130&lt;AI$5+7,$E130&gt;AI$5),"■","")))</x:f>
      </x:c>
      <x:c r="AJ130" s="7" t="str">
        <x:f>IF(OR($D130="",AJ$5="",'상세일정'!AM130="제외"),"",IF($D130=$E130,IF(AND($D130&gt;=AJ$5,$D130&lt;AJ$5+7),"◆",""),IF(AND($D130&lt;AJ$5+7,$E130&gt;AJ$5),"■","")))</x:f>
      </x:c>
      <x:c r="AK130" s="7" t="str">
        <x:f>IF(OR($D130="",AK$5="",'상세일정'!AM130="제외"),"",IF($D130=$E130,IF(AND($D130&gt;=AK$5,$D130&lt;AK$5+7),"◆",""),IF(AND($D130&lt;AK$5+7,$E130&gt;AK$5),"■","")))</x:f>
      </x:c>
      <x:c r="AL130" s="7" t="str">
        <x:f>IF(OR($D130="",AL$5="",'상세일정'!AM130="제외"),"",IF($D130=$E130,IF(AND($D130&gt;=AL$5,$D130&lt;AL$5+7),"◆",""),IF(AND($D130&lt;AL$5+7,$E130&gt;AL$5),"■","")))</x:f>
      </x:c>
      <x:c r="AM130" s="7" t="str">
        <x:f>IF(OR($D130="",AM$5="",'상세일정'!AM130="제외"),"",IF($D130=$E130,IF(AND($D130&gt;=AM$5,$D130&lt;AM$5+7),"◆",""),IF(AND($D130&lt;AM$5+7,$E130&gt;AM$5),"■","")))</x:f>
      </x:c>
      <x:c r="AN130" s="7" t="str">
        <x:f>IF(OR($D130="",AN$5="",'상세일정'!AM130="제외"),"",IF($D130=$E130,IF(AND($D130&gt;=AN$5,$D130&lt;AN$5+7),"◆",""),IF(AND($D130&lt;AN$5+7,$E130&gt;AN$5),"■","")))</x:f>
      </x:c>
      <x:c r="AO130" s="7" t="str">
        <x:f>IF(OR($D130="",AO$5="",'상세일정'!AM130="제외"),"",IF($D130=$E130,IF(AND($D130&gt;=AO$5,$D130&lt;AO$5+7),"◆",""),IF(AND($D130&lt;AO$5+7,$E130&gt;AO$5),"■","")))</x:f>
      </x:c>
      <x:c r="AP130" s="7" t="str">
        <x:f>IF(OR($D130="",AP$5="",'상세일정'!AM130="제외"),"",IF($D130=$E130,IF(AND($D130&gt;=AP$5,$D130&lt;AP$5+7),"◆",""),IF(AND($D130&lt;AP$5+7,$E130&gt;AP$5),"■","")))</x:f>
      </x:c>
      <x:c r="AQ130" s="7" t="str">
        <x:f>IF(OR($D130="",AQ$5="",'상세일정'!AM130="제외"),"",IF($D130=$E130,IF(AND($D130&gt;=AQ$5,$D130&lt;AQ$5+7),"◆",""),IF(AND($D130&lt;AQ$5+7,$E130&gt;AQ$5),"■","")))</x:f>
      </x:c>
      <x:c r="AR130" s="7" t="str">
        <x:f>IF(OR($D130="",AR$5="",'상세일정'!AM130="제외"),"",IF($D130=$E130,IF(AND($D130&gt;=AR$5,$D130&lt;AR$5+7),"◆",""),IF(AND($D130&lt;AR$5+7,$E130&gt;AR$5),"■","")))</x:f>
      </x:c>
      <x:c r="AS130" s="7" t="str">
        <x:f>IF(OR($D130="",AS$5="",'상세일정'!AM130="제외"),"",IF($D130=$E130,IF(AND($D130&gt;=AS$5,$D130&lt;AS$5+7),"◆",""),IF(AND($D130&lt;AS$5+7,$E130&gt;AS$5),"■","")))</x:f>
      </x:c>
      <x:c r="AT130" s="7" t="str">
        <x:f>IF(OR($D130="",AT$5="",'상세일정'!AM130="제외"),"",IF($D130=$E130,IF(AND($D130&gt;=AT$5,$D130&lt;AT$5+7),"◆",""),IF(AND($D130&lt;AT$5+7,$E130&gt;AT$5),"■","")))</x:f>
      </x:c>
      <x:c r="AU130" s="7" t="str">
        <x:f>IF(OR($D130="",AU$5="",'상세일정'!AM130="제외"),"",IF($D130=$E130,IF(AND($D130&gt;=AU$5,$D130&lt;AU$5+7),"◆",""),IF(AND($D130&lt;AU$5+7,$E130&gt;AU$5),"■","")))</x:f>
      </x:c>
      <x:c r="AV130" s="7" t="str">
        <x:f>IF(OR($D130="",AV$5="",'상세일정'!AM130="제외"),"",IF($D130=$E130,IF(AND($D130&gt;=AV$5,$D130&lt;AV$5+7),"◆",""),IF(AND($D130&lt;AV$5+7,$E130&gt;AV$5),"■","")))</x:f>
      </x:c>
      <x:c r="AW130" s="7" t="str">
        <x:f>IF(OR($D130="",AW$5="",'상세일정'!AM130="제외"),"",IF($D130=$E130,IF(AND($D130&gt;=AW$5,$D130&lt;AW$5+7),"◆",""),IF(AND($D130&lt;AW$5+7,$E130&gt;AW$5),"■","")))</x:f>
      </x:c>
      <x:c r="AX130" s="7" t="str">
        <x:f>IF(OR($D130="",AX$5="",'상세일정'!AM130="제외"),"",IF($D130=$E130,IF(AND($D130&gt;=AX$5,$D130&lt;AX$5+7),"◆",""),IF(AND($D130&lt;AX$5+7,$E130&gt;AX$5),"■","")))</x:f>
      </x:c>
      <x:c r="AY130" s="7" t="str">
        <x:f>IF(OR($D130="",AY$5="",'상세일정'!AM130="제외"),"",IF($D130=$E130,IF(AND($D130&gt;=AY$5,$D130&lt;AY$5+7),"◆",""),IF(AND($D130&lt;AY$5+7,$E130&gt;AY$5),"■","")))</x:f>
      </x:c>
      <x:c r="AZ130" s="7" t="str">
        <x:f>IF(OR($D130="",AZ$5="",'상세일정'!AM130="제외"),"",IF($D130=$E130,IF(AND($D130&gt;=AZ$5,$D130&lt;AZ$5+7),"◆",""),IF(AND($D130&lt;AZ$5+7,$E130&gt;AZ$5),"■","")))</x:f>
      </x:c>
      <x:c r="BA130" s="7" t="str">
        <x:f>IF(OR($D130="",BA$5="",'상세일정'!AM130="제외"),"",IF($D130=$E130,IF(AND($D130&gt;=BA$5,$D130&lt;BA$5+7),"◆",""),IF(AND($D130&lt;BA$5+7,$E130&gt;BA$5),"■","")))</x:f>
      </x:c>
      <x:c r="BB130" s="7" t="str">
        <x:f>IF(OR($D130="",BB$5="",'상세일정'!AM130="제외"),"",IF($D130=$E130,IF(AND($D130&gt;=BB$5,$D130&lt;BB$5+7),"◆",""),IF(AND($D130&lt;BB$5+7,$E130&gt;BB$5),"■","")))</x:f>
      </x:c>
      <x:c r="BC130" s="7" t="str">
        <x:f>IF(OR($D130="",BC$5="",'상세일정'!AM130="제외"),"",IF($D130=$E130,IF(AND($D130&gt;=BC$5,$D130&lt;BC$5+7),"◆",""),IF(AND($D130&lt;BC$5+7,$E130&gt;BC$5),"■","")))</x:f>
      </x:c>
      <x:c r="BD130" s="7" t="str">
        <x:f>IF(OR($D130="",BD$5="",'상세일정'!AM130="제외"),"",IF($D130=$E130,IF(AND($D130&gt;=BD$5,$D130&lt;BD$5+7),"◆",""),IF(AND($D130&lt;BD$5+7,$E130&gt;BD$5),"■","")))</x:f>
      </x:c>
      <x:c r="BE130" s="7" t="str">
        <x:f>IF(OR($D130="",BE$5="",'상세일정'!AM130="제외"),"",IF($D130=$E130,IF(AND($D130&gt;=BE$5,$D130&lt;BE$5+7),"◆",""),IF(AND($D130&lt;BE$5+7,$E130&gt;BE$5),"■","")))</x:f>
      </x:c>
      <x:c r="BF130" s="7" t="str">
        <x:f>IF(OR($D130="",BF$5="",'상세일정'!AM130="제외"),"",IF($D130=$E130,IF(AND($D130&gt;=BF$5,$D130&lt;BF$5+7),"◆",""),IF(AND($D130&lt;BF$5+7,$E130&gt;BF$5),"■","")))</x:f>
      </x:c>
      <x:c r="BG130" s="7" t="str">
        <x:f>IF(OR($D130="",BG$5="",'상세일정'!AM130="제외"),"",IF($D130=$E130,IF(AND($D130&gt;=BG$5,$D130&lt;BG$5+7),"◆",""),IF(AND($D130&lt;BG$5+7,$E130&gt;BG$5),"■","")))</x:f>
      </x:c>
      <x:c r="BH130" s="7" t="str">
        <x:f>IF(OR($D130="",BH$5="",'상세일정'!AM130="제외"),"",IF($D130=$E130,IF(AND($D130&gt;=BH$5,$D130&lt;BH$5+7),"◆",""),IF(AND($D130&lt;BH$5+7,$E130&gt;BH$5),"■","")))</x:f>
      </x:c>
      <x:c r="BI130" s="7" t="str">
        <x:f>IF(OR($D130="",BI$5="",'상세일정'!AM130="제외"),"",IF($D130=$E130,IF(AND($D130&gt;=BI$5,$D130&lt;BI$5+7),"◆",""),IF(AND($D130&lt;BI$5+7,$E130&gt;BI$5),"■","")))</x:f>
      </x:c>
      <x:c r="BJ130" s="7" t="str">
        <x:f>IF(OR($D130="",BJ$5="",'상세일정'!AM130="제외"),"",IF($D130=$E130,IF(AND($D130&gt;=BJ$5,$D130&lt;BJ$5+7),"◆",""),IF(AND($D130&lt;BJ$5+7,$E130&gt;BJ$5),"■","")))</x:f>
      </x:c>
      <x:c r="BK130" s="7" t="str">
        <x:f>IF(OR($D130="",BK$5="",'상세일정'!AM130="제외"),"",IF($D130=$E130,IF(AND($D130&gt;=BK$5,$D130&lt;BK$5+7),"◆",""),IF(AND($D130&lt;BK$5+7,$E130&gt;BK$5),"■","")))</x:f>
      </x:c>
      <x:c r="BL130" s="7" t="str">
        <x:f>IF(OR($D130="",BL$5="",'상세일정'!AM130="제외"),"",IF($D130=$E130,IF(AND($D130&gt;=BL$5,$D130&lt;BL$5+7),"◆",""),IF(AND($D130&lt;BL$5+7,$E130&gt;BL$5),"■","")))</x:f>
      </x:c>
      <x:c r="BM130" s="7" t="str">
        <x:f>IF(OR($D130="",BM$5="",'상세일정'!AM130="제외"),"",IF($D130=$E130,IF(AND($D130&gt;=BM$5,$D130&lt;BM$5+7),"◆",""),IF(AND($D130&lt;BM$5+7,$E130&gt;BM$5),"■","")))</x:f>
      </x:c>
      <x:c r="BN130" s="7" t="str">
        <x:f>IF(OR($D130="",BN$5="",'상세일정'!AM130="제외"),"",IF($D130=$E130,IF(AND($D130&gt;=BN$5,$D130&lt;BN$5+7),"◆",""),IF(AND($D130&lt;BN$5+7,$E130&gt;BN$5),"■","")))</x:f>
      </x:c>
      <x:c r="BO130" s="7" t="str">
        <x:f>IF(OR($D130="",BO$5="",'상세일정'!AM130="제외"),"",IF($D130=$E130,IF(AND($D130&gt;=BO$5,$D130&lt;BO$5+7),"◆",""),IF(AND($D130&lt;BO$5+7,$E130&gt;BO$5),"■","")))</x:f>
      </x:c>
      <x:c r="BP130" s="7" t="str">
        <x:f>IF(OR($D130="",BP$5="",'상세일정'!AM130="제외"),"",IF($D130=$E130,IF(AND($D130&gt;=BP$5,$D130&lt;BP$5+7),"◆",""),IF(AND($D130&lt;BP$5+7,$E130&gt;BP$5),"■","")))</x:f>
      </x:c>
      <x:c r="BQ130" s="7" t="str">
        <x:f>IF(OR($D130="",BQ$5="",'상세일정'!AM130="제외"),"",IF($D130=$E130,IF(AND($D130&gt;=BQ$5,$D130&lt;BQ$5+7),"◆",""),IF(AND($D130&lt;BQ$5+7,$E130&gt;BQ$5),"■","")))</x:f>
      </x:c>
      <x:c r="BR130" s="7" t="str">
        <x:f>IF(OR($D130="",BR$5="",'상세일정'!AM130="제외"),"",IF($D130=$E130,IF(AND($D130&gt;=BR$5,$D130&lt;BR$5+7),"◆",""),IF(AND($D130&lt;BR$5+7,$E130&gt;BR$5),"■","")))</x:f>
      </x:c>
      <x:c r="BS130" s="7" t="str">
        <x:f>IF(OR($D130="",BS$5="",'상세일정'!AM130="제외"),"",IF($D130=$E130,IF(AND($D130&gt;=BS$5,$D130&lt;BS$5+7),"◆",""),IF(AND($D130&lt;BS$5+7,$E130&gt;BS$5),"■","")))</x:f>
      </x:c>
      <x:c r="BT130" s="7" t="str">
        <x:f>IF(OR($D130="",BT$5="",'상세일정'!AM130="제외"),"",IF($D130=$E130,IF(AND($D130&gt;=BT$5,$D130&lt;BT$5+7),"◆",""),IF(AND($D130&lt;BT$5+7,$E130&gt;BT$5),"■","")))</x:f>
      </x:c>
      <x:c r="BU130" s="7" t="str">
        <x:f>IF(OR($D130="",BU$5="",'상세일정'!AM130="제외"),"",IF($D130=$E130,IF(AND($D130&gt;=BU$5,$D130&lt;BU$5+7),"◆",""),IF(AND($D130&lt;BU$5+7,$E130&gt;BU$5),"■","")))</x:f>
      </x:c>
      <x:c r="BV130" s="7" t="str">
        <x:f>IF(OR($D130="",BV$5="",'상세일정'!AM130="제외"),"",IF($D130=$E130,IF(AND($D130&gt;=BV$5,$D130&lt;BV$5+7),"◆",""),IF(AND($D130&lt;BV$5+7,$E130&gt;BV$5),"■","")))</x:f>
      </x:c>
      <x:c r="BW130" s="7" t="str">
        <x:f>IF(OR($D130="",BW$5="",'상세일정'!AM130="제외"),"",IF($D130=$E130,IF(AND($D130&gt;=BW$5,$D130&lt;BW$5+7),"◆",""),IF(AND($D130&lt;BW$5+7,$E130&gt;BW$5),"■","")))</x:f>
      </x:c>
      <x:c r="BX130" s="7" t="str">
        <x:f>IF(OR($D130="",BX$5="",'상세일정'!AM130="제외"),"",IF($D130=$E130,IF(AND($D130&gt;=BX$5,$D130&lt;BX$5+7),"◆",""),IF(AND($D130&lt;BX$5+7,$E130&gt;BX$5),"■","")))</x:f>
      </x:c>
      <x:c r="BY130" s="7" t="str">
        <x:f>IF(OR($D130="",BY$5="",'상세일정'!AM130="제외"),"",IF($D130=$E130,IF(AND($D130&gt;=BY$5,$D130&lt;BY$5+7),"◆",""),IF(AND($D130&lt;BY$5+7,$E130&gt;BY$5),"■","")))</x:f>
      </x:c>
      <x:c r="BZ130" s="7" t="str">
        <x:f>IF(OR($D130="",BZ$5="",'상세일정'!AM130="제외"),"",IF($D130=$E130,IF(AND($D130&gt;=BZ$5,$D130&lt;BZ$5+7),"◆",""),IF(AND($D130&lt;BZ$5+7,$E130&gt;BZ$5),"■","")))</x:f>
      </x:c>
      <x:c r="CA130" s="7" t="str">
        <x:f>IF(OR($D130="",CA$5="",'상세일정'!AM130="제외"),"",IF($D130=$E130,IF(AND($D130&gt;=CA$5,$D130&lt;CA$5+7),"◆",""),IF(AND($D130&lt;CA$5+7,$E130&gt;CA$5),"■","")))</x:f>
      </x:c>
      <x:c r="CB130" s="7" t="str">
        <x:f>IF(OR($D130="",CB$5="",'상세일정'!AM130="제외"),"",IF($D130=$E130,IF(AND($D130&gt;=CB$5,$D130&lt;CB$5+7),"◆",""),IF(AND($D130&lt;CB$5+7,$E130&gt;CB$5),"■","")))</x:f>
      </x:c>
      <x:c r="CC130" s="7" t="str">
        <x:f>IF(OR($D130="",CC$5="",'상세일정'!AM130="제외"),"",IF($D130=$E130,IF(AND($D130&gt;=CC$5,$D130&lt;CC$5+7),"◆",""),IF(AND($D130&lt;CC$5+7,$E130&gt;CC$5),"■","")))</x:f>
      </x:c>
      <x:c r="CD130" s="7" t="str">
        <x:f>IF(OR($D130="",CD$5="",'상세일정'!AM130="제외"),"",IF($D130=$E130,IF(AND($D130&gt;=CD$5,$D130&lt;CD$5+7),"◆",""),IF(AND($D130&lt;CD$5+7,$E130&gt;CD$5),"■","")))</x:f>
      </x:c>
      <x:c r="CE130" s="7" t="str">
        <x:f>IF(OR($D130="",CE$5="",'상세일정'!AM130="제외"),"",IF($D130=$E130,IF(AND($D130&gt;=CE$5,$D130&lt;CE$5+7),"◆",""),IF(AND($D130&lt;CE$5+7,$E130&gt;CE$5),"■","")))</x:f>
      </x:c>
      <x:c r="CF130" s="7" t="str">
        <x:f>IF(OR($D130="",CF$5="",'상세일정'!AM130="제외"),"",IF($D130=$E130,IF(AND($D130&gt;=CF$5,$D130&lt;CF$5+7),"◆",""),IF(AND($D130&lt;CF$5+7,$E130&gt;CF$5),"■","")))</x:f>
      </x:c>
      <x:c r="CG130" s="7" t="str">
        <x:f>IF(OR($D130="",CG$5="",'상세일정'!AM130="제외"),"",IF($D130=$E130,IF(AND($D130&gt;=CG$5,$D130&lt;CG$5+7),"◆",""),IF(AND($D130&lt;CG$5+7,$E130&gt;CG$5),"■","")))</x:f>
      </x:c>
      <x:c r="CH130" s="7" t="str">
        <x:f>IF(OR($D130="",CH$5="",'상세일정'!AM130="제외"),"",IF($D130=$E130,IF(AND($D130&gt;=CH$5,$D130&lt;CH$5+7),"◆",""),IF(AND($D130&lt;CH$5+7,$E130&gt;CH$5),"■","")))</x:f>
      </x:c>
      <x:c r="CI130" s="7" t="str">
        <x:f>IF(OR($D130="",CI$5="",'상세일정'!AM130="제외"),"",IF($D130=$E130,IF(AND($D130&gt;=CI$5,$D130&lt;CI$5+7),"◆",""),IF(AND($D130&lt;CI$5+7,$E130&gt;CI$5),"■","")))</x:f>
      </x:c>
      <x:c r="CJ130" s="7" t="str">
        <x:f>IF(OR($D130="",CJ$5="",'상세일정'!AM130="제외"),"",IF($D130=$E130,IF(AND($D130&gt;=CJ$5,$D130&lt;CJ$5+7),"◆",""),IF(AND($D130&lt;CJ$5+7,$E130&gt;CJ$5),"■","")))</x:f>
      </x:c>
      <x:c r="CK130" s="7" t="str">
        <x:f>IF(OR($D130="",CK$5="",'상세일정'!AM130="제외"),"",IF($D130=$E130,IF(AND($D130&gt;=CK$5,$D130&lt;CK$5+7),"◆",""),IF(AND($D130&lt;CK$5+7,$E130&gt;CK$5),"■","")))</x:f>
      </x:c>
      <x:c r="CL130" s="7" t="str">
        <x:f>IF(OR($D130="",CL$5="",'상세일정'!AM130="제외"),"",IF($D130=$E130,IF(AND($D130&gt;=CL$5,$D130&lt;CL$5+7),"◆",""),IF(AND($D130&lt;CL$5+7,$E130&gt;CL$5),"■","")))</x:f>
      </x:c>
      <x:c r="CM130" s="7" t="str">
        <x:f>IF(OR($D130="",CM$5="",'상세일정'!AM130="제외"),"",IF($D130=$E130,IF(AND($D130&gt;=CM$5,$D130&lt;CM$5+7),"◆",""),IF(AND($D130&lt;CM$5+7,$E130&gt;CM$5),"■","")))</x:f>
      </x:c>
      <x:c r="CN130" s="7" t="str">
        <x:f>IF(OR($D130="",CN$5="",'상세일정'!AM130="제외"),"",IF($D130=$E130,IF(AND($D130&gt;=CN$5,$D130&lt;CN$5+7),"◆",""),IF(AND($D130&lt;CN$5+7,$E130&gt;CN$5),"■","")))</x:f>
      </x:c>
      <x:c r="CO130" s="7" t="str">
        <x:f>IF(OR($D130="",CO$5="",'상세일정'!AM130="제외"),"",IF($D130=$E130,IF(AND($D130&gt;=CO$5,$D130&lt;CO$5+7),"◆",""),IF(AND($D130&lt;CO$5+7,$E130&gt;CO$5),"■","")))</x:f>
      </x:c>
      <x:c r="CP130" s="7" t="str">
        <x:f>IF(OR($D130="",CP$5="",'상세일정'!AM130="제외"),"",IF($D130=$E130,IF(AND($D130&gt;=CP$5,$D130&lt;CP$5+7),"◆",""),IF(AND($D130&lt;CP$5+7,$E130&gt;CP$5),"■","")))</x:f>
      </x:c>
      <x:c r="CQ130" s="7" t="str">
        <x:f>IF(OR($D130="",CQ$5="",'상세일정'!AM130="제외"),"",IF($D130=$E130,IF(AND($D130&gt;=CQ$5,$D130&lt;CQ$5+7),"◆",""),IF(AND($D130&lt;CQ$5+7,$E130&gt;CQ$5),"■","")))</x:f>
      </x:c>
      <x:c r="CR130" s="7" t="str">
        <x:f>IF(OR($D130="",CR$5="",'상세일정'!AM130="제외"),"",IF($D130=$E130,IF(AND($D130&gt;=CR$5,$D130&lt;CR$5+7),"◆",""),IF(AND($D130&lt;CR$5+7,$E130&gt;CR$5),"■","")))</x:f>
      </x:c>
      <x:c r="CS130" s="7" t="str">
        <x:f>IF(OR($D130="",CS$5="",'상세일정'!AM130="제외"),"",IF($D130=$E130,IF(AND($D130&gt;=CS$5,$D130&lt;CS$5+7),"◆",""),IF(AND($D130&lt;CS$5+7,$E130&gt;CS$5),"■","")))</x:f>
      </x:c>
      <x:c r="CT130" s="7" t="str">
        <x:f>IF(OR($D130="",CT$5="",'상세일정'!AM130="제외"),"",IF($D130=$E130,IF(AND($D130&gt;=CT$5,$D130&lt;CT$5+7),"◆",""),IF(AND($D130&lt;CT$5+7,$E130&gt;CT$5),"■","")))</x:f>
      </x:c>
      <x:c r="CU130" s="7" t="str">
        <x:f>IF(OR($D130="",CU$5="",'상세일정'!AM130="제외"),"",IF($D130=$E130,IF(AND($D130&gt;=CU$5,$D130&lt;CU$5+7),"◆",""),IF(AND($D130&lt;CU$5+7,$E130&gt;CU$5),"■","")))</x:f>
      </x:c>
      <x:c r="CV130" s="7" t="str">
        <x:f>IF(OR($D130="",CV$5="",'상세일정'!AM130="제외"),"",IF($D130=$E130,IF(AND($D130&gt;=CV$5,$D130&lt;CV$5+7),"◆",""),IF(AND($D130&lt;CV$5+7,$E130&gt;CV$5),"■","")))</x:f>
      </x:c>
      <x:c r="CW130" s="7" t="str">
        <x:f>IF(OR($D130="",CW$5="",'상세일정'!AM130="제외"),"",IF($D130=$E130,IF(AND($D130&gt;=CW$5,$D130&lt;CW$5+7),"◆",""),IF(AND($D130&lt;CW$5+7,$E130&gt;CW$5),"■","")))</x:f>
      </x:c>
      <x:c r="CX130" s="7" t="str">
        <x:f>IF(OR($D130="",CX$5="",'상세일정'!AM130="제외"),"",IF($D130=$E130,IF(AND($D130&gt;=CX$5,$D130&lt;CX$5+7),"◆",""),IF(AND($D130&lt;CX$5+7,$E130&gt;CX$5),"■","")))</x:f>
      </x:c>
      <x:c r="CY130" s="7" t="str">
        <x:f>IF(OR($D130="",CY$5="",'상세일정'!AM130="제외"),"",IF($D130=$E130,IF(AND($D130&gt;=CY$5,$D130&lt;CY$5+7),"◆",""),IF(AND($D130&lt;CY$5+7,$E130&gt;CY$5),"■","")))</x:f>
      </x:c>
      <x:c r="CZ130" s="7" t="str">
        <x:f>IF(OR($D130="",CZ$5="",'상세일정'!AM130="제외"),"",IF($D130=$E130,IF(AND($D130&gt;=CZ$5,$D130&lt;CZ$5+7),"◆",""),IF(AND($D130&lt;CZ$5+7,$E130&gt;CZ$5),"■","")))</x:f>
      </x:c>
      <x:c r="DA130" s="7" t="str">
        <x:f>IF(OR($D130="",DA$5="",'상세일정'!AM130="제외"),"",IF($D130=$E130,IF(AND($D130&gt;=DA$5,$D130&lt;DA$5+7),"◆",""),IF(AND($D130&lt;DA$5+7,$E130&gt;DA$5),"■","")))</x:f>
      </x:c>
      <x:c r="DB130" s="7" t="str">
        <x:f>IF(OR($D130="",DB$5="",'상세일정'!AM130="제외"),"",IF($D130=$E130,IF(AND($D130&gt;=DB$5,$D130&lt;DB$5+7),"◆",""),IF(AND($D130&lt;DB$5+7,$E130&gt;DB$5),"■","")))</x:f>
      </x:c>
      <x:c r="DC130" s="7" t="str">
        <x:f>IF(OR($D130="",DC$5="",'상세일정'!AM130="제외"),"",IF($D130=$E130,IF(AND($D130&gt;=DC$5,$D130&lt;DC$5+7),"◆",""),IF(AND($D130&lt;DC$5+7,$E130&gt;DC$5),"■","")))</x:f>
      </x:c>
      <x:c r="DD130" s="7" t="str">
        <x:f>IF(OR($D130="",DD$5="",'상세일정'!AM130="제외"),"",IF($D130=$E130,IF(AND($D130&gt;=DD$5,$D130&lt;DD$5+7),"◆",""),IF(AND($D130&lt;DD$5+7,$E130&gt;DD$5),"■","")))</x:f>
      </x:c>
      <x:c r="DE130" s="7" t="str">
        <x:f>IF(OR($D130="",DE$5="",'상세일정'!AM130="제외"),"",IF($D130=$E130,IF(AND($D130&gt;=DE$5,$D130&lt;DE$5+7),"◆",""),IF(AND($D130&lt;DE$5+7,$E130&gt;DE$5),"■","")))</x:f>
      </x:c>
    </x:row>
    <x:row r="131" ht="34" customHeight="1">
      <x:c r="A131" s="7" t="str">
        <x:v>TK03</x:v>
      </x:c>
      <x:c r="B131" s="7" t="str">
        <x:v>16 기자재 구매·제작</x:v>
      </x:c>
      <x:c r="C131" s="7" t="str">
        <x:v>저장용기·버퍼탱크 제작도·ITP 승인</x:v>
      </x:c>
      <x:c r="D131" s="10" t="str">
        <x:f>'상세일정'!AJ131</x:f>
      </x:c>
      <x:c r="E131" s="10" t="str">
        <x:f>'상세일정'!AK131</x:f>
      </x:c>
      <x:c r="F131" s="7" t="str">
        <x:f>IF(OR($D131="",F$5="",'상세일정'!AM131="제외"),"",IF($D131=$E131,IF(AND($D131&gt;=F$5,$D131&lt;F$5+7),"◆",""),IF(AND($D131&lt;F$5+7,$E131&gt;F$5),"■","")))</x:f>
      </x:c>
      <x:c r="G131" s="7" t="str">
        <x:f>IF(OR($D131="",G$5="",'상세일정'!AM131="제외"),"",IF($D131=$E131,IF(AND($D131&gt;=G$5,$D131&lt;G$5+7),"◆",""),IF(AND($D131&lt;G$5+7,$E131&gt;G$5),"■","")))</x:f>
      </x:c>
      <x:c r="H131" s="7" t="str">
        <x:f>IF(OR($D131="",H$5="",'상세일정'!AM131="제외"),"",IF($D131=$E131,IF(AND($D131&gt;=H$5,$D131&lt;H$5+7),"◆",""),IF(AND($D131&lt;H$5+7,$E131&gt;H$5),"■","")))</x:f>
      </x:c>
      <x:c r="I131" s="7" t="str">
        <x:f>IF(OR($D131="",I$5="",'상세일정'!AM131="제외"),"",IF($D131=$E131,IF(AND($D131&gt;=I$5,$D131&lt;I$5+7),"◆",""),IF(AND($D131&lt;I$5+7,$E131&gt;I$5),"■","")))</x:f>
      </x:c>
      <x:c r="J131" s="7" t="str">
        <x:f>IF(OR($D131="",J$5="",'상세일정'!AM131="제외"),"",IF($D131=$E131,IF(AND($D131&gt;=J$5,$D131&lt;J$5+7),"◆",""),IF(AND($D131&lt;J$5+7,$E131&gt;J$5),"■","")))</x:f>
      </x:c>
      <x:c r="K131" s="7" t="str">
        <x:f>IF(OR($D131="",K$5="",'상세일정'!AM131="제외"),"",IF($D131=$E131,IF(AND($D131&gt;=K$5,$D131&lt;K$5+7),"◆",""),IF(AND($D131&lt;K$5+7,$E131&gt;K$5),"■","")))</x:f>
      </x:c>
      <x:c r="L131" s="7" t="str">
        <x:f>IF(OR($D131="",L$5="",'상세일정'!AM131="제외"),"",IF($D131=$E131,IF(AND($D131&gt;=L$5,$D131&lt;L$5+7),"◆",""),IF(AND($D131&lt;L$5+7,$E131&gt;L$5),"■","")))</x:f>
      </x:c>
      <x:c r="M131" s="7" t="str">
        <x:f>IF(OR($D131="",M$5="",'상세일정'!AM131="제외"),"",IF($D131=$E131,IF(AND($D131&gt;=M$5,$D131&lt;M$5+7),"◆",""),IF(AND($D131&lt;M$5+7,$E131&gt;M$5),"■","")))</x:f>
      </x:c>
      <x:c r="N131" s="7" t="str">
        <x:f>IF(OR($D131="",N$5="",'상세일정'!AM131="제외"),"",IF($D131=$E131,IF(AND($D131&gt;=N$5,$D131&lt;N$5+7),"◆",""),IF(AND($D131&lt;N$5+7,$E131&gt;N$5),"■","")))</x:f>
      </x:c>
      <x:c r="O131" s="7" t="str">
        <x:f>IF(OR($D131="",O$5="",'상세일정'!AM131="제외"),"",IF($D131=$E131,IF(AND($D131&gt;=O$5,$D131&lt;O$5+7),"◆",""),IF(AND($D131&lt;O$5+7,$E131&gt;O$5),"■","")))</x:f>
      </x:c>
      <x:c r="P131" s="7" t="str">
        <x:f>IF(OR($D131="",P$5="",'상세일정'!AM131="제외"),"",IF($D131=$E131,IF(AND($D131&gt;=P$5,$D131&lt;P$5+7),"◆",""),IF(AND($D131&lt;P$5+7,$E131&gt;P$5),"■","")))</x:f>
      </x:c>
      <x:c r="Q131" s="7" t="str">
        <x:f>IF(OR($D131="",Q$5="",'상세일정'!AM131="제외"),"",IF($D131=$E131,IF(AND($D131&gt;=Q$5,$D131&lt;Q$5+7),"◆",""),IF(AND($D131&lt;Q$5+7,$E131&gt;Q$5),"■","")))</x:f>
      </x:c>
      <x:c r="R131" s="7" t="str">
        <x:f>IF(OR($D131="",R$5="",'상세일정'!AM131="제외"),"",IF($D131=$E131,IF(AND($D131&gt;=R$5,$D131&lt;R$5+7),"◆",""),IF(AND($D131&lt;R$5+7,$E131&gt;R$5),"■","")))</x:f>
      </x:c>
      <x:c r="S131" s="7" t="str">
        <x:f>IF(OR($D131="",S$5="",'상세일정'!AM131="제외"),"",IF($D131=$E131,IF(AND($D131&gt;=S$5,$D131&lt;S$5+7),"◆",""),IF(AND($D131&lt;S$5+7,$E131&gt;S$5),"■","")))</x:f>
      </x:c>
      <x:c r="T131" s="7" t="str">
        <x:f>IF(OR($D131="",T$5="",'상세일정'!AM131="제외"),"",IF($D131=$E131,IF(AND($D131&gt;=T$5,$D131&lt;T$5+7),"◆",""),IF(AND($D131&lt;T$5+7,$E131&gt;T$5),"■","")))</x:f>
      </x:c>
      <x:c r="U131" s="7" t="str">
        <x:f>IF(OR($D131="",U$5="",'상세일정'!AM131="제외"),"",IF($D131=$E131,IF(AND($D131&gt;=U$5,$D131&lt;U$5+7),"◆",""),IF(AND($D131&lt;U$5+7,$E131&gt;U$5),"■","")))</x:f>
      </x:c>
      <x:c r="V131" s="7" t="str">
        <x:f>IF(OR($D131="",V$5="",'상세일정'!AM131="제외"),"",IF($D131=$E131,IF(AND($D131&gt;=V$5,$D131&lt;V$5+7),"◆",""),IF(AND($D131&lt;V$5+7,$E131&gt;V$5),"■","")))</x:f>
      </x:c>
      <x:c r="W131" s="7" t="str">
        <x:f>IF(OR($D131="",W$5="",'상세일정'!AM131="제외"),"",IF($D131=$E131,IF(AND($D131&gt;=W$5,$D131&lt;W$5+7),"◆",""),IF(AND($D131&lt;W$5+7,$E131&gt;W$5),"■","")))</x:f>
      </x:c>
      <x:c r="X131" s="7" t="str">
        <x:f>IF(OR($D131="",X$5="",'상세일정'!AM131="제외"),"",IF($D131=$E131,IF(AND($D131&gt;=X$5,$D131&lt;X$5+7),"◆",""),IF(AND($D131&lt;X$5+7,$E131&gt;X$5),"■","")))</x:f>
      </x:c>
      <x:c r="Y131" s="7" t="str">
        <x:f>IF(OR($D131="",Y$5="",'상세일정'!AM131="제외"),"",IF($D131=$E131,IF(AND($D131&gt;=Y$5,$D131&lt;Y$5+7),"◆",""),IF(AND($D131&lt;Y$5+7,$E131&gt;Y$5),"■","")))</x:f>
      </x:c>
      <x:c r="Z131" s="7" t="str">
        <x:f>IF(OR($D131="",Z$5="",'상세일정'!AM131="제외"),"",IF($D131=$E131,IF(AND($D131&gt;=Z$5,$D131&lt;Z$5+7),"◆",""),IF(AND($D131&lt;Z$5+7,$E131&gt;Z$5),"■","")))</x:f>
      </x:c>
      <x:c r="AA131" s="7" t="str">
        <x:f>IF(OR($D131="",AA$5="",'상세일정'!AM131="제외"),"",IF($D131=$E131,IF(AND($D131&gt;=AA$5,$D131&lt;AA$5+7),"◆",""),IF(AND($D131&lt;AA$5+7,$E131&gt;AA$5),"■","")))</x:f>
      </x:c>
      <x:c r="AB131" s="7" t="str">
        <x:f>IF(OR($D131="",AB$5="",'상세일정'!AM131="제외"),"",IF($D131=$E131,IF(AND($D131&gt;=AB$5,$D131&lt;AB$5+7),"◆",""),IF(AND($D131&lt;AB$5+7,$E131&gt;AB$5),"■","")))</x:f>
      </x:c>
      <x:c r="AC131" s="7" t="str">
        <x:f>IF(OR($D131="",AC$5="",'상세일정'!AM131="제외"),"",IF($D131=$E131,IF(AND($D131&gt;=AC$5,$D131&lt;AC$5+7),"◆",""),IF(AND($D131&lt;AC$5+7,$E131&gt;AC$5),"■","")))</x:f>
      </x:c>
      <x:c r="AD131" s="7" t="str">
        <x:f>IF(OR($D131="",AD$5="",'상세일정'!AM131="제외"),"",IF($D131=$E131,IF(AND($D131&gt;=AD$5,$D131&lt;AD$5+7),"◆",""),IF(AND($D131&lt;AD$5+7,$E131&gt;AD$5),"■","")))</x:f>
      </x:c>
      <x:c r="AE131" s="7" t="str">
        <x:f>IF(OR($D131="",AE$5="",'상세일정'!AM131="제외"),"",IF($D131=$E131,IF(AND($D131&gt;=AE$5,$D131&lt;AE$5+7),"◆",""),IF(AND($D131&lt;AE$5+7,$E131&gt;AE$5),"■","")))</x:f>
      </x:c>
      <x:c r="AF131" s="7" t="str">
        <x:f>IF(OR($D131="",AF$5="",'상세일정'!AM131="제외"),"",IF($D131=$E131,IF(AND($D131&gt;=AF$5,$D131&lt;AF$5+7),"◆",""),IF(AND($D131&lt;AF$5+7,$E131&gt;AF$5),"■","")))</x:f>
      </x:c>
      <x:c r="AG131" s="7" t="str">
        <x:f>IF(OR($D131="",AG$5="",'상세일정'!AM131="제외"),"",IF($D131=$E131,IF(AND($D131&gt;=AG$5,$D131&lt;AG$5+7),"◆",""),IF(AND($D131&lt;AG$5+7,$E131&gt;AG$5),"■","")))</x:f>
      </x:c>
      <x:c r="AH131" s="7" t="str">
        <x:f>IF(OR($D131="",AH$5="",'상세일정'!AM131="제외"),"",IF($D131=$E131,IF(AND($D131&gt;=AH$5,$D131&lt;AH$5+7),"◆",""),IF(AND($D131&lt;AH$5+7,$E131&gt;AH$5),"■","")))</x:f>
      </x:c>
      <x:c r="AI131" s="7" t="str">
        <x:f>IF(OR($D131="",AI$5="",'상세일정'!AM131="제외"),"",IF($D131=$E131,IF(AND($D131&gt;=AI$5,$D131&lt;AI$5+7),"◆",""),IF(AND($D131&lt;AI$5+7,$E131&gt;AI$5),"■","")))</x:f>
      </x:c>
      <x:c r="AJ131" s="7" t="str">
        <x:f>IF(OR($D131="",AJ$5="",'상세일정'!AM131="제외"),"",IF($D131=$E131,IF(AND($D131&gt;=AJ$5,$D131&lt;AJ$5+7),"◆",""),IF(AND($D131&lt;AJ$5+7,$E131&gt;AJ$5),"■","")))</x:f>
      </x:c>
      <x:c r="AK131" s="7" t="str">
        <x:f>IF(OR($D131="",AK$5="",'상세일정'!AM131="제외"),"",IF($D131=$E131,IF(AND($D131&gt;=AK$5,$D131&lt;AK$5+7),"◆",""),IF(AND($D131&lt;AK$5+7,$E131&gt;AK$5),"■","")))</x:f>
      </x:c>
      <x:c r="AL131" s="7" t="str">
        <x:f>IF(OR($D131="",AL$5="",'상세일정'!AM131="제외"),"",IF($D131=$E131,IF(AND($D131&gt;=AL$5,$D131&lt;AL$5+7),"◆",""),IF(AND($D131&lt;AL$5+7,$E131&gt;AL$5),"■","")))</x:f>
      </x:c>
      <x:c r="AM131" s="7" t="str">
        <x:f>IF(OR($D131="",AM$5="",'상세일정'!AM131="제외"),"",IF($D131=$E131,IF(AND($D131&gt;=AM$5,$D131&lt;AM$5+7),"◆",""),IF(AND($D131&lt;AM$5+7,$E131&gt;AM$5),"■","")))</x:f>
      </x:c>
      <x:c r="AN131" s="7" t="str">
        <x:f>IF(OR($D131="",AN$5="",'상세일정'!AM131="제외"),"",IF($D131=$E131,IF(AND($D131&gt;=AN$5,$D131&lt;AN$5+7),"◆",""),IF(AND($D131&lt;AN$5+7,$E131&gt;AN$5),"■","")))</x:f>
      </x:c>
      <x:c r="AO131" s="7" t="str">
        <x:f>IF(OR($D131="",AO$5="",'상세일정'!AM131="제외"),"",IF($D131=$E131,IF(AND($D131&gt;=AO$5,$D131&lt;AO$5+7),"◆",""),IF(AND($D131&lt;AO$5+7,$E131&gt;AO$5),"■","")))</x:f>
      </x:c>
      <x:c r="AP131" s="7" t="str">
        <x:f>IF(OR($D131="",AP$5="",'상세일정'!AM131="제외"),"",IF($D131=$E131,IF(AND($D131&gt;=AP$5,$D131&lt;AP$5+7),"◆",""),IF(AND($D131&lt;AP$5+7,$E131&gt;AP$5),"■","")))</x:f>
      </x:c>
      <x:c r="AQ131" s="7" t="str">
        <x:f>IF(OR($D131="",AQ$5="",'상세일정'!AM131="제외"),"",IF($D131=$E131,IF(AND($D131&gt;=AQ$5,$D131&lt;AQ$5+7),"◆",""),IF(AND($D131&lt;AQ$5+7,$E131&gt;AQ$5),"■","")))</x:f>
      </x:c>
      <x:c r="AR131" s="7" t="str">
        <x:f>IF(OR($D131="",AR$5="",'상세일정'!AM131="제외"),"",IF($D131=$E131,IF(AND($D131&gt;=AR$5,$D131&lt;AR$5+7),"◆",""),IF(AND($D131&lt;AR$5+7,$E131&gt;AR$5),"■","")))</x:f>
      </x:c>
      <x:c r="AS131" s="7" t="str">
        <x:f>IF(OR($D131="",AS$5="",'상세일정'!AM131="제외"),"",IF($D131=$E131,IF(AND($D131&gt;=AS$5,$D131&lt;AS$5+7),"◆",""),IF(AND($D131&lt;AS$5+7,$E131&gt;AS$5),"■","")))</x:f>
      </x:c>
      <x:c r="AT131" s="7" t="str">
        <x:f>IF(OR($D131="",AT$5="",'상세일정'!AM131="제외"),"",IF($D131=$E131,IF(AND($D131&gt;=AT$5,$D131&lt;AT$5+7),"◆",""),IF(AND($D131&lt;AT$5+7,$E131&gt;AT$5),"■","")))</x:f>
      </x:c>
      <x:c r="AU131" s="7" t="str">
        <x:f>IF(OR($D131="",AU$5="",'상세일정'!AM131="제외"),"",IF($D131=$E131,IF(AND($D131&gt;=AU$5,$D131&lt;AU$5+7),"◆",""),IF(AND($D131&lt;AU$5+7,$E131&gt;AU$5),"■","")))</x:f>
      </x:c>
      <x:c r="AV131" s="7" t="str">
        <x:f>IF(OR($D131="",AV$5="",'상세일정'!AM131="제외"),"",IF($D131=$E131,IF(AND($D131&gt;=AV$5,$D131&lt;AV$5+7),"◆",""),IF(AND($D131&lt;AV$5+7,$E131&gt;AV$5),"■","")))</x:f>
      </x:c>
      <x:c r="AW131" s="7" t="str">
        <x:f>IF(OR($D131="",AW$5="",'상세일정'!AM131="제외"),"",IF($D131=$E131,IF(AND($D131&gt;=AW$5,$D131&lt;AW$5+7),"◆",""),IF(AND($D131&lt;AW$5+7,$E131&gt;AW$5),"■","")))</x:f>
      </x:c>
      <x:c r="AX131" s="7" t="str">
        <x:f>IF(OR($D131="",AX$5="",'상세일정'!AM131="제외"),"",IF($D131=$E131,IF(AND($D131&gt;=AX$5,$D131&lt;AX$5+7),"◆",""),IF(AND($D131&lt;AX$5+7,$E131&gt;AX$5),"■","")))</x:f>
      </x:c>
      <x:c r="AY131" s="7" t="str">
        <x:f>IF(OR($D131="",AY$5="",'상세일정'!AM131="제외"),"",IF($D131=$E131,IF(AND($D131&gt;=AY$5,$D131&lt;AY$5+7),"◆",""),IF(AND($D131&lt;AY$5+7,$E131&gt;AY$5),"■","")))</x:f>
      </x:c>
      <x:c r="AZ131" s="7" t="str">
        <x:f>IF(OR($D131="",AZ$5="",'상세일정'!AM131="제외"),"",IF($D131=$E131,IF(AND($D131&gt;=AZ$5,$D131&lt;AZ$5+7),"◆",""),IF(AND($D131&lt;AZ$5+7,$E131&gt;AZ$5),"■","")))</x:f>
      </x:c>
      <x:c r="BA131" s="7" t="str">
        <x:f>IF(OR($D131="",BA$5="",'상세일정'!AM131="제외"),"",IF($D131=$E131,IF(AND($D131&gt;=BA$5,$D131&lt;BA$5+7),"◆",""),IF(AND($D131&lt;BA$5+7,$E131&gt;BA$5),"■","")))</x:f>
      </x:c>
      <x:c r="BB131" s="7" t="str">
        <x:f>IF(OR($D131="",BB$5="",'상세일정'!AM131="제외"),"",IF($D131=$E131,IF(AND($D131&gt;=BB$5,$D131&lt;BB$5+7),"◆",""),IF(AND($D131&lt;BB$5+7,$E131&gt;BB$5),"■","")))</x:f>
      </x:c>
      <x:c r="BC131" s="7" t="str">
        <x:f>IF(OR($D131="",BC$5="",'상세일정'!AM131="제외"),"",IF($D131=$E131,IF(AND($D131&gt;=BC$5,$D131&lt;BC$5+7),"◆",""),IF(AND($D131&lt;BC$5+7,$E131&gt;BC$5),"■","")))</x:f>
      </x:c>
      <x:c r="BD131" s="7" t="str">
        <x:f>IF(OR($D131="",BD$5="",'상세일정'!AM131="제외"),"",IF($D131=$E131,IF(AND($D131&gt;=BD$5,$D131&lt;BD$5+7),"◆",""),IF(AND($D131&lt;BD$5+7,$E131&gt;BD$5),"■","")))</x:f>
      </x:c>
      <x:c r="BE131" s="7" t="str">
        <x:f>IF(OR($D131="",BE$5="",'상세일정'!AM131="제외"),"",IF($D131=$E131,IF(AND($D131&gt;=BE$5,$D131&lt;BE$5+7),"◆",""),IF(AND($D131&lt;BE$5+7,$E131&gt;BE$5),"■","")))</x:f>
      </x:c>
      <x:c r="BF131" s="7" t="str">
        <x:f>IF(OR($D131="",BF$5="",'상세일정'!AM131="제외"),"",IF($D131=$E131,IF(AND($D131&gt;=BF$5,$D131&lt;BF$5+7),"◆",""),IF(AND($D131&lt;BF$5+7,$E131&gt;BF$5),"■","")))</x:f>
      </x:c>
      <x:c r="BG131" s="7" t="str">
        <x:f>IF(OR($D131="",BG$5="",'상세일정'!AM131="제외"),"",IF($D131=$E131,IF(AND($D131&gt;=BG$5,$D131&lt;BG$5+7),"◆",""),IF(AND($D131&lt;BG$5+7,$E131&gt;BG$5),"■","")))</x:f>
      </x:c>
      <x:c r="BH131" s="7" t="str">
        <x:f>IF(OR($D131="",BH$5="",'상세일정'!AM131="제외"),"",IF($D131=$E131,IF(AND($D131&gt;=BH$5,$D131&lt;BH$5+7),"◆",""),IF(AND($D131&lt;BH$5+7,$E131&gt;BH$5),"■","")))</x:f>
      </x:c>
      <x:c r="BI131" s="7" t="str">
        <x:f>IF(OR($D131="",BI$5="",'상세일정'!AM131="제외"),"",IF($D131=$E131,IF(AND($D131&gt;=BI$5,$D131&lt;BI$5+7),"◆",""),IF(AND($D131&lt;BI$5+7,$E131&gt;BI$5),"■","")))</x:f>
      </x:c>
      <x:c r="BJ131" s="7" t="str">
        <x:f>IF(OR($D131="",BJ$5="",'상세일정'!AM131="제외"),"",IF($D131=$E131,IF(AND($D131&gt;=BJ$5,$D131&lt;BJ$5+7),"◆",""),IF(AND($D131&lt;BJ$5+7,$E131&gt;BJ$5),"■","")))</x:f>
      </x:c>
      <x:c r="BK131" s="7" t="str">
        <x:f>IF(OR($D131="",BK$5="",'상세일정'!AM131="제외"),"",IF($D131=$E131,IF(AND($D131&gt;=BK$5,$D131&lt;BK$5+7),"◆",""),IF(AND($D131&lt;BK$5+7,$E131&gt;BK$5),"■","")))</x:f>
      </x:c>
      <x:c r="BL131" s="7" t="str">
        <x:f>IF(OR($D131="",BL$5="",'상세일정'!AM131="제외"),"",IF($D131=$E131,IF(AND($D131&gt;=BL$5,$D131&lt;BL$5+7),"◆",""),IF(AND($D131&lt;BL$5+7,$E131&gt;BL$5),"■","")))</x:f>
      </x:c>
      <x:c r="BM131" s="7" t="str">
        <x:f>IF(OR($D131="",BM$5="",'상세일정'!AM131="제외"),"",IF($D131=$E131,IF(AND($D131&gt;=BM$5,$D131&lt;BM$5+7),"◆",""),IF(AND($D131&lt;BM$5+7,$E131&gt;BM$5),"■","")))</x:f>
      </x:c>
      <x:c r="BN131" s="7" t="str">
        <x:f>IF(OR($D131="",BN$5="",'상세일정'!AM131="제외"),"",IF($D131=$E131,IF(AND($D131&gt;=BN$5,$D131&lt;BN$5+7),"◆",""),IF(AND($D131&lt;BN$5+7,$E131&gt;BN$5),"■","")))</x:f>
      </x:c>
      <x:c r="BO131" s="7" t="str">
        <x:f>IF(OR($D131="",BO$5="",'상세일정'!AM131="제외"),"",IF($D131=$E131,IF(AND($D131&gt;=BO$5,$D131&lt;BO$5+7),"◆",""),IF(AND($D131&lt;BO$5+7,$E131&gt;BO$5),"■","")))</x:f>
      </x:c>
      <x:c r="BP131" s="7" t="str">
        <x:f>IF(OR($D131="",BP$5="",'상세일정'!AM131="제외"),"",IF($D131=$E131,IF(AND($D131&gt;=BP$5,$D131&lt;BP$5+7),"◆",""),IF(AND($D131&lt;BP$5+7,$E131&gt;BP$5),"■","")))</x:f>
      </x:c>
      <x:c r="BQ131" s="7" t="str">
        <x:f>IF(OR($D131="",BQ$5="",'상세일정'!AM131="제외"),"",IF($D131=$E131,IF(AND($D131&gt;=BQ$5,$D131&lt;BQ$5+7),"◆",""),IF(AND($D131&lt;BQ$5+7,$E131&gt;BQ$5),"■","")))</x:f>
      </x:c>
      <x:c r="BR131" s="7" t="str">
        <x:f>IF(OR($D131="",BR$5="",'상세일정'!AM131="제외"),"",IF($D131=$E131,IF(AND($D131&gt;=BR$5,$D131&lt;BR$5+7),"◆",""),IF(AND($D131&lt;BR$5+7,$E131&gt;BR$5),"■","")))</x:f>
      </x:c>
      <x:c r="BS131" s="7" t="str">
        <x:f>IF(OR($D131="",BS$5="",'상세일정'!AM131="제외"),"",IF($D131=$E131,IF(AND($D131&gt;=BS$5,$D131&lt;BS$5+7),"◆",""),IF(AND($D131&lt;BS$5+7,$E131&gt;BS$5),"■","")))</x:f>
      </x:c>
      <x:c r="BT131" s="7" t="str">
        <x:f>IF(OR($D131="",BT$5="",'상세일정'!AM131="제외"),"",IF($D131=$E131,IF(AND($D131&gt;=BT$5,$D131&lt;BT$5+7),"◆",""),IF(AND($D131&lt;BT$5+7,$E131&gt;BT$5),"■","")))</x:f>
      </x:c>
      <x:c r="BU131" s="7" t="str">
        <x:f>IF(OR($D131="",BU$5="",'상세일정'!AM131="제외"),"",IF($D131=$E131,IF(AND($D131&gt;=BU$5,$D131&lt;BU$5+7),"◆",""),IF(AND($D131&lt;BU$5+7,$E131&gt;BU$5),"■","")))</x:f>
      </x:c>
      <x:c r="BV131" s="7" t="str">
        <x:f>IF(OR($D131="",BV$5="",'상세일정'!AM131="제외"),"",IF($D131=$E131,IF(AND($D131&gt;=BV$5,$D131&lt;BV$5+7),"◆",""),IF(AND($D131&lt;BV$5+7,$E131&gt;BV$5),"■","")))</x:f>
      </x:c>
      <x:c r="BW131" s="7" t="str">
        <x:f>IF(OR($D131="",BW$5="",'상세일정'!AM131="제외"),"",IF($D131=$E131,IF(AND($D131&gt;=BW$5,$D131&lt;BW$5+7),"◆",""),IF(AND($D131&lt;BW$5+7,$E131&gt;BW$5),"■","")))</x:f>
      </x:c>
      <x:c r="BX131" s="7" t="str">
        <x:f>IF(OR($D131="",BX$5="",'상세일정'!AM131="제외"),"",IF($D131=$E131,IF(AND($D131&gt;=BX$5,$D131&lt;BX$5+7),"◆",""),IF(AND($D131&lt;BX$5+7,$E131&gt;BX$5),"■","")))</x:f>
      </x:c>
      <x:c r="BY131" s="7" t="str">
        <x:f>IF(OR($D131="",BY$5="",'상세일정'!AM131="제외"),"",IF($D131=$E131,IF(AND($D131&gt;=BY$5,$D131&lt;BY$5+7),"◆",""),IF(AND($D131&lt;BY$5+7,$E131&gt;BY$5),"■","")))</x:f>
      </x:c>
      <x:c r="BZ131" s="7" t="str">
        <x:f>IF(OR($D131="",BZ$5="",'상세일정'!AM131="제외"),"",IF($D131=$E131,IF(AND($D131&gt;=BZ$5,$D131&lt;BZ$5+7),"◆",""),IF(AND($D131&lt;BZ$5+7,$E131&gt;BZ$5),"■","")))</x:f>
      </x:c>
      <x:c r="CA131" s="7" t="str">
        <x:f>IF(OR($D131="",CA$5="",'상세일정'!AM131="제외"),"",IF($D131=$E131,IF(AND($D131&gt;=CA$5,$D131&lt;CA$5+7),"◆",""),IF(AND($D131&lt;CA$5+7,$E131&gt;CA$5),"■","")))</x:f>
      </x:c>
      <x:c r="CB131" s="7" t="str">
        <x:f>IF(OR($D131="",CB$5="",'상세일정'!AM131="제외"),"",IF($D131=$E131,IF(AND($D131&gt;=CB$5,$D131&lt;CB$5+7),"◆",""),IF(AND($D131&lt;CB$5+7,$E131&gt;CB$5),"■","")))</x:f>
      </x:c>
      <x:c r="CC131" s="7" t="str">
        <x:f>IF(OR($D131="",CC$5="",'상세일정'!AM131="제외"),"",IF($D131=$E131,IF(AND($D131&gt;=CC$5,$D131&lt;CC$5+7),"◆",""),IF(AND($D131&lt;CC$5+7,$E131&gt;CC$5),"■","")))</x:f>
      </x:c>
      <x:c r="CD131" s="7" t="str">
        <x:f>IF(OR($D131="",CD$5="",'상세일정'!AM131="제외"),"",IF($D131=$E131,IF(AND($D131&gt;=CD$5,$D131&lt;CD$5+7),"◆",""),IF(AND($D131&lt;CD$5+7,$E131&gt;CD$5),"■","")))</x:f>
      </x:c>
      <x:c r="CE131" s="7" t="str">
        <x:f>IF(OR($D131="",CE$5="",'상세일정'!AM131="제외"),"",IF($D131=$E131,IF(AND($D131&gt;=CE$5,$D131&lt;CE$5+7),"◆",""),IF(AND($D131&lt;CE$5+7,$E131&gt;CE$5),"■","")))</x:f>
      </x:c>
      <x:c r="CF131" s="7" t="str">
        <x:f>IF(OR($D131="",CF$5="",'상세일정'!AM131="제외"),"",IF($D131=$E131,IF(AND($D131&gt;=CF$5,$D131&lt;CF$5+7),"◆",""),IF(AND($D131&lt;CF$5+7,$E131&gt;CF$5),"■","")))</x:f>
      </x:c>
      <x:c r="CG131" s="7" t="str">
        <x:f>IF(OR($D131="",CG$5="",'상세일정'!AM131="제외"),"",IF($D131=$E131,IF(AND($D131&gt;=CG$5,$D131&lt;CG$5+7),"◆",""),IF(AND($D131&lt;CG$5+7,$E131&gt;CG$5),"■","")))</x:f>
      </x:c>
      <x:c r="CH131" s="7" t="str">
        <x:f>IF(OR($D131="",CH$5="",'상세일정'!AM131="제외"),"",IF($D131=$E131,IF(AND($D131&gt;=CH$5,$D131&lt;CH$5+7),"◆",""),IF(AND($D131&lt;CH$5+7,$E131&gt;CH$5),"■","")))</x:f>
      </x:c>
      <x:c r="CI131" s="7" t="str">
        <x:f>IF(OR($D131="",CI$5="",'상세일정'!AM131="제외"),"",IF($D131=$E131,IF(AND($D131&gt;=CI$5,$D131&lt;CI$5+7),"◆",""),IF(AND($D131&lt;CI$5+7,$E131&gt;CI$5),"■","")))</x:f>
      </x:c>
      <x:c r="CJ131" s="7" t="str">
        <x:f>IF(OR($D131="",CJ$5="",'상세일정'!AM131="제외"),"",IF($D131=$E131,IF(AND($D131&gt;=CJ$5,$D131&lt;CJ$5+7),"◆",""),IF(AND($D131&lt;CJ$5+7,$E131&gt;CJ$5),"■","")))</x:f>
      </x:c>
      <x:c r="CK131" s="7" t="str">
        <x:f>IF(OR($D131="",CK$5="",'상세일정'!AM131="제외"),"",IF($D131=$E131,IF(AND($D131&gt;=CK$5,$D131&lt;CK$5+7),"◆",""),IF(AND($D131&lt;CK$5+7,$E131&gt;CK$5),"■","")))</x:f>
      </x:c>
      <x:c r="CL131" s="7" t="str">
        <x:f>IF(OR($D131="",CL$5="",'상세일정'!AM131="제외"),"",IF($D131=$E131,IF(AND($D131&gt;=CL$5,$D131&lt;CL$5+7),"◆",""),IF(AND($D131&lt;CL$5+7,$E131&gt;CL$5),"■","")))</x:f>
      </x:c>
      <x:c r="CM131" s="7" t="str">
        <x:f>IF(OR($D131="",CM$5="",'상세일정'!AM131="제외"),"",IF($D131=$E131,IF(AND($D131&gt;=CM$5,$D131&lt;CM$5+7),"◆",""),IF(AND($D131&lt;CM$5+7,$E131&gt;CM$5),"■","")))</x:f>
      </x:c>
      <x:c r="CN131" s="7" t="str">
        <x:f>IF(OR($D131="",CN$5="",'상세일정'!AM131="제외"),"",IF($D131=$E131,IF(AND($D131&gt;=CN$5,$D131&lt;CN$5+7),"◆",""),IF(AND($D131&lt;CN$5+7,$E131&gt;CN$5),"■","")))</x:f>
      </x:c>
      <x:c r="CO131" s="7" t="str">
        <x:f>IF(OR($D131="",CO$5="",'상세일정'!AM131="제외"),"",IF($D131=$E131,IF(AND($D131&gt;=CO$5,$D131&lt;CO$5+7),"◆",""),IF(AND($D131&lt;CO$5+7,$E131&gt;CO$5),"■","")))</x:f>
      </x:c>
      <x:c r="CP131" s="7" t="str">
        <x:f>IF(OR($D131="",CP$5="",'상세일정'!AM131="제외"),"",IF($D131=$E131,IF(AND($D131&gt;=CP$5,$D131&lt;CP$5+7),"◆",""),IF(AND($D131&lt;CP$5+7,$E131&gt;CP$5),"■","")))</x:f>
      </x:c>
      <x:c r="CQ131" s="7" t="str">
        <x:f>IF(OR($D131="",CQ$5="",'상세일정'!AM131="제외"),"",IF($D131=$E131,IF(AND($D131&gt;=CQ$5,$D131&lt;CQ$5+7),"◆",""),IF(AND($D131&lt;CQ$5+7,$E131&gt;CQ$5),"■","")))</x:f>
      </x:c>
      <x:c r="CR131" s="7" t="str">
        <x:f>IF(OR($D131="",CR$5="",'상세일정'!AM131="제외"),"",IF($D131=$E131,IF(AND($D131&gt;=CR$5,$D131&lt;CR$5+7),"◆",""),IF(AND($D131&lt;CR$5+7,$E131&gt;CR$5),"■","")))</x:f>
      </x:c>
      <x:c r="CS131" s="7" t="str">
        <x:f>IF(OR($D131="",CS$5="",'상세일정'!AM131="제외"),"",IF($D131=$E131,IF(AND($D131&gt;=CS$5,$D131&lt;CS$5+7),"◆",""),IF(AND($D131&lt;CS$5+7,$E131&gt;CS$5),"■","")))</x:f>
      </x:c>
      <x:c r="CT131" s="7" t="str">
        <x:f>IF(OR($D131="",CT$5="",'상세일정'!AM131="제외"),"",IF($D131=$E131,IF(AND($D131&gt;=CT$5,$D131&lt;CT$5+7),"◆",""),IF(AND($D131&lt;CT$5+7,$E131&gt;CT$5),"■","")))</x:f>
      </x:c>
      <x:c r="CU131" s="7" t="str">
        <x:f>IF(OR($D131="",CU$5="",'상세일정'!AM131="제외"),"",IF($D131=$E131,IF(AND($D131&gt;=CU$5,$D131&lt;CU$5+7),"◆",""),IF(AND($D131&lt;CU$5+7,$E131&gt;CU$5),"■","")))</x:f>
      </x:c>
      <x:c r="CV131" s="7" t="str">
        <x:f>IF(OR($D131="",CV$5="",'상세일정'!AM131="제외"),"",IF($D131=$E131,IF(AND($D131&gt;=CV$5,$D131&lt;CV$5+7),"◆",""),IF(AND($D131&lt;CV$5+7,$E131&gt;CV$5),"■","")))</x:f>
      </x:c>
      <x:c r="CW131" s="7" t="str">
        <x:f>IF(OR($D131="",CW$5="",'상세일정'!AM131="제외"),"",IF($D131=$E131,IF(AND($D131&gt;=CW$5,$D131&lt;CW$5+7),"◆",""),IF(AND($D131&lt;CW$5+7,$E131&gt;CW$5),"■","")))</x:f>
      </x:c>
      <x:c r="CX131" s="7" t="str">
        <x:f>IF(OR($D131="",CX$5="",'상세일정'!AM131="제외"),"",IF($D131=$E131,IF(AND($D131&gt;=CX$5,$D131&lt;CX$5+7),"◆",""),IF(AND($D131&lt;CX$5+7,$E131&gt;CX$5),"■","")))</x:f>
      </x:c>
      <x:c r="CY131" s="7" t="str">
        <x:f>IF(OR($D131="",CY$5="",'상세일정'!AM131="제외"),"",IF($D131=$E131,IF(AND($D131&gt;=CY$5,$D131&lt;CY$5+7),"◆",""),IF(AND($D131&lt;CY$5+7,$E131&gt;CY$5),"■","")))</x:f>
      </x:c>
      <x:c r="CZ131" s="7" t="str">
        <x:f>IF(OR($D131="",CZ$5="",'상세일정'!AM131="제외"),"",IF($D131=$E131,IF(AND($D131&gt;=CZ$5,$D131&lt;CZ$5+7),"◆",""),IF(AND($D131&lt;CZ$5+7,$E131&gt;CZ$5),"■","")))</x:f>
      </x:c>
      <x:c r="DA131" s="7" t="str">
        <x:f>IF(OR($D131="",DA$5="",'상세일정'!AM131="제외"),"",IF($D131=$E131,IF(AND($D131&gt;=DA$5,$D131&lt;DA$5+7),"◆",""),IF(AND($D131&lt;DA$5+7,$E131&gt;DA$5),"■","")))</x:f>
      </x:c>
      <x:c r="DB131" s="7" t="str">
        <x:f>IF(OR($D131="",DB$5="",'상세일정'!AM131="제외"),"",IF($D131=$E131,IF(AND($D131&gt;=DB$5,$D131&lt;DB$5+7),"◆",""),IF(AND($D131&lt;DB$5+7,$E131&gt;DB$5),"■","")))</x:f>
      </x:c>
      <x:c r="DC131" s="7" t="str">
        <x:f>IF(OR($D131="",DC$5="",'상세일정'!AM131="제외"),"",IF($D131=$E131,IF(AND($D131&gt;=DC$5,$D131&lt;DC$5+7),"◆",""),IF(AND($D131&lt;DC$5+7,$E131&gt;DC$5),"■","")))</x:f>
      </x:c>
      <x:c r="DD131" s="7" t="str">
        <x:f>IF(OR($D131="",DD$5="",'상세일정'!AM131="제외"),"",IF($D131=$E131,IF(AND($D131&gt;=DD$5,$D131&lt;DD$5+7),"◆",""),IF(AND($D131&lt;DD$5+7,$E131&gt;DD$5),"■","")))</x:f>
      </x:c>
      <x:c r="DE131" s="7" t="str">
        <x:f>IF(OR($D131="",DE$5="",'상세일정'!AM131="제외"),"",IF($D131=$E131,IF(AND($D131&gt;=DE$5,$D131&lt;DE$5+7),"◆",""),IF(AND($D131&lt;DE$5+7,$E131&gt;DE$5),"■","")))</x:f>
      </x:c>
    </x:row>
    <x:row r="132" ht="34" customHeight="1">
      <x:c r="A132" s="7" t="str">
        <x:v>TK04</x:v>
      </x:c>
      <x:c r="B132" s="7" t="str">
        <x:v>16 기자재 구매·제작</x:v>
      </x:c>
      <x:c r="C132" s="7" t="str">
        <x:v>저장용기·버퍼탱크 자재조달·제작</x:v>
      </x:c>
      <x:c r="D132" s="10" t="str">
        <x:f>'상세일정'!AJ132</x:f>
      </x:c>
      <x:c r="E132" s="10" t="str">
        <x:f>'상세일정'!AK132</x:f>
      </x:c>
      <x:c r="F132" s="7" t="str">
        <x:f>IF(OR($D132="",F$5="",'상세일정'!AM132="제외"),"",IF($D132=$E132,IF(AND($D132&gt;=F$5,$D132&lt;F$5+7),"◆",""),IF(AND($D132&lt;F$5+7,$E132&gt;F$5),"■","")))</x:f>
      </x:c>
      <x:c r="G132" s="7" t="str">
        <x:f>IF(OR($D132="",G$5="",'상세일정'!AM132="제외"),"",IF($D132=$E132,IF(AND($D132&gt;=G$5,$D132&lt;G$5+7),"◆",""),IF(AND($D132&lt;G$5+7,$E132&gt;G$5),"■","")))</x:f>
      </x:c>
      <x:c r="H132" s="7" t="str">
        <x:f>IF(OR($D132="",H$5="",'상세일정'!AM132="제외"),"",IF($D132=$E132,IF(AND($D132&gt;=H$5,$D132&lt;H$5+7),"◆",""),IF(AND($D132&lt;H$5+7,$E132&gt;H$5),"■","")))</x:f>
      </x:c>
      <x:c r="I132" s="7" t="str">
        <x:f>IF(OR($D132="",I$5="",'상세일정'!AM132="제외"),"",IF($D132=$E132,IF(AND($D132&gt;=I$5,$D132&lt;I$5+7),"◆",""),IF(AND($D132&lt;I$5+7,$E132&gt;I$5),"■","")))</x:f>
      </x:c>
      <x:c r="J132" s="7" t="str">
        <x:f>IF(OR($D132="",J$5="",'상세일정'!AM132="제외"),"",IF($D132=$E132,IF(AND($D132&gt;=J$5,$D132&lt;J$5+7),"◆",""),IF(AND($D132&lt;J$5+7,$E132&gt;J$5),"■","")))</x:f>
      </x:c>
      <x:c r="K132" s="7" t="str">
        <x:f>IF(OR($D132="",K$5="",'상세일정'!AM132="제외"),"",IF($D132=$E132,IF(AND($D132&gt;=K$5,$D132&lt;K$5+7),"◆",""),IF(AND($D132&lt;K$5+7,$E132&gt;K$5),"■","")))</x:f>
      </x:c>
      <x:c r="L132" s="7" t="str">
        <x:f>IF(OR($D132="",L$5="",'상세일정'!AM132="제외"),"",IF($D132=$E132,IF(AND($D132&gt;=L$5,$D132&lt;L$5+7),"◆",""),IF(AND($D132&lt;L$5+7,$E132&gt;L$5),"■","")))</x:f>
      </x:c>
      <x:c r="M132" s="7" t="str">
        <x:f>IF(OR($D132="",M$5="",'상세일정'!AM132="제외"),"",IF($D132=$E132,IF(AND($D132&gt;=M$5,$D132&lt;M$5+7),"◆",""),IF(AND($D132&lt;M$5+7,$E132&gt;M$5),"■","")))</x:f>
      </x:c>
      <x:c r="N132" s="7" t="str">
        <x:f>IF(OR($D132="",N$5="",'상세일정'!AM132="제외"),"",IF($D132=$E132,IF(AND($D132&gt;=N$5,$D132&lt;N$5+7),"◆",""),IF(AND($D132&lt;N$5+7,$E132&gt;N$5),"■","")))</x:f>
      </x:c>
      <x:c r="O132" s="7" t="str">
        <x:f>IF(OR($D132="",O$5="",'상세일정'!AM132="제외"),"",IF($D132=$E132,IF(AND($D132&gt;=O$5,$D132&lt;O$5+7),"◆",""),IF(AND($D132&lt;O$5+7,$E132&gt;O$5),"■","")))</x:f>
      </x:c>
      <x:c r="P132" s="7" t="str">
        <x:f>IF(OR($D132="",P$5="",'상세일정'!AM132="제외"),"",IF($D132=$E132,IF(AND($D132&gt;=P$5,$D132&lt;P$5+7),"◆",""),IF(AND($D132&lt;P$5+7,$E132&gt;P$5),"■","")))</x:f>
      </x:c>
      <x:c r="Q132" s="7" t="str">
        <x:f>IF(OR($D132="",Q$5="",'상세일정'!AM132="제외"),"",IF($D132=$E132,IF(AND($D132&gt;=Q$5,$D132&lt;Q$5+7),"◆",""),IF(AND($D132&lt;Q$5+7,$E132&gt;Q$5),"■","")))</x:f>
      </x:c>
      <x:c r="R132" s="7" t="str">
        <x:f>IF(OR($D132="",R$5="",'상세일정'!AM132="제외"),"",IF($D132=$E132,IF(AND($D132&gt;=R$5,$D132&lt;R$5+7),"◆",""),IF(AND($D132&lt;R$5+7,$E132&gt;R$5),"■","")))</x:f>
      </x:c>
      <x:c r="S132" s="7" t="str">
        <x:f>IF(OR($D132="",S$5="",'상세일정'!AM132="제외"),"",IF($D132=$E132,IF(AND($D132&gt;=S$5,$D132&lt;S$5+7),"◆",""),IF(AND($D132&lt;S$5+7,$E132&gt;S$5),"■","")))</x:f>
      </x:c>
      <x:c r="T132" s="7" t="str">
        <x:f>IF(OR($D132="",T$5="",'상세일정'!AM132="제외"),"",IF($D132=$E132,IF(AND($D132&gt;=T$5,$D132&lt;T$5+7),"◆",""),IF(AND($D132&lt;T$5+7,$E132&gt;T$5),"■","")))</x:f>
      </x:c>
      <x:c r="U132" s="7" t="str">
        <x:f>IF(OR($D132="",U$5="",'상세일정'!AM132="제외"),"",IF($D132=$E132,IF(AND($D132&gt;=U$5,$D132&lt;U$5+7),"◆",""),IF(AND($D132&lt;U$5+7,$E132&gt;U$5),"■","")))</x:f>
      </x:c>
      <x:c r="V132" s="7" t="str">
        <x:f>IF(OR($D132="",V$5="",'상세일정'!AM132="제외"),"",IF($D132=$E132,IF(AND($D132&gt;=V$5,$D132&lt;V$5+7),"◆",""),IF(AND($D132&lt;V$5+7,$E132&gt;V$5),"■","")))</x:f>
      </x:c>
      <x:c r="W132" s="7" t="str">
        <x:f>IF(OR($D132="",W$5="",'상세일정'!AM132="제외"),"",IF($D132=$E132,IF(AND($D132&gt;=W$5,$D132&lt;W$5+7),"◆",""),IF(AND($D132&lt;W$5+7,$E132&gt;W$5),"■","")))</x:f>
      </x:c>
      <x:c r="X132" s="7" t="str">
        <x:f>IF(OR($D132="",X$5="",'상세일정'!AM132="제외"),"",IF($D132=$E132,IF(AND($D132&gt;=X$5,$D132&lt;X$5+7),"◆",""),IF(AND($D132&lt;X$5+7,$E132&gt;X$5),"■","")))</x:f>
      </x:c>
      <x:c r="Y132" s="7" t="str">
        <x:f>IF(OR($D132="",Y$5="",'상세일정'!AM132="제외"),"",IF($D132=$E132,IF(AND($D132&gt;=Y$5,$D132&lt;Y$5+7),"◆",""),IF(AND($D132&lt;Y$5+7,$E132&gt;Y$5),"■","")))</x:f>
      </x:c>
      <x:c r="Z132" s="7" t="str">
        <x:f>IF(OR($D132="",Z$5="",'상세일정'!AM132="제외"),"",IF($D132=$E132,IF(AND($D132&gt;=Z$5,$D132&lt;Z$5+7),"◆",""),IF(AND($D132&lt;Z$5+7,$E132&gt;Z$5),"■","")))</x:f>
      </x:c>
      <x:c r="AA132" s="7" t="str">
        <x:f>IF(OR($D132="",AA$5="",'상세일정'!AM132="제외"),"",IF($D132=$E132,IF(AND($D132&gt;=AA$5,$D132&lt;AA$5+7),"◆",""),IF(AND($D132&lt;AA$5+7,$E132&gt;AA$5),"■","")))</x:f>
      </x:c>
      <x:c r="AB132" s="7" t="str">
        <x:f>IF(OR($D132="",AB$5="",'상세일정'!AM132="제외"),"",IF($D132=$E132,IF(AND($D132&gt;=AB$5,$D132&lt;AB$5+7),"◆",""),IF(AND($D132&lt;AB$5+7,$E132&gt;AB$5),"■","")))</x:f>
      </x:c>
      <x:c r="AC132" s="7" t="str">
        <x:f>IF(OR($D132="",AC$5="",'상세일정'!AM132="제외"),"",IF($D132=$E132,IF(AND($D132&gt;=AC$5,$D132&lt;AC$5+7),"◆",""),IF(AND($D132&lt;AC$5+7,$E132&gt;AC$5),"■","")))</x:f>
      </x:c>
      <x:c r="AD132" s="7" t="str">
        <x:f>IF(OR($D132="",AD$5="",'상세일정'!AM132="제외"),"",IF($D132=$E132,IF(AND($D132&gt;=AD$5,$D132&lt;AD$5+7),"◆",""),IF(AND($D132&lt;AD$5+7,$E132&gt;AD$5),"■","")))</x:f>
      </x:c>
      <x:c r="AE132" s="7" t="str">
        <x:f>IF(OR($D132="",AE$5="",'상세일정'!AM132="제외"),"",IF($D132=$E132,IF(AND($D132&gt;=AE$5,$D132&lt;AE$5+7),"◆",""),IF(AND($D132&lt;AE$5+7,$E132&gt;AE$5),"■","")))</x:f>
      </x:c>
      <x:c r="AF132" s="7" t="str">
        <x:f>IF(OR($D132="",AF$5="",'상세일정'!AM132="제외"),"",IF($D132=$E132,IF(AND($D132&gt;=AF$5,$D132&lt;AF$5+7),"◆",""),IF(AND($D132&lt;AF$5+7,$E132&gt;AF$5),"■","")))</x:f>
      </x:c>
      <x:c r="AG132" s="7" t="str">
        <x:f>IF(OR($D132="",AG$5="",'상세일정'!AM132="제외"),"",IF($D132=$E132,IF(AND($D132&gt;=AG$5,$D132&lt;AG$5+7),"◆",""),IF(AND($D132&lt;AG$5+7,$E132&gt;AG$5),"■","")))</x:f>
      </x:c>
      <x:c r="AH132" s="7" t="str">
        <x:f>IF(OR($D132="",AH$5="",'상세일정'!AM132="제외"),"",IF($D132=$E132,IF(AND($D132&gt;=AH$5,$D132&lt;AH$5+7),"◆",""),IF(AND($D132&lt;AH$5+7,$E132&gt;AH$5),"■","")))</x:f>
      </x:c>
      <x:c r="AI132" s="7" t="str">
        <x:f>IF(OR($D132="",AI$5="",'상세일정'!AM132="제외"),"",IF($D132=$E132,IF(AND($D132&gt;=AI$5,$D132&lt;AI$5+7),"◆",""),IF(AND($D132&lt;AI$5+7,$E132&gt;AI$5),"■","")))</x:f>
      </x:c>
      <x:c r="AJ132" s="7" t="str">
        <x:f>IF(OR($D132="",AJ$5="",'상세일정'!AM132="제외"),"",IF($D132=$E132,IF(AND($D132&gt;=AJ$5,$D132&lt;AJ$5+7),"◆",""),IF(AND($D132&lt;AJ$5+7,$E132&gt;AJ$5),"■","")))</x:f>
      </x:c>
      <x:c r="AK132" s="7" t="str">
        <x:f>IF(OR($D132="",AK$5="",'상세일정'!AM132="제외"),"",IF($D132=$E132,IF(AND($D132&gt;=AK$5,$D132&lt;AK$5+7),"◆",""),IF(AND($D132&lt;AK$5+7,$E132&gt;AK$5),"■","")))</x:f>
      </x:c>
      <x:c r="AL132" s="7" t="str">
        <x:f>IF(OR($D132="",AL$5="",'상세일정'!AM132="제외"),"",IF($D132=$E132,IF(AND($D132&gt;=AL$5,$D132&lt;AL$5+7),"◆",""),IF(AND($D132&lt;AL$5+7,$E132&gt;AL$5),"■","")))</x:f>
      </x:c>
      <x:c r="AM132" s="7" t="str">
        <x:f>IF(OR($D132="",AM$5="",'상세일정'!AM132="제외"),"",IF($D132=$E132,IF(AND($D132&gt;=AM$5,$D132&lt;AM$5+7),"◆",""),IF(AND($D132&lt;AM$5+7,$E132&gt;AM$5),"■","")))</x:f>
      </x:c>
      <x:c r="AN132" s="7" t="str">
        <x:f>IF(OR($D132="",AN$5="",'상세일정'!AM132="제외"),"",IF($D132=$E132,IF(AND($D132&gt;=AN$5,$D132&lt;AN$5+7),"◆",""),IF(AND($D132&lt;AN$5+7,$E132&gt;AN$5),"■","")))</x:f>
      </x:c>
      <x:c r="AO132" s="7" t="str">
        <x:f>IF(OR($D132="",AO$5="",'상세일정'!AM132="제외"),"",IF($D132=$E132,IF(AND($D132&gt;=AO$5,$D132&lt;AO$5+7),"◆",""),IF(AND($D132&lt;AO$5+7,$E132&gt;AO$5),"■","")))</x:f>
      </x:c>
      <x:c r="AP132" s="7" t="str">
        <x:f>IF(OR($D132="",AP$5="",'상세일정'!AM132="제외"),"",IF($D132=$E132,IF(AND($D132&gt;=AP$5,$D132&lt;AP$5+7),"◆",""),IF(AND($D132&lt;AP$5+7,$E132&gt;AP$5),"■","")))</x:f>
      </x:c>
      <x:c r="AQ132" s="7" t="str">
        <x:f>IF(OR($D132="",AQ$5="",'상세일정'!AM132="제외"),"",IF($D132=$E132,IF(AND($D132&gt;=AQ$5,$D132&lt;AQ$5+7),"◆",""),IF(AND($D132&lt;AQ$5+7,$E132&gt;AQ$5),"■","")))</x:f>
      </x:c>
      <x:c r="AR132" s="7" t="str">
        <x:f>IF(OR($D132="",AR$5="",'상세일정'!AM132="제외"),"",IF($D132=$E132,IF(AND($D132&gt;=AR$5,$D132&lt;AR$5+7),"◆",""),IF(AND($D132&lt;AR$5+7,$E132&gt;AR$5),"■","")))</x:f>
      </x:c>
      <x:c r="AS132" s="7" t="str">
        <x:f>IF(OR($D132="",AS$5="",'상세일정'!AM132="제외"),"",IF($D132=$E132,IF(AND($D132&gt;=AS$5,$D132&lt;AS$5+7),"◆",""),IF(AND($D132&lt;AS$5+7,$E132&gt;AS$5),"■","")))</x:f>
      </x:c>
      <x:c r="AT132" s="7" t="str">
        <x:f>IF(OR($D132="",AT$5="",'상세일정'!AM132="제외"),"",IF($D132=$E132,IF(AND($D132&gt;=AT$5,$D132&lt;AT$5+7),"◆",""),IF(AND($D132&lt;AT$5+7,$E132&gt;AT$5),"■","")))</x:f>
      </x:c>
      <x:c r="AU132" s="7" t="str">
        <x:f>IF(OR($D132="",AU$5="",'상세일정'!AM132="제외"),"",IF($D132=$E132,IF(AND($D132&gt;=AU$5,$D132&lt;AU$5+7),"◆",""),IF(AND($D132&lt;AU$5+7,$E132&gt;AU$5),"■","")))</x:f>
      </x:c>
      <x:c r="AV132" s="7" t="str">
        <x:f>IF(OR($D132="",AV$5="",'상세일정'!AM132="제외"),"",IF($D132=$E132,IF(AND($D132&gt;=AV$5,$D132&lt;AV$5+7),"◆",""),IF(AND($D132&lt;AV$5+7,$E132&gt;AV$5),"■","")))</x:f>
      </x:c>
      <x:c r="AW132" s="7" t="str">
        <x:f>IF(OR($D132="",AW$5="",'상세일정'!AM132="제외"),"",IF($D132=$E132,IF(AND($D132&gt;=AW$5,$D132&lt;AW$5+7),"◆",""),IF(AND($D132&lt;AW$5+7,$E132&gt;AW$5),"■","")))</x:f>
      </x:c>
      <x:c r="AX132" s="7" t="str">
        <x:f>IF(OR($D132="",AX$5="",'상세일정'!AM132="제외"),"",IF($D132=$E132,IF(AND($D132&gt;=AX$5,$D132&lt;AX$5+7),"◆",""),IF(AND($D132&lt;AX$5+7,$E132&gt;AX$5),"■","")))</x:f>
      </x:c>
      <x:c r="AY132" s="7" t="str">
        <x:f>IF(OR($D132="",AY$5="",'상세일정'!AM132="제외"),"",IF($D132=$E132,IF(AND($D132&gt;=AY$5,$D132&lt;AY$5+7),"◆",""),IF(AND($D132&lt;AY$5+7,$E132&gt;AY$5),"■","")))</x:f>
      </x:c>
      <x:c r="AZ132" s="7" t="str">
        <x:f>IF(OR($D132="",AZ$5="",'상세일정'!AM132="제외"),"",IF($D132=$E132,IF(AND($D132&gt;=AZ$5,$D132&lt;AZ$5+7),"◆",""),IF(AND($D132&lt;AZ$5+7,$E132&gt;AZ$5),"■","")))</x:f>
      </x:c>
      <x:c r="BA132" s="7" t="str">
        <x:f>IF(OR($D132="",BA$5="",'상세일정'!AM132="제외"),"",IF($D132=$E132,IF(AND($D132&gt;=BA$5,$D132&lt;BA$5+7),"◆",""),IF(AND($D132&lt;BA$5+7,$E132&gt;BA$5),"■","")))</x:f>
      </x:c>
      <x:c r="BB132" s="7" t="str">
        <x:f>IF(OR($D132="",BB$5="",'상세일정'!AM132="제외"),"",IF($D132=$E132,IF(AND($D132&gt;=BB$5,$D132&lt;BB$5+7),"◆",""),IF(AND($D132&lt;BB$5+7,$E132&gt;BB$5),"■","")))</x:f>
      </x:c>
      <x:c r="BC132" s="7" t="str">
        <x:f>IF(OR($D132="",BC$5="",'상세일정'!AM132="제외"),"",IF($D132=$E132,IF(AND($D132&gt;=BC$5,$D132&lt;BC$5+7),"◆",""),IF(AND($D132&lt;BC$5+7,$E132&gt;BC$5),"■","")))</x:f>
      </x:c>
      <x:c r="BD132" s="7" t="str">
        <x:f>IF(OR($D132="",BD$5="",'상세일정'!AM132="제외"),"",IF($D132=$E132,IF(AND($D132&gt;=BD$5,$D132&lt;BD$5+7),"◆",""),IF(AND($D132&lt;BD$5+7,$E132&gt;BD$5),"■","")))</x:f>
      </x:c>
      <x:c r="BE132" s="7" t="str">
        <x:f>IF(OR($D132="",BE$5="",'상세일정'!AM132="제외"),"",IF($D132=$E132,IF(AND($D132&gt;=BE$5,$D132&lt;BE$5+7),"◆",""),IF(AND($D132&lt;BE$5+7,$E132&gt;BE$5),"■","")))</x:f>
      </x:c>
      <x:c r="BF132" s="7" t="str">
        <x:f>IF(OR($D132="",BF$5="",'상세일정'!AM132="제외"),"",IF($D132=$E132,IF(AND($D132&gt;=BF$5,$D132&lt;BF$5+7),"◆",""),IF(AND($D132&lt;BF$5+7,$E132&gt;BF$5),"■","")))</x:f>
      </x:c>
      <x:c r="BG132" s="7" t="str">
        <x:f>IF(OR($D132="",BG$5="",'상세일정'!AM132="제외"),"",IF($D132=$E132,IF(AND($D132&gt;=BG$5,$D132&lt;BG$5+7),"◆",""),IF(AND($D132&lt;BG$5+7,$E132&gt;BG$5),"■","")))</x:f>
      </x:c>
      <x:c r="BH132" s="7" t="str">
        <x:f>IF(OR($D132="",BH$5="",'상세일정'!AM132="제외"),"",IF($D132=$E132,IF(AND($D132&gt;=BH$5,$D132&lt;BH$5+7),"◆",""),IF(AND($D132&lt;BH$5+7,$E132&gt;BH$5),"■","")))</x:f>
      </x:c>
      <x:c r="BI132" s="7" t="str">
        <x:f>IF(OR($D132="",BI$5="",'상세일정'!AM132="제외"),"",IF($D132=$E132,IF(AND($D132&gt;=BI$5,$D132&lt;BI$5+7),"◆",""),IF(AND($D132&lt;BI$5+7,$E132&gt;BI$5),"■","")))</x:f>
      </x:c>
      <x:c r="BJ132" s="7" t="str">
        <x:f>IF(OR($D132="",BJ$5="",'상세일정'!AM132="제외"),"",IF($D132=$E132,IF(AND($D132&gt;=BJ$5,$D132&lt;BJ$5+7),"◆",""),IF(AND($D132&lt;BJ$5+7,$E132&gt;BJ$5),"■","")))</x:f>
      </x:c>
      <x:c r="BK132" s="7" t="str">
        <x:f>IF(OR($D132="",BK$5="",'상세일정'!AM132="제외"),"",IF($D132=$E132,IF(AND($D132&gt;=BK$5,$D132&lt;BK$5+7),"◆",""),IF(AND($D132&lt;BK$5+7,$E132&gt;BK$5),"■","")))</x:f>
      </x:c>
      <x:c r="BL132" s="7" t="str">
        <x:f>IF(OR($D132="",BL$5="",'상세일정'!AM132="제외"),"",IF($D132=$E132,IF(AND($D132&gt;=BL$5,$D132&lt;BL$5+7),"◆",""),IF(AND($D132&lt;BL$5+7,$E132&gt;BL$5),"■","")))</x:f>
      </x:c>
      <x:c r="BM132" s="7" t="str">
        <x:f>IF(OR($D132="",BM$5="",'상세일정'!AM132="제외"),"",IF($D132=$E132,IF(AND($D132&gt;=BM$5,$D132&lt;BM$5+7),"◆",""),IF(AND($D132&lt;BM$5+7,$E132&gt;BM$5),"■","")))</x:f>
      </x:c>
      <x:c r="BN132" s="7" t="str">
        <x:f>IF(OR($D132="",BN$5="",'상세일정'!AM132="제외"),"",IF($D132=$E132,IF(AND($D132&gt;=BN$5,$D132&lt;BN$5+7),"◆",""),IF(AND($D132&lt;BN$5+7,$E132&gt;BN$5),"■","")))</x:f>
      </x:c>
      <x:c r="BO132" s="7" t="str">
        <x:f>IF(OR($D132="",BO$5="",'상세일정'!AM132="제외"),"",IF($D132=$E132,IF(AND($D132&gt;=BO$5,$D132&lt;BO$5+7),"◆",""),IF(AND($D132&lt;BO$5+7,$E132&gt;BO$5),"■","")))</x:f>
      </x:c>
      <x:c r="BP132" s="7" t="str">
        <x:f>IF(OR($D132="",BP$5="",'상세일정'!AM132="제외"),"",IF($D132=$E132,IF(AND($D132&gt;=BP$5,$D132&lt;BP$5+7),"◆",""),IF(AND($D132&lt;BP$5+7,$E132&gt;BP$5),"■","")))</x:f>
      </x:c>
      <x:c r="BQ132" s="7" t="str">
        <x:f>IF(OR($D132="",BQ$5="",'상세일정'!AM132="제외"),"",IF($D132=$E132,IF(AND($D132&gt;=BQ$5,$D132&lt;BQ$5+7),"◆",""),IF(AND($D132&lt;BQ$5+7,$E132&gt;BQ$5),"■","")))</x:f>
      </x:c>
      <x:c r="BR132" s="7" t="str">
        <x:f>IF(OR($D132="",BR$5="",'상세일정'!AM132="제외"),"",IF($D132=$E132,IF(AND($D132&gt;=BR$5,$D132&lt;BR$5+7),"◆",""),IF(AND($D132&lt;BR$5+7,$E132&gt;BR$5),"■","")))</x:f>
      </x:c>
      <x:c r="BS132" s="7" t="str">
        <x:f>IF(OR($D132="",BS$5="",'상세일정'!AM132="제외"),"",IF($D132=$E132,IF(AND($D132&gt;=BS$5,$D132&lt;BS$5+7),"◆",""),IF(AND($D132&lt;BS$5+7,$E132&gt;BS$5),"■","")))</x:f>
      </x:c>
      <x:c r="BT132" s="7" t="str">
        <x:f>IF(OR($D132="",BT$5="",'상세일정'!AM132="제외"),"",IF($D132=$E132,IF(AND($D132&gt;=BT$5,$D132&lt;BT$5+7),"◆",""),IF(AND($D132&lt;BT$5+7,$E132&gt;BT$5),"■","")))</x:f>
      </x:c>
      <x:c r="BU132" s="7" t="str">
        <x:f>IF(OR($D132="",BU$5="",'상세일정'!AM132="제외"),"",IF($D132=$E132,IF(AND($D132&gt;=BU$5,$D132&lt;BU$5+7),"◆",""),IF(AND($D132&lt;BU$5+7,$E132&gt;BU$5),"■","")))</x:f>
      </x:c>
      <x:c r="BV132" s="7" t="str">
        <x:f>IF(OR($D132="",BV$5="",'상세일정'!AM132="제외"),"",IF($D132=$E132,IF(AND($D132&gt;=BV$5,$D132&lt;BV$5+7),"◆",""),IF(AND($D132&lt;BV$5+7,$E132&gt;BV$5),"■","")))</x:f>
      </x:c>
      <x:c r="BW132" s="7" t="str">
        <x:f>IF(OR($D132="",BW$5="",'상세일정'!AM132="제외"),"",IF($D132=$E132,IF(AND($D132&gt;=BW$5,$D132&lt;BW$5+7),"◆",""),IF(AND($D132&lt;BW$5+7,$E132&gt;BW$5),"■","")))</x:f>
      </x:c>
      <x:c r="BX132" s="7" t="str">
        <x:f>IF(OR($D132="",BX$5="",'상세일정'!AM132="제외"),"",IF($D132=$E132,IF(AND($D132&gt;=BX$5,$D132&lt;BX$5+7),"◆",""),IF(AND($D132&lt;BX$5+7,$E132&gt;BX$5),"■","")))</x:f>
      </x:c>
      <x:c r="BY132" s="7" t="str">
        <x:f>IF(OR($D132="",BY$5="",'상세일정'!AM132="제외"),"",IF($D132=$E132,IF(AND($D132&gt;=BY$5,$D132&lt;BY$5+7),"◆",""),IF(AND($D132&lt;BY$5+7,$E132&gt;BY$5),"■","")))</x:f>
      </x:c>
      <x:c r="BZ132" s="7" t="str">
        <x:f>IF(OR($D132="",BZ$5="",'상세일정'!AM132="제외"),"",IF($D132=$E132,IF(AND($D132&gt;=BZ$5,$D132&lt;BZ$5+7),"◆",""),IF(AND($D132&lt;BZ$5+7,$E132&gt;BZ$5),"■","")))</x:f>
      </x:c>
      <x:c r="CA132" s="7" t="str">
        <x:f>IF(OR($D132="",CA$5="",'상세일정'!AM132="제외"),"",IF($D132=$E132,IF(AND($D132&gt;=CA$5,$D132&lt;CA$5+7),"◆",""),IF(AND($D132&lt;CA$5+7,$E132&gt;CA$5),"■","")))</x:f>
      </x:c>
      <x:c r="CB132" s="7" t="str">
        <x:f>IF(OR($D132="",CB$5="",'상세일정'!AM132="제외"),"",IF($D132=$E132,IF(AND($D132&gt;=CB$5,$D132&lt;CB$5+7),"◆",""),IF(AND($D132&lt;CB$5+7,$E132&gt;CB$5),"■","")))</x:f>
      </x:c>
      <x:c r="CC132" s="7" t="str">
        <x:f>IF(OR($D132="",CC$5="",'상세일정'!AM132="제외"),"",IF($D132=$E132,IF(AND($D132&gt;=CC$5,$D132&lt;CC$5+7),"◆",""),IF(AND($D132&lt;CC$5+7,$E132&gt;CC$5),"■","")))</x:f>
      </x:c>
      <x:c r="CD132" s="7" t="str">
        <x:f>IF(OR($D132="",CD$5="",'상세일정'!AM132="제외"),"",IF($D132=$E132,IF(AND($D132&gt;=CD$5,$D132&lt;CD$5+7),"◆",""),IF(AND($D132&lt;CD$5+7,$E132&gt;CD$5),"■","")))</x:f>
      </x:c>
      <x:c r="CE132" s="7" t="str">
        <x:f>IF(OR($D132="",CE$5="",'상세일정'!AM132="제외"),"",IF($D132=$E132,IF(AND($D132&gt;=CE$5,$D132&lt;CE$5+7),"◆",""),IF(AND($D132&lt;CE$5+7,$E132&gt;CE$5),"■","")))</x:f>
      </x:c>
      <x:c r="CF132" s="7" t="str">
        <x:f>IF(OR($D132="",CF$5="",'상세일정'!AM132="제외"),"",IF($D132=$E132,IF(AND($D132&gt;=CF$5,$D132&lt;CF$5+7),"◆",""),IF(AND($D132&lt;CF$5+7,$E132&gt;CF$5),"■","")))</x:f>
      </x:c>
      <x:c r="CG132" s="7" t="str">
        <x:f>IF(OR($D132="",CG$5="",'상세일정'!AM132="제외"),"",IF($D132=$E132,IF(AND($D132&gt;=CG$5,$D132&lt;CG$5+7),"◆",""),IF(AND($D132&lt;CG$5+7,$E132&gt;CG$5),"■","")))</x:f>
      </x:c>
      <x:c r="CH132" s="7" t="str">
        <x:f>IF(OR($D132="",CH$5="",'상세일정'!AM132="제외"),"",IF($D132=$E132,IF(AND($D132&gt;=CH$5,$D132&lt;CH$5+7),"◆",""),IF(AND($D132&lt;CH$5+7,$E132&gt;CH$5),"■","")))</x:f>
      </x:c>
      <x:c r="CI132" s="7" t="str">
        <x:f>IF(OR($D132="",CI$5="",'상세일정'!AM132="제외"),"",IF($D132=$E132,IF(AND($D132&gt;=CI$5,$D132&lt;CI$5+7),"◆",""),IF(AND($D132&lt;CI$5+7,$E132&gt;CI$5),"■","")))</x:f>
      </x:c>
      <x:c r="CJ132" s="7" t="str">
        <x:f>IF(OR($D132="",CJ$5="",'상세일정'!AM132="제외"),"",IF($D132=$E132,IF(AND($D132&gt;=CJ$5,$D132&lt;CJ$5+7),"◆",""),IF(AND($D132&lt;CJ$5+7,$E132&gt;CJ$5),"■","")))</x:f>
      </x:c>
      <x:c r="CK132" s="7" t="str">
        <x:f>IF(OR($D132="",CK$5="",'상세일정'!AM132="제외"),"",IF($D132=$E132,IF(AND($D132&gt;=CK$5,$D132&lt;CK$5+7),"◆",""),IF(AND($D132&lt;CK$5+7,$E132&gt;CK$5),"■","")))</x:f>
      </x:c>
      <x:c r="CL132" s="7" t="str">
        <x:f>IF(OR($D132="",CL$5="",'상세일정'!AM132="제외"),"",IF($D132=$E132,IF(AND($D132&gt;=CL$5,$D132&lt;CL$5+7),"◆",""),IF(AND($D132&lt;CL$5+7,$E132&gt;CL$5),"■","")))</x:f>
      </x:c>
      <x:c r="CM132" s="7" t="str">
        <x:f>IF(OR($D132="",CM$5="",'상세일정'!AM132="제외"),"",IF($D132=$E132,IF(AND($D132&gt;=CM$5,$D132&lt;CM$5+7),"◆",""),IF(AND($D132&lt;CM$5+7,$E132&gt;CM$5),"■","")))</x:f>
      </x:c>
      <x:c r="CN132" s="7" t="str">
        <x:f>IF(OR($D132="",CN$5="",'상세일정'!AM132="제외"),"",IF($D132=$E132,IF(AND($D132&gt;=CN$5,$D132&lt;CN$5+7),"◆",""),IF(AND($D132&lt;CN$5+7,$E132&gt;CN$5),"■","")))</x:f>
      </x:c>
      <x:c r="CO132" s="7" t="str">
        <x:f>IF(OR($D132="",CO$5="",'상세일정'!AM132="제외"),"",IF($D132=$E132,IF(AND($D132&gt;=CO$5,$D132&lt;CO$5+7),"◆",""),IF(AND($D132&lt;CO$5+7,$E132&gt;CO$5),"■","")))</x:f>
      </x:c>
      <x:c r="CP132" s="7" t="str">
        <x:f>IF(OR($D132="",CP$5="",'상세일정'!AM132="제외"),"",IF($D132=$E132,IF(AND($D132&gt;=CP$5,$D132&lt;CP$5+7),"◆",""),IF(AND($D132&lt;CP$5+7,$E132&gt;CP$5),"■","")))</x:f>
      </x:c>
      <x:c r="CQ132" s="7" t="str">
        <x:f>IF(OR($D132="",CQ$5="",'상세일정'!AM132="제외"),"",IF($D132=$E132,IF(AND($D132&gt;=CQ$5,$D132&lt;CQ$5+7),"◆",""),IF(AND($D132&lt;CQ$5+7,$E132&gt;CQ$5),"■","")))</x:f>
      </x:c>
      <x:c r="CR132" s="7" t="str">
        <x:f>IF(OR($D132="",CR$5="",'상세일정'!AM132="제외"),"",IF($D132=$E132,IF(AND($D132&gt;=CR$5,$D132&lt;CR$5+7),"◆",""),IF(AND($D132&lt;CR$5+7,$E132&gt;CR$5),"■","")))</x:f>
      </x:c>
      <x:c r="CS132" s="7" t="str">
        <x:f>IF(OR($D132="",CS$5="",'상세일정'!AM132="제외"),"",IF($D132=$E132,IF(AND($D132&gt;=CS$5,$D132&lt;CS$5+7),"◆",""),IF(AND($D132&lt;CS$5+7,$E132&gt;CS$5),"■","")))</x:f>
      </x:c>
      <x:c r="CT132" s="7" t="str">
        <x:f>IF(OR($D132="",CT$5="",'상세일정'!AM132="제외"),"",IF($D132=$E132,IF(AND($D132&gt;=CT$5,$D132&lt;CT$5+7),"◆",""),IF(AND($D132&lt;CT$5+7,$E132&gt;CT$5),"■","")))</x:f>
      </x:c>
      <x:c r="CU132" s="7" t="str">
        <x:f>IF(OR($D132="",CU$5="",'상세일정'!AM132="제외"),"",IF($D132=$E132,IF(AND($D132&gt;=CU$5,$D132&lt;CU$5+7),"◆",""),IF(AND($D132&lt;CU$5+7,$E132&gt;CU$5),"■","")))</x:f>
      </x:c>
      <x:c r="CV132" s="7" t="str">
        <x:f>IF(OR($D132="",CV$5="",'상세일정'!AM132="제외"),"",IF($D132=$E132,IF(AND($D132&gt;=CV$5,$D132&lt;CV$5+7),"◆",""),IF(AND($D132&lt;CV$5+7,$E132&gt;CV$5),"■","")))</x:f>
      </x:c>
      <x:c r="CW132" s="7" t="str">
        <x:f>IF(OR($D132="",CW$5="",'상세일정'!AM132="제외"),"",IF($D132=$E132,IF(AND($D132&gt;=CW$5,$D132&lt;CW$5+7),"◆",""),IF(AND($D132&lt;CW$5+7,$E132&gt;CW$5),"■","")))</x:f>
      </x:c>
      <x:c r="CX132" s="7" t="str">
        <x:f>IF(OR($D132="",CX$5="",'상세일정'!AM132="제외"),"",IF($D132=$E132,IF(AND($D132&gt;=CX$5,$D132&lt;CX$5+7),"◆",""),IF(AND($D132&lt;CX$5+7,$E132&gt;CX$5),"■","")))</x:f>
      </x:c>
      <x:c r="CY132" s="7" t="str">
        <x:f>IF(OR($D132="",CY$5="",'상세일정'!AM132="제외"),"",IF($D132=$E132,IF(AND($D132&gt;=CY$5,$D132&lt;CY$5+7),"◆",""),IF(AND($D132&lt;CY$5+7,$E132&gt;CY$5),"■","")))</x:f>
      </x:c>
      <x:c r="CZ132" s="7" t="str">
        <x:f>IF(OR($D132="",CZ$5="",'상세일정'!AM132="제외"),"",IF($D132=$E132,IF(AND($D132&gt;=CZ$5,$D132&lt;CZ$5+7),"◆",""),IF(AND($D132&lt;CZ$5+7,$E132&gt;CZ$5),"■","")))</x:f>
      </x:c>
      <x:c r="DA132" s="7" t="str">
        <x:f>IF(OR($D132="",DA$5="",'상세일정'!AM132="제외"),"",IF($D132=$E132,IF(AND($D132&gt;=DA$5,$D132&lt;DA$5+7),"◆",""),IF(AND($D132&lt;DA$5+7,$E132&gt;DA$5),"■","")))</x:f>
      </x:c>
      <x:c r="DB132" s="7" t="str">
        <x:f>IF(OR($D132="",DB$5="",'상세일정'!AM132="제외"),"",IF($D132=$E132,IF(AND($D132&gt;=DB$5,$D132&lt;DB$5+7),"◆",""),IF(AND($D132&lt;DB$5+7,$E132&gt;DB$5),"■","")))</x:f>
      </x:c>
      <x:c r="DC132" s="7" t="str">
        <x:f>IF(OR($D132="",DC$5="",'상세일정'!AM132="제외"),"",IF($D132=$E132,IF(AND($D132&gt;=DC$5,$D132&lt;DC$5+7),"◆",""),IF(AND($D132&lt;DC$5+7,$E132&gt;DC$5),"■","")))</x:f>
      </x:c>
      <x:c r="DD132" s="7" t="str">
        <x:f>IF(OR($D132="",DD$5="",'상세일정'!AM132="제외"),"",IF($D132=$E132,IF(AND($D132&gt;=DD$5,$D132&lt;DD$5+7),"◆",""),IF(AND($D132&lt;DD$5+7,$E132&gt;DD$5),"■","")))</x:f>
      </x:c>
      <x:c r="DE132" s="7" t="str">
        <x:f>IF(OR($D132="",DE$5="",'상세일정'!AM132="제외"),"",IF($D132=$E132,IF(AND($D132&gt;=DE$5,$D132&lt;DE$5+7),"◆",""),IF(AND($D132&lt;DE$5+7,$E132&gt;DE$5),"■","")))</x:f>
      </x:c>
    </x:row>
    <x:row r="133" ht="34" customHeight="1">
      <x:c r="A133" s="7" t="str">
        <x:v>TK05</x:v>
      </x:c>
      <x:c r="B133" s="7" t="str">
        <x:v>16 기자재 구매·제작</x:v>
      </x:c>
      <x:c r="C133" s="7" t="str">
        <x:v>저장용기·버퍼탱크 조립·공장 기능시험</x:v>
      </x:c>
      <x:c r="D133" s="10" t="str">
        <x:f>'상세일정'!AJ133</x:f>
      </x:c>
      <x:c r="E133" s="10" t="str">
        <x:f>'상세일정'!AK133</x:f>
      </x:c>
      <x:c r="F133" s="7" t="str">
        <x:f>IF(OR($D133="",F$5="",'상세일정'!AM133="제외"),"",IF($D133=$E133,IF(AND($D133&gt;=F$5,$D133&lt;F$5+7),"◆",""),IF(AND($D133&lt;F$5+7,$E133&gt;F$5),"■","")))</x:f>
      </x:c>
      <x:c r="G133" s="7" t="str">
        <x:f>IF(OR($D133="",G$5="",'상세일정'!AM133="제외"),"",IF($D133=$E133,IF(AND($D133&gt;=G$5,$D133&lt;G$5+7),"◆",""),IF(AND($D133&lt;G$5+7,$E133&gt;G$5),"■","")))</x:f>
      </x:c>
      <x:c r="H133" s="7" t="str">
        <x:f>IF(OR($D133="",H$5="",'상세일정'!AM133="제외"),"",IF($D133=$E133,IF(AND($D133&gt;=H$5,$D133&lt;H$5+7),"◆",""),IF(AND($D133&lt;H$5+7,$E133&gt;H$5),"■","")))</x:f>
      </x:c>
      <x:c r="I133" s="7" t="str">
        <x:f>IF(OR($D133="",I$5="",'상세일정'!AM133="제외"),"",IF($D133=$E133,IF(AND($D133&gt;=I$5,$D133&lt;I$5+7),"◆",""),IF(AND($D133&lt;I$5+7,$E133&gt;I$5),"■","")))</x:f>
      </x:c>
      <x:c r="J133" s="7" t="str">
        <x:f>IF(OR($D133="",J$5="",'상세일정'!AM133="제외"),"",IF($D133=$E133,IF(AND($D133&gt;=J$5,$D133&lt;J$5+7),"◆",""),IF(AND($D133&lt;J$5+7,$E133&gt;J$5),"■","")))</x:f>
      </x:c>
      <x:c r="K133" s="7" t="str">
        <x:f>IF(OR($D133="",K$5="",'상세일정'!AM133="제외"),"",IF($D133=$E133,IF(AND($D133&gt;=K$5,$D133&lt;K$5+7),"◆",""),IF(AND($D133&lt;K$5+7,$E133&gt;K$5),"■","")))</x:f>
      </x:c>
      <x:c r="L133" s="7" t="str">
        <x:f>IF(OR($D133="",L$5="",'상세일정'!AM133="제외"),"",IF($D133=$E133,IF(AND($D133&gt;=L$5,$D133&lt;L$5+7),"◆",""),IF(AND($D133&lt;L$5+7,$E133&gt;L$5),"■","")))</x:f>
      </x:c>
      <x:c r="M133" s="7" t="str">
        <x:f>IF(OR($D133="",M$5="",'상세일정'!AM133="제외"),"",IF($D133=$E133,IF(AND($D133&gt;=M$5,$D133&lt;M$5+7),"◆",""),IF(AND($D133&lt;M$5+7,$E133&gt;M$5),"■","")))</x:f>
      </x:c>
      <x:c r="N133" s="7" t="str">
        <x:f>IF(OR($D133="",N$5="",'상세일정'!AM133="제외"),"",IF($D133=$E133,IF(AND($D133&gt;=N$5,$D133&lt;N$5+7),"◆",""),IF(AND($D133&lt;N$5+7,$E133&gt;N$5),"■","")))</x:f>
      </x:c>
      <x:c r="O133" s="7" t="str">
        <x:f>IF(OR($D133="",O$5="",'상세일정'!AM133="제외"),"",IF($D133=$E133,IF(AND($D133&gt;=O$5,$D133&lt;O$5+7),"◆",""),IF(AND($D133&lt;O$5+7,$E133&gt;O$5),"■","")))</x:f>
      </x:c>
      <x:c r="P133" s="7" t="str">
        <x:f>IF(OR($D133="",P$5="",'상세일정'!AM133="제외"),"",IF($D133=$E133,IF(AND($D133&gt;=P$5,$D133&lt;P$5+7),"◆",""),IF(AND($D133&lt;P$5+7,$E133&gt;P$5),"■","")))</x:f>
      </x:c>
      <x:c r="Q133" s="7" t="str">
        <x:f>IF(OR($D133="",Q$5="",'상세일정'!AM133="제외"),"",IF($D133=$E133,IF(AND($D133&gt;=Q$5,$D133&lt;Q$5+7),"◆",""),IF(AND($D133&lt;Q$5+7,$E133&gt;Q$5),"■","")))</x:f>
      </x:c>
      <x:c r="R133" s="7" t="str">
        <x:f>IF(OR($D133="",R$5="",'상세일정'!AM133="제외"),"",IF($D133=$E133,IF(AND($D133&gt;=R$5,$D133&lt;R$5+7),"◆",""),IF(AND($D133&lt;R$5+7,$E133&gt;R$5),"■","")))</x:f>
      </x:c>
      <x:c r="S133" s="7" t="str">
        <x:f>IF(OR($D133="",S$5="",'상세일정'!AM133="제외"),"",IF($D133=$E133,IF(AND($D133&gt;=S$5,$D133&lt;S$5+7),"◆",""),IF(AND($D133&lt;S$5+7,$E133&gt;S$5),"■","")))</x:f>
      </x:c>
      <x:c r="T133" s="7" t="str">
        <x:f>IF(OR($D133="",T$5="",'상세일정'!AM133="제외"),"",IF($D133=$E133,IF(AND($D133&gt;=T$5,$D133&lt;T$5+7),"◆",""),IF(AND($D133&lt;T$5+7,$E133&gt;T$5),"■","")))</x:f>
      </x:c>
      <x:c r="U133" s="7" t="str">
        <x:f>IF(OR($D133="",U$5="",'상세일정'!AM133="제외"),"",IF($D133=$E133,IF(AND($D133&gt;=U$5,$D133&lt;U$5+7),"◆",""),IF(AND($D133&lt;U$5+7,$E133&gt;U$5),"■","")))</x:f>
      </x:c>
      <x:c r="V133" s="7" t="str">
        <x:f>IF(OR($D133="",V$5="",'상세일정'!AM133="제외"),"",IF($D133=$E133,IF(AND($D133&gt;=V$5,$D133&lt;V$5+7),"◆",""),IF(AND($D133&lt;V$5+7,$E133&gt;V$5),"■","")))</x:f>
      </x:c>
      <x:c r="W133" s="7" t="str">
        <x:f>IF(OR($D133="",W$5="",'상세일정'!AM133="제외"),"",IF($D133=$E133,IF(AND($D133&gt;=W$5,$D133&lt;W$5+7),"◆",""),IF(AND($D133&lt;W$5+7,$E133&gt;W$5),"■","")))</x:f>
      </x:c>
      <x:c r="X133" s="7" t="str">
        <x:f>IF(OR($D133="",X$5="",'상세일정'!AM133="제외"),"",IF($D133=$E133,IF(AND($D133&gt;=X$5,$D133&lt;X$5+7),"◆",""),IF(AND($D133&lt;X$5+7,$E133&gt;X$5),"■","")))</x:f>
      </x:c>
      <x:c r="Y133" s="7" t="str">
        <x:f>IF(OR($D133="",Y$5="",'상세일정'!AM133="제외"),"",IF($D133=$E133,IF(AND($D133&gt;=Y$5,$D133&lt;Y$5+7),"◆",""),IF(AND($D133&lt;Y$5+7,$E133&gt;Y$5),"■","")))</x:f>
      </x:c>
      <x:c r="Z133" s="7" t="str">
        <x:f>IF(OR($D133="",Z$5="",'상세일정'!AM133="제외"),"",IF($D133=$E133,IF(AND($D133&gt;=Z$5,$D133&lt;Z$5+7),"◆",""),IF(AND($D133&lt;Z$5+7,$E133&gt;Z$5),"■","")))</x:f>
      </x:c>
      <x:c r="AA133" s="7" t="str">
        <x:f>IF(OR($D133="",AA$5="",'상세일정'!AM133="제외"),"",IF($D133=$E133,IF(AND($D133&gt;=AA$5,$D133&lt;AA$5+7),"◆",""),IF(AND($D133&lt;AA$5+7,$E133&gt;AA$5),"■","")))</x:f>
      </x:c>
      <x:c r="AB133" s="7" t="str">
        <x:f>IF(OR($D133="",AB$5="",'상세일정'!AM133="제외"),"",IF($D133=$E133,IF(AND($D133&gt;=AB$5,$D133&lt;AB$5+7),"◆",""),IF(AND($D133&lt;AB$5+7,$E133&gt;AB$5),"■","")))</x:f>
      </x:c>
      <x:c r="AC133" s="7" t="str">
        <x:f>IF(OR($D133="",AC$5="",'상세일정'!AM133="제외"),"",IF($D133=$E133,IF(AND($D133&gt;=AC$5,$D133&lt;AC$5+7),"◆",""),IF(AND($D133&lt;AC$5+7,$E133&gt;AC$5),"■","")))</x:f>
      </x:c>
      <x:c r="AD133" s="7" t="str">
        <x:f>IF(OR($D133="",AD$5="",'상세일정'!AM133="제외"),"",IF($D133=$E133,IF(AND($D133&gt;=AD$5,$D133&lt;AD$5+7),"◆",""),IF(AND($D133&lt;AD$5+7,$E133&gt;AD$5),"■","")))</x:f>
      </x:c>
      <x:c r="AE133" s="7" t="str">
        <x:f>IF(OR($D133="",AE$5="",'상세일정'!AM133="제외"),"",IF($D133=$E133,IF(AND($D133&gt;=AE$5,$D133&lt;AE$5+7),"◆",""),IF(AND($D133&lt;AE$5+7,$E133&gt;AE$5),"■","")))</x:f>
      </x:c>
      <x:c r="AF133" s="7" t="str">
        <x:f>IF(OR($D133="",AF$5="",'상세일정'!AM133="제외"),"",IF($D133=$E133,IF(AND($D133&gt;=AF$5,$D133&lt;AF$5+7),"◆",""),IF(AND($D133&lt;AF$5+7,$E133&gt;AF$5),"■","")))</x:f>
      </x:c>
      <x:c r="AG133" s="7" t="str">
        <x:f>IF(OR($D133="",AG$5="",'상세일정'!AM133="제외"),"",IF($D133=$E133,IF(AND($D133&gt;=AG$5,$D133&lt;AG$5+7),"◆",""),IF(AND($D133&lt;AG$5+7,$E133&gt;AG$5),"■","")))</x:f>
      </x:c>
      <x:c r="AH133" s="7" t="str">
        <x:f>IF(OR($D133="",AH$5="",'상세일정'!AM133="제외"),"",IF($D133=$E133,IF(AND($D133&gt;=AH$5,$D133&lt;AH$5+7),"◆",""),IF(AND($D133&lt;AH$5+7,$E133&gt;AH$5),"■","")))</x:f>
      </x:c>
      <x:c r="AI133" s="7" t="str">
        <x:f>IF(OR($D133="",AI$5="",'상세일정'!AM133="제외"),"",IF($D133=$E133,IF(AND($D133&gt;=AI$5,$D133&lt;AI$5+7),"◆",""),IF(AND($D133&lt;AI$5+7,$E133&gt;AI$5),"■","")))</x:f>
      </x:c>
      <x:c r="AJ133" s="7" t="str">
        <x:f>IF(OR($D133="",AJ$5="",'상세일정'!AM133="제외"),"",IF($D133=$E133,IF(AND($D133&gt;=AJ$5,$D133&lt;AJ$5+7),"◆",""),IF(AND($D133&lt;AJ$5+7,$E133&gt;AJ$5),"■","")))</x:f>
      </x:c>
      <x:c r="AK133" s="7" t="str">
        <x:f>IF(OR($D133="",AK$5="",'상세일정'!AM133="제외"),"",IF($D133=$E133,IF(AND($D133&gt;=AK$5,$D133&lt;AK$5+7),"◆",""),IF(AND($D133&lt;AK$5+7,$E133&gt;AK$5),"■","")))</x:f>
      </x:c>
      <x:c r="AL133" s="7" t="str">
        <x:f>IF(OR($D133="",AL$5="",'상세일정'!AM133="제외"),"",IF($D133=$E133,IF(AND($D133&gt;=AL$5,$D133&lt;AL$5+7),"◆",""),IF(AND($D133&lt;AL$5+7,$E133&gt;AL$5),"■","")))</x:f>
      </x:c>
      <x:c r="AM133" s="7" t="str">
        <x:f>IF(OR($D133="",AM$5="",'상세일정'!AM133="제외"),"",IF($D133=$E133,IF(AND($D133&gt;=AM$5,$D133&lt;AM$5+7),"◆",""),IF(AND($D133&lt;AM$5+7,$E133&gt;AM$5),"■","")))</x:f>
      </x:c>
      <x:c r="AN133" s="7" t="str">
        <x:f>IF(OR($D133="",AN$5="",'상세일정'!AM133="제외"),"",IF($D133=$E133,IF(AND($D133&gt;=AN$5,$D133&lt;AN$5+7),"◆",""),IF(AND($D133&lt;AN$5+7,$E133&gt;AN$5),"■","")))</x:f>
      </x:c>
      <x:c r="AO133" s="7" t="str">
        <x:f>IF(OR($D133="",AO$5="",'상세일정'!AM133="제외"),"",IF($D133=$E133,IF(AND($D133&gt;=AO$5,$D133&lt;AO$5+7),"◆",""),IF(AND($D133&lt;AO$5+7,$E133&gt;AO$5),"■","")))</x:f>
      </x:c>
      <x:c r="AP133" s="7" t="str">
        <x:f>IF(OR($D133="",AP$5="",'상세일정'!AM133="제외"),"",IF($D133=$E133,IF(AND($D133&gt;=AP$5,$D133&lt;AP$5+7),"◆",""),IF(AND($D133&lt;AP$5+7,$E133&gt;AP$5),"■","")))</x:f>
      </x:c>
      <x:c r="AQ133" s="7" t="str">
        <x:f>IF(OR($D133="",AQ$5="",'상세일정'!AM133="제외"),"",IF($D133=$E133,IF(AND($D133&gt;=AQ$5,$D133&lt;AQ$5+7),"◆",""),IF(AND($D133&lt;AQ$5+7,$E133&gt;AQ$5),"■","")))</x:f>
      </x:c>
      <x:c r="AR133" s="7" t="str">
        <x:f>IF(OR($D133="",AR$5="",'상세일정'!AM133="제외"),"",IF($D133=$E133,IF(AND($D133&gt;=AR$5,$D133&lt;AR$5+7),"◆",""),IF(AND($D133&lt;AR$5+7,$E133&gt;AR$5),"■","")))</x:f>
      </x:c>
      <x:c r="AS133" s="7" t="str">
        <x:f>IF(OR($D133="",AS$5="",'상세일정'!AM133="제외"),"",IF($D133=$E133,IF(AND($D133&gt;=AS$5,$D133&lt;AS$5+7),"◆",""),IF(AND($D133&lt;AS$5+7,$E133&gt;AS$5),"■","")))</x:f>
      </x:c>
      <x:c r="AT133" s="7" t="str">
        <x:f>IF(OR($D133="",AT$5="",'상세일정'!AM133="제외"),"",IF($D133=$E133,IF(AND($D133&gt;=AT$5,$D133&lt;AT$5+7),"◆",""),IF(AND($D133&lt;AT$5+7,$E133&gt;AT$5),"■","")))</x:f>
      </x:c>
      <x:c r="AU133" s="7" t="str">
        <x:f>IF(OR($D133="",AU$5="",'상세일정'!AM133="제외"),"",IF($D133=$E133,IF(AND($D133&gt;=AU$5,$D133&lt;AU$5+7),"◆",""),IF(AND($D133&lt;AU$5+7,$E133&gt;AU$5),"■","")))</x:f>
      </x:c>
      <x:c r="AV133" s="7" t="str">
        <x:f>IF(OR($D133="",AV$5="",'상세일정'!AM133="제외"),"",IF($D133=$E133,IF(AND($D133&gt;=AV$5,$D133&lt;AV$5+7),"◆",""),IF(AND($D133&lt;AV$5+7,$E133&gt;AV$5),"■","")))</x:f>
      </x:c>
      <x:c r="AW133" s="7" t="str">
        <x:f>IF(OR($D133="",AW$5="",'상세일정'!AM133="제외"),"",IF($D133=$E133,IF(AND($D133&gt;=AW$5,$D133&lt;AW$5+7),"◆",""),IF(AND($D133&lt;AW$5+7,$E133&gt;AW$5),"■","")))</x:f>
      </x:c>
      <x:c r="AX133" s="7" t="str">
        <x:f>IF(OR($D133="",AX$5="",'상세일정'!AM133="제외"),"",IF($D133=$E133,IF(AND($D133&gt;=AX$5,$D133&lt;AX$5+7),"◆",""),IF(AND($D133&lt;AX$5+7,$E133&gt;AX$5),"■","")))</x:f>
      </x:c>
      <x:c r="AY133" s="7" t="str">
        <x:f>IF(OR($D133="",AY$5="",'상세일정'!AM133="제외"),"",IF($D133=$E133,IF(AND($D133&gt;=AY$5,$D133&lt;AY$5+7),"◆",""),IF(AND($D133&lt;AY$5+7,$E133&gt;AY$5),"■","")))</x:f>
      </x:c>
      <x:c r="AZ133" s="7" t="str">
        <x:f>IF(OR($D133="",AZ$5="",'상세일정'!AM133="제외"),"",IF($D133=$E133,IF(AND($D133&gt;=AZ$5,$D133&lt;AZ$5+7),"◆",""),IF(AND($D133&lt;AZ$5+7,$E133&gt;AZ$5),"■","")))</x:f>
      </x:c>
      <x:c r="BA133" s="7" t="str">
        <x:f>IF(OR($D133="",BA$5="",'상세일정'!AM133="제외"),"",IF($D133=$E133,IF(AND($D133&gt;=BA$5,$D133&lt;BA$5+7),"◆",""),IF(AND($D133&lt;BA$5+7,$E133&gt;BA$5),"■","")))</x:f>
      </x:c>
      <x:c r="BB133" s="7" t="str">
        <x:f>IF(OR($D133="",BB$5="",'상세일정'!AM133="제외"),"",IF($D133=$E133,IF(AND($D133&gt;=BB$5,$D133&lt;BB$5+7),"◆",""),IF(AND($D133&lt;BB$5+7,$E133&gt;BB$5),"■","")))</x:f>
      </x:c>
      <x:c r="BC133" s="7" t="str">
        <x:f>IF(OR($D133="",BC$5="",'상세일정'!AM133="제외"),"",IF($D133=$E133,IF(AND($D133&gt;=BC$5,$D133&lt;BC$5+7),"◆",""),IF(AND($D133&lt;BC$5+7,$E133&gt;BC$5),"■","")))</x:f>
      </x:c>
      <x:c r="BD133" s="7" t="str">
        <x:f>IF(OR($D133="",BD$5="",'상세일정'!AM133="제외"),"",IF($D133=$E133,IF(AND($D133&gt;=BD$5,$D133&lt;BD$5+7),"◆",""),IF(AND($D133&lt;BD$5+7,$E133&gt;BD$5),"■","")))</x:f>
      </x:c>
      <x:c r="BE133" s="7" t="str">
        <x:f>IF(OR($D133="",BE$5="",'상세일정'!AM133="제외"),"",IF($D133=$E133,IF(AND($D133&gt;=BE$5,$D133&lt;BE$5+7),"◆",""),IF(AND($D133&lt;BE$5+7,$E133&gt;BE$5),"■","")))</x:f>
      </x:c>
      <x:c r="BF133" s="7" t="str">
        <x:f>IF(OR($D133="",BF$5="",'상세일정'!AM133="제외"),"",IF($D133=$E133,IF(AND($D133&gt;=BF$5,$D133&lt;BF$5+7),"◆",""),IF(AND($D133&lt;BF$5+7,$E133&gt;BF$5),"■","")))</x:f>
      </x:c>
      <x:c r="BG133" s="7" t="str">
        <x:f>IF(OR($D133="",BG$5="",'상세일정'!AM133="제외"),"",IF($D133=$E133,IF(AND($D133&gt;=BG$5,$D133&lt;BG$5+7),"◆",""),IF(AND($D133&lt;BG$5+7,$E133&gt;BG$5),"■","")))</x:f>
      </x:c>
      <x:c r="BH133" s="7" t="str">
        <x:f>IF(OR($D133="",BH$5="",'상세일정'!AM133="제외"),"",IF($D133=$E133,IF(AND($D133&gt;=BH$5,$D133&lt;BH$5+7),"◆",""),IF(AND($D133&lt;BH$5+7,$E133&gt;BH$5),"■","")))</x:f>
      </x:c>
      <x:c r="BI133" s="7" t="str">
        <x:f>IF(OR($D133="",BI$5="",'상세일정'!AM133="제외"),"",IF($D133=$E133,IF(AND($D133&gt;=BI$5,$D133&lt;BI$5+7),"◆",""),IF(AND($D133&lt;BI$5+7,$E133&gt;BI$5),"■","")))</x:f>
      </x:c>
      <x:c r="BJ133" s="7" t="str">
        <x:f>IF(OR($D133="",BJ$5="",'상세일정'!AM133="제외"),"",IF($D133=$E133,IF(AND($D133&gt;=BJ$5,$D133&lt;BJ$5+7),"◆",""),IF(AND($D133&lt;BJ$5+7,$E133&gt;BJ$5),"■","")))</x:f>
      </x:c>
      <x:c r="BK133" s="7" t="str">
        <x:f>IF(OR($D133="",BK$5="",'상세일정'!AM133="제외"),"",IF($D133=$E133,IF(AND($D133&gt;=BK$5,$D133&lt;BK$5+7),"◆",""),IF(AND($D133&lt;BK$5+7,$E133&gt;BK$5),"■","")))</x:f>
      </x:c>
      <x:c r="BL133" s="7" t="str">
        <x:f>IF(OR($D133="",BL$5="",'상세일정'!AM133="제외"),"",IF($D133=$E133,IF(AND($D133&gt;=BL$5,$D133&lt;BL$5+7),"◆",""),IF(AND($D133&lt;BL$5+7,$E133&gt;BL$5),"■","")))</x:f>
      </x:c>
      <x:c r="BM133" s="7" t="str">
        <x:f>IF(OR($D133="",BM$5="",'상세일정'!AM133="제외"),"",IF($D133=$E133,IF(AND($D133&gt;=BM$5,$D133&lt;BM$5+7),"◆",""),IF(AND($D133&lt;BM$5+7,$E133&gt;BM$5),"■","")))</x:f>
      </x:c>
      <x:c r="BN133" s="7" t="str">
        <x:f>IF(OR($D133="",BN$5="",'상세일정'!AM133="제외"),"",IF($D133=$E133,IF(AND($D133&gt;=BN$5,$D133&lt;BN$5+7),"◆",""),IF(AND($D133&lt;BN$5+7,$E133&gt;BN$5),"■","")))</x:f>
      </x:c>
      <x:c r="BO133" s="7" t="str">
        <x:f>IF(OR($D133="",BO$5="",'상세일정'!AM133="제외"),"",IF($D133=$E133,IF(AND($D133&gt;=BO$5,$D133&lt;BO$5+7),"◆",""),IF(AND($D133&lt;BO$5+7,$E133&gt;BO$5),"■","")))</x:f>
      </x:c>
      <x:c r="BP133" s="7" t="str">
        <x:f>IF(OR($D133="",BP$5="",'상세일정'!AM133="제외"),"",IF($D133=$E133,IF(AND($D133&gt;=BP$5,$D133&lt;BP$5+7),"◆",""),IF(AND($D133&lt;BP$5+7,$E133&gt;BP$5),"■","")))</x:f>
      </x:c>
      <x:c r="BQ133" s="7" t="str">
        <x:f>IF(OR($D133="",BQ$5="",'상세일정'!AM133="제외"),"",IF($D133=$E133,IF(AND($D133&gt;=BQ$5,$D133&lt;BQ$5+7),"◆",""),IF(AND($D133&lt;BQ$5+7,$E133&gt;BQ$5),"■","")))</x:f>
      </x:c>
      <x:c r="BR133" s="7" t="str">
        <x:f>IF(OR($D133="",BR$5="",'상세일정'!AM133="제외"),"",IF($D133=$E133,IF(AND($D133&gt;=BR$5,$D133&lt;BR$5+7),"◆",""),IF(AND($D133&lt;BR$5+7,$E133&gt;BR$5),"■","")))</x:f>
      </x:c>
      <x:c r="BS133" s="7" t="str">
        <x:f>IF(OR($D133="",BS$5="",'상세일정'!AM133="제외"),"",IF($D133=$E133,IF(AND($D133&gt;=BS$5,$D133&lt;BS$5+7),"◆",""),IF(AND($D133&lt;BS$5+7,$E133&gt;BS$5),"■","")))</x:f>
      </x:c>
      <x:c r="BT133" s="7" t="str">
        <x:f>IF(OR($D133="",BT$5="",'상세일정'!AM133="제외"),"",IF($D133=$E133,IF(AND($D133&gt;=BT$5,$D133&lt;BT$5+7),"◆",""),IF(AND($D133&lt;BT$5+7,$E133&gt;BT$5),"■","")))</x:f>
      </x:c>
      <x:c r="BU133" s="7" t="str">
        <x:f>IF(OR($D133="",BU$5="",'상세일정'!AM133="제외"),"",IF($D133=$E133,IF(AND($D133&gt;=BU$5,$D133&lt;BU$5+7),"◆",""),IF(AND($D133&lt;BU$5+7,$E133&gt;BU$5),"■","")))</x:f>
      </x:c>
      <x:c r="BV133" s="7" t="str">
        <x:f>IF(OR($D133="",BV$5="",'상세일정'!AM133="제외"),"",IF($D133=$E133,IF(AND($D133&gt;=BV$5,$D133&lt;BV$5+7),"◆",""),IF(AND($D133&lt;BV$5+7,$E133&gt;BV$5),"■","")))</x:f>
      </x:c>
      <x:c r="BW133" s="7" t="str">
        <x:f>IF(OR($D133="",BW$5="",'상세일정'!AM133="제외"),"",IF($D133=$E133,IF(AND($D133&gt;=BW$5,$D133&lt;BW$5+7),"◆",""),IF(AND($D133&lt;BW$5+7,$E133&gt;BW$5),"■","")))</x:f>
      </x:c>
      <x:c r="BX133" s="7" t="str">
        <x:f>IF(OR($D133="",BX$5="",'상세일정'!AM133="제외"),"",IF($D133=$E133,IF(AND($D133&gt;=BX$5,$D133&lt;BX$5+7),"◆",""),IF(AND($D133&lt;BX$5+7,$E133&gt;BX$5),"■","")))</x:f>
      </x:c>
      <x:c r="BY133" s="7" t="str">
        <x:f>IF(OR($D133="",BY$5="",'상세일정'!AM133="제외"),"",IF($D133=$E133,IF(AND($D133&gt;=BY$5,$D133&lt;BY$5+7),"◆",""),IF(AND($D133&lt;BY$5+7,$E133&gt;BY$5),"■","")))</x:f>
      </x:c>
      <x:c r="BZ133" s="7" t="str">
        <x:f>IF(OR($D133="",BZ$5="",'상세일정'!AM133="제외"),"",IF($D133=$E133,IF(AND($D133&gt;=BZ$5,$D133&lt;BZ$5+7),"◆",""),IF(AND($D133&lt;BZ$5+7,$E133&gt;BZ$5),"■","")))</x:f>
      </x:c>
      <x:c r="CA133" s="7" t="str">
        <x:f>IF(OR($D133="",CA$5="",'상세일정'!AM133="제외"),"",IF($D133=$E133,IF(AND($D133&gt;=CA$5,$D133&lt;CA$5+7),"◆",""),IF(AND($D133&lt;CA$5+7,$E133&gt;CA$5),"■","")))</x:f>
      </x:c>
      <x:c r="CB133" s="7" t="str">
        <x:f>IF(OR($D133="",CB$5="",'상세일정'!AM133="제외"),"",IF($D133=$E133,IF(AND($D133&gt;=CB$5,$D133&lt;CB$5+7),"◆",""),IF(AND($D133&lt;CB$5+7,$E133&gt;CB$5),"■","")))</x:f>
      </x:c>
      <x:c r="CC133" s="7" t="str">
        <x:f>IF(OR($D133="",CC$5="",'상세일정'!AM133="제외"),"",IF($D133=$E133,IF(AND($D133&gt;=CC$5,$D133&lt;CC$5+7),"◆",""),IF(AND($D133&lt;CC$5+7,$E133&gt;CC$5),"■","")))</x:f>
      </x:c>
      <x:c r="CD133" s="7" t="str">
        <x:f>IF(OR($D133="",CD$5="",'상세일정'!AM133="제외"),"",IF($D133=$E133,IF(AND($D133&gt;=CD$5,$D133&lt;CD$5+7),"◆",""),IF(AND($D133&lt;CD$5+7,$E133&gt;CD$5),"■","")))</x:f>
      </x:c>
      <x:c r="CE133" s="7" t="str">
        <x:f>IF(OR($D133="",CE$5="",'상세일정'!AM133="제외"),"",IF($D133=$E133,IF(AND($D133&gt;=CE$5,$D133&lt;CE$5+7),"◆",""),IF(AND($D133&lt;CE$5+7,$E133&gt;CE$5),"■","")))</x:f>
      </x:c>
      <x:c r="CF133" s="7" t="str">
        <x:f>IF(OR($D133="",CF$5="",'상세일정'!AM133="제외"),"",IF($D133=$E133,IF(AND($D133&gt;=CF$5,$D133&lt;CF$5+7),"◆",""),IF(AND($D133&lt;CF$5+7,$E133&gt;CF$5),"■","")))</x:f>
      </x:c>
      <x:c r="CG133" s="7" t="str">
        <x:f>IF(OR($D133="",CG$5="",'상세일정'!AM133="제외"),"",IF($D133=$E133,IF(AND($D133&gt;=CG$5,$D133&lt;CG$5+7),"◆",""),IF(AND($D133&lt;CG$5+7,$E133&gt;CG$5),"■","")))</x:f>
      </x:c>
      <x:c r="CH133" s="7" t="str">
        <x:f>IF(OR($D133="",CH$5="",'상세일정'!AM133="제외"),"",IF($D133=$E133,IF(AND($D133&gt;=CH$5,$D133&lt;CH$5+7),"◆",""),IF(AND($D133&lt;CH$5+7,$E133&gt;CH$5),"■","")))</x:f>
      </x:c>
      <x:c r="CI133" s="7" t="str">
        <x:f>IF(OR($D133="",CI$5="",'상세일정'!AM133="제외"),"",IF($D133=$E133,IF(AND($D133&gt;=CI$5,$D133&lt;CI$5+7),"◆",""),IF(AND($D133&lt;CI$5+7,$E133&gt;CI$5),"■","")))</x:f>
      </x:c>
      <x:c r="CJ133" s="7" t="str">
        <x:f>IF(OR($D133="",CJ$5="",'상세일정'!AM133="제외"),"",IF($D133=$E133,IF(AND($D133&gt;=CJ$5,$D133&lt;CJ$5+7),"◆",""),IF(AND($D133&lt;CJ$5+7,$E133&gt;CJ$5),"■","")))</x:f>
      </x:c>
      <x:c r="CK133" s="7" t="str">
        <x:f>IF(OR($D133="",CK$5="",'상세일정'!AM133="제외"),"",IF($D133=$E133,IF(AND($D133&gt;=CK$5,$D133&lt;CK$5+7),"◆",""),IF(AND($D133&lt;CK$5+7,$E133&gt;CK$5),"■","")))</x:f>
      </x:c>
      <x:c r="CL133" s="7" t="str">
        <x:f>IF(OR($D133="",CL$5="",'상세일정'!AM133="제외"),"",IF($D133=$E133,IF(AND($D133&gt;=CL$5,$D133&lt;CL$5+7),"◆",""),IF(AND($D133&lt;CL$5+7,$E133&gt;CL$5),"■","")))</x:f>
      </x:c>
      <x:c r="CM133" s="7" t="str">
        <x:f>IF(OR($D133="",CM$5="",'상세일정'!AM133="제외"),"",IF($D133=$E133,IF(AND($D133&gt;=CM$5,$D133&lt;CM$5+7),"◆",""),IF(AND($D133&lt;CM$5+7,$E133&gt;CM$5),"■","")))</x:f>
      </x:c>
      <x:c r="CN133" s="7" t="str">
        <x:f>IF(OR($D133="",CN$5="",'상세일정'!AM133="제외"),"",IF($D133=$E133,IF(AND($D133&gt;=CN$5,$D133&lt;CN$5+7),"◆",""),IF(AND($D133&lt;CN$5+7,$E133&gt;CN$5),"■","")))</x:f>
      </x:c>
      <x:c r="CO133" s="7" t="str">
        <x:f>IF(OR($D133="",CO$5="",'상세일정'!AM133="제외"),"",IF($D133=$E133,IF(AND($D133&gt;=CO$5,$D133&lt;CO$5+7),"◆",""),IF(AND($D133&lt;CO$5+7,$E133&gt;CO$5),"■","")))</x:f>
      </x:c>
      <x:c r="CP133" s="7" t="str">
        <x:f>IF(OR($D133="",CP$5="",'상세일정'!AM133="제외"),"",IF($D133=$E133,IF(AND($D133&gt;=CP$5,$D133&lt;CP$5+7),"◆",""),IF(AND($D133&lt;CP$5+7,$E133&gt;CP$5),"■","")))</x:f>
      </x:c>
      <x:c r="CQ133" s="7" t="str">
        <x:f>IF(OR($D133="",CQ$5="",'상세일정'!AM133="제외"),"",IF($D133=$E133,IF(AND($D133&gt;=CQ$5,$D133&lt;CQ$5+7),"◆",""),IF(AND($D133&lt;CQ$5+7,$E133&gt;CQ$5),"■","")))</x:f>
      </x:c>
      <x:c r="CR133" s="7" t="str">
        <x:f>IF(OR($D133="",CR$5="",'상세일정'!AM133="제외"),"",IF($D133=$E133,IF(AND($D133&gt;=CR$5,$D133&lt;CR$5+7),"◆",""),IF(AND($D133&lt;CR$5+7,$E133&gt;CR$5),"■","")))</x:f>
      </x:c>
      <x:c r="CS133" s="7" t="str">
        <x:f>IF(OR($D133="",CS$5="",'상세일정'!AM133="제외"),"",IF($D133=$E133,IF(AND($D133&gt;=CS$5,$D133&lt;CS$5+7),"◆",""),IF(AND($D133&lt;CS$5+7,$E133&gt;CS$5),"■","")))</x:f>
      </x:c>
      <x:c r="CT133" s="7" t="str">
        <x:f>IF(OR($D133="",CT$5="",'상세일정'!AM133="제외"),"",IF($D133=$E133,IF(AND($D133&gt;=CT$5,$D133&lt;CT$5+7),"◆",""),IF(AND($D133&lt;CT$5+7,$E133&gt;CT$5),"■","")))</x:f>
      </x:c>
      <x:c r="CU133" s="7" t="str">
        <x:f>IF(OR($D133="",CU$5="",'상세일정'!AM133="제외"),"",IF($D133=$E133,IF(AND($D133&gt;=CU$5,$D133&lt;CU$5+7),"◆",""),IF(AND($D133&lt;CU$5+7,$E133&gt;CU$5),"■","")))</x:f>
      </x:c>
      <x:c r="CV133" s="7" t="str">
        <x:f>IF(OR($D133="",CV$5="",'상세일정'!AM133="제외"),"",IF($D133=$E133,IF(AND($D133&gt;=CV$5,$D133&lt;CV$5+7),"◆",""),IF(AND($D133&lt;CV$5+7,$E133&gt;CV$5),"■","")))</x:f>
      </x:c>
      <x:c r="CW133" s="7" t="str">
        <x:f>IF(OR($D133="",CW$5="",'상세일정'!AM133="제외"),"",IF($D133=$E133,IF(AND($D133&gt;=CW$5,$D133&lt;CW$5+7),"◆",""),IF(AND($D133&lt;CW$5+7,$E133&gt;CW$5),"■","")))</x:f>
      </x:c>
      <x:c r="CX133" s="7" t="str">
        <x:f>IF(OR($D133="",CX$5="",'상세일정'!AM133="제외"),"",IF($D133=$E133,IF(AND($D133&gt;=CX$5,$D133&lt;CX$5+7),"◆",""),IF(AND($D133&lt;CX$5+7,$E133&gt;CX$5),"■","")))</x:f>
      </x:c>
      <x:c r="CY133" s="7" t="str">
        <x:f>IF(OR($D133="",CY$5="",'상세일정'!AM133="제외"),"",IF($D133=$E133,IF(AND($D133&gt;=CY$5,$D133&lt;CY$5+7),"◆",""),IF(AND($D133&lt;CY$5+7,$E133&gt;CY$5),"■","")))</x:f>
      </x:c>
      <x:c r="CZ133" s="7" t="str">
        <x:f>IF(OR($D133="",CZ$5="",'상세일정'!AM133="제외"),"",IF($D133=$E133,IF(AND($D133&gt;=CZ$5,$D133&lt;CZ$5+7),"◆",""),IF(AND($D133&lt;CZ$5+7,$E133&gt;CZ$5),"■","")))</x:f>
      </x:c>
      <x:c r="DA133" s="7" t="str">
        <x:f>IF(OR($D133="",DA$5="",'상세일정'!AM133="제외"),"",IF($D133=$E133,IF(AND($D133&gt;=DA$5,$D133&lt;DA$5+7),"◆",""),IF(AND($D133&lt;DA$5+7,$E133&gt;DA$5),"■","")))</x:f>
      </x:c>
      <x:c r="DB133" s="7" t="str">
        <x:f>IF(OR($D133="",DB$5="",'상세일정'!AM133="제외"),"",IF($D133=$E133,IF(AND($D133&gt;=DB$5,$D133&lt;DB$5+7),"◆",""),IF(AND($D133&lt;DB$5+7,$E133&gt;DB$5),"■","")))</x:f>
      </x:c>
      <x:c r="DC133" s="7" t="str">
        <x:f>IF(OR($D133="",DC$5="",'상세일정'!AM133="제외"),"",IF($D133=$E133,IF(AND($D133&gt;=DC$5,$D133&lt;DC$5+7),"◆",""),IF(AND($D133&lt;DC$5+7,$E133&gt;DC$5),"■","")))</x:f>
      </x:c>
      <x:c r="DD133" s="7" t="str">
        <x:f>IF(OR($D133="",DD$5="",'상세일정'!AM133="제외"),"",IF($D133=$E133,IF(AND($D133&gt;=DD$5,$D133&lt;DD$5+7),"◆",""),IF(AND($D133&lt;DD$5+7,$E133&gt;DD$5),"■","")))</x:f>
      </x:c>
      <x:c r="DE133" s="7" t="str">
        <x:f>IF(OR($D133="",DE$5="",'상세일정'!AM133="제외"),"",IF($D133=$E133,IF(AND($D133&gt;=DE$5,$D133&lt;DE$5+7),"◆",""),IF(AND($D133&lt;DE$5+7,$E133&gt;DE$5),"■","")))</x:f>
      </x:c>
    </x:row>
    <x:row r="134" ht="34" customHeight="1">
      <x:c r="A134" s="7" t="str">
        <x:v>TK06</x:v>
      </x:c>
      <x:c r="B134" s="7" t="str">
        <x:v>16 기자재 구매·제작</x:v>
      </x:c>
      <x:c r="C134" s="7" t="str">
        <x:v>저장용기·버퍼탱크 FAT 입회·지적사항 조치</x:v>
      </x:c>
      <x:c r="D134" s="10" t="str">
        <x:f>'상세일정'!AJ134</x:f>
      </x:c>
      <x:c r="E134" s="10" t="str">
        <x:f>'상세일정'!AK134</x:f>
      </x:c>
      <x:c r="F134" s="7" t="str">
        <x:f>IF(OR($D134="",F$5="",'상세일정'!AM134="제외"),"",IF($D134=$E134,IF(AND($D134&gt;=F$5,$D134&lt;F$5+7),"◆",""),IF(AND($D134&lt;F$5+7,$E134&gt;F$5),"■","")))</x:f>
      </x:c>
      <x:c r="G134" s="7" t="str">
        <x:f>IF(OR($D134="",G$5="",'상세일정'!AM134="제외"),"",IF($D134=$E134,IF(AND($D134&gt;=G$5,$D134&lt;G$5+7),"◆",""),IF(AND($D134&lt;G$5+7,$E134&gt;G$5),"■","")))</x:f>
      </x:c>
      <x:c r="H134" s="7" t="str">
        <x:f>IF(OR($D134="",H$5="",'상세일정'!AM134="제외"),"",IF($D134=$E134,IF(AND($D134&gt;=H$5,$D134&lt;H$5+7),"◆",""),IF(AND($D134&lt;H$5+7,$E134&gt;H$5),"■","")))</x:f>
      </x:c>
      <x:c r="I134" s="7" t="str">
        <x:f>IF(OR($D134="",I$5="",'상세일정'!AM134="제외"),"",IF($D134=$E134,IF(AND($D134&gt;=I$5,$D134&lt;I$5+7),"◆",""),IF(AND($D134&lt;I$5+7,$E134&gt;I$5),"■","")))</x:f>
      </x:c>
      <x:c r="J134" s="7" t="str">
        <x:f>IF(OR($D134="",J$5="",'상세일정'!AM134="제외"),"",IF($D134=$E134,IF(AND($D134&gt;=J$5,$D134&lt;J$5+7),"◆",""),IF(AND($D134&lt;J$5+7,$E134&gt;J$5),"■","")))</x:f>
      </x:c>
      <x:c r="K134" s="7" t="str">
        <x:f>IF(OR($D134="",K$5="",'상세일정'!AM134="제외"),"",IF($D134=$E134,IF(AND($D134&gt;=K$5,$D134&lt;K$5+7),"◆",""),IF(AND($D134&lt;K$5+7,$E134&gt;K$5),"■","")))</x:f>
      </x:c>
      <x:c r="L134" s="7" t="str">
        <x:f>IF(OR($D134="",L$5="",'상세일정'!AM134="제외"),"",IF($D134=$E134,IF(AND($D134&gt;=L$5,$D134&lt;L$5+7),"◆",""),IF(AND($D134&lt;L$5+7,$E134&gt;L$5),"■","")))</x:f>
      </x:c>
      <x:c r="M134" s="7" t="str">
        <x:f>IF(OR($D134="",M$5="",'상세일정'!AM134="제외"),"",IF($D134=$E134,IF(AND($D134&gt;=M$5,$D134&lt;M$5+7),"◆",""),IF(AND($D134&lt;M$5+7,$E134&gt;M$5),"■","")))</x:f>
      </x:c>
      <x:c r="N134" s="7" t="str">
        <x:f>IF(OR($D134="",N$5="",'상세일정'!AM134="제외"),"",IF($D134=$E134,IF(AND($D134&gt;=N$5,$D134&lt;N$5+7),"◆",""),IF(AND($D134&lt;N$5+7,$E134&gt;N$5),"■","")))</x:f>
      </x:c>
      <x:c r="O134" s="7" t="str">
        <x:f>IF(OR($D134="",O$5="",'상세일정'!AM134="제외"),"",IF($D134=$E134,IF(AND($D134&gt;=O$5,$D134&lt;O$5+7),"◆",""),IF(AND($D134&lt;O$5+7,$E134&gt;O$5),"■","")))</x:f>
      </x:c>
      <x:c r="P134" s="7" t="str">
        <x:f>IF(OR($D134="",P$5="",'상세일정'!AM134="제외"),"",IF($D134=$E134,IF(AND($D134&gt;=P$5,$D134&lt;P$5+7),"◆",""),IF(AND($D134&lt;P$5+7,$E134&gt;P$5),"■","")))</x:f>
      </x:c>
      <x:c r="Q134" s="7" t="str">
        <x:f>IF(OR($D134="",Q$5="",'상세일정'!AM134="제외"),"",IF($D134=$E134,IF(AND($D134&gt;=Q$5,$D134&lt;Q$5+7),"◆",""),IF(AND($D134&lt;Q$5+7,$E134&gt;Q$5),"■","")))</x:f>
      </x:c>
      <x:c r="R134" s="7" t="str">
        <x:f>IF(OR($D134="",R$5="",'상세일정'!AM134="제외"),"",IF($D134=$E134,IF(AND($D134&gt;=R$5,$D134&lt;R$5+7),"◆",""),IF(AND($D134&lt;R$5+7,$E134&gt;R$5),"■","")))</x:f>
      </x:c>
      <x:c r="S134" s="7" t="str">
        <x:f>IF(OR($D134="",S$5="",'상세일정'!AM134="제외"),"",IF($D134=$E134,IF(AND($D134&gt;=S$5,$D134&lt;S$5+7),"◆",""),IF(AND($D134&lt;S$5+7,$E134&gt;S$5),"■","")))</x:f>
      </x:c>
      <x:c r="T134" s="7" t="str">
        <x:f>IF(OR($D134="",T$5="",'상세일정'!AM134="제외"),"",IF($D134=$E134,IF(AND($D134&gt;=T$5,$D134&lt;T$5+7),"◆",""),IF(AND($D134&lt;T$5+7,$E134&gt;T$5),"■","")))</x:f>
      </x:c>
      <x:c r="U134" s="7" t="str">
        <x:f>IF(OR($D134="",U$5="",'상세일정'!AM134="제외"),"",IF($D134=$E134,IF(AND($D134&gt;=U$5,$D134&lt;U$5+7),"◆",""),IF(AND($D134&lt;U$5+7,$E134&gt;U$5),"■","")))</x:f>
      </x:c>
      <x:c r="V134" s="7" t="str">
        <x:f>IF(OR($D134="",V$5="",'상세일정'!AM134="제외"),"",IF($D134=$E134,IF(AND($D134&gt;=V$5,$D134&lt;V$5+7),"◆",""),IF(AND($D134&lt;V$5+7,$E134&gt;V$5),"■","")))</x:f>
      </x:c>
      <x:c r="W134" s="7" t="str">
        <x:f>IF(OR($D134="",W$5="",'상세일정'!AM134="제외"),"",IF($D134=$E134,IF(AND($D134&gt;=W$5,$D134&lt;W$5+7),"◆",""),IF(AND($D134&lt;W$5+7,$E134&gt;W$5),"■","")))</x:f>
      </x:c>
      <x:c r="X134" s="7" t="str">
        <x:f>IF(OR($D134="",X$5="",'상세일정'!AM134="제외"),"",IF($D134=$E134,IF(AND($D134&gt;=X$5,$D134&lt;X$5+7),"◆",""),IF(AND($D134&lt;X$5+7,$E134&gt;X$5),"■","")))</x:f>
      </x:c>
      <x:c r="Y134" s="7" t="str">
        <x:f>IF(OR($D134="",Y$5="",'상세일정'!AM134="제외"),"",IF($D134=$E134,IF(AND($D134&gt;=Y$5,$D134&lt;Y$5+7),"◆",""),IF(AND($D134&lt;Y$5+7,$E134&gt;Y$5),"■","")))</x:f>
      </x:c>
      <x:c r="Z134" s="7" t="str">
        <x:f>IF(OR($D134="",Z$5="",'상세일정'!AM134="제외"),"",IF($D134=$E134,IF(AND($D134&gt;=Z$5,$D134&lt;Z$5+7),"◆",""),IF(AND($D134&lt;Z$5+7,$E134&gt;Z$5),"■","")))</x:f>
      </x:c>
      <x:c r="AA134" s="7" t="str">
        <x:f>IF(OR($D134="",AA$5="",'상세일정'!AM134="제외"),"",IF($D134=$E134,IF(AND($D134&gt;=AA$5,$D134&lt;AA$5+7),"◆",""),IF(AND($D134&lt;AA$5+7,$E134&gt;AA$5),"■","")))</x:f>
      </x:c>
      <x:c r="AB134" s="7" t="str">
        <x:f>IF(OR($D134="",AB$5="",'상세일정'!AM134="제외"),"",IF($D134=$E134,IF(AND($D134&gt;=AB$5,$D134&lt;AB$5+7),"◆",""),IF(AND($D134&lt;AB$5+7,$E134&gt;AB$5),"■","")))</x:f>
      </x:c>
      <x:c r="AC134" s="7" t="str">
        <x:f>IF(OR($D134="",AC$5="",'상세일정'!AM134="제외"),"",IF($D134=$E134,IF(AND($D134&gt;=AC$5,$D134&lt;AC$5+7),"◆",""),IF(AND($D134&lt;AC$5+7,$E134&gt;AC$5),"■","")))</x:f>
      </x:c>
      <x:c r="AD134" s="7" t="str">
        <x:f>IF(OR($D134="",AD$5="",'상세일정'!AM134="제외"),"",IF($D134=$E134,IF(AND($D134&gt;=AD$5,$D134&lt;AD$5+7),"◆",""),IF(AND($D134&lt;AD$5+7,$E134&gt;AD$5),"■","")))</x:f>
      </x:c>
      <x:c r="AE134" s="7" t="str">
        <x:f>IF(OR($D134="",AE$5="",'상세일정'!AM134="제외"),"",IF($D134=$E134,IF(AND($D134&gt;=AE$5,$D134&lt;AE$5+7),"◆",""),IF(AND($D134&lt;AE$5+7,$E134&gt;AE$5),"■","")))</x:f>
      </x:c>
      <x:c r="AF134" s="7" t="str">
        <x:f>IF(OR($D134="",AF$5="",'상세일정'!AM134="제외"),"",IF($D134=$E134,IF(AND($D134&gt;=AF$5,$D134&lt;AF$5+7),"◆",""),IF(AND($D134&lt;AF$5+7,$E134&gt;AF$5),"■","")))</x:f>
      </x:c>
      <x:c r="AG134" s="7" t="str">
        <x:f>IF(OR($D134="",AG$5="",'상세일정'!AM134="제외"),"",IF($D134=$E134,IF(AND($D134&gt;=AG$5,$D134&lt;AG$5+7),"◆",""),IF(AND($D134&lt;AG$5+7,$E134&gt;AG$5),"■","")))</x:f>
      </x:c>
      <x:c r="AH134" s="7" t="str">
        <x:f>IF(OR($D134="",AH$5="",'상세일정'!AM134="제외"),"",IF($D134=$E134,IF(AND($D134&gt;=AH$5,$D134&lt;AH$5+7),"◆",""),IF(AND($D134&lt;AH$5+7,$E134&gt;AH$5),"■","")))</x:f>
      </x:c>
      <x:c r="AI134" s="7" t="str">
        <x:f>IF(OR($D134="",AI$5="",'상세일정'!AM134="제외"),"",IF($D134=$E134,IF(AND($D134&gt;=AI$5,$D134&lt;AI$5+7),"◆",""),IF(AND($D134&lt;AI$5+7,$E134&gt;AI$5),"■","")))</x:f>
      </x:c>
      <x:c r="AJ134" s="7" t="str">
        <x:f>IF(OR($D134="",AJ$5="",'상세일정'!AM134="제외"),"",IF($D134=$E134,IF(AND($D134&gt;=AJ$5,$D134&lt;AJ$5+7),"◆",""),IF(AND($D134&lt;AJ$5+7,$E134&gt;AJ$5),"■","")))</x:f>
      </x:c>
      <x:c r="AK134" s="7" t="str">
        <x:f>IF(OR($D134="",AK$5="",'상세일정'!AM134="제외"),"",IF($D134=$E134,IF(AND($D134&gt;=AK$5,$D134&lt;AK$5+7),"◆",""),IF(AND($D134&lt;AK$5+7,$E134&gt;AK$5),"■","")))</x:f>
      </x:c>
      <x:c r="AL134" s="7" t="str">
        <x:f>IF(OR($D134="",AL$5="",'상세일정'!AM134="제외"),"",IF($D134=$E134,IF(AND($D134&gt;=AL$5,$D134&lt;AL$5+7),"◆",""),IF(AND($D134&lt;AL$5+7,$E134&gt;AL$5),"■","")))</x:f>
      </x:c>
      <x:c r="AM134" s="7" t="str">
        <x:f>IF(OR($D134="",AM$5="",'상세일정'!AM134="제외"),"",IF($D134=$E134,IF(AND($D134&gt;=AM$5,$D134&lt;AM$5+7),"◆",""),IF(AND($D134&lt;AM$5+7,$E134&gt;AM$5),"■","")))</x:f>
      </x:c>
      <x:c r="AN134" s="7" t="str">
        <x:f>IF(OR($D134="",AN$5="",'상세일정'!AM134="제외"),"",IF($D134=$E134,IF(AND($D134&gt;=AN$5,$D134&lt;AN$5+7),"◆",""),IF(AND($D134&lt;AN$5+7,$E134&gt;AN$5),"■","")))</x:f>
      </x:c>
      <x:c r="AO134" s="7" t="str">
        <x:f>IF(OR($D134="",AO$5="",'상세일정'!AM134="제외"),"",IF($D134=$E134,IF(AND($D134&gt;=AO$5,$D134&lt;AO$5+7),"◆",""),IF(AND($D134&lt;AO$5+7,$E134&gt;AO$5),"■","")))</x:f>
      </x:c>
      <x:c r="AP134" s="7" t="str">
        <x:f>IF(OR($D134="",AP$5="",'상세일정'!AM134="제외"),"",IF($D134=$E134,IF(AND($D134&gt;=AP$5,$D134&lt;AP$5+7),"◆",""),IF(AND($D134&lt;AP$5+7,$E134&gt;AP$5),"■","")))</x:f>
      </x:c>
      <x:c r="AQ134" s="7" t="str">
        <x:f>IF(OR($D134="",AQ$5="",'상세일정'!AM134="제외"),"",IF($D134=$E134,IF(AND($D134&gt;=AQ$5,$D134&lt;AQ$5+7),"◆",""),IF(AND($D134&lt;AQ$5+7,$E134&gt;AQ$5),"■","")))</x:f>
      </x:c>
      <x:c r="AR134" s="7" t="str">
        <x:f>IF(OR($D134="",AR$5="",'상세일정'!AM134="제외"),"",IF($D134=$E134,IF(AND($D134&gt;=AR$5,$D134&lt;AR$5+7),"◆",""),IF(AND($D134&lt;AR$5+7,$E134&gt;AR$5),"■","")))</x:f>
      </x:c>
      <x:c r="AS134" s="7" t="str">
        <x:f>IF(OR($D134="",AS$5="",'상세일정'!AM134="제외"),"",IF($D134=$E134,IF(AND($D134&gt;=AS$5,$D134&lt;AS$5+7),"◆",""),IF(AND($D134&lt;AS$5+7,$E134&gt;AS$5),"■","")))</x:f>
      </x:c>
      <x:c r="AT134" s="7" t="str">
        <x:f>IF(OR($D134="",AT$5="",'상세일정'!AM134="제외"),"",IF($D134=$E134,IF(AND($D134&gt;=AT$5,$D134&lt;AT$5+7),"◆",""),IF(AND($D134&lt;AT$5+7,$E134&gt;AT$5),"■","")))</x:f>
      </x:c>
      <x:c r="AU134" s="7" t="str">
        <x:f>IF(OR($D134="",AU$5="",'상세일정'!AM134="제외"),"",IF($D134=$E134,IF(AND($D134&gt;=AU$5,$D134&lt;AU$5+7),"◆",""),IF(AND($D134&lt;AU$5+7,$E134&gt;AU$5),"■","")))</x:f>
      </x:c>
      <x:c r="AV134" s="7" t="str">
        <x:f>IF(OR($D134="",AV$5="",'상세일정'!AM134="제외"),"",IF($D134=$E134,IF(AND($D134&gt;=AV$5,$D134&lt;AV$5+7),"◆",""),IF(AND($D134&lt;AV$5+7,$E134&gt;AV$5),"■","")))</x:f>
      </x:c>
      <x:c r="AW134" s="7" t="str">
        <x:f>IF(OR($D134="",AW$5="",'상세일정'!AM134="제외"),"",IF($D134=$E134,IF(AND($D134&gt;=AW$5,$D134&lt;AW$5+7),"◆",""),IF(AND($D134&lt;AW$5+7,$E134&gt;AW$5),"■","")))</x:f>
      </x:c>
      <x:c r="AX134" s="7" t="str">
        <x:f>IF(OR($D134="",AX$5="",'상세일정'!AM134="제외"),"",IF($D134=$E134,IF(AND($D134&gt;=AX$5,$D134&lt;AX$5+7),"◆",""),IF(AND($D134&lt;AX$5+7,$E134&gt;AX$5),"■","")))</x:f>
      </x:c>
      <x:c r="AY134" s="7" t="str">
        <x:f>IF(OR($D134="",AY$5="",'상세일정'!AM134="제외"),"",IF($D134=$E134,IF(AND($D134&gt;=AY$5,$D134&lt;AY$5+7),"◆",""),IF(AND($D134&lt;AY$5+7,$E134&gt;AY$5),"■","")))</x:f>
      </x:c>
      <x:c r="AZ134" s="7" t="str">
        <x:f>IF(OR($D134="",AZ$5="",'상세일정'!AM134="제외"),"",IF($D134=$E134,IF(AND($D134&gt;=AZ$5,$D134&lt;AZ$5+7),"◆",""),IF(AND($D134&lt;AZ$5+7,$E134&gt;AZ$5),"■","")))</x:f>
      </x:c>
      <x:c r="BA134" s="7" t="str">
        <x:f>IF(OR($D134="",BA$5="",'상세일정'!AM134="제외"),"",IF($D134=$E134,IF(AND($D134&gt;=BA$5,$D134&lt;BA$5+7),"◆",""),IF(AND($D134&lt;BA$5+7,$E134&gt;BA$5),"■","")))</x:f>
      </x:c>
      <x:c r="BB134" s="7" t="str">
        <x:f>IF(OR($D134="",BB$5="",'상세일정'!AM134="제외"),"",IF($D134=$E134,IF(AND($D134&gt;=BB$5,$D134&lt;BB$5+7),"◆",""),IF(AND($D134&lt;BB$5+7,$E134&gt;BB$5),"■","")))</x:f>
      </x:c>
      <x:c r="BC134" s="7" t="str">
        <x:f>IF(OR($D134="",BC$5="",'상세일정'!AM134="제외"),"",IF($D134=$E134,IF(AND($D134&gt;=BC$5,$D134&lt;BC$5+7),"◆",""),IF(AND($D134&lt;BC$5+7,$E134&gt;BC$5),"■","")))</x:f>
      </x:c>
      <x:c r="BD134" s="7" t="str">
        <x:f>IF(OR($D134="",BD$5="",'상세일정'!AM134="제외"),"",IF($D134=$E134,IF(AND($D134&gt;=BD$5,$D134&lt;BD$5+7),"◆",""),IF(AND($D134&lt;BD$5+7,$E134&gt;BD$5),"■","")))</x:f>
      </x:c>
      <x:c r="BE134" s="7" t="str">
        <x:f>IF(OR($D134="",BE$5="",'상세일정'!AM134="제외"),"",IF($D134=$E134,IF(AND($D134&gt;=BE$5,$D134&lt;BE$5+7),"◆",""),IF(AND($D134&lt;BE$5+7,$E134&gt;BE$5),"■","")))</x:f>
      </x:c>
      <x:c r="BF134" s="7" t="str">
        <x:f>IF(OR($D134="",BF$5="",'상세일정'!AM134="제외"),"",IF($D134=$E134,IF(AND($D134&gt;=BF$5,$D134&lt;BF$5+7),"◆",""),IF(AND($D134&lt;BF$5+7,$E134&gt;BF$5),"■","")))</x:f>
      </x:c>
      <x:c r="BG134" s="7" t="str">
        <x:f>IF(OR($D134="",BG$5="",'상세일정'!AM134="제외"),"",IF($D134=$E134,IF(AND($D134&gt;=BG$5,$D134&lt;BG$5+7),"◆",""),IF(AND($D134&lt;BG$5+7,$E134&gt;BG$5),"■","")))</x:f>
      </x:c>
      <x:c r="BH134" s="7" t="str">
        <x:f>IF(OR($D134="",BH$5="",'상세일정'!AM134="제외"),"",IF($D134=$E134,IF(AND($D134&gt;=BH$5,$D134&lt;BH$5+7),"◆",""),IF(AND($D134&lt;BH$5+7,$E134&gt;BH$5),"■","")))</x:f>
      </x:c>
      <x:c r="BI134" s="7" t="str">
        <x:f>IF(OR($D134="",BI$5="",'상세일정'!AM134="제외"),"",IF($D134=$E134,IF(AND($D134&gt;=BI$5,$D134&lt;BI$5+7),"◆",""),IF(AND($D134&lt;BI$5+7,$E134&gt;BI$5),"■","")))</x:f>
      </x:c>
      <x:c r="BJ134" s="7" t="str">
        <x:f>IF(OR($D134="",BJ$5="",'상세일정'!AM134="제외"),"",IF($D134=$E134,IF(AND($D134&gt;=BJ$5,$D134&lt;BJ$5+7),"◆",""),IF(AND($D134&lt;BJ$5+7,$E134&gt;BJ$5),"■","")))</x:f>
      </x:c>
      <x:c r="BK134" s="7" t="str">
        <x:f>IF(OR($D134="",BK$5="",'상세일정'!AM134="제외"),"",IF($D134=$E134,IF(AND($D134&gt;=BK$5,$D134&lt;BK$5+7),"◆",""),IF(AND($D134&lt;BK$5+7,$E134&gt;BK$5),"■","")))</x:f>
      </x:c>
      <x:c r="BL134" s="7" t="str">
        <x:f>IF(OR($D134="",BL$5="",'상세일정'!AM134="제외"),"",IF($D134=$E134,IF(AND($D134&gt;=BL$5,$D134&lt;BL$5+7),"◆",""),IF(AND($D134&lt;BL$5+7,$E134&gt;BL$5),"■","")))</x:f>
      </x:c>
      <x:c r="BM134" s="7" t="str">
        <x:f>IF(OR($D134="",BM$5="",'상세일정'!AM134="제외"),"",IF($D134=$E134,IF(AND($D134&gt;=BM$5,$D134&lt;BM$5+7),"◆",""),IF(AND($D134&lt;BM$5+7,$E134&gt;BM$5),"■","")))</x:f>
      </x:c>
      <x:c r="BN134" s="7" t="str">
        <x:f>IF(OR($D134="",BN$5="",'상세일정'!AM134="제외"),"",IF($D134=$E134,IF(AND($D134&gt;=BN$5,$D134&lt;BN$5+7),"◆",""),IF(AND($D134&lt;BN$5+7,$E134&gt;BN$5),"■","")))</x:f>
      </x:c>
      <x:c r="BO134" s="7" t="str">
        <x:f>IF(OR($D134="",BO$5="",'상세일정'!AM134="제외"),"",IF($D134=$E134,IF(AND($D134&gt;=BO$5,$D134&lt;BO$5+7),"◆",""),IF(AND($D134&lt;BO$5+7,$E134&gt;BO$5),"■","")))</x:f>
      </x:c>
      <x:c r="BP134" s="7" t="str">
        <x:f>IF(OR($D134="",BP$5="",'상세일정'!AM134="제외"),"",IF($D134=$E134,IF(AND($D134&gt;=BP$5,$D134&lt;BP$5+7),"◆",""),IF(AND($D134&lt;BP$5+7,$E134&gt;BP$5),"■","")))</x:f>
      </x:c>
      <x:c r="BQ134" s="7" t="str">
        <x:f>IF(OR($D134="",BQ$5="",'상세일정'!AM134="제외"),"",IF($D134=$E134,IF(AND($D134&gt;=BQ$5,$D134&lt;BQ$5+7),"◆",""),IF(AND($D134&lt;BQ$5+7,$E134&gt;BQ$5),"■","")))</x:f>
      </x:c>
      <x:c r="BR134" s="7" t="str">
        <x:f>IF(OR($D134="",BR$5="",'상세일정'!AM134="제외"),"",IF($D134=$E134,IF(AND($D134&gt;=BR$5,$D134&lt;BR$5+7),"◆",""),IF(AND($D134&lt;BR$5+7,$E134&gt;BR$5),"■","")))</x:f>
      </x:c>
      <x:c r="BS134" s="7" t="str">
        <x:f>IF(OR($D134="",BS$5="",'상세일정'!AM134="제외"),"",IF($D134=$E134,IF(AND($D134&gt;=BS$5,$D134&lt;BS$5+7),"◆",""),IF(AND($D134&lt;BS$5+7,$E134&gt;BS$5),"■","")))</x:f>
      </x:c>
      <x:c r="BT134" s="7" t="str">
        <x:f>IF(OR($D134="",BT$5="",'상세일정'!AM134="제외"),"",IF($D134=$E134,IF(AND($D134&gt;=BT$5,$D134&lt;BT$5+7),"◆",""),IF(AND($D134&lt;BT$5+7,$E134&gt;BT$5),"■","")))</x:f>
      </x:c>
      <x:c r="BU134" s="7" t="str">
        <x:f>IF(OR($D134="",BU$5="",'상세일정'!AM134="제외"),"",IF($D134=$E134,IF(AND($D134&gt;=BU$5,$D134&lt;BU$5+7),"◆",""),IF(AND($D134&lt;BU$5+7,$E134&gt;BU$5),"■","")))</x:f>
      </x:c>
      <x:c r="BV134" s="7" t="str">
        <x:f>IF(OR($D134="",BV$5="",'상세일정'!AM134="제외"),"",IF($D134=$E134,IF(AND($D134&gt;=BV$5,$D134&lt;BV$5+7),"◆",""),IF(AND($D134&lt;BV$5+7,$E134&gt;BV$5),"■","")))</x:f>
      </x:c>
      <x:c r="BW134" s="7" t="str">
        <x:f>IF(OR($D134="",BW$5="",'상세일정'!AM134="제외"),"",IF($D134=$E134,IF(AND($D134&gt;=BW$5,$D134&lt;BW$5+7),"◆",""),IF(AND($D134&lt;BW$5+7,$E134&gt;BW$5),"■","")))</x:f>
      </x:c>
      <x:c r="BX134" s="7" t="str">
        <x:f>IF(OR($D134="",BX$5="",'상세일정'!AM134="제외"),"",IF($D134=$E134,IF(AND($D134&gt;=BX$5,$D134&lt;BX$5+7),"◆",""),IF(AND($D134&lt;BX$5+7,$E134&gt;BX$5),"■","")))</x:f>
      </x:c>
      <x:c r="BY134" s="7" t="str">
        <x:f>IF(OR($D134="",BY$5="",'상세일정'!AM134="제외"),"",IF($D134=$E134,IF(AND($D134&gt;=BY$5,$D134&lt;BY$5+7),"◆",""),IF(AND($D134&lt;BY$5+7,$E134&gt;BY$5),"■","")))</x:f>
      </x:c>
      <x:c r="BZ134" s="7" t="str">
        <x:f>IF(OR($D134="",BZ$5="",'상세일정'!AM134="제외"),"",IF($D134=$E134,IF(AND($D134&gt;=BZ$5,$D134&lt;BZ$5+7),"◆",""),IF(AND($D134&lt;BZ$5+7,$E134&gt;BZ$5),"■","")))</x:f>
      </x:c>
      <x:c r="CA134" s="7" t="str">
        <x:f>IF(OR($D134="",CA$5="",'상세일정'!AM134="제외"),"",IF($D134=$E134,IF(AND($D134&gt;=CA$5,$D134&lt;CA$5+7),"◆",""),IF(AND($D134&lt;CA$5+7,$E134&gt;CA$5),"■","")))</x:f>
      </x:c>
      <x:c r="CB134" s="7" t="str">
        <x:f>IF(OR($D134="",CB$5="",'상세일정'!AM134="제외"),"",IF($D134=$E134,IF(AND($D134&gt;=CB$5,$D134&lt;CB$5+7),"◆",""),IF(AND($D134&lt;CB$5+7,$E134&gt;CB$5),"■","")))</x:f>
      </x:c>
      <x:c r="CC134" s="7" t="str">
        <x:f>IF(OR($D134="",CC$5="",'상세일정'!AM134="제외"),"",IF($D134=$E134,IF(AND($D134&gt;=CC$5,$D134&lt;CC$5+7),"◆",""),IF(AND($D134&lt;CC$5+7,$E134&gt;CC$5),"■","")))</x:f>
      </x:c>
      <x:c r="CD134" s="7" t="str">
        <x:f>IF(OR($D134="",CD$5="",'상세일정'!AM134="제외"),"",IF($D134=$E134,IF(AND($D134&gt;=CD$5,$D134&lt;CD$5+7),"◆",""),IF(AND($D134&lt;CD$5+7,$E134&gt;CD$5),"■","")))</x:f>
      </x:c>
      <x:c r="CE134" s="7" t="str">
        <x:f>IF(OR($D134="",CE$5="",'상세일정'!AM134="제외"),"",IF($D134=$E134,IF(AND($D134&gt;=CE$5,$D134&lt;CE$5+7),"◆",""),IF(AND($D134&lt;CE$5+7,$E134&gt;CE$5),"■","")))</x:f>
      </x:c>
      <x:c r="CF134" s="7" t="str">
        <x:f>IF(OR($D134="",CF$5="",'상세일정'!AM134="제외"),"",IF($D134=$E134,IF(AND($D134&gt;=CF$5,$D134&lt;CF$5+7),"◆",""),IF(AND($D134&lt;CF$5+7,$E134&gt;CF$5),"■","")))</x:f>
      </x:c>
      <x:c r="CG134" s="7" t="str">
        <x:f>IF(OR($D134="",CG$5="",'상세일정'!AM134="제외"),"",IF($D134=$E134,IF(AND($D134&gt;=CG$5,$D134&lt;CG$5+7),"◆",""),IF(AND($D134&lt;CG$5+7,$E134&gt;CG$5),"■","")))</x:f>
      </x:c>
      <x:c r="CH134" s="7" t="str">
        <x:f>IF(OR($D134="",CH$5="",'상세일정'!AM134="제외"),"",IF($D134=$E134,IF(AND($D134&gt;=CH$5,$D134&lt;CH$5+7),"◆",""),IF(AND($D134&lt;CH$5+7,$E134&gt;CH$5),"■","")))</x:f>
      </x:c>
      <x:c r="CI134" s="7" t="str">
        <x:f>IF(OR($D134="",CI$5="",'상세일정'!AM134="제외"),"",IF($D134=$E134,IF(AND($D134&gt;=CI$5,$D134&lt;CI$5+7),"◆",""),IF(AND($D134&lt;CI$5+7,$E134&gt;CI$5),"■","")))</x:f>
      </x:c>
      <x:c r="CJ134" s="7" t="str">
        <x:f>IF(OR($D134="",CJ$5="",'상세일정'!AM134="제외"),"",IF($D134=$E134,IF(AND($D134&gt;=CJ$5,$D134&lt;CJ$5+7),"◆",""),IF(AND($D134&lt;CJ$5+7,$E134&gt;CJ$5),"■","")))</x:f>
      </x:c>
      <x:c r="CK134" s="7" t="str">
        <x:f>IF(OR($D134="",CK$5="",'상세일정'!AM134="제외"),"",IF($D134=$E134,IF(AND($D134&gt;=CK$5,$D134&lt;CK$5+7),"◆",""),IF(AND($D134&lt;CK$5+7,$E134&gt;CK$5),"■","")))</x:f>
      </x:c>
      <x:c r="CL134" s="7" t="str">
        <x:f>IF(OR($D134="",CL$5="",'상세일정'!AM134="제외"),"",IF($D134=$E134,IF(AND($D134&gt;=CL$5,$D134&lt;CL$5+7),"◆",""),IF(AND($D134&lt;CL$5+7,$E134&gt;CL$5),"■","")))</x:f>
      </x:c>
      <x:c r="CM134" s="7" t="str">
        <x:f>IF(OR($D134="",CM$5="",'상세일정'!AM134="제외"),"",IF($D134=$E134,IF(AND($D134&gt;=CM$5,$D134&lt;CM$5+7),"◆",""),IF(AND($D134&lt;CM$5+7,$E134&gt;CM$5),"■","")))</x:f>
      </x:c>
      <x:c r="CN134" s="7" t="str">
        <x:f>IF(OR($D134="",CN$5="",'상세일정'!AM134="제외"),"",IF($D134=$E134,IF(AND($D134&gt;=CN$5,$D134&lt;CN$5+7),"◆",""),IF(AND($D134&lt;CN$5+7,$E134&gt;CN$5),"■","")))</x:f>
      </x:c>
      <x:c r="CO134" s="7" t="str">
        <x:f>IF(OR($D134="",CO$5="",'상세일정'!AM134="제외"),"",IF($D134=$E134,IF(AND($D134&gt;=CO$5,$D134&lt;CO$5+7),"◆",""),IF(AND($D134&lt;CO$5+7,$E134&gt;CO$5),"■","")))</x:f>
      </x:c>
      <x:c r="CP134" s="7" t="str">
        <x:f>IF(OR($D134="",CP$5="",'상세일정'!AM134="제외"),"",IF($D134=$E134,IF(AND($D134&gt;=CP$5,$D134&lt;CP$5+7),"◆",""),IF(AND($D134&lt;CP$5+7,$E134&gt;CP$5),"■","")))</x:f>
      </x:c>
      <x:c r="CQ134" s="7" t="str">
        <x:f>IF(OR($D134="",CQ$5="",'상세일정'!AM134="제외"),"",IF($D134=$E134,IF(AND($D134&gt;=CQ$5,$D134&lt;CQ$5+7),"◆",""),IF(AND($D134&lt;CQ$5+7,$E134&gt;CQ$5),"■","")))</x:f>
      </x:c>
      <x:c r="CR134" s="7" t="str">
        <x:f>IF(OR($D134="",CR$5="",'상세일정'!AM134="제외"),"",IF($D134=$E134,IF(AND($D134&gt;=CR$5,$D134&lt;CR$5+7),"◆",""),IF(AND($D134&lt;CR$5+7,$E134&gt;CR$5),"■","")))</x:f>
      </x:c>
      <x:c r="CS134" s="7" t="str">
        <x:f>IF(OR($D134="",CS$5="",'상세일정'!AM134="제외"),"",IF($D134=$E134,IF(AND($D134&gt;=CS$5,$D134&lt;CS$5+7),"◆",""),IF(AND($D134&lt;CS$5+7,$E134&gt;CS$5),"■","")))</x:f>
      </x:c>
      <x:c r="CT134" s="7" t="str">
        <x:f>IF(OR($D134="",CT$5="",'상세일정'!AM134="제외"),"",IF($D134=$E134,IF(AND($D134&gt;=CT$5,$D134&lt;CT$5+7),"◆",""),IF(AND($D134&lt;CT$5+7,$E134&gt;CT$5),"■","")))</x:f>
      </x:c>
      <x:c r="CU134" s="7" t="str">
        <x:f>IF(OR($D134="",CU$5="",'상세일정'!AM134="제외"),"",IF($D134=$E134,IF(AND($D134&gt;=CU$5,$D134&lt;CU$5+7),"◆",""),IF(AND($D134&lt;CU$5+7,$E134&gt;CU$5),"■","")))</x:f>
      </x:c>
      <x:c r="CV134" s="7" t="str">
        <x:f>IF(OR($D134="",CV$5="",'상세일정'!AM134="제외"),"",IF($D134=$E134,IF(AND($D134&gt;=CV$5,$D134&lt;CV$5+7),"◆",""),IF(AND($D134&lt;CV$5+7,$E134&gt;CV$5),"■","")))</x:f>
      </x:c>
      <x:c r="CW134" s="7" t="str">
        <x:f>IF(OR($D134="",CW$5="",'상세일정'!AM134="제외"),"",IF($D134=$E134,IF(AND($D134&gt;=CW$5,$D134&lt;CW$5+7),"◆",""),IF(AND($D134&lt;CW$5+7,$E134&gt;CW$5),"■","")))</x:f>
      </x:c>
      <x:c r="CX134" s="7" t="str">
        <x:f>IF(OR($D134="",CX$5="",'상세일정'!AM134="제외"),"",IF($D134=$E134,IF(AND($D134&gt;=CX$5,$D134&lt;CX$5+7),"◆",""),IF(AND($D134&lt;CX$5+7,$E134&gt;CX$5),"■","")))</x:f>
      </x:c>
      <x:c r="CY134" s="7" t="str">
        <x:f>IF(OR($D134="",CY$5="",'상세일정'!AM134="제외"),"",IF($D134=$E134,IF(AND($D134&gt;=CY$5,$D134&lt;CY$5+7),"◆",""),IF(AND($D134&lt;CY$5+7,$E134&gt;CY$5),"■","")))</x:f>
      </x:c>
      <x:c r="CZ134" s="7" t="str">
        <x:f>IF(OR($D134="",CZ$5="",'상세일정'!AM134="제외"),"",IF($D134=$E134,IF(AND($D134&gt;=CZ$5,$D134&lt;CZ$5+7),"◆",""),IF(AND($D134&lt;CZ$5+7,$E134&gt;CZ$5),"■","")))</x:f>
      </x:c>
      <x:c r="DA134" s="7" t="str">
        <x:f>IF(OR($D134="",DA$5="",'상세일정'!AM134="제외"),"",IF($D134=$E134,IF(AND($D134&gt;=DA$5,$D134&lt;DA$5+7),"◆",""),IF(AND($D134&lt;DA$5+7,$E134&gt;DA$5),"■","")))</x:f>
      </x:c>
      <x:c r="DB134" s="7" t="str">
        <x:f>IF(OR($D134="",DB$5="",'상세일정'!AM134="제외"),"",IF($D134=$E134,IF(AND($D134&gt;=DB$5,$D134&lt;DB$5+7),"◆",""),IF(AND($D134&lt;DB$5+7,$E134&gt;DB$5),"■","")))</x:f>
      </x:c>
      <x:c r="DC134" s="7" t="str">
        <x:f>IF(OR($D134="",DC$5="",'상세일정'!AM134="제외"),"",IF($D134=$E134,IF(AND($D134&gt;=DC$5,$D134&lt;DC$5+7),"◆",""),IF(AND($D134&lt;DC$5+7,$E134&gt;DC$5),"■","")))</x:f>
      </x:c>
      <x:c r="DD134" s="7" t="str">
        <x:f>IF(OR($D134="",DD$5="",'상세일정'!AM134="제외"),"",IF($D134=$E134,IF(AND($D134&gt;=DD$5,$D134&lt;DD$5+7),"◆",""),IF(AND($D134&lt;DD$5+7,$E134&gt;DD$5),"■","")))</x:f>
      </x:c>
      <x:c r="DE134" s="7" t="str">
        <x:f>IF(OR($D134="",DE$5="",'상세일정'!AM134="제외"),"",IF($D134=$E134,IF(AND($D134&gt;=DE$5,$D134&lt;DE$5+7),"◆",""),IF(AND($D134&lt;DE$5+7,$E134&gt;DE$5),"■","")))</x:f>
      </x:c>
    </x:row>
    <x:row r="135" ht="34" customHeight="1">
      <x:c r="A135" s="7" t="str">
        <x:v>TK07</x:v>
      </x:c>
      <x:c r="B135" s="7" t="str">
        <x:v>16 기자재 구매·제작</x:v>
      </x:c>
      <x:c r="C135" s="7" t="str">
        <x:v>저장용기·버퍼탱크 출하승인·운송·현장 입고</x:v>
      </x:c>
      <x:c r="D135" s="10" t="str">
        <x:f>'상세일정'!AJ135</x:f>
      </x:c>
      <x:c r="E135" s="10" t="str">
        <x:f>'상세일정'!AK135</x:f>
      </x:c>
      <x:c r="F135" s="7" t="str">
        <x:f>IF(OR($D135="",F$5="",'상세일정'!AM135="제외"),"",IF($D135=$E135,IF(AND($D135&gt;=F$5,$D135&lt;F$5+7),"◆",""),IF(AND($D135&lt;F$5+7,$E135&gt;F$5),"■","")))</x:f>
      </x:c>
      <x:c r="G135" s="7" t="str">
        <x:f>IF(OR($D135="",G$5="",'상세일정'!AM135="제외"),"",IF($D135=$E135,IF(AND($D135&gt;=G$5,$D135&lt;G$5+7),"◆",""),IF(AND($D135&lt;G$5+7,$E135&gt;G$5),"■","")))</x:f>
      </x:c>
      <x:c r="H135" s="7" t="str">
        <x:f>IF(OR($D135="",H$5="",'상세일정'!AM135="제외"),"",IF($D135=$E135,IF(AND($D135&gt;=H$5,$D135&lt;H$5+7),"◆",""),IF(AND($D135&lt;H$5+7,$E135&gt;H$5),"■","")))</x:f>
      </x:c>
      <x:c r="I135" s="7" t="str">
        <x:f>IF(OR($D135="",I$5="",'상세일정'!AM135="제외"),"",IF($D135=$E135,IF(AND($D135&gt;=I$5,$D135&lt;I$5+7),"◆",""),IF(AND($D135&lt;I$5+7,$E135&gt;I$5),"■","")))</x:f>
      </x:c>
      <x:c r="J135" s="7" t="str">
        <x:f>IF(OR($D135="",J$5="",'상세일정'!AM135="제외"),"",IF($D135=$E135,IF(AND($D135&gt;=J$5,$D135&lt;J$5+7),"◆",""),IF(AND($D135&lt;J$5+7,$E135&gt;J$5),"■","")))</x:f>
      </x:c>
      <x:c r="K135" s="7" t="str">
        <x:f>IF(OR($D135="",K$5="",'상세일정'!AM135="제외"),"",IF($D135=$E135,IF(AND($D135&gt;=K$5,$D135&lt;K$5+7),"◆",""),IF(AND($D135&lt;K$5+7,$E135&gt;K$5),"■","")))</x:f>
      </x:c>
      <x:c r="L135" s="7" t="str">
        <x:f>IF(OR($D135="",L$5="",'상세일정'!AM135="제외"),"",IF($D135=$E135,IF(AND($D135&gt;=L$5,$D135&lt;L$5+7),"◆",""),IF(AND($D135&lt;L$5+7,$E135&gt;L$5),"■","")))</x:f>
      </x:c>
      <x:c r="M135" s="7" t="str">
        <x:f>IF(OR($D135="",M$5="",'상세일정'!AM135="제외"),"",IF($D135=$E135,IF(AND($D135&gt;=M$5,$D135&lt;M$5+7),"◆",""),IF(AND($D135&lt;M$5+7,$E135&gt;M$5),"■","")))</x:f>
      </x:c>
      <x:c r="N135" s="7" t="str">
        <x:f>IF(OR($D135="",N$5="",'상세일정'!AM135="제외"),"",IF($D135=$E135,IF(AND($D135&gt;=N$5,$D135&lt;N$5+7),"◆",""),IF(AND($D135&lt;N$5+7,$E135&gt;N$5),"■","")))</x:f>
      </x:c>
      <x:c r="O135" s="7" t="str">
        <x:f>IF(OR($D135="",O$5="",'상세일정'!AM135="제외"),"",IF($D135=$E135,IF(AND($D135&gt;=O$5,$D135&lt;O$5+7),"◆",""),IF(AND($D135&lt;O$5+7,$E135&gt;O$5),"■","")))</x:f>
      </x:c>
      <x:c r="P135" s="7" t="str">
        <x:f>IF(OR($D135="",P$5="",'상세일정'!AM135="제외"),"",IF($D135=$E135,IF(AND($D135&gt;=P$5,$D135&lt;P$5+7),"◆",""),IF(AND($D135&lt;P$5+7,$E135&gt;P$5),"■","")))</x:f>
      </x:c>
      <x:c r="Q135" s="7" t="str">
        <x:f>IF(OR($D135="",Q$5="",'상세일정'!AM135="제외"),"",IF($D135=$E135,IF(AND($D135&gt;=Q$5,$D135&lt;Q$5+7),"◆",""),IF(AND($D135&lt;Q$5+7,$E135&gt;Q$5),"■","")))</x:f>
      </x:c>
      <x:c r="R135" s="7" t="str">
        <x:f>IF(OR($D135="",R$5="",'상세일정'!AM135="제외"),"",IF($D135=$E135,IF(AND($D135&gt;=R$5,$D135&lt;R$5+7),"◆",""),IF(AND($D135&lt;R$5+7,$E135&gt;R$5),"■","")))</x:f>
      </x:c>
      <x:c r="S135" s="7" t="str">
        <x:f>IF(OR($D135="",S$5="",'상세일정'!AM135="제외"),"",IF($D135=$E135,IF(AND($D135&gt;=S$5,$D135&lt;S$5+7),"◆",""),IF(AND($D135&lt;S$5+7,$E135&gt;S$5),"■","")))</x:f>
      </x:c>
      <x:c r="T135" s="7" t="str">
        <x:f>IF(OR($D135="",T$5="",'상세일정'!AM135="제외"),"",IF($D135=$E135,IF(AND($D135&gt;=T$5,$D135&lt;T$5+7),"◆",""),IF(AND($D135&lt;T$5+7,$E135&gt;T$5),"■","")))</x:f>
      </x:c>
      <x:c r="U135" s="7" t="str">
        <x:f>IF(OR($D135="",U$5="",'상세일정'!AM135="제외"),"",IF($D135=$E135,IF(AND($D135&gt;=U$5,$D135&lt;U$5+7),"◆",""),IF(AND($D135&lt;U$5+7,$E135&gt;U$5),"■","")))</x:f>
      </x:c>
      <x:c r="V135" s="7" t="str">
        <x:f>IF(OR($D135="",V$5="",'상세일정'!AM135="제외"),"",IF($D135=$E135,IF(AND($D135&gt;=V$5,$D135&lt;V$5+7),"◆",""),IF(AND($D135&lt;V$5+7,$E135&gt;V$5),"■","")))</x:f>
      </x:c>
      <x:c r="W135" s="7" t="str">
        <x:f>IF(OR($D135="",W$5="",'상세일정'!AM135="제외"),"",IF($D135=$E135,IF(AND($D135&gt;=W$5,$D135&lt;W$5+7),"◆",""),IF(AND($D135&lt;W$5+7,$E135&gt;W$5),"■","")))</x:f>
      </x:c>
      <x:c r="X135" s="7" t="str">
        <x:f>IF(OR($D135="",X$5="",'상세일정'!AM135="제외"),"",IF($D135=$E135,IF(AND($D135&gt;=X$5,$D135&lt;X$5+7),"◆",""),IF(AND($D135&lt;X$5+7,$E135&gt;X$5),"■","")))</x:f>
      </x:c>
      <x:c r="Y135" s="7" t="str">
        <x:f>IF(OR($D135="",Y$5="",'상세일정'!AM135="제외"),"",IF($D135=$E135,IF(AND($D135&gt;=Y$5,$D135&lt;Y$5+7),"◆",""),IF(AND($D135&lt;Y$5+7,$E135&gt;Y$5),"■","")))</x:f>
      </x:c>
      <x:c r="Z135" s="7" t="str">
        <x:f>IF(OR($D135="",Z$5="",'상세일정'!AM135="제외"),"",IF($D135=$E135,IF(AND($D135&gt;=Z$5,$D135&lt;Z$5+7),"◆",""),IF(AND($D135&lt;Z$5+7,$E135&gt;Z$5),"■","")))</x:f>
      </x:c>
      <x:c r="AA135" s="7" t="str">
        <x:f>IF(OR($D135="",AA$5="",'상세일정'!AM135="제외"),"",IF($D135=$E135,IF(AND($D135&gt;=AA$5,$D135&lt;AA$5+7),"◆",""),IF(AND($D135&lt;AA$5+7,$E135&gt;AA$5),"■","")))</x:f>
      </x:c>
      <x:c r="AB135" s="7" t="str">
        <x:f>IF(OR($D135="",AB$5="",'상세일정'!AM135="제외"),"",IF($D135=$E135,IF(AND($D135&gt;=AB$5,$D135&lt;AB$5+7),"◆",""),IF(AND($D135&lt;AB$5+7,$E135&gt;AB$5),"■","")))</x:f>
      </x:c>
      <x:c r="AC135" s="7" t="str">
        <x:f>IF(OR($D135="",AC$5="",'상세일정'!AM135="제외"),"",IF($D135=$E135,IF(AND($D135&gt;=AC$5,$D135&lt;AC$5+7),"◆",""),IF(AND($D135&lt;AC$5+7,$E135&gt;AC$5),"■","")))</x:f>
      </x:c>
      <x:c r="AD135" s="7" t="str">
        <x:f>IF(OR($D135="",AD$5="",'상세일정'!AM135="제외"),"",IF($D135=$E135,IF(AND($D135&gt;=AD$5,$D135&lt;AD$5+7),"◆",""),IF(AND($D135&lt;AD$5+7,$E135&gt;AD$5),"■","")))</x:f>
      </x:c>
      <x:c r="AE135" s="7" t="str">
        <x:f>IF(OR($D135="",AE$5="",'상세일정'!AM135="제외"),"",IF($D135=$E135,IF(AND($D135&gt;=AE$5,$D135&lt;AE$5+7),"◆",""),IF(AND($D135&lt;AE$5+7,$E135&gt;AE$5),"■","")))</x:f>
      </x:c>
      <x:c r="AF135" s="7" t="str">
        <x:f>IF(OR($D135="",AF$5="",'상세일정'!AM135="제외"),"",IF($D135=$E135,IF(AND($D135&gt;=AF$5,$D135&lt;AF$5+7),"◆",""),IF(AND($D135&lt;AF$5+7,$E135&gt;AF$5),"■","")))</x:f>
      </x:c>
      <x:c r="AG135" s="7" t="str">
        <x:f>IF(OR($D135="",AG$5="",'상세일정'!AM135="제외"),"",IF($D135=$E135,IF(AND($D135&gt;=AG$5,$D135&lt;AG$5+7),"◆",""),IF(AND($D135&lt;AG$5+7,$E135&gt;AG$5),"■","")))</x:f>
      </x:c>
      <x:c r="AH135" s="7" t="str">
        <x:f>IF(OR($D135="",AH$5="",'상세일정'!AM135="제외"),"",IF($D135=$E135,IF(AND($D135&gt;=AH$5,$D135&lt;AH$5+7),"◆",""),IF(AND($D135&lt;AH$5+7,$E135&gt;AH$5),"■","")))</x:f>
      </x:c>
      <x:c r="AI135" s="7" t="str">
        <x:f>IF(OR($D135="",AI$5="",'상세일정'!AM135="제외"),"",IF($D135=$E135,IF(AND($D135&gt;=AI$5,$D135&lt;AI$5+7),"◆",""),IF(AND($D135&lt;AI$5+7,$E135&gt;AI$5),"■","")))</x:f>
      </x:c>
      <x:c r="AJ135" s="7" t="str">
        <x:f>IF(OR($D135="",AJ$5="",'상세일정'!AM135="제외"),"",IF($D135=$E135,IF(AND($D135&gt;=AJ$5,$D135&lt;AJ$5+7),"◆",""),IF(AND($D135&lt;AJ$5+7,$E135&gt;AJ$5),"■","")))</x:f>
      </x:c>
      <x:c r="AK135" s="7" t="str">
        <x:f>IF(OR($D135="",AK$5="",'상세일정'!AM135="제외"),"",IF($D135=$E135,IF(AND($D135&gt;=AK$5,$D135&lt;AK$5+7),"◆",""),IF(AND($D135&lt;AK$5+7,$E135&gt;AK$5),"■","")))</x:f>
      </x:c>
      <x:c r="AL135" s="7" t="str">
        <x:f>IF(OR($D135="",AL$5="",'상세일정'!AM135="제외"),"",IF($D135=$E135,IF(AND($D135&gt;=AL$5,$D135&lt;AL$5+7),"◆",""),IF(AND($D135&lt;AL$5+7,$E135&gt;AL$5),"■","")))</x:f>
      </x:c>
      <x:c r="AM135" s="7" t="str">
        <x:f>IF(OR($D135="",AM$5="",'상세일정'!AM135="제외"),"",IF($D135=$E135,IF(AND($D135&gt;=AM$5,$D135&lt;AM$5+7),"◆",""),IF(AND($D135&lt;AM$5+7,$E135&gt;AM$5),"■","")))</x:f>
      </x:c>
      <x:c r="AN135" s="7" t="str">
        <x:f>IF(OR($D135="",AN$5="",'상세일정'!AM135="제외"),"",IF($D135=$E135,IF(AND($D135&gt;=AN$5,$D135&lt;AN$5+7),"◆",""),IF(AND($D135&lt;AN$5+7,$E135&gt;AN$5),"■","")))</x:f>
      </x:c>
      <x:c r="AO135" s="7" t="str">
        <x:f>IF(OR($D135="",AO$5="",'상세일정'!AM135="제외"),"",IF($D135=$E135,IF(AND($D135&gt;=AO$5,$D135&lt;AO$5+7),"◆",""),IF(AND($D135&lt;AO$5+7,$E135&gt;AO$5),"■","")))</x:f>
      </x:c>
      <x:c r="AP135" s="7" t="str">
        <x:f>IF(OR($D135="",AP$5="",'상세일정'!AM135="제외"),"",IF($D135=$E135,IF(AND($D135&gt;=AP$5,$D135&lt;AP$5+7),"◆",""),IF(AND($D135&lt;AP$5+7,$E135&gt;AP$5),"■","")))</x:f>
      </x:c>
      <x:c r="AQ135" s="7" t="str">
        <x:f>IF(OR($D135="",AQ$5="",'상세일정'!AM135="제외"),"",IF($D135=$E135,IF(AND($D135&gt;=AQ$5,$D135&lt;AQ$5+7),"◆",""),IF(AND($D135&lt;AQ$5+7,$E135&gt;AQ$5),"■","")))</x:f>
      </x:c>
      <x:c r="AR135" s="7" t="str">
        <x:f>IF(OR($D135="",AR$5="",'상세일정'!AM135="제외"),"",IF($D135=$E135,IF(AND($D135&gt;=AR$5,$D135&lt;AR$5+7),"◆",""),IF(AND($D135&lt;AR$5+7,$E135&gt;AR$5),"■","")))</x:f>
      </x:c>
      <x:c r="AS135" s="7" t="str">
        <x:f>IF(OR($D135="",AS$5="",'상세일정'!AM135="제외"),"",IF($D135=$E135,IF(AND($D135&gt;=AS$5,$D135&lt;AS$5+7),"◆",""),IF(AND($D135&lt;AS$5+7,$E135&gt;AS$5),"■","")))</x:f>
      </x:c>
      <x:c r="AT135" s="7" t="str">
        <x:f>IF(OR($D135="",AT$5="",'상세일정'!AM135="제외"),"",IF($D135=$E135,IF(AND($D135&gt;=AT$5,$D135&lt;AT$5+7),"◆",""),IF(AND($D135&lt;AT$5+7,$E135&gt;AT$5),"■","")))</x:f>
      </x:c>
      <x:c r="AU135" s="7" t="str">
        <x:f>IF(OR($D135="",AU$5="",'상세일정'!AM135="제외"),"",IF($D135=$E135,IF(AND($D135&gt;=AU$5,$D135&lt;AU$5+7),"◆",""),IF(AND($D135&lt;AU$5+7,$E135&gt;AU$5),"■","")))</x:f>
      </x:c>
      <x:c r="AV135" s="7" t="str">
        <x:f>IF(OR($D135="",AV$5="",'상세일정'!AM135="제외"),"",IF($D135=$E135,IF(AND($D135&gt;=AV$5,$D135&lt;AV$5+7),"◆",""),IF(AND($D135&lt;AV$5+7,$E135&gt;AV$5),"■","")))</x:f>
      </x:c>
      <x:c r="AW135" s="7" t="str">
        <x:f>IF(OR($D135="",AW$5="",'상세일정'!AM135="제외"),"",IF($D135=$E135,IF(AND($D135&gt;=AW$5,$D135&lt;AW$5+7),"◆",""),IF(AND($D135&lt;AW$5+7,$E135&gt;AW$5),"■","")))</x:f>
      </x:c>
      <x:c r="AX135" s="7" t="str">
        <x:f>IF(OR($D135="",AX$5="",'상세일정'!AM135="제외"),"",IF($D135=$E135,IF(AND($D135&gt;=AX$5,$D135&lt;AX$5+7),"◆",""),IF(AND($D135&lt;AX$5+7,$E135&gt;AX$5),"■","")))</x:f>
      </x:c>
      <x:c r="AY135" s="7" t="str">
        <x:f>IF(OR($D135="",AY$5="",'상세일정'!AM135="제외"),"",IF($D135=$E135,IF(AND($D135&gt;=AY$5,$D135&lt;AY$5+7),"◆",""),IF(AND($D135&lt;AY$5+7,$E135&gt;AY$5),"■","")))</x:f>
      </x:c>
      <x:c r="AZ135" s="7" t="str">
        <x:f>IF(OR($D135="",AZ$5="",'상세일정'!AM135="제외"),"",IF($D135=$E135,IF(AND($D135&gt;=AZ$5,$D135&lt;AZ$5+7),"◆",""),IF(AND($D135&lt;AZ$5+7,$E135&gt;AZ$5),"■","")))</x:f>
      </x:c>
      <x:c r="BA135" s="7" t="str">
        <x:f>IF(OR($D135="",BA$5="",'상세일정'!AM135="제외"),"",IF($D135=$E135,IF(AND($D135&gt;=BA$5,$D135&lt;BA$5+7),"◆",""),IF(AND($D135&lt;BA$5+7,$E135&gt;BA$5),"■","")))</x:f>
      </x:c>
      <x:c r="BB135" s="7" t="str">
        <x:f>IF(OR($D135="",BB$5="",'상세일정'!AM135="제외"),"",IF($D135=$E135,IF(AND($D135&gt;=BB$5,$D135&lt;BB$5+7),"◆",""),IF(AND($D135&lt;BB$5+7,$E135&gt;BB$5),"■","")))</x:f>
      </x:c>
      <x:c r="BC135" s="7" t="str">
        <x:f>IF(OR($D135="",BC$5="",'상세일정'!AM135="제외"),"",IF($D135=$E135,IF(AND($D135&gt;=BC$5,$D135&lt;BC$5+7),"◆",""),IF(AND($D135&lt;BC$5+7,$E135&gt;BC$5),"■","")))</x:f>
      </x:c>
      <x:c r="BD135" s="7" t="str">
        <x:f>IF(OR($D135="",BD$5="",'상세일정'!AM135="제외"),"",IF($D135=$E135,IF(AND($D135&gt;=BD$5,$D135&lt;BD$5+7),"◆",""),IF(AND($D135&lt;BD$5+7,$E135&gt;BD$5),"■","")))</x:f>
      </x:c>
      <x:c r="BE135" s="7" t="str">
        <x:f>IF(OR($D135="",BE$5="",'상세일정'!AM135="제외"),"",IF($D135=$E135,IF(AND($D135&gt;=BE$5,$D135&lt;BE$5+7),"◆",""),IF(AND($D135&lt;BE$5+7,$E135&gt;BE$5),"■","")))</x:f>
      </x:c>
      <x:c r="BF135" s="7" t="str">
        <x:f>IF(OR($D135="",BF$5="",'상세일정'!AM135="제외"),"",IF($D135=$E135,IF(AND($D135&gt;=BF$5,$D135&lt;BF$5+7),"◆",""),IF(AND($D135&lt;BF$5+7,$E135&gt;BF$5),"■","")))</x:f>
      </x:c>
      <x:c r="BG135" s="7" t="str">
        <x:f>IF(OR($D135="",BG$5="",'상세일정'!AM135="제외"),"",IF($D135=$E135,IF(AND($D135&gt;=BG$5,$D135&lt;BG$5+7),"◆",""),IF(AND($D135&lt;BG$5+7,$E135&gt;BG$5),"■","")))</x:f>
      </x:c>
      <x:c r="BH135" s="7" t="str">
        <x:f>IF(OR($D135="",BH$5="",'상세일정'!AM135="제외"),"",IF($D135=$E135,IF(AND($D135&gt;=BH$5,$D135&lt;BH$5+7),"◆",""),IF(AND($D135&lt;BH$5+7,$E135&gt;BH$5),"■","")))</x:f>
      </x:c>
      <x:c r="BI135" s="7" t="str">
        <x:f>IF(OR($D135="",BI$5="",'상세일정'!AM135="제외"),"",IF($D135=$E135,IF(AND($D135&gt;=BI$5,$D135&lt;BI$5+7),"◆",""),IF(AND($D135&lt;BI$5+7,$E135&gt;BI$5),"■","")))</x:f>
      </x:c>
      <x:c r="BJ135" s="7" t="str">
        <x:f>IF(OR($D135="",BJ$5="",'상세일정'!AM135="제외"),"",IF($D135=$E135,IF(AND($D135&gt;=BJ$5,$D135&lt;BJ$5+7),"◆",""),IF(AND($D135&lt;BJ$5+7,$E135&gt;BJ$5),"■","")))</x:f>
      </x:c>
      <x:c r="BK135" s="7" t="str">
        <x:f>IF(OR($D135="",BK$5="",'상세일정'!AM135="제외"),"",IF($D135=$E135,IF(AND($D135&gt;=BK$5,$D135&lt;BK$5+7),"◆",""),IF(AND($D135&lt;BK$5+7,$E135&gt;BK$5),"■","")))</x:f>
      </x:c>
      <x:c r="BL135" s="7" t="str">
        <x:f>IF(OR($D135="",BL$5="",'상세일정'!AM135="제외"),"",IF($D135=$E135,IF(AND($D135&gt;=BL$5,$D135&lt;BL$5+7),"◆",""),IF(AND($D135&lt;BL$5+7,$E135&gt;BL$5),"■","")))</x:f>
      </x:c>
      <x:c r="BM135" s="7" t="str">
        <x:f>IF(OR($D135="",BM$5="",'상세일정'!AM135="제외"),"",IF($D135=$E135,IF(AND($D135&gt;=BM$5,$D135&lt;BM$5+7),"◆",""),IF(AND($D135&lt;BM$5+7,$E135&gt;BM$5),"■","")))</x:f>
      </x:c>
      <x:c r="BN135" s="7" t="str">
        <x:f>IF(OR($D135="",BN$5="",'상세일정'!AM135="제외"),"",IF($D135=$E135,IF(AND($D135&gt;=BN$5,$D135&lt;BN$5+7),"◆",""),IF(AND($D135&lt;BN$5+7,$E135&gt;BN$5),"■","")))</x:f>
      </x:c>
      <x:c r="BO135" s="7" t="str">
        <x:f>IF(OR($D135="",BO$5="",'상세일정'!AM135="제외"),"",IF($D135=$E135,IF(AND($D135&gt;=BO$5,$D135&lt;BO$5+7),"◆",""),IF(AND($D135&lt;BO$5+7,$E135&gt;BO$5),"■","")))</x:f>
      </x:c>
      <x:c r="BP135" s="7" t="str">
        <x:f>IF(OR($D135="",BP$5="",'상세일정'!AM135="제외"),"",IF($D135=$E135,IF(AND($D135&gt;=BP$5,$D135&lt;BP$5+7),"◆",""),IF(AND($D135&lt;BP$5+7,$E135&gt;BP$5),"■","")))</x:f>
      </x:c>
      <x:c r="BQ135" s="7" t="str">
        <x:f>IF(OR($D135="",BQ$5="",'상세일정'!AM135="제외"),"",IF($D135=$E135,IF(AND($D135&gt;=BQ$5,$D135&lt;BQ$5+7),"◆",""),IF(AND($D135&lt;BQ$5+7,$E135&gt;BQ$5),"■","")))</x:f>
      </x:c>
      <x:c r="BR135" s="7" t="str">
        <x:f>IF(OR($D135="",BR$5="",'상세일정'!AM135="제외"),"",IF($D135=$E135,IF(AND($D135&gt;=BR$5,$D135&lt;BR$5+7),"◆",""),IF(AND($D135&lt;BR$5+7,$E135&gt;BR$5),"■","")))</x:f>
      </x:c>
      <x:c r="BS135" s="7" t="str">
        <x:f>IF(OR($D135="",BS$5="",'상세일정'!AM135="제외"),"",IF($D135=$E135,IF(AND($D135&gt;=BS$5,$D135&lt;BS$5+7),"◆",""),IF(AND($D135&lt;BS$5+7,$E135&gt;BS$5),"■","")))</x:f>
      </x:c>
      <x:c r="BT135" s="7" t="str">
        <x:f>IF(OR($D135="",BT$5="",'상세일정'!AM135="제외"),"",IF($D135=$E135,IF(AND($D135&gt;=BT$5,$D135&lt;BT$5+7),"◆",""),IF(AND($D135&lt;BT$5+7,$E135&gt;BT$5),"■","")))</x:f>
      </x:c>
      <x:c r="BU135" s="7" t="str">
        <x:f>IF(OR($D135="",BU$5="",'상세일정'!AM135="제외"),"",IF($D135=$E135,IF(AND($D135&gt;=BU$5,$D135&lt;BU$5+7),"◆",""),IF(AND($D135&lt;BU$5+7,$E135&gt;BU$5),"■","")))</x:f>
      </x:c>
      <x:c r="BV135" s="7" t="str">
        <x:f>IF(OR($D135="",BV$5="",'상세일정'!AM135="제외"),"",IF($D135=$E135,IF(AND($D135&gt;=BV$5,$D135&lt;BV$5+7),"◆",""),IF(AND($D135&lt;BV$5+7,$E135&gt;BV$5),"■","")))</x:f>
      </x:c>
      <x:c r="BW135" s="7" t="str">
        <x:f>IF(OR($D135="",BW$5="",'상세일정'!AM135="제외"),"",IF($D135=$E135,IF(AND($D135&gt;=BW$5,$D135&lt;BW$5+7),"◆",""),IF(AND($D135&lt;BW$5+7,$E135&gt;BW$5),"■","")))</x:f>
      </x:c>
      <x:c r="BX135" s="7" t="str">
        <x:f>IF(OR($D135="",BX$5="",'상세일정'!AM135="제외"),"",IF($D135=$E135,IF(AND($D135&gt;=BX$5,$D135&lt;BX$5+7),"◆",""),IF(AND($D135&lt;BX$5+7,$E135&gt;BX$5),"■","")))</x:f>
      </x:c>
      <x:c r="BY135" s="7" t="str">
        <x:f>IF(OR($D135="",BY$5="",'상세일정'!AM135="제외"),"",IF($D135=$E135,IF(AND($D135&gt;=BY$5,$D135&lt;BY$5+7),"◆",""),IF(AND($D135&lt;BY$5+7,$E135&gt;BY$5),"■","")))</x:f>
      </x:c>
      <x:c r="BZ135" s="7" t="str">
        <x:f>IF(OR($D135="",BZ$5="",'상세일정'!AM135="제외"),"",IF($D135=$E135,IF(AND($D135&gt;=BZ$5,$D135&lt;BZ$5+7),"◆",""),IF(AND($D135&lt;BZ$5+7,$E135&gt;BZ$5),"■","")))</x:f>
      </x:c>
      <x:c r="CA135" s="7" t="str">
        <x:f>IF(OR($D135="",CA$5="",'상세일정'!AM135="제외"),"",IF($D135=$E135,IF(AND($D135&gt;=CA$5,$D135&lt;CA$5+7),"◆",""),IF(AND($D135&lt;CA$5+7,$E135&gt;CA$5),"■","")))</x:f>
      </x:c>
      <x:c r="CB135" s="7" t="str">
        <x:f>IF(OR($D135="",CB$5="",'상세일정'!AM135="제외"),"",IF($D135=$E135,IF(AND($D135&gt;=CB$5,$D135&lt;CB$5+7),"◆",""),IF(AND($D135&lt;CB$5+7,$E135&gt;CB$5),"■","")))</x:f>
      </x:c>
      <x:c r="CC135" s="7" t="str">
        <x:f>IF(OR($D135="",CC$5="",'상세일정'!AM135="제외"),"",IF($D135=$E135,IF(AND($D135&gt;=CC$5,$D135&lt;CC$5+7),"◆",""),IF(AND($D135&lt;CC$5+7,$E135&gt;CC$5),"■","")))</x:f>
      </x:c>
      <x:c r="CD135" s="7" t="str">
        <x:f>IF(OR($D135="",CD$5="",'상세일정'!AM135="제외"),"",IF($D135=$E135,IF(AND($D135&gt;=CD$5,$D135&lt;CD$5+7),"◆",""),IF(AND($D135&lt;CD$5+7,$E135&gt;CD$5),"■","")))</x:f>
      </x:c>
      <x:c r="CE135" s="7" t="str">
        <x:f>IF(OR($D135="",CE$5="",'상세일정'!AM135="제외"),"",IF($D135=$E135,IF(AND($D135&gt;=CE$5,$D135&lt;CE$5+7),"◆",""),IF(AND($D135&lt;CE$5+7,$E135&gt;CE$5),"■","")))</x:f>
      </x:c>
      <x:c r="CF135" s="7" t="str">
        <x:f>IF(OR($D135="",CF$5="",'상세일정'!AM135="제외"),"",IF($D135=$E135,IF(AND($D135&gt;=CF$5,$D135&lt;CF$5+7),"◆",""),IF(AND($D135&lt;CF$5+7,$E135&gt;CF$5),"■","")))</x:f>
      </x:c>
      <x:c r="CG135" s="7" t="str">
        <x:f>IF(OR($D135="",CG$5="",'상세일정'!AM135="제외"),"",IF($D135=$E135,IF(AND($D135&gt;=CG$5,$D135&lt;CG$5+7),"◆",""),IF(AND($D135&lt;CG$5+7,$E135&gt;CG$5),"■","")))</x:f>
      </x:c>
      <x:c r="CH135" s="7" t="str">
        <x:f>IF(OR($D135="",CH$5="",'상세일정'!AM135="제외"),"",IF($D135=$E135,IF(AND($D135&gt;=CH$5,$D135&lt;CH$5+7),"◆",""),IF(AND($D135&lt;CH$5+7,$E135&gt;CH$5),"■","")))</x:f>
      </x:c>
      <x:c r="CI135" s="7" t="str">
        <x:f>IF(OR($D135="",CI$5="",'상세일정'!AM135="제외"),"",IF($D135=$E135,IF(AND($D135&gt;=CI$5,$D135&lt;CI$5+7),"◆",""),IF(AND($D135&lt;CI$5+7,$E135&gt;CI$5),"■","")))</x:f>
      </x:c>
      <x:c r="CJ135" s="7" t="str">
        <x:f>IF(OR($D135="",CJ$5="",'상세일정'!AM135="제외"),"",IF($D135=$E135,IF(AND($D135&gt;=CJ$5,$D135&lt;CJ$5+7),"◆",""),IF(AND($D135&lt;CJ$5+7,$E135&gt;CJ$5),"■","")))</x:f>
      </x:c>
      <x:c r="CK135" s="7" t="str">
        <x:f>IF(OR($D135="",CK$5="",'상세일정'!AM135="제외"),"",IF($D135=$E135,IF(AND($D135&gt;=CK$5,$D135&lt;CK$5+7),"◆",""),IF(AND($D135&lt;CK$5+7,$E135&gt;CK$5),"■","")))</x:f>
      </x:c>
      <x:c r="CL135" s="7" t="str">
        <x:f>IF(OR($D135="",CL$5="",'상세일정'!AM135="제외"),"",IF($D135=$E135,IF(AND($D135&gt;=CL$5,$D135&lt;CL$5+7),"◆",""),IF(AND($D135&lt;CL$5+7,$E135&gt;CL$5),"■","")))</x:f>
      </x:c>
      <x:c r="CM135" s="7" t="str">
        <x:f>IF(OR($D135="",CM$5="",'상세일정'!AM135="제외"),"",IF($D135=$E135,IF(AND($D135&gt;=CM$5,$D135&lt;CM$5+7),"◆",""),IF(AND($D135&lt;CM$5+7,$E135&gt;CM$5),"■","")))</x:f>
      </x:c>
      <x:c r="CN135" s="7" t="str">
        <x:f>IF(OR($D135="",CN$5="",'상세일정'!AM135="제외"),"",IF($D135=$E135,IF(AND($D135&gt;=CN$5,$D135&lt;CN$5+7),"◆",""),IF(AND($D135&lt;CN$5+7,$E135&gt;CN$5),"■","")))</x:f>
      </x:c>
      <x:c r="CO135" s="7" t="str">
        <x:f>IF(OR($D135="",CO$5="",'상세일정'!AM135="제외"),"",IF($D135=$E135,IF(AND($D135&gt;=CO$5,$D135&lt;CO$5+7),"◆",""),IF(AND($D135&lt;CO$5+7,$E135&gt;CO$5),"■","")))</x:f>
      </x:c>
      <x:c r="CP135" s="7" t="str">
        <x:f>IF(OR($D135="",CP$5="",'상세일정'!AM135="제외"),"",IF($D135=$E135,IF(AND($D135&gt;=CP$5,$D135&lt;CP$5+7),"◆",""),IF(AND($D135&lt;CP$5+7,$E135&gt;CP$5),"■","")))</x:f>
      </x:c>
      <x:c r="CQ135" s="7" t="str">
        <x:f>IF(OR($D135="",CQ$5="",'상세일정'!AM135="제외"),"",IF($D135=$E135,IF(AND($D135&gt;=CQ$5,$D135&lt;CQ$5+7),"◆",""),IF(AND($D135&lt;CQ$5+7,$E135&gt;CQ$5),"■","")))</x:f>
      </x:c>
      <x:c r="CR135" s="7" t="str">
        <x:f>IF(OR($D135="",CR$5="",'상세일정'!AM135="제외"),"",IF($D135=$E135,IF(AND($D135&gt;=CR$5,$D135&lt;CR$5+7),"◆",""),IF(AND($D135&lt;CR$5+7,$E135&gt;CR$5),"■","")))</x:f>
      </x:c>
      <x:c r="CS135" s="7" t="str">
        <x:f>IF(OR($D135="",CS$5="",'상세일정'!AM135="제외"),"",IF($D135=$E135,IF(AND($D135&gt;=CS$5,$D135&lt;CS$5+7),"◆",""),IF(AND($D135&lt;CS$5+7,$E135&gt;CS$5),"■","")))</x:f>
      </x:c>
      <x:c r="CT135" s="7" t="str">
        <x:f>IF(OR($D135="",CT$5="",'상세일정'!AM135="제외"),"",IF($D135=$E135,IF(AND($D135&gt;=CT$5,$D135&lt;CT$5+7),"◆",""),IF(AND($D135&lt;CT$5+7,$E135&gt;CT$5),"■","")))</x:f>
      </x:c>
      <x:c r="CU135" s="7" t="str">
        <x:f>IF(OR($D135="",CU$5="",'상세일정'!AM135="제외"),"",IF($D135=$E135,IF(AND($D135&gt;=CU$5,$D135&lt;CU$5+7),"◆",""),IF(AND($D135&lt;CU$5+7,$E135&gt;CU$5),"■","")))</x:f>
      </x:c>
      <x:c r="CV135" s="7" t="str">
        <x:f>IF(OR($D135="",CV$5="",'상세일정'!AM135="제외"),"",IF($D135=$E135,IF(AND($D135&gt;=CV$5,$D135&lt;CV$5+7),"◆",""),IF(AND($D135&lt;CV$5+7,$E135&gt;CV$5),"■","")))</x:f>
      </x:c>
      <x:c r="CW135" s="7" t="str">
        <x:f>IF(OR($D135="",CW$5="",'상세일정'!AM135="제외"),"",IF($D135=$E135,IF(AND($D135&gt;=CW$5,$D135&lt;CW$5+7),"◆",""),IF(AND($D135&lt;CW$5+7,$E135&gt;CW$5),"■","")))</x:f>
      </x:c>
      <x:c r="CX135" s="7" t="str">
        <x:f>IF(OR($D135="",CX$5="",'상세일정'!AM135="제외"),"",IF($D135=$E135,IF(AND($D135&gt;=CX$5,$D135&lt;CX$5+7),"◆",""),IF(AND($D135&lt;CX$5+7,$E135&gt;CX$5),"■","")))</x:f>
      </x:c>
      <x:c r="CY135" s="7" t="str">
        <x:f>IF(OR($D135="",CY$5="",'상세일정'!AM135="제외"),"",IF($D135=$E135,IF(AND($D135&gt;=CY$5,$D135&lt;CY$5+7),"◆",""),IF(AND($D135&lt;CY$5+7,$E135&gt;CY$5),"■","")))</x:f>
      </x:c>
      <x:c r="CZ135" s="7" t="str">
        <x:f>IF(OR($D135="",CZ$5="",'상세일정'!AM135="제외"),"",IF($D135=$E135,IF(AND($D135&gt;=CZ$5,$D135&lt;CZ$5+7),"◆",""),IF(AND($D135&lt;CZ$5+7,$E135&gt;CZ$5),"■","")))</x:f>
      </x:c>
      <x:c r="DA135" s="7" t="str">
        <x:f>IF(OR($D135="",DA$5="",'상세일정'!AM135="제외"),"",IF($D135=$E135,IF(AND($D135&gt;=DA$5,$D135&lt;DA$5+7),"◆",""),IF(AND($D135&lt;DA$5+7,$E135&gt;DA$5),"■","")))</x:f>
      </x:c>
      <x:c r="DB135" s="7" t="str">
        <x:f>IF(OR($D135="",DB$5="",'상세일정'!AM135="제외"),"",IF($D135=$E135,IF(AND($D135&gt;=DB$5,$D135&lt;DB$5+7),"◆",""),IF(AND($D135&lt;DB$5+7,$E135&gt;DB$5),"■","")))</x:f>
      </x:c>
      <x:c r="DC135" s="7" t="str">
        <x:f>IF(OR($D135="",DC$5="",'상세일정'!AM135="제외"),"",IF($D135=$E135,IF(AND($D135&gt;=DC$5,$D135&lt;DC$5+7),"◆",""),IF(AND($D135&lt;DC$5+7,$E135&gt;DC$5),"■","")))</x:f>
      </x:c>
      <x:c r="DD135" s="7" t="str">
        <x:f>IF(OR($D135="",DD$5="",'상세일정'!AM135="제외"),"",IF($D135=$E135,IF(AND($D135&gt;=DD$5,$D135&lt;DD$5+7),"◆",""),IF(AND($D135&lt;DD$5+7,$E135&gt;DD$5),"■","")))</x:f>
      </x:c>
      <x:c r="DE135" s="7" t="str">
        <x:f>IF(OR($D135="",DE$5="",'상세일정'!AM135="제외"),"",IF($D135=$E135,IF(AND($D135&gt;=DE$5,$D135&lt;DE$5+7),"◆",""),IF(AND($D135&lt;DE$5+7,$E135&gt;DE$5),"■","")))</x:f>
      </x:c>
    </x:row>
    <x:row r="136" ht="34" customHeight="1">
      <x:c r="A136" s="7" t="str">
        <x:v>AN01</x:v>
      </x:c>
      <x:c r="B136" s="7" t="str">
        <x:v>16 기자재 구매·제작</x:v>
      </x:c>
      <x:c r="C136" s="7" t="str">
        <x:v>제품분석기·Sampling system 잔여 발주범위·사양 확정</x:v>
      </x:c>
      <x:c r="D136" s="10" t="str">
        <x:f>'상세일정'!AJ136</x:f>
      </x:c>
      <x:c r="E136" s="10" t="str">
        <x:f>'상세일정'!AK136</x:f>
      </x:c>
      <x:c r="F136" s="7" t="str">
        <x:f>IF(OR($D136="",F$5="",'상세일정'!AM136="제외"),"",IF($D136=$E136,IF(AND($D136&gt;=F$5,$D136&lt;F$5+7),"◆",""),IF(AND($D136&lt;F$5+7,$E136&gt;F$5),"■","")))</x:f>
      </x:c>
      <x:c r="G136" s="7" t="str">
        <x:f>IF(OR($D136="",G$5="",'상세일정'!AM136="제외"),"",IF($D136=$E136,IF(AND($D136&gt;=G$5,$D136&lt;G$5+7),"◆",""),IF(AND($D136&lt;G$5+7,$E136&gt;G$5),"■","")))</x:f>
      </x:c>
      <x:c r="H136" s="7" t="str">
        <x:f>IF(OR($D136="",H$5="",'상세일정'!AM136="제외"),"",IF($D136=$E136,IF(AND($D136&gt;=H$5,$D136&lt;H$5+7),"◆",""),IF(AND($D136&lt;H$5+7,$E136&gt;H$5),"■","")))</x:f>
      </x:c>
      <x:c r="I136" s="7" t="str">
        <x:f>IF(OR($D136="",I$5="",'상세일정'!AM136="제외"),"",IF($D136=$E136,IF(AND($D136&gt;=I$5,$D136&lt;I$5+7),"◆",""),IF(AND($D136&lt;I$5+7,$E136&gt;I$5),"■","")))</x:f>
      </x:c>
      <x:c r="J136" s="7" t="str">
        <x:f>IF(OR($D136="",J$5="",'상세일정'!AM136="제외"),"",IF($D136=$E136,IF(AND($D136&gt;=J$5,$D136&lt;J$5+7),"◆",""),IF(AND($D136&lt;J$5+7,$E136&gt;J$5),"■","")))</x:f>
      </x:c>
      <x:c r="K136" s="7" t="str">
        <x:f>IF(OR($D136="",K$5="",'상세일정'!AM136="제외"),"",IF($D136=$E136,IF(AND($D136&gt;=K$5,$D136&lt;K$5+7),"◆",""),IF(AND($D136&lt;K$5+7,$E136&gt;K$5),"■","")))</x:f>
      </x:c>
      <x:c r="L136" s="7" t="str">
        <x:f>IF(OR($D136="",L$5="",'상세일정'!AM136="제외"),"",IF($D136=$E136,IF(AND($D136&gt;=L$5,$D136&lt;L$5+7),"◆",""),IF(AND($D136&lt;L$5+7,$E136&gt;L$5),"■","")))</x:f>
      </x:c>
      <x:c r="M136" s="7" t="str">
        <x:f>IF(OR($D136="",M$5="",'상세일정'!AM136="제외"),"",IF($D136=$E136,IF(AND($D136&gt;=M$5,$D136&lt;M$5+7),"◆",""),IF(AND($D136&lt;M$5+7,$E136&gt;M$5),"■","")))</x:f>
      </x:c>
      <x:c r="N136" s="7" t="str">
        <x:f>IF(OR($D136="",N$5="",'상세일정'!AM136="제외"),"",IF($D136=$E136,IF(AND($D136&gt;=N$5,$D136&lt;N$5+7),"◆",""),IF(AND($D136&lt;N$5+7,$E136&gt;N$5),"■","")))</x:f>
      </x:c>
      <x:c r="O136" s="7" t="str">
        <x:f>IF(OR($D136="",O$5="",'상세일정'!AM136="제외"),"",IF($D136=$E136,IF(AND($D136&gt;=O$5,$D136&lt;O$5+7),"◆",""),IF(AND($D136&lt;O$5+7,$E136&gt;O$5),"■","")))</x:f>
      </x:c>
      <x:c r="P136" s="7" t="str">
        <x:f>IF(OR($D136="",P$5="",'상세일정'!AM136="제외"),"",IF($D136=$E136,IF(AND($D136&gt;=P$5,$D136&lt;P$5+7),"◆",""),IF(AND($D136&lt;P$5+7,$E136&gt;P$5),"■","")))</x:f>
      </x:c>
      <x:c r="Q136" s="7" t="str">
        <x:f>IF(OR($D136="",Q$5="",'상세일정'!AM136="제외"),"",IF($D136=$E136,IF(AND($D136&gt;=Q$5,$D136&lt;Q$5+7),"◆",""),IF(AND($D136&lt;Q$5+7,$E136&gt;Q$5),"■","")))</x:f>
      </x:c>
      <x:c r="R136" s="7" t="str">
        <x:f>IF(OR($D136="",R$5="",'상세일정'!AM136="제외"),"",IF($D136=$E136,IF(AND($D136&gt;=R$5,$D136&lt;R$5+7),"◆",""),IF(AND($D136&lt;R$5+7,$E136&gt;R$5),"■","")))</x:f>
      </x:c>
      <x:c r="S136" s="7" t="str">
        <x:f>IF(OR($D136="",S$5="",'상세일정'!AM136="제외"),"",IF($D136=$E136,IF(AND($D136&gt;=S$5,$D136&lt;S$5+7),"◆",""),IF(AND($D136&lt;S$5+7,$E136&gt;S$5),"■","")))</x:f>
      </x:c>
      <x:c r="T136" s="7" t="str">
        <x:f>IF(OR($D136="",T$5="",'상세일정'!AM136="제외"),"",IF($D136=$E136,IF(AND($D136&gt;=T$5,$D136&lt;T$5+7),"◆",""),IF(AND($D136&lt;T$5+7,$E136&gt;T$5),"■","")))</x:f>
      </x:c>
      <x:c r="U136" s="7" t="str">
        <x:f>IF(OR($D136="",U$5="",'상세일정'!AM136="제외"),"",IF($D136=$E136,IF(AND($D136&gt;=U$5,$D136&lt;U$5+7),"◆",""),IF(AND($D136&lt;U$5+7,$E136&gt;U$5),"■","")))</x:f>
      </x:c>
      <x:c r="V136" s="7" t="str">
        <x:f>IF(OR($D136="",V$5="",'상세일정'!AM136="제외"),"",IF($D136=$E136,IF(AND($D136&gt;=V$5,$D136&lt;V$5+7),"◆",""),IF(AND($D136&lt;V$5+7,$E136&gt;V$5),"■","")))</x:f>
      </x:c>
      <x:c r="W136" s="7" t="str">
        <x:f>IF(OR($D136="",W$5="",'상세일정'!AM136="제외"),"",IF($D136=$E136,IF(AND($D136&gt;=W$5,$D136&lt;W$5+7),"◆",""),IF(AND($D136&lt;W$5+7,$E136&gt;W$5),"■","")))</x:f>
      </x:c>
      <x:c r="X136" s="7" t="str">
        <x:f>IF(OR($D136="",X$5="",'상세일정'!AM136="제외"),"",IF($D136=$E136,IF(AND($D136&gt;=X$5,$D136&lt;X$5+7),"◆",""),IF(AND($D136&lt;X$5+7,$E136&gt;X$5),"■","")))</x:f>
      </x:c>
      <x:c r="Y136" s="7" t="str">
        <x:f>IF(OR($D136="",Y$5="",'상세일정'!AM136="제외"),"",IF($D136=$E136,IF(AND($D136&gt;=Y$5,$D136&lt;Y$5+7),"◆",""),IF(AND($D136&lt;Y$5+7,$E136&gt;Y$5),"■","")))</x:f>
      </x:c>
      <x:c r="Z136" s="7" t="str">
        <x:f>IF(OR($D136="",Z$5="",'상세일정'!AM136="제외"),"",IF($D136=$E136,IF(AND($D136&gt;=Z$5,$D136&lt;Z$5+7),"◆",""),IF(AND($D136&lt;Z$5+7,$E136&gt;Z$5),"■","")))</x:f>
      </x:c>
      <x:c r="AA136" s="7" t="str">
        <x:f>IF(OR($D136="",AA$5="",'상세일정'!AM136="제외"),"",IF($D136=$E136,IF(AND($D136&gt;=AA$5,$D136&lt;AA$5+7),"◆",""),IF(AND($D136&lt;AA$5+7,$E136&gt;AA$5),"■","")))</x:f>
      </x:c>
      <x:c r="AB136" s="7" t="str">
        <x:f>IF(OR($D136="",AB$5="",'상세일정'!AM136="제외"),"",IF($D136=$E136,IF(AND($D136&gt;=AB$5,$D136&lt;AB$5+7),"◆",""),IF(AND($D136&lt;AB$5+7,$E136&gt;AB$5),"■","")))</x:f>
      </x:c>
      <x:c r="AC136" s="7" t="str">
        <x:f>IF(OR($D136="",AC$5="",'상세일정'!AM136="제외"),"",IF($D136=$E136,IF(AND($D136&gt;=AC$5,$D136&lt;AC$5+7),"◆",""),IF(AND($D136&lt;AC$5+7,$E136&gt;AC$5),"■","")))</x:f>
      </x:c>
      <x:c r="AD136" s="7" t="str">
        <x:f>IF(OR($D136="",AD$5="",'상세일정'!AM136="제외"),"",IF($D136=$E136,IF(AND($D136&gt;=AD$5,$D136&lt;AD$5+7),"◆",""),IF(AND($D136&lt;AD$5+7,$E136&gt;AD$5),"■","")))</x:f>
      </x:c>
      <x:c r="AE136" s="7" t="str">
        <x:f>IF(OR($D136="",AE$5="",'상세일정'!AM136="제외"),"",IF($D136=$E136,IF(AND($D136&gt;=AE$5,$D136&lt;AE$5+7),"◆",""),IF(AND($D136&lt;AE$5+7,$E136&gt;AE$5),"■","")))</x:f>
      </x:c>
      <x:c r="AF136" s="7" t="str">
        <x:f>IF(OR($D136="",AF$5="",'상세일정'!AM136="제외"),"",IF($D136=$E136,IF(AND($D136&gt;=AF$5,$D136&lt;AF$5+7),"◆",""),IF(AND($D136&lt;AF$5+7,$E136&gt;AF$5),"■","")))</x:f>
      </x:c>
      <x:c r="AG136" s="7" t="str">
        <x:f>IF(OR($D136="",AG$5="",'상세일정'!AM136="제외"),"",IF($D136=$E136,IF(AND($D136&gt;=AG$5,$D136&lt;AG$5+7),"◆",""),IF(AND($D136&lt;AG$5+7,$E136&gt;AG$5),"■","")))</x:f>
      </x:c>
      <x:c r="AH136" s="7" t="str">
        <x:f>IF(OR($D136="",AH$5="",'상세일정'!AM136="제외"),"",IF($D136=$E136,IF(AND($D136&gt;=AH$5,$D136&lt;AH$5+7),"◆",""),IF(AND($D136&lt;AH$5+7,$E136&gt;AH$5),"■","")))</x:f>
      </x:c>
      <x:c r="AI136" s="7" t="str">
        <x:f>IF(OR($D136="",AI$5="",'상세일정'!AM136="제외"),"",IF($D136=$E136,IF(AND($D136&gt;=AI$5,$D136&lt;AI$5+7),"◆",""),IF(AND($D136&lt;AI$5+7,$E136&gt;AI$5),"■","")))</x:f>
      </x:c>
      <x:c r="AJ136" s="7" t="str">
        <x:f>IF(OR($D136="",AJ$5="",'상세일정'!AM136="제외"),"",IF($D136=$E136,IF(AND($D136&gt;=AJ$5,$D136&lt;AJ$5+7),"◆",""),IF(AND($D136&lt;AJ$5+7,$E136&gt;AJ$5),"■","")))</x:f>
      </x:c>
      <x:c r="AK136" s="7" t="str">
        <x:f>IF(OR($D136="",AK$5="",'상세일정'!AM136="제외"),"",IF($D136=$E136,IF(AND($D136&gt;=AK$5,$D136&lt;AK$5+7),"◆",""),IF(AND($D136&lt;AK$5+7,$E136&gt;AK$5),"■","")))</x:f>
      </x:c>
      <x:c r="AL136" s="7" t="str">
        <x:f>IF(OR($D136="",AL$5="",'상세일정'!AM136="제외"),"",IF($D136=$E136,IF(AND($D136&gt;=AL$5,$D136&lt;AL$5+7),"◆",""),IF(AND($D136&lt;AL$5+7,$E136&gt;AL$5),"■","")))</x:f>
      </x:c>
      <x:c r="AM136" s="7" t="str">
        <x:f>IF(OR($D136="",AM$5="",'상세일정'!AM136="제외"),"",IF($D136=$E136,IF(AND($D136&gt;=AM$5,$D136&lt;AM$5+7),"◆",""),IF(AND($D136&lt;AM$5+7,$E136&gt;AM$5),"■","")))</x:f>
      </x:c>
      <x:c r="AN136" s="7" t="str">
        <x:f>IF(OR($D136="",AN$5="",'상세일정'!AM136="제외"),"",IF($D136=$E136,IF(AND($D136&gt;=AN$5,$D136&lt;AN$5+7),"◆",""),IF(AND($D136&lt;AN$5+7,$E136&gt;AN$5),"■","")))</x:f>
      </x:c>
      <x:c r="AO136" s="7" t="str">
        <x:f>IF(OR($D136="",AO$5="",'상세일정'!AM136="제외"),"",IF($D136=$E136,IF(AND($D136&gt;=AO$5,$D136&lt;AO$5+7),"◆",""),IF(AND($D136&lt;AO$5+7,$E136&gt;AO$5),"■","")))</x:f>
      </x:c>
      <x:c r="AP136" s="7" t="str">
        <x:f>IF(OR($D136="",AP$5="",'상세일정'!AM136="제외"),"",IF($D136=$E136,IF(AND($D136&gt;=AP$5,$D136&lt;AP$5+7),"◆",""),IF(AND($D136&lt;AP$5+7,$E136&gt;AP$5),"■","")))</x:f>
      </x:c>
      <x:c r="AQ136" s="7" t="str">
        <x:f>IF(OR($D136="",AQ$5="",'상세일정'!AM136="제외"),"",IF($D136=$E136,IF(AND($D136&gt;=AQ$5,$D136&lt;AQ$5+7),"◆",""),IF(AND($D136&lt;AQ$5+7,$E136&gt;AQ$5),"■","")))</x:f>
      </x:c>
      <x:c r="AR136" s="7" t="str">
        <x:f>IF(OR($D136="",AR$5="",'상세일정'!AM136="제외"),"",IF($D136=$E136,IF(AND($D136&gt;=AR$5,$D136&lt;AR$5+7),"◆",""),IF(AND($D136&lt;AR$5+7,$E136&gt;AR$5),"■","")))</x:f>
      </x:c>
      <x:c r="AS136" s="7" t="str">
        <x:f>IF(OR($D136="",AS$5="",'상세일정'!AM136="제외"),"",IF($D136=$E136,IF(AND($D136&gt;=AS$5,$D136&lt;AS$5+7),"◆",""),IF(AND($D136&lt;AS$5+7,$E136&gt;AS$5),"■","")))</x:f>
      </x:c>
      <x:c r="AT136" s="7" t="str">
        <x:f>IF(OR($D136="",AT$5="",'상세일정'!AM136="제외"),"",IF($D136=$E136,IF(AND($D136&gt;=AT$5,$D136&lt;AT$5+7),"◆",""),IF(AND($D136&lt;AT$5+7,$E136&gt;AT$5),"■","")))</x:f>
      </x:c>
      <x:c r="AU136" s="7" t="str">
        <x:f>IF(OR($D136="",AU$5="",'상세일정'!AM136="제외"),"",IF($D136=$E136,IF(AND($D136&gt;=AU$5,$D136&lt;AU$5+7),"◆",""),IF(AND($D136&lt;AU$5+7,$E136&gt;AU$5),"■","")))</x:f>
      </x:c>
      <x:c r="AV136" s="7" t="str">
        <x:f>IF(OR($D136="",AV$5="",'상세일정'!AM136="제외"),"",IF($D136=$E136,IF(AND($D136&gt;=AV$5,$D136&lt;AV$5+7),"◆",""),IF(AND($D136&lt;AV$5+7,$E136&gt;AV$5),"■","")))</x:f>
      </x:c>
      <x:c r="AW136" s="7" t="str">
        <x:f>IF(OR($D136="",AW$5="",'상세일정'!AM136="제외"),"",IF($D136=$E136,IF(AND($D136&gt;=AW$5,$D136&lt;AW$5+7),"◆",""),IF(AND($D136&lt;AW$5+7,$E136&gt;AW$5),"■","")))</x:f>
      </x:c>
      <x:c r="AX136" s="7" t="str">
        <x:f>IF(OR($D136="",AX$5="",'상세일정'!AM136="제외"),"",IF($D136=$E136,IF(AND($D136&gt;=AX$5,$D136&lt;AX$5+7),"◆",""),IF(AND($D136&lt;AX$5+7,$E136&gt;AX$5),"■","")))</x:f>
      </x:c>
      <x:c r="AY136" s="7" t="str">
        <x:f>IF(OR($D136="",AY$5="",'상세일정'!AM136="제외"),"",IF($D136=$E136,IF(AND($D136&gt;=AY$5,$D136&lt;AY$5+7),"◆",""),IF(AND($D136&lt;AY$5+7,$E136&gt;AY$5),"■","")))</x:f>
      </x:c>
      <x:c r="AZ136" s="7" t="str">
        <x:f>IF(OR($D136="",AZ$5="",'상세일정'!AM136="제외"),"",IF($D136=$E136,IF(AND($D136&gt;=AZ$5,$D136&lt;AZ$5+7),"◆",""),IF(AND($D136&lt;AZ$5+7,$E136&gt;AZ$5),"■","")))</x:f>
      </x:c>
      <x:c r="BA136" s="7" t="str">
        <x:f>IF(OR($D136="",BA$5="",'상세일정'!AM136="제외"),"",IF($D136=$E136,IF(AND($D136&gt;=BA$5,$D136&lt;BA$5+7),"◆",""),IF(AND($D136&lt;BA$5+7,$E136&gt;BA$5),"■","")))</x:f>
      </x:c>
      <x:c r="BB136" s="7" t="str">
        <x:f>IF(OR($D136="",BB$5="",'상세일정'!AM136="제외"),"",IF($D136=$E136,IF(AND($D136&gt;=BB$5,$D136&lt;BB$5+7),"◆",""),IF(AND($D136&lt;BB$5+7,$E136&gt;BB$5),"■","")))</x:f>
      </x:c>
      <x:c r="BC136" s="7" t="str">
        <x:f>IF(OR($D136="",BC$5="",'상세일정'!AM136="제외"),"",IF($D136=$E136,IF(AND($D136&gt;=BC$5,$D136&lt;BC$5+7),"◆",""),IF(AND($D136&lt;BC$5+7,$E136&gt;BC$5),"■","")))</x:f>
      </x:c>
      <x:c r="BD136" s="7" t="str">
        <x:f>IF(OR($D136="",BD$5="",'상세일정'!AM136="제외"),"",IF($D136=$E136,IF(AND($D136&gt;=BD$5,$D136&lt;BD$5+7),"◆",""),IF(AND($D136&lt;BD$5+7,$E136&gt;BD$5),"■","")))</x:f>
      </x:c>
      <x:c r="BE136" s="7" t="str">
        <x:f>IF(OR($D136="",BE$5="",'상세일정'!AM136="제외"),"",IF($D136=$E136,IF(AND($D136&gt;=BE$5,$D136&lt;BE$5+7),"◆",""),IF(AND($D136&lt;BE$5+7,$E136&gt;BE$5),"■","")))</x:f>
      </x:c>
      <x:c r="BF136" s="7" t="str">
        <x:f>IF(OR($D136="",BF$5="",'상세일정'!AM136="제외"),"",IF($D136=$E136,IF(AND($D136&gt;=BF$5,$D136&lt;BF$5+7),"◆",""),IF(AND($D136&lt;BF$5+7,$E136&gt;BF$5),"■","")))</x:f>
      </x:c>
      <x:c r="BG136" s="7" t="str">
        <x:f>IF(OR($D136="",BG$5="",'상세일정'!AM136="제외"),"",IF($D136=$E136,IF(AND($D136&gt;=BG$5,$D136&lt;BG$5+7),"◆",""),IF(AND($D136&lt;BG$5+7,$E136&gt;BG$5),"■","")))</x:f>
      </x:c>
      <x:c r="BH136" s="7" t="str">
        <x:f>IF(OR($D136="",BH$5="",'상세일정'!AM136="제외"),"",IF($D136=$E136,IF(AND($D136&gt;=BH$5,$D136&lt;BH$5+7),"◆",""),IF(AND($D136&lt;BH$5+7,$E136&gt;BH$5),"■","")))</x:f>
      </x:c>
      <x:c r="BI136" s="7" t="str">
        <x:f>IF(OR($D136="",BI$5="",'상세일정'!AM136="제외"),"",IF($D136=$E136,IF(AND($D136&gt;=BI$5,$D136&lt;BI$5+7),"◆",""),IF(AND($D136&lt;BI$5+7,$E136&gt;BI$5),"■","")))</x:f>
      </x:c>
      <x:c r="BJ136" s="7" t="str">
        <x:f>IF(OR($D136="",BJ$5="",'상세일정'!AM136="제외"),"",IF($D136=$E136,IF(AND($D136&gt;=BJ$5,$D136&lt;BJ$5+7),"◆",""),IF(AND($D136&lt;BJ$5+7,$E136&gt;BJ$5),"■","")))</x:f>
      </x:c>
      <x:c r="BK136" s="7" t="str">
        <x:f>IF(OR($D136="",BK$5="",'상세일정'!AM136="제외"),"",IF($D136=$E136,IF(AND($D136&gt;=BK$5,$D136&lt;BK$5+7),"◆",""),IF(AND($D136&lt;BK$5+7,$E136&gt;BK$5),"■","")))</x:f>
      </x:c>
      <x:c r="BL136" s="7" t="str">
        <x:f>IF(OR($D136="",BL$5="",'상세일정'!AM136="제외"),"",IF($D136=$E136,IF(AND($D136&gt;=BL$5,$D136&lt;BL$5+7),"◆",""),IF(AND($D136&lt;BL$5+7,$E136&gt;BL$5),"■","")))</x:f>
      </x:c>
      <x:c r="BM136" s="7" t="str">
        <x:f>IF(OR($D136="",BM$5="",'상세일정'!AM136="제외"),"",IF($D136=$E136,IF(AND($D136&gt;=BM$5,$D136&lt;BM$5+7),"◆",""),IF(AND($D136&lt;BM$5+7,$E136&gt;BM$5),"■","")))</x:f>
      </x:c>
      <x:c r="BN136" s="7" t="str">
        <x:f>IF(OR($D136="",BN$5="",'상세일정'!AM136="제외"),"",IF($D136=$E136,IF(AND($D136&gt;=BN$5,$D136&lt;BN$5+7),"◆",""),IF(AND($D136&lt;BN$5+7,$E136&gt;BN$5),"■","")))</x:f>
      </x:c>
      <x:c r="BO136" s="7" t="str">
        <x:f>IF(OR($D136="",BO$5="",'상세일정'!AM136="제외"),"",IF($D136=$E136,IF(AND($D136&gt;=BO$5,$D136&lt;BO$5+7),"◆",""),IF(AND($D136&lt;BO$5+7,$E136&gt;BO$5),"■","")))</x:f>
      </x:c>
      <x:c r="BP136" s="7" t="str">
        <x:f>IF(OR($D136="",BP$5="",'상세일정'!AM136="제외"),"",IF($D136=$E136,IF(AND($D136&gt;=BP$5,$D136&lt;BP$5+7),"◆",""),IF(AND($D136&lt;BP$5+7,$E136&gt;BP$5),"■","")))</x:f>
      </x:c>
      <x:c r="BQ136" s="7" t="str">
        <x:f>IF(OR($D136="",BQ$5="",'상세일정'!AM136="제외"),"",IF($D136=$E136,IF(AND($D136&gt;=BQ$5,$D136&lt;BQ$5+7),"◆",""),IF(AND($D136&lt;BQ$5+7,$E136&gt;BQ$5),"■","")))</x:f>
      </x:c>
      <x:c r="BR136" s="7" t="str">
        <x:f>IF(OR($D136="",BR$5="",'상세일정'!AM136="제외"),"",IF($D136=$E136,IF(AND($D136&gt;=BR$5,$D136&lt;BR$5+7),"◆",""),IF(AND($D136&lt;BR$5+7,$E136&gt;BR$5),"■","")))</x:f>
      </x:c>
      <x:c r="BS136" s="7" t="str">
        <x:f>IF(OR($D136="",BS$5="",'상세일정'!AM136="제외"),"",IF($D136=$E136,IF(AND($D136&gt;=BS$5,$D136&lt;BS$5+7),"◆",""),IF(AND($D136&lt;BS$5+7,$E136&gt;BS$5),"■","")))</x:f>
      </x:c>
      <x:c r="BT136" s="7" t="str">
        <x:f>IF(OR($D136="",BT$5="",'상세일정'!AM136="제외"),"",IF($D136=$E136,IF(AND($D136&gt;=BT$5,$D136&lt;BT$5+7),"◆",""),IF(AND($D136&lt;BT$5+7,$E136&gt;BT$5),"■","")))</x:f>
      </x:c>
      <x:c r="BU136" s="7" t="str">
        <x:f>IF(OR($D136="",BU$5="",'상세일정'!AM136="제외"),"",IF($D136=$E136,IF(AND($D136&gt;=BU$5,$D136&lt;BU$5+7),"◆",""),IF(AND($D136&lt;BU$5+7,$E136&gt;BU$5),"■","")))</x:f>
      </x:c>
      <x:c r="BV136" s="7" t="str">
        <x:f>IF(OR($D136="",BV$5="",'상세일정'!AM136="제외"),"",IF($D136=$E136,IF(AND($D136&gt;=BV$5,$D136&lt;BV$5+7),"◆",""),IF(AND($D136&lt;BV$5+7,$E136&gt;BV$5),"■","")))</x:f>
      </x:c>
      <x:c r="BW136" s="7" t="str">
        <x:f>IF(OR($D136="",BW$5="",'상세일정'!AM136="제외"),"",IF($D136=$E136,IF(AND($D136&gt;=BW$5,$D136&lt;BW$5+7),"◆",""),IF(AND($D136&lt;BW$5+7,$E136&gt;BW$5),"■","")))</x:f>
      </x:c>
      <x:c r="BX136" s="7" t="str">
        <x:f>IF(OR($D136="",BX$5="",'상세일정'!AM136="제외"),"",IF($D136=$E136,IF(AND($D136&gt;=BX$5,$D136&lt;BX$5+7),"◆",""),IF(AND($D136&lt;BX$5+7,$E136&gt;BX$5),"■","")))</x:f>
      </x:c>
      <x:c r="BY136" s="7" t="str">
        <x:f>IF(OR($D136="",BY$5="",'상세일정'!AM136="제외"),"",IF($D136=$E136,IF(AND($D136&gt;=BY$5,$D136&lt;BY$5+7),"◆",""),IF(AND($D136&lt;BY$5+7,$E136&gt;BY$5),"■","")))</x:f>
      </x:c>
      <x:c r="BZ136" s="7" t="str">
        <x:f>IF(OR($D136="",BZ$5="",'상세일정'!AM136="제외"),"",IF($D136=$E136,IF(AND($D136&gt;=BZ$5,$D136&lt;BZ$5+7),"◆",""),IF(AND($D136&lt;BZ$5+7,$E136&gt;BZ$5),"■","")))</x:f>
      </x:c>
      <x:c r="CA136" s="7" t="str">
        <x:f>IF(OR($D136="",CA$5="",'상세일정'!AM136="제외"),"",IF($D136=$E136,IF(AND($D136&gt;=CA$5,$D136&lt;CA$5+7),"◆",""),IF(AND($D136&lt;CA$5+7,$E136&gt;CA$5),"■","")))</x:f>
      </x:c>
      <x:c r="CB136" s="7" t="str">
        <x:f>IF(OR($D136="",CB$5="",'상세일정'!AM136="제외"),"",IF($D136=$E136,IF(AND($D136&gt;=CB$5,$D136&lt;CB$5+7),"◆",""),IF(AND($D136&lt;CB$5+7,$E136&gt;CB$5),"■","")))</x:f>
      </x:c>
      <x:c r="CC136" s="7" t="str">
        <x:f>IF(OR($D136="",CC$5="",'상세일정'!AM136="제외"),"",IF($D136=$E136,IF(AND($D136&gt;=CC$5,$D136&lt;CC$5+7),"◆",""),IF(AND($D136&lt;CC$5+7,$E136&gt;CC$5),"■","")))</x:f>
      </x:c>
      <x:c r="CD136" s="7" t="str">
        <x:f>IF(OR($D136="",CD$5="",'상세일정'!AM136="제외"),"",IF($D136=$E136,IF(AND($D136&gt;=CD$5,$D136&lt;CD$5+7),"◆",""),IF(AND($D136&lt;CD$5+7,$E136&gt;CD$5),"■","")))</x:f>
      </x:c>
      <x:c r="CE136" s="7" t="str">
        <x:f>IF(OR($D136="",CE$5="",'상세일정'!AM136="제외"),"",IF($D136=$E136,IF(AND($D136&gt;=CE$5,$D136&lt;CE$5+7),"◆",""),IF(AND($D136&lt;CE$5+7,$E136&gt;CE$5),"■","")))</x:f>
      </x:c>
      <x:c r="CF136" s="7" t="str">
        <x:f>IF(OR($D136="",CF$5="",'상세일정'!AM136="제외"),"",IF($D136=$E136,IF(AND($D136&gt;=CF$5,$D136&lt;CF$5+7),"◆",""),IF(AND($D136&lt;CF$5+7,$E136&gt;CF$5),"■","")))</x:f>
      </x:c>
      <x:c r="CG136" s="7" t="str">
        <x:f>IF(OR($D136="",CG$5="",'상세일정'!AM136="제외"),"",IF($D136=$E136,IF(AND($D136&gt;=CG$5,$D136&lt;CG$5+7),"◆",""),IF(AND($D136&lt;CG$5+7,$E136&gt;CG$5),"■","")))</x:f>
      </x:c>
      <x:c r="CH136" s="7" t="str">
        <x:f>IF(OR($D136="",CH$5="",'상세일정'!AM136="제외"),"",IF($D136=$E136,IF(AND($D136&gt;=CH$5,$D136&lt;CH$5+7),"◆",""),IF(AND($D136&lt;CH$5+7,$E136&gt;CH$5),"■","")))</x:f>
      </x:c>
      <x:c r="CI136" s="7" t="str">
        <x:f>IF(OR($D136="",CI$5="",'상세일정'!AM136="제외"),"",IF($D136=$E136,IF(AND($D136&gt;=CI$5,$D136&lt;CI$5+7),"◆",""),IF(AND($D136&lt;CI$5+7,$E136&gt;CI$5),"■","")))</x:f>
      </x:c>
      <x:c r="CJ136" s="7" t="str">
        <x:f>IF(OR($D136="",CJ$5="",'상세일정'!AM136="제외"),"",IF($D136=$E136,IF(AND($D136&gt;=CJ$5,$D136&lt;CJ$5+7),"◆",""),IF(AND($D136&lt;CJ$5+7,$E136&gt;CJ$5),"■","")))</x:f>
      </x:c>
      <x:c r="CK136" s="7" t="str">
        <x:f>IF(OR($D136="",CK$5="",'상세일정'!AM136="제외"),"",IF($D136=$E136,IF(AND($D136&gt;=CK$5,$D136&lt;CK$5+7),"◆",""),IF(AND($D136&lt;CK$5+7,$E136&gt;CK$5),"■","")))</x:f>
      </x:c>
      <x:c r="CL136" s="7" t="str">
        <x:f>IF(OR($D136="",CL$5="",'상세일정'!AM136="제외"),"",IF($D136=$E136,IF(AND($D136&gt;=CL$5,$D136&lt;CL$5+7),"◆",""),IF(AND($D136&lt;CL$5+7,$E136&gt;CL$5),"■","")))</x:f>
      </x:c>
      <x:c r="CM136" s="7" t="str">
        <x:f>IF(OR($D136="",CM$5="",'상세일정'!AM136="제외"),"",IF($D136=$E136,IF(AND($D136&gt;=CM$5,$D136&lt;CM$5+7),"◆",""),IF(AND($D136&lt;CM$5+7,$E136&gt;CM$5),"■","")))</x:f>
      </x:c>
      <x:c r="CN136" s="7" t="str">
        <x:f>IF(OR($D136="",CN$5="",'상세일정'!AM136="제외"),"",IF($D136=$E136,IF(AND($D136&gt;=CN$5,$D136&lt;CN$5+7),"◆",""),IF(AND($D136&lt;CN$5+7,$E136&gt;CN$5),"■","")))</x:f>
      </x:c>
      <x:c r="CO136" s="7" t="str">
        <x:f>IF(OR($D136="",CO$5="",'상세일정'!AM136="제외"),"",IF($D136=$E136,IF(AND($D136&gt;=CO$5,$D136&lt;CO$5+7),"◆",""),IF(AND($D136&lt;CO$5+7,$E136&gt;CO$5),"■","")))</x:f>
      </x:c>
      <x:c r="CP136" s="7" t="str">
        <x:f>IF(OR($D136="",CP$5="",'상세일정'!AM136="제외"),"",IF($D136=$E136,IF(AND($D136&gt;=CP$5,$D136&lt;CP$5+7),"◆",""),IF(AND($D136&lt;CP$5+7,$E136&gt;CP$5),"■","")))</x:f>
      </x:c>
      <x:c r="CQ136" s="7" t="str">
        <x:f>IF(OR($D136="",CQ$5="",'상세일정'!AM136="제외"),"",IF($D136=$E136,IF(AND($D136&gt;=CQ$5,$D136&lt;CQ$5+7),"◆",""),IF(AND($D136&lt;CQ$5+7,$E136&gt;CQ$5),"■","")))</x:f>
      </x:c>
      <x:c r="CR136" s="7" t="str">
        <x:f>IF(OR($D136="",CR$5="",'상세일정'!AM136="제외"),"",IF($D136=$E136,IF(AND($D136&gt;=CR$5,$D136&lt;CR$5+7),"◆",""),IF(AND($D136&lt;CR$5+7,$E136&gt;CR$5),"■","")))</x:f>
      </x:c>
      <x:c r="CS136" s="7" t="str">
        <x:f>IF(OR($D136="",CS$5="",'상세일정'!AM136="제외"),"",IF($D136=$E136,IF(AND($D136&gt;=CS$5,$D136&lt;CS$5+7),"◆",""),IF(AND($D136&lt;CS$5+7,$E136&gt;CS$5),"■","")))</x:f>
      </x:c>
      <x:c r="CT136" s="7" t="str">
        <x:f>IF(OR($D136="",CT$5="",'상세일정'!AM136="제외"),"",IF($D136=$E136,IF(AND($D136&gt;=CT$5,$D136&lt;CT$5+7),"◆",""),IF(AND($D136&lt;CT$5+7,$E136&gt;CT$5),"■","")))</x:f>
      </x:c>
      <x:c r="CU136" s="7" t="str">
        <x:f>IF(OR($D136="",CU$5="",'상세일정'!AM136="제외"),"",IF($D136=$E136,IF(AND($D136&gt;=CU$5,$D136&lt;CU$5+7),"◆",""),IF(AND($D136&lt;CU$5+7,$E136&gt;CU$5),"■","")))</x:f>
      </x:c>
      <x:c r="CV136" s="7" t="str">
        <x:f>IF(OR($D136="",CV$5="",'상세일정'!AM136="제외"),"",IF($D136=$E136,IF(AND($D136&gt;=CV$5,$D136&lt;CV$5+7),"◆",""),IF(AND($D136&lt;CV$5+7,$E136&gt;CV$5),"■","")))</x:f>
      </x:c>
      <x:c r="CW136" s="7" t="str">
        <x:f>IF(OR($D136="",CW$5="",'상세일정'!AM136="제외"),"",IF($D136=$E136,IF(AND($D136&gt;=CW$5,$D136&lt;CW$5+7),"◆",""),IF(AND($D136&lt;CW$5+7,$E136&gt;CW$5),"■","")))</x:f>
      </x:c>
      <x:c r="CX136" s="7" t="str">
        <x:f>IF(OR($D136="",CX$5="",'상세일정'!AM136="제외"),"",IF($D136=$E136,IF(AND($D136&gt;=CX$5,$D136&lt;CX$5+7),"◆",""),IF(AND($D136&lt;CX$5+7,$E136&gt;CX$5),"■","")))</x:f>
      </x:c>
      <x:c r="CY136" s="7" t="str">
        <x:f>IF(OR($D136="",CY$5="",'상세일정'!AM136="제외"),"",IF($D136=$E136,IF(AND($D136&gt;=CY$5,$D136&lt;CY$5+7),"◆",""),IF(AND($D136&lt;CY$5+7,$E136&gt;CY$5),"■","")))</x:f>
      </x:c>
      <x:c r="CZ136" s="7" t="str">
        <x:f>IF(OR($D136="",CZ$5="",'상세일정'!AM136="제외"),"",IF($D136=$E136,IF(AND($D136&gt;=CZ$5,$D136&lt;CZ$5+7),"◆",""),IF(AND($D136&lt;CZ$5+7,$E136&gt;CZ$5),"■","")))</x:f>
      </x:c>
      <x:c r="DA136" s="7" t="str">
        <x:f>IF(OR($D136="",DA$5="",'상세일정'!AM136="제외"),"",IF($D136=$E136,IF(AND($D136&gt;=DA$5,$D136&lt;DA$5+7),"◆",""),IF(AND($D136&lt;DA$5+7,$E136&gt;DA$5),"■","")))</x:f>
      </x:c>
      <x:c r="DB136" s="7" t="str">
        <x:f>IF(OR($D136="",DB$5="",'상세일정'!AM136="제외"),"",IF($D136=$E136,IF(AND($D136&gt;=DB$5,$D136&lt;DB$5+7),"◆",""),IF(AND($D136&lt;DB$5+7,$E136&gt;DB$5),"■","")))</x:f>
      </x:c>
      <x:c r="DC136" s="7" t="str">
        <x:f>IF(OR($D136="",DC$5="",'상세일정'!AM136="제외"),"",IF($D136=$E136,IF(AND($D136&gt;=DC$5,$D136&lt;DC$5+7),"◆",""),IF(AND($D136&lt;DC$5+7,$E136&gt;DC$5),"■","")))</x:f>
      </x:c>
      <x:c r="DD136" s="7" t="str">
        <x:f>IF(OR($D136="",DD$5="",'상세일정'!AM136="제외"),"",IF($D136=$E136,IF(AND($D136&gt;=DD$5,$D136&lt;DD$5+7),"◆",""),IF(AND($D136&lt;DD$5+7,$E136&gt;DD$5),"■","")))</x:f>
      </x:c>
      <x:c r="DE136" s="7" t="str">
        <x:f>IF(OR($D136="",DE$5="",'상세일정'!AM136="제외"),"",IF($D136=$E136,IF(AND($D136&gt;=DE$5,$D136&lt;DE$5+7),"◆",""),IF(AND($D136&lt;DE$5+7,$E136&gt;DE$5),"■","")))</x:f>
      </x:c>
    </x:row>
    <x:row r="137" ht="34" customHeight="1">
      <x:c r="A137" s="7" t="str">
        <x:v>AN02</x:v>
      </x:c>
      <x:c r="B137" s="7" t="str">
        <x:v>16 기자재 구매·제작</x:v>
      </x:c>
      <x:c r="C137" s="7" t="str">
        <x:v>제품분석기·Sampling system 견적/TBE·계약조건·납기 합의</x:v>
      </x:c>
      <x:c r="D137" s="10" t="str">
        <x:f>'상세일정'!AJ137</x:f>
      </x:c>
      <x:c r="E137" s="10" t="str">
        <x:f>'상세일정'!AK137</x:f>
      </x:c>
      <x:c r="F137" s="7" t="str">
        <x:f>IF(OR($D137="",F$5="",'상세일정'!AM137="제외"),"",IF($D137=$E137,IF(AND($D137&gt;=F$5,$D137&lt;F$5+7),"◆",""),IF(AND($D137&lt;F$5+7,$E137&gt;F$5),"■","")))</x:f>
      </x:c>
      <x:c r="G137" s="7" t="str">
        <x:f>IF(OR($D137="",G$5="",'상세일정'!AM137="제외"),"",IF($D137=$E137,IF(AND($D137&gt;=G$5,$D137&lt;G$5+7),"◆",""),IF(AND($D137&lt;G$5+7,$E137&gt;G$5),"■","")))</x:f>
      </x:c>
      <x:c r="H137" s="7" t="str">
        <x:f>IF(OR($D137="",H$5="",'상세일정'!AM137="제외"),"",IF($D137=$E137,IF(AND($D137&gt;=H$5,$D137&lt;H$5+7),"◆",""),IF(AND($D137&lt;H$5+7,$E137&gt;H$5),"■","")))</x:f>
      </x:c>
      <x:c r="I137" s="7" t="str">
        <x:f>IF(OR($D137="",I$5="",'상세일정'!AM137="제외"),"",IF($D137=$E137,IF(AND($D137&gt;=I$5,$D137&lt;I$5+7),"◆",""),IF(AND($D137&lt;I$5+7,$E137&gt;I$5),"■","")))</x:f>
      </x:c>
      <x:c r="J137" s="7" t="str">
        <x:f>IF(OR($D137="",J$5="",'상세일정'!AM137="제외"),"",IF($D137=$E137,IF(AND($D137&gt;=J$5,$D137&lt;J$5+7),"◆",""),IF(AND($D137&lt;J$5+7,$E137&gt;J$5),"■","")))</x:f>
      </x:c>
      <x:c r="K137" s="7" t="str">
        <x:f>IF(OR($D137="",K$5="",'상세일정'!AM137="제외"),"",IF($D137=$E137,IF(AND($D137&gt;=K$5,$D137&lt;K$5+7),"◆",""),IF(AND($D137&lt;K$5+7,$E137&gt;K$5),"■","")))</x:f>
      </x:c>
      <x:c r="L137" s="7" t="str">
        <x:f>IF(OR($D137="",L$5="",'상세일정'!AM137="제외"),"",IF($D137=$E137,IF(AND($D137&gt;=L$5,$D137&lt;L$5+7),"◆",""),IF(AND($D137&lt;L$5+7,$E137&gt;L$5),"■","")))</x:f>
      </x:c>
      <x:c r="M137" s="7" t="str">
        <x:f>IF(OR($D137="",M$5="",'상세일정'!AM137="제외"),"",IF($D137=$E137,IF(AND($D137&gt;=M$5,$D137&lt;M$5+7),"◆",""),IF(AND($D137&lt;M$5+7,$E137&gt;M$5),"■","")))</x:f>
      </x:c>
      <x:c r="N137" s="7" t="str">
        <x:f>IF(OR($D137="",N$5="",'상세일정'!AM137="제외"),"",IF($D137=$E137,IF(AND($D137&gt;=N$5,$D137&lt;N$5+7),"◆",""),IF(AND($D137&lt;N$5+7,$E137&gt;N$5),"■","")))</x:f>
      </x:c>
      <x:c r="O137" s="7" t="str">
        <x:f>IF(OR($D137="",O$5="",'상세일정'!AM137="제외"),"",IF($D137=$E137,IF(AND($D137&gt;=O$5,$D137&lt;O$5+7),"◆",""),IF(AND($D137&lt;O$5+7,$E137&gt;O$5),"■","")))</x:f>
      </x:c>
      <x:c r="P137" s="7" t="str">
        <x:f>IF(OR($D137="",P$5="",'상세일정'!AM137="제외"),"",IF($D137=$E137,IF(AND($D137&gt;=P$5,$D137&lt;P$5+7),"◆",""),IF(AND($D137&lt;P$5+7,$E137&gt;P$5),"■","")))</x:f>
      </x:c>
      <x:c r="Q137" s="7" t="str">
        <x:f>IF(OR($D137="",Q$5="",'상세일정'!AM137="제외"),"",IF($D137=$E137,IF(AND($D137&gt;=Q$5,$D137&lt;Q$5+7),"◆",""),IF(AND($D137&lt;Q$5+7,$E137&gt;Q$5),"■","")))</x:f>
      </x:c>
      <x:c r="R137" s="7" t="str">
        <x:f>IF(OR($D137="",R$5="",'상세일정'!AM137="제외"),"",IF($D137=$E137,IF(AND($D137&gt;=R$5,$D137&lt;R$5+7),"◆",""),IF(AND($D137&lt;R$5+7,$E137&gt;R$5),"■","")))</x:f>
      </x:c>
      <x:c r="S137" s="7" t="str">
        <x:f>IF(OR($D137="",S$5="",'상세일정'!AM137="제외"),"",IF($D137=$E137,IF(AND($D137&gt;=S$5,$D137&lt;S$5+7),"◆",""),IF(AND($D137&lt;S$5+7,$E137&gt;S$5),"■","")))</x:f>
      </x:c>
      <x:c r="T137" s="7" t="str">
        <x:f>IF(OR($D137="",T$5="",'상세일정'!AM137="제외"),"",IF($D137=$E137,IF(AND($D137&gt;=T$5,$D137&lt;T$5+7),"◆",""),IF(AND($D137&lt;T$5+7,$E137&gt;T$5),"■","")))</x:f>
      </x:c>
      <x:c r="U137" s="7" t="str">
        <x:f>IF(OR($D137="",U$5="",'상세일정'!AM137="제외"),"",IF($D137=$E137,IF(AND($D137&gt;=U$5,$D137&lt;U$5+7),"◆",""),IF(AND($D137&lt;U$5+7,$E137&gt;U$5),"■","")))</x:f>
      </x:c>
      <x:c r="V137" s="7" t="str">
        <x:f>IF(OR($D137="",V$5="",'상세일정'!AM137="제외"),"",IF($D137=$E137,IF(AND($D137&gt;=V$5,$D137&lt;V$5+7),"◆",""),IF(AND($D137&lt;V$5+7,$E137&gt;V$5),"■","")))</x:f>
      </x:c>
      <x:c r="W137" s="7" t="str">
        <x:f>IF(OR($D137="",W$5="",'상세일정'!AM137="제외"),"",IF($D137=$E137,IF(AND($D137&gt;=W$5,$D137&lt;W$5+7),"◆",""),IF(AND($D137&lt;W$5+7,$E137&gt;W$5),"■","")))</x:f>
      </x:c>
      <x:c r="X137" s="7" t="str">
        <x:f>IF(OR($D137="",X$5="",'상세일정'!AM137="제외"),"",IF($D137=$E137,IF(AND($D137&gt;=X$5,$D137&lt;X$5+7),"◆",""),IF(AND($D137&lt;X$5+7,$E137&gt;X$5),"■","")))</x:f>
      </x:c>
      <x:c r="Y137" s="7" t="str">
        <x:f>IF(OR($D137="",Y$5="",'상세일정'!AM137="제외"),"",IF($D137=$E137,IF(AND($D137&gt;=Y$5,$D137&lt;Y$5+7),"◆",""),IF(AND($D137&lt;Y$5+7,$E137&gt;Y$5),"■","")))</x:f>
      </x:c>
      <x:c r="Z137" s="7" t="str">
        <x:f>IF(OR($D137="",Z$5="",'상세일정'!AM137="제외"),"",IF($D137=$E137,IF(AND($D137&gt;=Z$5,$D137&lt;Z$5+7),"◆",""),IF(AND($D137&lt;Z$5+7,$E137&gt;Z$5),"■","")))</x:f>
      </x:c>
      <x:c r="AA137" s="7" t="str">
        <x:f>IF(OR($D137="",AA$5="",'상세일정'!AM137="제외"),"",IF($D137=$E137,IF(AND($D137&gt;=AA$5,$D137&lt;AA$5+7),"◆",""),IF(AND($D137&lt;AA$5+7,$E137&gt;AA$5),"■","")))</x:f>
      </x:c>
      <x:c r="AB137" s="7" t="str">
        <x:f>IF(OR($D137="",AB$5="",'상세일정'!AM137="제외"),"",IF($D137=$E137,IF(AND($D137&gt;=AB$5,$D137&lt;AB$5+7),"◆",""),IF(AND($D137&lt;AB$5+7,$E137&gt;AB$5),"■","")))</x:f>
      </x:c>
      <x:c r="AC137" s="7" t="str">
        <x:f>IF(OR($D137="",AC$5="",'상세일정'!AM137="제외"),"",IF($D137=$E137,IF(AND($D137&gt;=AC$5,$D137&lt;AC$5+7),"◆",""),IF(AND($D137&lt;AC$5+7,$E137&gt;AC$5),"■","")))</x:f>
      </x:c>
      <x:c r="AD137" s="7" t="str">
        <x:f>IF(OR($D137="",AD$5="",'상세일정'!AM137="제외"),"",IF($D137=$E137,IF(AND($D137&gt;=AD$5,$D137&lt;AD$5+7),"◆",""),IF(AND($D137&lt;AD$5+7,$E137&gt;AD$5),"■","")))</x:f>
      </x:c>
      <x:c r="AE137" s="7" t="str">
        <x:f>IF(OR($D137="",AE$5="",'상세일정'!AM137="제외"),"",IF($D137=$E137,IF(AND($D137&gt;=AE$5,$D137&lt;AE$5+7),"◆",""),IF(AND($D137&lt;AE$5+7,$E137&gt;AE$5),"■","")))</x:f>
      </x:c>
      <x:c r="AF137" s="7" t="str">
        <x:f>IF(OR($D137="",AF$5="",'상세일정'!AM137="제외"),"",IF($D137=$E137,IF(AND($D137&gt;=AF$5,$D137&lt;AF$5+7),"◆",""),IF(AND($D137&lt;AF$5+7,$E137&gt;AF$5),"■","")))</x:f>
      </x:c>
      <x:c r="AG137" s="7" t="str">
        <x:f>IF(OR($D137="",AG$5="",'상세일정'!AM137="제외"),"",IF($D137=$E137,IF(AND($D137&gt;=AG$5,$D137&lt;AG$5+7),"◆",""),IF(AND($D137&lt;AG$5+7,$E137&gt;AG$5),"■","")))</x:f>
      </x:c>
      <x:c r="AH137" s="7" t="str">
        <x:f>IF(OR($D137="",AH$5="",'상세일정'!AM137="제외"),"",IF($D137=$E137,IF(AND($D137&gt;=AH$5,$D137&lt;AH$5+7),"◆",""),IF(AND($D137&lt;AH$5+7,$E137&gt;AH$5),"■","")))</x:f>
      </x:c>
      <x:c r="AI137" s="7" t="str">
        <x:f>IF(OR($D137="",AI$5="",'상세일정'!AM137="제외"),"",IF($D137=$E137,IF(AND($D137&gt;=AI$5,$D137&lt;AI$5+7),"◆",""),IF(AND($D137&lt;AI$5+7,$E137&gt;AI$5),"■","")))</x:f>
      </x:c>
      <x:c r="AJ137" s="7" t="str">
        <x:f>IF(OR($D137="",AJ$5="",'상세일정'!AM137="제외"),"",IF($D137=$E137,IF(AND($D137&gt;=AJ$5,$D137&lt;AJ$5+7),"◆",""),IF(AND($D137&lt;AJ$5+7,$E137&gt;AJ$5),"■","")))</x:f>
      </x:c>
      <x:c r="AK137" s="7" t="str">
        <x:f>IF(OR($D137="",AK$5="",'상세일정'!AM137="제외"),"",IF($D137=$E137,IF(AND($D137&gt;=AK$5,$D137&lt;AK$5+7),"◆",""),IF(AND($D137&lt;AK$5+7,$E137&gt;AK$5),"■","")))</x:f>
      </x:c>
      <x:c r="AL137" s="7" t="str">
        <x:f>IF(OR($D137="",AL$5="",'상세일정'!AM137="제외"),"",IF($D137=$E137,IF(AND($D137&gt;=AL$5,$D137&lt;AL$5+7),"◆",""),IF(AND($D137&lt;AL$5+7,$E137&gt;AL$5),"■","")))</x:f>
      </x:c>
      <x:c r="AM137" s="7" t="str">
        <x:f>IF(OR($D137="",AM$5="",'상세일정'!AM137="제외"),"",IF($D137=$E137,IF(AND($D137&gt;=AM$5,$D137&lt;AM$5+7),"◆",""),IF(AND($D137&lt;AM$5+7,$E137&gt;AM$5),"■","")))</x:f>
      </x:c>
      <x:c r="AN137" s="7" t="str">
        <x:f>IF(OR($D137="",AN$5="",'상세일정'!AM137="제외"),"",IF($D137=$E137,IF(AND($D137&gt;=AN$5,$D137&lt;AN$5+7),"◆",""),IF(AND($D137&lt;AN$5+7,$E137&gt;AN$5),"■","")))</x:f>
      </x:c>
      <x:c r="AO137" s="7" t="str">
        <x:f>IF(OR($D137="",AO$5="",'상세일정'!AM137="제외"),"",IF($D137=$E137,IF(AND($D137&gt;=AO$5,$D137&lt;AO$5+7),"◆",""),IF(AND($D137&lt;AO$5+7,$E137&gt;AO$5),"■","")))</x:f>
      </x:c>
      <x:c r="AP137" s="7" t="str">
        <x:f>IF(OR($D137="",AP$5="",'상세일정'!AM137="제외"),"",IF($D137=$E137,IF(AND($D137&gt;=AP$5,$D137&lt;AP$5+7),"◆",""),IF(AND($D137&lt;AP$5+7,$E137&gt;AP$5),"■","")))</x:f>
      </x:c>
      <x:c r="AQ137" s="7" t="str">
        <x:f>IF(OR($D137="",AQ$5="",'상세일정'!AM137="제외"),"",IF($D137=$E137,IF(AND($D137&gt;=AQ$5,$D137&lt;AQ$5+7),"◆",""),IF(AND($D137&lt;AQ$5+7,$E137&gt;AQ$5),"■","")))</x:f>
      </x:c>
      <x:c r="AR137" s="7" t="str">
        <x:f>IF(OR($D137="",AR$5="",'상세일정'!AM137="제외"),"",IF($D137=$E137,IF(AND($D137&gt;=AR$5,$D137&lt;AR$5+7),"◆",""),IF(AND($D137&lt;AR$5+7,$E137&gt;AR$5),"■","")))</x:f>
      </x:c>
      <x:c r="AS137" s="7" t="str">
        <x:f>IF(OR($D137="",AS$5="",'상세일정'!AM137="제외"),"",IF($D137=$E137,IF(AND($D137&gt;=AS$5,$D137&lt;AS$5+7),"◆",""),IF(AND($D137&lt;AS$5+7,$E137&gt;AS$5),"■","")))</x:f>
      </x:c>
      <x:c r="AT137" s="7" t="str">
        <x:f>IF(OR($D137="",AT$5="",'상세일정'!AM137="제외"),"",IF($D137=$E137,IF(AND($D137&gt;=AT$5,$D137&lt;AT$5+7),"◆",""),IF(AND($D137&lt;AT$5+7,$E137&gt;AT$5),"■","")))</x:f>
      </x:c>
      <x:c r="AU137" s="7" t="str">
        <x:f>IF(OR($D137="",AU$5="",'상세일정'!AM137="제외"),"",IF($D137=$E137,IF(AND($D137&gt;=AU$5,$D137&lt;AU$5+7),"◆",""),IF(AND($D137&lt;AU$5+7,$E137&gt;AU$5),"■","")))</x:f>
      </x:c>
      <x:c r="AV137" s="7" t="str">
        <x:f>IF(OR($D137="",AV$5="",'상세일정'!AM137="제외"),"",IF($D137=$E137,IF(AND($D137&gt;=AV$5,$D137&lt;AV$5+7),"◆",""),IF(AND($D137&lt;AV$5+7,$E137&gt;AV$5),"■","")))</x:f>
      </x:c>
      <x:c r="AW137" s="7" t="str">
        <x:f>IF(OR($D137="",AW$5="",'상세일정'!AM137="제외"),"",IF($D137=$E137,IF(AND($D137&gt;=AW$5,$D137&lt;AW$5+7),"◆",""),IF(AND($D137&lt;AW$5+7,$E137&gt;AW$5),"■","")))</x:f>
      </x:c>
      <x:c r="AX137" s="7" t="str">
        <x:f>IF(OR($D137="",AX$5="",'상세일정'!AM137="제외"),"",IF($D137=$E137,IF(AND($D137&gt;=AX$5,$D137&lt;AX$5+7),"◆",""),IF(AND($D137&lt;AX$5+7,$E137&gt;AX$5),"■","")))</x:f>
      </x:c>
      <x:c r="AY137" s="7" t="str">
        <x:f>IF(OR($D137="",AY$5="",'상세일정'!AM137="제외"),"",IF($D137=$E137,IF(AND($D137&gt;=AY$5,$D137&lt;AY$5+7),"◆",""),IF(AND($D137&lt;AY$5+7,$E137&gt;AY$5),"■","")))</x:f>
      </x:c>
      <x:c r="AZ137" s="7" t="str">
        <x:f>IF(OR($D137="",AZ$5="",'상세일정'!AM137="제외"),"",IF($D137=$E137,IF(AND($D137&gt;=AZ$5,$D137&lt;AZ$5+7),"◆",""),IF(AND($D137&lt;AZ$5+7,$E137&gt;AZ$5),"■","")))</x:f>
      </x:c>
      <x:c r="BA137" s="7" t="str">
        <x:f>IF(OR($D137="",BA$5="",'상세일정'!AM137="제외"),"",IF($D137=$E137,IF(AND($D137&gt;=BA$5,$D137&lt;BA$5+7),"◆",""),IF(AND($D137&lt;BA$5+7,$E137&gt;BA$5),"■","")))</x:f>
      </x:c>
      <x:c r="BB137" s="7" t="str">
        <x:f>IF(OR($D137="",BB$5="",'상세일정'!AM137="제외"),"",IF($D137=$E137,IF(AND($D137&gt;=BB$5,$D137&lt;BB$5+7),"◆",""),IF(AND($D137&lt;BB$5+7,$E137&gt;BB$5),"■","")))</x:f>
      </x:c>
      <x:c r="BC137" s="7" t="str">
        <x:f>IF(OR($D137="",BC$5="",'상세일정'!AM137="제외"),"",IF($D137=$E137,IF(AND($D137&gt;=BC$5,$D137&lt;BC$5+7),"◆",""),IF(AND($D137&lt;BC$5+7,$E137&gt;BC$5),"■","")))</x:f>
      </x:c>
      <x:c r="BD137" s="7" t="str">
        <x:f>IF(OR($D137="",BD$5="",'상세일정'!AM137="제외"),"",IF($D137=$E137,IF(AND($D137&gt;=BD$5,$D137&lt;BD$5+7),"◆",""),IF(AND($D137&lt;BD$5+7,$E137&gt;BD$5),"■","")))</x:f>
      </x:c>
      <x:c r="BE137" s="7" t="str">
        <x:f>IF(OR($D137="",BE$5="",'상세일정'!AM137="제외"),"",IF($D137=$E137,IF(AND($D137&gt;=BE$5,$D137&lt;BE$5+7),"◆",""),IF(AND($D137&lt;BE$5+7,$E137&gt;BE$5),"■","")))</x:f>
      </x:c>
      <x:c r="BF137" s="7" t="str">
        <x:f>IF(OR($D137="",BF$5="",'상세일정'!AM137="제외"),"",IF($D137=$E137,IF(AND($D137&gt;=BF$5,$D137&lt;BF$5+7),"◆",""),IF(AND($D137&lt;BF$5+7,$E137&gt;BF$5),"■","")))</x:f>
      </x:c>
      <x:c r="BG137" s="7" t="str">
        <x:f>IF(OR($D137="",BG$5="",'상세일정'!AM137="제외"),"",IF($D137=$E137,IF(AND($D137&gt;=BG$5,$D137&lt;BG$5+7),"◆",""),IF(AND($D137&lt;BG$5+7,$E137&gt;BG$5),"■","")))</x:f>
      </x:c>
      <x:c r="BH137" s="7" t="str">
        <x:f>IF(OR($D137="",BH$5="",'상세일정'!AM137="제외"),"",IF($D137=$E137,IF(AND($D137&gt;=BH$5,$D137&lt;BH$5+7),"◆",""),IF(AND($D137&lt;BH$5+7,$E137&gt;BH$5),"■","")))</x:f>
      </x:c>
      <x:c r="BI137" s="7" t="str">
        <x:f>IF(OR($D137="",BI$5="",'상세일정'!AM137="제외"),"",IF($D137=$E137,IF(AND($D137&gt;=BI$5,$D137&lt;BI$5+7),"◆",""),IF(AND($D137&lt;BI$5+7,$E137&gt;BI$5),"■","")))</x:f>
      </x:c>
      <x:c r="BJ137" s="7" t="str">
        <x:f>IF(OR($D137="",BJ$5="",'상세일정'!AM137="제외"),"",IF($D137=$E137,IF(AND($D137&gt;=BJ$5,$D137&lt;BJ$5+7),"◆",""),IF(AND($D137&lt;BJ$5+7,$E137&gt;BJ$5),"■","")))</x:f>
      </x:c>
      <x:c r="BK137" s="7" t="str">
        <x:f>IF(OR($D137="",BK$5="",'상세일정'!AM137="제외"),"",IF($D137=$E137,IF(AND($D137&gt;=BK$5,$D137&lt;BK$5+7),"◆",""),IF(AND($D137&lt;BK$5+7,$E137&gt;BK$5),"■","")))</x:f>
      </x:c>
      <x:c r="BL137" s="7" t="str">
        <x:f>IF(OR($D137="",BL$5="",'상세일정'!AM137="제외"),"",IF($D137=$E137,IF(AND($D137&gt;=BL$5,$D137&lt;BL$5+7),"◆",""),IF(AND($D137&lt;BL$5+7,$E137&gt;BL$5),"■","")))</x:f>
      </x:c>
      <x:c r="BM137" s="7" t="str">
        <x:f>IF(OR($D137="",BM$5="",'상세일정'!AM137="제외"),"",IF($D137=$E137,IF(AND($D137&gt;=BM$5,$D137&lt;BM$5+7),"◆",""),IF(AND($D137&lt;BM$5+7,$E137&gt;BM$5),"■","")))</x:f>
      </x:c>
      <x:c r="BN137" s="7" t="str">
        <x:f>IF(OR($D137="",BN$5="",'상세일정'!AM137="제외"),"",IF($D137=$E137,IF(AND($D137&gt;=BN$5,$D137&lt;BN$5+7),"◆",""),IF(AND($D137&lt;BN$5+7,$E137&gt;BN$5),"■","")))</x:f>
      </x:c>
      <x:c r="BO137" s="7" t="str">
        <x:f>IF(OR($D137="",BO$5="",'상세일정'!AM137="제외"),"",IF($D137=$E137,IF(AND($D137&gt;=BO$5,$D137&lt;BO$5+7),"◆",""),IF(AND($D137&lt;BO$5+7,$E137&gt;BO$5),"■","")))</x:f>
      </x:c>
      <x:c r="BP137" s="7" t="str">
        <x:f>IF(OR($D137="",BP$5="",'상세일정'!AM137="제외"),"",IF($D137=$E137,IF(AND($D137&gt;=BP$5,$D137&lt;BP$5+7),"◆",""),IF(AND($D137&lt;BP$5+7,$E137&gt;BP$5),"■","")))</x:f>
      </x:c>
      <x:c r="BQ137" s="7" t="str">
        <x:f>IF(OR($D137="",BQ$5="",'상세일정'!AM137="제외"),"",IF($D137=$E137,IF(AND($D137&gt;=BQ$5,$D137&lt;BQ$5+7),"◆",""),IF(AND($D137&lt;BQ$5+7,$E137&gt;BQ$5),"■","")))</x:f>
      </x:c>
      <x:c r="BR137" s="7" t="str">
        <x:f>IF(OR($D137="",BR$5="",'상세일정'!AM137="제외"),"",IF($D137=$E137,IF(AND($D137&gt;=BR$5,$D137&lt;BR$5+7),"◆",""),IF(AND($D137&lt;BR$5+7,$E137&gt;BR$5),"■","")))</x:f>
      </x:c>
      <x:c r="BS137" s="7" t="str">
        <x:f>IF(OR($D137="",BS$5="",'상세일정'!AM137="제외"),"",IF($D137=$E137,IF(AND($D137&gt;=BS$5,$D137&lt;BS$5+7),"◆",""),IF(AND($D137&lt;BS$5+7,$E137&gt;BS$5),"■","")))</x:f>
      </x:c>
      <x:c r="BT137" s="7" t="str">
        <x:f>IF(OR($D137="",BT$5="",'상세일정'!AM137="제외"),"",IF($D137=$E137,IF(AND($D137&gt;=BT$5,$D137&lt;BT$5+7),"◆",""),IF(AND($D137&lt;BT$5+7,$E137&gt;BT$5),"■","")))</x:f>
      </x:c>
      <x:c r="BU137" s="7" t="str">
        <x:f>IF(OR($D137="",BU$5="",'상세일정'!AM137="제외"),"",IF($D137=$E137,IF(AND($D137&gt;=BU$5,$D137&lt;BU$5+7),"◆",""),IF(AND($D137&lt;BU$5+7,$E137&gt;BU$5),"■","")))</x:f>
      </x:c>
      <x:c r="BV137" s="7" t="str">
        <x:f>IF(OR($D137="",BV$5="",'상세일정'!AM137="제외"),"",IF($D137=$E137,IF(AND($D137&gt;=BV$5,$D137&lt;BV$5+7),"◆",""),IF(AND($D137&lt;BV$5+7,$E137&gt;BV$5),"■","")))</x:f>
      </x:c>
      <x:c r="BW137" s="7" t="str">
        <x:f>IF(OR($D137="",BW$5="",'상세일정'!AM137="제외"),"",IF($D137=$E137,IF(AND($D137&gt;=BW$5,$D137&lt;BW$5+7),"◆",""),IF(AND($D137&lt;BW$5+7,$E137&gt;BW$5),"■","")))</x:f>
      </x:c>
      <x:c r="BX137" s="7" t="str">
        <x:f>IF(OR($D137="",BX$5="",'상세일정'!AM137="제외"),"",IF($D137=$E137,IF(AND($D137&gt;=BX$5,$D137&lt;BX$5+7),"◆",""),IF(AND($D137&lt;BX$5+7,$E137&gt;BX$5),"■","")))</x:f>
      </x:c>
      <x:c r="BY137" s="7" t="str">
        <x:f>IF(OR($D137="",BY$5="",'상세일정'!AM137="제외"),"",IF($D137=$E137,IF(AND($D137&gt;=BY$5,$D137&lt;BY$5+7),"◆",""),IF(AND($D137&lt;BY$5+7,$E137&gt;BY$5),"■","")))</x:f>
      </x:c>
      <x:c r="BZ137" s="7" t="str">
        <x:f>IF(OR($D137="",BZ$5="",'상세일정'!AM137="제외"),"",IF($D137=$E137,IF(AND($D137&gt;=BZ$5,$D137&lt;BZ$5+7),"◆",""),IF(AND($D137&lt;BZ$5+7,$E137&gt;BZ$5),"■","")))</x:f>
      </x:c>
      <x:c r="CA137" s="7" t="str">
        <x:f>IF(OR($D137="",CA$5="",'상세일정'!AM137="제외"),"",IF($D137=$E137,IF(AND($D137&gt;=CA$5,$D137&lt;CA$5+7),"◆",""),IF(AND($D137&lt;CA$5+7,$E137&gt;CA$5),"■","")))</x:f>
      </x:c>
      <x:c r="CB137" s="7" t="str">
        <x:f>IF(OR($D137="",CB$5="",'상세일정'!AM137="제외"),"",IF($D137=$E137,IF(AND($D137&gt;=CB$5,$D137&lt;CB$5+7),"◆",""),IF(AND($D137&lt;CB$5+7,$E137&gt;CB$5),"■","")))</x:f>
      </x:c>
      <x:c r="CC137" s="7" t="str">
        <x:f>IF(OR($D137="",CC$5="",'상세일정'!AM137="제외"),"",IF($D137=$E137,IF(AND($D137&gt;=CC$5,$D137&lt;CC$5+7),"◆",""),IF(AND($D137&lt;CC$5+7,$E137&gt;CC$5),"■","")))</x:f>
      </x:c>
      <x:c r="CD137" s="7" t="str">
        <x:f>IF(OR($D137="",CD$5="",'상세일정'!AM137="제외"),"",IF($D137=$E137,IF(AND($D137&gt;=CD$5,$D137&lt;CD$5+7),"◆",""),IF(AND($D137&lt;CD$5+7,$E137&gt;CD$5),"■","")))</x:f>
      </x:c>
      <x:c r="CE137" s="7" t="str">
        <x:f>IF(OR($D137="",CE$5="",'상세일정'!AM137="제외"),"",IF($D137=$E137,IF(AND($D137&gt;=CE$5,$D137&lt;CE$5+7),"◆",""),IF(AND($D137&lt;CE$5+7,$E137&gt;CE$5),"■","")))</x:f>
      </x:c>
      <x:c r="CF137" s="7" t="str">
        <x:f>IF(OR($D137="",CF$5="",'상세일정'!AM137="제외"),"",IF($D137=$E137,IF(AND($D137&gt;=CF$5,$D137&lt;CF$5+7),"◆",""),IF(AND($D137&lt;CF$5+7,$E137&gt;CF$5),"■","")))</x:f>
      </x:c>
      <x:c r="CG137" s="7" t="str">
        <x:f>IF(OR($D137="",CG$5="",'상세일정'!AM137="제외"),"",IF($D137=$E137,IF(AND($D137&gt;=CG$5,$D137&lt;CG$5+7),"◆",""),IF(AND($D137&lt;CG$5+7,$E137&gt;CG$5),"■","")))</x:f>
      </x:c>
      <x:c r="CH137" s="7" t="str">
        <x:f>IF(OR($D137="",CH$5="",'상세일정'!AM137="제외"),"",IF($D137=$E137,IF(AND($D137&gt;=CH$5,$D137&lt;CH$5+7),"◆",""),IF(AND($D137&lt;CH$5+7,$E137&gt;CH$5),"■","")))</x:f>
      </x:c>
      <x:c r="CI137" s="7" t="str">
        <x:f>IF(OR($D137="",CI$5="",'상세일정'!AM137="제외"),"",IF($D137=$E137,IF(AND($D137&gt;=CI$5,$D137&lt;CI$5+7),"◆",""),IF(AND($D137&lt;CI$5+7,$E137&gt;CI$5),"■","")))</x:f>
      </x:c>
      <x:c r="CJ137" s="7" t="str">
        <x:f>IF(OR($D137="",CJ$5="",'상세일정'!AM137="제외"),"",IF($D137=$E137,IF(AND($D137&gt;=CJ$5,$D137&lt;CJ$5+7),"◆",""),IF(AND($D137&lt;CJ$5+7,$E137&gt;CJ$5),"■","")))</x:f>
      </x:c>
      <x:c r="CK137" s="7" t="str">
        <x:f>IF(OR($D137="",CK$5="",'상세일정'!AM137="제외"),"",IF($D137=$E137,IF(AND($D137&gt;=CK$5,$D137&lt;CK$5+7),"◆",""),IF(AND($D137&lt;CK$5+7,$E137&gt;CK$5),"■","")))</x:f>
      </x:c>
      <x:c r="CL137" s="7" t="str">
        <x:f>IF(OR($D137="",CL$5="",'상세일정'!AM137="제외"),"",IF($D137=$E137,IF(AND($D137&gt;=CL$5,$D137&lt;CL$5+7),"◆",""),IF(AND($D137&lt;CL$5+7,$E137&gt;CL$5),"■","")))</x:f>
      </x:c>
      <x:c r="CM137" s="7" t="str">
        <x:f>IF(OR($D137="",CM$5="",'상세일정'!AM137="제외"),"",IF($D137=$E137,IF(AND($D137&gt;=CM$5,$D137&lt;CM$5+7),"◆",""),IF(AND($D137&lt;CM$5+7,$E137&gt;CM$5),"■","")))</x:f>
      </x:c>
      <x:c r="CN137" s="7" t="str">
        <x:f>IF(OR($D137="",CN$5="",'상세일정'!AM137="제외"),"",IF($D137=$E137,IF(AND($D137&gt;=CN$5,$D137&lt;CN$5+7),"◆",""),IF(AND($D137&lt;CN$5+7,$E137&gt;CN$5),"■","")))</x:f>
      </x:c>
      <x:c r="CO137" s="7" t="str">
        <x:f>IF(OR($D137="",CO$5="",'상세일정'!AM137="제외"),"",IF($D137=$E137,IF(AND($D137&gt;=CO$5,$D137&lt;CO$5+7),"◆",""),IF(AND($D137&lt;CO$5+7,$E137&gt;CO$5),"■","")))</x:f>
      </x:c>
      <x:c r="CP137" s="7" t="str">
        <x:f>IF(OR($D137="",CP$5="",'상세일정'!AM137="제외"),"",IF($D137=$E137,IF(AND($D137&gt;=CP$5,$D137&lt;CP$5+7),"◆",""),IF(AND($D137&lt;CP$5+7,$E137&gt;CP$5),"■","")))</x:f>
      </x:c>
      <x:c r="CQ137" s="7" t="str">
        <x:f>IF(OR($D137="",CQ$5="",'상세일정'!AM137="제외"),"",IF($D137=$E137,IF(AND($D137&gt;=CQ$5,$D137&lt;CQ$5+7),"◆",""),IF(AND($D137&lt;CQ$5+7,$E137&gt;CQ$5),"■","")))</x:f>
      </x:c>
      <x:c r="CR137" s="7" t="str">
        <x:f>IF(OR($D137="",CR$5="",'상세일정'!AM137="제외"),"",IF($D137=$E137,IF(AND($D137&gt;=CR$5,$D137&lt;CR$5+7),"◆",""),IF(AND($D137&lt;CR$5+7,$E137&gt;CR$5),"■","")))</x:f>
      </x:c>
      <x:c r="CS137" s="7" t="str">
        <x:f>IF(OR($D137="",CS$5="",'상세일정'!AM137="제외"),"",IF($D137=$E137,IF(AND($D137&gt;=CS$5,$D137&lt;CS$5+7),"◆",""),IF(AND($D137&lt;CS$5+7,$E137&gt;CS$5),"■","")))</x:f>
      </x:c>
      <x:c r="CT137" s="7" t="str">
        <x:f>IF(OR($D137="",CT$5="",'상세일정'!AM137="제외"),"",IF($D137=$E137,IF(AND($D137&gt;=CT$5,$D137&lt;CT$5+7),"◆",""),IF(AND($D137&lt;CT$5+7,$E137&gt;CT$5),"■","")))</x:f>
      </x:c>
      <x:c r="CU137" s="7" t="str">
        <x:f>IF(OR($D137="",CU$5="",'상세일정'!AM137="제외"),"",IF($D137=$E137,IF(AND($D137&gt;=CU$5,$D137&lt;CU$5+7),"◆",""),IF(AND($D137&lt;CU$5+7,$E137&gt;CU$5),"■","")))</x:f>
      </x:c>
      <x:c r="CV137" s="7" t="str">
        <x:f>IF(OR($D137="",CV$5="",'상세일정'!AM137="제외"),"",IF($D137=$E137,IF(AND($D137&gt;=CV$5,$D137&lt;CV$5+7),"◆",""),IF(AND($D137&lt;CV$5+7,$E137&gt;CV$5),"■","")))</x:f>
      </x:c>
      <x:c r="CW137" s="7" t="str">
        <x:f>IF(OR($D137="",CW$5="",'상세일정'!AM137="제외"),"",IF($D137=$E137,IF(AND($D137&gt;=CW$5,$D137&lt;CW$5+7),"◆",""),IF(AND($D137&lt;CW$5+7,$E137&gt;CW$5),"■","")))</x:f>
      </x:c>
      <x:c r="CX137" s="7" t="str">
        <x:f>IF(OR($D137="",CX$5="",'상세일정'!AM137="제외"),"",IF($D137=$E137,IF(AND($D137&gt;=CX$5,$D137&lt;CX$5+7),"◆",""),IF(AND($D137&lt;CX$5+7,$E137&gt;CX$5),"■","")))</x:f>
      </x:c>
      <x:c r="CY137" s="7" t="str">
        <x:f>IF(OR($D137="",CY$5="",'상세일정'!AM137="제외"),"",IF($D137=$E137,IF(AND($D137&gt;=CY$5,$D137&lt;CY$5+7),"◆",""),IF(AND($D137&lt;CY$5+7,$E137&gt;CY$5),"■","")))</x:f>
      </x:c>
      <x:c r="CZ137" s="7" t="str">
        <x:f>IF(OR($D137="",CZ$5="",'상세일정'!AM137="제외"),"",IF($D137=$E137,IF(AND($D137&gt;=CZ$5,$D137&lt;CZ$5+7),"◆",""),IF(AND($D137&lt;CZ$5+7,$E137&gt;CZ$5),"■","")))</x:f>
      </x:c>
      <x:c r="DA137" s="7" t="str">
        <x:f>IF(OR($D137="",DA$5="",'상세일정'!AM137="제외"),"",IF($D137=$E137,IF(AND($D137&gt;=DA$5,$D137&lt;DA$5+7),"◆",""),IF(AND($D137&lt;DA$5+7,$E137&gt;DA$5),"■","")))</x:f>
      </x:c>
      <x:c r="DB137" s="7" t="str">
        <x:f>IF(OR($D137="",DB$5="",'상세일정'!AM137="제외"),"",IF($D137=$E137,IF(AND($D137&gt;=DB$5,$D137&lt;DB$5+7),"◆",""),IF(AND($D137&lt;DB$5+7,$E137&gt;DB$5),"■","")))</x:f>
      </x:c>
      <x:c r="DC137" s="7" t="str">
        <x:f>IF(OR($D137="",DC$5="",'상세일정'!AM137="제외"),"",IF($D137=$E137,IF(AND($D137&gt;=DC$5,$D137&lt;DC$5+7),"◆",""),IF(AND($D137&lt;DC$5+7,$E137&gt;DC$5),"■","")))</x:f>
      </x:c>
      <x:c r="DD137" s="7" t="str">
        <x:f>IF(OR($D137="",DD$5="",'상세일정'!AM137="제외"),"",IF($D137=$E137,IF(AND($D137&gt;=DD$5,$D137&lt;DD$5+7),"◆",""),IF(AND($D137&lt;DD$5+7,$E137&gt;DD$5),"■","")))</x:f>
      </x:c>
      <x:c r="DE137" s="7" t="str">
        <x:f>IF(OR($D137="",DE$5="",'상세일정'!AM137="제외"),"",IF($D137=$E137,IF(AND($D137&gt;=DE$5,$D137&lt;DE$5+7),"◆",""),IF(AND($D137&lt;DE$5+7,$E137&gt;DE$5),"■","")))</x:f>
      </x:c>
    </x:row>
    <x:row r="138" ht="34" customHeight="1">
      <x:c r="A138" s="7" t="str">
        <x:v>AN03</x:v>
      </x:c>
      <x:c r="B138" s="7" t="str">
        <x:v>16 기자재 구매·제작</x:v>
      </x:c>
      <x:c r="C138" s="7" t="str">
        <x:v>제품분석기·Sampling system 제작도·ITP 승인</x:v>
      </x:c>
      <x:c r="D138" s="10" t="str">
        <x:f>'상세일정'!AJ138</x:f>
      </x:c>
      <x:c r="E138" s="10" t="str">
        <x:f>'상세일정'!AK138</x:f>
      </x:c>
      <x:c r="F138" s="7" t="str">
        <x:f>IF(OR($D138="",F$5="",'상세일정'!AM138="제외"),"",IF($D138=$E138,IF(AND($D138&gt;=F$5,$D138&lt;F$5+7),"◆",""),IF(AND($D138&lt;F$5+7,$E138&gt;F$5),"■","")))</x:f>
      </x:c>
      <x:c r="G138" s="7" t="str">
        <x:f>IF(OR($D138="",G$5="",'상세일정'!AM138="제외"),"",IF($D138=$E138,IF(AND($D138&gt;=G$5,$D138&lt;G$5+7),"◆",""),IF(AND($D138&lt;G$5+7,$E138&gt;G$5),"■","")))</x:f>
      </x:c>
      <x:c r="H138" s="7" t="str">
        <x:f>IF(OR($D138="",H$5="",'상세일정'!AM138="제외"),"",IF($D138=$E138,IF(AND($D138&gt;=H$5,$D138&lt;H$5+7),"◆",""),IF(AND($D138&lt;H$5+7,$E138&gt;H$5),"■","")))</x:f>
      </x:c>
      <x:c r="I138" s="7" t="str">
        <x:f>IF(OR($D138="",I$5="",'상세일정'!AM138="제외"),"",IF($D138=$E138,IF(AND($D138&gt;=I$5,$D138&lt;I$5+7),"◆",""),IF(AND($D138&lt;I$5+7,$E138&gt;I$5),"■","")))</x:f>
      </x:c>
      <x:c r="J138" s="7" t="str">
        <x:f>IF(OR($D138="",J$5="",'상세일정'!AM138="제외"),"",IF($D138=$E138,IF(AND($D138&gt;=J$5,$D138&lt;J$5+7),"◆",""),IF(AND($D138&lt;J$5+7,$E138&gt;J$5),"■","")))</x:f>
      </x:c>
      <x:c r="K138" s="7" t="str">
        <x:f>IF(OR($D138="",K$5="",'상세일정'!AM138="제외"),"",IF($D138=$E138,IF(AND($D138&gt;=K$5,$D138&lt;K$5+7),"◆",""),IF(AND($D138&lt;K$5+7,$E138&gt;K$5),"■","")))</x:f>
      </x:c>
      <x:c r="L138" s="7" t="str">
        <x:f>IF(OR($D138="",L$5="",'상세일정'!AM138="제외"),"",IF($D138=$E138,IF(AND($D138&gt;=L$5,$D138&lt;L$5+7),"◆",""),IF(AND($D138&lt;L$5+7,$E138&gt;L$5),"■","")))</x:f>
      </x:c>
      <x:c r="M138" s="7" t="str">
        <x:f>IF(OR($D138="",M$5="",'상세일정'!AM138="제외"),"",IF($D138=$E138,IF(AND($D138&gt;=M$5,$D138&lt;M$5+7),"◆",""),IF(AND($D138&lt;M$5+7,$E138&gt;M$5),"■","")))</x:f>
      </x:c>
      <x:c r="N138" s="7" t="str">
        <x:f>IF(OR($D138="",N$5="",'상세일정'!AM138="제외"),"",IF($D138=$E138,IF(AND($D138&gt;=N$5,$D138&lt;N$5+7),"◆",""),IF(AND($D138&lt;N$5+7,$E138&gt;N$5),"■","")))</x:f>
      </x:c>
      <x:c r="O138" s="7" t="str">
        <x:f>IF(OR($D138="",O$5="",'상세일정'!AM138="제외"),"",IF($D138=$E138,IF(AND($D138&gt;=O$5,$D138&lt;O$5+7),"◆",""),IF(AND($D138&lt;O$5+7,$E138&gt;O$5),"■","")))</x:f>
      </x:c>
      <x:c r="P138" s="7" t="str">
        <x:f>IF(OR($D138="",P$5="",'상세일정'!AM138="제외"),"",IF($D138=$E138,IF(AND($D138&gt;=P$5,$D138&lt;P$5+7),"◆",""),IF(AND($D138&lt;P$5+7,$E138&gt;P$5),"■","")))</x:f>
      </x:c>
      <x:c r="Q138" s="7" t="str">
        <x:f>IF(OR($D138="",Q$5="",'상세일정'!AM138="제외"),"",IF($D138=$E138,IF(AND($D138&gt;=Q$5,$D138&lt;Q$5+7),"◆",""),IF(AND($D138&lt;Q$5+7,$E138&gt;Q$5),"■","")))</x:f>
      </x:c>
      <x:c r="R138" s="7" t="str">
        <x:f>IF(OR($D138="",R$5="",'상세일정'!AM138="제외"),"",IF($D138=$E138,IF(AND($D138&gt;=R$5,$D138&lt;R$5+7),"◆",""),IF(AND($D138&lt;R$5+7,$E138&gt;R$5),"■","")))</x:f>
      </x:c>
      <x:c r="S138" s="7" t="str">
        <x:f>IF(OR($D138="",S$5="",'상세일정'!AM138="제외"),"",IF($D138=$E138,IF(AND($D138&gt;=S$5,$D138&lt;S$5+7),"◆",""),IF(AND($D138&lt;S$5+7,$E138&gt;S$5),"■","")))</x:f>
      </x:c>
      <x:c r="T138" s="7" t="str">
        <x:f>IF(OR($D138="",T$5="",'상세일정'!AM138="제외"),"",IF($D138=$E138,IF(AND($D138&gt;=T$5,$D138&lt;T$5+7),"◆",""),IF(AND($D138&lt;T$5+7,$E138&gt;T$5),"■","")))</x:f>
      </x:c>
      <x:c r="U138" s="7" t="str">
        <x:f>IF(OR($D138="",U$5="",'상세일정'!AM138="제외"),"",IF($D138=$E138,IF(AND($D138&gt;=U$5,$D138&lt;U$5+7),"◆",""),IF(AND($D138&lt;U$5+7,$E138&gt;U$5),"■","")))</x:f>
      </x:c>
      <x:c r="V138" s="7" t="str">
        <x:f>IF(OR($D138="",V$5="",'상세일정'!AM138="제외"),"",IF($D138=$E138,IF(AND($D138&gt;=V$5,$D138&lt;V$5+7),"◆",""),IF(AND($D138&lt;V$5+7,$E138&gt;V$5),"■","")))</x:f>
      </x:c>
      <x:c r="W138" s="7" t="str">
        <x:f>IF(OR($D138="",W$5="",'상세일정'!AM138="제외"),"",IF($D138=$E138,IF(AND($D138&gt;=W$5,$D138&lt;W$5+7),"◆",""),IF(AND($D138&lt;W$5+7,$E138&gt;W$5),"■","")))</x:f>
      </x:c>
      <x:c r="X138" s="7" t="str">
        <x:f>IF(OR($D138="",X$5="",'상세일정'!AM138="제외"),"",IF($D138=$E138,IF(AND($D138&gt;=X$5,$D138&lt;X$5+7),"◆",""),IF(AND($D138&lt;X$5+7,$E138&gt;X$5),"■","")))</x:f>
      </x:c>
      <x:c r="Y138" s="7" t="str">
        <x:f>IF(OR($D138="",Y$5="",'상세일정'!AM138="제외"),"",IF($D138=$E138,IF(AND($D138&gt;=Y$5,$D138&lt;Y$5+7),"◆",""),IF(AND($D138&lt;Y$5+7,$E138&gt;Y$5),"■","")))</x:f>
      </x:c>
      <x:c r="Z138" s="7" t="str">
        <x:f>IF(OR($D138="",Z$5="",'상세일정'!AM138="제외"),"",IF($D138=$E138,IF(AND($D138&gt;=Z$5,$D138&lt;Z$5+7),"◆",""),IF(AND($D138&lt;Z$5+7,$E138&gt;Z$5),"■","")))</x:f>
      </x:c>
      <x:c r="AA138" s="7" t="str">
        <x:f>IF(OR($D138="",AA$5="",'상세일정'!AM138="제외"),"",IF($D138=$E138,IF(AND($D138&gt;=AA$5,$D138&lt;AA$5+7),"◆",""),IF(AND($D138&lt;AA$5+7,$E138&gt;AA$5),"■","")))</x:f>
      </x:c>
      <x:c r="AB138" s="7" t="str">
        <x:f>IF(OR($D138="",AB$5="",'상세일정'!AM138="제외"),"",IF($D138=$E138,IF(AND($D138&gt;=AB$5,$D138&lt;AB$5+7),"◆",""),IF(AND($D138&lt;AB$5+7,$E138&gt;AB$5),"■","")))</x:f>
      </x:c>
      <x:c r="AC138" s="7" t="str">
        <x:f>IF(OR($D138="",AC$5="",'상세일정'!AM138="제외"),"",IF($D138=$E138,IF(AND($D138&gt;=AC$5,$D138&lt;AC$5+7),"◆",""),IF(AND($D138&lt;AC$5+7,$E138&gt;AC$5),"■","")))</x:f>
      </x:c>
      <x:c r="AD138" s="7" t="str">
        <x:f>IF(OR($D138="",AD$5="",'상세일정'!AM138="제외"),"",IF($D138=$E138,IF(AND($D138&gt;=AD$5,$D138&lt;AD$5+7),"◆",""),IF(AND($D138&lt;AD$5+7,$E138&gt;AD$5),"■","")))</x:f>
      </x:c>
      <x:c r="AE138" s="7" t="str">
        <x:f>IF(OR($D138="",AE$5="",'상세일정'!AM138="제외"),"",IF($D138=$E138,IF(AND($D138&gt;=AE$5,$D138&lt;AE$5+7),"◆",""),IF(AND($D138&lt;AE$5+7,$E138&gt;AE$5),"■","")))</x:f>
      </x:c>
      <x:c r="AF138" s="7" t="str">
        <x:f>IF(OR($D138="",AF$5="",'상세일정'!AM138="제외"),"",IF($D138=$E138,IF(AND($D138&gt;=AF$5,$D138&lt;AF$5+7),"◆",""),IF(AND($D138&lt;AF$5+7,$E138&gt;AF$5),"■","")))</x:f>
      </x:c>
      <x:c r="AG138" s="7" t="str">
        <x:f>IF(OR($D138="",AG$5="",'상세일정'!AM138="제외"),"",IF($D138=$E138,IF(AND($D138&gt;=AG$5,$D138&lt;AG$5+7),"◆",""),IF(AND($D138&lt;AG$5+7,$E138&gt;AG$5),"■","")))</x:f>
      </x:c>
      <x:c r="AH138" s="7" t="str">
        <x:f>IF(OR($D138="",AH$5="",'상세일정'!AM138="제외"),"",IF($D138=$E138,IF(AND($D138&gt;=AH$5,$D138&lt;AH$5+7),"◆",""),IF(AND($D138&lt;AH$5+7,$E138&gt;AH$5),"■","")))</x:f>
      </x:c>
      <x:c r="AI138" s="7" t="str">
        <x:f>IF(OR($D138="",AI$5="",'상세일정'!AM138="제외"),"",IF($D138=$E138,IF(AND($D138&gt;=AI$5,$D138&lt;AI$5+7),"◆",""),IF(AND($D138&lt;AI$5+7,$E138&gt;AI$5),"■","")))</x:f>
      </x:c>
      <x:c r="AJ138" s="7" t="str">
        <x:f>IF(OR($D138="",AJ$5="",'상세일정'!AM138="제외"),"",IF($D138=$E138,IF(AND($D138&gt;=AJ$5,$D138&lt;AJ$5+7),"◆",""),IF(AND($D138&lt;AJ$5+7,$E138&gt;AJ$5),"■","")))</x:f>
      </x:c>
      <x:c r="AK138" s="7" t="str">
        <x:f>IF(OR($D138="",AK$5="",'상세일정'!AM138="제외"),"",IF($D138=$E138,IF(AND($D138&gt;=AK$5,$D138&lt;AK$5+7),"◆",""),IF(AND($D138&lt;AK$5+7,$E138&gt;AK$5),"■","")))</x:f>
      </x:c>
      <x:c r="AL138" s="7" t="str">
        <x:f>IF(OR($D138="",AL$5="",'상세일정'!AM138="제외"),"",IF($D138=$E138,IF(AND($D138&gt;=AL$5,$D138&lt;AL$5+7),"◆",""),IF(AND($D138&lt;AL$5+7,$E138&gt;AL$5),"■","")))</x:f>
      </x:c>
      <x:c r="AM138" s="7" t="str">
        <x:f>IF(OR($D138="",AM$5="",'상세일정'!AM138="제외"),"",IF($D138=$E138,IF(AND($D138&gt;=AM$5,$D138&lt;AM$5+7),"◆",""),IF(AND($D138&lt;AM$5+7,$E138&gt;AM$5),"■","")))</x:f>
      </x:c>
      <x:c r="AN138" s="7" t="str">
        <x:f>IF(OR($D138="",AN$5="",'상세일정'!AM138="제외"),"",IF($D138=$E138,IF(AND($D138&gt;=AN$5,$D138&lt;AN$5+7),"◆",""),IF(AND($D138&lt;AN$5+7,$E138&gt;AN$5),"■","")))</x:f>
      </x:c>
      <x:c r="AO138" s="7" t="str">
        <x:f>IF(OR($D138="",AO$5="",'상세일정'!AM138="제외"),"",IF($D138=$E138,IF(AND($D138&gt;=AO$5,$D138&lt;AO$5+7),"◆",""),IF(AND($D138&lt;AO$5+7,$E138&gt;AO$5),"■","")))</x:f>
      </x:c>
      <x:c r="AP138" s="7" t="str">
        <x:f>IF(OR($D138="",AP$5="",'상세일정'!AM138="제외"),"",IF($D138=$E138,IF(AND($D138&gt;=AP$5,$D138&lt;AP$5+7),"◆",""),IF(AND($D138&lt;AP$5+7,$E138&gt;AP$5),"■","")))</x:f>
      </x:c>
      <x:c r="AQ138" s="7" t="str">
        <x:f>IF(OR($D138="",AQ$5="",'상세일정'!AM138="제외"),"",IF($D138=$E138,IF(AND($D138&gt;=AQ$5,$D138&lt;AQ$5+7),"◆",""),IF(AND($D138&lt;AQ$5+7,$E138&gt;AQ$5),"■","")))</x:f>
      </x:c>
      <x:c r="AR138" s="7" t="str">
        <x:f>IF(OR($D138="",AR$5="",'상세일정'!AM138="제외"),"",IF($D138=$E138,IF(AND($D138&gt;=AR$5,$D138&lt;AR$5+7),"◆",""),IF(AND($D138&lt;AR$5+7,$E138&gt;AR$5),"■","")))</x:f>
      </x:c>
      <x:c r="AS138" s="7" t="str">
        <x:f>IF(OR($D138="",AS$5="",'상세일정'!AM138="제외"),"",IF($D138=$E138,IF(AND($D138&gt;=AS$5,$D138&lt;AS$5+7),"◆",""),IF(AND($D138&lt;AS$5+7,$E138&gt;AS$5),"■","")))</x:f>
      </x:c>
      <x:c r="AT138" s="7" t="str">
        <x:f>IF(OR($D138="",AT$5="",'상세일정'!AM138="제외"),"",IF($D138=$E138,IF(AND($D138&gt;=AT$5,$D138&lt;AT$5+7),"◆",""),IF(AND($D138&lt;AT$5+7,$E138&gt;AT$5),"■","")))</x:f>
      </x:c>
      <x:c r="AU138" s="7" t="str">
        <x:f>IF(OR($D138="",AU$5="",'상세일정'!AM138="제외"),"",IF($D138=$E138,IF(AND($D138&gt;=AU$5,$D138&lt;AU$5+7),"◆",""),IF(AND($D138&lt;AU$5+7,$E138&gt;AU$5),"■","")))</x:f>
      </x:c>
      <x:c r="AV138" s="7" t="str">
        <x:f>IF(OR($D138="",AV$5="",'상세일정'!AM138="제외"),"",IF($D138=$E138,IF(AND($D138&gt;=AV$5,$D138&lt;AV$5+7),"◆",""),IF(AND($D138&lt;AV$5+7,$E138&gt;AV$5),"■","")))</x:f>
      </x:c>
      <x:c r="AW138" s="7" t="str">
        <x:f>IF(OR($D138="",AW$5="",'상세일정'!AM138="제외"),"",IF($D138=$E138,IF(AND($D138&gt;=AW$5,$D138&lt;AW$5+7),"◆",""),IF(AND($D138&lt;AW$5+7,$E138&gt;AW$5),"■","")))</x:f>
      </x:c>
      <x:c r="AX138" s="7" t="str">
        <x:f>IF(OR($D138="",AX$5="",'상세일정'!AM138="제외"),"",IF($D138=$E138,IF(AND($D138&gt;=AX$5,$D138&lt;AX$5+7),"◆",""),IF(AND($D138&lt;AX$5+7,$E138&gt;AX$5),"■","")))</x:f>
      </x:c>
      <x:c r="AY138" s="7" t="str">
        <x:f>IF(OR($D138="",AY$5="",'상세일정'!AM138="제외"),"",IF($D138=$E138,IF(AND($D138&gt;=AY$5,$D138&lt;AY$5+7),"◆",""),IF(AND($D138&lt;AY$5+7,$E138&gt;AY$5),"■","")))</x:f>
      </x:c>
      <x:c r="AZ138" s="7" t="str">
        <x:f>IF(OR($D138="",AZ$5="",'상세일정'!AM138="제외"),"",IF($D138=$E138,IF(AND($D138&gt;=AZ$5,$D138&lt;AZ$5+7),"◆",""),IF(AND($D138&lt;AZ$5+7,$E138&gt;AZ$5),"■","")))</x:f>
      </x:c>
      <x:c r="BA138" s="7" t="str">
        <x:f>IF(OR($D138="",BA$5="",'상세일정'!AM138="제외"),"",IF($D138=$E138,IF(AND($D138&gt;=BA$5,$D138&lt;BA$5+7),"◆",""),IF(AND($D138&lt;BA$5+7,$E138&gt;BA$5),"■","")))</x:f>
      </x:c>
      <x:c r="BB138" s="7" t="str">
        <x:f>IF(OR($D138="",BB$5="",'상세일정'!AM138="제외"),"",IF($D138=$E138,IF(AND($D138&gt;=BB$5,$D138&lt;BB$5+7),"◆",""),IF(AND($D138&lt;BB$5+7,$E138&gt;BB$5),"■","")))</x:f>
      </x:c>
      <x:c r="BC138" s="7" t="str">
        <x:f>IF(OR($D138="",BC$5="",'상세일정'!AM138="제외"),"",IF($D138=$E138,IF(AND($D138&gt;=BC$5,$D138&lt;BC$5+7),"◆",""),IF(AND($D138&lt;BC$5+7,$E138&gt;BC$5),"■","")))</x:f>
      </x:c>
      <x:c r="BD138" s="7" t="str">
        <x:f>IF(OR($D138="",BD$5="",'상세일정'!AM138="제외"),"",IF($D138=$E138,IF(AND($D138&gt;=BD$5,$D138&lt;BD$5+7),"◆",""),IF(AND($D138&lt;BD$5+7,$E138&gt;BD$5),"■","")))</x:f>
      </x:c>
      <x:c r="BE138" s="7" t="str">
        <x:f>IF(OR($D138="",BE$5="",'상세일정'!AM138="제외"),"",IF($D138=$E138,IF(AND($D138&gt;=BE$5,$D138&lt;BE$5+7),"◆",""),IF(AND($D138&lt;BE$5+7,$E138&gt;BE$5),"■","")))</x:f>
      </x:c>
      <x:c r="BF138" s="7" t="str">
        <x:f>IF(OR($D138="",BF$5="",'상세일정'!AM138="제외"),"",IF($D138=$E138,IF(AND($D138&gt;=BF$5,$D138&lt;BF$5+7),"◆",""),IF(AND($D138&lt;BF$5+7,$E138&gt;BF$5),"■","")))</x:f>
      </x:c>
      <x:c r="BG138" s="7" t="str">
        <x:f>IF(OR($D138="",BG$5="",'상세일정'!AM138="제외"),"",IF($D138=$E138,IF(AND($D138&gt;=BG$5,$D138&lt;BG$5+7),"◆",""),IF(AND($D138&lt;BG$5+7,$E138&gt;BG$5),"■","")))</x:f>
      </x:c>
      <x:c r="BH138" s="7" t="str">
        <x:f>IF(OR($D138="",BH$5="",'상세일정'!AM138="제외"),"",IF($D138=$E138,IF(AND($D138&gt;=BH$5,$D138&lt;BH$5+7),"◆",""),IF(AND($D138&lt;BH$5+7,$E138&gt;BH$5),"■","")))</x:f>
      </x:c>
      <x:c r="BI138" s="7" t="str">
        <x:f>IF(OR($D138="",BI$5="",'상세일정'!AM138="제외"),"",IF($D138=$E138,IF(AND($D138&gt;=BI$5,$D138&lt;BI$5+7),"◆",""),IF(AND($D138&lt;BI$5+7,$E138&gt;BI$5),"■","")))</x:f>
      </x:c>
      <x:c r="BJ138" s="7" t="str">
        <x:f>IF(OR($D138="",BJ$5="",'상세일정'!AM138="제외"),"",IF($D138=$E138,IF(AND($D138&gt;=BJ$5,$D138&lt;BJ$5+7),"◆",""),IF(AND($D138&lt;BJ$5+7,$E138&gt;BJ$5),"■","")))</x:f>
      </x:c>
      <x:c r="BK138" s="7" t="str">
        <x:f>IF(OR($D138="",BK$5="",'상세일정'!AM138="제외"),"",IF($D138=$E138,IF(AND($D138&gt;=BK$5,$D138&lt;BK$5+7),"◆",""),IF(AND($D138&lt;BK$5+7,$E138&gt;BK$5),"■","")))</x:f>
      </x:c>
      <x:c r="BL138" s="7" t="str">
        <x:f>IF(OR($D138="",BL$5="",'상세일정'!AM138="제외"),"",IF($D138=$E138,IF(AND($D138&gt;=BL$5,$D138&lt;BL$5+7),"◆",""),IF(AND($D138&lt;BL$5+7,$E138&gt;BL$5),"■","")))</x:f>
      </x:c>
      <x:c r="BM138" s="7" t="str">
        <x:f>IF(OR($D138="",BM$5="",'상세일정'!AM138="제외"),"",IF($D138=$E138,IF(AND($D138&gt;=BM$5,$D138&lt;BM$5+7),"◆",""),IF(AND($D138&lt;BM$5+7,$E138&gt;BM$5),"■","")))</x:f>
      </x:c>
      <x:c r="BN138" s="7" t="str">
        <x:f>IF(OR($D138="",BN$5="",'상세일정'!AM138="제외"),"",IF($D138=$E138,IF(AND($D138&gt;=BN$5,$D138&lt;BN$5+7),"◆",""),IF(AND($D138&lt;BN$5+7,$E138&gt;BN$5),"■","")))</x:f>
      </x:c>
      <x:c r="BO138" s="7" t="str">
        <x:f>IF(OR($D138="",BO$5="",'상세일정'!AM138="제외"),"",IF($D138=$E138,IF(AND($D138&gt;=BO$5,$D138&lt;BO$5+7),"◆",""),IF(AND($D138&lt;BO$5+7,$E138&gt;BO$5),"■","")))</x:f>
      </x:c>
      <x:c r="BP138" s="7" t="str">
        <x:f>IF(OR($D138="",BP$5="",'상세일정'!AM138="제외"),"",IF($D138=$E138,IF(AND($D138&gt;=BP$5,$D138&lt;BP$5+7),"◆",""),IF(AND($D138&lt;BP$5+7,$E138&gt;BP$5),"■","")))</x:f>
      </x:c>
      <x:c r="BQ138" s="7" t="str">
        <x:f>IF(OR($D138="",BQ$5="",'상세일정'!AM138="제외"),"",IF($D138=$E138,IF(AND($D138&gt;=BQ$5,$D138&lt;BQ$5+7),"◆",""),IF(AND($D138&lt;BQ$5+7,$E138&gt;BQ$5),"■","")))</x:f>
      </x:c>
      <x:c r="BR138" s="7" t="str">
        <x:f>IF(OR($D138="",BR$5="",'상세일정'!AM138="제외"),"",IF($D138=$E138,IF(AND($D138&gt;=BR$5,$D138&lt;BR$5+7),"◆",""),IF(AND($D138&lt;BR$5+7,$E138&gt;BR$5),"■","")))</x:f>
      </x:c>
      <x:c r="BS138" s="7" t="str">
        <x:f>IF(OR($D138="",BS$5="",'상세일정'!AM138="제외"),"",IF($D138=$E138,IF(AND($D138&gt;=BS$5,$D138&lt;BS$5+7),"◆",""),IF(AND($D138&lt;BS$5+7,$E138&gt;BS$5),"■","")))</x:f>
      </x:c>
      <x:c r="BT138" s="7" t="str">
        <x:f>IF(OR($D138="",BT$5="",'상세일정'!AM138="제외"),"",IF($D138=$E138,IF(AND($D138&gt;=BT$5,$D138&lt;BT$5+7),"◆",""),IF(AND($D138&lt;BT$5+7,$E138&gt;BT$5),"■","")))</x:f>
      </x:c>
      <x:c r="BU138" s="7" t="str">
        <x:f>IF(OR($D138="",BU$5="",'상세일정'!AM138="제외"),"",IF($D138=$E138,IF(AND($D138&gt;=BU$5,$D138&lt;BU$5+7),"◆",""),IF(AND($D138&lt;BU$5+7,$E138&gt;BU$5),"■","")))</x:f>
      </x:c>
      <x:c r="BV138" s="7" t="str">
        <x:f>IF(OR($D138="",BV$5="",'상세일정'!AM138="제외"),"",IF($D138=$E138,IF(AND($D138&gt;=BV$5,$D138&lt;BV$5+7),"◆",""),IF(AND($D138&lt;BV$5+7,$E138&gt;BV$5),"■","")))</x:f>
      </x:c>
      <x:c r="BW138" s="7" t="str">
        <x:f>IF(OR($D138="",BW$5="",'상세일정'!AM138="제외"),"",IF($D138=$E138,IF(AND($D138&gt;=BW$5,$D138&lt;BW$5+7),"◆",""),IF(AND($D138&lt;BW$5+7,$E138&gt;BW$5),"■","")))</x:f>
      </x:c>
      <x:c r="BX138" s="7" t="str">
        <x:f>IF(OR($D138="",BX$5="",'상세일정'!AM138="제외"),"",IF($D138=$E138,IF(AND($D138&gt;=BX$5,$D138&lt;BX$5+7),"◆",""),IF(AND($D138&lt;BX$5+7,$E138&gt;BX$5),"■","")))</x:f>
      </x:c>
      <x:c r="BY138" s="7" t="str">
        <x:f>IF(OR($D138="",BY$5="",'상세일정'!AM138="제외"),"",IF($D138=$E138,IF(AND($D138&gt;=BY$5,$D138&lt;BY$5+7),"◆",""),IF(AND($D138&lt;BY$5+7,$E138&gt;BY$5),"■","")))</x:f>
      </x:c>
      <x:c r="BZ138" s="7" t="str">
        <x:f>IF(OR($D138="",BZ$5="",'상세일정'!AM138="제외"),"",IF($D138=$E138,IF(AND($D138&gt;=BZ$5,$D138&lt;BZ$5+7),"◆",""),IF(AND($D138&lt;BZ$5+7,$E138&gt;BZ$5),"■","")))</x:f>
      </x:c>
      <x:c r="CA138" s="7" t="str">
        <x:f>IF(OR($D138="",CA$5="",'상세일정'!AM138="제외"),"",IF($D138=$E138,IF(AND($D138&gt;=CA$5,$D138&lt;CA$5+7),"◆",""),IF(AND($D138&lt;CA$5+7,$E138&gt;CA$5),"■","")))</x:f>
      </x:c>
      <x:c r="CB138" s="7" t="str">
        <x:f>IF(OR($D138="",CB$5="",'상세일정'!AM138="제외"),"",IF($D138=$E138,IF(AND($D138&gt;=CB$5,$D138&lt;CB$5+7),"◆",""),IF(AND($D138&lt;CB$5+7,$E138&gt;CB$5),"■","")))</x:f>
      </x:c>
      <x:c r="CC138" s="7" t="str">
        <x:f>IF(OR($D138="",CC$5="",'상세일정'!AM138="제외"),"",IF($D138=$E138,IF(AND($D138&gt;=CC$5,$D138&lt;CC$5+7),"◆",""),IF(AND($D138&lt;CC$5+7,$E138&gt;CC$5),"■","")))</x:f>
      </x:c>
      <x:c r="CD138" s="7" t="str">
        <x:f>IF(OR($D138="",CD$5="",'상세일정'!AM138="제외"),"",IF($D138=$E138,IF(AND($D138&gt;=CD$5,$D138&lt;CD$5+7),"◆",""),IF(AND($D138&lt;CD$5+7,$E138&gt;CD$5),"■","")))</x:f>
      </x:c>
      <x:c r="CE138" s="7" t="str">
        <x:f>IF(OR($D138="",CE$5="",'상세일정'!AM138="제외"),"",IF($D138=$E138,IF(AND($D138&gt;=CE$5,$D138&lt;CE$5+7),"◆",""),IF(AND($D138&lt;CE$5+7,$E138&gt;CE$5),"■","")))</x:f>
      </x:c>
      <x:c r="CF138" s="7" t="str">
        <x:f>IF(OR($D138="",CF$5="",'상세일정'!AM138="제외"),"",IF($D138=$E138,IF(AND($D138&gt;=CF$5,$D138&lt;CF$5+7),"◆",""),IF(AND($D138&lt;CF$5+7,$E138&gt;CF$5),"■","")))</x:f>
      </x:c>
      <x:c r="CG138" s="7" t="str">
        <x:f>IF(OR($D138="",CG$5="",'상세일정'!AM138="제외"),"",IF($D138=$E138,IF(AND($D138&gt;=CG$5,$D138&lt;CG$5+7),"◆",""),IF(AND($D138&lt;CG$5+7,$E138&gt;CG$5),"■","")))</x:f>
      </x:c>
      <x:c r="CH138" s="7" t="str">
        <x:f>IF(OR($D138="",CH$5="",'상세일정'!AM138="제외"),"",IF($D138=$E138,IF(AND($D138&gt;=CH$5,$D138&lt;CH$5+7),"◆",""),IF(AND($D138&lt;CH$5+7,$E138&gt;CH$5),"■","")))</x:f>
      </x:c>
      <x:c r="CI138" s="7" t="str">
        <x:f>IF(OR($D138="",CI$5="",'상세일정'!AM138="제외"),"",IF($D138=$E138,IF(AND($D138&gt;=CI$5,$D138&lt;CI$5+7),"◆",""),IF(AND($D138&lt;CI$5+7,$E138&gt;CI$5),"■","")))</x:f>
      </x:c>
      <x:c r="CJ138" s="7" t="str">
        <x:f>IF(OR($D138="",CJ$5="",'상세일정'!AM138="제외"),"",IF($D138=$E138,IF(AND($D138&gt;=CJ$5,$D138&lt;CJ$5+7),"◆",""),IF(AND($D138&lt;CJ$5+7,$E138&gt;CJ$5),"■","")))</x:f>
      </x:c>
      <x:c r="CK138" s="7" t="str">
        <x:f>IF(OR($D138="",CK$5="",'상세일정'!AM138="제외"),"",IF($D138=$E138,IF(AND($D138&gt;=CK$5,$D138&lt;CK$5+7),"◆",""),IF(AND($D138&lt;CK$5+7,$E138&gt;CK$5),"■","")))</x:f>
      </x:c>
      <x:c r="CL138" s="7" t="str">
        <x:f>IF(OR($D138="",CL$5="",'상세일정'!AM138="제외"),"",IF($D138=$E138,IF(AND($D138&gt;=CL$5,$D138&lt;CL$5+7),"◆",""),IF(AND($D138&lt;CL$5+7,$E138&gt;CL$5),"■","")))</x:f>
      </x:c>
      <x:c r="CM138" s="7" t="str">
        <x:f>IF(OR($D138="",CM$5="",'상세일정'!AM138="제외"),"",IF($D138=$E138,IF(AND($D138&gt;=CM$5,$D138&lt;CM$5+7),"◆",""),IF(AND($D138&lt;CM$5+7,$E138&gt;CM$5),"■","")))</x:f>
      </x:c>
      <x:c r="CN138" s="7" t="str">
        <x:f>IF(OR($D138="",CN$5="",'상세일정'!AM138="제외"),"",IF($D138=$E138,IF(AND($D138&gt;=CN$5,$D138&lt;CN$5+7),"◆",""),IF(AND($D138&lt;CN$5+7,$E138&gt;CN$5),"■","")))</x:f>
      </x:c>
      <x:c r="CO138" s="7" t="str">
        <x:f>IF(OR($D138="",CO$5="",'상세일정'!AM138="제외"),"",IF($D138=$E138,IF(AND($D138&gt;=CO$5,$D138&lt;CO$5+7),"◆",""),IF(AND($D138&lt;CO$5+7,$E138&gt;CO$5),"■","")))</x:f>
      </x:c>
      <x:c r="CP138" s="7" t="str">
        <x:f>IF(OR($D138="",CP$5="",'상세일정'!AM138="제외"),"",IF($D138=$E138,IF(AND($D138&gt;=CP$5,$D138&lt;CP$5+7),"◆",""),IF(AND($D138&lt;CP$5+7,$E138&gt;CP$5),"■","")))</x:f>
      </x:c>
      <x:c r="CQ138" s="7" t="str">
        <x:f>IF(OR($D138="",CQ$5="",'상세일정'!AM138="제외"),"",IF($D138=$E138,IF(AND($D138&gt;=CQ$5,$D138&lt;CQ$5+7),"◆",""),IF(AND($D138&lt;CQ$5+7,$E138&gt;CQ$5),"■","")))</x:f>
      </x:c>
      <x:c r="CR138" s="7" t="str">
        <x:f>IF(OR($D138="",CR$5="",'상세일정'!AM138="제외"),"",IF($D138=$E138,IF(AND($D138&gt;=CR$5,$D138&lt;CR$5+7),"◆",""),IF(AND($D138&lt;CR$5+7,$E138&gt;CR$5),"■","")))</x:f>
      </x:c>
      <x:c r="CS138" s="7" t="str">
        <x:f>IF(OR($D138="",CS$5="",'상세일정'!AM138="제외"),"",IF($D138=$E138,IF(AND($D138&gt;=CS$5,$D138&lt;CS$5+7),"◆",""),IF(AND($D138&lt;CS$5+7,$E138&gt;CS$5),"■","")))</x:f>
      </x:c>
      <x:c r="CT138" s="7" t="str">
        <x:f>IF(OR($D138="",CT$5="",'상세일정'!AM138="제외"),"",IF($D138=$E138,IF(AND($D138&gt;=CT$5,$D138&lt;CT$5+7),"◆",""),IF(AND($D138&lt;CT$5+7,$E138&gt;CT$5),"■","")))</x:f>
      </x:c>
      <x:c r="CU138" s="7" t="str">
        <x:f>IF(OR($D138="",CU$5="",'상세일정'!AM138="제외"),"",IF($D138=$E138,IF(AND($D138&gt;=CU$5,$D138&lt;CU$5+7),"◆",""),IF(AND($D138&lt;CU$5+7,$E138&gt;CU$5),"■","")))</x:f>
      </x:c>
      <x:c r="CV138" s="7" t="str">
        <x:f>IF(OR($D138="",CV$5="",'상세일정'!AM138="제외"),"",IF($D138=$E138,IF(AND($D138&gt;=CV$5,$D138&lt;CV$5+7),"◆",""),IF(AND($D138&lt;CV$5+7,$E138&gt;CV$5),"■","")))</x:f>
      </x:c>
      <x:c r="CW138" s="7" t="str">
        <x:f>IF(OR($D138="",CW$5="",'상세일정'!AM138="제외"),"",IF($D138=$E138,IF(AND($D138&gt;=CW$5,$D138&lt;CW$5+7),"◆",""),IF(AND($D138&lt;CW$5+7,$E138&gt;CW$5),"■","")))</x:f>
      </x:c>
      <x:c r="CX138" s="7" t="str">
        <x:f>IF(OR($D138="",CX$5="",'상세일정'!AM138="제외"),"",IF($D138=$E138,IF(AND($D138&gt;=CX$5,$D138&lt;CX$5+7),"◆",""),IF(AND($D138&lt;CX$5+7,$E138&gt;CX$5),"■","")))</x:f>
      </x:c>
      <x:c r="CY138" s="7" t="str">
        <x:f>IF(OR($D138="",CY$5="",'상세일정'!AM138="제외"),"",IF($D138=$E138,IF(AND($D138&gt;=CY$5,$D138&lt;CY$5+7),"◆",""),IF(AND($D138&lt;CY$5+7,$E138&gt;CY$5),"■","")))</x:f>
      </x:c>
      <x:c r="CZ138" s="7" t="str">
        <x:f>IF(OR($D138="",CZ$5="",'상세일정'!AM138="제외"),"",IF($D138=$E138,IF(AND($D138&gt;=CZ$5,$D138&lt;CZ$5+7),"◆",""),IF(AND($D138&lt;CZ$5+7,$E138&gt;CZ$5),"■","")))</x:f>
      </x:c>
      <x:c r="DA138" s="7" t="str">
        <x:f>IF(OR($D138="",DA$5="",'상세일정'!AM138="제외"),"",IF($D138=$E138,IF(AND($D138&gt;=DA$5,$D138&lt;DA$5+7),"◆",""),IF(AND($D138&lt;DA$5+7,$E138&gt;DA$5),"■","")))</x:f>
      </x:c>
      <x:c r="DB138" s="7" t="str">
        <x:f>IF(OR($D138="",DB$5="",'상세일정'!AM138="제외"),"",IF($D138=$E138,IF(AND($D138&gt;=DB$5,$D138&lt;DB$5+7),"◆",""),IF(AND($D138&lt;DB$5+7,$E138&gt;DB$5),"■","")))</x:f>
      </x:c>
      <x:c r="DC138" s="7" t="str">
        <x:f>IF(OR($D138="",DC$5="",'상세일정'!AM138="제외"),"",IF($D138=$E138,IF(AND($D138&gt;=DC$5,$D138&lt;DC$5+7),"◆",""),IF(AND($D138&lt;DC$5+7,$E138&gt;DC$5),"■","")))</x:f>
      </x:c>
      <x:c r="DD138" s="7" t="str">
        <x:f>IF(OR($D138="",DD$5="",'상세일정'!AM138="제외"),"",IF($D138=$E138,IF(AND($D138&gt;=DD$5,$D138&lt;DD$5+7),"◆",""),IF(AND($D138&lt;DD$5+7,$E138&gt;DD$5),"■","")))</x:f>
      </x:c>
      <x:c r="DE138" s="7" t="str">
        <x:f>IF(OR($D138="",DE$5="",'상세일정'!AM138="제외"),"",IF($D138=$E138,IF(AND($D138&gt;=DE$5,$D138&lt;DE$5+7),"◆",""),IF(AND($D138&lt;DE$5+7,$E138&gt;DE$5),"■","")))</x:f>
      </x:c>
    </x:row>
    <x:row r="139" ht="34" customHeight="1">
      <x:c r="A139" s="7" t="str">
        <x:v>AN04</x:v>
      </x:c>
      <x:c r="B139" s="7" t="str">
        <x:v>16 기자재 구매·제작</x:v>
      </x:c>
      <x:c r="C139" s="7" t="str">
        <x:v>제품분석기·Sampling system 자재조달·제작</x:v>
      </x:c>
      <x:c r="D139" s="10" t="str">
        <x:f>'상세일정'!AJ139</x:f>
      </x:c>
      <x:c r="E139" s="10" t="str">
        <x:f>'상세일정'!AK139</x:f>
      </x:c>
      <x:c r="F139" s="7" t="str">
        <x:f>IF(OR($D139="",F$5="",'상세일정'!AM139="제외"),"",IF($D139=$E139,IF(AND($D139&gt;=F$5,$D139&lt;F$5+7),"◆",""),IF(AND($D139&lt;F$5+7,$E139&gt;F$5),"■","")))</x:f>
      </x:c>
      <x:c r="G139" s="7" t="str">
        <x:f>IF(OR($D139="",G$5="",'상세일정'!AM139="제외"),"",IF($D139=$E139,IF(AND($D139&gt;=G$5,$D139&lt;G$5+7),"◆",""),IF(AND($D139&lt;G$5+7,$E139&gt;G$5),"■","")))</x:f>
      </x:c>
      <x:c r="H139" s="7" t="str">
        <x:f>IF(OR($D139="",H$5="",'상세일정'!AM139="제외"),"",IF($D139=$E139,IF(AND($D139&gt;=H$5,$D139&lt;H$5+7),"◆",""),IF(AND($D139&lt;H$5+7,$E139&gt;H$5),"■","")))</x:f>
      </x:c>
      <x:c r="I139" s="7" t="str">
        <x:f>IF(OR($D139="",I$5="",'상세일정'!AM139="제외"),"",IF($D139=$E139,IF(AND($D139&gt;=I$5,$D139&lt;I$5+7),"◆",""),IF(AND($D139&lt;I$5+7,$E139&gt;I$5),"■","")))</x:f>
      </x:c>
      <x:c r="J139" s="7" t="str">
        <x:f>IF(OR($D139="",J$5="",'상세일정'!AM139="제외"),"",IF($D139=$E139,IF(AND($D139&gt;=J$5,$D139&lt;J$5+7),"◆",""),IF(AND($D139&lt;J$5+7,$E139&gt;J$5),"■","")))</x:f>
      </x:c>
      <x:c r="K139" s="7" t="str">
        <x:f>IF(OR($D139="",K$5="",'상세일정'!AM139="제외"),"",IF($D139=$E139,IF(AND($D139&gt;=K$5,$D139&lt;K$5+7),"◆",""),IF(AND($D139&lt;K$5+7,$E139&gt;K$5),"■","")))</x:f>
      </x:c>
      <x:c r="L139" s="7" t="str">
        <x:f>IF(OR($D139="",L$5="",'상세일정'!AM139="제외"),"",IF($D139=$E139,IF(AND($D139&gt;=L$5,$D139&lt;L$5+7),"◆",""),IF(AND($D139&lt;L$5+7,$E139&gt;L$5),"■","")))</x:f>
      </x:c>
      <x:c r="M139" s="7" t="str">
        <x:f>IF(OR($D139="",M$5="",'상세일정'!AM139="제외"),"",IF($D139=$E139,IF(AND($D139&gt;=M$5,$D139&lt;M$5+7),"◆",""),IF(AND($D139&lt;M$5+7,$E139&gt;M$5),"■","")))</x:f>
      </x:c>
      <x:c r="N139" s="7" t="str">
        <x:f>IF(OR($D139="",N$5="",'상세일정'!AM139="제외"),"",IF($D139=$E139,IF(AND($D139&gt;=N$5,$D139&lt;N$5+7),"◆",""),IF(AND($D139&lt;N$5+7,$E139&gt;N$5),"■","")))</x:f>
      </x:c>
      <x:c r="O139" s="7" t="str">
        <x:f>IF(OR($D139="",O$5="",'상세일정'!AM139="제외"),"",IF($D139=$E139,IF(AND($D139&gt;=O$5,$D139&lt;O$5+7),"◆",""),IF(AND($D139&lt;O$5+7,$E139&gt;O$5),"■","")))</x:f>
      </x:c>
      <x:c r="P139" s="7" t="str">
        <x:f>IF(OR($D139="",P$5="",'상세일정'!AM139="제외"),"",IF($D139=$E139,IF(AND($D139&gt;=P$5,$D139&lt;P$5+7),"◆",""),IF(AND($D139&lt;P$5+7,$E139&gt;P$5),"■","")))</x:f>
      </x:c>
      <x:c r="Q139" s="7" t="str">
        <x:f>IF(OR($D139="",Q$5="",'상세일정'!AM139="제외"),"",IF($D139=$E139,IF(AND($D139&gt;=Q$5,$D139&lt;Q$5+7),"◆",""),IF(AND($D139&lt;Q$5+7,$E139&gt;Q$5),"■","")))</x:f>
      </x:c>
      <x:c r="R139" s="7" t="str">
        <x:f>IF(OR($D139="",R$5="",'상세일정'!AM139="제외"),"",IF($D139=$E139,IF(AND($D139&gt;=R$5,$D139&lt;R$5+7),"◆",""),IF(AND($D139&lt;R$5+7,$E139&gt;R$5),"■","")))</x:f>
      </x:c>
      <x:c r="S139" s="7" t="str">
        <x:f>IF(OR($D139="",S$5="",'상세일정'!AM139="제외"),"",IF($D139=$E139,IF(AND($D139&gt;=S$5,$D139&lt;S$5+7),"◆",""),IF(AND($D139&lt;S$5+7,$E139&gt;S$5),"■","")))</x:f>
      </x:c>
      <x:c r="T139" s="7" t="str">
        <x:f>IF(OR($D139="",T$5="",'상세일정'!AM139="제외"),"",IF($D139=$E139,IF(AND($D139&gt;=T$5,$D139&lt;T$5+7),"◆",""),IF(AND($D139&lt;T$5+7,$E139&gt;T$5),"■","")))</x:f>
      </x:c>
      <x:c r="U139" s="7" t="str">
        <x:f>IF(OR($D139="",U$5="",'상세일정'!AM139="제외"),"",IF($D139=$E139,IF(AND($D139&gt;=U$5,$D139&lt;U$5+7),"◆",""),IF(AND($D139&lt;U$5+7,$E139&gt;U$5),"■","")))</x:f>
      </x:c>
      <x:c r="V139" s="7" t="str">
        <x:f>IF(OR($D139="",V$5="",'상세일정'!AM139="제외"),"",IF($D139=$E139,IF(AND($D139&gt;=V$5,$D139&lt;V$5+7),"◆",""),IF(AND($D139&lt;V$5+7,$E139&gt;V$5),"■","")))</x:f>
      </x:c>
      <x:c r="W139" s="7" t="str">
        <x:f>IF(OR($D139="",W$5="",'상세일정'!AM139="제외"),"",IF($D139=$E139,IF(AND($D139&gt;=W$5,$D139&lt;W$5+7),"◆",""),IF(AND($D139&lt;W$5+7,$E139&gt;W$5),"■","")))</x:f>
      </x:c>
      <x:c r="X139" s="7" t="str">
        <x:f>IF(OR($D139="",X$5="",'상세일정'!AM139="제외"),"",IF($D139=$E139,IF(AND($D139&gt;=X$5,$D139&lt;X$5+7),"◆",""),IF(AND($D139&lt;X$5+7,$E139&gt;X$5),"■","")))</x:f>
      </x:c>
      <x:c r="Y139" s="7" t="str">
        <x:f>IF(OR($D139="",Y$5="",'상세일정'!AM139="제외"),"",IF($D139=$E139,IF(AND($D139&gt;=Y$5,$D139&lt;Y$5+7),"◆",""),IF(AND($D139&lt;Y$5+7,$E139&gt;Y$5),"■","")))</x:f>
      </x:c>
      <x:c r="Z139" s="7" t="str">
        <x:f>IF(OR($D139="",Z$5="",'상세일정'!AM139="제외"),"",IF($D139=$E139,IF(AND($D139&gt;=Z$5,$D139&lt;Z$5+7),"◆",""),IF(AND($D139&lt;Z$5+7,$E139&gt;Z$5),"■","")))</x:f>
      </x:c>
      <x:c r="AA139" s="7" t="str">
        <x:f>IF(OR($D139="",AA$5="",'상세일정'!AM139="제외"),"",IF($D139=$E139,IF(AND($D139&gt;=AA$5,$D139&lt;AA$5+7),"◆",""),IF(AND($D139&lt;AA$5+7,$E139&gt;AA$5),"■","")))</x:f>
      </x:c>
      <x:c r="AB139" s="7" t="str">
        <x:f>IF(OR($D139="",AB$5="",'상세일정'!AM139="제외"),"",IF($D139=$E139,IF(AND($D139&gt;=AB$5,$D139&lt;AB$5+7),"◆",""),IF(AND($D139&lt;AB$5+7,$E139&gt;AB$5),"■","")))</x:f>
      </x:c>
      <x:c r="AC139" s="7" t="str">
        <x:f>IF(OR($D139="",AC$5="",'상세일정'!AM139="제외"),"",IF($D139=$E139,IF(AND($D139&gt;=AC$5,$D139&lt;AC$5+7),"◆",""),IF(AND($D139&lt;AC$5+7,$E139&gt;AC$5),"■","")))</x:f>
      </x:c>
      <x:c r="AD139" s="7" t="str">
        <x:f>IF(OR($D139="",AD$5="",'상세일정'!AM139="제외"),"",IF($D139=$E139,IF(AND($D139&gt;=AD$5,$D139&lt;AD$5+7),"◆",""),IF(AND($D139&lt;AD$5+7,$E139&gt;AD$5),"■","")))</x:f>
      </x:c>
      <x:c r="AE139" s="7" t="str">
        <x:f>IF(OR($D139="",AE$5="",'상세일정'!AM139="제외"),"",IF($D139=$E139,IF(AND($D139&gt;=AE$5,$D139&lt;AE$5+7),"◆",""),IF(AND($D139&lt;AE$5+7,$E139&gt;AE$5),"■","")))</x:f>
      </x:c>
      <x:c r="AF139" s="7" t="str">
        <x:f>IF(OR($D139="",AF$5="",'상세일정'!AM139="제외"),"",IF($D139=$E139,IF(AND($D139&gt;=AF$5,$D139&lt;AF$5+7),"◆",""),IF(AND($D139&lt;AF$5+7,$E139&gt;AF$5),"■","")))</x:f>
      </x:c>
      <x:c r="AG139" s="7" t="str">
        <x:f>IF(OR($D139="",AG$5="",'상세일정'!AM139="제외"),"",IF($D139=$E139,IF(AND($D139&gt;=AG$5,$D139&lt;AG$5+7),"◆",""),IF(AND($D139&lt;AG$5+7,$E139&gt;AG$5),"■","")))</x:f>
      </x:c>
      <x:c r="AH139" s="7" t="str">
        <x:f>IF(OR($D139="",AH$5="",'상세일정'!AM139="제외"),"",IF($D139=$E139,IF(AND($D139&gt;=AH$5,$D139&lt;AH$5+7),"◆",""),IF(AND($D139&lt;AH$5+7,$E139&gt;AH$5),"■","")))</x:f>
      </x:c>
      <x:c r="AI139" s="7" t="str">
        <x:f>IF(OR($D139="",AI$5="",'상세일정'!AM139="제외"),"",IF($D139=$E139,IF(AND($D139&gt;=AI$5,$D139&lt;AI$5+7),"◆",""),IF(AND($D139&lt;AI$5+7,$E139&gt;AI$5),"■","")))</x:f>
      </x:c>
      <x:c r="AJ139" s="7" t="str">
        <x:f>IF(OR($D139="",AJ$5="",'상세일정'!AM139="제외"),"",IF($D139=$E139,IF(AND($D139&gt;=AJ$5,$D139&lt;AJ$5+7),"◆",""),IF(AND($D139&lt;AJ$5+7,$E139&gt;AJ$5),"■","")))</x:f>
      </x:c>
      <x:c r="AK139" s="7" t="str">
        <x:f>IF(OR($D139="",AK$5="",'상세일정'!AM139="제외"),"",IF($D139=$E139,IF(AND($D139&gt;=AK$5,$D139&lt;AK$5+7),"◆",""),IF(AND($D139&lt;AK$5+7,$E139&gt;AK$5),"■","")))</x:f>
      </x:c>
      <x:c r="AL139" s="7" t="str">
        <x:f>IF(OR($D139="",AL$5="",'상세일정'!AM139="제외"),"",IF($D139=$E139,IF(AND($D139&gt;=AL$5,$D139&lt;AL$5+7),"◆",""),IF(AND($D139&lt;AL$5+7,$E139&gt;AL$5),"■","")))</x:f>
      </x:c>
      <x:c r="AM139" s="7" t="str">
        <x:f>IF(OR($D139="",AM$5="",'상세일정'!AM139="제외"),"",IF($D139=$E139,IF(AND($D139&gt;=AM$5,$D139&lt;AM$5+7),"◆",""),IF(AND($D139&lt;AM$5+7,$E139&gt;AM$5),"■","")))</x:f>
      </x:c>
      <x:c r="AN139" s="7" t="str">
        <x:f>IF(OR($D139="",AN$5="",'상세일정'!AM139="제외"),"",IF($D139=$E139,IF(AND($D139&gt;=AN$5,$D139&lt;AN$5+7),"◆",""),IF(AND($D139&lt;AN$5+7,$E139&gt;AN$5),"■","")))</x:f>
      </x:c>
      <x:c r="AO139" s="7" t="str">
        <x:f>IF(OR($D139="",AO$5="",'상세일정'!AM139="제외"),"",IF($D139=$E139,IF(AND($D139&gt;=AO$5,$D139&lt;AO$5+7),"◆",""),IF(AND($D139&lt;AO$5+7,$E139&gt;AO$5),"■","")))</x:f>
      </x:c>
      <x:c r="AP139" s="7" t="str">
        <x:f>IF(OR($D139="",AP$5="",'상세일정'!AM139="제외"),"",IF($D139=$E139,IF(AND($D139&gt;=AP$5,$D139&lt;AP$5+7),"◆",""),IF(AND($D139&lt;AP$5+7,$E139&gt;AP$5),"■","")))</x:f>
      </x:c>
      <x:c r="AQ139" s="7" t="str">
        <x:f>IF(OR($D139="",AQ$5="",'상세일정'!AM139="제외"),"",IF($D139=$E139,IF(AND($D139&gt;=AQ$5,$D139&lt;AQ$5+7),"◆",""),IF(AND($D139&lt;AQ$5+7,$E139&gt;AQ$5),"■","")))</x:f>
      </x:c>
      <x:c r="AR139" s="7" t="str">
        <x:f>IF(OR($D139="",AR$5="",'상세일정'!AM139="제외"),"",IF($D139=$E139,IF(AND($D139&gt;=AR$5,$D139&lt;AR$5+7),"◆",""),IF(AND($D139&lt;AR$5+7,$E139&gt;AR$5),"■","")))</x:f>
      </x:c>
      <x:c r="AS139" s="7" t="str">
        <x:f>IF(OR($D139="",AS$5="",'상세일정'!AM139="제외"),"",IF($D139=$E139,IF(AND($D139&gt;=AS$5,$D139&lt;AS$5+7),"◆",""),IF(AND($D139&lt;AS$5+7,$E139&gt;AS$5),"■","")))</x:f>
      </x:c>
      <x:c r="AT139" s="7" t="str">
        <x:f>IF(OR($D139="",AT$5="",'상세일정'!AM139="제외"),"",IF($D139=$E139,IF(AND($D139&gt;=AT$5,$D139&lt;AT$5+7),"◆",""),IF(AND($D139&lt;AT$5+7,$E139&gt;AT$5),"■","")))</x:f>
      </x:c>
      <x:c r="AU139" s="7" t="str">
        <x:f>IF(OR($D139="",AU$5="",'상세일정'!AM139="제외"),"",IF($D139=$E139,IF(AND($D139&gt;=AU$5,$D139&lt;AU$5+7),"◆",""),IF(AND($D139&lt;AU$5+7,$E139&gt;AU$5),"■","")))</x:f>
      </x:c>
      <x:c r="AV139" s="7" t="str">
        <x:f>IF(OR($D139="",AV$5="",'상세일정'!AM139="제외"),"",IF($D139=$E139,IF(AND($D139&gt;=AV$5,$D139&lt;AV$5+7),"◆",""),IF(AND($D139&lt;AV$5+7,$E139&gt;AV$5),"■","")))</x:f>
      </x:c>
      <x:c r="AW139" s="7" t="str">
        <x:f>IF(OR($D139="",AW$5="",'상세일정'!AM139="제외"),"",IF($D139=$E139,IF(AND($D139&gt;=AW$5,$D139&lt;AW$5+7),"◆",""),IF(AND($D139&lt;AW$5+7,$E139&gt;AW$5),"■","")))</x:f>
      </x:c>
      <x:c r="AX139" s="7" t="str">
        <x:f>IF(OR($D139="",AX$5="",'상세일정'!AM139="제외"),"",IF($D139=$E139,IF(AND($D139&gt;=AX$5,$D139&lt;AX$5+7),"◆",""),IF(AND($D139&lt;AX$5+7,$E139&gt;AX$5),"■","")))</x:f>
      </x:c>
      <x:c r="AY139" s="7" t="str">
        <x:f>IF(OR($D139="",AY$5="",'상세일정'!AM139="제외"),"",IF($D139=$E139,IF(AND($D139&gt;=AY$5,$D139&lt;AY$5+7),"◆",""),IF(AND($D139&lt;AY$5+7,$E139&gt;AY$5),"■","")))</x:f>
      </x:c>
      <x:c r="AZ139" s="7" t="str">
        <x:f>IF(OR($D139="",AZ$5="",'상세일정'!AM139="제외"),"",IF($D139=$E139,IF(AND($D139&gt;=AZ$5,$D139&lt;AZ$5+7),"◆",""),IF(AND($D139&lt;AZ$5+7,$E139&gt;AZ$5),"■","")))</x:f>
      </x:c>
      <x:c r="BA139" s="7" t="str">
        <x:f>IF(OR($D139="",BA$5="",'상세일정'!AM139="제외"),"",IF($D139=$E139,IF(AND($D139&gt;=BA$5,$D139&lt;BA$5+7),"◆",""),IF(AND($D139&lt;BA$5+7,$E139&gt;BA$5),"■","")))</x:f>
      </x:c>
      <x:c r="BB139" s="7" t="str">
        <x:f>IF(OR($D139="",BB$5="",'상세일정'!AM139="제외"),"",IF($D139=$E139,IF(AND($D139&gt;=BB$5,$D139&lt;BB$5+7),"◆",""),IF(AND($D139&lt;BB$5+7,$E139&gt;BB$5),"■","")))</x:f>
      </x:c>
      <x:c r="BC139" s="7" t="str">
        <x:f>IF(OR($D139="",BC$5="",'상세일정'!AM139="제외"),"",IF($D139=$E139,IF(AND($D139&gt;=BC$5,$D139&lt;BC$5+7),"◆",""),IF(AND($D139&lt;BC$5+7,$E139&gt;BC$5),"■","")))</x:f>
      </x:c>
      <x:c r="BD139" s="7" t="str">
        <x:f>IF(OR($D139="",BD$5="",'상세일정'!AM139="제외"),"",IF($D139=$E139,IF(AND($D139&gt;=BD$5,$D139&lt;BD$5+7),"◆",""),IF(AND($D139&lt;BD$5+7,$E139&gt;BD$5),"■","")))</x:f>
      </x:c>
      <x:c r="BE139" s="7" t="str">
        <x:f>IF(OR($D139="",BE$5="",'상세일정'!AM139="제외"),"",IF($D139=$E139,IF(AND($D139&gt;=BE$5,$D139&lt;BE$5+7),"◆",""),IF(AND($D139&lt;BE$5+7,$E139&gt;BE$5),"■","")))</x:f>
      </x:c>
      <x:c r="BF139" s="7" t="str">
        <x:f>IF(OR($D139="",BF$5="",'상세일정'!AM139="제외"),"",IF($D139=$E139,IF(AND($D139&gt;=BF$5,$D139&lt;BF$5+7),"◆",""),IF(AND($D139&lt;BF$5+7,$E139&gt;BF$5),"■","")))</x:f>
      </x:c>
      <x:c r="BG139" s="7" t="str">
        <x:f>IF(OR($D139="",BG$5="",'상세일정'!AM139="제외"),"",IF($D139=$E139,IF(AND($D139&gt;=BG$5,$D139&lt;BG$5+7),"◆",""),IF(AND($D139&lt;BG$5+7,$E139&gt;BG$5),"■","")))</x:f>
      </x:c>
      <x:c r="BH139" s="7" t="str">
        <x:f>IF(OR($D139="",BH$5="",'상세일정'!AM139="제외"),"",IF($D139=$E139,IF(AND($D139&gt;=BH$5,$D139&lt;BH$5+7),"◆",""),IF(AND($D139&lt;BH$5+7,$E139&gt;BH$5),"■","")))</x:f>
      </x:c>
      <x:c r="BI139" s="7" t="str">
        <x:f>IF(OR($D139="",BI$5="",'상세일정'!AM139="제외"),"",IF($D139=$E139,IF(AND($D139&gt;=BI$5,$D139&lt;BI$5+7),"◆",""),IF(AND($D139&lt;BI$5+7,$E139&gt;BI$5),"■","")))</x:f>
      </x:c>
      <x:c r="BJ139" s="7" t="str">
        <x:f>IF(OR($D139="",BJ$5="",'상세일정'!AM139="제외"),"",IF($D139=$E139,IF(AND($D139&gt;=BJ$5,$D139&lt;BJ$5+7),"◆",""),IF(AND($D139&lt;BJ$5+7,$E139&gt;BJ$5),"■","")))</x:f>
      </x:c>
      <x:c r="BK139" s="7" t="str">
        <x:f>IF(OR($D139="",BK$5="",'상세일정'!AM139="제외"),"",IF($D139=$E139,IF(AND($D139&gt;=BK$5,$D139&lt;BK$5+7),"◆",""),IF(AND($D139&lt;BK$5+7,$E139&gt;BK$5),"■","")))</x:f>
      </x:c>
      <x:c r="BL139" s="7" t="str">
        <x:f>IF(OR($D139="",BL$5="",'상세일정'!AM139="제외"),"",IF($D139=$E139,IF(AND($D139&gt;=BL$5,$D139&lt;BL$5+7),"◆",""),IF(AND($D139&lt;BL$5+7,$E139&gt;BL$5),"■","")))</x:f>
      </x:c>
      <x:c r="BM139" s="7" t="str">
        <x:f>IF(OR($D139="",BM$5="",'상세일정'!AM139="제외"),"",IF($D139=$E139,IF(AND($D139&gt;=BM$5,$D139&lt;BM$5+7),"◆",""),IF(AND($D139&lt;BM$5+7,$E139&gt;BM$5),"■","")))</x:f>
      </x:c>
      <x:c r="BN139" s="7" t="str">
        <x:f>IF(OR($D139="",BN$5="",'상세일정'!AM139="제외"),"",IF($D139=$E139,IF(AND($D139&gt;=BN$5,$D139&lt;BN$5+7),"◆",""),IF(AND($D139&lt;BN$5+7,$E139&gt;BN$5),"■","")))</x:f>
      </x:c>
      <x:c r="BO139" s="7" t="str">
        <x:f>IF(OR($D139="",BO$5="",'상세일정'!AM139="제외"),"",IF($D139=$E139,IF(AND($D139&gt;=BO$5,$D139&lt;BO$5+7),"◆",""),IF(AND($D139&lt;BO$5+7,$E139&gt;BO$5),"■","")))</x:f>
      </x:c>
      <x:c r="BP139" s="7" t="str">
        <x:f>IF(OR($D139="",BP$5="",'상세일정'!AM139="제외"),"",IF($D139=$E139,IF(AND($D139&gt;=BP$5,$D139&lt;BP$5+7),"◆",""),IF(AND($D139&lt;BP$5+7,$E139&gt;BP$5),"■","")))</x:f>
      </x:c>
      <x:c r="BQ139" s="7" t="str">
        <x:f>IF(OR($D139="",BQ$5="",'상세일정'!AM139="제외"),"",IF($D139=$E139,IF(AND($D139&gt;=BQ$5,$D139&lt;BQ$5+7),"◆",""),IF(AND($D139&lt;BQ$5+7,$E139&gt;BQ$5),"■","")))</x:f>
      </x:c>
      <x:c r="BR139" s="7" t="str">
        <x:f>IF(OR($D139="",BR$5="",'상세일정'!AM139="제외"),"",IF($D139=$E139,IF(AND($D139&gt;=BR$5,$D139&lt;BR$5+7),"◆",""),IF(AND($D139&lt;BR$5+7,$E139&gt;BR$5),"■","")))</x:f>
      </x:c>
      <x:c r="BS139" s="7" t="str">
        <x:f>IF(OR($D139="",BS$5="",'상세일정'!AM139="제외"),"",IF($D139=$E139,IF(AND($D139&gt;=BS$5,$D139&lt;BS$5+7),"◆",""),IF(AND($D139&lt;BS$5+7,$E139&gt;BS$5),"■","")))</x:f>
      </x:c>
      <x:c r="BT139" s="7" t="str">
        <x:f>IF(OR($D139="",BT$5="",'상세일정'!AM139="제외"),"",IF($D139=$E139,IF(AND($D139&gt;=BT$5,$D139&lt;BT$5+7),"◆",""),IF(AND($D139&lt;BT$5+7,$E139&gt;BT$5),"■","")))</x:f>
      </x:c>
      <x:c r="BU139" s="7" t="str">
        <x:f>IF(OR($D139="",BU$5="",'상세일정'!AM139="제외"),"",IF($D139=$E139,IF(AND($D139&gt;=BU$5,$D139&lt;BU$5+7),"◆",""),IF(AND($D139&lt;BU$5+7,$E139&gt;BU$5),"■","")))</x:f>
      </x:c>
      <x:c r="BV139" s="7" t="str">
        <x:f>IF(OR($D139="",BV$5="",'상세일정'!AM139="제외"),"",IF($D139=$E139,IF(AND($D139&gt;=BV$5,$D139&lt;BV$5+7),"◆",""),IF(AND($D139&lt;BV$5+7,$E139&gt;BV$5),"■","")))</x:f>
      </x:c>
      <x:c r="BW139" s="7" t="str">
        <x:f>IF(OR($D139="",BW$5="",'상세일정'!AM139="제외"),"",IF($D139=$E139,IF(AND($D139&gt;=BW$5,$D139&lt;BW$5+7),"◆",""),IF(AND($D139&lt;BW$5+7,$E139&gt;BW$5),"■","")))</x:f>
      </x:c>
      <x:c r="BX139" s="7" t="str">
        <x:f>IF(OR($D139="",BX$5="",'상세일정'!AM139="제외"),"",IF($D139=$E139,IF(AND($D139&gt;=BX$5,$D139&lt;BX$5+7),"◆",""),IF(AND($D139&lt;BX$5+7,$E139&gt;BX$5),"■","")))</x:f>
      </x:c>
      <x:c r="BY139" s="7" t="str">
        <x:f>IF(OR($D139="",BY$5="",'상세일정'!AM139="제외"),"",IF($D139=$E139,IF(AND($D139&gt;=BY$5,$D139&lt;BY$5+7),"◆",""),IF(AND($D139&lt;BY$5+7,$E139&gt;BY$5),"■","")))</x:f>
      </x:c>
      <x:c r="BZ139" s="7" t="str">
        <x:f>IF(OR($D139="",BZ$5="",'상세일정'!AM139="제외"),"",IF($D139=$E139,IF(AND($D139&gt;=BZ$5,$D139&lt;BZ$5+7),"◆",""),IF(AND($D139&lt;BZ$5+7,$E139&gt;BZ$5),"■","")))</x:f>
      </x:c>
      <x:c r="CA139" s="7" t="str">
        <x:f>IF(OR($D139="",CA$5="",'상세일정'!AM139="제외"),"",IF($D139=$E139,IF(AND($D139&gt;=CA$5,$D139&lt;CA$5+7),"◆",""),IF(AND($D139&lt;CA$5+7,$E139&gt;CA$5),"■","")))</x:f>
      </x:c>
      <x:c r="CB139" s="7" t="str">
        <x:f>IF(OR($D139="",CB$5="",'상세일정'!AM139="제외"),"",IF($D139=$E139,IF(AND($D139&gt;=CB$5,$D139&lt;CB$5+7),"◆",""),IF(AND($D139&lt;CB$5+7,$E139&gt;CB$5),"■","")))</x:f>
      </x:c>
      <x:c r="CC139" s="7" t="str">
        <x:f>IF(OR($D139="",CC$5="",'상세일정'!AM139="제외"),"",IF($D139=$E139,IF(AND($D139&gt;=CC$5,$D139&lt;CC$5+7),"◆",""),IF(AND($D139&lt;CC$5+7,$E139&gt;CC$5),"■","")))</x:f>
      </x:c>
      <x:c r="CD139" s="7" t="str">
        <x:f>IF(OR($D139="",CD$5="",'상세일정'!AM139="제외"),"",IF($D139=$E139,IF(AND($D139&gt;=CD$5,$D139&lt;CD$5+7),"◆",""),IF(AND($D139&lt;CD$5+7,$E139&gt;CD$5),"■","")))</x:f>
      </x:c>
      <x:c r="CE139" s="7" t="str">
        <x:f>IF(OR($D139="",CE$5="",'상세일정'!AM139="제외"),"",IF($D139=$E139,IF(AND($D139&gt;=CE$5,$D139&lt;CE$5+7),"◆",""),IF(AND($D139&lt;CE$5+7,$E139&gt;CE$5),"■","")))</x:f>
      </x:c>
      <x:c r="CF139" s="7" t="str">
        <x:f>IF(OR($D139="",CF$5="",'상세일정'!AM139="제외"),"",IF($D139=$E139,IF(AND($D139&gt;=CF$5,$D139&lt;CF$5+7),"◆",""),IF(AND($D139&lt;CF$5+7,$E139&gt;CF$5),"■","")))</x:f>
      </x:c>
      <x:c r="CG139" s="7" t="str">
        <x:f>IF(OR($D139="",CG$5="",'상세일정'!AM139="제외"),"",IF($D139=$E139,IF(AND($D139&gt;=CG$5,$D139&lt;CG$5+7),"◆",""),IF(AND($D139&lt;CG$5+7,$E139&gt;CG$5),"■","")))</x:f>
      </x:c>
      <x:c r="CH139" s="7" t="str">
        <x:f>IF(OR($D139="",CH$5="",'상세일정'!AM139="제외"),"",IF($D139=$E139,IF(AND($D139&gt;=CH$5,$D139&lt;CH$5+7),"◆",""),IF(AND($D139&lt;CH$5+7,$E139&gt;CH$5),"■","")))</x:f>
      </x:c>
      <x:c r="CI139" s="7" t="str">
        <x:f>IF(OR($D139="",CI$5="",'상세일정'!AM139="제외"),"",IF($D139=$E139,IF(AND($D139&gt;=CI$5,$D139&lt;CI$5+7),"◆",""),IF(AND($D139&lt;CI$5+7,$E139&gt;CI$5),"■","")))</x:f>
      </x:c>
      <x:c r="CJ139" s="7" t="str">
        <x:f>IF(OR($D139="",CJ$5="",'상세일정'!AM139="제외"),"",IF($D139=$E139,IF(AND($D139&gt;=CJ$5,$D139&lt;CJ$5+7),"◆",""),IF(AND($D139&lt;CJ$5+7,$E139&gt;CJ$5),"■","")))</x:f>
      </x:c>
      <x:c r="CK139" s="7" t="str">
        <x:f>IF(OR($D139="",CK$5="",'상세일정'!AM139="제외"),"",IF($D139=$E139,IF(AND($D139&gt;=CK$5,$D139&lt;CK$5+7),"◆",""),IF(AND($D139&lt;CK$5+7,$E139&gt;CK$5),"■","")))</x:f>
      </x:c>
      <x:c r="CL139" s="7" t="str">
        <x:f>IF(OR($D139="",CL$5="",'상세일정'!AM139="제외"),"",IF($D139=$E139,IF(AND($D139&gt;=CL$5,$D139&lt;CL$5+7),"◆",""),IF(AND($D139&lt;CL$5+7,$E139&gt;CL$5),"■","")))</x:f>
      </x:c>
      <x:c r="CM139" s="7" t="str">
        <x:f>IF(OR($D139="",CM$5="",'상세일정'!AM139="제외"),"",IF($D139=$E139,IF(AND($D139&gt;=CM$5,$D139&lt;CM$5+7),"◆",""),IF(AND($D139&lt;CM$5+7,$E139&gt;CM$5),"■","")))</x:f>
      </x:c>
      <x:c r="CN139" s="7" t="str">
        <x:f>IF(OR($D139="",CN$5="",'상세일정'!AM139="제외"),"",IF($D139=$E139,IF(AND($D139&gt;=CN$5,$D139&lt;CN$5+7),"◆",""),IF(AND($D139&lt;CN$5+7,$E139&gt;CN$5),"■","")))</x:f>
      </x:c>
      <x:c r="CO139" s="7" t="str">
        <x:f>IF(OR($D139="",CO$5="",'상세일정'!AM139="제외"),"",IF($D139=$E139,IF(AND($D139&gt;=CO$5,$D139&lt;CO$5+7),"◆",""),IF(AND($D139&lt;CO$5+7,$E139&gt;CO$5),"■","")))</x:f>
      </x:c>
      <x:c r="CP139" s="7" t="str">
        <x:f>IF(OR($D139="",CP$5="",'상세일정'!AM139="제외"),"",IF($D139=$E139,IF(AND($D139&gt;=CP$5,$D139&lt;CP$5+7),"◆",""),IF(AND($D139&lt;CP$5+7,$E139&gt;CP$5),"■","")))</x:f>
      </x:c>
      <x:c r="CQ139" s="7" t="str">
        <x:f>IF(OR($D139="",CQ$5="",'상세일정'!AM139="제외"),"",IF($D139=$E139,IF(AND($D139&gt;=CQ$5,$D139&lt;CQ$5+7),"◆",""),IF(AND($D139&lt;CQ$5+7,$E139&gt;CQ$5),"■","")))</x:f>
      </x:c>
      <x:c r="CR139" s="7" t="str">
        <x:f>IF(OR($D139="",CR$5="",'상세일정'!AM139="제외"),"",IF($D139=$E139,IF(AND($D139&gt;=CR$5,$D139&lt;CR$5+7),"◆",""),IF(AND($D139&lt;CR$5+7,$E139&gt;CR$5),"■","")))</x:f>
      </x:c>
      <x:c r="CS139" s="7" t="str">
        <x:f>IF(OR($D139="",CS$5="",'상세일정'!AM139="제외"),"",IF($D139=$E139,IF(AND($D139&gt;=CS$5,$D139&lt;CS$5+7),"◆",""),IF(AND($D139&lt;CS$5+7,$E139&gt;CS$5),"■","")))</x:f>
      </x:c>
      <x:c r="CT139" s="7" t="str">
        <x:f>IF(OR($D139="",CT$5="",'상세일정'!AM139="제외"),"",IF($D139=$E139,IF(AND($D139&gt;=CT$5,$D139&lt;CT$5+7),"◆",""),IF(AND($D139&lt;CT$5+7,$E139&gt;CT$5),"■","")))</x:f>
      </x:c>
      <x:c r="CU139" s="7" t="str">
        <x:f>IF(OR($D139="",CU$5="",'상세일정'!AM139="제외"),"",IF($D139=$E139,IF(AND($D139&gt;=CU$5,$D139&lt;CU$5+7),"◆",""),IF(AND($D139&lt;CU$5+7,$E139&gt;CU$5),"■","")))</x:f>
      </x:c>
      <x:c r="CV139" s="7" t="str">
        <x:f>IF(OR($D139="",CV$5="",'상세일정'!AM139="제외"),"",IF($D139=$E139,IF(AND($D139&gt;=CV$5,$D139&lt;CV$5+7),"◆",""),IF(AND($D139&lt;CV$5+7,$E139&gt;CV$5),"■","")))</x:f>
      </x:c>
      <x:c r="CW139" s="7" t="str">
        <x:f>IF(OR($D139="",CW$5="",'상세일정'!AM139="제외"),"",IF($D139=$E139,IF(AND($D139&gt;=CW$5,$D139&lt;CW$5+7),"◆",""),IF(AND($D139&lt;CW$5+7,$E139&gt;CW$5),"■","")))</x:f>
      </x:c>
      <x:c r="CX139" s="7" t="str">
        <x:f>IF(OR($D139="",CX$5="",'상세일정'!AM139="제외"),"",IF($D139=$E139,IF(AND($D139&gt;=CX$5,$D139&lt;CX$5+7),"◆",""),IF(AND($D139&lt;CX$5+7,$E139&gt;CX$5),"■","")))</x:f>
      </x:c>
      <x:c r="CY139" s="7" t="str">
        <x:f>IF(OR($D139="",CY$5="",'상세일정'!AM139="제외"),"",IF($D139=$E139,IF(AND($D139&gt;=CY$5,$D139&lt;CY$5+7),"◆",""),IF(AND($D139&lt;CY$5+7,$E139&gt;CY$5),"■","")))</x:f>
      </x:c>
      <x:c r="CZ139" s="7" t="str">
        <x:f>IF(OR($D139="",CZ$5="",'상세일정'!AM139="제외"),"",IF($D139=$E139,IF(AND($D139&gt;=CZ$5,$D139&lt;CZ$5+7),"◆",""),IF(AND($D139&lt;CZ$5+7,$E139&gt;CZ$5),"■","")))</x:f>
      </x:c>
      <x:c r="DA139" s="7" t="str">
        <x:f>IF(OR($D139="",DA$5="",'상세일정'!AM139="제외"),"",IF($D139=$E139,IF(AND($D139&gt;=DA$5,$D139&lt;DA$5+7),"◆",""),IF(AND($D139&lt;DA$5+7,$E139&gt;DA$5),"■","")))</x:f>
      </x:c>
      <x:c r="DB139" s="7" t="str">
        <x:f>IF(OR($D139="",DB$5="",'상세일정'!AM139="제외"),"",IF($D139=$E139,IF(AND($D139&gt;=DB$5,$D139&lt;DB$5+7),"◆",""),IF(AND($D139&lt;DB$5+7,$E139&gt;DB$5),"■","")))</x:f>
      </x:c>
      <x:c r="DC139" s="7" t="str">
        <x:f>IF(OR($D139="",DC$5="",'상세일정'!AM139="제외"),"",IF($D139=$E139,IF(AND($D139&gt;=DC$5,$D139&lt;DC$5+7),"◆",""),IF(AND($D139&lt;DC$5+7,$E139&gt;DC$5),"■","")))</x:f>
      </x:c>
      <x:c r="DD139" s="7" t="str">
        <x:f>IF(OR($D139="",DD$5="",'상세일정'!AM139="제외"),"",IF($D139=$E139,IF(AND($D139&gt;=DD$5,$D139&lt;DD$5+7),"◆",""),IF(AND($D139&lt;DD$5+7,$E139&gt;DD$5),"■","")))</x:f>
      </x:c>
      <x:c r="DE139" s="7" t="str">
        <x:f>IF(OR($D139="",DE$5="",'상세일정'!AM139="제외"),"",IF($D139=$E139,IF(AND($D139&gt;=DE$5,$D139&lt;DE$5+7),"◆",""),IF(AND($D139&lt;DE$5+7,$E139&gt;DE$5),"■","")))</x:f>
      </x:c>
    </x:row>
    <x:row r="140" ht="34" customHeight="1">
      <x:c r="A140" s="7" t="str">
        <x:v>AN05</x:v>
      </x:c>
      <x:c r="B140" s="7" t="str">
        <x:v>16 기자재 구매·제작</x:v>
      </x:c>
      <x:c r="C140" s="7" t="str">
        <x:v>제품분석기·Sampling system 조립·공장 기능시험</x:v>
      </x:c>
      <x:c r="D140" s="10" t="str">
        <x:f>'상세일정'!AJ140</x:f>
      </x:c>
      <x:c r="E140" s="10" t="str">
        <x:f>'상세일정'!AK140</x:f>
      </x:c>
      <x:c r="F140" s="7" t="str">
        <x:f>IF(OR($D140="",F$5="",'상세일정'!AM140="제외"),"",IF($D140=$E140,IF(AND($D140&gt;=F$5,$D140&lt;F$5+7),"◆",""),IF(AND($D140&lt;F$5+7,$E140&gt;F$5),"■","")))</x:f>
      </x:c>
      <x:c r="G140" s="7" t="str">
        <x:f>IF(OR($D140="",G$5="",'상세일정'!AM140="제외"),"",IF($D140=$E140,IF(AND($D140&gt;=G$5,$D140&lt;G$5+7),"◆",""),IF(AND($D140&lt;G$5+7,$E140&gt;G$5),"■","")))</x:f>
      </x:c>
      <x:c r="H140" s="7" t="str">
        <x:f>IF(OR($D140="",H$5="",'상세일정'!AM140="제외"),"",IF($D140=$E140,IF(AND($D140&gt;=H$5,$D140&lt;H$5+7),"◆",""),IF(AND($D140&lt;H$5+7,$E140&gt;H$5),"■","")))</x:f>
      </x:c>
      <x:c r="I140" s="7" t="str">
        <x:f>IF(OR($D140="",I$5="",'상세일정'!AM140="제외"),"",IF($D140=$E140,IF(AND($D140&gt;=I$5,$D140&lt;I$5+7),"◆",""),IF(AND($D140&lt;I$5+7,$E140&gt;I$5),"■","")))</x:f>
      </x:c>
      <x:c r="J140" s="7" t="str">
        <x:f>IF(OR($D140="",J$5="",'상세일정'!AM140="제외"),"",IF($D140=$E140,IF(AND($D140&gt;=J$5,$D140&lt;J$5+7),"◆",""),IF(AND($D140&lt;J$5+7,$E140&gt;J$5),"■","")))</x:f>
      </x:c>
      <x:c r="K140" s="7" t="str">
        <x:f>IF(OR($D140="",K$5="",'상세일정'!AM140="제외"),"",IF($D140=$E140,IF(AND($D140&gt;=K$5,$D140&lt;K$5+7),"◆",""),IF(AND($D140&lt;K$5+7,$E140&gt;K$5),"■","")))</x:f>
      </x:c>
      <x:c r="L140" s="7" t="str">
        <x:f>IF(OR($D140="",L$5="",'상세일정'!AM140="제외"),"",IF($D140=$E140,IF(AND($D140&gt;=L$5,$D140&lt;L$5+7),"◆",""),IF(AND($D140&lt;L$5+7,$E140&gt;L$5),"■","")))</x:f>
      </x:c>
      <x:c r="M140" s="7" t="str">
        <x:f>IF(OR($D140="",M$5="",'상세일정'!AM140="제외"),"",IF($D140=$E140,IF(AND($D140&gt;=M$5,$D140&lt;M$5+7),"◆",""),IF(AND($D140&lt;M$5+7,$E140&gt;M$5),"■","")))</x:f>
      </x:c>
      <x:c r="N140" s="7" t="str">
        <x:f>IF(OR($D140="",N$5="",'상세일정'!AM140="제외"),"",IF($D140=$E140,IF(AND($D140&gt;=N$5,$D140&lt;N$5+7),"◆",""),IF(AND($D140&lt;N$5+7,$E140&gt;N$5),"■","")))</x:f>
      </x:c>
      <x:c r="O140" s="7" t="str">
        <x:f>IF(OR($D140="",O$5="",'상세일정'!AM140="제외"),"",IF($D140=$E140,IF(AND($D140&gt;=O$5,$D140&lt;O$5+7),"◆",""),IF(AND($D140&lt;O$5+7,$E140&gt;O$5),"■","")))</x:f>
      </x:c>
      <x:c r="P140" s="7" t="str">
        <x:f>IF(OR($D140="",P$5="",'상세일정'!AM140="제외"),"",IF($D140=$E140,IF(AND($D140&gt;=P$5,$D140&lt;P$5+7),"◆",""),IF(AND($D140&lt;P$5+7,$E140&gt;P$5),"■","")))</x:f>
      </x:c>
      <x:c r="Q140" s="7" t="str">
        <x:f>IF(OR($D140="",Q$5="",'상세일정'!AM140="제외"),"",IF($D140=$E140,IF(AND($D140&gt;=Q$5,$D140&lt;Q$5+7),"◆",""),IF(AND($D140&lt;Q$5+7,$E140&gt;Q$5),"■","")))</x:f>
      </x:c>
      <x:c r="R140" s="7" t="str">
        <x:f>IF(OR($D140="",R$5="",'상세일정'!AM140="제외"),"",IF($D140=$E140,IF(AND($D140&gt;=R$5,$D140&lt;R$5+7),"◆",""),IF(AND($D140&lt;R$5+7,$E140&gt;R$5),"■","")))</x:f>
      </x:c>
      <x:c r="S140" s="7" t="str">
        <x:f>IF(OR($D140="",S$5="",'상세일정'!AM140="제외"),"",IF($D140=$E140,IF(AND($D140&gt;=S$5,$D140&lt;S$5+7),"◆",""),IF(AND($D140&lt;S$5+7,$E140&gt;S$5),"■","")))</x:f>
      </x:c>
      <x:c r="T140" s="7" t="str">
        <x:f>IF(OR($D140="",T$5="",'상세일정'!AM140="제외"),"",IF($D140=$E140,IF(AND($D140&gt;=T$5,$D140&lt;T$5+7),"◆",""),IF(AND($D140&lt;T$5+7,$E140&gt;T$5),"■","")))</x:f>
      </x:c>
      <x:c r="U140" s="7" t="str">
        <x:f>IF(OR($D140="",U$5="",'상세일정'!AM140="제외"),"",IF($D140=$E140,IF(AND($D140&gt;=U$5,$D140&lt;U$5+7),"◆",""),IF(AND($D140&lt;U$5+7,$E140&gt;U$5),"■","")))</x:f>
      </x:c>
      <x:c r="V140" s="7" t="str">
        <x:f>IF(OR($D140="",V$5="",'상세일정'!AM140="제외"),"",IF($D140=$E140,IF(AND($D140&gt;=V$5,$D140&lt;V$5+7),"◆",""),IF(AND($D140&lt;V$5+7,$E140&gt;V$5),"■","")))</x:f>
      </x:c>
      <x:c r="W140" s="7" t="str">
        <x:f>IF(OR($D140="",W$5="",'상세일정'!AM140="제외"),"",IF($D140=$E140,IF(AND($D140&gt;=W$5,$D140&lt;W$5+7),"◆",""),IF(AND($D140&lt;W$5+7,$E140&gt;W$5),"■","")))</x:f>
      </x:c>
      <x:c r="X140" s="7" t="str">
        <x:f>IF(OR($D140="",X$5="",'상세일정'!AM140="제외"),"",IF($D140=$E140,IF(AND($D140&gt;=X$5,$D140&lt;X$5+7),"◆",""),IF(AND($D140&lt;X$5+7,$E140&gt;X$5),"■","")))</x:f>
      </x:c>
      <x:c r="Y140" s="7" t="str">
        <x:f>IF(OR($D140="",Y$5="",'상세일정'!AM140="제외"),"",IF($D140=$E140,IF(AND($D140&gt;=Y$5,$D140&lt;Y$5+7),"◆",""),IF(AND($D140&lt;Y$5+7,$E140&gt;Y$5),"■","")))</x:f>
      </x:c>
      <x:c r="Z140" s="7" t="str">
        <x:f>IF(OR($D140="",Z$5="",'상세일정'!AM140="제외"),"",IF($D140=$E140,IF(AND($D140&gt;=Z$5,$D140&lt;Z$5+7),"◆",""),IF(AND($D140&lt;Z$5+7,$E140&gt;Z$5),"■","")))</x:f>
      </x:c>
      <x:c r="AA140" s="7" t="str">
        <x:f>IF(OR($D140="",AA$5="",'상세일정'!AM140="제외"),"",IF($D140=$E140,IF(AND($D140&gt;=AA$5,$D140&lt;AA$5+7),"◆",""),IF(AND($D140&lt;AA$5+7,$E140&gt;AA$5),"■","")))</x:f>
      </x:c>
      <x:c r="AB140" s="7" t="str">
        <x:f>IF(OR($D140="",AB$5="",'상세일정'!AM140="제외"),"",IF($D140=$E140,IF(AND($D140&gt;=AB$5,$D140&lt;AB$5+7),"◆",""),IF(AND($D140&lt;AB$5+7,$E140&gt;AB$5),"■","")))</x:f>
      </x:c>
      <x:c r="AC140" s="7" t="str">
        <x:f>IF(OR($D140="",AC$5="",'상세일정'!AM140="제외"),"",IF($D140=$E140,IF(AND($D140&gt;=AC$5,$D140&lt;AC$5+7),"◆",""),IF(AND($D140&lt;AC$5+7,$E140&gt;AC$5),"■","")))</x:f>
      </x:c>
      <x:c r="AD140" s="7" t="str">
        <x:f>IF(OR($D140="",AD$5="",'상세일정'!AM140="제외"),"",IF($D140=$E140,IF(AND($D140&gt;=AD$5,$D140&lt;AD$5+7),"◆",""),IF(AND($D140&lt;AD$5+7,$E140&gt;AD$5),"■","")))</x:f>
      </x:c>
      <x:c r="AE140" s="7" t="str">
        <x:f>IF(OR($D140="",AE$5="",'상세일정'!AM140="제외"),"",IF($D140=$E140,IF(AND($D140&gt;=AE$5,$D140&lt;AE$5+7),"◆",""),IF(AND($D140&lt;AE$5+7,$E140&gt;AE$5),"■","")))</x:f>
      </x:c>
      <x:c r="AF140" s="7" t="str">
        <x:f>IF(OR($D140="",AF$5="",'상세일정'!AM140="제외"),"",IF($D140=$E140,IF(AND($D140&gt;=AF$5,$D140&lt;AF$5+7),"◆",""),IF(AND($D140&lt;AF$5+7,$E140&gt;AF$5),"■","")))</x:f>
      </x:c>
      <x:c r="AG140" s="7" t="str">
        <x:f>IF(OR($D140="",AG$5="",'상세일정'!AM140="제외"),"",IF($D140=$E140,IF(AND($D140&gt;=AG$5,$D140&lt;AG$5+7),"◆",""),IF(AND($D140&lt;AG$5+7,$E140&gt;AG$5),"■","")))</x:f>
      </x:c>
      <x:c r="AH140" s="7" t="str">
        <x:f>IF(OR($D140="",AH$5="",'상세일정'!AM140="제외"),"",IF($D140=$E140,IF(AND($D140&gt;=AH$5,$D140&lt;AH$5+7),"◆",""),IF(AND($D140&lt;AH$5+7,$E140&gt;AH$5),"■","")))</x:f>
      </x:c>
      <x:c r="AI140" s="7" t="str">
        <x:f>IF(OR($D140="",AI$5="",'상세일정'!AM140="제외"),"",IF($D140=$E140,IF(AND($D140&gt;=AI$5,$D140&lt;AI$5+7),"◆",""),IF(AND($D140&lt;AI$5+7,$E140&gt;AI$5),"■","")))</x:f>
      </x:c>
      <x:c r="AJ140" s="7" t="str">
        <x:f>IF(OR($D140="",AJ$5="",'상세일정'!AM140="제외"),"",IF($D140=$E140,IF(AND($D140&gt;=AJ$5,$D140&lt;AJ$5+7),"◆",""),IF(AND($D140&lt;AJ$5+7,$E140&gt;AJ$5),"■","")))</x:f>
      </x:c>
      <x:c r="AK140" s="7" t="str">
        <x:f>IF(OR($D140="",AK$5="",'상세일정'!AM140="제외"),"",IF($D140=$E140,IF(AND($D140&gt;=AK$5,$D140&lt;AK$5+7),"◆",""),IF(AND($D140&lt;AK$5+7,$E140&gt;AK$5),"■","")))</x:f>
      </x:c>
      <x:c r="AL140" s="7" t="str">
        <x:f>IF(OR($D140="",AL$5="",'상세일정'!AM140="제외"),"",IF($D140=$E140,IF(AND($D140&gt;=AL$5,$D140&lt;AL$5+7),"◆",""),IF(AND($D140&lt;AL$5+7,$E140&gt;AL$5),"■","")))</x:f>
      </x:c>
      <x:c r="AM140" s="7" t="str">
        <x:f>IF(OR($D140="",AM$5="",'상세일정'!AM140="제외"),"",IF($D140=$E140,IF(AND($D140&gt;=AM$5,$D140&lt;AM$5+7),"◆",""),IF(AND($D140&lt;AM$5+7,$E140&gt;AM$5),"■","")))</x:f>
      </x:c>
      <x:c r="AN140" s="7" t="str">
        <x:f>IF(OR($D140="",AN$5="",'상세일정'!AM140="제외"),"",IF($D140=$E140,IF(AND($D140&gt;=AN$5,$D140&lt;AN$5+7),"◆",""),IF(AND($D140&lt;AN$5+7,$E140&gt;AN$5),"■","")))</x:f>
      </x:c>
      <x:c r="AO140" s="7" t="str">
        <x:f>IF(OR($D140="",AO$5="",'상세일정'!AM140="제외"),"",IF($D140=$E140,IF(AND($D140&gt;=AO$5,$D140&lt;AO$5+7),"◆",""),IF(AND($D140&lt;AO$5+7,$E140&gt;AO$5),"■","")))</x:f>
      </x:c>
      <x:c r="AP140" s="7" t="str">
        <x:f>IF(OR($D140="",AP$5="",'상세일정'!AM140="제외"),"",IF($D140=$E140,IF(AND($D140&gt;=AP$5,$D140&lt;AP$5+7),"◆",""),IF(AND($D140&lt;AP$5+7,$E140&gt;AP$5),"■","")))</x:f>
      </x:c>
      <x:c r="AQ140" s="7" t="str">
        <x:f>IF(OR($D140="",AQ$5="",'상세일정'!AM140="제외"),"",IF($D140=$E140,IF(AND($D140&gt;=AQ$5,$D140&lt;AQ$5+7),"◆",""),IF(AND($D140&lt;AQ$5+7,$E140&gt;AQ$5),"■","")))</x:f>
      </x:c>
      <x:c r="AR140" s="7" t="str">
        <x:f>IF(OR($D140="",AR$5="",'상세일정'!AM140="제외"),"",IF($D140=$E140,IF(AND($D140&gt;=AR$5,$D140&lt;AR$5+7),"◆",""),IF(AND($D140&lt;AR$5+7,$E140&gt;AR$5),"■","")))</x:f>
      </x:c>
      <x:c r="AS140" s="7" t="str">
        <x:f>IF(OR($D140="",AS$5="",'상세일정'!AM140="제외"),"",IF($D140=$E140,IF(AND($D140&gt;=AS$5,$D140&lt;AS$5+7),"◆",""),IF(AND($D140&lt;AS$5+7,$E140&gt;AS$5),"■","")))</x:f>
      </x:c>
      <x:c r="AT140" s="7" t="str">
        <x:f>IF(OR($D140="",AT$5="",'상세일정'!AM140="제외"),"",IF($D140=$E140,IF(AND($D140&gt;=AT$5,$D140&lt;AT$5+7),"◆",""),IF(AND($D140&lt;AT$5+7,$E140&gt;AT$5),"■","")))</x:f>
      </x:c>
      <x:c r="AU140" s="7" t="str">
        <x:f>IF(OR($D140="",AU$5="",'상세일정'!AM140="제외"),"",IF($D140=$E140,IF(AND($D140&gt;=AU$5,$D140&lt;AU$5+7),"◆",""),IF(AND($D140&lt;AU$5+7,$E140&gt;AU$5),"■","")))</x:f>
      </x:c>
      <x:c r="AV140" s="7" t="str">
        <x:f>IF(OR($D140="",AV$5="",'상세일정'!AM140="제외"),"",IF($D140=$E140,IF(AND($D140&gt;=AV$5,$D140&lt;AV$5+7),"◆",""),IF(AND($D140&lt;AV$5+7,$E140&gt;AV$5),"■","")))</x:f>
      </x:c>
      <x:c r="AW140" s="7" t="str">
        <x:f>IF(OR($D140="",AW$5="",'상세일정'!AM140="제외"),"",IF($D140=$E140,IF(AND($D140&gt;=AW$5,$D140&lt;AW$5+7),"◆",""),IF(AND($D140&lt;AW$5+7,$E140&gt;AW$5),"■","")))</x:f>
      </x:c>
      <x:c r="AX140" s="7" t="str">
        <x:f>IF(OR($D140="",AX$5="",'상세일정'!AM140="제외"),"",IF($D140=$E140,IF(AND($D140&gt;=AX$5,$D140&lt;AX$5+7),"◆",""),IF(AND($D140&lt;AX$5+7,$E140&gt;AX$5),"■","")))</x:f>
      </x:c>
      <x:c r="AY140" s="7" t="str">
        <x:f>IF(OR($D140="",AY$5="",'상세일정'!AM140="제외"),"",IF($D140=$E140,IF(AND($D140&gt;=AY$5,$D140&lt;AY$5+7),"◆",""),IF(AND($D140&lt;AY$5+7,$E140&gt;AY$5),"■","")))</x:f>
      </x:c>
      <x:c r="AZ140" s="7" t="str">
        <x:f>IF(OR($D140="",AZ$5="",'상세일정'!AM140="제외"),"",IF($D140=$E140,IF(AND($D140&gt;=AZ$5,$D140&lt;AZ$5+7),"◆",""),IF(AND($D140&lt;AZ$5+7,$E140&gt;AZ$5),"■","")))</x:f>
      </x:c>
      <x:c r="BA140" s="7" t="str">
        <x:f>IF(OR($D140="",BA$5="",'상세일정'!AM140="제외"),"",IF($D140=$E140,IF(AND($D140&gt;=BA$5,$D140&lt;BA$5+7),"◆",""),IF(AND($D140&lt;BA$5+7,$E140&gt;BA$5),"■","")))</x:f>
      </x:c>
      <x:c r="BB140" s="7" t="str">
        <x:f>IF(OR($D140="",BB$5="",'상세일정'!AM140="제외"),"",IF($D140=$E140,IF(AND($D140&gt;=BB$5,$D140&lt;BB$5+7),"◆",""),IF(AND($D140&lt;BB$5+7,$E140&gt;BB$5),"■","")))</x:f>
      </x:c>
      <x:c r="BC140" s="7" t="str">
        <x:f>IF(OR($D140="",BC$5="",'상세일정'!AM140="제외"),"",IF($D140=$E140,IF(AND($D140&gt;=BC$5,$D140&lt;BC$5+7),"◆",""),IF(AND($D140&lt;BC$5+7,$E140&gt;BC$5),"■","")))</x:f>
      </x:c>
      <x:c r="BD140" s="7" t="str">
        <x:f>IF(OR($D140="",BD$5="",'상세일정'!AM140="제외"),"",IF($D140=$E140,IF(AND($D140&gt;=BD$5,$D140&lt;BD$5+7),"◆",""),IF(AND($D140&lt;BD$5+7,$E140&gt;BD$5),"■","")))</x:f>
      </x:c>
      <x:c r="BE140" s="7" t="str">
        <x:f>IF(OR($D140="",BE$5="",'상세일정'!AM140="제외"),"",IF($D140=$E140,IF(AND($D140&gt;=BE$5,$D140&lt;BE$5+7),"◆",""),IF(AND($D140&lt;BE$5+7,$E140&gt;BE$5),"■","")))</x:f>
      </x:c>
      <x:c r="BF140" s="7" t="str">
        <x:f>IF(OR($D140="",BF$5="",'상세일정'!AM140="제외"),"",IF($D140=$E140,IF(AND($D140&gt;=BF$5,$D140&lt;BF$5+7),"◆",""),IF(AND($D140&lt;BF$5+7,$E140&gt;BF$5),"■","")))</x:f>
      </x:c>
      <x:c r="BG140" s="7" t="str">
        <x:f>IF(OR($D140="",BG$5="",'상세일정'!AM140="제외"),"",IF($D140=$E140,IF(AND($D140&gt;=BG$5,$D140&lt;BG$5+7),"◆",""),IF(AND($D140&lt;BG$5+7,$E140&gt;BG$5),"■","")))</x:f>
      </x:c>
      <x:c r="BH140" s="7" t="str">
        <x:f>IF(OR($D140="",BH$5="",'상세일정'!AM140="제외"),"",IF($D140=$E140,IF(AND($D140&gt;=BH$5,$D140&lt;BH$5+7),"◆",""),IF(AND($D140&lt;BH$5+7,$E140&gt;BH$5),"■","")))</x:f>
      </x:c>
      <x:c r="BI140" s="7" t="str">
        <x:f>IF(OR($D140="",BI$5="",'상세일정'!AM140="제외"),"",IF($D140=$E140,IF(AND($D140&gt;=BI$5,$D140&lt;BI$5+7),"◆",""),IF(AND($D140&lt;BI$5+7,$E140&gt;BI$5),"■","")))</x:f>
      </x:c>
      <x:c r="BJ140" s="7" t="str">
        <x:f>IF(OR($D140="",BJ$5="",'상세일정'!AM140="제외"),"",IF($D140=$E140,IF(AND($D140&gt;=BJ$5,$D140&lt;BJ$5+7),"◆",""),IF(AND($D140&lt;BJ$5+7,$E140&gt;BJ$5),"■","")))</x:f>
      </x:c>
      <x:c r="BK140" s="7" t="str">
        <x:f>IF(OR($D140="",BK$5="",'상세일정'!AM140="제외"),"",IF($D140=$E140,IF(AND($D140&gt;=BK$5,$D140&lt;BK$5+7),"◆",""),IF(AND($D140&lt;BK$5+7,$E140&gt;BK$5),"■","")))</x:f>
      </x:c>
      <x:c r="BL140" s="7" t="str">
        <x:f>IF(OR($D140="",BL$5="",'상세일정'!AM140="제외"),"",IF($D140=$E140,IF(AND($D140&gt;=BL$5,$D140&lt;BL$5+7),"◆",""),IF(AND($D140&lt;BL$5+7,$E140&gt;BL$5),"■","")))</x:f>
      </x:c>
      <x:c r="BM140" s="7" t="str">
        <x:f>IF(OR($D140="",BM$5="",'상세일정'!AM140="제외"),"",IF($D140=$E140,IF(AND($D140&gt;=BM$5,$D140&lt;BM$5+7),"◆",""),IF(AND($D140&lt;BM$5+7,$E140&gt;BM$5),"■","")))</x:f>
      </x:c>
      <x:c r="BN140" s="7" t="str">
        <x:f>IF(OR($D140="",BN$5="",'상세일정'!AM140="제외"),"",IF($D140=$E140,IF(AND($D140&gt;=BN$5,$D140&lt;BN$5+7),"◆",""),IF(AND($D140&lt;BN$5+7,$E140&gt;BN$5),"■","")))</x:f>
      </x:c>
      <x:c r="BO140" s="7" t="str">
        <x:f>IF(OR($D140="",BO$5="",'상세일정'!AM140="제외"),"",IF($D140=$E140,IF(AND($D140&gt;=BO$5,$D140&lt;BO$5+7),"◆",""),IF(AND($D140&lt;BO$5+7,$E140&gt;BO$5),"■","")))</x:f>
      </x:c>
      <x:c r="BP140" s="7" t="str">
        <x:f>IF(OR($D140="",BP$5="",'상세일정'!AM140="제외"),"",IF($D140=$E140,IF(AND($D140&gt;=BP$5,$D140&lt;BP$5+7),"◆",""),IF(AND($D140&lt;BP$5+7,$E140&gt;BP$5),"■","")))</x:f>
      </x:c>
      <x:c r="BQ140" s="7" t="str">
        <x:f>IF(OR($D140="",BQ$5="",'상세일정'!AM140="제외"),"",IF($D140=$E140,IF(AND($D140&gt;=BQ$5,$D140&lt;BQ$5+7),"◆",""),IF(AND($D140&lt;BQ$5+7,$E140&gt;BQ$5),"■","")))</x:f>
      </x:c>
      <x:c r="BR140" s="7" t="str">
        <x:f>IF(OR($D140="",BR$5="",'상세일정'!AM140="제외"),"",IF($D140=$E140,IF(AND($D140&gt;=BR$5,$D140&lt;BR$5+7),"◆",""),IF(AND($D140&lt;BR$5+7,$E140&gt;BR$5),"■","")))</x:f>
      </x:c>
      <x:c r="BS140" s="7" t="str">
        <x:f>IF(OR($D140="",BS$5="",'상세일정'!AM140="제외"),"",IF($D140=$E140,IF(AND($D140&gt;=BS$5,$D140&lt;BS$5+7),"◆",""),IF(AND($D140&lt;BS$5+7,$E140&gt;BS$5),"■","")))</x:f>
      </x:c>
      <x:c r="BT140" s="7" t="str">
        <x:f>IF(OR($D140="",BT$5="",'상세일정'!AM140="제외"),"",IF($D140=$E140,IF(AND($D140&gt;=BT$5,$D140&lt;BT$5+7),"◆",""),IF(AND($D140&lt;BT$5+7,$E140&gt;BT$5),"■","")))</x:f>
      </x:c>
      <x:c r="BU140" s="7" t="str">
        <x:f>IF(OR($D140="",BU$5="",'상세일정'!AM140="제외"),"",IF($D140=$E140,IF(AND($D140&gt;=BU$5,$D140&lt;BU$5+7),"◆",""),IF(AND($D140&lt;BU$5+7,$E140&gt;BU$5),"■","")))</x:f>
      </x:c>
      <x:c r="BV140" s="7" t="str">
        <x:f>IF(OR($D140="",BV$5="",'상세일정'!AM140="제외"),"",IF($D140=$E140,IF(AND($D140&gt;=BV$5,$D140&lt;BV$5+7),"◆",""),IF(AND($D140&lt;BV$5+7,$E140&gt;BV$5),"■","")))</x:f>
      </x:c>
      <x:c r="BW140" s="7" t="str">
        <x:f>IF(OR($D140="",BW$5="",'상세일정'!AM140="제외"),"",IF($D140=$E140,IF(AND($D140&gt;=BW$5,$D140&lt;BW$5+7),"◆",""),IF(AND($D140&lt;BW$5+7,$E140&gt;BW$5),"■","")))</x:f>
      </x:c>
      <x:c r="BX140" s="7" t="str">
        <x:f>IF(OR($D140="",BX$5="",'상세일정'!AM140="제외"),"",IF($D140=$E140,IF(AND($D140&gt;=BX$5,$D140&lt;BX$5+7),"◆",""),IF(AND($D140&lt;BX$5+7,$E140&gt;BX$5),"■","")))</x:f>
      </x:c>
      <x:c r="BY140" s="7" t="str">
        <x:f>IF(OR($D140="",BY$5="",'상세일정'!AM140="제외"),"",IF($D140=$E140,IF(AND($D140&gt;=BY$5,$D140&lt;BY$5+7),"◆",""),IF(AND($D140&lt;BY$5+7,$E140&gt;BY$5),"■","")))</x:f>
      </x:c>
      <x:c r="BZ140" s="7" t="str">
        <x:f>IF(OR($D140="",BZ$5="",'상세일정'!AM140="제외"),"",IF($D140=$E140,IF(AND($D140&gt;=BZ$5,$D140&lt;BZ$5+7),"◆",""),IF(AND($D140&lt;BZ$5+7,$E140&gt;BZ$5),"■","")))</x:f>
      </x:c>
      <x:c r="CA140" s="7" t="str">
        <x:f>IF(OR($D140="",CA$5="",'상세일정'!AM140="제외"),"",IF($D140=$E140,IF(AND($D140&gt;=CA$5,$D140&lt;CA$5+7),"◆",""),IF(AND($D140&lt;CA$5+7,$E140&gt;CA$5),"■","")))</x:f>
      </x:c>
      <x:c r="CB140" s="7" t="str">
        <x:f>IF(OR($D140="",CB$5="",'상세일정'!AM140="제외"),"",IF($D140=$E140,IF(AND($D140&gt;=CB$5,$D140&lt;CB$5+7),"◆",""),IF(AND($D140&lt;CB$5+7,$E140&gt;CB$5),"■","")))</x:f>
      </x:c>
      <x:c r="CC140" s="7" t="str">
        <x:f>IF(OR($D140="",CC$5="",'상세일정'!AM140="제외"),"",IF($D140=$E140,IF(AND($D140&gt;=CC$5,$D140&lt;CC$5+7),"◆",""),IF(AND($D140&lt;CC$5+7,$E140&gt;CC$5),"■","")))</x:f>
      </x:c>
      <x:c r="CD140" s="7" t="str">
        <x:f>IF(OR($D140="",CD$5="",'상세일정'!AM140="제외"),"",IF($D140=$E140,IF(AND($D140&gt;=CD$5,$D140&lt;CD$5+7),"◆",""),IF(AND($D140&lt;CD$5+7,$E140&gt;CD$5),"■","")))</x:f>
      </x:c>
      <x:c r="CE140" s="7" t="str">
        <x:f>IF(OR($D140="",CE$5="",'상세일정'!AM140="제외"),"",IF($D140=$E140,IF(AND($D140&gt;=CE$5,$D140&lt;CE$5+7),"◆",""),IF(AND($D140&lt;CE$5+7,$E140&gt;CE$5),"■","")))</x:f>
      </x:c>
      <x:c r="CF140" s="7" t="str">
        <x:f>IF(OR($D140="",CF$5="",'상세일정'!AM140="제외"),"",IF($D140=$E140,IF(AND($D140&gt;=CF$5,$D140&lt;CF$5+7),"◆",""),IF(AND($D140&lt;CF$5+7,$E140&gt;CF$5),"■","")))</x:f>
      </x:c>
      <x:c r="CG140" s="7" t="str">
        <x:f>IF(OR($D140="",CG$5="",'상세일정'!AM140="제외"),"",IF($D140=$E140,IF(AND($D140&gt;=CG$5,$D140&lt;CG$5+7),"◆",""),IF(AND($D140&lt;CG$5+7,$E140&gt;CG$5),"■","")))</x:f>
      </x:c>
      <x:c r="CH140" s="7" t="str">
        <x:f>IF(OR($D140="",CH$5="",'상세일정'!AM140="제외"),"",IF($D140=$E140,IF(AND($D140&gt;=CH$5,$D140&lt;CH$5+7),"◆",""),IF(AND($D140&lt;CH$5+7,$E140&gt;CH$5),"■","")))</x:f>
      </x:c>
      <x:c r="CI140" s="7" t="str">
        <x:f>IF(OR($D140="",CI$5="",'상세일정'!AM140="제외"),"",IF($D140=$E140,IF(AND($D140&gt;=CI$5,$D140&lt;CI$5+7),"◆",""),IF(AND($D140&lt;CI$5+7,$E140&gt;CI$5),"■","")))</x:f>
      </x:c>
      <x:c r="CJ140" s="7" t="str">
        <x:f>IF(OR($D140="",CJ$5="",'상세일정'!AM140="제외"),"",IF($D140=$E140,IF(AND($D140&gt;=CJ$5,$D140&lt;CJ$5+7),"◆",""),IF(AND($D140&lt;CJ$5+7,$E140&gt;CJ$5),"■","")))</x:f>
      </x:c>
      <x:c r="CK140" s="7" t="str">
        <x:f>IF(OR($D140="",CK$5="",'상세일정'!AM140="제외"),"",IF($D140=$E140,IF(AND($D140&gt;=CK$5,$D140&lt;CK$5+7),"◆",""),IF(AND($D140&lt;CK$5+7,$E140&gt;CK$5),"■","")))</x:f>
      </x:c>
      <x:c r="CL140" s="7" t="str">
        <x:f>IF(OR($D140="",CL$5="",'상세일정'!AM140="제외"),"",IF($D140=$E140,IF(AND($D140&gt;=CL$5,$D140&lt;CL$5+7),"◆",""),IF(AND($D140&lt;CL$5+7,$E140&gt;CL$5),"■","")))</x:f>
      </x:c>
      <x:c r="CM140" s="7" t="str">
        <x:f>IF(OR($D140="",CM$5="",'상세일정'!AM140="제외"),"",IF($D140=$E140,IF(AND($D140&gt;=CM$5,$D140&lt;CM$5+7),"◆",""),IF(AND($D140&lt;CM$5+7,$E140&gt;CM$5),"■","")))</x:f>
      </x:c>
      <x:c r="CN140" s="7" t="str">
        <x:f>IF(OR($D140="",CN$5="",'상세일정'!AM140="제외"),"",IF($D140=$E140,IF(AND($D140&gt;=CN$5,$D140&lt;CN$5+7),"◆",""),IF(AND($D140&lt;CN$5+7,$E140&gt;CN$5),"■","")))</x:f>
      </x:c>
      <x:c r="CO140" s="7" t="str">
        <x:f>IF(OR($D140="",CO$5="",'상세일정'!AM140="제외"),"",IF($D140=$E140,IF(AND($D140&gt;=CO$5,$D140&lt;CO$5+7),"◆",""),IF(AND($D140&lt;CO$5+7,$E140&gt;CO$5),"■","")))</x:f>
      </x:c>
      <x:c r="CP140" s="7" t="str">
        <x:f>IF(OR($D140="",CP$5="",'상세일정'!AM140="제외"),"",IF($D140=$E140,IF(AND($D140&gt;=CP$5,$D140&lt;CP$5+7),"◆",""),IF(AND($D140&lt;CP$5+7,$E140&gt;CP$5),"■","")))</x:f>
      </x:c>
      <x:c r="CQ140" s="7" t="str">
        <x:f>IF(OR($D140="",CQ$5="",'상세일정'!AM140="제외"),"",IF($D140=$E140,IF(AND($D140&gt;=CQ$5,$D140&lt;CQ$5+7),"◆",""),IF(AND($D140&lt;CQ$5+7,$E140&gt;CQ$5),"■","")))</x:f>
      </x:c>
      <x:c r="CR140" s="7" t="str">
        <x:f>IF(OR($D140="",CR$5="",'상세일정'!AM140="제외"),"",IF($D140=$E140,IF(AND($D140&gt;=CR$5,$D140&lt;CR$5+7),"◆",""),IF(AND($D140&lt;CR$5+7,$E140&gt;CR$5),"■","")))</x:f>
      </x:c>
      <x:c r="CS140" s="7" t="str">
        <x:f>IF(OR($D140="",CS$5="",'상세일정'!AM140="제외"),"",IF($D140=$E140,IF(AND($D140&gt;=CS$5,$D140&lt;CS$5+7),"◆",""),IF(AND($D140&lt;CS$5+7,$E140&gt;CS$5),"■","")))</x:f>
      </x:c>
      <x:c r="CT140" s="7" t="str">
        <x:f>IF(OR($D140="",CT$5="",'상세일정'!AM140="제외"),"",IF($D140=$E140,IF(AND($D140&gt;=CT$5,$D140&lt;CT$5+7),"◆",""),IF(AND($D140&lt;CT$5+7,$E140&gt;CT$5),"■","")))</x:f>
      </x:c>
      <x:c r="CU140" s="7" t="str">
        <x:f>IF(OR($D140="",CU$5="",'상세일정'!AM140="제외"),"",IF($D140=$E140,IF(AND($D140&gt;=CU$5,$D140&lt;CU$5+7),"◆",""),IF(AND($D140&lt;CU$5+7,$E140&gt;CU$5),"■","")))</x:f>
      </x:c>
      <x:c r="CV140" s="7" t="str">
        <x:f>IF(OR($D140="",CV$5="",'상세일정'!AM140="제외"),"",IF($D140=$E140,IF(AND($D140&gt;=CV$5,$D140&lt;CV$5+7),"◆",""),IF(AND($D140&lt;CV$5+7,$E140&gt;CV$5),"■","")))</x:f>
      </x:c>
      <x:c r="CW140" s="7" t="str">
        <x:f>IF(OR($D140="",CW$5="",'상세일정'!AM140="제외"),"",IF($D140=$E140,IF(AND($D140&gt;=CW$5,$D140&lt;CW$5+7),"◆",""),IF(AND($D140&lt;CW$5+7,$E140&gt;CW$5),"■","")))</x:f>
      </x:c>
      <x:c r="CX140" s="7" t="str">
        <x:f>IF(OR($D140="",CX$5="",'상세일정'!AM140="제외"),"",IF($D140=$E140,IF(AND($D140&gt;=CX$5,$D140&lt;CX$5+7),"◆",""),IF(AND($D140&lt;CX$5+7,$E140&gt;CX$5),"■","")))</x:f>
      </x:c>
      <x:c r="CY140" s="7" t="str">
        <x:f>IF(OR($D140="",CY$5="",'상세일정'!AM140="제외"),"",IF($D140=$E140,IF(AND($D140&gt;=CY$5,$D140&lt;CY$5+7),"◆",""),IF(AND($D140&lt;CY$5+7,$E140&gt;CY$5),"■","")))</x:f>
      </x:c>
      <x:c r="CZ140" s="7" t="str">
        <x:f>IF(OR($D140="",CZ$5="",'상세일정'!AM140="제외"),"",IF($D140=$E140,IF(AND($D140&gt;=CZ$5,$D140&lt;CZ$5+7),"◆",""),IF(AND($D140&lt;CZ$5+7,$E140&gt;CZ$5),"■","")))</x:f>
      </x:c>
      <x:c r="DA140" s="7" t="str">
        <x:f>IF(OR($D140="",DA$5="",'상세일정'!AM140="제외"),"",IF($D140=$E140,IF(AND($D140&gt;=DA$5,$D140&lt;DA$5+7),"◆",""),IF(AND($D140&lt;DA$5+7,$E140&gt;DA$5),"■","")))</x:f>
      </x:c>
      <x:c r="DB140" s="7" t="str">
        <x:f>IF(OR($D140="",DB$5="",'상세일정'!AM140="제외"),"",IF($D140=$E140,IF(AND($D140&gt;=DB$5,$D140&lt;DB$5+7),"◆",""),IF(AND($D140&lt;DB$5+7,$E140&gt;DB$5),"■","")))</x:f>
      </x:c>
      <x:c r="DC140" s="7" t="str">
        <x:f>IF(OR($D140="",DC$5="",'상세일정'!AM140="제외"),"",IF($D140=$E140,IF(AND($D140&gt;=DC$5,$D140&lt;DC$5+7),"◆",""),IF(AND($D140&lt;DC$5+7,$E140&gt;DC$5),"■","")))</x:f>
      </x:c>
      <x:c r="DD140" s="7" t="str">
        <x:f>IF(OR($D140="",DD$5="",'상세일정'!AM140="제외"),"",IF($D140=$E140,IF(AND($D140&gt;=DD$5,$D140&lt;DD$5+7),"◆",""),IF(AND($D140&lt;DD$5+7,$E140&gt;DD$5),"■","")))</x:f>
      </x:c>
      <x:c r="DE140" s="7" t="str">
        <x:f>IF(OR($D140="",DE$5="",'상세일정'!AM140="제외"),"",IF($D140=$E140,IF(AND($D140&gt;=DE$5,$D140&lt;DE$5+7),"◆",""),IF(AND($D140&lt;DE$5+7,$E140&gt;DE$5),"■","")))</x:f>
      </x:c>
    </x:row>
    <x:row r="141" ht="34" customHeight="1">
      <x:c r="A141" s="7" t="str">
        <x:v>AN06</x:v>
      </x:c>
      <x:c r="B141" s="7" t="str">
        <x:v>16 기자재 구매·제작</x:v>
      </x:c>
      <x:c r="C141" s="7" t="str">
        <x:v>제품분석기·Sampling system FAT 입회·지적사항 조치</x:v>
      </x:c>
      <x:c r="D141" s="10" t="str">
        <x:f>'상세일정'!AJ141</x:f>
      </x:c>
      <x:c r="E141" s="10" t="str">
        <x:f>'상세일정'!AK141</x:f>
      </x:c>
      <x:c r="F141" s="7" t="str">
        <x:f>IF(OR($D141="",F$5="",'상세일정'!AM141="제외"),"",IF($D141=$E141,IF(AND($D141&gt;=F$5,$D141&lt;F$5+7),"◆",""),IF(AND($D141&lt;F$5+7,$E141&gt;F$5),"■","")))</x:f>
      </x:c>
      <x:c r="G141" s="7" t="str">
        <x:f>IF(OR($D141="",G$5="",'상세일정'!AM141="제외"),"",IF($D141=$E141,IF(AND($D141&gt;=G$5,$D141&lt;G$5+7),"◆",""),IF(AND($D141&lt;G$5+7,$E141&gt;G$5),"■","")))</x:f>
      </x:c>
      <x:c r="H141" s="7" t="str">
        <x:f>IF(OR($D141="",H$5="",'상세일정'!AM141="제외"),"",IF($D141=$E141,IF(AND($D141&gt;=H$5,$D141&lt;H$5+7),"◆",""),IF(AND($D141&lt;H$5+7,$E141&gt;H$5),"■","")))</x:f>
      </x:c>
      <x:c r="I141" s="7" t="str">
        <x:f>IF(OR($D141="",I$5="",'상세일정'!AM141="제외"),"",IF($D141=$E141,IF(AND($D141&gt;=I$5,$D141&lt;I$5+7),"◆",""),IF(AND($D141&lt;I$5+7,$E141&gt;I$5),"■","")))</x:f>
      </x:c>
      <x:c r="J141" s="7" t="str">
        <x:f>IF(OR($D141="",J$5="",'상세일정'!AM141="제외"),"",IF($D141=$E141,IF(AND($D141&gt;=J$5,$D141&lt;J$5+7),"◆",""),IF(AND($D141&lt;J$5+7,$E141&gt;J$5),"■","")))</x:f>
      </x:c>
      <x:c r="K141" s="7" t="str">
        <x:f>IF(OR($D141="",K$5="",'상세일정'!AM141="제외"),"",IF($D141=$E141,IF(AND($D141&gt;=K$5,$D141&lt;K$5+7),"◆",""),IF(AND($D141&lt;K$5+7,$E141&gt;K$5),"■","")))</x:f>
      </x:c>
      <x:c r="L141" s="7" t="str">
        <x:f>IF(OR($D141="",L$5="",'상세일정'!AM141="제외"),"",IF($D141=$E141,IF(AND($D141&gt;=L$5,$D141&lt;L$5+7),"◆",""),IF(AND($D141&lt;L$5+7,$E141&gt;L$5),"■","")))</x:f>
      </x:c>
      <x:c r="M141" s="7" t="str">
        <x:f>IF(OR($D141="",M$5="",'상세일정'!AM141="제외"),"",IF($D141=$E141,IF(AND($D141&gt;=M$5,$D141&lt;M$5+7),"◆",""),IF(AND($D141&lt;M$5+7,$E141&gt;M$5),"■","")))</x:f>
      </x:c>
      <x:c r="N141" s="7" t="str">
        <x:f>IF(OR($D141="",N$5="",'상세일정'!AM141="제외"),"",IF($D141=$E141,IF(AND($D141&gt;=N$5,$D141&lt;N$5+7),"◆",""),IF(AND($D141&lt;N$5+7,$E141&gt;N$5),"■","")))</x:f>
      </x:c>
      <x:c r="O141" s="7" t="str">
        <x:f>IF(OR($D141="",O$5="",'상세일정'!AM141="제외"),"",IF($D141=$E141,IF(AND($D141&gt;=O$5,$D141&lt;O$5+7),"◆",""),IF(AND($D141&lt;O$5+7,$E141&gt;O$5),"■","")))</x:f>
      </x:c>
      <x:c r="P141" s="7" t="str">
        <x:f>IF(OR($D141="",P$5="",'상세일정'!AM141="제외"),"",IF($D141=$E141,IF(AND($D141&gt;=P$5,$D141&lt;P$5+7),"◆",""),IF(AND($D141&lt;P$5+7,$E141&gt;P$5),"■","")))</x:f>
      </x:c>
      <x:c r="Q141" s="7" t="str">
        <x:f>IF(OR($D141="",Q$5="",'상세일정'!AM141="제외"),"",IF($D141=$E141,IF(AND($D141&gt;=Q$5,$D141&lt;Q$5+7),"◆",""),IF(AND($D141&lt;Q$5+7,$E141&gt;Q$5),"■","")))</x:f>
      </x:c>
      <x:c r="R141" s="7" t="str">
        <x:f>IF(OR($D141="",R$5="",'상세일정'!AM141="제외"),"",IF($D141=$E141,IF(AND($D141&gt;=R$5,$D141&lt;R$5+7),"◆",""),IF(AND($D141&lt;R$5+7,$E141&gt;R$5),"■","")))</x:f>
      </x:c>
      <x:c r="S141" s="7" t="str">
        <x:f>IF(OR($D141="",S$5="",'상세일정'!AM141="제외"),"",IF($D141=$E141,IF(AND($D141&gt;=S$5,$D141&lt;S$5+7),"◆",""),IF(AND($D141&lt;S$5+7,$E141&gt;S$5),"■","")))</x:f>
      </x:c>
      <x:c r="T141" s="7" t="str">
        <x:f>IF(OR($D141="",T$5="",'상세일정'!AM141="제외"),"",IF($D141=$E141,IF(AND($D141&gt;=T$5,$D141&lt;T$5+7),"◆",""),IF(AND($D141&lt;T$5+7,$E141&gt;T$5),"■","")))</x:f>
      </x:c>
      <x:c r="U141" s="7" t="str">
        <x:f>IF(OR($D141="",U$5="",'상세일정'!AM141="제외"),"",IF($D141=$E141,IF(AND($D141&gt;=U$5,$D141&lt;U$5+7),"◆",""),IF(AND($D141&lt;U$5+7,$E141&gt;U$5),"■","")))</x:f>
      </x:c>
      <x:c r="V141" s="7" t="str">
        <x:f>IF(OR($D141="",V$5="",'상세일정'!AM141="제외"),"",IF($D141=$E141,IF(AND($D141&gt;=V$5,$D141&lt;V$5+7),"◆",""),IF(AND($D141&lt;V$5+7,$E141&gt;V$5),"■","")))</x:f>
      </x:c>
      <x:c r="W141" s="7" t="str">
        <x:f>IF(OR($D141="",W$5="",'상세일정'!AM141="제외"),"",IF($D141=$E141,IF(AND($D141&gt;=W$5,$D141&lt;W$5+7),"◆",""),IF(AND($D141&lt;W$5+7,$E141&gt;W$5),"■","")))</x:f>
      </x:c>
      <x:c r="X141" s="7" t="str">
        <x:f>IF(OR($D141="",X$5="",'상세일정'!AM141="제외"),"",IF($D141=$E141,IF(AND($D141&gt;=X$5,$D141&lt;X$5+7),"◆",""),IF(AND($D141&lt;X$5+7,$E141&gt;X$5),"■","")))</x:f>
      </x:c>
      <x:c r="Y141" s="7" t="str">
        <x:f>IF(OR($D141="",Y$5="",'상세일정'!AM141="제외"),"",IF($D141=$E141,IF(AND($D141&gt;=Y$5,$D141&lt;Y$5+7),"◆",""),IF(AND($D141&lt;Y$5+7,$E141&gt;Y$5),"■","")))</x:f>
      </x:c>
      <x:c r="Z141" s="7" t="str">
        <x:f>IF(OR($D141="",Z$5="",'상세일정'!AM141="제외"),"",IF($D141=$E141,IF(AND($D141&gt;=Z$5,$D141&lt;Z$5+7),"◆",""),IF(AND($D141&lt;Z$5+7,$E141&gt;Z$5),"■","")))</x:f>
      </x:c>
      <x:c r="AA141" s="7" t="str">
        <x:f>IF(OR($D141="",AA$5="",'상세일정'!AM141="제외"),"",IF($D141=$E141,IF(AND($D141&gt;=AA$5,$D141&lt;AA$5+7),"◆",""),IF(AND($D141&lt;AA$5+7,$E141&gt;AA$5),"■","")))</x:f>
      </x:c>
      <x:c r="AB141" s="7" t="str">
        <x:f>IF(OR($D141="",AB$5="",'상세일정'!AM141="제외"),"",IF($D141=$E141,IF(AND($D141&gt;=AB$5,$D141&lt;AB$5+7),"◆",""),IF(AND($D141&lt;AB$5+7,$E141&gt;AB$5),"■","")))</x:f>
      </x:c>
      <x:c r="AC141" s="7" t="str">
        <x:f>IF(OR($D141="",AC$5="",'상세일정'!AM141="제외"),"",IF($D141=$E141,IF(AND($D141&gt;=AC$5,$D141&lt;AC$5+7),"◆",""),IF(AND($D141&lt;AC$5+7,$E141&gt;AC$5),"■","")))</x:f>
      </x:c>
      <x:c r="AD141" s="7" t="str">
        <x:f>IF(OR($D141="",AD$5="",'상세일정'!AM141="제외"),"",IF($D141=$E141,IF(AND($D141&gt;=AD$5,$D141&lt;AD$5+7),"◆",""),IF(AND($D141&lt;AD$5+7,$E141&gt;AD$5),"■","")))</x:f>
      </x:c>
      <x:c r="AE141" s="7" t="str">
        <x:f>IF(OR($D141="",AE$5="",'상세일정'!AM141="제외"),"",IF($D141=$E141,IF(AND($D141&gt;=AE$5,$D141&lt;AE$5+7),"◆",""),IF(AND($D141&lt;AE$5+7,$E141&gt;AE$5),"■","")))</x:f>
      </x:c>
      <x:c r="AF141" s="7" t="str">
        <x:f>IF(OR($D141="",AF$5="",'상세일정'!AM141="제외"),"",IF($D141=$E141,IF(AND($D141&gt;=AF$5,$D141&lt;AF$5+7),"◆",""),IF(AND($D141&lt;AF$5+7,$E141&gt;AF$5),"■","")))</x:f>
      </x:c>
      <x:c r="AG141" s="7" t="str">
        <x:f>IF(OR($D141="",AG$5="",'상세일정'!AM141="제외"),"",IF($D141=$E141,IF(AND($D141&gt;=AG$5,$D141&lt;AG$5+7),"◆",""),IF(AND($D141&lt;AG$5+7,$E141&gt;AG$5),"■","")))</x:f>
      </x:c>
      <x:c r="AH141" s="7" t="str">
        <x:f>IF(OR($D141="",AH$5="",'상세일정'!AM141="제외"),"",IF($D141=$E141,IF(AND($D141&gt;=AH$5,$D141&lt;AH$5+7),"◆",""),IF(AND($D141&lt;AH$5+7,$E141&gt;AH$5),"■","")))</x:f>
      </x:c>
      <x:c r="AI141" s="7" t="str">
        <x:f>IF(OR($D141="",AI$5="",'상세일정'!AM141="제외"),"",IF($D141=$E141,IF(AND($D141&gt;=AI$5,$D141&lt;AI$5+7),"◆",""),IF(AND($D141&lt;AI$5+7,$E141&gt;AI$5),"■","")))</x:f>
      </x:c>
      <x:c r="AJ141" s="7" t="str">
        <x:f>IF(OR($D141="",AJ$5="",'상세일정'!AM141="제외"),"",IF($D141=$E141,IF(AND($D141&gt;=AJ$5,$D141&lt;AJ$5+7),"◆",""),IF(AND($D141&lt;AJ$5+7,$E141&gt;AJ$5),"■","")))</x:f>
      </x:c>
      <x:c r="AK141" s="7" t="str">
        <x:f>IF(OR($D141="",AK$5="",'상세일정'!AM141="제외"),"",IF($D141=$E141,IF(AND($D141&gt;=AK$5,$D141&lt;AK$5+7),"◆",""),IF(AND($D141&lt;AK$5+7,$E141&gt;AK$5),"■","")))</x:f>
      </x:c>
      <x:c r="AL141" s="7" t="str">
        <x:f>IF(OR($D141="",AL$5="",'상세일정'!AM141="제외"),"",IF($D141=$E141,IF(AND($D141&gt;=AL$5,$D141&lt;AL$5+7),"◆",""),IF(AND($D141&lt;AL$5+7,$E141&gt;AL$5),"■","")))</x:f>
      </x:c>
      <x:c r="AM141" s="7" t="str">
        <x:f>IF(OR($D141="",AM$5="",'상세일정'!AM141="제외"),"",IF($D141=$E141,IF(AND($D141&gt;=AM$5,$D141&lt;AM$5+7),"◆",""),IF(AND($D141&lt;AM$5+7,$E141&gt;AM$5),"■","")))</x:f>
      </x:c>
      <x:c r="AN141" s="7" t="str">
        <x:f>IF(OR($D141="",AN$5="",'상세일정'!AM141="제외"),"",IF($D141=$E141,IF(AND($D141&gt;=AN$5,$D141&lt;AN$5+7),"◆",""),IF(AND($D141&lt;AN$5+7,$E141&gt;AN$5),"■","")))</x:f>
      </x:c>
      <x:c r="AO141" s="7" t="str">
        <x:f>IF(OR($D141="",AO$5="",'상세일정'!AM141="제외"),"",IF($D141=$E141,IF(AND($D141&gt;=AO$5,$D141&lt;AO$5+7),"◆",""),IF(AND($D141&lt;AO$5+7,$E141&gt;AO$5),"■","")))</x:f>
      </x:c>
      <x:c r="AP141" s="7" t="str">
        <x:f>IF(OR($D141="",AP$5="",'상세일정'!AM141="제외"),"",IF($D141=$E141,IF(AND($D141&gt;=AP$5,$D141&lt;AP$5+7),"◆",""),IF(AND($D141&lt;AP$5+7,$E141&gt;AP$5),"■","")))</x:f>
      </x:c>
      <x:c r="AQ141" s="7" t="str">
        <x:f>IF(OR($D141="",AQ$5="",'상세일정'!AM141="제외"),"",IF($D141=$E141,IF(AND($D141&gt;=AQ$5,$D141&lt;AQ$5+7),"◆",""),IF(AND($D141&lt;AQ$5+7,$E141&gt;AQ$5),"■","")))</x:f>
      </x:c>
      <x:c r="AR141" s="7" t="str">
        <x:f>IF(OR($D141="",AR$5="",'상세일정'!AM141="제외"),"",IF($D141=$E141,IF(AND($D141&gt;=AR$5,$D141&lt;AR$5+7),"◆",""),IF(AND($D141&lt;AR$5+7,$E141&gt;AR$5),"■","")))</x:f>
      </x:c>
      <x:c r="AS141" s="7" t="str">
        <x:f>IF(OR($D141="",AS$5="",'상세일정'!AM141="제외"),"",IF($D141=$E141,IF(AND($D141&gt;=AS$5,$D141&lt;AS$5+7),"◆",""),IF(AND($D141&lt;AS$5+7,$E141&gt;AS$5),"■","")))</x:f>
      </x:c>
      <x:c r="AT141" s="7" t="str">
        <x:f>IF(OR($D141="",AT$5="",'상세일정'!AM141="제외"),"",IF($D141=$E141,IF(AND($D141&gt;=AT$5,$D141&lt;AT$5+7),"◆",""),IF(AND($D141&lt;AT$5+7,$E141&gt;AT$5),"■","")))</x:f>
      </x:c>
      <x:c r="AU141" s="7" t="str">
        <x:f>IF(OR($D141="",AU$5="",'상세일정'!AM141="제외"),"",IF($D141=$E141,IF(AND($D141&gt;=AU$5,$D141&lt;AU$5+7),"◆",""),IF(AND($D141&lt;AU$5+7,$E141&gt;AU$5),"■","")))</x:f>
      </x:c>
      <x:c r="AV141" s="7" t="str">
        <x:f>IF(OR($D141="",AV$5="",'상세일정'!AM141="제외"),"",IF($D141=$E141,IF(AND($D141&gt;=AV$5,$D141&lt;AV$5+7),"◆",""),IF(AND($D141&lt;AV$5+7,$E141&gt;AV$5),"■","")))</x:f>
      </x:c>
      <x:c r="AW141" s="7" t="str">
        <x:f>IF(OR($D141="",AW$5="",'상세일정'!AM141="제외"),"",IF($D141=$E141,IF(AND($D141&gt;=AW$5,$D141&lt;AW$5+7),"◆",""),IF(AND($D141&lt;AW$5+7,$E141&gt;AW$5),"■","")))</x:f>
      </x:c>
      <x:c r="AX141" s="7" t="str">
        <x:f>IF(OR($D141="",AX$5="",'상세일정'!AM141="제외"),"",IF($D141=$E141,IF(AND($D141&gt;=AX$5,$D141&lt;AX$5+7),"◆",""),IF(AND($D141&lt;AX$5+7,$E141&gt;AX$5),"■","")))</x:f>
      </x:c>
      <x:c r="AY141" s="7" t="str">
        <x:f>IF(OR($D141="",AY$5="",'상세일정'!AM141="제외"),"",IF($D141=$E141,IF(AND($D141&gt;=AY$5,$D141&lt;AY$5+7),"◆",""),IF(AND($D141&lt;AY$5+7,$E141&gt;AY$5),"■","")))</x:f>
      </x:c>
      <x:c r="AZ141" s="7" t="str">
        <x:f>IF(OR($D141="",AZ$5="",'상세일정'!AM141="제외"),"",IF($D141=$E141,IF(AND($D141&gt;=AZ$5,$D141&lt;AZ$5+7),"◆",""),IF(AND($D141&lt;AZ$5+7,$E141&gt;AZ$5),"■","")))</x:f>
      </x:c>
      <x:c r="BA141" s="7" t="str">
        <x:f>IF(OR($D141="",BA$5="",'상세일정'!AM141="제외"),"",IF($D141=$E141,IF(AND($D141&gt;=BA$5,$D141&lt;BA$5+7),"◆",""),IF(AND($D141&lt;BA$5+7,$E141&gt;BA$5),"■","")))</x:f>
      </x:c>
      <x:c r="BB141" s="7" t="str">
        <x:f>IF(OR($D141="",BB$5="",'상세일정'!AM141="제외"),"",IF($D141=$E141,IF(AND($D141&gt;=BB$5,$D141&lt;BB$5+7),"◆",""),IF(AND($D141&lt;BB$5+7,$E141&gt;BB$5),"■","")))</x:f>
      </x:c>
      <x:c r="BC141" s="7" t="str">
        <x:f>IF(OR($D141="",BC$5="",'상세일정'!AM141="제외"),"",IF($D141=$E141,IF(AND($D141&gt;=BC$5,$D141&lt;BC$5+7),"◆",""),IF(AND($D141&lt;BC$5+7,$E141&gt;BC$5),"■","")))</x:f>
      </x:c>
      <x:c r="BD141" s="7" t="str">
        <x:f>IF(OR($D141="",BD$5="",'상세일정'!AM141="제외"),"",IF($D141=$E141,IF(AND($D141&gt;=BD$5,$D141&lt;BD$5+7),"◆",""),IF(AND($D141&lt;BD$5+7,$E141&gt;BD$5),"■","")))</x:f>
      </x:c>
      <x:c r="BE141" s="7" t="str">
        <x:f>IF(OR($D141="",BE$5="",'상세일정'!AM141="제외"),"",IF($D141=$E141,IF(AND($D141&gt;=BE$5,$D141&lt;BE$5+7),"◆",""),IF(AND($D141&lt;BE$5+7,$E141&gt;BE$5),"■","")))</x:f>
      </x:c>
      <x:c r="BF141" s="7" t="str">
        <x:f>IF(OR($D141="",BF$5="",'상세일정'!AM141="제외"),"",IF($D141=$E141,IF(AND($D141&gt;=BF$5,$D141&lt;BF$5+7),"◆",""),IF(AND($D141&lt;BF$5+7,$E141&gt;BF$5),"■","")))</x:f>
      </x:c>
      <x:c r="BG141" s="7" t="str">
        <x:f>IF(OR($D141="",BG$5="",'상세일정'!AM141="제외"),"",IF($D141=$E141,IF(AND($D141&gt;=BG$5,$D141&lt;BG$5+7),"◆",""),IF(AND($D141&lt;BG$5+7,$E141&gt;BG$5),"■","")))</x:f>
      </x:c>
      <x:c r="BH141" s="7" t="str">
        <x:f>IF(OR($D141="",BH$5="",'상세일정'!AM141="제외"),"",IF($D141=$E141,IF(AND($D141&gt;=BH$5,$D141&lt;BH$5+7),"◆",""),IF(AND($D141&lt;BH$5+7,$E141&gt;BH$5),"■","")))</x:f>
      </x:c>
      <x:c r="BI141" s="7" t="str">
        <x:f>IF(OR($D141="",BI$5="",'상세일정'!AM141="제외"),"",IF($D141=$E141,IF(AND($D141&gt;=BI$5,$D141&lt;BI$5+7),"◆",""),IF(AND($D141&lt;BI$5+7,$E141&gt;BI$5),"■","")))</x:f>
      </x:c>
      <x:c r="BJ141" s="7" t="str">
        <x:f>IF(OR($D141="",BJ$5="",'상세일정'!AM141="제외"),"",IF($D141=$E141,IF(AND($D141&gt;=BJ$5,$D141&lt;BJ$5+7),"◆",""),IF(AND($D141&lt;BJ$5+7,$E141&gt;BJ$5),"■","")))</x:f>
      </x:c>
      <x:c r="BK141" s="7" t="str">
        <x:f>IF(OR($D141="",BK$5="",'상세일정'!AM141="제외"),"",IF($D141=$E141,IF(AND($D141&gt;=BK$5,$D141&lt;BK$5+7),"◆",""),IF(AND($D141&lt;BK$5+7,$E141&gt;BK$5),"■","")))</x:f>
      </x:c>
      <x:c r="BL141" s="7" t="str">
        <x:f>IF(OR($D141="",BL$5="",'상세일정'!AM141="제외"),"",IF($D141=$E141,IF(AND($D141&gt;=BL$5,$D141&lt;BL$5+7),"◆",""),IF(AND($D141&lt;BL$5+7,$E141&gt;BL$5),"■","")))</x:f>
      </x:c>
      <x:c r="BM141" s="7" t="str">
        <x:f>IF(OR($D141="",BM$5="",'상세일정'!AM141="제외"),"",IF($D141=$E141,IF(AND($D141&gt;=BM$5,$D141&lt;BM$5+7),"◆",""),IF(AND($D141&lt;BM$5+7,$E141&gt;BM$5),"■","")))</x:f>
      </x:c>
      <x:c r="BN141" s="7" t="str">
        <x:f>IF(OR($D141="",BN$5="",'상세일정'!AM141="제외"),"",IF($D141=$E141,IF(AND($D141&gt;=BN$5,$D141&lt;BN$5+7),"◆",""),IF(AND($D141&lt;BN$5+7,$E141&gt;BN$5),"■","")))</x:f>
      </x:c>
      <x:c r="BO141" s="7" t="str">
        <x:f>IF(OR($D141="",BO$5="",'상세일정'!AM141="제외"),"",IF($D141=$E141,IF(AND($D141&gt;=BO$5,$D141&lt;BO$5+7),"◆",""),IF(AND($D141&lt;BO$5+7,$E141&gt;BO$5),"■","")))</x:f>
      </x:c>
      <x:c r="BP141" s="7" t="str">
        <x:f>IF(OR($D141="",BP$5="",'상세일정'!AM141="제외"),"",IF($D141=$E141,IF(AND($D141&gt;=BP$5,$D141&lt;BP$5+7),"◆",""),IF(AND($D141&lt;BP$5+7,$E141&gt;BP$5),"■","")))</x:f>
      </x:c>
      <x:c r="BQ141" s="7" t="str">
        <x:f>IF(OR($D141="",BQ$5="",'상세일정'!AM141="제외"),"",IF($D141=$E141,IF(AND($D141&gt;=BQ$5,$D141&lt;BQ$5+7),"◆",""),IF(AND($D141&lt;BQ$5+7,$E141&gt;BQ$5),"■","")))</x:f>
      </x:c>
      <x:c r="BR141" s="7" t="str">
        <x:f>IF(OR($D141="",BR$5="",'상세일정'!AM141="제외"),"",IF($D141=$E141,IF(AND($D141&gt;=BR$5,$D141&lt;BR$5+7),"◆",""),IF(AND($D141&lt;BR$5+7,$E141&gt;BR$5),"■","")))</x:f>
      </x:c>
      <x:c r="BS141" s="7" t="str">
        <x:f>IF(OR($D141="",BS$5="",'상세일정'!AM141="제외"),"",IF($D141=$E141,IF(AND($D141&gt;=BS$5,$D141&lt;BS$5+7),"◆",""),IF(AND($D141&lt;BS$5+7,$E141&gt;BS$5),"■","")))</x:f>
      </x:c>
      <x:c r="BT141" s="7" t="str">
        <x:f>IF(OR($D141="",BT$5="",'상세일정'!AM141="제외"),"",IF($D141=$E141,IF(AND($D141&gt;=BT$5,$D141&lt;BT$5+7),"◆",""),IF(AND($D141&lt;BT$5+7,$E141&gt;BT$5),"■","")))</x:f>
      </x:c>
      <x:c r="BU141" s="7" t="str">
        <x:f>IF(OR($D141="",BU$5="",'상세일정'!AM141="제외"),"",IF($D141=$E141,IF(AND($D141&gt;=BU$5,$D141&lt;BU$5+7),"◆",""),IF(AND($D141&lt;BU$5+7,$E141&gt;BU$5),"■","")))</x:f>
      </x:c>
      <x:c r="BV141" s="7" t="str">
        <x:f>IF(OR($D141="",BV$5="",'상세일정'!AM141="제외"),"",IF($D141=$E141,IF(AND($D141&gt;=BV$5,$D141&lt;BV$5+7),"◆",""),IF(AND($D141&lt;BV$5+7,$E141&gt;BV$5),"■","")))</x:f>
      </x:c>
      <x:c r="BW141" s="7" t="str">
        <x:f>IF(OR($D141="",BW$5="",'상세일정'!AM141="제외"),"",IF($D141=$E141,IF(AND($D141&gt;=BW$5,$D141&lt;BW$5+7),"◆",""),IF(AND($D141&lt;BW$5+7,$E141&gt;BW$5),"■","")))</x:f>
      </x:c>
      <x:c r="BX141" s="7" t="str">
        <x:f>IF(OR($D141="",BX$5="",'상세일정'!AM141="제외"),"",IF($D141=$E141,IF(AND($D141&gt;=BX$5,$D141&lt;BX$5+7),"◆",""),IF(AND($D141&lt;BX$5+7,$E141&gt;BX$5),"■","")))</x:f>
      </x:c>
      <x:c r="BY141" s="7" t="str">
        <x:f>IF(OR($D141="",BY$5="",'상세일정'!AM141="제외"),"",IF($D141=$E141,IF(AND($D141&gt;=BY$5,$D141&lt;BY$5+7),"◆",""),IF(AND($D141&lt;BY$5+7,$E141&gt;BY$5),"■","")))</x:f>
      </x:c>
      <x:c r="BZ141" s="7" t="str">
        <x:f>IF(OR($D141="",BZ$5="",'상세일정'!AM141="제외"),"",IF($D141=$E141,IF(AND($D141&gt;=BZ$5,$D141&lt;BZ$5+7),"◆",""),IF(AND($D141&lt;BZ$5+7,$E141&gt;BZ$5),"■","")))</x:f>
      </x:c>
      <x:c r="CA141" s="7" t="str">
        <x:f>IF(OR($D141="",CA$5="",'상세일정'!AM141="제외"),"",IF($D141=$E141,IF(AND($D141&gt;=CA$5,$D141&lt;CA$5+7),"◆",""),IF(AND($D141&lt;CA$5+7,$E141&gt;CA$5),"■","")))</x:f>
      </x:c>
      <x:c r="CB141" s="7" t="str">
        <x:f>IF(OR($D141="",CB$5="",'상세일정'!AM141="제외"),"",IF($D141=$E141,IF(AND($D141&gt;=CB$5,$D141&lt;CB$5+7),"◆",""),IF(AND($D141&lt;CB$5+7,$E141&gt;CB$5),"■","")))</x:f>
      </x:c>
      <x:c r="CC141" s="7" t="str">
        <x:f>IF(OR($D141="",CC$5="",'상세일정'!AM141="제외"),"",IF($D141=$E141,IF(AND($D141&gt;=CC$5,$D141&lt;CC$5+7),"◆",""),IF(AND($D141&lt;CC$5+7,$E141&gt;CC$5),"■","")))</x:f>
      </x:c>
      <x:c r="CD141" s="7" t="str">
        <x:f>IF(OR($D141="",CD$5="",'상세일정'!AM141="제외"),"",IF($D141=$E141,IF(AND($D141&gt;=CD$5,$D141&lt;CD$5+7),"◆",""),IF(AND($D141&lt;CD$5+7,$E141&gt;CD$5),"■","")))</x:f>
      </x:c>
      <x:c r="CE141" s="7" t="str">
        <x:f>IF(OR($D141="",CE$5="",'상세일정'!AM141="제외"),"",IF($D141=$E141,IF(AND($D141&gt;=CE$5,$D141&lt;CE$5+7),"◆",""),IF(AND($D141&lt;CE$5+7,$E141&gt;CE$5),"■","")))</x:f>
      </x:c>
      <x:c r="CF141" s="7" t="str">
        <x:f>IF(OR($D141="",CF$5="",'상세일정'!AM141="제외"),"",IF($D141=$E141,IF(AND($D141&gt;=CF$5,$D141&lt;CF$5+7),"◆",""),IF(AND($D141&lt;CF$5+7,$E141&gt;CF$5),"■","")))</x:f>
      </x:c>
      <x:c r="CG141" s="7" t="str">
        <x:f>IF(OR($D141="",CG$5="",'상세일정'!AM141="제외"),"",IF($D141=$E141,IF(AND($D141&gt;=CG$5,$D141&lt;CG$5+7),"◆",""),IF(AND($D141&lt;CG$5+7,$E141&gt;CG$5),"■","")))</x:f>
      </x:c>
      <x:c r="CH141" s="7" t="str">
        <x:f>IF(OR($D141="",CH$5="",'상세일정'!AM141="제외"),"",IF($D141=$E141,IF(AND($D141&gt;=CH$5,$D141&lt;CH$5+7),"◆",""),IF(AND($D141&lt;CH$5+7,$E141&gt;CH$5),"■","")))</x:f>
      </x:c>
      <x:c r="CI141" s="7" t="str">
        <x:f>IF(OR($D141="",CI$5="",'상세일정'!AM141="제외"),"",IF($D141=$E141,IF(AND($D141&gt;=CI$5,$D141&lt;CI$5+7),"◆",""),IF(AND($D141&lt;CI$5+7,$E141&gt;CI$5),"■","")))</x:f>
      </x:c>
      <x:c r="CJ141" s="7" t="str">
        <x:f>IF(OR($D141="",CJ$5="",'상세일정'!AM141="제외"),"",IF($D141=$E141,IF(AND($D141&gt;=CJ$5,$D141&lt;CJ$5+7),"◆",""),IF(AND($D141&lt;CJ$5+7,$E141&gt;CJ$5),"■","")))</x:f>
      </x:c>
      <x:c r="CK141" s="7" t="str">
        <x:f>IF(OR($D141="",CK$5="",'상세일정'!AM141="제외"),"",IF($D141=$E141,IF(AND($D141&gt;=CK$5,$D141&lt;CK$5+7),"◆",""),IF(AND($D141&lt;CK$5+7,$E141&gt;CK$5),"■","")))</x:f>
      </x:c>
      <x:c r="CL141" s="7" t="str">
        <x:f>IF(OR($D141="",CL$5="",'상세일정'!AM141="제외"),"",IF($D141=$E141,IF(AND($D141&gt;=CL$5,$D141&lt;CL$5+7),"◆",""),IF(AND($D141&lt;CL$5+7,$E141&gt;CL$5),"■","")))</x:f>
      </x:c>
      <x:c r="CM141" s="7" t="str">
        <x:f>IF(OR($D141="",CM$5="",'상세일정'!AM141="제외"),"",IF($D141=$E141,IF(AND($D141&gt;=CM$5,$D141&lt;CM$5+7),"◆",""),IF(AND($D141&lt;CM$5+7,$E141&gt;CM$5),"■","")))</x:f>
      </x:c>
      <x:c r="CN141" s="7" t="str">
        <x:f>IF(OR($D141="",CN$5="",'상세일정'!AM141="제외"),"",IF($D141=$E141,IF(AND($D141&gt;=CN$5,$D141&lt;CN$5+7),"◆",""),IF(AND($D141&lt;CN$5+7,$E141&gt;CN$5),"■","")))</x:f>
      </x:c>
      <x:c r="CO141" s="7" t="str">
        <x:f>IF(OR($D141="",CO$5="",'상세일정'!AM141="제외"),"",IF($D141=$E141,IF(AND($D141&gt;=CO$5,$D141&lt;CO$5+7),"◆",""),IF(AND($D141&lt;CO$5+7,$E141&gt;CO$5),"■","")))</x:f>
      </x:c>
      <x:c r="CP141" s="7" t="str">
        <x:f>IF(OR($D141="",CP$5="",'상세일정'!AM141="제외"),"",IF($D141=$E141,IF(AND($D141&gt;=CP$5,$D141&lt;CP$5+7),"◆",""),IF(AND($D141&lt;CP$5+7,$E141&gt;CP$5),"■","")))</x:f>
      </x:c>
      <x:c r="CQ141" s="7" t="str">
        <x:f>IF(OR($D141="",CQ$5="",'상세일정'!AM141="제외"),"",IF($D141=$E141,IF(AND($D141&gt;=CQ$5,$D141&lt;CQ$5+7),"◆",""),IF(AND($D141&lt;CQ$5+7,$E141&gt;CQ$5),"■","")))</x:f>
      </x:c>
      <x:c r="CR141" s="7" t="str">
        <x:f>IF(OR($D141="",CR$5="",'상세일정'!AM141="제외"),"",IF($D141=$E141,IF(AND($D141&gt;=CR$5,$D141&lt;CR$5+7),"◆",""),IF(AND($D141&lt;CR$5+7,$E141&gt;CR$5),"■","")))</x:f>
      </x:c>
      <x:c r="CS141" s="7" t="str">
        <x:f>IF(OR($D141="",CS$5="",'상세일정'!AM141="제외"),"",IF($D141=$E141,IF(AND($D141&gt;=CS$5,$D141&lt;CS$5+7),"◆",""),IF(AND($D141&lt;CS$5+7,$E141&gt;CS$5),"■","")))</x:f>
      </x:c>
      <x:c r="CT141" s="7" t="str">
        <x:f>IF(OR($D141="",CT$5="",'상세일정'!AM141="제외"),"",IF($D141=$E141,IF(AND($D141&gt;=CT$5,$D141&lt;CT$5+7),"◆",""),IF(AND($D141&lt;CT$5+7,$E141&gt;CT$5),"■","")))</x:f>
      </x:c>
      <x:c r="CU141" s="7" t="str">
        <x:f>IF(OR($D141="",CU$5="",'상세일정'!AM141="제외"),"",IF($D141=$E141,IF(AND($D141&gt;=CU$5,$D141&lt;CU$5+7),"◆",""),IF(AND($D141&lt;CU$5+7,$E141&gt;CU$5),"■","")))</x:f>
      </x:c>
      <x:c r="CV141" s="7" t="str">
        <x:f>IF(OR($D141="",CV$5="",'상세일정'!AM141="제외"),"",IF($D141=$E141,IF(AND($D141&gt;=CV$5,$D141&lt;CV$5+7),"◆",""),IF(AND($D141&lt;CV$5+7,$E141&gt;CV$5),"■","")))</x:f>
      </x:c>
      <x:c r="CW141" s="7" t="str">
        <x:f>IF(OR($D141="",CW$5="",'상세일정'!AM141="제외"),"",IF($D141=$E141,IF(AND($D141&gt;=CW$5,$D141&lt;CW$5+7),"◆",""),IF(AND($D141&lt;CW$5+7,$E141&gt;CW$5),"■","")))</x:f>
      </x:c>
      <x:c r="CX141" s="7" t="str">
        <x:f>IF(OR($D141="",CX$5="",'상세일정'!AM141="제외"),"",IF($D141=$E141,IF(AND($D141&gt;=CX$5,$D141&lt;CX$5+7),"◆",""),IF(AND($D141&lt;CX$5+7,$E141&gt;CX$5),"■","")))</x:f>
      </x:c>
      <x:c r="CY141" s="7" t="str">
        <x:f>IF(OR($D141="",CY$5="",'상세일정'!AM141="제외"),"",IF($D141=$E141,IF(AND($D141&gt;=CY$5,$D141&lt;CY$5+7),"◆",""),IF(AND($D141&lt;CY$5+7,$E141&gt;CY$5),"■","")))</x:f>
      </x:c>
      <x:c r="CZ141" s="7" t="str">
        <x:f>IF(OR($D141="",CZ$5="",'상세일정'!AM141="제외"),"",IF($D141=$E141,IF(AND($D141&gt;=CZ$5,$D141&lt;CZ$5+7),"◆",""),IF(AND($D141&lt;CZ$5+7,$E141&gt;CZ$5),"■","")))</x:f>
      </x:c>
      <x:c r="DA141" s="7" t="str">
        <x:f>IF(OR($D141="",DA$5="",'상세일정'!AM141="제외"),"",IF($D141=$E141,IF(AND($D141&gt;=DA$5,$D141&lt;DA$5+7),"◆",""),IF(AND($D141&lt;DA$5+7,$E141&gt;DA$5),"■","")))</x:f>
      </x:c>
      <x:c r="DB141" s="7" t="str">
        <x:f>IF(OR($D141="",DB$5="",'상세일정'!AM141="제외"),"",IF($D141=$E141,IF(AND($D141&gt;=DB$5,$D141&lt;DB$5+7),"◆",""),IF(AND($D141&lt;DB$5+7,$E141&gt;DB$5),"■","")))</x:f>
      </x:c>
      <x:c r="DC141" s="7" t="str">
        <x:f>IF(OR($D141="",DC$5="",'상세일정'!AM141="제외"),"",IF($D141=$E141,IF(AND($D141&gt;=DC$5,$D141&lt;DC$5+7),"◆",""),IF(AND($D141&lt;DC$5+7,$E141&gt;DC$5),"■","")))</x:f>
      </x:c>
      <x:c r="DD141" s="7" t="str">
        <x:f>IF(OR($D141="",DD$5="",'상세일정'!AM141="제외"),"",IF($D141=$E141,IF(AND($D141&gt;=DD$5,$D141&lt;DD$5+7),"◆",""),IF(AND($D141&lt;DD$5+7,$E141&gt;DD$5),"■","")))</x:f>
      </x:c>
      <x:c r="DE141" s="7" t="str">
        <x:f>IF(OR($D141="",DE$5="",'상세일정'!AM141="제외"),"",IF($D141=$E141,IF(AND($D141&gt;=DE$5,$D141&lt;DE$5+7),"◆",""),IF(AND($D141&lt;DE$5+7,$E141&gt;DE$5),"■","")))</x:f>
      </x:c>
    </x:row>
    <x:row r="142" ht="34" customHeight="1">
      <x:c r="A142" s="7" t="str">
        <x:v>AN07</x:v>
      </x:c>
      <x:c r="B142" s="7" t="str">
        <x:v>16 기자재 구매·제작</x:v>
      </x:c>
      <x:c r="C142" s="7" t="str">
        <x:v>제품분석기·Sampling system 출하승인·운송·현장 입고</x:v>
      </x:c>
      <x:c r="D142" s="10" t="str">
        <x:f>'상세일정'!AJ142</x:f>
      </x:c>
      <x:c r="E142" s="10" t="str">
        <x:f>'상세일정'!AK142</x:f>
      </x:c>
      <x:c r="F142" s="7" t="str">
        <x:f>IF(OR($D142="",F$5="",'상세일정'!AM142="제외"),"",IF($D142=$E142,IF(AND($D142&gt;=F$5,$D142&lt;F$5+7),"◆",""),IF(AND($D142&lt;F$5+7,$E142&gt;F$5),"■","")))</x:f>
      </x:c>
      <x:c r="G142" s="7" t="str">
        <x:f>IF(OR($D142="",G$5="",'상세일정'!AM142="제외"),"",IF($D142=$E142,IF(AND($D142&gt;=G$5,$D142&lt;G$5+7),"◆",""),IF(AND($D142&lt;G$5+7,$E142&gt;G$5),"■","")))</x:f>
      </x:c>
      <x:c r="H142" s="7" t="str">
        <x:f>IF(OR($D142="",H$5="",'상세일정'!AM142="제외"),"",IF($D142=$E142,IF(AND($D142&gt;=H$5,$D142&lt;H$5+7),"◆",""),IF(AND($D142&lt;H$5+7,$E142&gt;H$5),"■","")))</x:f>
      </x:c>
      <x:c r="I142" s="7" t="str">
        <x:f>IF(OR($D142="",I$5="",'상세일정'!AM142="제외"),"",IF($D142=$E142,IF(AND($D142&gt;=I$5,$D142&lt;I$5+7),"◆",""),IF(AND($D142&lt;I$5+7,$E142&gt;I$5),"■","")))</x:f>
      </x:c>
      <x:c r="J142" s="7" t="str">
        <x:f>IF(OR($D142="",J$5="",'상세일정'!AM142="제외"),"",IF($D142=$E142,IF(AND($D142&gt;=J$5,$D142&lt;J$5+7),"◆",""),IF(AND($D142&lt;J$5+7,$E142&gt;J$5),"■","")))</x:f>
      </x:c>
      <x:c r="K142" s="7" t="str">
        <x:f>IF(OR($D142="",K$5="",'상세일정'!AM142="제외"),"",IF($D142=$E142,IF(AND($D142&gt;=K$5,$D142&lt;K$5+7),"◆",""),IF(AND($D142&lt;K$5+7,$E142&gt;K$5),"■","")))</x:f>
      </x:c>
      <x:c r="L142" s="7" t="str">
        <x:f>IF(OR($D142="",L$5="",'상세일정'!AM142="제외"),"",IF($D142=$E142,IF(AND($D142&gt;=L$5,$D142&lt;L$5+7),"◆",""),IF(AND($D142&lt;L$5+7,$E142&gt;L$5),"■","")))</x:f>
      </x:c>
      <x:c r="M142" s="7" t="str">
        <x:f>IF(OR($D142="",M$5="",'상세일정'!AM142="제외"),"",IF($D142=$E142,IF(AND($D142&gt;=M$5,$D142&lt;M$5+7),"◆",""),IF(AND($D142&lt;M$5+7,$E142&gt;M$5),"■","")))</x:f>
      </x:c>
      <x:c r="N142" s="7" t="str">
        <x:f>IF(OR($D142="",N$5="",'상세일정'!AM142="제외"),"",IF($D142=$E142,IF(AND($D142&gt;=N$5,$D142&lt;N$5+7),"◆",""),IF(AND($D142&lt;N$5+7,$E142&gt;N$5),"■","")))</x:f>
      </x:c>
      <x:c r="O142" s="7" t="str">
        <x:f>IF(OR($D142="",O$5="",'상세일정'!AM142="제외"),"",IF($D142=$E142,IF(AND($D142&gt;=O$5,$D142&lt;O$5+7),"◆",""),IF(AND($D142&lt;O$5+7,$E142&gt;O$5),"■","")))</x:f>
      </x:c>
      <x:c r="P142" s="7" t="str">
        <x:f>IF(OR($D142="",P$5="",'상세일정'!AM142="제외"),"",IF($D142=$E142,IF(AND($D142&gt;=P$5,$D142&lt;P$5+7),"◆",""),IF(AND($D142&lt;P$5+7,$E142&gt;P$5),"■","")))</x:f>
      </x:c>
      <x:c r="Q142" s="7" t="str">
        <x:f>IF(OR($D142="",Q$5="",'상세일정'!AM142="제외"),"",IF($D142=$E142,IF(AND($D142&gt;=Q$5,$D142&lt;Q$5+7),"◆",""),IF(AND($D142&lt;Q$5+7,$E142&gt;Q$5),"■","")))</x:f>
      </x:c>
      <x:c r="R142" s="7" t="str">
        <x:f>IF(OR($D142="",R$5="",'상세일정'!AM142="제외"),"",IF($D142=$E142,IF(AND($D142&gt;=R$5,$D142&lt;R$5+7),"◆",""),IF(AND($D142&lt;R$5+7,$E142&gt;R$5),"■","")))</x:f>
      </x:c>
      <x:c r="S142" s="7" t="str">
        <x:f>IF(OR($D142="",S$5="",'상세일정'!AM142="제외"),"",IF($D142=$E142,IF(AND($D142&gt;=S$5,$D142&lt;S$5+7),"◆",""),IF(AND($D142&lt;S$5+7,$E142&gt;S$5),"■","")))</x:f>
      </x:c>
      <x:c r="T142" s="7" t="str">
        <x:f>IF(OR($D142="",T$5="",'상세일정'!AM142="제외"),"",IF($D142=$E142,IF(AND($D142&gt;=T$5,$D142&lt;T$5+7),"◆",""),IF(AND($D142&lt;T$5+7,$E142&gt;T$5),"■","")))</x:f>
      </x:c>
      <x:c r="U142" s="7" t="str">
        <x:f>IF(OR($D142="",U$5="",'상세일정'!AM142="제외"),"",IF($D142=$E142,IF(AND($D142&gt;=U$5,$D142&lt;U$5+7),"◆",""),IF(AND($D142&lt;U$5+7,$E142&gt;U$5),"■","")))</x:f>
      </x:c>
      <x:c r="V142" s="7" t="str">
        <x:f>IF(OR($D142="",V$5="",'상세일정'!AM142="제외"),"",IF($D142=$E142,IF(AND($D142&gt;=V$5,$D142&lt;V$5+7),"◆",""),IF(AND($D142&lt;V$5+7,$E142&gt;V$5),"■","")))</x:f>
      </x:c>
      <x:c r="W142" s="7" t="str">
        <x:f>IF(OR($D142="",W$5="",'상세일정'!AM142="제외"),"",IF($D142=$E142,IF(AND($D142&gt;=W$5,$D142&lt;W$5+7),"◆",""),IF(AND($D142&lt;W$5+7,$E142&gt;W$5),"■","")))</x:f>
      </x:c>
      <x:c r="X142" s="7" t="str">
        <x:f>IF(OR($D142="",X$5="",'상세일정'!AM142="제외"),"",IF($D142=$E142,IF(AND($D142&gt;=X$5,$D142&lt;X$5+7),"◆",""),IF(AND($D142&lt;X$5+7,$E142&gt;X$5),"■","")))</x:f>
      </x:c>
      <x:c r="Y142" s="7" t="str">
        <x:f>IF(OR($D142="",Y$5="",'상세일정'!AM142="제외"),"",IF($D142=$E142,IF(AND($D142&gt;=Y$5,$D142&lt;Y$5+7),"◆",""),IF(AND($D142&lt;Y$5+7,$E142&gt;Y$5),"■","")))</x:f>
      </x:c>
      <x:c r="Z142" s="7" t="str">
        <x:f>IF(OR($D142="",Z$5="",'상세일정'!AM142="제외"),"",IF($D142=$E142,IF(AND($D142&gt;=Z$5,$D142&lt;Z$5+7),"◆",""),IF(AND($D142&lt;Z$5+7,$E142&gt;Z$5),"■","")))</x:f>
      </x:c>
      <x:c r="AA142" s="7" t="str">
        <x:f>IF(OR($D142="",AA$5="",'상세일정'!AM142="제외"),"",IF($D142=$E142,IF(AND($D142&gt;=AA$5,$D142&lt;AA$5+7),"◆",""),IF(AND($D142&lt;AA$5+7,$E142&gt;AA$5),"■","")))</x:f>
      </x:c>
      <x:c r="AB142" s="7" t="str">
        <x:f>IF(OR($D142="",AB$5="",'상세일정'!AM142="제외"),"",IF($D142=$E142,IF(AND($D142&gt;=AB$5,$D142&lt;AB$5+7),"◆",""),IF(AND($D142&lt;AB$5+7,$E142&gt;AB$5),"■","")))</x:f>
      </x:c>
      <x:c r="AC142" s="7" t="str">
        <x:f>IF(OR($D142="",AC$5="",'상세일정'!AM142="제외"),"",IF($D142=$E142,IF(AND($D142&gt;=AC$5,$D142&lt;AC$5+7),"◆",""),IF(AND($D142&lt;AC$5+7,$E142&gt;AC$5),"■","")))</x:f>
      </x:c>
      <x:c r="AD142" s="7" t="str">
        <x:f>IF(OR($D142="",AD$5="",'상세일정'!AM142="제외"),"",IF($D142=$E142,IF(AND($D142&gt;=AD$5,$D142&lt;AD$5+7),"◆",""),IF(AND($D142&lt;AD$5+7,$E142&gt;AD$5),"■","")))</x:f>
      </x:c>
      <x:c r="AE142" s="7" t="str">
        <x:f>IF(OR($D142="",AE$5="",'상세일정'!AM142="제외"),"",IF($D142=$E142,IF(AND($D142&gt;=AE$5,$D142&lt;AE$5+7),"◆",""),IF(AND($D142&lt;AE$5+7,$E142&gt;AE$5),"■","")))</x:f>
      </x:c>
      <x:c r="AF142" s="7" t="str">
        <x:f>IF(OR($D142="",AF$5="",'상세일정'!AM142="제외"),"",IF($D142=$E142,IF(AND($D142&gt;=AF$5,$D142&lt;AF$5+7),"◆",""),IF(AND($D142&lt;AF$5+7,$E142&gt;AF$5),"■","")))</x:f>
      </x:c>
      <x:c r="AG142" s="7" t="str">
        <x:f>IF(OR($D142="",AG$5="",'상세일정'!AM142="제외"),"",IF($D142=$E142,IF(AND($D142&gt;=AG$5,$D142&lt;AG$5+7),"◆",""),IF(AND($D142&lt;AG$5+7,$E142&gt;AG$5),"■","")))</x:f>
      </x:c>
      <x:c r="AH142" s="7" t="str">
        <x:f>IF(OR($D142="",AH$5="",'상세일정'!AM142="제외"),"",IF($D142=$E142,IF(AND($D142&gt;=AH$5,$D142&lt;AH$5+7),"◆",""),IF(AND($D142&lt;AH$5+7,$E142&gt;AH$5),"■","")))</x:f>
      </x:c>
      <x:c r="AI142" s="7" t="str">
        <x:f>IF(OR($D142="",AI$5="",'상세일정'!AM142="제외"),"",IF($D142=$E142,IF(AND($D142&gt;=AI$5,$D142&lt;AI$5+7),"◆",""),IF(AND($D142&lt;AI$5+7,$E142&gt;AI$5),"■","")))</x:f>
      </x:c>
      <x:c r="AJ142" s="7" t="str">
        <x:f>IF(OR($D142="",AJ$5="",'상세일정'!AM142="제외"),"",IF($D142=$E142,IF(AND($D142&gt;=AJ$5,$D142&lt;AJ$5+7),"◆",""),IF(AND($D142&lt;AJ$5+7,$E142&gt;AJ$5),"■","")))</x:f>
      </x:c>
      <x:c r="AK142" s="7" t="str">
        <x:f>IF(OR($D142="",AK$5="",'상세일정'!AM142="제외"),"",IF($D142=$E142,IF(AND($D142&gt;=AK$5,$D142&lt;AK$5+7),"◆",""),IF(AND($D142&lt;AK$5+7,$E142&gt;AK$5),"■","")))</x:f>
      </x:c>
      <x:c r="AL142" s="7" t="str">
        <x:f>IF(OR($D142="",AL$5="",'상세일정'!AM142="제외"),"",IF($D142=$E142,IF(AND($D142&gt;=AL$5,$D142&lt;AL$5+7),"◆",""),IF(AND($D142&lt;AL$5+7,$E142&gt;AL$5),"■","")))</x:f>
      </x:c>
      <x:c r="AM142" s="7" t="str">
        <x:f>IF(OR($D142="",AM$5="",'상세일정'!AM142="제외"),"",IF($D142=$E142,IF(AND($D142&gt;=AM$5,$D142&lt;AM$5+7),"◆",""),IF(AND($D142&lt;AM$5+7,$E142&gt;AM$5),"■","")))</x:f>
      </x:c>
      <x:c r="AN142" s="7" t="str">
        <x:f>IF(OR($D142="",AN$5="",'상세일정'!AM142="제외"),"",IF($D142=$E142,IF(AND($D142&gt;=AN$5,$D142&lt;AN$5+7),"◆",""),IF(AND($D142&lt;AN$5+7,$E142&gt;AN$5),"■","")))</x:f>
      </x:c>
      <x:c r="AO142" s="7" t="str">
        <x:f>IF(OR($D142="",AO$5="",'상세일정'!AM142="제외"),"",IF($D142=$E142,IF(AND($D142&gt;=AO$5,$D142&lt;AO$5+7),"◆",""),IF(AND($D142&lt;AO$5+7,$E142&gt;AO$5),"■","")))</x:f>
      </x:c>
      <x:c r="AP142" s="7" t="str">
        <x:f>IF(OR($D142="",AP$5="",'상세일정'!AM142="제외"),"",IF($D142=$E142,IF(AND($D142&gt;=AP$5,$D142&lt;AP$5+7),"◆",""),IF(AND($D142&lt;AP$5+7,$E142&gt;AP$5),"■","")))</x:f>
      </x:c>
      <x:c r="AQ142" s="7" t="str">
        <x:f>IF(OR($D142="",AQ$5="",'상세일정'!AM142="제외"),"",IF($D142=$E142,IF(AND($D142&gt;=AQ$5,$D142&lt;AQ$5+7),"◆",""),IF(AND($D142&lt;AQ$5+7,$E142&gt;AQ$5),"■","")))</x:f>
      </x:c>
      <x:c r="AR142" s="7" t="str">
        <x:f>IF(OR($D142="",AR$5="",'상세일정'!AM142="제외"),"",IF($D142=$E142,IF(AND($D142&gt;=AR$5,$D142&lt;AR$5+7),"◆",""),IF(AND($D142&lt;AR$5+7,$E142&gt;AR$5),"■","")))</x:f>
      </x:c>
      <x:c r="AS142" s="7" t="str">
        <x:f>IF(OR($D142="",AS$5="",'상세일정'!AM142="제외"),"",IF($D142=$E142,IF(AND($D142&gt;=AS$5,$D142&lt;AS$5+7),"◆",""),IF(AND($D142&lt;AS$5+7,$E142&gt;AS$5),"■","")))</x:f>
      </x:c>
      <x:c r="AT142" s="7" t="str">
        <x:f>IF(OR($D142="",AT$5="",'상세일정'!AM142="제외"),"",IF($D142=$E142,IF(AND($D142&gt;=AT$5,$D142&lt;AT$5+7),"◆",""),IF(AND($D142&lt;AT$5+7,$E142&gt;AT$5),"■","")))</x:f>
      </x:c>
      <x:c r="AU142" s="7" t="str">
        <x:f>IF(OR($D142="",AU$5="",'상세일정'!AM142="제외"),"",IF($D142=$E142,IF(AND($D142&gt;=AU$5,$D142&lt;AU$5+7),"◆",""),IF(AND($D142&lt;AU$5+7,$E142&gt;AU$5),"■","")))</x:f>
      </x:c>
      <x:c r="AV142" s="7" t="str">
        <x:f>IF(OR($D142="",AV$5="",'상세일정'!AM142="제외"),"",IF($D142=$E142,IF(AND($D142&gt;=AV$5,$D142&lt;AV$5+7),"◆",""),IF(AND($D142&lt;AV$5+7,$E142&gt;AV$5),"■","")))</x:f>
      </x:c>
      <x:c r="AW142" s="7" t="str">
        <x:f>IF(OR($D142="",AW$5="",'상세일정'!AM142="제외"),"",IF($D142=$E142,IF(AND($D142&gt;=AW$5,$D142&lt;AW$5+7),"◆",""),IF(AND($D142&lt;AW$5+7,$E142&gt;AW$5),"■","")))</x:f>
      </x:c>
      <x:c r="AX142" s="7" t="str">
        <x:f>IF(OR($D142="",AX$5="",'상세일정'!AM142="제외"),"",IF($D142=$E142,IF(AND($D142&gt;=AX$5,$D142&lt;AX$5+7),"◆",""),IF(AND($D142&lt;AX$5+7,$E142&gt;AX$5),"■","")))</x:f>
      </x:c>
      <x:c r="AY142" s="7" t="str">
        <x:f>IF(OR($D142="",AY$5="",'상세일정'!AM142="제외"),"",IF($D142=$E142,IF(AND($D142&gt;=AY$5,$D142&lt;AY$5+7),"◆",""),IF(AND($D142&lt;AY$5+7,$E142&gt;AY$5),"■","")))</x:f>
      </x:c>
      <x:c r="AZ142" s="7" t="str">
        <x:f>IF(OR($D142="",AZ$5="",'상세일정'!AM142="제외"),"",IF($D142=$E142,IF(AND($D142&gt;=AZ$5,$D142&lt;AZ$5+7),"◆",""),IF(AND($D142&lt;AZ$5+7,$E142&gt;AZ$5),"■","")))</x:f>
      </x:c>
      <x:c r="BA142" s="7" t="str">
        <x:f>IF(OR($D142="",BA$5="",'상세일정'!AM142="제외"),"",IF($D142=$E142,IF(AND($D142&gt;=BA$5,$D142&lt;BA$5+7),"◆",""),IF(AND($D142&lt;BA$5+7,$E142&gt;BA$5),"■","")))</x:f>
      </x:c>
      <x:c r="BB142" s="7" t="str">
        <x:f>IF(OR($D142="",BB$5="",'상세일정'!AM142="제외"),"",IF($D142=$E142,IF(AND($D142&gt;=BB$5,$D142&lt;BB$5+7),"◆",""),IF(AND($D142&lt;BB$5+7,$E142&gt;BB$5),"■","")))</x:f>
      </x:c>
      <x:c r="BC142" s="7" t="str">
        <x:f>IF(OR($D142="",BC$5="",'상세일정'!AM142="제외"),"",IF($D142=$E142,IF(AND($D142&gt;=BC$5,$D142&lt;BC$5+7),"◆",""),IF(AND($D142&lt;BC$5+7,$E142&gt;BC$5),"■","")))</x:f>
      </x:c>
      <x:c r="BD142" s="7" t="str">
        <x:f>IF(OR($D142="",BD$5="",'상세일정'!AM142="제외"),"",IF($D142=$E142,IF(AND($D142&gt;=BD$5,$D142&lt;BD$5+7),"◆",""),IF(AND($D142&lt;BD$5+7,$E142&gt;BD$5),"■","")))</x:f>
      </x:c>
      <x:c r="BE142" s="7" t="str">
        <x:f>IF(OR($D142="",BE$5="",'상세일정'!AM142="제외"),"",IF($D142=$E142,IF(AND($D142&gt;=BE$5,$D142&lt;BE$5+7),"◆",""),IF(AND($D142&lt;BE$5+7,$E142&gt;BE$5),"■","")))</x:f>
      </x:c>
      <x:c r="BF142" s="7" t="str">
        <x:f>IF(OR($D142="",BF$5="",'상세일정'!AM142="제외"),"",IF($D142=$E142,IF(AND($D142&gt;=BF$5,$D142&lt;BF$5+7),"◆",""),IF(AND($D142&lt;BF$5+7,$E142&gt;BF$5),"■","")))</x:f>
      </x:c>
      <x:c r="BG142" s="7" t="str">
        <x:f>IF(OR($D142="",BG$5="",'상세일정'!AM142="제외"),"",IF($D142=$E142,IF(AND($D142&gt;=BG$5,$D142&lt;BG$5+7),"◆",""),IF(AND($D142&lt;BG$5+7,$E142&gt;BG$5),"■","")))</x:f>
      </x:c>
      <x:c r="BH142" s="7" t="str">
        <x:f>IF(OR($D142="",BH$5="",'상세일정'!AM142="제외"),"",IF($D142=$E142,IF(AND($D142&gt;=BH$5,$D142&lt;BH$5+7),"◆",""),IF(AND($D142&lt;BH$5+7,$E142&gt;BH$5),"■","")))</x:f>
      </x:c>
      <x:c r="BI142" s="7" t="str">
        <x:f>IF(OR($D142="",BI$5="",'상세일정'!AM142="제외"),"",IF($D142=$E142,IF(AND($D142&gt;=BI$5,$D142&lt;BI$5+7),"◆",""),IF(AND($D142&lt;BI$5+7,$E142&gt;BI$5),"■","")))</x:f>
      </x:c>
      <x:c r="BJ142" s="7" t="str">
        <x:f>IF(OR($D142="",BJ$5="",'상세일정'!AM142="제외"),"",IF($D142=$E142,IF(AND($D142&gt;=BJ$5,$D142&lt;BJ$5+7),"◆",""),IF(AND($D142&lt;BJ$5+7,$E142&gt;BJ$5),"■","")))</x:f>
      </x:c>
      <x:c r="BK142" s="7" t="str">
        <x:f>IF(OR($D142="",BK$5="",'상세일정'!AM142="제외"),"",IF($D142=$E142,IF(AND($D142&gt;=BK$5,$D142&lt;BK$5+7),"◆",""),IF(AND($D142&lt;BK$5+7,$E142&gt;BK$5),"■","")))</x:f>
      </x:c>
      <x:c r="BL142" s="7" t="str">
        <x:f>IF(OR($D142="",BL$5="",'상세일정'!AM142="제외"),"",IF($D142=$E142,IF(AND($D142&gt;=BL$5,$D142&lt;BL$5+7),"◆",""),IF(AND($D142&lt;BL$5+7,$E142&gt;BL$5),"■","")))</x:f>
      </x:c>
      <x:c r="BM142" s="7" t="str">
        <x:f>IF(OR($D142="",BM$5="",'상세일정'!AM142="제외"),"",IF($D142=$E142,IF(AND($D142&gt;=BM$5,$D142&lt;BM$5+7),"◆",""),IF(AND($D142&lt;BM$5+7,$E142&gt;BM$5),"■","")))</x:f>
      </x:c>
      <x:c r="BN142" s="7" t="str">
        <x:f>IF(OR($D142="",BN$5="",'상세일정'!AM142="제외"),"",IF($D142=$E142,IF(AND($D142&gt;=BN$5,$D142&lt;BN$5+7),"◆",""),IF(AND($D142&lt;BN$5+7,$E142&gt;BN$5),"■","")))</x:f>
      </x:c>
      <x:c r="BO142" s="7" t="str">
        <x:f>IF(OR($D142="",BO$5="",'상세일정'!AM142="제외"),"",IF($D142=$E142,IF(AND($D142&gt;=BO$5,$D142&lt;BO$5+7),"◆",""),IF(AND($D142&lt;BO$5+7,$E142&gt;BO$5),"■","")))</x:f>
      </x:c>
      <x:c r="BP142" s="7" t="str">
        <x:f>IF(OR($D142="",BP$5="",'상세일정'!AM142="제외"),"",IF($D142=$E142,IF(AND($D142&gt;=BP$5,$D142&lt;BP$5+7),"◆",""),IF(AND($D142&lt;BP$5+7,$E142&gt;BP$5),"■","")))</x:f>
      </x:c>
      <x:c r="BQ142" s="7" t="str">
        <x:f>IF(OR($D142="",BQ$5="",'상세일정'!AM142="제외"),"",IF($D142=$E142,IF(AND($D142&gt;=BQ$5,$D142&lt;BQ$5+7),"◆",""),IF(AND($D142&lt;BQ$5+7,$E142&gt;BQ$5),"■","")))</x:f>
      </x:c>
      <x:c r="BR142" s="7" t="str">
        <x:f>IF(OR($D142="",BR$5="",'상세일정'!AM142="제외"),"",IF($D142=$E142,IF(AND($D142&gt;=BR$5,$D142&lt;BR$5+7),"◆",""),IF(AND($D142&lt;BR$5+7,$E142&gt;BR$5),"■","")))</x:f>
      </x:c>
      <x:c r="BS142" s="7" t="str">
        <x:f>IF(OR($D142="",BS$5="",'상세일정'!AM142="제외"),"",IF($D142=$E142,IF(AND($D142&gt;=BS$5,$D142&lt;BS$5+7),"◆",""),IF(AND($D142&lt;BS$5+7,$E142&gt;BS$5),"■","")))</x:f>
      </x:c>
      <x:c r="BT142" s="7" t="str">
        <x:f>IF(OR($D142="",BT$5="",'상세일정'!AM142="제외"),"",IF($D142=$E142,IF(AND($D142&gt;=BT$5,$D142&lt;BT$5+7),"◆",""),IF(AND($D142&lt;BT$5+7,$E142&gt;BT$5),"■","")))</x:f>
      </x:c>
      <x:c r="BU142" s="7" t="str">
        <x:f>IF(OR($D142="",BU$5="",'상세일정'!AM142="제외"),"",IF($D142=$E142,IF(AND($D142&gt;=BU$5,$D142&lt;BU$5+7),"◆",""),IF(AND($D142&lt;BU$5+7,$E142&gt;BU$5),"■","")))</x:f>
      </x:c>
      <x:c r="BV142" s="7" t="str">
        <x:f>IF(OR($D142="",BV$5="",'상세일정'!AM142="제외"),"",IF($D142=$E142,IF(AND($D142&gt;=BV$5,$D142&lt;BV$5+7),"◆",""),IF(AND($D142&lt;BV$5+7,$E142&gt;BV$5),"■","")))</x:f>
      </x:c>
      <x:c r="BW142" s="7" t="str">
        <x:f>IF(OR($D142="",BW$5="",'상세일정'!AM142="제외"),"",IF($D142=$E142,IF(AND($D142&gt;=BW$5,$D142&lt;BW$5+7),"◆",""),IF(AND($D142&lt;BW$5+7,$E142&gt;BW$5),"■","")))</x:f>
      </x:c>
      <x:c r="BX142" s="7" t="str">
        <x:f>IF(OR($D142="",BX$5="",'상세일정'!AM142="제외"),"",IF($D142=$E142,IF(AND($D142&gt;=BX$5,$D142&lt;BX$5+7),"◆",""),IF(AND($D142&lt;BX$5+7,$E142&gt;BX$5),"■","")))</x:f>
      </x:c>
      <x:c r="BY142" s="7" t="str">
        <x:f>IF(OR($D142="",BY$5="",'상세일정'!AM142="제외"),"",IF($D142=$E142,IF(AND($D142&gt;=BY$5,$D142&lt;BY$5+7),"◆",""),IF(AND($D142&lt;BY$5+7,$E142&gt;BY$5),"■","")))</x:f>
      </x:c>
      <x:c r="BZ142" s="7" t="str">
        <x:f>IF(OR($D142="",BZ$5="",'상세일정'!AM142="제외"),"",IF($D142=$E142,IF(AND($D142&gt;=BZ$5,$D142&lt;BZ$5+7),"◆",""),IF(AND($D142&lt;BZ$5+7,$E142&gt;BZ$5),"■","")))</x:f>
      </x:c>
      <x:c r="CA142" s="7" t="str">
        <x:f>IF(OR($D142="",CA$5="",'상세일정'!AM142="제외"),"",IF($D142=$E142,IF(AND($D142&gt;=CA$5,$D142&lt;CA$5+7),"◆",""),IF(AND($D142&lt;CA$5+7,$E142&gt;CA$5),"■","")))</x:f>
      </x:c>
      <x:c r="CB142" s="7" t="str">
        <x:f>IF(OR($D142="",CB$5="",'상세일정'!AM142="제외"),"",IF($D142=$E142,IF(AND($D142&gt;=CB$5,$D142&lt;CB$5+7),"◆",""),IF(AND($D142&lt;CB$5+7,$E142&gt;CB$5),"■","")))</x:f>
      </x:c>
      <x:c r="CC142" s="7" t="str">
        <x:f>IF(OR($D142="",CC$5="",'상세일정'!AM142="제외"),"",IF($D142=$E142,IF(AND($D142&gt;=CC$5,$D142&lt;CC$5+7),"◆",""),IF(AND($D142&lt;CC$5+7,$E142&gt;CC$5),"■","")))</x:f>
      </x:c>
      <x:c r="CD142" s="7" t="str">
        <x:f>IF(OR($D142="",CD$5="",'상세일정'!AM142="제외"),"",IF($D142=$E142,IF(AND($D142&gt;=CD$5,$D142&lt;CD$5+7),"◆",""),IF(AND($D142&lt;CD$5+7,$E142&gt;CD$5),"■","")))</x:f>
      </x:c>
      <x:c r="CE142" s="7" t="str">
        <x:f>IF(OR($D142="",CE$5="",'상세일정'!AM142="제외"),"",IF($D142=$E142,IF(AND($D142&gt;=CE$5,$D142&lt;CE$5+7),"◆",""),IF(AND($D142&lt;CE$5+7,$E142&gt;CE$5),"■","")))</x:f>
      </x:c>
      <x:c r="CF142" s="7" t="str">
        <x:f>IF(OR($D142="",CF$5="",'상세일정'!AM142="제외"),"",IF($D142=$E142,IF(AND($D142&gt;=CF$5,$D142&lt;CF$5+7),"◆",""),IF(AND($D142&lt;CF$5+7,$E142&gt;CF$5),"■","")))</x:f>
      </x:c>
      <x:c r="CG142" s="7" t="str">
        <x:f>IF(OR($D142="",CG$5="",'상세일정'!AM142="제외"),"",IF($D142=$E142,IF(AND($D142&gt;=CG$5,$D142&lt;CG$5+7),"◆",""),IF(AND($D142&lt;CG$5+7,$E142&gt;CG$5),"■","")))</x:f>
      </x:c>
      <x:c r="CH142" s="7" t="str">
        <x:f>IF(OR($D142="",CH$5="",'상세일정'!AM142="제외"),"",IF($D142=$E142,IF(AND($D142&gt;=CH$5,$D142&lt;CH$5+7),"◆",""),IF(AND($D142&lt;CH$5+7,$E142&gt;CH$5),"■","")))</x:f>
      </x:c>
      <x:c r="CI142" s="7" t="str">
        <x:f>IF(OR($D142="",CI$5="",'상세일정'!AM142="제외"),"",IF($D142=$E142,IF(AND($D142&gt;=CI$5,$D142&lt;CI$5+7),"◆",""),IF(AND($D142&lt;CI$5+7,$E142&gt;CI$5),"■","")))</x:f>
      </x:c>
      <x:c r="CJ142" s="7" t="str">
        <x:f>IF(OR($D142="",CJ$5="",'상세일정'!AM142="제외"),"",IF($D142=$E142,IF(AND($D142&gt;=CJ$5,$D142&lt;CJ$5+7),"◆",""),IF(AND($D142&lt;CJ$5+7,$E142&gt;CJ$5),"■","")))</x:f>
      </x:c>
      <x:c r="CK142" s="7" t="str">
        <x:f>IF(OR($D142="",CK$5="",'상세일정'!AM142="제외"),"",IF($D142=$E142,IF(AND($D142&gt;=CK$5,$D142&lt;CK$5+7),"◆",""),IF(AND($D142&lt;CK$5+7,$E142&gt;CK$5),"■","")))</x:f>
      </x:c>
      <x:c r="CL142" s="7" t="str">
        <x:f>IF(OR($D142="",CL$5="",'상세일정'!AM142="제외"),"",IF($D142=$E142,IF(AND($D142&gt;=CL$5,$D142&lt;CL$5+7),"◆",""),IF(AND($D142&lt;CL$5+7,$E142&gt;CL$5),"■","")))</x:f>
      </x:c>
      <x:c r="CM142" s="7" t="str">
        <x:f>IF(OR($D142="",CM$5="",'상세일정'!AM142="제외"),"",IF($D142=$E142,IF(AND($D142&gt;=CM$5,$D142&lt;CM$5+7),"◆",""),IF(AND($D142&lt;CM$5+7,$E142&gt;CM$5),"■","")))</x:f>
      </x:c>
      <x:c r="CN142" s="7" t="str">
        <x:f>IF(OR($D142="",CN$5="",'상세일정'!AM142="제외"),"",IF($D142=$E142,IF(AND($D142&gt;=CN$5,$D142&lt;CN$5+7),"◆",""),IF(AND($D142&lt;CN$5+7,$E142&gt;CN$5),"■","")))</x:f>
      </x:c>
      <x:c r="CO142" s="7" t="str">
        <x:f>IF(OR($D142="",CO$5="",'상세일정'!AM142="제외"),"",IF($D142=$E142,IF(AND($D142&gt;=CO$5,$D142&lt;CO$5+7),"◆",""),IF(AND($D142&lt;CO$5+7,$E142&gt;CO$5),"■","")))</x:f>
      </x:c>
      <x:c r="CP142" s="7" t="str">
        <x:f>IF(OR($D142="",CP$5="",'상세일정'!AM142="제외"),"",IF($D142=$E142,IF(AND($D142&gt;=CP$5,$D142&lt;CP$5+7),"◆",""),IF(AND($D142&lt;CP$5+7,$E142&gt;CP$5),"■","")))</x:f>
      </x:c>
      <x:c r="CQ142" s="7" t="str">
        <x:f>IF(OR($D142="",CQ$5="",'상세일정'!AM142="제외"),"",IF($D142=$E142,IF(AND($D142&gt;=CQ$5,$D142&lt;CQ$5+7),"◆",""),IF(AND($D142&lt;CQ$5+7,$E142&gt;CQ$5),"■","")))</x:f>
      </x:c>
      <x:c r="CR142" s="7" t="str">
        <x:f>IF(OR($D142="",CR$5="",'상세일정'!AM142="제외"),"",IF($D142=$E142,IF(AND($D142&gt;=CR$5,$D142&lt;CR$5+7),"◆",""),IF(AND($D142&lt;CR$5+7,$E142&gt;CR$5),"■","")))</x:f>
      </x:c>
      <x:c r="CS142" s="7" t="str">
        <x:f>IF(OR($D142="",CS$5="",'상세일정'!AM142="제외"),"",IF($D142=$E142,IF(AND($D142&gt;=CS$5,$D142&lt;CS$5+7),"◆",""),IF(AND($D142&lt;CS$5+7,$E142&gt;CS$5),"■","")))</x:f>
      </x:c>
      <x:c r="CT142" s="7" t="str">
        <x:f>IF(OR($D142="",CT$5="",'상세일정'!AM142="제외"),"",IF($D142=$E142,IF(AND($D142&gt;=CT$5,$D142&lt;CT$5+7),"◆",""),IF(AND($D142&lt;CT$5+7,$E142&gt;CT$5),"■","")))</x:f>
      </x:c>
      <x:c r="CU142" s="7" t="str">
        <x:f>IF(OR($D142="",CU$5="",'상세일정'!AM142="제외"),"",IF($D142=$E142,IF(AND($D142&gt;=CU$5,$D142&lt;CU$5+7),"◆",""),IF(AND($D142&lt;CU$5+7,$E142&gt;CU$5),"■","")))</x:f>
      </x:c>
      <x:c r="CV142" s="7" t="str">
        <x:f>IF(OR($D142="",CV$5="",'상세일정'!AM142="제외"),"",IF($D142=$E142,IF(AND($D142&gt;=CV$5,$D142&lt;CV$5+7),"◆",""),IF(AND($D142&lt;CV$5+7,$E142&gt;CV$5),"■","")))</x:f>
      </x:c>
      <x:c r="CW142" s="7" t="str">
        <x:f>IF(OR($D142="",CW$5="",'상세일정'!AM142="제외"),"",IF($D142=$E142,IF(AND($D142&gt;=CW$5,$D142&lt;CW$5+7),"◆",""),IF(AND($D142&lt;CW$5+7,$E142&gt;CW$5),"■","")))</x:f>
      </x:c>
      <x:c r="CX142" s="7" t="str">
        <x:f>IF(OR($D142="",CX$5="",'상세일정'!AM142="제외"),"",IF($D142=$E142,IF(AND($D142&gt;=CX$5,$D142&lt;CX$5+7),"◆",""),IF(AND($D142&lt;CX$5+7,$E142&gt;CX$5),"■","")))</x:f>
      </x:c>
      <x:c r="CY142" s="7" t="str">
        <x:f>IF(OR($D142="",CY$5="",'상세일정'!AM142="제외"),"",IF($D142=$E142,IF(AND($D142&gt;=CY$5,$D142&lt;CY$5+7),"◆",""),IF(AND($D142&lt;CY$5+7,$E142&gt;CY$5),"■","")))</x:f>
      </x:c>
      <x:c r="CZ142" s="7" t="str">
        <x:f>IF(OR($D142="",CZ$5="",'상세일정'!AM142="제외"),"",IF($D142=$E142,IF(AND($D142&gt;=CZ$5,$D142&lt;CZ$5+7),"◆",""),IF(AND($D142&lt;CZ$5+7,$E142&gt;CZ$5),"■","")))</x:f>
      </x:c>
      <x:c r="DA142" s="7" t="str">
        <x:f>IF(OR($D142="",DA$5="",'상세일정'!AM142="제외"),"",IF($D142=$E142,IF(AND($D142&gt;=DA$5,$D142&lt;DA$5+7),"◆",""),IF(AND($D142&lt;DA$5+7,$E142&gt;DA$5),"■","")))</x:f>
      </x:c>
      <x:c r="DB142" s="7" t="str">
        <x:f>IF(OR($D142="",DB$5="",'상세일정'!AM142="제외"),"",IF($D142=$E142,IF(AND($D142&gt;=DB$5,$D142&lt;DB$5+7),"◆",""),IF(AND($D142&lt;DB$5+7,$E142&gt;DB$5),"■","")))</x:f>
      </x:c>
      <x:c r="DC142" s="7" t="str">
        <x:f>IF(OR($D142="",DC$5="",'상세일정'!AM142="제외"),"",IF($D142=$E142,IF(AND($D142&gt;=DC$5,$D142&lt;DC$5+7),"◆",""),IF(AND($D142&lt;DC$5+7,$E142&gt;DC$5),"■","")))</x:f>
      </x:c>
      <x:c r="DD142" s="7" t="str">
        <x:f>IF(OR($D142="",DD$5="",'상세일정'!AM142="제외"),"",IF($D142=$E142,IF(AND($D142&gt;=DD$5,$D142&lt;DD$5+7),"◆",""),IF(AND($D142&lt;DD$5+7,$E142&gt;DD$5),"■","")))</x:f>
      </x:c>
      <x:c r="DE142" s="7" t="str">
        <x:f>IF(OR($D142="",DE$5="",'상세일정'!AM142="제외"),"",IF($D142=$E142,IF(AND($D142&gt;=DE$5,$D142&lt;DE$5+7),"◆",""),IF(AND($D142&lt;DE$5+7,$E142&gt;DE$5),"■","")))</x:f>
      </x:c>
    </x:row>
    <x:row r="143" ht="34" customHeight="1">
      <x:c r="A143" s="7" t="str">
        <x:v>UT01</x:v>
      </x:c>
      <x:c r="B143" s="7" t="str">
        <x:v>16 기자재 구매·제작</x:v>
      </x:c>
      <x:c r="C143" s="7" t="str">
        <x:v>IA·냉각타워·데미워터 잔여 발주범위·사양 확정</x:v>
      </x:c>
      <x:c r="D143" s="10" t="str">
        <x:f>'상세일정'!AJ143</x:f>
      </x:c>
      <x:c r="E143" s="10" t="str">
        <x:f>'상세일정'!AK143</x:f>
      </x:c>
      <x:c r="F143" s="7" t="str">
        <x:f>IF(OR($D143="",F$5="",'상세일정'!AM143="제외"),"",IF($D143=$E143,IF(AND($D143&gt;=F$5,$D143&lt;F$5+7),"◆",""),IF(AND($D143&lt;F$5+7,$E143&gt;F$5),"■","")))</x:f>
      </x:c>
      <x:c r="G143" s="7" t="str">
        <x:f>IF(OR($D143="",G$5="",'상세일정'!AM143="제외"),"",IF($D143=$E143,IF(AND($D143&gt;=G$5,$D143&lt;G$5+7),"◆",""),IF(AND($D143&lt;G$5+7,$E143&gt;G$5),"■","")))</x:f>
      </x:c>
      <x:c r="H143" s="7" t="str">
        <x:f>IF(OR($D143="",H$5="",'상세일정'!AM143="제외"),"",IF($D143=$E143,IF(AND($D143&gt;=H$5,$D143&lt;H$5+7),"◆",""),IF(AND($D143&lt;H$5+7,$E143&gt;H$5),"■","")))</x:f>
      </x:c>
      <x:c r="I143" s="7" t="str">
        <x:f>IF(OR($D143="",I$5="",'상세일정'!AM143="제외"),"",IF($D143=$E143,IF(AND($D143&gt;=I$5,$D143&lt;I$5+7),"◆",""),IF(AND($D143&lt;I$5+7,$E143&gt;I$5),"■","")))</x:f>
      </x:c>
      <x:c r="J143" s="7" t="str">
        <x:f>IF(OR($D143="",J$5="",'상세일정'!AM143="제외"),"",IF($D143=$E143,IF(AND($D143&gt;=J$5,$D143&lt;J$5+7),"◆",""),IF(AND($D143&lt;J$5+7,$E143&gt;J$5),"■","")))</x:f>
      </x:c>
      <x:c r="K143" s="7" t="str">
        <x:f>IF(OR($D143="",K$5="",'상세일정'!AM143="제외"),"",IF($D143=$E143,IF(AND($D143&gt;=K$5,$D143&lt;K$5+7),"◆",""),IF(AND($D143&lt;K$5+7,$E143&gt;K$5),"■","")))</x:f>
      </x:c>
      <x:c r="L143" s="7" t="str">
        <x:f>IF(OR($D143="",L$5="",'상세일정'!AM143="제외"),"",IF($D143=$E143,IF(AND($D143&gt;=L$5,$D143&lt;L$5+7),"◆",""),IF(AND($D143&lt;L$5+7,$E143&gt;L$5),"■","")))</x:f>
      </x:c>
      <x:c r="M143" s="7" t="str">
        <x:f>IF(OR($D143="",M$5="",'상세일정'!AM143="제외"),"",IF($D143=$E143,IF(AND($D143&gt;=M$5,$D143&lt;M$5+7),"◆",""),IF(AND($D143&lt;M$5+7,$E143&gt;M$5),"■","")))</x:f>
      </x:c>
      <x:c r="N143" s="7" t="str">
        <x:f>IF(OR($D143="",N$5="",'상세일정'!AM143="제외"),"",IF($D143=$E143,IF(AND($D143&gt;=N$5,$D143&lt;N$5+7),"◆",""),IF(AND($D143&lt;N$5+7,$E143&gt;N$5),"■","")))</x:f>
      </x:c>
      <x:c r="O143" s="7" t="str">
        <x:f>IF(OR($D143="",O$5="",'상세일정'!AM143="제외"),"",IF($D143=$E143,IF(AND($D143&gt;=O$5,$D143&lt;O$5+7),"◆",""),IF(AND($D143&lt;O$5+7,$E143&gt;O$5),"■","")))</x:f>
      </x:c>
      <x:c r="P143" s="7" t="str">
        <x:f>IF(OR($D143="",P$5="",'상세일정'!AM143="제외"),"",IF($D143=$E143,IF(AND($D143&gt;=P$5,$D143&lt;P$5+7),"◆",""),IF(AND($D143&lt;P$5+7,$E143&gt;P$5),"■","")))</x:f>
      </x:c>
      <x:c r="Q143" s="7" t="str">
        <x:f>IF(OR($D143="",Q$5="",'상세일정'!AM143="제외"),"",IF($D143=$E143,IF(AND($D143&gt;=Q$5,$D143&lt;Q$5+7),"◆",""),IF(AND($D143&lt;Q$5+7,$E143&gt;Q$5),"■","")))</x:f>
      </x:c>
      <x:c r="R143" s="7" t="str">
        <x:f>IF(OR($D143="",R$5="",'상세일정'!AM143="제외"),"",IF($D143=$E143,IF(AND($D143&gt;=R$5,$D143&lt;R$5+7),"◆",""),IF(AND($D143&lt;R$5+7,$E143&gt;R$5),"■","")))</x:f>
      </x:c>
      <x:c r="S143" s="7" t="str">
        <x:f>IF(OR($D143="",S$5="",'상세일정'!AM143="제외"),"",IF($D143=$E143,IF(AND($D143&gt;=S$5,$D143&lt;S$5+7),"◆",""),IF(AND($D143&lt;S$5+7,$E143&gt;S$5),"■","")))</x:f>
      </x:c>
      <x:c r="T143" s="7" t="str">
        <x:f>IF(OR($D143="",T$5="",'상세일정'!AM143="제외"),"",IF($D143=$E143,IF(AND($D143&gt;=T$5,$D143&lt;T$5+7),"◆",""),IF(AND($D143&lt;T$5+7,$E143&gt;T$5),"■","")))</x:f>
      </x:c>
      <x:c r="U143" s="7" t="str">
        <x:f>IF(OR($D143="",U$5="",'상세일정'!AM143="제외"),"",IF($D143=$E143,IF(AND($D143&gt;=U$5,$D143&lt;U$5+7),"◆",""),IF(AND($D143&lt;U$5+7,$E143&gt;U$5),"■","")))</x:f>
      </x:c>
      <x:c r="V143" s="7" t="str">
        <x:f>IF(OR($D143="",V$5="",'상세일정'!AM143="제외"),"",IF($D143=$E143,IF(AND($D143&gt;=V$5,$D143&lt;V$5+7),"◆",""),IF(AND($D143&lt;V$5+7,$E143&gt;V$5),"■","")))</x:f>
      </x:c>
      <x:c r="W143" s="7" t="str">
        <x:f>IF(OR($D143="",W$5="",'상세일정'!AM143="제외"),"",IF($D143=$E143,IF(AND($D143&gt;=W$5,$D143&lt;W$5+7),"◆",""),IF(AND($D143&lt;W$5+7,$E143&gt;W$5),"■","")))</x:f>
      </x:c>
      <x:c r="X143" s="7" t="str">
        <x:f>IF(OR($D143="",X$5="",'상세일정'!AM143="제외"),"",IF($D143=$E143,IF(AND($D143&gt;=X$5,$D143&lt;X$5+7),"◆",""),IF(AND($D143&lt;X$5+7,$E143&gt;X$5),"■","")))</x:f>
      </x:c>
      <x:c r="Y143" s="7" t="str">
        <x:f>IF(OR($D143="",Y$5="",'상세일정'!AM143="제외"),"",IF($D143=$E143,IF(AND($D143&gt;=Y$5,$D143&lt;Y$5+7),"◆",""),IF(AND($D143&lt;Y$5+7,$E143&gt;Y$5),"■","")))</x:f>
      </x:c>
      <x:c r="Z143" s="7" t="str">
        <x:f>IF(OR($D143="",Z$5="",'상세일정'!AM143="제외"),"",IF($D143=$E143,IF(AND($D143&gt;=Z$5,$D143&lt;Z$5+7),"◆",""),IF(AND($D143&lt;Z$5+7,$E143&gt;Z$5),"■","")))</x:f>
      </x:c>
      <x:c r="AA143" s="7" t="str">
        <x:f>IF(OR($D143="",AA$5="",'상세일정'!AM143="제외"),"",IF($D143=$E143,IF(AND($D143&gt;=AA$5,$D143&lt;AA$5+7),"◆",""),IF(AND($D143&lt;AA$5+7,$E143&gt;AA$5),"■","")))</x:f>
      </x:c>
      <x:c r="AB143" s="7" t="str">
        <x:f>IF(OR($D143="",AB$5="",'상세일정'!AM143="제외"),"",IF($D143=$E143,IF(AND($D143&gt;=AB$5,$D143&lt;AB$5+7),"◆",""),IF(AND($D143&lt;AB$5+7,$E143&gt;AB$5),"■","")))</x:f>
      </x:c>
      <x:c r="AC143" s="7" t="str">
        <x:f>IF(OR($D143="",AC$5="",'상세일정'!AM143="제외"),"",IF($D143=$E143,IF(AND($D143&gt;=AC$5,$D143&lt;AC$5+7),"◆",""),IF(AND($D143&lt;AC$5+7,$E143&gt;AC$5),"■","")))</x:f>
      </x:c>
      <x:c r="AD143" s="7" t="str">
        <x:f>IF(OR($D143="",AD$5="",'상세일정'!AM143="제외"),"",IF($D143=$E143,IF(AND($D143&gt;=AD$5,$D143&lt;AD$5+7),"◆",""),IF(AND($D143&lt;AD$5+7,$E143&gt;AD$5),"■","")))</x:f>
      </x:c>
      <x:c r="AE143" s="7" t="str">
        <x:f>IF(OR($D143="",AE$5="",'상세일정'!AM143="제외"),"",IF($D143=$E143,IF(AND($D143&gt;=AE$5,$D143&lt;AE$5+7),"◆",""),IF(AND($D143&lt;AE$5+7,$E143&gt;AE$5),"■","")))</x:f>
      </x:c>
      <x:c r="AF143" s="7" t="str">
        <x:f>IF(OR($D143="",AF$5="",'상세일정'!AM143="제외"),"",IF($D143=$E143,IF(AND($D143&gt;=AF$5,$D143&lt;AF$5+7),"◆",""),IF(AND($D143&lt;AF$5+7,$E143&gt;AF$5),"■","")))</x:f>
      </x:c>
      <x:c r="AG143" s="7" t="str">
        <x:f>IF(OR($D143="",AG$5="",'상세일정'!AM143="제외"),"",IF($D143=$E143,IF(AND($D143&gt;=AG$5,$D143&lt;AG$5+7),"◆",""),IF(AND($D143&lt;AG$5+7,$E143&gt;AG$5),"■","")))</x:f>
      </x:c>
      <x:c r="AH143" s="7" t="str">
        <x:f>IF(OR($D143="",AH$5="",'상세일정'!AM143="제외"),"",IF($D143=$E143,IF(AND($D143&gt;=AH$5,$D143&lt;AH$5+7),"◆",""),IF(AND($D143&lt;AH$5+7,$E143&gt;AH$5),"■","")))</x:f>
      </x:c>
      <x:c r="AI143" s="7" t="str">
        <x:f>IF(OR($D143="",AI$5="",'상세일정'!AM143="제외"),"",IF($D143=$E143,IF(AND($D143&gt;=AI$5,$D143&lt;AI$5+7),"◆",""),IF(AND($D143&lt;AI$5+7,$E143&gt;AI$5),"■","")))</x:f>
      </x:c>
      <x:c r="AJ143" s="7" t="str">
        <x:f>IF(OR($D143="",AJ$5="",'상세일정'!AM143="제외"),"",IF($D143=$E143,IF(AND($D143&gt;=AJ$5,$D143&lt;AJ$5+7),"◆",""),IF(AND($D143&lt;AJ$5+7,$E143&gt;AJ$5),"■","")))</x:f>
      </x:c>
      <x:c r="AK143" s="7" t="str">
        <x:f>IF(OR($D143="",AK$5="",'상세일정'!AM143="제외"),"",IF($D143=$E143,IF(AND($D143&gt;=AK$5,$D143&lt;AK$5+7),"◆",""),IF(AND($D143&lt;AK$5+7,$E143&gt;AK$5),"■","")))</x:f>
      </x:c>
      <x:c r="AL143" s="7" t="str">
        <x:f>IF(OR($D143="",AL$5="",'상세일정'!AM143="제외"),"",IF($D143=$E143,IF(AND($D143&gt;=AL$5,$D143&lt;AL$5+7),"◆",""),IF(AND($D143&lt;AL$5+7,$E143&gt;AL$5),"■","")))</x:f>
      </x:c>
      <x:c r="AM143" s="7" t="str">
        <x:f>IF(OR($D143="",AM$5="",'상세일정'!AM143="제외"),"",IF($D143=$E143,IF(AND($D143&gt;=AM$5,$D143&lt;AM$5+7),"◆",""),IF(AND($D143&lt;AM$5+7,$E143&gt;AM$5),"■","")))</x:f>
      </x:c>
      <x:c r="AN143" s="7" t="str">
        <x:f>IF(OR($D143="",AN$5="",'상세일정'!AM143="제외"),"",IF($D143=$E143,IF(AND($D143&gt;=AN$5,$D143&lt;AN$5+7),"◆",""),IF(AND($D143&lt;AN$5+7,$E143&gt;AN$5),"■","")))</x:f>
      </x:c>
      <x:c r="AO143" s="7" t="str">
        <x:f>IF(OR($D143="",AO$5="",'상세일정'!AM143="제외"),"",IF($D143=$E143,IF(AND($D143&gt;=AO$5,$D143&lt;AO$5+7),"◆",""),IF(AND($D143&lt;AO$5+7,$E143&gt;AO$5),"■","")))</x:f>
      </x:c>
      <x:c r="AP143" s="7" t="str">
        <x:f>IF(OR($D143="",AP$5="",'상세일정'!AM143="제외"),"",IF($D143=$E143,IF(AND($D143&gt;=AP$5,$D143&lt;AP$5+7),"◆",""),IF(AND($D143&lt;AP$5+7,$E143&gt;AP$5),"■","")))</x:f>
      </x:c>
      <x:c r="AQ143" s="7" t="str">
        <x:f>IF(OR($D143="",AQ$5="",'상세일정'!AM143="제외"),"",IF($D143=$E143,IF(AND($D143&gt;=AQ$5,$D143&lt;AQ$5+7),"◆",""),IF(AND($D143&lt;AQ$5+7,$E143&gt;AQ$5),"■","")))</x:f>
      </x:c>
      <x:c r="AR143" s="7" t="str">
        <x:f>IF(OR($D143="",AR$5="",'상세일정'!AM143="제외"),"",IF($D143=$E143,IF(AND($D143&gt;=AR$5,$D143&lt;AR$5+7),"◆",""),IF(AND($D143&lt;AR$5+7,$E143&gt;AR$5),"■","")))</x:f>
      </x:c>
      <x:c r="AS143" s="7" t="str">
        <x:f>IF(OR($D143="",AS$5="",'상세일정'!AM143="제외"),"",IF($D143=$E143,IF(AND($D143&gt;=AS$5,$D143&lt;AS$5+7),"◆",""),IF(AND($D143&lt;AS$5+7,$E143&gt;AS$5),"■","")))</x:f>
      </x:c>
      <x:c r="AT143" s="7" t="str">
        <x:f>IF(OR($D143="",AT$5="",'상세일정'!AM143="제외"),"",IF($D143=$E143,IF(AND($D143&gt;=AT$5,$D143&lt;AT$5+7),"◆",""),IF(AND($D143&lt;AT$5+7,$E143&gt;AT$5),"■","")))</x:f>
      </x:c>
      <x:c r="AU143" s="7" t="str">
        <x:f>IF(OR($D143="",AU$5="",'상세일정'!AM143="제외"),"",IF($D143=$E143,IF(AND($D143&gt;=AU$5,$D143&lt;AU$5+7),"◆",""),IF(AND($D143&lt;AU$5+7,$E143&gt;AU$5),"■","")))</x:f>
      </x:c>
      <x:c r="AV143" s="7" t="str">
        <x:f>IF(OR($D143="",AV$5="",'상세일정'!AM143="제외"),"",IF($D143=$E143,IF(AND($D143&gt;=AV$5,$D143&lt;AV$5+7),"◆",""),IF(AND($D143&lt;AV$5+7,$E143&gt;AV$5),"■","")))</x:f>
      </x:c>
      <x:c r="AW143" s="7" t="str">
        <x:f>IF(OR($D143="",AW$5="",'상세일정'!AM143="제외"),"",IF($D143=$E143,IF(AND($D143&gt;=AW$5,$D143&lt;AW$5+7),"◆",""),IF(AND($D143&lt;AW$5+7,$E143&gt;AW$5),"■","")))</x:f>
      </x:c>
      <x:c r="AX143" s="7" t="str">
        <x:f>IF(OR($D143="",AX$5="",'상세일정'!AM143="제외"),"",IF($D143=$E143,IF(AND($D143&gt;=AX$5,$D143&lt;AX$5+7),"◆",""),IF(AND($D143&lt;AX$5+7,$E143&gt;AX$5),"■","")))</x:f>
      </x:c>
      <x:c r="AY143" s="7" t="str">
        <x:f>IF(OR($D143="",AY$5="",'상세일정'!AM143="제외"),"",IF($D143=$E143,IF(AND($D143&gt;=AY$5,$D143&lt;AY$5+7),"◆",""),IF(AND($D143&lt;AY$5+7,$E143&gt;AY$5),"■","")))</x:f>
      </x:c>
      <x:c r="AZ143" s="7" t="str">
        <x:f>IF(OR($D143="",AZ$5="",'상세일정'!AM143="제외"),"",IF($D143=$E143,IF(AND($D143&gt;=AZ$5,$D143&lt;AZ$5+7),"◆",""),IF(AND($D143&lt;AZ$5+7,$E143&gt;AZ$5),"■","")))</x:f>
      </x:c>
      <x:c r="BA143" s="7" t="str">
        <x:f>IF(OR($D143="",BA$5="",'상세일정'!AM143="제외"),"",IF($D143=$E143,IF(AND($D143&gt;=BA$5,$D143&lt;BA$5+7),"◆",""),IF(AND($D143&lt;BA$5+7,$E143&gt;BA$5),"■","")))</x:f>
      </x:c>
      <x:c r="BB143" s="7" t="str">
        <x:f>IF(OR($D143="",BB$5="",'상세일정'!AM143="제외"),"",IF($D143=$E143,IF(AND($D143&gt;=BB$5,$D143&lt;BB$5+7),"◆",""),IF(AND($D143&lt;BB$5+7,$E143&gt;BB$5),"■","")))</x:f>
      </x:c>
      <x:c r="BC143" s="7" t="str">
        <x:f>IF(OR($D143="",BC$5="",'상세일정'!AM143="제외"),"",IF($D143=$E143,IF(AND($D143&gt;=BC$5,$D143&lt;BC$5+7),"◆",""),IF(AND($D143&lt;BC$5+7,$E143&gt;BC$5),"■","")))</x:f>
      </x:c>
      <x:c r="BD143" s="7" t="str">
        <x:f>IF(OR($D143="",BD$5="",'상세일정'!AM143="제외"),"",IF($D143=$E143,IF(AND($D143&gt;=BD$5,$D143&lt;BD$5+7),"◆",""),IF(AND($D143&lt;BD$5+7,$E143&gt;BD$5),"■","")))</x:f>
      </x:c>
      <x:c r="BE143" s="7" t="str">
        <x:f>IF(OR($D143="",BE$5="",'상세일정'!AM143="제외"),"",IF($D143=$E143,IF(AND($D143&gt;=BE$5,$D143&lt;BE$5+7),"◆",""),IF(AND($D143&lt;BE$5+7,$E143&gt;BE$5),"■","")))</x:f>
      </x:c>
      <x:c r="BF143" s="7" t="str">
        <x:f>IF(OR($D143="",BF$5="",'상세일정'!AM143="제외"),"",IF($D143=$E143,IF(AND($D143&gt;=BF$5,$D143&lt;BF$5+7),"◆",""),IF(AND($D143&lt;BF$5+7,$E143&gt;BF$5),"■","")))</x:f>
      </x:c>
      <x:c r="BG143" s="7" t="str">
        <x:f>IF(OR($D143="",BG$5="",'상세일정'!AM143="제외"),"",IF($D143=$E143,IF(AND($D143&gt;=BG$5,$D143&lt;BG$5+7),"◆",""),IF(AND($D143&lt;BG$5+7,$E143&gt;BG$5),"■","")))</x:f>
      </x:c>
      <x:c r="BH143" s="7" t="str">
        <x:f>IF(OR($D143="",BH$5="",'상세일정'!AM143="제외"),"",IF($D143=$E143,IF(AND($D143&gt;=BH$5,$D143&lt;BH$5+7),"◆",""),IF(AND($D143&lt;BH$5+7,$E143&gt;BH$5),"■","")))</x:f>
      </x:c>
      <x:c r="BI143" s="7" t="str">
        <x:f>IF(OR($D143="",BI$5="",'상세일정'!AM143="제외"),"",IF($D143=$E143,IF(AND($D143&gt;=BI$5,$D143&lt;BI$5+7),"◆",""),IF(AND($D143&lt;BI$5+7,$E143&gt;BI$5),"■","")))</x:f>
      </x:c>
      <x:c r="BJ143" s="7" t="str">
        <x:f>IF(OR($D143="",BJ$5="",'상세일정'!AM143="제외"),"",IF($D143=$E143,IF(AND($D143&gt;=BJ$5,$D143&lt;BJ$5+7),"◆",""),IF(AND($D143&lt;BJ$5+7,$E143&gt;BJ$5),"■","")))</x:f>
      </x:c>
      <x:c r="BK143" s="7" t="str">
        <x:f>IF(OR($D143="",BK$5="",'상세일정'!AM143="제외"),"",IF($D143=$E143,IF(AND($D143&gt;=BK$5,$D143&lt;BK$5+7),"◆",""),IF(AND($D143&lt;BK$5+7,$E143&gt;BK$5),"■","")))</x:f>
      </x:c>
      <x:c r="BL143" s="7" t="str">
        <x:f>IF(OR($D143="",BL$5="",'상세일정'!AM143="제외"),"",IF($D143=$E143,IF(AND($D143&gt;=BL$5,$D143&lt;BL$5+7),"◆",""),IF(AND($D143&lt;BL$5+7,$E143&gt;BL$5),"■","")))</x:f>
      </x:c>
      <x:c r="BM143" s="7" t="str">
        <x:f>IF(OR($D143="",BM$5="",'상세일정'!AM143="제외"),"",IF($D143=$E143,IF(AND($D143&gt;=BM$5,$D143&lt;BM$5+7),"◆",""),IF(AND($D143&lt;BM$5+7,$E143&gt;BM$5),"■","")))</x:f>
      </x:c>
      <x:c r="BN143" s="7" t="str">
        <x:f>IF(OR($D143="",BN$5="",'상세일정'!AM143="제외"),"",IF($D143=$E143,IF(AND($D143&gt;=BN$5,$D143&lt;BN$5+7),"◆",""),IF(AND($D143&lt;BN$5+7,$E143&gt;BN$5),"■","")))</x:f>
      </x:c>
      <x:c r="BO143" s="7" t="str">
        <x:f>IF(OR($D143="",BO$5="",'상세일정'!AM143="제외"),"",IF($D143=$E143,IF(AND($D143&gt;=BO$5,$D143&lt;BO$5+7),"◆",""),IF(AND($D143&lt;BO$5+7,$E143&gt;BO$5),"■","")))</x:f>
      </x:c>
      <x:c r="BP143" s="7" t="str">
        <x:f>IF(OR($D143="",BP$5="",'상세일정'!AM143="제외"),"",IF($D143=$E143,IF(AND($D143&gt;=BP$5,$D143&lt;BP$5+7),"◆",""),IF(AND($D143&lt;BP$5+7,$E143&gt;BP$5),"■","")))</x:f>
      </x:c>
      <x:c r="BQ143" s="7" t="str">
        <x:f>IF(OR($D143="",BQ$5="",'상세일정'!AM143="제외"),"",IF($D143=$E143,IF(AND($D143&gt;=BQ$5,$D143&lt;BQ$5+7),"◆",""),IF(AND($D143&lt;BQ$5+7,$E143&gt;BQ$5),"■","")))</x:f>
      </x:c>
      <x:c r="BR143" s="7" t="str">
        <x:f>IF(OR($D143="",BR$5="",'상세일정'!AM143="제외"),"",IF($D143=$E143,IF(AND($D143&gt;=BR$5,$D143&lt;BR$5+7),"◆",""),IF(AND($D143&lt;BR$5+7,$E143&gt;BR$5),"■","")))</x:f>
      </x:c>
      <x:c r="BS143" s="7" t="str">
        <x:f>IF(OR($D143="",BS$5="",'상세일정'!AM143="제외"),"",IF($D143=$E143,IF(AND($D143&gt;=BS$5,$D143&lt;BS$5+7),"◆",""),IF(AND($D143&lt;BS$5+7,$E143&gt;BS$5),"■","")))</x:f>
      </x:c>
      <x:c r="BT143" s="7" t="str">
        <x:f>IF(OR($D143="",BT$5="",'상세일정'!AM143="제외"),"",IF($D143=$E143,IF(AND($D143&gt;=BT$5,$D143&lt;BT$5+7),"◆",""),IF(AND($D143&lt;BT$5+7,$E143&gt;BT$5),"■","")))</x:f>
      </x:c>
      <x:c r="BU143" s="7" t="str">
        <x:f>IF(OR($D143="",BU$5="",'상세일정'!AM143="제외"),"",IF($D143=$E143,IF(AND($D143&gt;=BU$5,$D143&lt;BU$5+7),"◆",""),IF(AND($D143&lt;BU$5+7,$E143&gt;BU$5),"■","")))</x:f>
      </x:c>
      <x:c r="BV143" s="7" t="str">
        <x:f>IF(OR($D143="",BV$5="",'상세일정'!AM143="제외"),"",IF($D143=$E143,IF(AND($D143&gt;=BV$5,$D143&lt;BV$5+7),"◆",""),IF(AND($D143&lt;BV$5+7,$E143&gt;BV$5),"■","")))</x:f>
      </x:c>
      <x:c r="BW143" s="7" t="str">
        <x:f>IF(OR($D143="",BW$5="",'상세일정'!AM143="제외"),"",IF($D143=$E143,IF(AND($D143&gt;=BW$5,$D143&lt;BW$5+7),"◆",""),IF(AND($D143&lt;BW$5+7,$E143&gt;BW$5),"■","")))</x:f>
      </x:c>
      <x:c r="BX143" s="7" t="str">
        <x:f>IF(OR($D143="",BX$5="",'상세일정'!AM143="제외"),"",IF($D143=$E143,IF(AND($D143&gt;=BX$5,$D143&lt;BX$5+7),"◆",""),IF(AND($D143&lt;BX$5+7,$E143&gt;BX$5),"■","")))</x:f>
      </x:c>
      <x:c r="BY143" s="7" t="str">
        <x:f>IF(OR($D143="",BY$5="",'상세일정'!AM143="제외"),"",IF($D143=$E143,IF(AND($D143&gt;=BY$5,$D143&lt;BY$5+7),"◆",""),IF(AND($D143&lt;BY$5+7,$E143&gt;BY$5),"■","")))</x:f>
      </x:c>
      <x:c r="BZ143" s="7" t="str">
        <x:f>IF(OR($D143="",BZ$5="",'상세일정'!AM143="제외"),"",IF($D143=$E143,IF(AND($D143&gt;=BZ$5,$D143&lt;BZ$5+7),"◆",""),IF(AND($D143&lt;BZ$5+7,$E143&gt;BZ$5),"■","")))</x:f>
      </x:c>
      <x:c r="CA143" s="7" t="str">
        <x:f>IF(OR($D143="",CA$5="",'상세일정'!AM143="제외"),"",IF($D143=$E143,IF(AND($D143&gt;=CA$5,$D143&lt;CA$5+7),"◆",""),IF(AND($D143&lt;CA$5+7,$E143&gt;CA$5),"■","")))</x:f>
      </x:c>
      <x:c r="CB143" s="7" t="str">
        <x:f>IF(OR($D143="",CB$5="",'상세일정'!AM143="제외"),"",IF($D143=$E143,IF(AND($D143&gt;=CB$5,$D143&lt;CB$5+7),"◆",""),IF(AND($D143&lt;CB$5+7,$E143&gt;CB$5),"■","")))</x:f>
      </x:c>
      <x:c r="CC143" s="7" t="str">
        <x:f>IF(OR($D143="",CC$5="",'상세일정'!AM143="제외"),"",IF($D143=$E143,IF(AND($D143&gt;=CC$5,$D143&lt;CC$5+7),"◆",""),IF(AND($D143&lt;CC$5+7,$E143&gt;CC$5),"■","")))</x:f>
      </x:c>
      <x:c r="CD143" s="7" t="str">
        <x:f>IF(OR($D143="",CD$5="",'상세일정'!AM143="제외"),"",IF($D143=$E143,IF(AND($D143&gt;=CD$5,$D143&lt;CD$5+7),"◆",""),IF(AND($D143&lt;CD$5+7,$E143&gt;CD$5),"■","")))</x:f>
      </x:c>
      <x:c r="CE143" s="7" t="str">
        <x:f>IF(OR($D143="",CE$5="",'상세일정'!AM143="제외"),"",IF($D143=$E143,IF(AND($D143&gt;=CE$5,$D143&lt;CE$5+7),"◆",""),IF(AND($D143&lt;CE$5+7,$E143&gt;CE$5),"■","")))</x:f>
      </x:c>
      <x:c r="CF143" s="7" t="str">
        <x:f>IF(OR($D143="",CF$5="",'상세일정'!AM143="제외"),"",IF($D143=$E143,IF(AND($D143&gt;=CF$5,$D143&lt;CF$5+7),"◆",""),IF(AND($D143&lt;CF$5+7,$E143&gt;CF$5),"■","")))</x:f>
      </x:c>
      <x:c r="CG143" s="7" t="str">
        <x:f>IF(OR($D143="",CG$5="",'상세일정'!AM143="제외"),"",IF($D143=$E143,IF(AND($D143&gt;=CG$5,$D143&lt;CG$5+7),"◆",""),IF(AND($D143&lt;CG$5+7,$E143&gt;CG$5),"■","")))</x:f>
      </x:c>
      <x:c r="CH143" s="7" t="str">
        <x:f>IF(OR($D143="",CH$5="",'상세일정'!AM143="제외"),"",IF($D143=$E143,IF(AND($D143&gt;=CH$5,$D143&lt;CH$5+7),"◆",""),IF(AND($D143&lt;CH$5+7,$E143&gt;CH$5),"■","")))</x:f>
      </x:c>
      <x:c r="CI143" s="7" t="str">
        <x:f>IF(OR($D143="",CI$5="",'상세일정'!AM143="제외"),"",IF($D143=$E143,IF(AND($D143&gt;=CI$5,$D143&lt;CI$5+7),"◆",""),IF(AND($D143&lt;CI$5+7,$E143&gt;CI$5),"■","")))</x:f>
      </x:c>
      <x:c r="CJ143" s="7" t="str">
        <x:f>IF(OR($D143="",CJ$5="",'상세일정'!AM143="제외"),"",IF($D143=$E143,IF(AND($D143&gt;=CJ$5,$D143&lt;CJ$5+7),"◆",""),IF(AND($D143&lt;CJ$5+7,$E143&gt;CJ$5),"■","")))</x:f>
      </x:c>
      <x:c r="CK143" s="7" t="str">
        <x:f>IF(OR($D143="",CK$5="",'상세일정'!AM143="제외"),"",IF($D143=$E143,IF(AND($D143&gt;=CK$5,$D143&lt;CK$5+7),"◆",""),IF(AND($D143&lt;CK$5+7,$E143&gt;CK$5),"■","")))</x:f>
      </x:c>
      <x:c r="CL143" s="7" t="str">
        <x:f>IF(OR($D143="",CL$5="",'상세일정'!AM143="제외"),"",IF($D143=$E143,IF(AND($D143&gt;=CL$5,$D143&lt;CL$5+7),"◆",""),IF(AND($D143&lt;CL$5+7,$E143&gt;CL$5),"■","")))</x:f>
      </x:c>
      <x:c r="CM143" s="7" t="str">
        <x:f>IF(OR($D143="",CM$5="",'상세일정'!AM143="제외"),"",IF($D143=$E143,IF(AND($D143&gt;=CM$5,$D143&lt;CM$5+7),"◆",""),IF(AND($D143&lt;CM$5+7,$E143&gt;CM$5),"■","")))</x:f>
      </x:c>
      <x:c r="CN143" s="7" t="str">
        <x:f>IF(OR($D143="",CN$5="",'상세일정'!AM143="제외"),"",IF($D143=$E143,IF(AND($D143&gt;=CN$5,$D143&lt;CN$5+7),"◆",""),IF(AND($D143&lt;CN$5+7,$E143&gt;CN$5),"■","")))</x:f>
      </x:c>
      <x:c r="CO143" s="7" t="str">
        <x:f>IF(OR($D143="",CO$5="",'상세일정'!AM143="제외"),"",IF($D143=$E143,IF(AND($D143&gt;=CO$5,$D143&lt;CO$5+7),"◆",""),IF(AND($D143&lt;CO$5+7,$E143&gt;CO$5),"■","")))</x:f>
      </x:c>
      <x:c r="CP143" s="7" t="str">
        <x:f>IF(OR($D143="",CP$5="",'상세일정'!AM143="제외"),"",IF($D143=$E143,IF(AND($D143&gt;=CP$5,$D143&lt;CP$5+7),"◆",""),IF(AND($D143&lt;CP$5+7,$E143&gt;CP$5),"■","")))</x:f>
      </x:c>
      <x:c r="CQ143" s="7" t="str">
        <x:f>IF(OR($D143="",CQ$5="",'상세일정'!AM143="제외"),"",IF($D143=$E143,IF(AND($D143&gt;=CQ$5,$D143&lt;CQ$5+7),"◆",""),IF(AND($D143&lt;CQ$5+7,$E143&gt;CQ$5),"■","")))</x:f>
      </x:c>
      <x:c r="CR143" s="7" t="str">
        <x:f>IF(OR($D143="",CR$5="",'상세일정'!AM143="제외"),"",IF($D143=$E143,IF(AND($D143&gt;=CR$5,$D143&lt;CR$5+7),"◆",""),IF(AND($D143&lt;CR$5+7,$E143&gt;CR$5),"■","")))</x:f>
      </x:c>
      <x:c r="CS143" s="7" t="str">
        <x:f>IF(OR($D143="",CS$5="",'상세일정'!AM143="제외"),"",IF($D143=$E143,IF(AND($D143&gt;=CS$5,$D143&lt;CS$5+7),"◆",""),IF(AND($D143&lt;CS$5+7,$E143&gt;CS$5),"■","")))</x:f>
      </x:c>
      <x:c r="CT143" s="7" t="str">
        <x:f>IF(OR($D143="",CT$5="",'상세일정'!AM143="제외"),"",IF($D143=$E143,IF(AND($D143&gt;=CT$5,$D143&lt;CT$5+7),"◆",""),IF(AND($D143&lt;CT$5+7,$E143&gt;CT$5),"■","")))</x:f>
      </x:c>
      <x:c r="CU143" s="7" t="str">
        <x:f>IF(OR($D143="",CU$5="",'상세일정'!AM143="제외"),"",IF($D143=$E143,IF(AND($D143&gt;=CU$5,$D143&lt;CU$5+7),"◆",""),IF(AND($D143&lt;CU$5+7,$E143&gt;CU$5),"■","")))</x:f>
      </x:c>
      <x:c r="CV143" s="7" t="str">
        <x:f>IF(OR($D143="",CV$5="",'상세일정'!AM143="제외"),"",IF($D143=$E143,IF(AND($D143&gt;=CV$5,$D143&lt;CV$5+7),"◆",""),IF(AND($D143&lt;CV$5+7,$E143&gt;CV$5),"■","")))</x:f>
      </x:c>
      <x:c r="CW143" s="7" t="str">
        <x:f>IF(OR($D143="",CW$5="",'상세일정'!AM143="제외"),"",IF($D143=$E143,IF(AND($D143&gt;=CW$5,$D143&lt;CW$5+7),"◆",""),IF(AND($D143&lt;CW$5+7,$E143&gt;CW$5),"■","")))</x:f>
      </x:c>
      <x:c r="CX143" s="7" t="str">
        <x:f>IF(OR($D143="",CX$5="",'상세일정'!AM143="제외"),"",IF($D143=$E143,IF(AND($D143&gt;=CX$5,$D143&lt;CX$5+7),"◆",""),IF(AND($D143&lt;CX$5+7,$E143&gt;CX$5),"■","")))</x:f>
      </x:c>
      <x:c r="CY143" s="7" t="str">
        <x:f>IF(OR($D143="",CY$5="",'상세일정'!AM143="제외"),"",IF($D143=$E143,IF(AND($D143&gt;=CY$5,$D143&lt;CY$5+7),"◆",""),IF(AND($D143&lt;CY$5+7,$E143&gt;CY$5),"■","")))</x:f>
      </x:c>
      <x:c r="CZ143" s="7" t="str">
        <x:f>IF(OR($D143="",CZ$5="",'상세일정'!AM143="제외"),"",IF($D143=$E143,IF(AND($D143&gt;=CZ$5,$D143&lt;CZ$5+7),"◆",""),IF(AND($D143&lt;CZ$5+7,$E143&gt;CZ$5),"■","")))</x:f>
      </x:c>
      <x:c r="DA143" s="7" t="str">
        <x:f>IF(OR($D143="",DA$5="",'상세일정'!AM143="제외"),"",IF($D143=$E143,IF(AND($D143&gt;=DA$5,$D143&lt;DA$5+7),"◆",""),IF(AND($D143&lt;DA$5+7,$E143&gt;DA$5),"■","")))</x:f>
      </x:c>
      <x:c r="DB143" s="7" t="str">
        <x:f>IF(OR($D143="",DB$5="",'상세일정'!AM143="제외"),"",IF($D143=$E143,IF(AND($D143&gt;=DB$5,$D143&lt;DB$5+7),"◆",""),IF(AND($D143&lt;DB$5+7,$E143&gt;DB$5),"■","")))</x:f>
      </x:c>
      <x:c r="DC143" s="7" t="str">
        <x:f>IF(OR($D143="",DC$5="",'상세일정'!AM143="제외"),"",IF($D143=$E143,IF(AND($D143&gt;=DC$5,$D143&lt;DC$5+7),"◆",""),IF(AND($D143&lt;DC$5+7,$E143&gt;DC$5),"■","")))</x:f>
      </x:c>
      <x:c r="DD143" s="7" t="str">
        <x:f>IF(OR($D143="",DD$5="",'상세일정'!AM143="제외"),"",IF($D143=$E143,IF(AND($D143&gt;=DD$5,$D143&lt;DD$5+7),"◆",""),IF(AND($D143&lt;DD$5+7,$E143&gt;DD$5),"■","")))</x:f>
      </x:c>
      <x:c r="DE143" s="7" t="str">
        <x:f>IF(OR($D143="",DE$5="",'상세일정'!AM143="제외"),"",IF($D143=$E143,IF(AND($D143&gt;=DE$5,$D143&lt;DE$5+7),"◆",""),IF(AND($D143&lt;DE$5+7,$E143&gt;DE$5),"■","")))</x:f>
      </x:c>
    </x:row>
    <x:row r="144" ht="34" customHeight="1">
      <x:c r="A144" s="7" t="str">
        <x:v>UT02</x:v>
      </x:c>
      <x:c r="B144" s="7" t="str">
        <x:v>16 기자재 구매·제작</x:v>
      </x:c>
      <x:c r="C144" s="7" t="str">
        <x:v>IA·냉각타워·데미워터 견적/TBE·계약조건·납기 합의</x:v>
      </x:c>
      <x:c r="D144" s="10" t="str">
        <x:f>'상세일정'!AJ144</x:f>
      </x:c>
      <x:c r="E144" s="10" t="str">
        <x:f>'상세일정'!AK144</x:f>
      </x:c>
      <x:c r="F144" s="7" t="str">
        <x:f>IF(OR($D144="",F$5="",'상세일정'!AM144="제외"),"",IF($D144=$E144,IF(AND($D144&gt;=F$5,$D144&lt;F$5+7),"◆",""),IF(AND($D144&lt;F$5+7,$E144&gt;F$5),"■","")))</x:f>
      </x:c>
      <x:c r="G144" s="7" t="str">
        <x:f>IF(OR($D144="",G$5="",'상세일정'!AM144="제외"),"",IF($D144=$E144,IF(AND($D144&gt;=G$5,$D144&lt;G$5+7),"◆",""),IF(AND($D144&lt;G$5+7,$E144&gt;G$5),"■","")))</x:f>
      </x:c>
      <x:c r="H144" s="7" t="str">
        <x:f>IF(OR($D144="",H$5="",'상세일정'!AM144="제외"),"",IF($D144=$E144,IF(AND($D144&gt;=H$5,$D144&lt;H$5+7),"◆",""),IF(AND($D144&lt;H$5+7,$E144&gt;H$5),"■","")))</x:f>
      </x:c>
      <x:c r="I144" s="7" t="str">
        <x:f>IF(OR($D144="",I$5="",'상세일정'!AM144="제외"),"",IF($D144=$E144,IF(AND($D144&gt;=I$5,$D144&lt;I$5+7),"◆",""),IF(AND($D144&lt;I$5+7,$E144&gt;I$5),"■","")))</x:f>
      </x:c>
      <x:c r="J144" s="7" t="str">
        <x:f>IF(OR($D144="",J$5="",'상세일정'!AM144="제외"),"",IF($D144=$E144,IF(AND($D144&gt;=J$5,$D144&lt;J$5+7),"◆",""),IF(AND($D144&lt;J$5+7,$E144&gt;J$5),"■","")))</x:f>
      </x:c>
      <x:c r="K144" s="7" t="str">
        <x:f>IF(OR($D144="",K$5="",'상세일정'!AM144="제외"),"",IF($D144=$E144,IF(AND($D144&gt;=K$5,$D144&lt;K$5+7),"◆",""),IF(AND($D144&lt;K$5+7,$E144&gt;K$5),"■","")))</x:f>
      </x:c>
      <x:c r="L144" s="7" t="str">
        <x:f>IF(OR($D144="",L$5="",'상세일정'!AM144="제외"),"",IF($D144=$E144,IF(AND($D144&gt;=L$5,$D144&lt;L$5+7),"◆",""),IF(AND($D144&lt;L$5+7,$E144&gt;L$5),"■","")))</x:f>
      </x:c>
      <x:c r="M144" s="7" t="str">
        <x:f>IF(OR($D144="",M$5="",'상세일정'!AM144="제외"),"",IF($D144=$E144,IF(AND($D144&gt;=M$5,$D144&lt;M$5+7),"◆",""),IF(AND($D144&lt;M$5+7,$E144&gt;M$5),"■","")))</x:f>
      </x:c>
      <x:c r="N144" s="7" t="str">
        <x:f>IF(OR($D144="",N$5="",'상세일정'!AM144="제외"),"",IF($D144=$E144,IF(AND($D144&gt;=N$5,$D144&lt;N$5+7),"◆",""),IF(AND($D144&lt;N$5+7,$E144&gt;N$5),"■","")))</x:f>
      </x:c>
      <x:c r="O144" s="7" t="str">
        <x:f>IF(OR($D144="",O$5="",'상세일정'!AM144="제외"),"",IF($D144=$E144,IF(AND($D144&gt;=O$5,$D144&lt;O$5+7),"◆",""),IF(AND($D144&lt;O$5+7,$E144&gt;O$5),"■","")))</x:f>
      </x:c>
      <x:c r="P144" s="7" t="str">
        <x:f>IF(OR($D144="",P$5="",'상세일정'!AM144="제외"),"",IF($D144=$E144,IF(AND($D144&gt;=P$5,$D144&lt;P$5+7),"◆",""),IF(AND($D144&lt;P$5+7,$E144&gt;P$5),"■","")))</x:f>
      </x:c>
      <x:c r="Q144" s="7" t="str">
        <x:f>IF(OR($D144="",Q$5="",'상세일정'!AM144="제외"),"",IF($D144=$E144,IF(AND($D144&gt;=Q$5,$D144&lt;Q$5+7),"◆",""),IF(AND($D144&lt;Q$5+7,$E144&gt;Q$5),"■","")))</x:f>
      </x:c>
      <x:c r="R144" s="7" t="str">
        <x:f>IF(OR($D144="",R$5="",'상세일정'!AM144="제외"),"",IF($D144=$E144,IF(AND($D144&gt;=R$5,$D144&lt;R$5+7),"◆",""),IF(AND($D144&lt;R$5+7,$E144&gt;R$5),"■","")))</x:f>
      </x:c>
      <x:c r="S144" s="7" t="str">
        <x:f>IF(OR($D144="",S$5="",'상세일정'!AM144="제외"),"",IF($D144=$E144,IF(AND($D144&gt;=S$5,$D144&lt;S$5+7),"◆",""),IF(AND($D144&lt;S$5+7,$E144&gt;S$5),"■","")))</x:f>
      </x:c>
      <x:c r="T144" s="7" t="str">
        <x:f>IF(OR($D144="",T$5="",'상세일정'!AM144="제외"),"",IF($D144=$E144,IF(AND($D144&gt;=T$5,$D144&lt;T$5+7),"◆",""),IF(AND($D144&lt;T$5+7,$E144&gt;T$5),"■","")))</x:f>
      </x:c>
      <x:c r="U144" s="7" t="str">
        <x:f>IF(OR($D144="",U$5="",'상세일정'!AM144="제외"),"",IF($D144=$E144,IF(AND($D144&gt;=U$5,$D144&lt;U$5+7),"◆",""),IF(AND($D144&lt;U$5+7,$E144&gt;U$5),"■","")))</x:f>
      </x:c>
      <x:c r="V144" s="7" t="str">
        <x:f>IF(OR($D144="",V$5="",'상세일정'!AM144="제외"),"",IF($D144=$E144,IF(AND($D144&gt;=V$5,$D144&lt;V$5+7),"◆",""),IF(AND($D144&lt;V$5+7,$E144&gt;V$5),"■","")))</x:f>
      </x:c>
      <x:c r="W144" s="7" t="str">
        <x:f>IF(OR($D144="",W$5="",'상세일정'!AM144="제외"),"",IF($D144=$E144,IF(AND($D144&gt;=W$5,$D144&lt;W$5+7),"◆",""),IF(AND($D144&lt;W$5+7,$E144&gt;W$5),"■","")))</x:f>
      </x:c>
      <x:c r="X144" s="7" t="str">
        <x:f>IF(OR($D144="",X$5="",'상세일정'!AM144="제외"),"",IF($D144=$E144,IF(AND($D144&gt;=X$5,$D144&lt;X$5+7),"◆",""),IF(AND($D144&lt;X$5+7,$E144&gt;X$5),"■","")))</x:f>
      </x:c>
      <x:c r="Y144" s="7" t="str">
        <x:f>IF(OR($D144="",Y$5="",'상세일정'!AM144="제외"),"",IF($D144=$E144,IF(AND($D144&gt;=Y$5,$D144&lt;Y$5+7),"◆",""),IF(AND($D144&lt;Y$5+7,$E144&gt;Y$5),"■","")))</x:f>
      </x:c>
      <x:c r="Z144" s="7" t="str">
        <x:f>IF(OR($D144="",Z$5="",'상세일정'!AM144="제외"),"",IF($D144=$E144,IF(AND($D144&gt;=Z$5,$D144&lt;Z$5+7),"◆",""),IF(AND($D144&lt;Z$5+7,$E144&gt;Z$5),"■","")))</x:f>
      </x:c>
      <x:c r="AA144" s="7" t="str">
        <x:f>IF(OR($D144="",AA$5="",'상세일정'!AM144="제외"),"",IF($D144=$E144,IF(AND($D144&gt;=AA$5,$D144&lt;AA$5+7),"◆",""),IF(AND($D144&lt;AA$5+7,$E144&gt;AA$5),"■","")))</x:f>
      </x:c>
      <x:c r="AB144" s="7" t="str">
        <x:f>IF(OR($D144="",AB$5="",'상세일정'!AM144="제외"),"",IF($D144=$E144,IF(AND($D144&gt;=AB$5,$D144&lt;AB$5+7),"◆",""),IF(AND($D144&lt;AB$5+7,$E144&gt;AB$5),"■","")))</x:f>
      </x:c>
      <x:c r="AC144" s="7" t="str">
        <x:f>IF(OR($D144="",AC$5="",'상세일정'!AM144="제외"),"",IF($D144=$E144,IF(AND($D144&gt;=AC$5,$D144&lt;AC$5+7),"◆",""),IF(AND($D144&lt;AC$5+7,$E144&gt;AC$5),"■","")))</x:f>
      </x:c>
      <x:c r="AD144" s="7" t="str">
        <x:f>IF(OR($D144="",AD$5="",'상세일정'!AM144="제외"),"",IF($D144=$E144,IF(AND($D144&gt;=AD$5,$D144&lt;AD$5+7),"◆",""),IF(AND($D144&lt;AD$5+7,$E144&gt;AD$5),"■","")))</x:f>
      </x:c>
      <x:c r="AE144" s="7" t="str">
        <x:f>IF(OR($D144="",AE$5="",'상세일정'!AM144="제외"),"",IF($D144=$E144,IF(AND($D144&gt;=AE$5,$D144&lt;AE$5+7),"◆",""),IF(AND($D144&lt;AE$5+7,$E144&gt;AE$5),"■","")))</x:f>
      </x:c>
      <x:c r="AF144" s="7" t="str">
        <x:f>IF(OR($D144="",AF$5="",'상세일정'!AM144="제외"),"",IF($D144=$E144,IF(AND($D144&gt;=AF$5,$D144&lt;AF$5+7),"◆",""),IF(AND($D144&lt;AF$5+7,$E144&gt;AF$5),"■","")))</x:f>
      </x:c>
      <x:c r="AG144" s="7" t="str">
        <x:f>IF(OR($D144="",AG$5="",'상세일정'!AM144="제외"),"",IF($D144=$E144,IF(AND($D144&gt;=AG$5,$D144&lt;AG$5+7),"◆",""),IF(AND($D144&lt;AG$5+7,$E144&gt;AG$5),"■","")))</x:f>
      </x:c>
      <x:c r="AH144" s="7" t="str">
        <x:f>IF(OR($D144="",AH$5="",'상세일정'!AM144="제외"),"",IF($D144=$E144,IF(AND($D144&gt;=AH$5,$D144&lt;AH$5+7),"◆",""),IF(AND($D144&lt;AH$5+7,$E144&gt;AH$5),"■","")))</x:f>
      </x:c>
      <x:c r="AI144" s="7" t="str">
        <x:f>IF(OR($D144="",AI$5="",'상세일정'!AM144="제외"),"",IF($D144=$E144,IF(AND($D144&gt;=AI$5,$D144&lt;AI$5+7),"◆",""),IF(AND($D144&lt;AI$5+7,$E144&gt;AI$5),"■","")))</x:f>
      </x:c>
      <x:c r="AJ144" s="7" t="str">
        <x:f>IF(OR($D144="",AJ$5="",'상세일정'!AM144="제외"),"",IF($D144=$E144,IF(AND($D144&gt;=AJ$5,$D144&lt;AJ$5+7),"◆",""),IF(AND($D144&lt;AJ$5+7,$E144&gt;AJ$5),"■","")))</x:f>
      </x:c>
      <x:c r="AK144" s="7" t="str">
        <x:f>IF(OR($D144="",AK$5="",'상세일정'!AM144="제외"),"",IF($D144=$E144,IF(AND($D144&gt;=AK$5,$D144&lt;AK$5+7),"◆",""),IF(AND($D144&lt;AK$5+7,$E144&gt;AK$5),"■","")))</x:f>
      </x:c>
      <x:c r="AL144" s="7" t="str">
        <x:f>IF(OR($D144="",AL$5="",'상세일정'!AM144="제외"),"",IF($D144=$E144,IF(AND($D144&gt;=AL$5,$D144&lt;AL$5+7),"◆",""),IF(AND($D144&lt;AL$5+7,$E144&gt;AL$5),"■","")))</x:f>
      </x:c>
      <x:c r="AM144" s="7" t="str">
        <x:f>IF(OR($D144="",AM$5="",'상세일정'!AM144="제외"),"",IF($D144=$E144,IF(AND($D144&gt;=AM$5,$D144&lt;AM$5+7),"◆",""),IF(AND($D144&lt;AM$5+7,$E144&gt;AM$5),"■","")))</x:f>
      </x:c>
      <x:c r="AN144" s="7" t="str">
        <x:f>IF(OR($D144="",AN$5="",'상세일정'!AM144="제외"),"",IF($D144=$E144,IF(AND($D144&gt;=AN$5,$D144&lt;AN$5+7),"◆",""),IF(AND($D144&lt;AN$5+7,$E144&gt;AN$5),"■","")))</x:f>
      </x:c>
      <x:c r="AO144" s="7" t="str">
        <x:f>IF(OR($D144="",AO$5="",'상세일정'!AM144="제외"),"",IF($D144=$E144,IF(AND($D144&gt;=AO$5,$D144&lt;AO$5+7),"◆",""),IF(AND($D144&lt;AO$5+7,$E144&gt;AO$5),"■","")))</x:f>
      </x:c>
      <x:c r="AP144" s="7" t="str">
        <x:f>IF(OR($D144="",AP$5="",'상세일정'!AM144="제외"),"",IF($D144=$E144,IF(AND($D144&gt;=AP$5,$D144&lt;AP$5+7),"◆",""),IF(AND($D144&lt;AP$5+7,$E144&gt;AP$5),"■","")))</x:f>
      </x:c>
      <x:c r="AQ144" s="7" t="str">
        <x:f>IF(OR($D144="",AQ$5="",'상세일정'!AM144="제외"),"",IF($D144=$E144,IF(AND($D144&gt;=AQ$5,$D144&lt;AQ$5+7),"◆",""),IF(AND($D144&lt;AQ$5+7,$E144&gt;AQ$5),"■","")))</x:f>
      </x:c>
      <x:c r="AR144" s="7" t="str">
        <x:f>IF(OR($D144="",AR$5="",'상세일정'!AM144="제외"),"",IF($D144=$E144,IF(AND($D144&gt;=AR$5,$D144&lt;AR$5+7),"◆",""),IF(AND($D144&lt;AR$5+7,$E144&gt;AR$5),"■","")))</x:f>
      </x:c>
      <x:c r="AS144" s="7" t="str">
        <x:f>IF(OR($D144="",AS$5="",'상세일정'!AM144="제외"),"",IF($D144=$E144,IF(AND($D144&gt;=AS$5,$D144&lt;AS$5+7),"◆",""),IF(AND($D144&lt;AS$5+7,$E144&gt;AS$5),"■","")))</x:f>
      </x:c>
      <x:c r="AT144" s="7" t="str">
        <x:f>IF(OR($D144="",AT$5="",'상세일정'!AM144="제외"),"",IF($D144=$E144,IF(AND($D144&gt;=AT$5,$D144&lt;AT$5+7),"◆",""),IF(AND($D144&lt;AT$5+7,$E144&gt;AT$5),"■","")))</x:f>
      </x:c>
      <x:c r="AU144" s="7" t="str">
        <x:f>IF(OR($D144="",AU$5="",'상세일정'!AM144="제외"),"",IF($D144=$E144,IF(AND($D144&gt;=AU$5,$D144&lt;AU$5+7),"◆",""),IF(AND($D144&lt;AU$5+7,$E144&gt;AU$5),"■","")))</x:f>
      </x:c>
      <x:c r="AV144" s="7" t="str">
        <x:f>IF(OR($D144="",AV$5="",'상세일정'!AM144="제외"),"",IF($D144=$E144,IF(AND($D144&gt;=AV$5,$D144&lt;AV$5+7),"◆",""),IF(AND($D144&lt;AV$5+7,$E144&gt;AV$5),"■","")))</x:f>
      </x:c>
      <x:c r="AW144" s="7" t="str">
        <x:f>IF(OR($D144="",AW$5="",'상세일정'!AM144="제외"),"",IF($D144=$E144,IF(AND($D144&gt;=AW$5,$D144&lt;AW$5+7),"◆",""),IF(AND($D144&lt;AW$5+7,$E144&gt;AW$5),"■","")))</x:f>
      </x:c>
      <x:c r="AX144" s="7" t="str">
        <x:f>IF(OR($D144="",AX$5="",'상세일정'!AM144="제외"),"",IF($D144=$E144,IF(AND($D144&gt;=AX$5,$D144&lt;AX$5+7),"◆",""),IF(AND($D144&lt;AX$5+7,$E144&gt;AX$5),"■","")))</x:f>
      </x:c>
      <x:c r="AY144" s="7" t="str">
        <x:f>IF(OR($D144="",AY$5="",'상세일정'!AM144="제외"),"",IF($D144=$E144,IF(AND($D144&gt;=AY$5,$D144&lt;AY$5+7),"◆",""),IF(AND($D144&lt;AY$5+7,$E144&gt;AY$5),"■","")))</x:f>
      </x:c>
      <x:c r="AZ144" s="7" t="str">
        <x:f>IF(OR($D144="",AZ$5="",'상세일정'!AM144="제외"),"",IF($D144=$E144,IF(AND($D144&gt;=AZ$5,$D144&lt;AZ$5+7),"◆",""),IF(AND($D144&lt;AZ$5+7,$E144&gt;AZ$5),"■","")))</x:f>
      </x:c>
      <x:c r="BA144" s="7" t="str">
        <x:f>IF(OR($D144="",BA$5="",'상세일정'!AM144="제외"),"",IF($D144=$E144,IF(AND($D144&gt;=BA$5,$D144&lt;BA$5+7),"◆",""),IF(AND($D144&lt;BA$5+7,$E144&gt;BA$5),"■","")))</x:f>
      </x:c>
      <x:c r="BB144" s="7" t="str">
        <x:f>IF(OR($D144="",BB$5="",'상세일정'!AM144="제외"),"",IF($D144=$E144,IF(AND($D144&gt;=BB$5,$D144&lt;BB$5+7),"◆",""),IF(AND($D144&lt;BB$5+7,$E144&gt;BB$5),"■","")))</x:f>
      </x:c>
      <x:c r="BC144" s="7" t="str">
        <x:f>IF(OR($D144="",BC$5="",'상세일정'!AM144="제외"),"",IF($D144=$E144,IF(AND($D144&gt;=BC$5,$D144&lt;BC$5+7),"◆",""),IF(AND($D144&lt;BC$5+7,$E144&gt;BC$5),"■","")))</x:f>
      </x:c>
      <x:c r="BD144" s="7" t="str">
        <x:f>IF(OR($D144="",BD$5="",'상세일정'!AM144="제외"),"",IF($D144=$E144,IF(AND($D144&gt;=BD$5,$D144&lt;BD$5+7),"◆",""),IF(AND($D144&lt;BD$5+7,$E144&gt;BD$5),"■","")))</x:f>
      </x:c>
      <x:c r="BE144" s="7" t="str">
        <x:f>IF(OR($D144="",BE$5="",'상세일정'!AM144="제외"),"",IF($D144=$E144,IF(AND($D144&gt;=BE$5,$D144&lt;BE$5+7),"◆",""),IF(AND($D144&lt;BE$5+7,$E144&gt;BE$5),"■","")))</x:f>
      </x:c>
      <x:c r="BF144" s="7" t="str">
        <x:f>IF(OR($D144="",BF$5="",'상세일정'!AM144="제외"),"",IF($D144=$E144,IF(AND($D144&gt;=BF$5,$D144&lt;BF$5+7),"◆",""),IF(AND($D144&lt;BF$5+7,$E144&gt;BF$5),"■","")))</x:f>
      </x:c>
      <x:c r="BG144" s="7" t="str">
        <x:f>IF(OR($D144="",BG$5="",'상세일정'!AM144="제외"),"",IF($D144=$E144,IF(AND($D144&gt;=BG$5,$D144&lt;BG$5+7),"◆",""),IF(AND($D144&lt;BG$5+7,$E144&gt;BG$5),"■","")))</x:f>
      </x:c>
      <x:c r="BH144" s="7" t="str">
        <x:f>IF(OR($D144="",BH$5="",'상세일정'!AM144="제외"),"",IF($D144=$E144,IF(AND($D144&gt;=BH$5,$D144&lt;BH$5+7),"◆",""),IF(AND($D144&lt;BH$5+7,$E144&gt;BH$5),"■","")))</x:f>
      </x:c>
      <x:c r="BI144" s="7" t="str">
        <x:f>IF(OR($D144="",BI$5="",'상세일정'!AM144="제외"),"",IF($D144=$E144,IF(AND($D144&gt;=BI$5,$D144&lt;BI$5+7),"◆",""),IF(AND($D144&lt;BI$5+7,$E144&gt;BI$5),"■","")))</x:f>
      </x:c>
      <x:c r="BJ144" s="7" t="str">
        <x:f>IF(OR($D144="",BJ$5="",'상세일정'!AM144="제외"),"",IF($D144=$E144,IF(AND($D144&gt;=BJ$5,$D144&lt;BJ$5+7),"◆",""),IF(AND($D144&lt;BJ$5+7,$E144&gt;BJ$5),"■","")))</x:f>
      </x:c>
      <x:c r="BK144" s="7" t="str">
        <x:f>IF(OR($D144="",BK$5="",'상세일정'!AM144="제외"),"",IF($D144=$E144,IF(AND($D144&gt;=BK$5,$D144&lt;BK$5+7),"◆",""),IF(AND($D144&lt;BK$5+7,$E144&gt;BK$5),"■","")))</x:f>
      </x:c>
      <x:c r="BL144" s="7" t="str">
        <x:f>IF(OR($D144="",BL$5="",'상세일정'!AM144="제외"),"",IF($D144=$E144,IF(AND($D144&gt;=BL$5,$D144&lt;BL$5+7),"◆",""),IF(AND($D144&lt;BL$5+7,$E144&gt;BL$5),"■","")))</x:f>
      </x:c>
      <x:c r="BM144" s="7" t="str">
        <x:f>IF(OR($D144="",BM$5="",'상세일정'!AM144="제외"),"",IF($D144=$E144,IF(AND($D144&gt;=BM$5,$D144&lt;BM$5+7),"◆",""),IF(AND($D144&lt;BM$5+7,$E144&gt;BM$5),"■","")))</x:f>
      </x:c>
      <x:c r="BN144" s="7" t="str">
        <x:f>IF(OR($D144="",BN$5="",'상세일정'!AM144="제외"),"",IF($D144=$E144,IF(AND($D144&gt;=BN$5,$D144&lt;BN$5+7),"◆",""),IF(AND($D144&lt;BN$5+7,$E144&gt;BN$5),"■","")))</x:f>
      </x:c>
      <x:c r="BO144" s="7" t="str">
        <x:f>IF(OR($D144="",BO$5="",'상세일정'!AM144="제외"),"",IF($D144=$E144,IF(AND($D144&gt;=BO$5,$D144&lt;BO$5+7),"◆",""),IF(AND($D144&lt;BO$5+7,$E144&gt;BO$5),"■","")))</x:f>
      </x:c>
      <x:c r="BP144" s="7" t="str">
        <x:f>IF(OR($D144="",BP$5="",'상세일정'!AM144="제외"),"",IF($D144=$E144,IF(AND($D144&gt;=BP$5,$D144&lt;BP$5+7),"◆",""),IF(AND($D144&lt;BP$5+7,$E144&gt;BP$5),"■","")))</x:f>
      </x:c>
      <x:c r="BQ144" s="7" t="str">
        <x:f>IF(OR($D144="",BQ$5="",'상세일정'!AM144="제외"),"",IF($D144=$E144,IF(AND($D144&gt;=BQ$5,$D144&lt;BQ$5+7),"◆",""),IF(AND($D144&lt;BQ$5+7,$E144&gt;BQ$5),"■","")))</x:f>
      </x:c>
      <x:c r="BR144" s="7" t="str">
        <x:f>IF(OR($D144="",BR$5="",'상세일정'!AM144="제외"),"",IF($D144=$E144,IF(AND($D144&gt;=BR$5,$D144&lt;BR$5+7),"◆",""),IF(AND($D144&lt;BR$5+7,$E144&gt;BR$5),"■","")))</x:f>
      </x:c>
      <x:c r="BS144" s="7" t="str">
        <x:f>IF(OR($D144="",BS$5="",'상세일정'!AM144="제외"),"",IF($D144=$E144,IF(AND($D144&gt;=BS$5,$D144&lt;BS$5+7),"◆",""),IF(AND($D144&lt;BS$5+7,$E144&gt;BS$5),"■","")))</x:f>
      </x:c>
      <x:c r="BT144" s="7" t="str">
        <x:f>IF(OR($D144="",BT$5="",'상세일정'!AM144="제외"),"",IF($D144=$E144,IF(AND($D144&gt;=BT$5,$D144&lt;BT$5+7),"◆",""),IF(AND($D144&lt;BT$5+7,$E144&gt;BT$5),"■","")))</x:f>
      </x:c>
      <x:c r="BU144" s="7" t="str">
        <x:f>IF(OR($D144="",BU$5="",'상세일정'!AM144="제외"),"",IF($D144=$E144,IF(AND($D144&gt;=BU$5,$D144&lt;BU$5+7),"◆",""),IF(AND($D144&lt;BU$5+7,$E144&gt;BU$5),"■","")))</x:f>
      </x:c>
      <x:c r="BV144" s="7" t="str">
        <x:f>IF(OR($D144="",BV$5="",'상세일정'!AM144="제외"),"",IF($D144=$E144,IF(AND($D144&gt;=BV$5,$D144&lt;BV$5+7),"◆",""),IF(AND($D144&lt;BV$5+7,$E144&gt;BV$5),"■","")))</x:f>
      </x:c>
      <x:c r="BW144" s="7" t="str">
        <x:f>IF(OR($D144="",BW$5="",'상세일정'!AM144="제외"),"",IF($D144=$E144,IF(AND($D144&gt;=BW$5,$D144&lt;BW$5+7),"◆",""),IF(AND($D144&lt;BW$5+7,$E144&gt;BW$5),"■","")))</x:f>
      </x:c>
      <x:c r="BX144" s="7" t="str">
        <x:f>IF(OR($D144="",BX$5="",'상세일정'!AM144="제외"),"",IF($D144=$E144,IF(AND($D144&gt;=BX$5,$D144&lt;BX$5+7),"◆",""),IF(AND($D144&lt;BX$5+7,$E144&gt;BX$5),"■","")))</x:f>
      </x:c>
      <x:c r="BY144" s="7" t="str">
        <x:f>IF(OR($D144="",BY$5="",'상세일정'!AM144="제외"),"",IF($D144=$E144,IF(AND($D144&gt;=BY$5,$D144&lt;BY$5+7),"◆",""),IF(AND($D144&lt;BY$5+7,$E144&gt;BY$5),"■","")))</x:f>
      </x:c>
      <x:c r="BZ144" s="7" t="str">
        <x:f>IF(OR($D144="",BZ$5="",'상세일정'!AM144="제외"),"",IF($D144=$E144,IF(AND($D144&gt;=BZ$5,$D144&lt;BZ$5+7),"◆",""),IF(AND($D144&lt;BZ$5+7,$E144&gt;BZ$5),"■","")))</x:f>
      </x:c>
      <x:c r="CA144" s="7" t="str">
        <x:f>IF(OR($D144="",CA$5="",'상세일정'!AM144="제외"),"",IF($D144=$E144,IF(AND($D144&gt;=CA$5,$D144&lt;CA$5+7),"◆",""),IF(AND($D144&lt;CA$5+7,$E144&gt;CA$5),"■","")))</x:f>
      </x:c>
      <x:c r="CB144" s="7" t="str">
        <x:f>IF(OR($D144="",CB$5="",'상세일정'!AM144="제외"),"",IF($D144=$E144,IF(AND($D144&gt;=CB$5,$D144&lt;CB$5+7),"◆",""),IF(AND($D144&lt;CB$5+7,$E144&gt;CB$5),"■","")))</x:f>
      </x:c>
      <x:c r="CC144" s="7" t="str">
        <x:f>IF(OR($D144="",CC$5="",'상세일정'!AM144="제외"),"",IF($D144=$E144,IF(AND($D144&gt;=CC$5,$D144&lt;CC$5+7),"◆",""),IF(AND($D144&lt;CC$5+7,$E144&gt;CC$5),"■","")))</x:f>
      </x:c>
      <x:c r="CD144" s="7" t="str">
        <x:f>IF(OR($D144="",CD$5="",'상세일정'!AM144="제외"),"",IF($D144=$E144,IF(AND($D144&gt;=CD$5,$D144&lt;CD$5+7),"◆",""),IF(AND($D144&lt;CD$5+7,$E144&gt;CD$5),"■","")))</x:f>
      </x:c>
      <x:c r="CE144" s="7" t="str">
        <x:f>IF(OR($D144="",CE$5="",'상세일정'!AM144="제외"),"",IF($D144=$E144,IF(AND($D144&gt;=CE$5,$D144&lt;CE$5+7),"◆",""),IF(AND($D144&lt;CE$5+7,$E144&gt;CE$5),"■","")))</x:f>
      </x:c>
      <x:c r="CF144" s="7" t="str">
        <x:f>IF(OR($D144="",CF$5="",'상세일정'!AM144="제외"),"",IF($D144=$E144,IF(AND($D144&gt;=CF$5,$D144&lt;CF$5+7),"◆",""),IF(AND($D144&lt;CF$5+7,$E144&gt;CF$5),"■","")))</x:f>
      </x:c>
      <x:c r="CG144" s="7" t="str">
        <x:f>IF(OR($D144="",CG$5="",'상세일정'!AM144="제외"),"",IF($D144=$E144,IF(AND($D144&gt;=CG$5,$D144&lt;CG$5+7),"◆",""),IF(AND($D144&lt;CG$5+7,$E144&gt;CG$5),"■","")))</x:f>
      </x:c>
      <x:c r="CH144" s="7" t="str">
        <x:f>IF(OR($D144="",CH$5="",'상세일정'!AM144="제외"),"",IF($D144=$E144,IF(AND($D144&gt;=CH$5,$D144&lt;CH$5+7),"◆",""),IF(AND($D144&lt;CH$5+7,$E144&gt;CH$5),"■","")))</x:f>
      </x:c>
      <x:c r="CI144" s="7" t="str">
        <x:f>IF(OR($D144="",CI$5="",'상세일정'!AM144="제외"),"",IF($D144=$E144,IF(AND($D144&gt;=CI$5,$D144&lt;CI$5+7),"◆",""),IF(AND($D144&lt;CI$5+7,$E144&gt;CI$5),"■","")))</x:f>
      </x:c>
      <x:c r="CJ144" s="7" t="str">
        <x:f>IF(OR($D144="",CJ$5="",'상세일정'!AM144="제외"),"",IF($D144=$E144,IF(AND($D144&gt;=CJ$5,$D144&lt;CJ$5+7),"◆",""),IF(AND($D144&lt;CJ$5+7,$E144&gt;CJ$5),"■","")))</x:f>
      </x:c>
      <x:c r="CK144" s="7" t="str">
        <x:f>IF(OR($D144="",CK$5="",'상세일정'!AM144="제외"),"",IF($D144=$E144,IF(AND($D144&gt;=CK$5,$D144&lt;CK$5+7),"◆",""),IF(AND($D144&lt;CK$5+7,$E144&gt;CK$5),"■","")))</x:f>
      </x:c>
      <x:c r="CL144" s="7" t="str">
        <x:f>IF(OR($D144="",CL$5="",'상세일정'!AM144="제외"),"",IF($D144=$E144,IF(AND($D144&gt;=CL$5,$D144&lt;CL$5+7),"◆",""),IF(AND($D144&lt;CL$5+7,$E144&gt;CL$5),"■","")))</x:f>
      </x:c>
      <x:c r="CM144" s="7" t="str">
        <x:f>IF(OR($D144="",CM$5="",'상세일정'!AM144="제외"),"",IF($D144=$E144,IF(AND($D144&gt;=CM$5,$D144&lt;CM$5+7),"◆",""),IF(AND($D144&lt;CM$5+7,$E144&gt;CM$5),"■","")))</x:f>
      </x:c>
      <x:c r="CN144" s="7" t="str">
        <x:f>IF(OR($D144="",CN$5="",'상세일정'!AM144="제외"),"",IF($D144=$E144,IF(AND($D144&gt;=CN$5,$D144&lt;CN$5+7),"◆",""),IF(AND($D144&lt;CN$5+7,$E144&gt;CN$5),"■","")))</x:f>
      </x:c>
      <x:c r="CO144" s="7" t="str">
        <x:f>IF(OR($D144="",CO$5="",'상세일정'!AM144="제외"),"",IF($D144=$E144,IF(AND($D144&gt;=CO$5,$D144&lt;CO$5+7),"◆",""),IF(AND($D144&lt;CO$5+7,$E144&gt;CO$5),"■","")))</x:f>
      </x:c>
      <x:c r="CP144" s="7" t="str">
        <x:f>IF(OR($D144="",CP$5="",'상세일정'!AM144="제외"),"",IF($D144=$E144,IF(AND($D144&gt;=CP$5,$D144&lt;CP$5+7),"◆",""),IF(AND($D144&lt;CP$5+7,$E144&gt;CP$5),"■","")))</x:f>
      </x:c>
      <x:c r="CQ144" s="7" t="str">
        <x:f>IF(OR($D144="",CQ$5="",'상세일정'!AM144="제외"),"",IF($D144=$E144,IF(AND($D144&gt;=CQ$5,$D144&lt;CQ$5+7),"◆",""),IF(AND($D144&lt;CQ$5+7,$E144&gt;CQ$5),"■","")))</x:f>
      </x:c>
      <x:c r="CR144" s="7" t="str">
        <x:f>IF(OR($D144="",CR$5="",'상세일정'!AM144="제외"),"",IF($D144=$E144,IF(AND($D144&gt;=CR$5,$D144&lt;CR$5+7),"◆",""),IF(AND($D144&lt;CR$5+7,$E144&gt;CR$5),"■","")))</x:f>
      </x:c>
      <x:c r="CS144" s="7" t="str">
        <x:f>IF(OR($D144="",CS$5="",'상세일정'!AM144="제외"),"",IF($D144=$E144,IF(AND($D144&gt;=CS$5,$D144&lt;CS$5+7),"◆",""),IF(AND($D144&lt;CS$5+7,$E144&gt;CS$5),"■","")))</x:f>
      </x:c>
      <x:c r="CT144" s="7" t="str">
        <x:f>IF(OR($D144="",CT$5="",'상세일정'!AM144="제외"),"",IF($D144=$E144,IF(AND($D144&gt;=CT$5,$D144&lt;CT$5+7),"◆",""),IF(AND($D144&lt;CT$5+7,$E144&gt;CT$5),"■","")))</x:f>
      </x:c>
      <x:c r="CU144" s="7" t="str">
        <x:f>IF(OR($D144="",CU$5="",'상세일정'!AM144="제외"),"",IF($D144=$E144,IF(AND($D144&gt;=CU$5,$D144&lt;CU$5+7),"◆",""),IF(AND($D144&lt;CU$5+7,$E144&gt;CU$5),"■","")))</x:f>
      </x:c>
      <x:c r="CV144" s="7" t="str">
        <x:f>IF(OR($D144="",CV$5="",'상세일정'!AM144="제외"),"",IF($D144=$E144,IF(AND($D144&gt;=CV$5,$D144&lt;CV$5+7),"◆",""),IF(AND($D144&lt;CV$5+7,$E144&gt;CV$5),"■","")))</x:f>
      </x:c>
      <x:c r="CW144" s="7" t="str">
        <x:f>IF(OR($D144="",CW$5="",'상세일정'!AM144="제외"),"",IF($D144=$E144,IF(AND($D144&gt;=CW$5,$D144&lt;CW$5+7),"◆",""),IF(AND($D144&lt;CW$5+7,$E144&gt;CW$5),"■","")))</x:f>
      </x:c>
      <x:c r="CX144" s="7" t="str">
        <x:f>IF(OR($D144="",CX$5="",'상세일정'!AM144="제외"),"",IF($D144=$E144,IF(AND($D144&gt;=CX$5,$D144&lt;CX$5+7),"◆",""),IF(AND($D144&lt;CX$5+7,$E144&gt;CX$5),"■","")))</x:f>
      </x:c>
      <x:c r="CY144" s="7" t="str">
        <x:f>IF(OR($D144="",CY$5="",'상세일정'!AM144="제외"),"",IF($D144=$E144,IF(AND($D144&gt;=CY$5,$D144&lt;CY$5+7),"◆",""),IF(AND($D144&lt;CY$5+7,$E144&gt;CY$5),"■","")))</x:f>
      </x:c>
      <x:c r="CZ144" s="7" t="str">
        <x:f>IF(OR($D144="",CZ$5="",'상세일정'!AM144="제외"),"",IF($D144=$E144,IF(AND($D144&gt;=CZ$5,$D144&lt;CZ$5+7),"◆",""),IF(AND($D144&lt;CZ$5+7,$E144&gt;CZ$5),"■","")))</x:f>
      </x:c>
      <x:c r="DA144" s="7" t="str">
        <x:f>IF(OR($D144="",DA$5="",'상세일정'!AM144="제외"),"",IF($D144=$E144,IF(AND($D144&gt;=DA$5,$D144&lt;DA$5+7),"◆",""),IF(AND($D144&lt;DA$5+7,$E144&gt;DA$5),"■","")))</x:f>
      </x:c>
      <x:c r="DB144" s="7" t="str">
        <x:f>IF(OR($D144="",DB$5="",'상세일정'!AM144="제외"),"",IF($D144=$E144,IF(AND($D144&gt;=DB$5,$D144&lt;DB$5+7),"◆",""),IF(AND($D144&lt;DB$5+7,$E144&gt;DB$5),"■","")))</x:f>
      </x:c>
      <x:c r="DC144" s="7" t="str">
        <x:f>IF(OR($D144="",DC$5="",'상세일정'!AM144="제외"),"",IF($D144=$E144,IF(AND($D144&gt;=DC$5,$D144&lt;DC$5+7),"◆",""),IF(AND($D144&lt;DC$5+7,$E144&gt;DC$5),"■","")))</x:f>
      </x:c>
      <x:c r="DD144" s="7" t="str">
        <x:f>IF(OR($D144="",DD$5="",'상세일정'!AM144="제외"),"",IF($D144=$E144,IF(AND($D144&gt;=DD$5,$D144&lt;DD$5+7),"◆",""),IF(AND($D144&lt;DD$5+7,$E144&gt;DD$5),"■","")))</x:f>
      </x:c>
      <x:c r="DE144" s="7" t="str">
        <x:f>IF(OR($D144="",DE$5="",'상세일정'!AM144="제외"),"",IF($D144=$E144,IF(AND($D144&gt;=DE$5,$D144&lt;DE$5+7),"◆",""),IF(AND($D144&lt;DE$5+7,$E144&gt;DE$5),"■","")))</x:f>
      </x:c>
    </x:row>
    <x:row r="145" ht="34" customHeight="1">
      <x:c r="A145" s="7" t="str">
        <x:v>UT03</x:v>
      </x:c>
      <x:c r="B145" s="7" t="str">
        <x:v>16 기자재 구매·제작</x:v>
      </x:c>
      <x:c r="C145" s="7" t="str">
        <x:v>IA·냉각타워·데미워터 제작도·ITP 승인</x:v>
      </x:c>
      <x:c r="D145" s="10" t="str">
        <x:f>'상세일정'!AJ145</x:f>
      </x:c>
      <x:c r="E145" s="10" t="str">
        <x:f>'상세일정'!AK145</x:f>
      </x:c>
      <x:c r="F145" s="7" t="str">
        <x:f>IF(OR($D145="",F$5="",'상세일정'!AM145="제외"),"",IF($D145=$E145,IF(AND($D145&gt;=F$5,$D145&lt;F$5+7),"◆",""),IF(AND($D145&lt;F$5+7,$E145&gt;F$5),"■","")))</x:f>
      </x:c>
      <x:c r="G145" s="7" t="str">
        <x:f>IF(OR($D145="",G$5="",'상세일정'!AM145="제외"),"",IF($D145=$E145,IF(AND($D145&gt;=G$5,$D145&lt;G$5+7),"◆",""),IF(AND($D145&lt;G$5+7,$E145&gt;G$5),"■","")))</x:f>
      </x:c>
      <x:c r="H145" s="7" t="str">
        <x:f>IF(OR($D145="",H$5="",'상세일정'!AM145="제외"),"",IF($D145=$E145,IF(AND($D145&gt;=H$5,$D145&lt;H$5+7),"◆",""),IF(AND($D145&lt;H$5+7,$E145&gt;H$5),"■","")))</x:f>
      </x:c>
      <x:c r="I145" s="7" t="str">
        <x:f>IF(OR($D145="",I$5="",'상세일정'!AM145="제외"),"",IF($D145=$E145,IF(AND($D145&gt;=I$5,$D145&lt;I$5+7),"◆",""),IF(AND($D145&lt;I$5+7,$E145&gt;I$5),"■","")))</x:f>
      </x:c>
      <x:c r="J145" s="7" t="str">
        <x:f>IF(OR($D145="",J$5="",'상세일정'!AM145="제외"),"",IF($D145=$E145,IF(AND($D145&gt;=J$5,$D145&lt;J$5+7),"◆",""),IF(AND($D145&lt;J$5+7,$E145&gt;J$5),"■","")))</x:f>
      </x:c>
      <x:c r="K145" s="7" t="str">
        <x:f>IF(OR($D145="",K$5="",'상세일정'!AM145="제외"),"",IF($D145=$E145,IF(AND($D145&gt;=K$5,$D145&lt;K$5+7),"◆",""),IF(AND($D145&lt;K$5+7,$E145&gt;K$5),"■","")))</x:f>
      </x:c>
      <x:c r="L145" s="7" t="str">
        <x:f>IF(OR($D145="",L$5="",'상세일정'!AM145="제외"),"",IF($D145=$E145,IF(AND($D145&gt;=L$5,$D145&lt;L$5+7),"◆",""),IF(AND($D145&lt;L$5+7,$E145&gt;L$5),"■","")))</x:f>
      </x:c>
      <x:c r="M145" s="7" t="str">
        <x:f>IF(OR($D145="",M$5="",'상세일정'!AM145="제외"),"",IF($D145=$E145,IF(AND($D145&gt;=M$5,$D145&lt;M$5+7),"◆",""),IF(AND($D145&lt;M$5+7,$E145&gt;M$5),"■","")))</x:f>
      </x:c>
      <x:c r="N145" s="7" t="str">
        <x:f>IF(OR($D145="",N$5="",'상세일정'!AM145="제외"),"",IF($D145=$E145,IF(AND($D145&gt;=N$5,$D145&lt;N$5+7),"◆",""),IF(AND($D145&lt;N$5+7,$E145&gt;N$5),"■","")))</x:f>
      </x:c>
      <x:c r="O145" s="7" t="str">
        <x:f>IF(OR($D145="",O$5="",'상세일정'!AM145="제외"),"",IF($D145=$E145,IF(AND($D145&gt;=O$5,$D145&lt;O$5+7),"◆",""),IF(AND($D145&lt;O$5+7,$E145&gt;O$5),"■","")))</x:f>
      </x:c>
      <x:c r="P145" s="7" t="str">
        <x:f>IF(OR($D145="",P$5="",'상세일정'!AM145="제외"),"",IF($D145=$E145,IF(AND($D145&gt;=P$5,$D145&lt;P$5+7),"◆",""),IF(AND($D145&lt;P$5+7,$E145&gt;P$5),"■","")))</x:f>
      </x:c>
      <x:c r="Q145" s="7" t="str">
        <x:f>IF(OR($D145="",Q$5="",'상세일정'!AM145="제외"),"",IF($D145=$E145,IF(AND($D145&gt;=Q$5,$D145&lt;Q$5+7),"◆",""),IF(AND($D145&lt;Q$5+7,$E145&gt;Q$5),"■","")))</x:f>
      </x:c>
      <x:c r="R145" s="7" t="str">
        <x:f>IF(OR($D145="",R$5="",'상세일정'!AM145="제외"),"",IF($D145=$E145,IF(AND($D145&gt;=R$5,$D145&lt;R$5+7),"◆",""),IF(AND($D145&lt;R$5+7,$E145&gt;R$5),"■","")))</x:f>
      </x:c>
      <x:c r="S145" s="7" t="str">
        <x:f>IF(OR($D145="",S$5="",'상세일정'!AM145="제외"),"",IF($D145=$E145,IF(AND($D145&gt;=S$5,$D145&lt;S$5+7),"◆",""),IF(AND($D145&lt;S$5+7,$E145&gt;S$5),"■","")))</x:f>
      </x:c>
      <x:c r="T145" s="7" t="str">
        <x:f>IF(OR($D145="",T$5="",'상세일정'!AM145="제외"),"",IF($D145=$E145,IF(AND($D145&gt;=T$5,$D145&lt;T$5+7),"◆",""),IF(AND($D145&lt;T$5+7,$E145&gt;T$5),"■","")))</x:f>
      </x:c>
      <x:c r="U145" s="7" t="str">
        <x:f>IF(OR($D145="",U$5="",'상세일정'!AM145="제외"),"",IF($D145=$E145,IF(AND($D145&gt;=U$5,$D145&lt;U$5+7),"◆",""),IF(AND($D145&lt;U$5+7,$E145&gt;U$5),"■","")))</x:f>
      </x:c>
      <x:c r="V145" s="7" t="str">
        <x:f>IF(OR($D145="",V$5="",'상세일정'!AM145="제외"),"",IF($D145=$E145,IF(AND($D145&gt;=V$5,$D145&lt;V$5+7),"◆",""),IF(AND($D145&lt;V$5+7,$E145&gt;V$5),"■","")))</x:f>
      </x:c>
      <x:c r="W145" s="7" t="str">
        <x:f>IF(OR($D145="",W$5="",'상세일정'!AM145="제외"),"",IF($D145=$E145,IF(AND($D145&gt;=W$5,$D145&lt;W$5+7),"◆",""),IF(AND($D145&lt;W$5+7,$E145&gt;W$5),"■","")))</x:f>
      </x:c>
      <x:c r="X145" s="7" t="str">
        <x:f>IF(OR($D145="",X$5="",'상세일정'!AM145="제외"),"",IF($D145=$E145,IF(AND($D145&gt;=X$5,$D145&lt;X$5+7),"◆",""),IF(AND($D145&lt;X$5+7,$E145&gt;X$5),"■","")))</x:f>
      </x:c>
      <x:c r="Y145" s="7" t="str">
        <x:f>IF(OR($D145="",Y$5="",'상세일정'!AM145="제외"),"",IF($D145=$E145,IF(AND($D145&gt;=Y$5,$D145&lt;Y$5+7),"◆",""),IF(AND($D145&lt;Y$5+7,$E145&gt;Y$5),"■","")))</x:f>
      </x:c>
      <x:c r="Z145" s="7" t="str">
        <x:f>IF(OR($D145="",Z$5="",'상세일정'!AM145="제외"),"",IF($D145=$E145,IF(AND($D145&gt;=Z$5,$D145&lt;Z$5+7),"◆",""),IF(AND($D145&lt;Z$5+7,$E145&gt;Z$5),"■","")))</x:f>
      </x:c>
      <x:c r="AA145" s="7" t="str">
        <x:f>IF(OR($D145="",AA$5="",'상세일정'!AM145="제외"),"",IF($D145=$E145,IF(AND($D145&gt;=AA$5,$D145&lt;AA$5+7),"◆",""),IF(AND($D145&lt;AA$5+7,$E145&gt;AA$5),"■","")))</x:f>
      </x:c>
      <x:c r="AB145" s="7" t="str">
        <x:f>IF(OR($D145="",AB$5="",'상세일정'!AM145="제외"),"",IF($D145=$E145,IF(AND($D145&gt;=AB$5,$D145&lt;AB$5+7),"◆",""),IF(AND($D145&lt;AB$5+7,$E145&gt;AB$5),"■","")))</x:f>
      </x:c>
      <x:c r="AC145" s="7" t="str">
        <x:f>IF(OR($D145="",AC$5="",'상세일정'!AM145="제외"),"",IF($D145=$E145,IF(AND($D145&gt;=AC$5,$D145&lt;AC$5+7),"◆",""),IF(AND($D145&lt;AC$5+7,$E145&gt;AC$5),"■","")))</x:f>
      </x:c>
      <x:c r="AD145" s="7" t="str">
        <x:f>IF(OR($D145="",AD$5="",'상세일정'!AM145="제외"),"",IF($D145=$E145,IF(AND($D145&gt;=AD$5,$D145&lt;AD$5+7),"◆",""),IF(AND($D145&lt;AD$5+7,$E145&gt;AD$5),"■","")))</x:f>
      </x:c>
      <x:c r="AE145" s="7" t="str">
        <x:f>IF(OR($D145="",AE$5="",'상세일정'!AM145="제외"),"",IF($D145=$E145,IF(AND($D145&gt;=AE$5,$D145&lt;AE$5+7),"◆",""),IF(AND($D145&lt;AE$5+7,$E145&gt;AE$5),"■","")))</x:f>
      </x:c>
      <x:c r="AF145" s="7" t="str">
        <x:f>IF(OR($D145="",AF$5="",'상세일정'!AM145="제외"),"",IF($D145=$E145,IF(AND($D145&gt;=AF$5,$D145&lt;AF$5+7),"◆",""),IF(AND($D145&lt;AF$5+7,$E145&gt;AF$5),"■","")))</x:f>
      </x:c>
      <x:c r="AG145" s="7" t="str">
        <x:f>IF(OR($D145="",AG$5="",'상세일정'!AM145="제외"),"",IF($D145=$E145,IF(AND($D145&gt;=AG$5,$D145&lt;AG$5+7),"◆",""),IF(AND($D145&lt;AG$5+7,$E145&gt;AG$5),"■","")))</x:f>
      </x:c>
      <x:c r="AH145" s="7" t="str">
        <x:f>IF(OR($D145="",AH$5="",'상세일정'!AM145="제외"),"",IF($D145=$E145,IF(AND($D145&gt;=AH$5,$D145&lt;AH$5+7),"◆",""),IF(AND($D145&lt;AH$5+7,$E145&gt;AH$5),"■","")))</x:f>
      </x:c>
      <x:c r="AI145" s="7" t="str">
        <x:f>IF(OR($D145="",AI$5="",'상세일정'!AM145="제외"),"",IF($D145=$E145,IF(AND($D145&gt;=AI$5,$D145&lt;AI$5+7),"◆",""),IF(AND($D145&lt;AI$5+7,$E145&gt;AI$5),"■","")))</x:f>
      </x:c>
      <x:c r="AJ145" s="7" t="str">
        <x:f>IF(OR($D145="",AJ$5="",'상세일정'!AM145="제외"),"",IF($D145=$E145,IF(AND($D145&gt;=AJ$5,$D145&lt;AJ$5+7),"◆",""),IF(AND($D145&lt;AJ$5+7,$E145&gt;AJ$5),"■","")))</x:f>
      </x:c>
      <x:c r="AK145" s="7" t="str">
        <x:f>IF(OR($D145="",AK$5="",'상세일정'!AM145="제외"),"",IF($D145=$E145,IF(AND($D145&gt;=AK$5,$D145&lt;AK$5+7),"◆",""),IF(AND($D145&lt;AK$5+7,$E145&gt;AK$5),"■","")))</x:f>
      </x:c>
      <x:c r="AL145" s="7" t="str">
        <x:f>IF(OR($D145="",AL$5="",'상세일정'!AM145="제외"),"",IF($D145=$E145,IF(AND($D145&gt;=AL$5,$D145&lt;AL$5+7),"◆",""),IF(AND($D145&lt;AL$5+7,$E145&gt;AL$5),"■","")))</x:f>
      </x:c>
      <x:c r="AM145" s="7" t="str">
        <x:f>IF(OR($D145="",AM$5="",'상세일정'!AM145="제외"),"",IF($D145=$E145,IF(AND($D145&gt;=AM$5,$D145&lt;AM$5+7),"◆",""),IF(AND($D145&lt;AM$5+7,$E145&gt;AM$5),"■","")))</x:f>
      </x:c>
      <x:c r="AN145" s="7" t="str">
        <x:f>IF(OR($D145="",AN$5="",'상세일정'!AM145="제외"),"",IF($D145=$E145,IF(AND($D145&gt;=AN$5,$D145&lt;AN$5+7),"◆",""),IF(AND($D145&lt;AN$5+7,$E145&gt;AN$5),"■","")))</x:f>
      </x:c>
      <x:c r="AO145" s="7" t="str">
        <x:f>IF(OR($D145="",AO$5="",'상세일정'!AM145="제외"),"",IF($D145=$E145,IF(AND($D145&gt;=AO$5,$D145&lt;AO$5+7),"◆",""),IF(AND($D145&lt;AO$5+7,$E145&gt;AO$5),"■","")))</x:f>
      </x:c>
      <x:c r="AP145" s="7" t="str">
        <x:f>IF(OR($D145="",AP$5="",'상세일정'!AM145="제외"),"",IF($D145=$E145,IF(AND($D145&gt;=AP$5,$D145&lt;AP$5+7),"◆",""),IF(AND($D145&lt;AP$5+7,$E145&gt;AP$5),"■","")))</x:f>
      </x:c>
      <x:c r="AQ145" s="7" t="str">
        <x:f>IF(OR($D145="",AQ$5="",'상세일정'!AM145="제외"),"",IF($D145=$E145,IF(AND($D145&gt;=AQ$5,$D145&lt;AQ$5+7),"◆",""),IF(AND($D145&lt;AQ$5+7,$E145&gt;AQ$5),"■","")))</x:f>
      </x:c>
      <x:c r="AR145" s="7" t="str">
        <x:f>IF(OR($D145="",AR$5="",'상세일정'!AM145="제외"),"",IF($D145=$E145,IF(AND($D145&gt;=AR$5,$D145&lt;AR$5+7),"◆",""),IF(AND($D145&lt;AR$5+7,$E145&gt;AR$5),"■","")))</x:f>
      </x:c>
      <x:c r="AS145" s="7" t="str">
        <x:f>IF(OR($D145="",AS$5="",'상세일정'!AM145="제외"),"",IF($D145=$E145,IF(AND($D145&gt;=AS$5,$D145&lt;AS$5+7),"◆",""),IF(AND($D145&lt;AS$5+7,$E145&gt;AS$5),"■","")))</x:f>
      </x:c>
      <x:c r="AT145" s="7" t="str">
        <x:f>IF(OR($D145="",AT$5="",'상세일정'!AM145="제외"),"",IF($D145=$E145,IF(AND($D145&gt;=AT$5,$D145&lt;AT$5+7),"◆",""),IF(AND($D145&lt;AT$5+7,$E145&gt;AT$5),"■","")))</x:f>
      </x:c>
      <x:c r="AU145" s="7" t="str">
        <x:f>IF(OR($D145="",AU$5="",'상세일정'!AM145="제외"),"",IF($D145=$E145,IF(AND($D145&gt;=AU$5,$D145&lt;AU$5+7),"◆",""),IF(AND($D145&lt;AU$5+7,$E145&gt;AU$5),"■","")))</x:f>
      </x:c>
      <x:c r="AV145" s="7" t="str">
        <x:f>IF(OR($D145="",AV$5="",'상세일정'!AM145="제외"),"",IF($D145=$E145,IF(AND($D145&gt;=AV$5,$D145&lt;AV$5+7),"◆",""),IF(AND($D145&lt;AV$5+7,$E145&gt;AV$5),"■","")))</x:f>
      </x:c>
      <x:c r="AW145" s="7" t="str">
        <x:f>IF(OR($D145="",AW$5="",'상세일정'!AM145="제외"),"",IF($D145=$E145,IF(AND($D145&gt;=AW$5,$D145&lt;AW$5+7),"◆",""),IF(AND($D145&lt;AW$5+7,$E145&gt;AW$5),"■","")))</x:f>
      </x:c>
      <x:c r="AX145" s="7" t="str">
        <x:f>IF(OR($D145="",AX$5="",'상세일정'!AM145="제외"),"",IF($D145=$E145,IF(AND($D145&gt;=AX$5,$D145&lt;AX$5+7),"◆",""),IF(AND($D145&lt;AX$5+7,$E145&gt;AX$5),"■","")))</x:f>
      </x:c>
      <x:c r="AY145" s="7" t="str">
        <x:f>IF(OR($D145="",AY$5="",'상세일정'!AM145="제외"),"",IF($D145=$E145,IF(AND($D145&gt;=AY$5,$D145&lt;AY$5+7),"◆",""),IF(AND($D145&lt;AY$5+7,$E145&gt;AY$5),"■","")))</x:f>
      </x:c>
      <x:c r="AZ145" s="7" t="str">
        <x:f>IF(OR($D145="",AZ$5="",'상세일정'!AM145="제외"),"",IF($D145=$E145,IF(AND($D145&gt;=AZ$5,$D145&lt;AZ$5+7),"◆",""),IF(AND($D145&lt;AZ$5+7,$E145&gt;AZ$5),"■","")))</x:f>
      </x:c>
      <x:c r="BA145" s="7" t="str">
        <x:f>IF(OR($D145="",BA$5="",'상세일정'!AM145="제외"),"",IF($D145=$E145,IF(AND($D145&gt;=BA$5,$D145&lt;BA$5+7),"◆",""),IF(AND($D145&lt;BA$5+7,$E145&gt;BA$5),"■","")))</x:f>
      </x:c>
      <x:c r="BB145" s="7" t="str">
        <x:f>IF(OR($D145="",BB$5="",'상세일정'!AM145="제외"),"",IF($D145=$E145,IF(AND($D145&gt;=BB$5,$D145&lt;BB$5+7),"◆",""),IF(AND($D145&lt;BB$5+7,$E145&gt;BB$5),"■","")))</x:f>
      </x:c>
      <x:c r="BC145" s="7" t="str">
        <x:f>IF(OR($D145="",BC$5="",'상세일정'!AM145="제외"),"",IF($D145=$E145,IF(AND($D145&gt;=BC$5,$D145&lt;BC$5+7),"◆",""),IF(AND($D145&lt;BC$5+7,$E145&gt;BC$5),"■","")))</x:f>
      </x:c>
      <x:c r="BD145" s="7" t="str">
        <x:f>IF(OR($D145="",BD$5="",'상세일정'!AM145="제외"),"",IF($D145=$E145,IF(AND($D145&gt;=BD$5,$D145&lt;BD$5+7),"◆",""),IF(AND($D145&lt;BD$5+7,$E145&gt;BD$5),"■","")))</x:f>
      </x:c>
      <x:c r="BE145" s="7" t="str">
        <x:f>IF(OR($D145="",BE$5="",'상세일정'!AM145="제외"),"",IF($D145=$E145,IF(AND($D145&gt;=BE$5,$D145&lt;BE$5+7),"◆",""),IF(AND($D145&lt;BE$5+7,$E145&gt;BE$5),"■","")))</x:f>
      </x:c>
      <x:c r="BF145" s="7" t="str">
        <x:f>IF(OR($D145="",BF$5="",'상세일정'!AM145="제외"),"",IF($D145=$E145,IF(AND($D145&gt;=BF$5,$D145&lt;BF$5+7),"◆",""),IF(AND($D145&lt;BF$5+7,$E145&gt;BF$5),"■","")))</x:f>
      </x:c>
      <x:c r="BG145" s="7" t="str">
        <x:f>IF(OR($D145="",BG$5="",'상세일정'!AM145="제외"),"",IF($D145=$E145,IF(AND($D145&gt;=BG$5,$D145&lt;BG$5+7),"◆",""),IF(AND($D145&lt;BG$5+7,$E145&gt;BG$5),"■","")))</x:f>
      </x:c>
      <x:c r="BH145" s="7" t="str">
        <x:f>IF(OR($D145="",BH$5="",'상세일정'!AM145="제외"),"",IF($D145=$E145,IF(AND($D145&gt;=BH$5,$D145&lt;BH$5+7),"◆",""),IF(AND($D145&lt;BH$5+7,$E145&gt;BH$5),"■","")))</x:f>
      </x:c>
      <x:c r="BI145" s="7" t="str">
        <x:f>IF(OR($D145="",BI$5="",'상세일정'!AM145="제외"),"",IF($D145=$E145,IF(AND($D145&gt;=BI$5,$D145&lt;BI$5+7),"◆",""),IF(AND($D145&lt;BI$5+7,$E145&gt;BI$5),"■","")))</x:f>
      </x:c>
      <x:c r="BJ145" s="7" t="str">
        <x:f>IF(OR($D145="",BJ$5="",'상세일정'!AM145="제외"),"",IF($D145=$E145,IF(AND($D145&gt;=BJ$5,$D145&lt;BJ$5+7),"◆",""),IF(AND($D145&lt;BJ$5+7,$E145&gt;BJ$5),"■","")))</x:f>
      </x:c>
      <x:c r="BK145" s="7" t="str">
        <x:f>IF(OR($D145="",BK$5="",'상세일정'!AM145="제외"),"",IF($D145=$E145,IF(AND($D145&gt;=BK$5,$D145&lt;BK$5+7),"◆",""),IF(AND($D145&lt;BK$5+7,$E145&gt;BK$5),"■","")))</x:f>
      </x:c>
      <x:c r="BL145" s="7" t="str">
        <x:f>IF(OR($D145="",BL$5="",'상세일정'!AM145="제외"),"",IF($D145=$E145,IF(AND($D145&gt;=BL$5,$D145&lt;BL$5+7),"◆",""),IF(AND($D145&lt;BL$5+7,$E145&gt;BL$5),"■","")))</x:f>
      </x:c>
      <x:c r="BM145" s="7" t="str">
        <x:f>IF(OR($D145="",BM$5="",'상세일정'!AM145="제외"),"",IF($D145=$E145,IF(AND($D145&gt;=BM$5,$D145&lt;BM$5+7),"◆",""),IF(AND($D145&lt;BM$5+7,$E145&gt;BM$5),"■","")))</x:f>
      </x:c>
      <x:c r="BN145" s="7" t="str">
        <x:f>IF(OR($D145="",BN$5="",'상세일정'!AM145="제외"),"",IF($D145=$E145,IF(AND($D145&gt;=BN$5,$D145&lt;BN$5+7),"◆",""),IF(AND($D145&lt;BN$5+7,$E145&gt;BN$5),"■","")))</x:f>
      </x:c>
      <x:c r="BO145" s="7" t="str">
        <x:f>IF(OR($D145="",BO$5="",'상세일정'!AM145="제외"),"",IF($D145=$E145,IF(AND($D145&gt;=BO$5,$D145&lt;BO$5+7),"◆",""),IF(AND($D145&lt;BO$5+7,$E145&gt;BO$5),"■","")))</x:f>
      </x:c>
      <x:c r="BP145" s="7" t="str">
        <x:f>IF(OR($D145="",BP$5="",'상세일정'!AM145="제외"),"",IF($D145=$E145,IF(AND($D145&gt;=BP$5,$D145&lt;BP$5+7),"◆",""),IF(AND($D145&lt;BP$5+7,$E145&gt;BP$5),"■","")))</x:f>
      </x:c>
      <x:c r="BQ145" s="7" t="str">
        <x:f>IF(OR($D145="",BQ$5="",'상세일정'!AM145="제외"),"",IF($D145=$E145,IF(AND($D145&gt;=BQ$5,$D145&lt;BQ$5+7),"◆",""),IF(AND($D145&lt;BQ$5+7,$E145&gt;BQ$5),"■","")))</x:f>
      </x:c>
      <x:c r="BR145" s="7" t="str">
        <x:f>IF(OR($D145="",BR$5="",'상세일정'!AM145="제외"),"",IF($D145=$E145,IF(AND($D145&gt;=BR$5,$D145&lt;BR$5+7),"◆",""),IF(AND($D145&lt;BR$5+7,$E145&gt;BR$5),"■","")))</x:f>
      </x:c>
      <x:c r="BS145" s="7" t="str">
        <x:f>IF(OR($D145="",BS$5="",'상세일정'!AM145="제외"),"",IF($D145=$E145,IF(AND($D145&gt;=BS$5,$D145&lt;BS$5+7),"◆",""),IF(AND($D145&lt;BS$5+7,$E145&gt;BS$5),"■","")))</x:f>
      </x:c>
      <x:c r="BT145" s="7" t="str">
        <x:f>IF(OR($D145="",BT$5="",'상세일정'!AM145="제외"),"",IF($D145=$E145,IF(AND($D145&gt;=BT$5,$D145&lt;BT$5+7),"◆",""),IF(AND($D145&lt;BT$5+7,$E145&gt;BT$5),"■","")))</x:f>
      </x:c>
      <x:c r="BU145" s="7" t="str">
        <x:f>IF(OR($D145="",BU$5="",'상세일정'!AM145="제외"),"",IF($D145=$E145,IF(AND($D145&gt;=BU$5,$D145&lt;BU$5+7),"◆",""),IF(AND($D145&lt;BU$5+7,$E145&gt;BU$5),"■","")))</x:f>
      </x:c>
      <x:c r="BV145" s="7" t="str">
        <x:f>IF(OR($D145="",BV$5="",'상세일정'!AM145="제외"),"",IF($D145=$E145,IF(AND($D145&gt;=BV$5,$D145&lt;BV$5+7),"◆",""),IF(AND($D145&lt;BV$5+7,$E145&gt;BV$5),"■","")))</x:f>
      </x:c>
      <x:c r="BW145" s="7" t="str">
        <x:f>IF(OR($D145="",BW$5="",'상세일정'!AM145="제외"),"",IF($D145=$E145,IF(AND($D145&gt;=BW$5,$D145&lt;BW$5+7),"◆",""),IF(AND($D145&lt;BW$5+7,$E145&gt;BW$5),"■","")))</x:f>
      </x:c>
      <x:c r="BX145" s="7" t="str">
        <x:f>IF(OR($D145="",BX$5="",'상세일정'!AM145="제외"),"",IF($D145=$E145,IF(AND($D145&gt;=BX$5,$D145&lt;BX$5+7),"◆",""),IF(AND($D145&lt;BX$5+7,$E145&gt;BX$5),"■","")))</x:f>
      </x:c>
      <x:c r="BY145" s="7" t="str">
        <x:f>IF(OR($D145="",BY$5="",'상세일정'!AM145="제외"),"",IF($D145=$E145,IF(AND($D145&gt;=BY$5,$D145&lt;BY$5+7),"◆",""),IF(AND($D145&lt;BY$5+7,$E145&gt;BY$5),"■","")))</x:f>
      </x:c>
      <x:c r="BZ145" s="7" t="str">
        <x:f>IF(OR($D145="",BZ$5="",'상세일정'!AM145="제외"),"",IF($D145=$E145,IF(AND($D145&gt;=BZ$5,$D145&lt;BZ$5+7),"◆",""),IF(AND($D145&lt;BZ$5+7,$E145&gt;BZ$5),"■","")))</x:f>
      </x:c>
      <x:c r="CA145" s="7" t="str">
        <x:f>IF(OR($D145="",CA$5="",'상세일정'!AM145="제외"),"",IF($D145=$E145,IF(AND($D145&gt;=CA$5,$D145&lt;CA$5+7),"◆",""),IF(AND($D145&lt;CA$5+7,$E145&gt;CA$5),"■","")))</x:f>
      </x:c>
      <x:c r="CB145" s="7" t="str">
        <x:f>IF(OR($D145="",CB$5="",'상세일정'!AM145="제외"),"",IF($D145=$E145,IF(AND($D145&gt;=CB$5,$D145&lt;CB$5+7),"◆",""),IF(AND($D145&lt;CB$5+7,$E145&gt;CB$5),"■","")))</x:f>
      </x:c>
      <x:c r="CC145" s="7" t="str">
        <x:f>IF(OR($D145="",CC$5="",'상세일정'!AM145="제외"),"",IF($D145=$E145,IF(AND($D145&gt;=CC$5,$D145&lt;CC$5+7),"◆",""),IF(AND($D145&lt;CC$5+7,$E145&gt;CC$5),"■","")))</x:f>
      </x:c>
      <x:c r="CD145" s="7" t="str">
        <x:f>IF(OR($D145="",CD$5="",'상세일정'!AM145="제외"),"",IF($D145=$E145,IF(AND($D145&gt;=CD$5,$D145&lt;CD$5+7),"◆",""),IF(AND($D145&lt;CD$5+7,$E145&gt;CD$5),"■","")))</x:f>
      </x:c>
      <x:c r="CE145" s="7" t="str">
        <x:f>IF(OR($D145="",CE$5="",'상세일정'!AM145="제외"),"",IF($D145=$E145,IF(AND($D145&gt;=CE$5,$D145&lt;CE$5+7),"◆",""),IF(AND($D145&lt;CE$5+7,$E145&gt;CE$5),"■","")))</x:f>
      </x:c>
      <x:c r="CF145" s="7" t="str">
        <x:f>IF(OR($D145="",CF$5="",'상세일정'!AM145="제외"),"",IF($D145=$E145,IF(AND($D145&gt;=CF$5,$D145&lt;CF$5+7),"◆",""),IF(AND($D145&lt;CF$5+7,$E145&gt;CF$5),"■","")))</x:f>
      </x:c>
      <x:c r="CG145" s="7" t="str">
        <x:f>IF(OR($D145="",CG$5="",'상세일정'!AM145="제외"),"",IF($D145=$E145,IF(AND($D145&gt;=CG$5,$D145&lt;CG$5+7),"◆",""),IF(AND($D145&lt;CG$5+7,$E145&gt;CG$5),"■","")))</x:f>
      </x:c>
      <x:c r="CH145" s="7" t="str">
        <x:f>IF(OR($D145="",CH$5="",'상세일정'!AM145="제외"),"",IF($D145=$E145,IF(AND($D145&gt;=CH$5,$D145&lt;CH$5+7),"◆",""),IF(AND($D145&lt;CH$5+7,$E145&gt;CH$5),"■","")))</x:f>
      </x:c>
      <x:c r="CI145" s="7" t="str">
        <x:f>IF(OR($D145="",CI$5="",'상세일정'!AM145="제외"),"",IF($D145=$E145,IF(AND($D145&gt;=CI$5,$D145&lt;CI$5+7),"◆",""),IF(AND($D145&lt;CI$5+7,$E145&gt;CI$5),"■","")))</x:f>
      </x:c>
      <x:c r="CJ145" s="7" t="str">
        <x:f>IF(OR($D145="",CJ$5="",'상세일정'!AM145="제외"),"",IF($D145=$E145,IF(AND($D145&gt;=CJ$5,$D145&lt;CJ$5+7),"◆",""),IF(AND($D145&lt;CJ$5+7,$E145&gt;CJ$5),"■","")))</x:f>
      </x:c>
      <x:c r="CK145" s="7" t="str">
        <x:f>IF(OR($D145="",CK$5="",'상세일정'!AM145="제외"),"",IF($D145=$E145,IF(AND($D145&gt;=CK$5,$D145&lt;CK$5+7),"◆",""),IF(AND($D145&lt;CK$5+7,$E145&gt;CK$5),"■","")))</x:f>
      </x:c>
      <x:c r="CL145" s="7" t="str">
        <x:f>IF(OR($D145="",CL$5="",'상세일정'!AM145="제외"),"",IF($D145=$E145,IF(AND($D145&gt;=CL$5,$D145&lt;CL$5+7),"◆",""),IF(AND($D145&lt;CL$5+7,$E145&gt;CL$5),"■","")))</x:f>
      </x:c>
      <x:c r="CM145" s="7" t="str">
        <x:f>IF(OR($D145="",CM$5="",'상세일정'!AM145="제외"),"",IF($D145=$E145,IF(AND($D145&gt;=CM$5,$D145&lt;CM$5+7),"◆",""),IF(AND($D145&lt;CM$5+7,$E145&gt;CM$5),"■","")))</x:f>
      </x:c>
      <x:c r="CN145" s="7" t="str">
        <x:f>IF(OR($D145="",CN$5="",'상세일정'!AM145="제외"),"",IF($D145=$E145,IF(AND($D145&gt;=CN$5,$D145&lt;CN$5+7),"◆",""),IF(AND($D145&lt;CN$5+7,$E145&gt;CN$5),"■","")))</x:f>
      </x:c>
      <x:c r="CO145" s="7" t="str">
        <x:f>IF(OR($D145="",CO$5="",'상세일정'!AM145="제외"),"",IF($D145=$E145,IF(AND($D145&gt;=CO$5,$D145&lt;CO$5+7),"◆",""),IF(AND($D145&lt;CO$5+7,$E145&gt;CO$5),"■","")))</x:f>
      </x:c>
      <x:c r="CP145" s="7" t="str">
        <x:f>IF(OR($D145="",CP$5="",'상세일정'!AM145="제외"),"",IF($D145=$E145,IF(AND($D145&gt;=CP$5,$D145&lt;CP$5+7),"◆",""),IF(AND($D145&lt;CP$5+7,$E145&gt;CP$5),"■","")))</x:f>
      </x:c>
      <x:c r="CQ145" s="7" t="str">
        <x:f>IF(OR($D145="",CQ$5="",'상세일정'!AM145="제외"),"",IF($D145=$E145,IF(AND($D145&gt;=CQ$5,$D145&lt;CQ$5+7),"◆",""),IF(AND($D145&lt;CQ$5+7,$E145&gt;CQ$5),"■","")))</x:f>
      </x:c>
      <x:c r="CR145" s="7" t="str">
        <x:f>IF(OR($D145="",CR$5="",'상세일정'!AM145="제외"),"",IF($D145=$E145,IF(AND($D145&gt;=CR$5,$D145&lt;CR$5+7),"◆",""),IF(AND($D145&lt;CR$5+7,$E145&gt;CR$5),"■","")))</x:f>
      </x:c>
      <x:c r="CS145" s="7" t="str">
        <x:f>IF(OR($D145="",CS$5="",'상세일정'!AM145="제외"),"",IF($D145=$E145,IF(AND($D145&gt;=CS$5,$D145&lt;CS$5+7),"◆",""),IF(AND($D145&lt;CS$5+7,$E145&gt;CS$5),"■","")))</x:f>
      </x:c>
      <x:c r="CT145" s="7" t="str">
        <x:f>IF(OR($D145="",CT$5="",'상세일정'!AM145="제외"),"",IF($D145=$E145,IF(AND($D145&gt;=CT$5,$D145&lt;CT$5+7),"◆",""),IF(AND($D145&lt;CT$5+7,$E145&gt;CT$5),"■","")))</x:f>
      </x:c>
      <x:c r="CU145" s="7" t="str">
        <x:f>IF(OR($D145="",CU$5="",'상세일정'!AM145="제외"),"",IF($D145=$E145,IF(AND($D145&gt;=CU$5,$D145&lt;CU$5+7),"◆",""),IF(AND($D145&lt;CU$5+7,$E145&gt;CU$5),"■","")))</x:f>
      </x:c>
      <x:c r="CV145" s="7" t="str">
        <x:f>IF(OR($D145="",CV$5="",'상세일정'!AM145="제외"),"",IF($D145=$E145,IF(AND($D145&gt;=CV$5,$D145&lt;CV$5+7),"◆",""),IF(AND($D145&lt;CV$5+7,$E145&gt;CV$5),"■","")))</x:f>
      </x:c>
      <x:c r="CW145" s="7" t="str">
        <x:f>IF(OR($D145="",CW$5="",'상세일정'!AM145="제외"),"",IF($D145=$E145,IF(AND($D145&gt;=CW$5,$D145&lt;CW$5+7),"◆",""),IF(AND($D145&lt;CW$5+7,$E145&gt;CW$5),"■","")))</x:f>
      </x:c>
      <x:c r="CX145" s="7" t="str">
        <x:f>IF(OR($D145="",CX$5="",'상세일정'!AM145="제외"),"",IF($D145=$E145,IF(AND($D145&gt;=CX$5,$D145&lt;CX$5+7),"◆",""),IF(AND($D145&lt;CX$5+7,$E145&gt;CX$5),"■","")))</x:f>
      </x:c>
      <x:c r="CY145" s="7" t="str">
        <x:f>IF(OR($D145="",CY$5="",'상세일정'!AM145="제외"),"",IF($D145=$E145,IF(AND($D145&gt;=CY$5,$D145&lt;CY$5+7),"◆",""),IF(AND($D145&lt;CY$5+7,$E145&gt;CY$5),"■","")))</x:f>
      </x:c>
      <x:c r="CZ145" s="7" t="str">
        <x:f>IF(OR($D145="",CZ$5="",'상세일정'!AM145="제외"),"",IF($D145=$E145,IF(AND($D145&gt;=CZ$5,$D145&lt;CZ$5+7),"◆",""),IF(AND($D145&lt;CZ$5+7,$E145&gt;CZ$5),"■","")))</x:f>
      </x:c>
      <x:c r="DA145" s="7" t="str">
        <x:f>IF(OR($D145="",DA$5="",'상세일정'!AM145="제외"),"",IF($D145=$E145,IF(AND($D145&gt;=DA$5,$D145&lt;DA$5+7),"◆",""),IF(AND($D145&lt;DA$5+7,$E145&gt;DA$5),"■","")))</x:f>
      </x:c>
      <x:c r="DB145" s="7" t="str">
        <x:f>IF(OR($D145="",DB$5="",'상세일정'!AM145="제외"),"",IF($D145=$E145,IF(AND($D145&gt;=DB$5,$D145&lt;DB$5+7),"◆",""),IF(AND($D145&lt;DB$5+7,$E145&gt;DB$5),"■","")))</x:f>
      </x:c>
      <x:c r="DC145" s="7" t="str">
        <x:f>IF(OR($D145="",DC$5="",'상세일정'!AM145="제외"),"",IF($D145=$E145,IF(AND($D145&gt;=DC$5,$D145&lt;DC$5+7),"◆",""),IF(AND($D145&lt;DC$5+7,$E145&gt;DC$5),"■","")))</x:f>
      </x:c>
      <x:c r="DD145" s="7" t="str">
        <x:f>IF(OR($D145="",DD$5="",'상세일정'!AM145="제외"),"",IF($D145=$E145,IF(AND($D145&gt;=DD$5,$D145&lt;DD$5+7),"◆",""),IF(AND($D145&lt;DD$5+7,$E145&gt;DD$5),"■","")))</x:f>
      </x:c>
      <x:c r="DE145" s="7" t="str">
        <x:f>IF(OR($D145="",DE$5="",'상세일정'!AM145="제외"),"",IF($D145=$E145,IF(AND($D145&gt;=DE$5,$D145&lt;DE$5+7),"◆",""),IF(AND($D145&lt;DE$5+7,$E145&gt;DE$5),"■","")))</x:f>
      </x:c>
    </x:row>
    <x:row r="146" ht="34" customHeight="1">
      <x:c r="A146" s="7" t="str">
        <x:v>UT04</x:v>
      </x:c>
      <x:c r="B146" s="7" t="str">
        <x:v>16 기자재 구매·제작</x:v>
      </x:c>
      <x:c r="C146" s="7" t="str">
        <x:v>IA·냉각타워·데미워터 자재조달·제작</x:v>
      </x:c>
      <x:c r="D146" s="10" t="str">
        <x:f>'상세일정'!AJ146</x:f>
      </x:c>
      <x:c r="E146" s="10" t="str">
        <x:f>'상세일정'!AK146</x:f>
      </x:c>
      <x:c r="F146" s="7" t="str">
        <x:f>IF(OR($D146="",F$5="",'상세일정'!AM146="제외"),"",IF($D146=$E146,IF(AND($D146&gt;=F$5,$D146&lt;F$5+7),"◆",""),IF(AND($D146&lt;F$5+7,$E146&gt;F$5),"■","")))</x:f>
      </x:c>
      <x:c r="G146" s="7" t="str">
        <x:f>IF(OR($D146="",G$5="",'상세일정'!AM146="제외"),"",IF($D146=$E146,IF(AND($D146&gt;=G$5,$D146&lt;G$5+7),"◆",""),IF(AND($D146&lt;G$5+7,$E146&gt;G$5),"■","")))</x:f>
      </x:c>
      <x:c r="H146" s="7" t="str">
        <x:f>IF(OR($D146="",H$5="",'상세일정'!AM146="제외"),"",IF($D146=$E146,IF(AND($D146&gt;=H$5,$D146&lt;H$5+7),"◆",""),IF(AND($D146&lt;H$5+7,$E146&gt;H$5),"■","")))</x:f>
      </x:c>
      <x:c r="I146" s="7" t="str">
        <x:f>IF(OR($D146="",I$5="",'상세일정'!AM146="제외"),"",IF($D146=$E146,IF(AND($D146&gt;=I$5,$D146&lt;I$5+7),"◆",""),IF(AND($D146&lt;I$5+7,$E146&gt;I$5),"■","")))</x:f>
      </x:c>
      <x:c r="J146" s="7" t="str">
        <x:f>IF(OR($D146="",J$5="",'상세일정'!AM146="제외"),"",IF($D146=$E146,IF(AND($D146&gt;=J$5,$D146&lt;J$5+7),"◆",""),IF(AND($D146&lt;J$5+7,$E146&gt;J$5),"■","")))</x:f>
      </x:c>
      <x:c r="K146" s="7" t="str">
        <x:f>IF(OR($D146="",K$5="",'상세일정'!AM146="제외"),"",IF($D146=$E146,IF(AND($D146&gt;=K$5,$D146&lt;K$5+7),"◆",""),IF(AND($D146&lt;K$5+7,$E146&gt;K$5),"■","")))</x:f>
      </x:c>
      <x:c r="L146" s="7" t="str">
        <x:f>IF(OR($D146="",L$5="",'상세일정'!AM146="제외"),"",IF($D146=$E146,IF(AND($D146&gt;=L$5,$D146&lt;L$5+7),"◆",""),IF(AND($D146&lt;L$5+7,$E146&gt;L$5),"■","")))</x:f>
      </x:c>
      <x:c r="M146" s="7" t="str">
        <x:f>IF(OR($D146="",M$5="",'상세일정'!AM146="제외"),"",IF($D146=$E146,IF(AND($D146&gt;=M$5,$D146&lt;M$5+7),"◆",""),IF(AND($D146&lt;M$5+7,$E146&gt;M$5),"■","")))</x:f>
      </x:c>
      <x:c r="N146" s="7" t="str">
        <x:f>IF(OR($D146="",N$5="",'상세일정'!AM146="제외"),"",IF($D146=$E146,IF(AND($D146&gt;=N$5,$D146&lt;N$5+7),"◆",""),IF(AND($D146&lt;N$5+7,$E146&gt;N$5),"■","")))</x:f>
      </x:c>
      <x:c r="O146" s="7" t="str">
        <x:f>IF(OR($D146="",O$5="",'상세일정'!AM146="제외"),"",IF($D146=$E146,IF(AND($D146&gt;=O$5,$D146&lt;O$5+7),"◆",""),IF(AND($D146&lt;O$5+7,$E146&gt;O$5),"■","")))</x:f>
      </x:c>
      <x:c r="P146" s="7" t="str">
        <x:f>IF(OR($D146="",P$5="",'상세일정'!AM146="제외"),"",IF($D146=$E146,IF(AND($D146&gt;=P$5,$D146&lt;P$5+7),"◆",""),IF(AND($D146&lt;P$5+7,$E146&gt;P$5),"■","")))</x:f>
      </x:c>
      <x:c r="Q146" s="7" t="str">
        <x:f>IF(OR($D146="",Q$5="",'상세일정'!AM146="제외"),"",IF($D146=$E146,IF(AND($D146&gt;=Q$5,$D146&lt;Q$5+7),"◆",""),IF(AND($D146&lt;Q$5+7,$E146&gt;Q$5),"■","")))</x:f>
      </x:c>
      <x:c r="R146" s="7" t="str">
        <x:f>IF(OR($D146="",R$5="",'상세일정'!AM146="제외"),"",IF($D146=$E146,IF(AND($D146&gt;=R$5,$D146&lt;R$5+7),"◆",""),IF(AND($D146&lt;R$5+7,$E146&gt;R$5),"■","")))</x:f>
      </x:c>
      <x:c r="S146" s="7" t="str">
        <x:f>IF(OR($D146="",S$5="",'상세일정'!AM146="제외"),"",IF($D146=$E146,IF(AND($D146&gt;=S$5,$D146&lt;S$5+7),"◆",""),IF(AND($D146&lt;S$5+7,$E146&gt;S$5),"■","")))</x:f>
      </x:c>
      <x:c r="T146" s="7" t="str">
        <x:f>IF(OR($D146="",T$5="",'상세일정'!AM146="제외"),"",IF($D146=$E146,IF(AND($D146&gt;=T$5,$D146&lt;T$5+7),"◆",""),IF(AND($D146&lt;T$5+7,$E146&gt;T$5),"■","")))</x:f>
      </x:c>
      <x:c r="U146" s="7" t="str">
        <x:f>IF(OR($D146="",U$5="",'상세일정'!AM146="제외"),"",IF($D146=$E146,IF(AND($D146&gt;=U$5,$D146&lt;U$5+7),"◆",""),IF(AND($D146&lt;U$5+7,$E146&gt;U$5),"■","")))</x:f>
      </x:c>
      <x:c r="V146" s="7" t="str">
        <x:f>IF(OR($D146="",V$5="",'상세일정'!AM146="제외"),"",IF($D146=$E146,IF(AND($D146&gt;=V$5,$D146&lt;V$5+7),"◆",""),IF(AND($D146&lt;V$5+7,$E146&gt;V$5),"■","")))</x:f>
      </x:c>
      <x:c r="W146" s="7" t="str">
        <x:f>IF(OR($D146="",W$5="",'상세일정'!AM146="제외"),"",IF($D146=$E146,IF(AND($D146&gt;=W$5,$D146&lt;W$5+7),"◆",""),IF(AND($D146&lt;W$5+7,$E146&gt;W$5),"■","")))</x:f>
      </x:c>
      <x:c r="X146" s="7" t="str">
        <x:f>IF(OR($D146="",X$5="",'상세일정'!AM146="제외"),"",IF($D146=$E146,IF(AND($D146&gt;=X$5,$D146&lt;X$5+7),"◆",""),IF(AND($D146&lt;X$5+7,$E146&gt;X$5),"■","")))</x:f>
      </x:c>
      <x:c r="Y146" s="7" t="str">
        <x:f>IF(OR($D146="",Y$5="",'상세일정'!AM146="제외"),"",IF($D146=$E146,IF(AND($D146&gt;=Y$5,$D146&lt;Y$5+7),"◆",""),IF(AND($D146&lt;Y$5+7,$E146&gt;Y$5),"■","")))</x:f>
      </x:c>
      <x:c r="Z146" s="7" t="str">
        <x:f>IF(OR($D146="",Z$5="",'상세일정'!AM146="제외"),"",IF($D146=$E146,IF(AND($D146&gt;=Z$5,$D146&lt;Z$5+7),"◆",""),IF(AND($D146&lt;Z$5+7,$E146&gt;Z$5),"■","")))</x:f>
      </x:c>
      <x:c r="AA146" s="7" t="str">
        <x:f>IF(OR($D146="",AA$5="",'상세일정'!AM146="제외"),"",IF($D146=$E146,IF(AND($D146&gt;=AA$5,$D146&lt;AA$5+7),"◆",""),IF(AND($D146&lt;AA$5+7,$E146&gt;AA$5),"■","")))</x:f>
      </x:c>
      <x:c r="AB146" s="7" t="str">
        <x:f>IF(OR($D146="",AB$5="",'상세일정'!AM146="제외"),"",IF($D146=$E146,IF(AND($D146&gt;=AB$5,$D146&lt;AB$5+7),"◆",""),IF(AND($D146&lt;AB$5+7,$E146&gt;AB$5),"■","")))</x:f>
      </x:c>
      <x:c r="AC146" s="7" t="str">
        <x:f>IF(OR($D146="",AC$5="",'상세일정'!AM146="제외"),"",IF($D146=$E146,IF(AND($D146&gt;=AC$5,$D146&lt;AC$5+7),"◆",""),IF(AND($D146&lt;AC$5+7,$E146&gt;AC$5),"■","")))</x:f>
      </x:c>
      <x:c r="AD146" s="7" t="str">
        <x:f>IF(OR($D146="",AD$5="",'상세일정'!AM146="제외"),"",IF($D146=$E146,IF(AND($D146&gt;=AD$5,$D146&lt;AD$5+7),"◆",""),IF(AND($D146&lt;AD$5+7,$E146&gt;AD$5),"■","")))</x:f>
      </x:c>
      <x:c r="AE146" s="7" t="str">
        <x:f>IF(OR($D146="",AE$5="",'상세일정'!AM146="제외"),"",IF($D146=$E146,IF(AND($D146&gt;=AE$5,$D146&lt;AE$5+7),"◆",""),IF(AND($D146&lt;AE$5+7,$E146&gt;AE$5),"■","")))</x:f>
      </x:c>
      <x:c r="AF146" s="7" t="str">
        <x:f>IF(OR($D146="",AF$5="",'상세일정'!AM146="제외"),"",IF($D146=$E146,IF(AND($D146&gt;=AF$5,$D146&lt;AF$5+7),"◆",""),IF(AND($D146&lt;AF$5+7,$E146&gt;AF$5),"■","")))</x:f>
      </x:c>
      <x:c r="AG146" s="7" t="str">
        <x:f>IF(OR($D146="",AG$5="",'상세일정'!AM146="제외"),"",IF($D146=$E146,IF(AND($D146&gt;=AG$5,$D146&lt;AG$5+7),"◆",""),IF(AND($D146&lt;AG$5+7,$E146&gt;AG$5),"■","")))</x:f>
      </x:c>
      <x:c r="AH146" s="7" t="str">
        <x:f>IF(OR($D146="",AH$5="",'상세일정'!AM146="제외"),"",IF($D146=$E146,IF(AND($D146&gt;=AH$5,$D146&lt;AH$5+7),"◆",""),IF(AND($D146&lt;AH$5+7,$E146&gt;AH$5),"■","")))</x:f>
      </x:c>
      <x:c r="AI146" s="7" t="str">
        <x:f>IF(OR($D146="",AI$5="",'상세일정'!AM146="제외"),"",IF($D146=$E146,IF(AND($D146&gt;=AI$5,$D146&lt;AI$5+7),"◆",""),IF(AND($D146&lt;AI$5+7,$E146&gt;AI$5),"■","")))</x:f>
      </x:c>
      <x:c r="AJ146" s="7" t="str">
        <x:f>IF(OR($D146="",AJ$5="",'상세일정'!AM146="제외"),"",IF($D146=$E146,IF(AND($D146&gt;=AJ$5,$D146&lt;AJ$5+7),"◆",""),IF(AND($D146&lt;AJ$5+7,$E146&gt;AJ$5),"■","")))</x:f>
      </x:c>
      <x:c r="AK146" s="7" t="str">
        <x:f>IF(OR($D146="",AK$5="",'상세일정'!AM146="제외"),"",IF($D146=$E146,IF(AND($D146&gt;=AK$5,$D146&lt;AK$5+7),"◆",""),IF(AND($D146&lt;AK$5+7,$E146&gt;AK$5),"■","")))</x:f>
      </x:c>
      <x:c r="AL146" s="7" t="str">
        <x:f>IF(OR($D146="",AL$5="",'상세일정'!AM146="제외"),"",IF($D146=$E146,IF(AND($D146&gt;=AL$5,$D146&lt;AL$5+7),"◆",""),IF(AND($D146&lt;AL$5+7,$E146&gt;AL$5),"■","")))</x:f>
      </x:c>
      <x:c r="AM146" s="7" t="str">
        <x:f>IF(OR($D146="",AM$5="",'상세일정'!AM146="제외"),"",IF($D146=$E146,IF(AND($D146&gt;=AM$5,$D146&lt;AM$5+7),"◆",""),IF(AND($D146&lt;AM$5+7,$E146&gt;AM$5),"■","")))</x:f>
      </x:c>
      <x:c r="AN146" s="7" t="str">
        <x:f>IF(OR($D146="",AN$5="",'상세일정'!AM146="제외"),"",IF($D146=$E146,IF(AND($D146&gt;=AN$5,$D146&lt;AN$5+7),"◆",""),IF(AND($D146&lt;AN$5+7,$E146&gt;AN$5),"■","")))</x:f>
      </x:c>
      <x:c r="AO146" s="7" t="str">
        <x:f>IF(OR($D146="",AO$5="",'상세일정'!AM146="제외"),"",IF($D146=$E146,IF(AND($D146&gt;=AO$5,$D146&lt;AO$5+7),"◆",""),IF(AND($D146&lt;AO$5+7,$E146&gt;AO$5),"■","")))</x:f>
      </x:c>
      <x:c r="AP146" s="7" t="str">
        <x:f>IF(OR($D146="",AP$5="",'상세일정'!AM146="제외"),"",IF($D146=$E146,IF(AND($D146&gt;=AP$5,$D146&lt;AP$5+7),"◆",""),IF(AND($D146&lt;AP$5+7,$E146&gt;AP$5),"■","")))</x:f>
      </x:c>
      <x:c r="AQ146" s="7" t="str">
        <x:f>IF(OR($D146="",AQ$5="",'상세일정'!AM146="제외"),"",IF($D146=$E146,IF(AND($D146&gt;=AQ$5,$D146&lt;AQ$5+7),"◆",""),IF(AND($D146&lt;AQ$5+7,$E146&gt;AQ$5),"■","")))</x:f>
      </x:c>
      <x:c r="AR146" s="7" t="str">
        <x:f>IF(OR($D146="",AR$5="",'상세일정'!AM146="제외"),"",IF($D146=$E146,IF(AND($D146&gt;=AR$5,$D146&lt;AR$5+7),"◆",""),IF(AND($D146&lt;AR$5+7,$E146&gt;AR$5),"■","")))</x:f>
      </x:c>
      <x:c r="AS146" s="7" t="str">
        <x:f>IF(OR($D146="",AS$5="",'상세일정'!AM146="제외"),"",IF($D146=$E146,IF(AND($D146&gt;=AS$5,$D146&lt;AS$5+7),"◆",""),IF(AND($D146&lt;AS$5+7,$E146&gt;AS$5),"■","")))</x:f>
      </x:c>
      <x:c r="AT146" s="7" t="str">
        <x:f>IF(OR($D146="",AT$5="",'상세일정'!AM146="제외"),"",IF($D146=$E146,IF(AND($D146&gt;=AT$5,$D146&lt;AT$5+7),"◆",""),IF(AND($D146&lt;AT$5+7,$E146&gt;AT$5),"■","")))</x:f>
      </x:c>
      <x:c r="AU146" s="7" t="str">
        <x:f>IF(OR($D146="",AU$5="",'상세일정'!AM146="제외"),"",IF($D146=$E146,IF(AND($D146&gt;=AU$5,$D146&lt;AU$5+7),"◆",""),IF(AND($D146&lt;AU$5+7,$E146&gt;AU$5),"■","")))</x:f>
      </x:c>
      <x:c r="AV146" s="7" t="str">
        <x:f>IF(OR($D146="",AV$5="",'상세일정'!AM146="제외"),"",IF($D146=$E146,IF(AND($D146&gt;=AV$5,$D146&lt;AV$5+7),"◆",""),IF(AND($D146&lt;AV$5+7,$E146&gt;AV$5),"■","")))</x:f>
      </x:c>
      <x:c r="AW146" s="7" t="str">
        <x:f>IF(OR($D146="",AW$5="",'상세일정'!AM146="제외"),"",IF($D146=$E146,IF(AND($D146&gt;=AW$5,$D146&lt;AW$5+7),"◆",""),IF(AND($D146&lt;AW$5+7,$E146&gt;AW$5),"■","")))</x:f>
      </x:c>
      <x:c r="AX146" s="7" t="str">
        <x:f>IF(OR($D146="",AX$5="",'상세일정'!AM146="제외"),"",IF($D146=$E146,IF(AND($D146&gt;=AX$5,$D146&lt;AX$5+7),"◆",""),IF(AND($D146&lt;AX$5+7,$E146&gt;AX$5),"■","")))</x:f>
      </x:c>
      <x:c r="AY146" s="7" t="str">
        <x:f>IF(OR($D146="",AY$5="",'상세일정'!AM146="제외"),"",IF($D146=$E146,IF(AND($D146&gt;=AY$5,$D146&lt;AY$5+7),"◆",""),IF(AND($D146&lt;AY$5+7,$E146&gt;AY$5),"■","")))</x:f>
      </x:c>
      <x:c r="AZ146" s="7" t="str">
        <x:f>IF(OR($D146="",AZ$5="",'상세일정'!AM146="제외"),"",IF($D146=$E146,IF(AND($D146&gt;=AZ$5,$D146&lt;AZ$5+7),"◆",""),IF(AND($D146&lt;AZ$5+7,$E146&gt;AZ$5),"■","")))</x:f>
      </x:c>
      <x:c r="BA146" s="7" t="str">
        <x:f>IF(OR($D146="",BA$5="",'상세일정'!AM146="제외"),"",IF($D146=$E146,IF(AND($D146&gt;=BA$5,$D146&lt;BA$5+7),"◆",""),IF(AND($D146&lt;BA$5+7,$E146&gt;BA$5),"■","")))</x:f>
      </x:c>
      <x:c r="BB146" s="7" t="str">
        <x:f>IF(OR($D146="",BB$5="",'상세일정'!AM146="제외"),"",IF($D146=$E146,IF(AND($D146&gt;=BB$5,$D146&lt;BB$5+7),"◆",""),IF(AND($D146&lt;BB$5+7,$E146&gt;BB$5),"■","")))</x:f>
      </x:c>
      <x:c r="BC146" s="7" t="str">
        <x:f>IF(OR($D146="",BC$5="",'상세일정'!AM146="제외"),"",IF($D146=$E146,IF(AND($D146&gt;=BC$5,$D146&lt;BC$5+7),"◆",""),IF(AND($D146&lt;BC$5+7,$E146&gt;BC$5),"■","")))</x:f>
      </x:c>
      <x:c r="BD146" s="7" t="str">
        <x:f>IF(OR($D146="",BD$5="",'상세일정'!AM146="제외"),"",IF($D146=$E146,IF(AND($D146&gt;=BD$5,$D146&lt;BD$5+7),"◆",""),IF(AND($D146&lt;BD$5+7,$E146&gt;BD$5),"■","")))</x:f>
      </x:c>
      <x:c r="BE146" s="7" t="str">
        <x:f>IF(OR($D146="",BE$5="",'상세일정'!AM146="제외"),"",IF($D146=$E146,IF(AND($D146&gt;=BE$5,$D146&lt;BE$5+7),"◆",""),IF(AND($D146&lt;BE$5+7,$E146&gt;BE$5),"■","")))</x:f>
      </x:c>
      <x:c r="BF146" s="7" t="str">
        <x:f>IF(OR($D146="",BF$5="",'상세일정'!AM146="제외"),"",IF($D146=$E146,IF(AND($D146&gt;=BF$5,$D146&lt;BF$5+7),"◆",""),IF(AND($D146&lt;BF$5+7,$E146&gt;BF$5),"■","")))</x:f>
      </x:c>
      <x:c r="BG146" s="7" t="str">
        <x:f>IF(OR($D146="",BG$5="",'상세일정'!AM146="제외"),"",IF($D146=$E146,IF(AND($D146&gt;=BG$5,$D146&lt;BG$5+7),"◆",""),IF(AND($D146&lt;BG$5+7,$E146&gt;BG$5),"■","")))</x:f>
      </x:c>
      <x:c r="BH146" s="7" t="str">
        <x:f>IF(OR($D146="",BH$5="",'상세일정'!AM146="제외"),"",IF($D146=$E146,IF(AND($D146&gt;=BH$5,$D146&lt;BH$5+7),"◆",""),IF(AND($D146&lt;BH$5+7,$E146&gt;BH$5),"■","")))</x:f>
      </x:c>
      <x:c r="BI146" s="7" t="str">
        <x:f>IF(OR($D146="",BI$5="",'상세일정'!AM146="제외"),"",IF($D146=$E146,IF(AND($D146&gt;=BI$5,$D146&lt;BI$5+7),"◆",""),IF(AND($D146&lt;BI$5+7,$E146&gt;BI$5),"■","")))</x:f>
      </x:c>
      <x:c r="BJ146" s="7" t="str">
        <x:f>IF(OR($D146="",BJ$5="",'상세일정'!AM146="제외"),"",IF($D146=$E146,IF(AND($D146&gt;=BJ$5,$D146&lt;BJ$5+7),"◆",""),IF(AND($D146&lt;BJ$5+7,$E146&gt;BJ$5),"■","")))</x:f>
      </x:c>
      <x:c r="BK146" s="7" t="str">
        <x:f>IF(OR($D146="",BK$5="",'상세일정'!AM146="제외"),"",IF($D146=$E146,IF(AND($D146&gt;=BK$5,$D146&lt;BK$5+7),"◆",""),IF(AND($D146&lt;BK$5+7,$E146&gt;BK$5),"■","")))</x:f>
      </x:c>
      <x:c r="BL146" s="7" t="str">
        <x:f>IF(OR($D146="",BL$5="",'상세일정'!AM146="제외"),"",IF($D146=$E146,IF(AND($D146&gt;=BL$5,$D146&lt;BL$5+7),"◆",""),IF(AND($D146&lt;BL$5+7,$E146&gt;BL$5),"■","")))</x:f>
      </x:c>
      <x:c r="BM146" s="7" t="str">
        <x:f>IF(OR($D146="",BM$5="",'상세일정'!AM146="제외"),"",IF($D146=$E146,IF(AND($D146&gt;=BM$5,$D146&lt;BM$5+7),"◆",""),IF(AND($D146&lt;BM$5+7,$E146&gt;BM$5),"■","")))</x:f>
      </x:c>
      <x:c r="BN146" s="7" t="str">
        <x:f>IF(OR($D146="",BN$5="",'상세일정'!AM146="제외"),"",IF($D146=$E146,IF(AND($D146&gt;=BN$5,$D146&lt;BN$5+7),"◆",""),IF(AND($D146&lt;BN$5+7,$E146&gt;BN$5),"■","")))</x:f>
      </x:c>
      <x:c r="BO146" s="7" t="str">
        <x:f>IF(OR($D146="",BO$5="",'상세일정'!AM146="제외"),"",IF($D146=$E146,IF(AND($D146&gt;=BO$5,$D146&lt;BO$5+7),"◆",""),IF(AND($D146&lt;BO$5+7,$E146&gt;BO$5),"■","")))</x:f>
      </x:c>
      <x:c r="BP146" s="7" t="str">
        <x:f>IF(OR($D146="",BP$5="",'상세일정'!AM146="제외"),"",IF($D146=$E146,IF(AND($D146&gt;=BP$5,$D146&lt;BP$5+7),"◆",""),IF(AND($D146&lt;BP$5+7,$E146&gt;BP$5),"■","")))</x:f>
      </x:c>
      <x:c r="BQ146" s="7" t="str">
        <x:f>IF(OR($D146="",BQ$5="",'상세일정'!AM146="제외"),"",IF($D146=$E146,IF(AND($D146&gt;=BQ$5,$D146&lt;BQ$5+7),"◆",""),IF(AND($D146&lt;BQ$5+7,$E146&gt;BQ$5),"■","")))</x:f>
      </x:c>
      <x:c r="BR146" s="7" t="str">
        <x:f>IF(OR($D146="",BR$5="",'상세일정'!AM146="제외"),"",IF($D146=$E146,IF(AND($D146&gt;=BR$5,$D146&lt;BR$5+7),"◆",""),IF(AND($D146&lt;BR$5+7,$E146&gt;BR$5),"■","")))</x:f>
      </x:c>
      <x:c r="BS146" s="7" t="str">
        <x:f>IF(OR($D146="",BS$5="",'상세일정'!AM146="제외"),"",IF($D146=$E146,IF(AND($D146&gt;=BS$5,$D146&lt;BS$5+7),"◆",""),IF(AND($D146&lt;BS$5+7,$E146&gt;BS$5),"■","")))</x:f>
      </x:c>
      <x:c r="BT146" s="7" t="str">
        <x:f>IF(OR($D146="",BT$5="",'상세일정'!AM146="제외"),"",IF($D146=$E146,IF(AND($D146&gt;=BT$5,$D146&lt;BT$5+7),"◆",""),IF(AND($D146&lt;BT$5+7,$E146&gt;BT$5),"■","")))</x:f>
      </x:c>
      <x:c r="BU146" s="7" t="str">
        <x:f>IF(OR($D146="",BU$5="",'상세일정'!AM146="제외"),"",IF($D146=$E146,IF(AND($D146&gt;=BU$5,$D146&lt;BU$5+7),"◆",""),IF(AND($D146&lt;BU$5+7,$E146&gt;BU$5),"■","")))</x:f>
      </x:c>
      <x:c r="BV146" s="7" t="str">
        <x:f>IF(OR($D146="",BV$5="",'상세일정'!AM146="제외"),"",IF($D146=$E146,IF(AND($D146&gt;=BV$5,$D146&lt;BV$5+7),"◆",""),IF(AND($D146&lt;BV$5+7,$E146&gt;BV$5),"■","")))</x:f>
      </x:c>
      <x:c r="BW146" s="7" t="str">
        <x:f>IF(OR($D146="",BW$5="",'상세일정'!AM146="제외"),"",IF($D146=$E146,IF(AND($D146&gt;=BW$5,$D146&lt;BW$5+7),"◆",""),IF(AND($D146&lt;BW$5+7,$E146&gt;BW$5),"■","")))</x:f>
      </x:c>
      <x:c r="BX146" s="7" t="str">
        <x:f>IF(OR($D146="",BX$5="",'상세일정'!AM146="제외"),"",IF($D146=$E146,IF(AND($D146&gt;=BX$5,$D146&lt;BX$5+7),"◆",""),IF(AND($D146&lt;BX$5+7,$E146&gt;BX$5),"■","")))</x:f>
      </x:c>
      <x:c r="BY146" s="7" t="str">
        <x:f>IF(OR($D146="",BY$5="",'상세일정'!AM146="제외"),"",IF($D146=$E146,IF(AND($D146&gt;=BY$5,$D146&lt;BY$5+7),"◆",""),IF(AND($D146&lt;BY$5+7,$E146&gt;BY$5),"■","")))</x:f>
      </x:c>
      <x:c r="BZ146" s="7" t="str">
        <x:f>IF(OR($D146="",BZ$5="",'상세일정'!AM146="제외"),"",IF($D146=$E146,IF(AND($D146&gt;=BZ$5,$D146&lt;BZ$5+7),"◆",""),IF(AND($D146&lt;BZ$5+7,$E146&gt;BZ$5),"■","")))</x:f>
      </x:c>
      <x:c r="CA146" s="7" t="str">
        <x:f>IF(OR($D146="",CA$5="",'상세일정'!AM146="제외"),"",IF($D146=$E146,IF(AND($D146&gt;=CA$5,$D146&lt;CA$5+7),"◆",""),IF(AND($D146&lt;CA$5+7,$E146&gt;CA$5),"■","")))</x:f>
      </x:c>
      <x:c r="CB146" s="7" t="str">
        <x:f>IF(OR($D146="",CB$5="",'상세일정'!AM146="제외"),"",IF($D146=$E146,IF(AND($D146&gt;=CB$5,$D146&lt;CB$5+7),"◆",""),IF(AND($D146&lt;CB$5+7,$E146&gt;CB$5),"■","")))</x:f>
      </x:c>
      <x:c r="CC146" s="7" t="str">
        <x:f>IF(OR($D146="",CC$5="",'상세일정'!AM146="제외"),"",IF($D146=$E146,IF(AND($D146&gt;=CC$5,$D146&lt;CC$5+7),"◆",""),IF(AND($D146&lt;CC$5+7,$E146&gt;CC$5),"■","")))</x:f>
      </x:c>
      <x:c r="CD146" s="7" t="str">
        <x:f>IF(OR($D146="",CD$5="",'상세일정'!AM146="제외"),"",IF($D146=$E146,IF(AND($D146&gt;=CD$5,$D146&lt;CD$5+7),"◆",""),IF(AND($D146&lt;CD$5+7,$E146&gt;CD$5),"■","")))</x:f>
      </x:c>
      <x:c r="CE146" s="7" t="str">
        <x:f>IF(OR($D146="",CE$5="",'상세일정'!AM146="제외"),"",IF($D146=$E146,IF(AND($D146&gt;=CE$5,$D146&lt;CE$5+7),"◆",""),IF(AND($D146&lt;CE$5+7,$E146&gt;CE$5),"■","")))</x:f>
      </x:c>
      <x:c r="CF146" s="7" t="str">
        <x:f>IF(OR($D146="",CF$5="",'상세일정'!AM146="제외"),"",IF($D146=$E146,IF(AND($D146&gt;=CF$5,$D146&lt;CF$5+7),"◆",""),IF(AND($D146&lt;CF$5+7,$E146&gt;CF$5),"■","")))</x:f>
      </x:c>
      <x:c r="CG146" s="7" t="str">
        <x:f>IF(OR($D146="",CG$5="",'상세일정'!AM146="제외"),"",IF($D146=$E146,IF(AND($D146&gt;=CG$5,$D146&lt;CG$5+7),"◆",""),IF(AND($D146&lt;CG$5+7,$E146&gt;CG$5),"■","")))</x:f>
      </x:c>
      <x:c r="CH146" s="7" t="str">
        <x:f>IF(OR($D146="",CH$5="",'상세일정'!AM146="제외"),"",IF($D146=$E146,IF(AND($D146&gt;=CH$5,$D146&lt;CH$5+7),"◆",""),IF(AND($D146&lt;CH$5+7,$E146&gt;CH$5),"■","")))</x:f>
      </x:c>
      <x:c r="CI146" s="7" t="str">
        <x:f>IF(OR($D146="",CI$5="",'상세일정'!AM146="제외"),"",IF($D146=$E146,IF(AND($D146&gt;=CI$5,$D146&lt;CI$5+7),"◆",""),IF(AND($D146&lt;CI$5+7,$E146&gt;CI$5),"■","")))</x:f>
      </x:c>
      <x:c r="CJ146" s="7" t="str">
        <x:f>IF(OR($D146="",CJ$5="",'상세일정'!AM146="제외"),"",IF($D146=$E146,IF(AND($D146&gt;=CJ$5,$D146&lt;CJ$5+7),"◆",""),IF(AND($D146&lt;CJ$5+7,$E146&gt;CJ$5),"■","")))</x:f>
      </x:c>
      <x:c r="CK146" s="7" t="str">
        <x:f>IF(OR($D146="",CK$5="",'상세일정'!AM146="제외"),"",IF($D146=$E146,IF(AND($D146&gt;=CK$5,$D146&lt;CK$5+7),"◆",""),IF(AND($D146&lt;CK$5+7,$E146&gt;CK$5),"■","")))</x:f>
      </x:c>
      <x:c r="CL146" s="7" t="str">
        <x:f>IF(OR($D146="",CL$5="",'상세일정'!AM146="제외"),"",IF($D146=$E146,IF(AND($D146&gt;=CL$5,$D146&lt;CL$5+7),"◆",""),IF(AND($D146&lt;CL$5+7,$E146&gt;CL$5),"■","")))</x:f>
      </x:c>
      <x:c r="CM146" s="7" t="str">
        <x:f>IF(OR($D146="",CM$5="",'상세일정'!AM146="제외"),"",IF($D146=$E146,IF(AND($D146&gt;=CM$5,$D146&lt;CM$5+7),"◆",""),IF(AND($D146&lt;CM$5+7,$E146&gt;CM$5),"■","")))</x:f>
      </x:c>
      <x:c r="CN146" s="7" t="str">
        <x:f>IF(OR($D146="",CN$5="",'상세일정'!AM146="제외"),"",IF($D146=$E146,IF(AND($D146&gt;=CN$5,$D146&lt;CN$5+7),"◆",""),IF(AND($D146&lt;CN$5+7,$E146&gt;CN$5),"■","")))</x:f>
      </x:c>
      <x:c r="CO146" s="7" t="str">
        <x:f>IF(OR($D146="",CO$5="",'상세일정'!AM146="제외"),"",IF($D146=$E146,IF(AND($D146&gt;=CO$5,$D146&lt;CO$5+7),"◆",""),IF(AND($D146&lt;CO$5+7,$E146&gt;CO$5),"■","")))</x:f>
      </x:c>
      <x:c r="CP146" s="7" t="str">
        <x:f>IF(OR($D146="",CP$5="",'상세일정'!AM146="제외"),"",IF($D146=$E146,IF(AND($D146&gt;=CP$5,$D146&lt;CP$5+7),"◆",""),IF(AND($D146&lt;CP$5+7,$E146&gt;CP$5),"■","")))</x:f>
      </x:c>
      <x:c r="CQ146" s="7" t="str">
        <x:f>IF(OR($D146="",CQ$5="",'상세일정'!AM146="제외"),"",IF($D146=$E146,IF(AND($D146&gt;=CQ$5,$D146&lt;CQ$5+7),"◆",""),IF(AND($D146&lt;CQ$5+7,$E146&gt;CQ$5),"■","")))</x:f>
      </x:c>
      <x:c r="CR146" s="7" t="str">
        <x:f>IF(OR($D146="",CR$5="",'상세일정'!AM146="제외"),"",IF($D146=$E146,IF(AND($D146&gt;=CR$5,$D146&lt;CR$5+7),"◆",""),IF(AND($D146&lt;CR$5+7,$E146&gt;CR$5),"■","")))</x:f>
      </x:c>
      <x:c r="CS146" s="7" t="str">
        <x:f>IF(OR($D146="",CS$5="",'상세일정'!AM146="제외"),"",IF($D146=$E146,IF(AND($D146&gt;=CS$5,$D146&lt;CS$5+7),"◆",""),IF(AND($D146&lt;CS$5+7,$E146&gt;CS$5),"■","")))</x:f>
      </x:c>
      <x:c r="CT146" s="7" t="str">
        <x:f>IF(OR($D146="",CT$5="",'상세일정'!AM146="제외"),"",IF($D146=$E146,IF(AND($D146&gt;=CT$5,$D146&lt;CT$5+7),"◆",""),IF(AND($D146&lt;CT$5+7,$E146&gt;CT$5),"■","")))</x:f>
      </x:c>
      <x:c r="CU146" s="7" t="str">
        <x:f>IF(OR($D146="",CU$5="",'상세일정'!AM146="제외"),"",IF($D146=$E146,IF(AND($D146&gt;=CU$5,$D146&lt;CU$5+7),"◆",""),IF(AND($D146&lt;CU$5+7,$E146&gt;CU$5),"■","")))</x:f>
      </x:c>
      <x:c r="CV146" s="7" t="str">
        <x:f>IF(OR($D146="",CV$5="",'상세일정'!AM146="제외"),"",IF($D146=$E146,IF(AND($D146&gt;=CV$5,$D146&lt;CV$5+7),"◆",""),IF(AND($D146&lt;CV$5+7,$E146&gt;CV$5),"■","")))</x:f>
      </x:c>
      <x:c r="CW146" s="7" t="str">
        <x:f>IF(OR($D146="",CW$5="",'상세일정'!AM146="제외"),"",IF($D146=$E146,IF(AND($D146&gt;=CW$5,$D146&lt;CW$5+7),"◆",""),IF(AND($D146&lt;CW$5+7,$E146&gt;CW$5),"■","")))</x:f>
      </x:c>
      <x:c r="CX146" s="7" t="str">
        <x:f>IF(OR($D146="",CX$5="",'상세일정'!AM146="제외"),"",IF($D146=$E146,IF(AND($D146&gt;=CX$5,$D146&lt;CX$5+7),"◆",""),IF(AND($D146&lt;CX$5+7,$E146&gt;CX$5),"■","")))</x:f>
      </x:c>
      <x:c r="CY146" s="7" t="str">
        <x:f>IF(OR($D146="",CY$5="",'상세일정'!AM146="제외"),"",IF($D146=$E146,IF(AND($D146&gt;=CY$5,$D146&lt;CY$5+7),"◆",""),IF(AND($D146&lt;CY$5+7,$E146&gt;CY$5),"■","")))</x:f>
      </x:c>
      <x:c r="CZ146" s="7" t="str">
        <x:f>IF(OR($D146="",CZ$5="",'상세일정'!AM146="제외"),"",IF($D146=$E146,IF(AND($D146&gt;=CZ$5,$D146&lt;CZ$5+7),"◆",""),IF(AND($D146&lt;CZ$5+7,$E146&gt;CZ$5),"■","")))</x:f>
      </x:c>
      <x:c r="DA146" s="7" t="str">
        <x:f>IF(OR($D146="",DA$5="",'상세일정'!AM146="제외"),"",IF($D146=$E146,IF(AND($D146&gt;=DA$5,$D146&lt;DA$5+7),"◆",""),IF(AND($D146&lt;DA$5+7,$E146&gt;DA$5),"■","")))</x:f>
      </x:c>
      <x:c r="DB146" s="7" t="str">
        <x:f>IF(OR($D146="",DB$5="",'상세일정'!AM146="제외"),"",IF($D146=$E146,IF(AND($D146&gt;=DB$5,$D146&lt;DB$5+7),"◆",""),IF(AND($D146&lt;DB$5+7,$E146&gt;DB$5),"■","")))</x:f>
      </x:c>
      <x:c r="DC146" s="7" t="str">
        <x:f>IF(OR($D146="",DC$5="",'상세일정'!AM146="제외"),"",IF($D146=$E146,IF(AND($D146&gt;=DC$5,$D146&lt;DC$5+7),"◆",""),IF(AND($D146&lt;DC$5+7,$E146&gt;DC$5),"■","")))</x:f>
      </x:c>
      <x:c r="DD146" s="7" t="str">
        <x:f>IF(OR($D146="",DD$5="",'상세일정'!AM146="제외"),"",IF($D146=$E146,IF(AND($D146&gt;=DD$5,$D146&lt;DD$5+7),"◆",""),IF(AND($D146&lt;DD$5+7,$E146&gt;DD$5),"■","")))</x:f>
      </x:c>
      <x:c r="DE146" s="7" t="str">
        <x:f>IF(OR($D146="",DE$5="",'상세일정'!AM146="제외"),"",IF($D146=$E146,IF(AND($D146&gt;=DE$5,$D146&lt;DE$5+7),"◆",""),IF(AND($D146&lt;DE$5+7,$E146&gt;DE$5),"■","")))</x:f>
      </x:c>
    </x:row>
    <x:row r="147" ht="34" customHeight="1">
      <x:c r="A147" s="7" t="str">
        <x:v>UT05</x:v>
      </x:c>
      <x:c r="B147" s="7" t="str">
        <x:v>16 기자재 구매·제작</x:v>
      </x:c>
      <x:c r="C147" s="7" t="str">
        <x:v>IA·냉각타워·데미워터 조립·공장 기능시험</x:v>
      </x:c>
      <x:c r="D147" s="10" t="str">
        <x:f>'상세일정'!AJ147</x:f>
      </x:c>
      <x:c r="E147" s="10" t="str">
        <x:f>'상세일정'!AK147</x:f>
      </x:c>
      <x:c r="F147" s="7" t="str">
        <x:f>IF(OR($D147="",F$5="",'상세일정'!AM147="제외"),"",IF($D147=$E147,IF(AND($D147&gt;=F$5,$D147&lt;F$5+7),"◆",""),IF(AND($D147&lt;F$5+7,$E147&gt;F$5),"■","")))</x:f>
      </x:c>
      <x:c r="G147" s="7" t="str">
        <x:f>IF(OR($D147="",G$5="",'상세일정'!AM147="제외"),"",IF($D147=$E147,IF(AND($D147&gt;=G$5,$D147&lt;G$5+7),"◆",""),IF(AND($D147&lt;G$5+7,$E147&gt;G$5),"■","")))</x:f>
      </x:c>
      <x:c r="H147" s="7" t="str">
        <x:f>IF(OR($D147="",H$5="",'상세일정'!AM147="제외"),"",IF($D147=$E147,IF(AND($D147&gt;=H$5,$D147&lt;H$5+7),"◆",""),IF(AND($D147&lt;H$5+7,$E147&gt;H$5),"■","")))</x:f>
      </x:c>
      <x:c r="I147" s="7" t="str">
        <x:f>IF(OR($D147="",I$5="",'상세일정'!AM147="제외"),"",IF($D147=$E147,IF(AND($D147&gt;=I$5,$D147&lt;I$5+7),"◆",""),IF(AND($D147&lt;I$5+7,$E147&gt;I$5),"■","")))</x:f>
      </x:c>
      <x:c r="J147" s="7" t="str">
        <x:f>IF(OR($D147="",J$5="",'상세일정'!AM147="제외"),"",IF($D147=$E147,IF(AND($D147&gt;=J$5,$D147&lt;J$5+7),"◆",""),IF(AND($D147&lt;J$5+7,$E147&gt;J$5),"■","")))</x:f>
      </x:c>
      <x:c r="K147" s="7" t="str">
        <x:f>IF(OR($D147="",K$5="",'상세일정'!AM147="제외"),"",IF($D147=$E147,IF(AND($D147&gt;=K$5,$D147&lt;K$5+7),"◆",""),IF(AND($D147&lt;K$5+7,$E147&gt;K$5),"■","")))</x:f>
      </x:c>
      <x:c r="L147" s="7" t="str">
        <x:f>IF(OR($D147="",L$5="",'상세일정'!AM147="제외"),"",IF($D147=$E147,IF(AND($D147&gt;=L$5,$D147&lt;L$5+7),"◆",""),IF(AND($D147&lt;L$5+7,$E147&gt;L$5),"■","")))</x:f>
      </x:c>
      <x:c r="M147" s="7" t="str">
        <x:f>IF(OR($D147="",M$5="",'상세일정'!AM147="제외"),"",IF($D147=$E147,IF(AND($D147&gt;=M$5,$D147&lt;M$5+7),"◆",""),IF(AND($D147&lt;M$5+7,$E147&gt;M$5),"■","")))</x:f>
      </x:c>
      <x:c r="N147" s="7" t="str">
        <x:f>IF(OR($D147="",N$5="",'상세일정'!AM147="제외"),"",IF($D147=$E147,IF(AND($D147&gt;=N$5,$D147&lt;N$5+7),"◆",""),IF(AND($D147&lt;N$5+7,$E147&gt;N$5),"■","")))</x:f>
      </x:c>
      <x:c r="O147" s="7" t="str">
        <x:f>IF(OR($D147="",O$5="",'상세일정'!AM147="제외"),"",IF($D147=$E147,IF(AND($D147&gt;=O$5,$D147&lt;O$5+7),"◆",""),IF(AND($D147&lt;O$5+7,$E147&gt;O$5),"■","")))</x:f>
      </x:c>
      <x:c r="P147" s="7" t="str">
        <x:f>IF(OR($D147="",P$5="",'상세일정'!AM147="제외"),"",IF($D147=$E147,IF(AND($D147&gt;=P$5,$D147&lt;P$5+7),"◆",""),IF(AND($D147&lt;P$5+7,$E147&gt;P$5),"■","")))</x:f>
      </x:c>
      <x:c r="Q147" s="7" t="str">
        <x:f>IF(OR($D147="",Q$5="",'상세일정'!AM147="제외"),"",IF($D147=$E147,IF(AND($D147&gt;=Q$5,$D147&lt;Q$5+7),"◆",""),IF(AND($D147&lt;Q$5+7,$E147&gt;Q$5),"■","")))</x:f>
      </x:c>
      <x:c r="R147" s="7" t="str">
        <x:f>IF(OR($D147="",R$5="",'상세일정'!AM147="제외"),"",IF($D147=$E147,IF(AND($D147&gt;=R$5,$D147&lt;R$5+7),"◆",""),IF(AND($D147&lt;R$5+7,$E147&gt;R$5),"■","")))</x:f>
      </x:c>
      <x:c r="S147" s="7" t="str">
        <x:f>IF(OR($D147="",S$5="",'상세일정'!AM147="제외"),"",IF($D147=$E147,IF(AND($D147&gt;=S$5,$D147&lt;S$5+7),"◆",""),IF(AND($D147&lt;S$5+7,$E147&gt;S$5),"■","")))</x:f>
      </x:c>
      <x:c r="T147" s="7" t="str">
        <x:f>IF(OR($D147="",T$5="",'상세일정'!AM147="제외"),"",IF($D147=$E147,IF(AND($D147&gt;=T$5,$D147&lt;T$5+7),"◆",""),IF(AND($D147&lt;T$5+7,$E147&gt;T$5),"■","")))</x:f>
      </x:c>
      <x:c r="U147" s="7" t="str">
        <x:f>IF(OR($D147="",U$5="",'상세일정'!AM147="제외"),"",IF($D147=$E147,IF(AND($D147&gt;=U$5,$D147&lt;U$5+7),"◆",""),IF(AND($D147&lt;U$5+7,$E147&gt;U$5),"■","")))</x:f>
      </x:c>
      <x:c r="V147" s="7" t="str">
        <x:f>IF(OR($D147="",V$5="",'상세일정'!AM147="제외"),"",IF($D147=$E147,IF(AND($D147&gt;=V$5,$D147&lt;V$5+7),"◆",""),IF(AND($D147&lt;V$5+7,$E147&gt;V$5),"■","")))</x:f>
      </x:c>
      <x:c r="W147" s="7" t="str">
        <x:f>IF(OR($D147="",W$5="",'상세일정'!AM147="제외"),"",IF($D147=$E147,IF(AND($D147&gt;=W$5,$D147&lt;W$5+7),"◆",""),IF(AND($D147&lt;W$5+7,$E147&gt;W$5),"■","")))</x:f>
      </x:c>
      <x:c r="X147" s="7" t="str">
        <x:f>IF(OR($D147="",X$5="",'상세일정'!AM147="제외"),"",IF($D147=$E147,IF(AND($D147&gt;=X$5,$D147&lt;X$5+7),"◆",""),IF(AND($D147&lt;X$5+7,$E147&gt;X$5),"■","")))</x:f>
      </x:c>
      <x:c r="Y147" s="7" t="str">
        <x:f>IF(OR($D147="",Y$5="",'상세일정'!AM147="제외"),"",IF($D147=$E147,IF(AND($D147&gt;=Y$5,$D147&lt;Y$5+7),"◆",""),IF(AND($D147&lt;Y$5+7,$E147&gt;Y$5),"■","")))</x:f>
      </x:c>
      <x:c r="Z147" s="7" t="str">
        <x:f>IF(OR($D147="",Z$5="",'상세일정'!AM147="제외"),"",IF($D147=$E147,IF(AND($D147&gt;=Z$5,$D147&lt;Z$5+7),"◆",""),IF(AND($D147&lt;Z$5+7,$E147&gt;Z$5),"■","")))</x:f>
      </x:c>
      <x:c r="AA147" s="7" t="str">
        <x:f>IF(OR($D147="",AA$5="",'상세일정'!AM147="제외"),"",IF($D147=$E147,IF(AND($D147&gt;=AA$5,$D147&lt;AA$5+7),"◆",""),IF(AND($D147&lt;AA$5+7,$E147&gt;AA$5),"■","")))</x:f>
      </x:c>
      <x:c r="AB147" s="7" t="str">
        <x:f>IF(OR($D147="",AB$5="",'상세일정'!AM147="제외"),"",IF($D147=$E147,IF(AND($D147&gt;=AB$5,$D147&lt;AB$5+7),"◆",""),IF(AND($D147&lt;AB$5+7,$E147&gt;AB$5),"■","")))</x:f>
      </x:c>
      <x:c r="AC147" s="7" t="str">
        <x:f>IF(OR($D147="",AC$5="",'상세일정'!AM147="제외"),"",IF($D147=$E147,IF(AND($D147&gt;=AC$5,$D147&lt;AC$5+7),"◆",""),IF(AND($D147&lt;AC$5+7,$E147&gt;AC$5),"■","")))</x:f>
      </x:c>
      <x:c r="AD147" s="7" t="str">
        <x:f>IF(OR($D147="",AD$5="",'상세일정'!AM147="제외"),"",IF($D147=$E147,IF(AND($D147&gt;=AD$5,$D147&lt;AD$5+7),"◆",""),IF(AND($D147&lt;AD$5+7,$E147&gt;AD$5),"■","")))</x:f>
      </x:c>
      <x:c r="AE147" s="7" t="str">
        <x:f>IF(OR($D147="",AE$5="",'상세일정'!AM147="제외"),"",IF($D147=$E147,IF(AND($D147&gt;=AE$5,$D147&lt;AE$5+7),"◆",""),IF(AND($D147&lt;AE$5+7,$E147&gt;AE$5),"■","")))</x:f>
      </x:c>
      <x:c r="AF147" s="7" t="str">
        <x:f>IF(OR($D147="",AF$5="",'상세일정'!AM147="제외"),"",IF($D147=$E147,IF(AND($D147&gt;=AF$5,$D147&lt;AF$5+7),"◆",""),IF(AND($D147&lt;AF$5+7,$E147&gt;AF$5),"■","")))</x:f>
      </x:c>
      <x:c r="AG147" s="7" t="str">
        <x:f>IF(OR($D147="",AG$5="",'상세일정'!AM147="제외"),"",IF($D147=$E147,IF(AND($D147&gt;=AG$5,$D147&lt;AG$5+7),"◆",""),IF(AND($D147&lt;AG$5+7,$E147&gt;AG$5),"■","")))</x:f>
      </x:c>
      <x:c r="AH147" s="7" t="str">
        <x:f>IF(OR($D147="",AH$5="",'상세일정'!AM147="제외"),"",IF($D147=$E147,IF(AND($D147&gt;=AH$5,$D147&lt;AH$5+7),"◆",""),IF(AND($D147&lt;AH$5+7,$E147&gt;AH$5),"■","")))</x:f>
      </x:c>
      <x:c r="AI147" s="7" t="str">
        <x:f>IF(OR($D147="",AI$5="",'상세일정'!AM147="제외"),"",IF($D147=$E147,IF(AND($D147&gt;=AI$5,$D147&lt;AI$5+7),"◆",""),IF(AND($D147&lt;AI$5+7,$E147&gt;AI$5),"■","")))</x:f>
      </x:c>
      <x:c r="AJ147" s="7" t="str">
        <x:f>IF(OR($D147="",AJ$5="",'상세일정'!AM147="제외"),"",IF($D147=$E147,IF(AND($D147&gt;=AJ$5,$D147&lt;AJ$5+7),"◆",""),IF(AND($D147&lt;AJ$5+7,$E147&gt;AJ$5),"■","")))</x:f>
      </x:c>
      <x:c r="AK147" s="7" t="str">
        <x:f>IF(OR($D147="",AK$5="",'상세일정'!AM147="제외"),"",IF($D147=$E147,IF(AND($D147&gt;=AK$5,$D147&lt;AK$5+7),"◆",""),IF(AND($D147&lt;AK$5+7,$E147&gt;AK$5),"■","")))</x:f>
      </x:c>
      <x:c r="AL147" s="7" t="str">
        <x:f>IF(OR($D147="",AL$5="",'상세일정'!AM147="제외"),"",IF($D147=$E147,IF(AND($D147&gt;=AL$5,$D147&lt;AL$5+7),"◆",""),IF(AND($D147&lt;AL$5+7,$E147&gt;AL$5),"■","")))</x:f>
      </x:c>
      <x:c r="AM147" s="7" t="str">
        <x:f>IF(OR($D147="",AM$5="",'상세일정'!AM147="제외"),"",IF($D147=$E147,IF(AND($D147&gt;=AM$5,$D147&lt;AM$5+7),"◆",""),IF(AND($D147&lt;AM$5+7,$E147&gt;AM$5),"■","")))</x:f>
      </x:c>
      <x:c r="AN147" s="7" t="str">
        <x:f>IF(OR($D147="",AN$5="",'상세일정'!AM147="제외"),"",IF($D147=$E147,IF(AND($D147&gt;=AN$5,$D147&lt;AN$5+7),"◆",""),IF(AND($D147&lt;AN$5+7,$E147&gt;AN$5),"■","")))</x:f>
      </x:c>
      <x:c r="AO147" s="7" t="str">
        <x:f>IF(OR($D147="",AO$5="",'상세일정'!AM147="제외"),"",IF($D147=$E147,IF(AND($D147&gt;=AO$5,$D147&lt;AO$5+7),"◆",""),IF(AND($D147&lt;AO$5+7,$E147&gt;AO$5),"■","")))</x:f>
      </x:c>
      <x:c r="AP147" s="7" t="str">
        <x:f>IF(OR($D147="",AP$5="",'상세일정'!AM147="제외"),"",IF($D147=$E147,IF(AND($D147&gt;=AP$5,$D147&lt;AP$5+7),"◆",""),IF(AND($D147&lt;AP$5+7,$E147&gt;AP$5),"■","")))</x:f>
      </x:c>
      <x:c r="AQ147" s="7" t="str">
        <x:f>IF(OR($D147="",AQ$5="",'상세일정'!AM147="제외"),"",IF($D147=$E147,IF(AND($D147&gt;=AQ$5,$D147&lt;AQ$5+7),"◆",""),IF(AND($D147&lt;AQ$5+7,$E147&gt;AQ$5),"■","")))</x:f>
      </x:c>
      <x:c r="AR147" s="7" t="str">
        <x:f>IF(OR($D147="",AR$5="",'상세일정'!AM147="제외"),"",IF($D147=$E147,IF(AND($D147&gt;=AR$5,$D147&lt;AR$5+7),"◆",""),IF(AND($D147&lt;AR$5+7,$E147&gt;AR$5),"■","")))</x:f>
      </x:c>
      <x:c r="AS147" s="7" t="str">
        <x:f>IF(OR($D147="",AS$5="",'상세일정'!AM147="제외"),"",IF($D147=$E147,IF(AND($D147&gt;=AS$5,$D147&lt;AS$5+7),"◆",""),IF(AND($D147&lt;AS$5+7,$E147&gt;AS$5),"■","")))</x:f>
      </x:c>
      <x:c r="AT147" s="7" t="str">
        <x:f>IF(OR($D147="",AT$5="",'상세일정'!AM147="제외"),"",IF($D147=$E147,IF(AND($D147&gt;=AT$5,$D147&lt;AT$5+7),"◆",""),IF(AND($D147&lt;AT$5+7,$E147&gt;AT$5),"■","")))</x:f>
      </x:c>
      <x:c r="AU147" s="7" t="str">
        <x:f>IF(OR($D147="",AU$5="",'상세일정'!AM147="제외"),"",IF($D147=$E147,IF(AND($D147&gt;=AU$5,$D147&lt;AU$5+7),"◆",""),IF(AND($D147&lt;AU$5+7,$E147&gt;AU$5),"■","")))</x:f>
      </x:c>
      <x:c r="AV147" s="7" t="str">
        <x:f>IF(OR($D147="",AV$5="",'상세일정'!AM147="제외"),"",IF($D147=$E147,IF(AND($D147&gt;=AV$5,$D147&lt;AV$5+7),"◆",""),IF(AND($D147&lt;AV$5+7,$E147&gt;AV$5),"■","")))</x:f>
      </x:c>
      <x:c r="AW147" s="7" t="str">
        <x:f>IF(OR($D147="",AW$5="",'상세일정'!AM147="제외"),"",IF($D147=$E147,IF(AND($D147&gt;=AW$5,$D147&lt;AW$5+7),"◆",""),IF(AND($D147&lt;AW$5+7,$E147&gt;AW$5),"■","")))</x:f>
      </x:c>
      <x:c r="AX147" s="7" t="str">
        <x:f>IF(OR($D147="",AX$5="",'상세일정'!AM147="제외"),"",IF($D147=$E147,IF(AND($D147&gt;=AX$5,$D147&lt;AX$5+7),"◆",""),IF(AND($D147&lt;AX$5+7,$E147&gt;AX$5),"■","")))</x:f>
      </x:c>
      <x:c r="AY147" s="7" t="str">
        <x:f>IF(OR($D147="",AY$5="",'상세일정'!AM147="제외"),"",IF($D147=$E147,IF(AND($D147&gt;=AY$5,$D147&lt;AY$5+7),"◆",""),IF(AND($D147&lt;AY$5+7,$E147&gt;AY$5),"■","")))</x:f>
      </x:c>
      <x:c r="AZ147" s="7" t="str">
        <x:f>IF(OR($D147="",AZ$5="",'상세일정'!AM147="제외"),"",IF($D147=$E147,IF(AND($D147&gt;=AZ$5,$D147&lt;AZ$5+7),"◆",""),IF(AND($D147&lt;AZ$5+7,$E147&gt;AZ$5),"■","")))</x:f>
      </x:c>
      <x:c r="BA147" s="7" t="str">
        <x:f>IF(OR($D147="",BA$5="",'상세일정'!AM147="제외"),"",IF($D147=$E147,IF(AND($D147&gt;=BA$5,$D147&lt;BA$5+7),"◆",""),IF(AND($D147&lt;BA$5+7,$E147&gt;BA$5),"■","")))</x:f>
      </x:c>
      <x:c r="BB147" s="7" t="str">
        <x:f>IF(OR($D147="",BB$5="",'상세일정'!AM147="제외"),"",IF($D147=$E147,IF(AND($D147&gt;=BB$5,$D147&lt;BB$5+7),"◆",""),IF(AND($D147&lt;BB$5+7,$E147&gt;BB$5),"■","")))</x:f>
      </x:c>
      <x:c r="BC147" s="7" t="str">
        <x:f>IF(OR($D147="",BC$5="",'상세일정'!AM147="제외"),"",IF($D147=$E147,IF(AND($D147&gt;=BC$5,$D147&lt;BC$5+7),"◆",""),IF(AND($D147&lt;BC$5+7,$E147&gt;BC$5),"■","")))</x:f>
      </x:c>
      <x:c r="BD147" s="7" t="str">
        <x:f>IF(OR($D147="",BD$5="",'상세일정'!AM147="제외"),"",IF($D147=$E147,IF(AND($D147&gt;=BD$5,$D147&lt;BD$5+7),"◆",""),IF(AND($D147&lt;BD$5+7,$E147&gt;BD$5),"■","")))</x:f>
      </x:c>
      <x:c r="BE147" s="7" t="str">
        <x:f>IF(OR($D147="",BE$5="",'상세일정'!AM147="제외"),"",IF($D147=$E147,IF(AND($D147&gt;=BE$5,$D147&lt;BE$5+7),"◆",""),IF(AND($D147&lt;BE$5+7,$E147&gt;BE$5),"■","")))</x:f>
      </x:c>
      <x:c r="BF147" s="7" t="str">
        <x:f>IF(OR($D147="",BF$5="",'상세일정'!AM147="제외"),"",IF($D147=$E147,IF(AND($D147&gt;=BF$5,$D147&lt;BF$5+7),"◆",""),IF(AND($D147&lt;BF$5+7,$E147&gt;BF$5),"■","")))</x:f>
      </x:c>
      <x:c r="BG147" s="7" t="str">
        <x:f>IF(OR($D147="",BG$5="",'상세일정'!AM147="제외"),"",IF($D147=$E147,IF(AND($D147&gt;=BG$5,$D147&lt;BG$5+7),"◆",""),IF(AND($D147&lt;BG$5+7,$E147&gt;BG$5),"■","")))</x:f>
      </x:c>
      <x:c r="BH147" s="7" t="str">
        <x:f>IF(OR($D147="",BH$5="",'상세일정'!AM147="제외"),"",IF($D147=$E147,IF(AND($D147&gt;=BH$5,$D147&lt;BH$5+7),"◆",""),IF(AND($D147&lt;BH$5+7,$E147&gt;BH$5),"■","")))</x:f>
      </x:c>
      <x:c r="BI147" s="7" t="str">
        <x:f>IF(OR($D147="",BI$5="",'상세일정'!AM147="제외"),"",IF($D147=$E147,IF(AND($D147&gt;=BI$5,$D147&lt;BI$5+7),"◆",""),IF(AND($D147&lt;BI$5+7,$E147&gt;BI$5),"■","")))</x:f>
      </x:c>
      <x:c r="BJ147" s="7" t="str">
        <x:f>IF(OR($D147="",BJ$5="",'상세일정'!AM147="제외"),"",IF($D147=$E147,IF(AND($D147&gt;=BJ$5,$D147&lt;BJ$5+7),"◆",""),IF(AND($D147&lt;BJ$5+7,$E147&gt;BJ$5),"■","")))</x:f>
      </x:c>
      <x:c r="BK147" s="7" t="str">
        <x:f>IF(OR($D147="",BK$5="",'상세일정'!AM147="제외"),"",IF($D147=$E147,IF(AND($D147&gt;=BK$5,$D147&lt;BK$5+7),"◆",""),IF(AND($D147&lt;BK$5+7,$E147&gt;BK$5),"■","")))</x:f>
      </x:c>
      <x:c r="BL147" s="7" t="str">
        <x:f>IF(OR($D147="",BL$5="",'상세일정'!AM147="제외"),"",IF($D147=$E147,IF(AND($D147&gt;=BL$5,$D147&lt;BL$5+7),"◆",""),IF(AND($D147&lt;BL$5+7,$E147&gt;BL$5),"■","")))</x:f>
      </x:c>
      <x:c r="BM147" s="7" t="str">
        <x:f>IF(OR($D147="",BM$5="",'상세일정'!AM147="제외"),"",IF($D147=$E147,IF(AND($D147&gt;=BM$5,$D147&lt;BM$5+7),"◆",""),IF(AND($D147&lt;BM$5+7,$E147&gt;BM$5),"■","")))</x:f>
      </x:c>
      <x:c r="BN147" s="7" t="str">
        <x:f>IF(OR($D147="",BN$5="",'상세일정'!AM147="제외"),"",IF($D147=$E147,IF(AND($D147&gt;=BN$5,$D147&lt;BN$5+7),"◆",""),IF(AND($D147&lt;BN$5+7,$E147&gt;BN$5),"■","")))</x:f>
      </x:c>
      <x:c r="BO147" s="7" t="str">
        <x:f>IF(OR($D147="",BO$5="",'상세일정'!AM147="제외"),"",IF($D147=$E147,IF(AND($D147&gt;=BO$5,$D147&lt;BO$5+7),"◆",""),IF(AND($D147&lt;BO$5+7,$E147&gt;BO$5),"■","")))</x:f>
      </x:c>
      <x:c r="BP147" s="7" t="str">
        <x:f>IF(OR($D147="",BP$5="",'상세일정'!AM147="제외"),"",IF($D147=$E147,IF(AND($D147&gt;=BP$5,$D147&lt;BP$5+7),"◆",""),IF(AND($D147&lt;BP$5+7,$E147&gt;BP$5),"■","")))</x:f>
      </x:c>
      <x:c r="BQ147" s="7" t="str">
        <x:f>IF(OR($D147="",BQ$5="",'상세일정'!AM147="제외"),"",IF($D147=$E147,IF(AND($D147&gt;=BQ$5,$D147&lt;BQ$5+7),"◆",""),IF(AND($D147&lt;BQ$5+7,$E147&gt;BQ$5),"■","")))</x:f>
      </x:c>
      <x:c r="BR147" s="7" t="str">
        <x:f>IF(OR($D147="",BR$5="",'상세일정'!AM147="제외"),"",IF($D147=$E147,IF(AND($D147&gt;=BR$5,$D147&lt;BR$5+7),"◆",""),IF(AND($D147&lt;BR$5+7,$E147&gt;BR$5),"■","")))</x:f>
      </x:c>
      <x:c r="BS147" s="7" t="str">
        <x:f>IF(OR($D147="",BS$5="",'상세일정'!AM147="제외"),"",IF($D147=$E147,IF(AND($D147&gt;=BS$5,$D147&lt;BS$5+7),"◆",""),IF(AND($D147&lt;BS$5+7,$E147&gt;BS$5),"■","")))</x:f>
      </x:c>
      <x:c r="BT147" s="7" t="str">
        <x:f>IF(OR($D147="",BT$5="",'상세일정'!AM147="제외"),"",IF($D147=$E147,IF(AND($D147&gt;=BT$5,$D147&lt;BT$5+7),"◆",""),IF(AND($D147&lt;BT$5+7,$E147&gt;BT$5),"■","")))</x:f>
      </x:c>
      <x:c r="BU147" s="7" t="str">
        <x:f>IF(OR($D147="",BU$5="",'상세일정'!AM147="제외"),"",IF($D147=$E147,IF(AND($D147&gt;=BU$5,$D147&lt;BU$5+7),"◆",""),IF(AND($D147&lt;BU$5+7,$E147&gt;BU$5),"■","")))</x:f>
      </x:c>
      <x:c r="BV147" s="7" t="str">
        <x:f>IF(OR($D147="",BV$5="",'상세일정'!AM147="제외"),"",IF($D147=$E147,IF(AND($D147&gt;=BV$5,$D147&lt;BV$5+7),"◆",""),IF(AND($D147&lt;BV$5+7,$E147&gt;BV$5),"■","")))</x:f>
      </x:c>
      <x:c r="BW147" s="7" t="str">
        <x:f>IF(OR($D147="",BW$5="",'상세일정'!AM147="제외"),"",IF($D147=$E147,IF(AND($D147&gt;=BW$5,$D147&lt;BW$5+7),"◆",""),IF(AND($D147&lt;BW$5+7,$E147&gt;BW$5),"■","")))</x:f>
      </x:c>
      <x:c r="BX147" s="7" t="str">
        <x:f>IF(OR($D147="",BX$5="",'상세일정'!AM147="제외"),"",IF($D147=$E147,IF(AND($D147&gt;=BX$5,$D147&lt;BX$5+7),"◆",""),IF(AND($D147&lt;BX$5+7,$E147&gt;BX$5),"■","")))</x:f>
      </x:c>
      <x:c r="BY147" s="7" t="str">
        <x:f>IF(OR($D147="",BY$5="",'상세일정'!AM147="제외"),"",IF($D147=$E147,IF(AND($D147&gt;=BY$5,$D147&lt;BY$5+7),"◆",""),IF(AND($D147&lt;BY$5+7,$E147&gt;BY$5),"■","")))</x:f>
      </x:c>
      <x:c r="BZ147" s="7" t="str">
        <x:f>IF(OR($D147="",BZ$5="",'상세일정'!AM147="제외"),"",IF($D147=$E147,IF(AND($D147&gt;=BZ$5,$D147&lt;BZ$5+7),"◆",""),IF(AND($D147&lt;BZ$5+7,$E147&gt;BZ$5),"■","")))</x:f>
      </x:c>
      <x:c r="CA147" s="7" t="str">
        <x:f>IF(OR($D147="",CA$5="",'상세일정'!AM147="제외"),"",IF($D147=$E147,IF(AND($D147&gt;=CA$5,$D147&lt;CA$5+7),"◆",""),IF(AND($D147&lt;CA$5+7,$E147&gt;CA$5),"■","")))</x:f>
      </x:c>
      <x:c r="CB147" s="7" t="str">
        <x:f>IF(OR($D147="",CB$5="",'상세일정'!AM147="제외"),"",IF($D147=$E147,IF(AND($D147&gt;=CB$5,$D147&lt;CB$5+7),"◆",""),IF(AND($D147&lt;CB$5+7,$E147&gt;CB$5),"■","")))</x:f>
      </x:c>
      <x:c r="CC147" s="7" t="str">
        <x:f>IF(OR($D147="",CC$5="",'상세일정'!AM147="제외"),"",IF($D147=$E147,IF(AND($D147&gt;=CC$5,$D147&lt;CC$5+7),"◆",""),IF(AND($D147&lt;CC$5+7,$E147&gt;CC$5),"■","")))</x:f>
      </x:c>
      <x:c r="CD147" s="7" t="str">
        <x:f>IF(OR($D147="",CD$5="",'상세일정'!AM147="제외"),"",IF($D147=$E147,IF(AND($D147&gt;=CD$5,$D147&lt;CD$5+7),"◆",""),IF(AND($D147&lt;CD$5+7,$E147&gt;CD$5),"■","")))</x:f>
      </x:c>
      <x:c r="CE147" s="7" t="str">
        <x:f>IF(OR($D147="",CE$5="",'상세일정'!AM147="제외"),"",IF($D147=$E147,IF(AND($D147&gt;=CE$5,$D147&lt;CE$5+7),"◆",""),IF(AND($D147&lt;CE$5+7,$E147&gt;CE$5),"■","")))</x:f>
      </x:c>
      <x:c r="CF147" s="7" t="str">
        <x:f>IF(OR($D147="",CF$5="",'상세일정'!AM147="제외"),"",IF($D147=$E147,IF(AND($D147&gt;=CF$5,$D147&lt;CF$5+7),"◆",""),IF(AND($D147&lt;CF$5+7,$E147&gt;CF$5),"■","")))</x:f>
      </x:c>
      <x:c r="CG147" s="7" t="str">
        <x:f>IF(OR($D147="",CG$5="",'상세일정'!AM147="제외"),"",IF($D147=$E147,IF(AND($D147&gt;=CG$5,$D147&lt;CG$5+7),"◆",""),IF(AND($D147&lt;CG$5+7,$E147&gt;CG$5),"■","")))</x:f>
      </x:c>
      <x:c r="CH147" s="7" t="str">
        <x:f>IF(OR($D147="",CH$5="",'상세일정'!AM147="제외"),"",IF($D147=$E147,IF(AND($D147&gt;=CH$5,$D147&lt;CH$5+7),"◆",""),IF(AND($D147&lt;CH$5+7,$E147&gt;CH$5),"■","")))</x:f>
      </x:c>
      <x:c r="CI147" s="7" t="str">
        <x:f>IF(OR($D147="",CI$5="",'상세일정'!AM147="제외"),"",IF($D147=$E147,IF(AND($D147&gt;=CI$5,$D147&lt;CI$5+7),"◆",""),IF(AND($D147&lt;CI$5+7,$E147&gt;CI$5),"■","")))</x:f>
      </x:c>
      <x:c r="CJ147" s="7" t="str">
        <x:f>IF(OR($D147="",CJ$5="",'상세일정'!AM147="제외"),"",IF($D147=$E147,IF(AND($D147&gt;=CJ$5,$D147&lt;CJ$5+7),"◆",""),IF(AND($D147&lt;CJ$5+7,$E147&gt;CJ$5),"■","")))</x:f>
      </x:c>
      <x:c r="CK147" s="7" t="str">
        <x:f>IF(OR($D147="",CK$5="",'상세일정'!AM147="제외"),"",IF($D147=$E147,IF(AND($D147&gt;=CK$5,$D147&lt;CK$5+7),"◆",""),IF(AND($D147&lt;CK$5+7,$E147&gt;CK$5),"■","")))</x:f>
      </x:c>
      <x:c r="CL147" s="7" t="str">
        <x:f>IF(OR($D147="",CL$5="",'상세일정'!AM147="제외"),"",IF($D147=$E147,IF(AND($D147&gt;=CL$5,$D147&lt;CL$5+7),"◆",""),IF(AND($D147&lt;CL$5+7,$E147&gt;CL$5),"■","")))</x:f>
      </x:c>
      <x:c r="CM147" s="7" t="str">
        <x:f>IF(OR($D147="",CM$5="",'상세일정'!AM147="제외"),"",IF($D147=$E147,IF(AND($D147&gt;=CM$5,$D147&lt;CM$5+7),"◆",""),IF(AND($D147&lt;CM$5+7,$E147&gt;CM$5),"■","")))</x:f>
      </x:c>
      <x:c r="CN147" s="7" t="str">
        <x:f>IF(OR($D147="",CN$5="",'상세일정'!AM147="제외"),"",IF($D147=$E147,IF(AND($D147&gt;=CN$5,$D147&lt;CN$5+7),"◆",""),IF(AND($D147&lt;CN$5+7,$E147&gt;CN$5),"■","")))</x:f>
      </x:c>
      <x:c r="CO147" s="7" t="str">
        <x:f>IF(OR($D147="",CO$5="",'상세일정'!AM147="제외"),"",IF($D147=$E147,IF(AND($D147&gt;=CO$5,$D147&lt;CO$5+7),"◆",""),IF(AND($D147&lt;CO$5+7,$E147&gt;CO$5),"■","")))</x:f>
      </x:c>
      <x:c r="CP147" s="7" t="str">
        <x:f>IF(OR($D147="",CP$5="",'상세일정'!AM147="제외"),"",IF($D147=$E147,IF(AND($D147&gt;=CP$5,$D147&lt;CP$5+7),"◆",""),IF(AND($D147&lt;CP$5+7,$E147&gt;CP$5),"■","")))</x:f>
      </x:c>
      <x:c r="CQ147" s="7" t="str">
        <x:f>IF(OR($D147="",CQ$5="",'상세일정'!AM147="제외"),"",IF($D147=$E147,IF(AND($D147&gt;=CQ$5,$D147&lt;CQ$5+7),"◆",""),IF(AND($D147&lt;CQ$5+7,$E147&gt;CQ$5),"■","")))</x:f>
      </x:c>
      <x:c r="CR147" s="7" t="str">
        <x:f>IF(OR($D147="",CR$5="",'상세일정'!AM147="제외"),"",IF($D147=$E147,IF(AND($D147&gt;=CR$5,$D147&lt;CR$5+7),"◆",""),IF(AND($D147&lt;CR$5+7,$E147&gt;CR$5),"■","")))</x:f>
      </x:c>
      <x:c r="CS147" s="7" t="str">
        <x:f>IF(OR($D147="",CS$5="",'상세일정'!AM147="제외"),"",IF($D147=$E147,IF(AND($D147&gt;=CS$5,$D147&lt;CS$5+7),"◆",""),IF(AND($D147&lt;CS$5+7,$E147&gt;CS$5),"■","")))</x:f>
      </x:c>
      <x:c r="CT147" s="7" t="str">
        <x:f>IF(OR($D147="",CT$5="",'상세일정'!AM147="제외"),"",IF($D147=$E147,IF(AND($D147&gt;=CT$5,$D147&lt;CT$5+7),"◆",""),IF(AND($D147&lt;CT$5+7,$E147&gt;CT$5),"■","")))</x:f>
      </x:c>
      <x:c r="CU147" s="7" t="str">
        <x:f>IF(OR($D147="",CU$5="",'상세일정'!AM147="제외"),"",IF($D147=$E147,IF(AND($D147&gt;=CU$5,$D147&lt;CU$5+7),"◆",""),IF(AND($D147&lt;CU$5+7,$E147&gt;CU$5),"■","")))</x:f>
      </x:c>
      <x:c r="CV147" s="7" t="str">
        <x:f>IF(OR($D147="",CV$5="",'상세일정'!AM147="제외"),"",IF($D147=$E147,IF(AND($D147&gt;=CV$5,$D147&lt;CV$5+7),"◆",""),IF(AND($D147&lt;CV$5+7,$E147&gt;CV$5),"■","")))</x:f>
      </x:c>
      <x:c r="CW147" s="7" t="str">
        <x:f>IF(OR($D147="",CW$5="",'상세일정'!AM147="제외"),"",IF($D147=$E147,IF(AND($D147&gt;=CW$5,$D147&lt;CW$5+7),"◆",""),IF(AND($D147&lt;CW$5+7,$E147&gt;CW$5),"■","")))</x:f>
      </x:c>
      <x:c r="CX147" s="7" t="str">
        <x:f>IF(OR($D147="",CX$5="",'상세일정'!AM147="제외"),"",IF($D147=$E147,IF(AND($D147&gt;=CX$5,$D147&lt;CX$5+7),"◆",""),IF(AND($D147&lt;CX$5+7,$E147&gt;CX$5),"■","")))</x:f>
      </x:c>
      <x:c r="CY147" s="7" t="str">
        <x:f>IF(OR($D147="",CY$5="",'상세일정'!AM147="제외"),"",IF($D147=$E147,IF(AND($D147&gt;=CY$5,$D147&lt;CY$5+7),"◆",""),IF(AND($D147&lt;CY$5+7,$E147&gt;CY$5),"■","")))</x:f>
      </x:c>
      <x:c r="CZ147" s="7" t="str">
        <x:f>IF(OR($D147="",CZ$5="",'상세일정'!AM147="제외"),"",IF($D147=$E147,IF(AND($D147&gt;=CZ$5,$D147&lt;CZ$5+7),"◆",""),IF(AND($D147&lt;CZ$5+7,$E147&gt;CZ$5),"■","")))</x:f>
      </x:c>
      <x:c r="DA147" s="7" t="str">
        <x:f>IF(OR($D147="",DA$5="",'상세일정'!AM147="제외"),"",IF($D147=$E147,IF(AND($D147&gt;=DA$5,$D147&lt;DA$5+7),"◆",""),IF(AND($D147&lt;DA$5+7,$E147&gt;DA$5),"■","")))</x:f>
      </x:c>
      <x:c r="DB147" s="7" t="str">
        <x:f>IF(OR($D147="",DB$5="",'상세일정'!AM147="제외"),"",IF($D147=$E147,IF(AND($D147&gt;=DB$5,$D147&lt;DB$5+7),"◆",""),IF(AND($D147&lt;DB$5+7,$E147&gt;DB$5),"■","")))</x:f>
      </x:c>
      <x:c r="DC147" s="7" t="str">
        <x:f>IF(OR($D147="",DC$5="",'상세일정'!AM147="제외"),"",IF($D147=$E147,IF(AND($D147&gt;=DC$5,$D147&lt;DC$5+7),"◆",""),IF(AND($D147&lt;DC$5+7,$E147&gt;DC$5),"■","")))</x:f>
      </x:c>
      <x:c r="DD147" s="7" t="str">
        <x:f>IF(OR($D147="",DD$5="",'상세일정'!AM147="제외"),"",IF($D147=$E147,IF(AND($D147&gt;=DD$5,$D147&lt;DD$5+7),"◆",""),IF(AND($D147&lt;DD$5+7,$E147&gt;DD$5),"■","")))</x:f>
      </x:c>
      <x:c r="DE147" s="7" t="str">
        <x:f>IF(OR($D147="",DE$5="",'상세일정'!AM147="제외"),"",IF($D147=$E147,IF(AND($D147&gt;=DE$5,$D147&lt;DE$5+7),"◆",""),IF(AND($D147&lt;DE$5+7,$E147&gt;DE$5),"■","")))</x:f>
      </x:c>
    </x:row>
    <x:row r="148" ht="34" customHeight="1">
      <x:c r="A148" s="7" t="str">
        <x:v>UT06</x:v>
      </x:c>
      <x:c r="B148" s="7" t="str">
        <x:v>16 기자재 구매·제작</x:v>
      </x:c>
      <x:c r="C148" s="7" t="str">
        <x:v>IA·냉각타워·데미워터 FAT 입회·지적사항 조치</x:v>
      </x:c>
      <x:c r="D148" s="10" t="str">
        <x:f>'상세일정'!AJ148</x:f>
      </x:c>
      <x:c r="E148" s="10" t="str">
        <x:f>'상세일정'!AK148</x:f>
      </x:c>
      <x:c r="F148" s="7" t="str">
        <x:f>IF(OR($D148="",F$5="",'상세일정'!AM148="제외"),"",IF($D148=$E148,IF(AND($D148&gt;=F$5,$D148&lt;F$5+7),"◆",""),IF(AND($D148&lt;F$5+7,$E148&gt;F$5),"■","")))</x:f>
      </x:c>
      <x:c r="G148" s="7" t="str">
        <x:f>IF(OR($D148="",G$5="",'상세일정'!AM148="제외"),"",IF($D148=$E148,IF(AND($D148&gt;=G$5,$D148&lt;G$5+7),"◆",""),IF(AND($D148&lt;G$5+7,$E148&gt;G$5),"■","")))</x:f>
      </x:c>
      <x:c r="H148" s="7" t="str">
        <x:f>IF(OR($D148="",H$5="",'상세일정'!AM148="제외"),"",IF($D148=$E148,IF(AND($D148&gt;=H$5,$D148&lt;H$5+7),"◆",""),IF(AND($D148&lt;H$5+7,$E148&gt;H$5),"■","")))</x:f>
      </x:c>
      <x:c r="I148" s="7" t="str">
        <x:f>IF(OR($D148="",I$5="",'상세일정'!AM148="제외"),"",IF($D148=$E148,IF(AND($D148&gt;=I$5,$D148&lt;I$5+7),"◆",""),IF(AND($D148&lt;I$5+7,$E148&gt;I$5),"■","")))</x:f>
      </x:c>
      <x:c r="J148" s="7" t="str">
        <x:f>IF(OR($D148="",J$5="",'상세일정'!AM148="제외"),"",IF($D148=$E148,IF(AND($D148&gt;=J$5,$D148&lt;J$5+7),"◆",""),IF(AND($D148&lt;J$5+7,$E148&gt;J$5),"■","")))</x:f>
      </x:c>
      <x:c r="K148" s="7" t="str">
        <x:f>IF(OR($D148="",K$5="",'상세일정'!AM148="제외"),"",IF($D148=$E148,IF(AND($D148&gt;=K$5,$D148&lt;K$5+7),"◆",""),IF(AND($D148&lt;K$5+7,$E148&gt;K$5),"■","")))</x:f>
      </x:c>
      <x:c r="L148" s="7" t="str">
        <x:f>IF(OR($D148="",L$5="",'상세일정'!AM148="제외"),"",IF($D148=$E148,IF(AND($D148&gt;=L$5,$D148&lt;L$5+7),"◆",""),IF(AND($D148&lt;L$5+7,$E148&gt;L$5),"■","")))</x:f>
      </x:c>
      <x:c r="M148" s="7" t="str">
        <x:f>IF(OR($D148="",M$5="",'상세일정'!AM148="제외"),"",IF($D148=$E148,IF(AND($D148&gt;=M$5,$D148&lt;M$5+7),"◆",""),IF(AND($D148&lt;M$5+7,$E148&gt;M$5),"■","")))</x:f>
      </x:c>
      <x:c r="N148" s="7" t="str">
        <x:f>IF(OR($D148="",N$5="",'상세일정'!AM148="제외"),"",IF($D148=$E148,IF(AND($D148&gt;=N$5,$D148&lt;N$5+7),"◆",""),IF(AND($D148&lt;N$5+7,$E148&gt;N$5),"■","")))</x:f>
      </x:c>
      <x:c r="O148" s="7" t="str">
        <x:f>IF(OR($D148="",O$5="",'상세일정'!AM148="제외"),"",IF($D148=$E148,IF(AND($D148&gt;=O$5,$D148&lt;O$5+7),"◆",""),IF(AND($D148&lt;O$5+7,$E148&gt;O$5),"■","")))</x:f>
      </x:c>
      <x:c r="P148" s="7" t="str">
        <x:f>IF(OR($D148="",P$5="",'상세일정'!AM148="제외"),"",IF($D148=$E148,IF(AND($D148&gt;=P$5,$D148&lt;P$5+7),"◆",""),IF(AND($D148&lt;P$5+7,$E148&gt;P$5),"■","")))</x:f>
      </x:c>
      <x:c r="Q148" s="7" t="str">
        <x:f>IF(OR($D148="",Q$5="",'상세일정'!AM148="제외"),"",IF($D148=$E148,IF(AND($D148&gt;=Q$5,$D148&lt;Q$5+7),"◆",""),IF(AND($D148&lt;Q$5+7,$E148&gt;Q$5),"■","")))</x:f>
      </x:c>
      <x:c r="R148" s="7" t="str">
        <x:f>IF(OR($D148="",R$5="",'상세일정'!AM148="제외"),"",IF($D148=$E148,IF(AND($D148&gt;=R$5,$D148&lt;R$5+7),"◆",""),IF(AND($D148&lt;R$5+7,$E148&gt;R$5),"■","")))</x:f>
      </x:c>
      <x:c r="S148" s="7" t="str">
        <x:f>IF(OR($D148="",S$5="",'상세일정'!AM148="제외"),"",IF($D148=$E148,IF(AND($D148&gt;=S$5,$D148&lt;S$5+7),"◆",""),IF(AND($D148&lt;S$5+7,$E148&gt;S$5),"■","")))</x:f>
      </x:c>
      <x:c r="T148" s="7" t="str">
        <x:f>IF(OR($D148="",T$5="",'상세일정'!AM148="제외"),"",IF($D148=$E148,IF(AND($D148&gt;=T$5,$D148&lt;T$5+7),"◆",""),IF(AND($D148&lt;T$5+7,$E148&gt;T$5),"■","")))</x:f>
      </x:c>
      <x:c r="U148" s="7" t="str">
        <x:f>IF(OR($D148="",U$5="",'상세일정'!AM148="제외"),"",IF($D148=$E148,IF(AND($D148&gt;=U$5,$D148&lt;U$5+7),"◆",""),IF(AND($D148&lt;U$5+7,$E148&gt;U$5),"■","")))</x:f>
      </x:c>
      <x:c r="V148" s="7" t="str">
        <x:f>IF(OR($D148="",V$5="",'상세일정'!AM148="제외"),"",IF($D148=$E148,IF(AND($D148&gt;=V$5,$D148&lt;V$5+7),"◆",""),IF(AND($D148&lt;V$5+7,$E148&gt;V$5),"■","")))</x:f>
      </x:c>
      <x:c r="W148" s="7" t="str">
        <x:f>IF(OR($D148="",W$5="",'상세일정'!AM148="제외"),"",IF($D148=$E148,IF(AND($D148&gt;=W$5,$D148&lt;W$5+7),"◆",""),IF(AND($D148&lt;W$5+7,$E148&gt;W$5),"■","")))</x:f>
      </x:c>
      <x:c r="X148" s="7" t="str">
        <x:f>IF(OR($D148="",X$5="",'상세일정'!AM148="제외"),"",IF($D148=$E148,IF(AND($D148&gt;=X$5,$D148&lt;X$5+7),"◆",""),IF(AND($D148&lt;X$5+7,$E148&gt;X$5),"■","")))</x:f>
      </x:c>
      <x:c r="Y148" s="7" t="str">
        <x:f>IF(OR($D148="",Y$5="",'상세일정'!AM148="제외"),"",IF($D148=$E148,IF(AND($D148&gt;=Y$5,$D148&lt;Y$5+7),"◆",""),IF(AND($D148&lt;Y$5+7,$E148&gt;Y$5),"■","")))</x:f>
      </x:c>
      <x:c r="Z148" s="7" t="str">
        <x:f>IF(OR($D148="",Z$5="",'상세일정'!AM148="제외"),"",IF($D148=$E148,IF(AND($D148&gt;=Z$5,$D148&lt;Z$5+7),"◆",""),IF(AND($D148&lt;Z$5+7,$E148&gt;Z$5),"■","")))</x:f>
      </x:c>
      <x:c r="AA148" s="7" t="str">
        <x:f>IF(OR($D148="",AA$5="",'상세일정'!AM148="제외"),"",IF($D148=$E148,IF(AND($D148&gt;=AA$5,$D148&lt;AA$5+7),"◆",""),IF(AND($D148&lt;AA$5+7,$E148&gt;AA$5),"■","")))</x:f>
      </x:c>
      <x:c r="AB148" s="7" t="str">
        <x:f>IF(OR($D148="",AB$5="",'상세일정'!AM148="제외"),"",IF($D148=$E148,IF(AND($D148&gt;=AB$5,$D148&lt;AB$5+7),"◆",""),IF(AND($D148&lt;AB$5+7,$E148&gt;AB$5),"■","")))</x:f>
      </x:c>
      <x:c r="AC148" s="7" t="str">
        <x:f>IF(OR($D148="",AC$5="",'상세일정'!AM148="제외"),"",IF($D148=$E148,IF(AND($D148&gt;=AC$5,$D148&lt;AC$5+7),"◆",""),IF(AND($D148&lt;AC$5+7,$E148&gt;AC$5),"■","")))</x:f>
      </x:c>
      <x:c r="AD148" s="7" t="str">
        <x:f>IF(OR($D148="",AD$5="",'상세일정'!AM148="제외"),"",IF($D148=$E148,IF(AND($D148&gt;=AD$5,$D148&lt;AD$5+7),"◆",""),IF(AND($D148&lt;AD$5+7,$E148&gt;AD$5),"■","")))</x:f>
      </x:c>
      <x:c r="AE148" s="7" t="str">
        <x:f>IF(OR($D148="",AE$5="",'상세일정'!AM148="제외"),"",IF($D148=$E148,IF(AND($D148&gt;=AE$5,$D148&lt;AE$5+7),"◆",""),IF(AND($D148&lt;AE$5+7,$E148&gt;AE$5),"■","")))</x:f>
      </x:c>
      <x:c r="AF148" s="7" t="str">
        <x:f>IF(OR($D148="",AF$5="",'상세일정'!AM148="제외"),"",IF($D148=$E148,IF(AND($D148&gt;=AF$5,$D148&lt;AF$5+7),"◆",""),IF(AND($D148&lt;AF$5+7,$E148&gt;AF$5),"■","")))</x:f>
      </x:c>
      <x:c r="AG148" s="7" t="str">
        <x:f>IF(OR($D148="",AG$5="",'상세일정'!AM148="제외"),"",IF($D148=$E148,IF(AND($D148&gt;=AG$5,$D148&lt;AG$5+7),"◆",""),IF(AND($D148&lt;AG$5+7,$E148&gt;AG$5),"■","")))</x:f>
      </x:c>
      <x:c r="AH148" s="7" t="str">
        <x:f>IF(OR($D148="",AH$5="",'상세일정'!AM148="제외"),"",IF($D148=$E148,IF(AND($D148&gt;=AH$5,$D148&lt;AH$5+7),"◆",""),IF(AND($D148&lt;AH$5+7,$E148&gt;AH$5),"■","")))</x:f>
      </x:c>
      <x:c r="AI148" s="7" t="str">
        <x:f>IF(OR($D148="",AI$5="",'상세일정'!AM148="제외"),"",IF($D148=$E148,IF(AND($D148&gt;=AI$5,$D148&lt;AI$5+7),"◆",""),IF(AND($D148&lt;AI$5+7,$E148&gt;AI$5),"■","")))</x:f>
      </x:c>
      <x:c r="AJ148" s="7" t="str">
        <x:f>IF(OR($D148="",AJ$5="",'상세일정'!AM148="제외"),"",IF($D148=$E148,IF(AND($D148&gt;=AJ$5,$D148&lt;AJ$5+7),"◆",""),IF(AND($D148&lt;AJ$5+7,$E148&gt;AJ$5),"■","")))</x:f>
      </x:c>
      <x:c r="AK148" s="7" t="str">
        <x:f>IF(OR($D148="",AK$5="",'상세일정'!AM148="제외"),"",IF($D148=$E148,IF(AND($D148&gt;=AK$5,$D148&lt;AK$5+7),"◆",""),IF(AND($D148&lt;AK$5+7,$E148&gt;AK$5),"■","")))</x:f>
      </x:c>
      <x:c r="AL148" s="7" t="str">
        <x:f>IF(OR($D148="",AL$5="",'상세일정'!AM148="제외"),"",IF($D148=$E148,IF(AND($D148&gt;=AL$5,$D148&lt;AL$5+7),"◆",""),IF(AND($D148&lt;AL$5+7,$E148&gt;AL$5),"■","")))</x:f>
      </x:c>
      <x:c r="AM148" s="7" t="str">
        <x:f>IF(OR($D148="",AM$5="",'상세일정'!AM148="제외"),"",IF($D148=$E148,IF(AND($D148&gt;=AM$5,$D148&lt;AM$5+7),"◆",""),IF(AND($D148&lt;AM$5+7,$E148&gt;AM$5),"■","")))</x:f>
      </x:c>
      <x:c r="AN148" s="7" t="str">
        <x:f>IF(OR($D148="",AN$5="",'상세일정'!AM148="제외"),"",IF($D148=$E148,IF(AND($D148&gt;=AN$5,$D148&lt;AN$5+7),"◆",""),IF(AND($D148&lt;AN$5+7,$E148&gt;AN$5),"■","")))</x:f>
      </x:c>
      <x:c r="AO148" s="7" t="str">
        <x:f>IF(OR($D148="",AO$5="",'상세일정'!AM148="제외"),"",IF($D148=$E148,IF(AND($D148&gt;=AO$5,$D148&lt;AO$5+7),"◆",""),IF(AND($D148&lt;AO$5+7,$E148&gt;AO$5),"■","")))</x:f>
      </x:c>
      <x:c r="AP148" s="7" t="str">
        <x:f>IF(OR($D148="",AP$5="",'상세일정'!AM148="제외"),"",IF($D148=$E148,IF(AND($D148&gt;=AP$5,$D148&lt;AP$5+7),"◆",""),IF(AND($D148&lt;AP$5+7,$E148&gt;AP$5),"■","")))</x:f>
      </x:c>
      <x:c r="AQ148" s="7" t="str">
        <x:f>IF(OR($D148="",AQ$5="",'상세일정'!AM148="제외"),"",IF($D148=$E148,IF(AND($D148&gt;=AQ$5,$D148&lt;AQ$5+7),"◆",""),IF(AND($D148&lt;AQ$5+7,$E148&gt;AQ$5),"■","")))</x:f>
      </x:c>
      <x:c r="AR148" s="7" t="str">
        <x:f>IF(OR($D148="",AR$5="",'상세일정'!AM148="제외"),"",IF($D148=$E148,IF(AND($D148&gt;=AR$5,$D148&lt;AR$5+7),"◆",""),IF(AND($D148&lt;AR$5+7,$E148&gt;AR$5),"■","")))</x:f>
      </x:c>
      <x:c r="AS148" s="7" t="str">
        <x:f>IF(OR($D148="",AS$5="",'상세일정'!AM148="제외"),"",IF($D148=$E148,IF(AND($D148&gt;=AS$5,$D148&lt;AS$5+7),"◆",""),IF(AND($D148&lt;AS$5+7,$E148&gt;AS$5),"■","")))</x:f>
      </x:c>
      <x:c r="AT148" s="7" t="str">
        <x:f>IF(OR($D148="",AT$5="",'상세일정'!AM148="제외"),"",IF($D148=$E148,IF(AND($D148&gt;=AT$5,$D148&lt;AT$5+7),"◆",""),IF(AND($D148&lt;AT$5+7,$E148&gt;AT$5),"■","")))</x:f>
      </x:c>
      <x:c r="AU148" s="7" t="str">
        <x:f>IF(OR($D148="",AU$5="",'상세일정'!AM148="제외"),"",IF($D148=$E148,IF(AND($D148&gt;=AU$5,$D148&lt;AU$5+7),"◆",""),IF(AND($D148&lt;AU$5+7,$E148&gt;AU$5),"■","")))</x:f>
      </x:c>
      <x:c r="AV148" s="7" t="str">
        <x:f>IF(OR($D148="",AV$5="",'상세일정'!AM148="제외"),"",IF($D148=$E148,IF(AND($D148&gt;=AV$5,$D148&lt;AV$5+7),"◆",""),IF(AND($D148&lt;AV$5+7,$E148&gt;AV$5),"■","")))</x:f>
      </x:c>
      <x:c r="AW148" s="7" t="str">
        <x:f>IF(OR($D148="",AW$5="",'상세일정'!AM148="제외"),"",IF($D148=$E148,IF(AND($D148&gt;=AW$5,$D148&lt;AW$5+7),"◆",""),IF(AND($D148&lt;AW$5+7,$E148&gt;AW$5),"■","")))</x:f>
      </x:c>
      <x:c r="AX148" s="7" t="str">
        <x:f>IF(OR($D148="",AX$5="",'상세일정'!AM148="제외"),"",IF($D148=$E148,IF(AND($D148&gt;=AX$5,$D148&lt;AX$5+7),"◆",""),IF(AND($D148&lt;AX$5+7,$E148&gt;AX$5),"■","")))</x:f>
      </x:c>
      <x:c r="AY148" s="7" t="str">
        <x:f>IF(OR($D148="",AY$5="",'상세일정'!AM148="제외"),"",IF($D148=$E148,IF(AND($D148&gt;=AY$5,$D148&lt;AY$5+7),"◆",""),IF(AND($D148&lt;AY$5+7,$E148&gt;AY$5),"■","")))</x:f>
      </x:c>
      <x:c r="AZ148" s="7" t="str">
        <x:f>IF(OR($D148="",AZ$5="",'상세일정'!AM148="제외"),"",IF($D148=$E148,IF(AND($D148&gt;=AZ$5,$D148&lt;AZ$5+7),"◆",""),IF(AND($D148&lt;AZ$5+7,$E148&gt;AZ$5),"■","")))</x:f>
      </x:c>
      <x:c r="BA148" s="7" t="str">
        <x:f>IF(OR($D148="",BA$5="",'상세일정'!AM148="제외"),"",IF($D148=$E148,IF(AND($D148&gt;=BA$5,$D148&lt;BA$5+7),"◆",""),IF(AND($D148&lt;BA$5+7,$E148&gt;BA$5),"■","")))</x:f>
      </x:c>
      <x:c r="BB148" s="7" t="str">
        <x:f>IF(OR($D148="",BB$5="",'상세일정'!AM148="제외"),"",IF($D148=$E148,IF(AND($D148&gt;=BB$5,$D148&lt;BB$5+7),"◆",""),IF(AND($D148&lt;BB$5+7,$E148&gt;BB$5),"■","")))</x:f>
      </x:c>
      <x:c r="BC148" s="7" t="str">
        <x:f>IF(OR($D148="",BC$5="",'상세일정'!AM148="제외"),"",IF($D148=$E148,IF(AND($D148&gt;=BC$5,$D148&lt;BC$5+7),"◆",""),IF(AND($D148&lt;BC$5+7,$E148&gt;BC$5),"■","")))</x:f>
      </x:c>
      <x:c r="BD148" s="7" t="str">
        <x:f>IF(OR($D148="",BD$5="",'상세일정'!AM148="제외"),"",IF($D148=$E148,IF(AND($D148&gt;=BD$5,$D148&lt;BD$5+7),"◆",""),IF(AND($D148&lt;BD$5+7,$E148&gt;BD$5),"■","")))</x:f>
      </x:c>
      <x:c r="BE148" s="7" t="str">
        <x:f>IF(OR($D148="",BE$5="",'상세일정'!AM148="제외"),"",IF($D148=$E148,IF(AND($D148&gt;=BE$5,$D148&lt;BE$5+7),"◆",""),IF(AND($D148&lt;BE$5+7,$E148&gt;BE$5),"■","")))</x:f>
      </x:c>
      <x:c r="BF148" s="7" t="str">
        <x:f>IF(OR($D148="",BF$5="",'상세일정'!AM148="제외"),"",IF($D148=$E148,IF(AND($D148&gt;=BF$5,$D148&lt;BF$5+7),"◆",""),IF(AND($D148&lt;BF$5+7,$E148&gt;BF$5),"■","")))</x:f>
      </x:c>
      <x:c r="BG148" s="7" t="str">
        <x:f>IF(OR($D148="",BG$5="",'상세일정'!AM148="제외"),"",IF($D148=$E148,IF(AND($D148&gt;=BG$5,$D148&lt;BG$5+7),"◆",""),IF(AND($D148&lt;BG$5+7,$E148&gt;BG$5),"■","")))</x:f>
      </x:c>
      <x:c r="BH148" s="7" t="str">
        <x:f>IF(OR($D148="",BH$5="",'상세일정'!AM148="제외"),"",IF($D148=$E148,IF(AND($D148&gt;=BH$5,$D148&lt;BH$5+7),"◆",""),IF(AND($D148&lt;BH$5+7,$E148&gt;BH$5),"■","")))</x:f>
      </x:c>
      <x:c r="BI148" s="7" t="str">
        <x:f>IF(OR($D148="",BI$5="",'상세일정'!AM148="제외"),"",IF($D148=$E148,IF(AND($D148&gt;=BI$5,$D148&lt;BI$5+7),"◆",""),IF(AND($D148&lt;BI$5+7,$E148&gt;BI$5),"■","")))</x:f>
      </x:c>
      <x:c r="BJ148" s="7" t="str">
        <x:f>IF(OR($D148="",BJ$5="",'상세일정'!AM148="제외"),"",IF($D148=$E148,IF(AND($D148&gt;=BJ$5,$D148&lt;BJ$5+7),"◆",""),IF(AND($D148&lt;BJ$5+7,$E148&gt;BJ$5),"■","")))</x:f>
      </x:c>
      <x:c r="BK148" s="7" t="str">
        <x:f>IF(OR($D148="",BK$5="",'상세일정'!AM148="제외"),"",IF($D148=$E148,IF(AND($D148&gt;=BK$5,$D148&lt;BK$5+7),"◆",""),IF(AND($D148&lt;BK$5+7,$E148&gt;BK$5),"■","")))</x:f>
      </x:c>
      <x:c r="BL148" s="7" t="str">
        <x:f>IF(OR($D148="",BL$5="",'상세일정'!AM148="제외"),"",IF($D148=$E148,IF(AND($D148&gt;=BL$5,$D148&lt;BL$5+7),"◆",""),IF(AND($D148&lt;BL$5+7,$E148&gt;BL$5),"■","")))</x:f>
      </x:c>
      <x:c r="BM148" s="7" t="str">
        <x:f>IF(OR($D148="",BM$5="",'상세일정'!AM148="제외"),"",IF($D148=$E148,IF(AND($D148&gt;=BM$5,$D148&lt;BM$5+7),"◆",""),IF(AND($D148&lt;BM$5+7,$E148&gt;BM$5),"■","")))</x:f>
      </x:c>
      <x:c r="BN148" s="7" t="str">
        <x:f>IF(OR($D148="",BN$5="",'상세일정'!AM148="제외"),"",IF($D148=$E148,IF(AND($D148&gt;=BN$5,$D148&lt;BN$5+7),"◆",""),IF(AND($D148&lt;BN$5+7,$E148&gt;BN$5),"■","")))</x:f>
      </x:c>
      <x:c r="BO148" s="7" t="str">
        <x:f>IF(OR($D148="",BO$5="",'상세일정'!AM148="제외"),"",IF($D148=$E148,IF(AND($D148&gt;=BO$5,$D148&lt;BO$5+7),"◆",""),IF(AND($D148&lt;BO$5+7,$E148&gt;BO$5),"■","")))</x:f>
      </x:c>
      <x:c r="BP148" s="7" t="str">
        <x:f>IF(OR($D148="",BP$5="",'상세일정'!AM148="제외"),"",IF($D148=$E148,IF(AND($D148&gt;=BP$5,$D148&lt;BP$5+7),"◆",""),IF(AND($D148&lt;BP$5+7,$E148&gt;BP$5),"■","")))</x:f>
      </x:c>
      <x:c r="BQ148" s="7" t="str">
        <x:f>IF(OR($D148="",BQ$5="",'상세일정'!AM148="제외"),"",IF($D148=$E148,IF(AND($D148&gt;=BQ$5,$D148&lt;BQ$5+7),"◆",""),IF(AND($D148&lt;BQ$5+7,$E148&gt;BQ$5),"■","")))</x:f>
      </x:c>
      <x:c r="BR148" s="7" t="str">
        <x:f>IF(OR($D148="",BR$5="",'상세일정'!AM148="제외"),"",IF($D148=$E148,IF(AND($D148&gt;=BR$5,$D148&lt;BR$5+7),"◆",""),IF(AND($D148&lt;BR$5+7,$E148&gt;BR$5),"■","")))</x:f>
      </x:c>
      <x:c r="BS148" s="7" t="str">
        <x:f>IF(OR($D148="",BS$5="",'상세일정'!AM148="제외"),"",IF($D148=$E148,IF(AND($D148&gt;=BS$5,$D148&lt;BS$5+7),"◆",""),IF(AND($D148&lt;BS$5+7,$E148&gt;BS$5),"■","")))</x:f>
      </x:c>
      <x:c r="BT148" s="7" t="str">
        <x:f>IF(OR($D148="",BT$5="",'상세일정'!AM148="제외"),"",IF($D148=$E148,IF(AND($D148&gt;=BT$5,$D148&lt;BT$5+7),"◆",""),IF(AND($D148&lt;BT$5+7,$E148&gt;BT$5),"■","")))</x:f>
      </x:c>
      <x:c r="BU148" s="7" t="str">
        <x:f>IF(OR($D148="",BU$5="",'상세일정'!AM148="제외"),"",IF($D148=$E148,IF(AND($D148&gt;=BU$5,$D148&lt;BU$5+7),"◆",""),IF(AND($D148&lt;BU$5+7,$E148&gt;BU$5),"■","")))</x:f>
      </x:c>
      <x:c r="BV148" s="7" t="str">
        <x:f>IF(OR($D148="",BV$5="",'상세일정'!AM148="제외"),"",IF($D148=$E148,IF(AND($D148&gt;=BV$5,$D148&lt;BV$5+7),"◆",""),IF(AND($D148&lt;BV$5+7,$E148&gt;BV$5),"■","")))</x:f>
      </x:c>
      <x:c r="BW148" s="7" t="str">
        <x:f>IF(OR($D148="",BW$5="",'상세일정'!AM148="제외"),"",IF($D148=$E148,IF(AND($D148&gt;=BW$5,$D148&lt;BW$5+7),"◆",""),IF(AND($D148&lt;BW$5+7,$E148&gt;BW$5),"■","")))</x:f>
      </x:c>
      <x:c r="BX148" s="7" t="str">
        <x:f>IF(OR($D148="",BX$5="",'상세일정'!AM148="제외"),"",IF($D148=$E148,IF(AND($D148&gt;=BX$5,$D148&lt;BX$5+7),"◆",""),IF(AND($D148&lt;BX$5+7,$E148&gt;BX$5),"■","")))</x:f>
      </x:c>
      <x:c r="BY148" s="7" t="str">
        <x:f>IF(OR($D148="",BY$5="",'상세일정'!AM148="제외"),"",IF($D148=$E148,IF(AND($D148&gt;=BY$5,$D148&lt;BY$5+7),"◆",""),IF(AND($D148&lt;BY$5+7,$E148&gt;BY$5),"■","")))</x:f>
      </x:c>
      <x:c r="BZ148" s="7" t="str">
        <x:f>IF(OR($D148="",BZ$5="",'상세일정'!AM148="제외"),"",IF($D148=$E148,IF(AND($D148&gt;=BZ$5,$D148&lt;BZ$5+7),"◆",""),IF(AND($D148&lt;BZ$5+7,$E148&gt;BZ$5),"■","")))</x:f>
      </x:c>
      <x:c r="CA148" s="7" t="str">
        <x:f>IF(OR($D148="",CA$5="",'상세일정'!AM148="제외"),"",IF($D148=$E148,IF(AND($D148&gt;=CA$5,$D148&lt;CA$5+7),"◆",""),IF(AND($D148&lt;CA$5+7,$E148&gt;CA$5),"■","")))</x:f>
      </x:c>
      <x:c r="CB148" s="7" t="str">
        <x:f>IF(OR($D148="",CB$5="",'상세일정'!AM148="제외"),"",IF($D148=$E148,IF(AND($D148&gt;=CB$5,$D148&lt;CB$5+7),"◆",""),IF(AND($D148&lt;CB$5+7,$E148&gt;CB$5),"■","")))</x:f>
      </x:c>
      <x:c r="CC148" s="7" t="str">
        <x:f>IF(OR($D148="",CC$5="",'상세일정'!AM148="제외"),"",IF($D148=$E148,IF(AND($D148&gt;=CC$5,$D148&lt;CC$5+7),"◆",""),IF(AND($D148&lt;CC$5+7,$E148&gt;CC$5),"■","")))</x:f>
      </x:c>
      <x:c r="CD148" s="7" t="str">
        <x:f>IF(OR($D148="",CD$5="",'상세일정'!AM148="제외"),"",IF($D148=$E148,IF(AND($D148&gt;=CD$5,$D148&lt;CD$5+7),"◆",""),IF(AND($D148&lt;CD$5+7,$E148&gt;CD$5),"■","")))</x:f>
      </x:c>
      <x:c r="CE148" s="7" t="str">
        <x:f>IF(OR($D148="",CE$5="",'상세일정'!AM148="제외"),"",IF($D148=$E148,IF(AND($D148&gt;=CE$5,$D148&lt;CE$5+7),"◆",""),IF(AND($D148&lt;CE$5+7,$E148&gt;CE$5),"■","")))</x:f>
      </x:c>
      <x:c r="CF148" s="7" t="str">
        <x:f>IF(OR($D148="",CF$5="",'상세일정'!AM148="제외"),"",IF($D148=$E148,IF(AND($D148&gt;=CF$5,$D148&lt;CF$5+7),"◆",""),IF(AND($D148&lt;CF$5+7,$E148&gt;CF$5),"■","")))</x:f>
      </x:c>
      <x:c r="CG148" s="7" t="str">
        <x:f>IF(OR($D148="",CG$5="",'상세일정'!AM148="제외"),"",IF($D148=$E148,IF(AND($D148&gt;=CG$5,$D148&lt;CG$5+7),"◆",""),IF(AND($D148&lt;CG$5+7,$E148&gt;CG$5),"■","")))</x:f>
      </x:c>
      <x:c r="CH148" s="7" t="str">
        <x:f>IF(OR($D148="",CH$5="",'상세일정'!AM148="제외"),"",IF($D148=$E148,IF(AND($D148&gt;=CH$5,$D148&lt;CH$5+7),"◆",""),IF(AND($D148&lt;CH$5+7,$E148&gt;CH$5),"■","")))</x:f>
      </x:c>
      <x:c r="CI148" s="7" t="str">
        <x:f>IF(OR($D148="",CI$5="",'상세일정'!AM148="제외"),"",IF($D148=$E148,IF(AND($D148&gt;=CI$5,$D148&lt;CI$5+7),"◆",""),IF(AND($D148&lt;CI$5+7,$E148&gt;CI$5),"■","")))</x:f>
      </x:c>
      <x:c r="CJ148" s="7" t="str">
        <x:f>IF(OR($D148="",CJ$5="",'상세일정'!AM148="제외"),"",IF($D148=$E148,IF(AND($D148&gt;=CJ$5,$D148&lt;CJ$5+7),"◆",""),IF(AND($D148&lt;CJ$5+7,$E148&gt;CJ$5),"■","")))</x:f>
      </x:c>
      <x:c r="CK148" s="7" t="str">
        <x:f>IF(OR($D148="",CK$5="",'상세일정'!AM148="제외"),"",IF($D148=$E148,IF(AND($D148&gt;=CK$5,$D148&lt;CK$5+7),"◆",""),IF(AND($D148&lt;CK$5+7,$E148&gt;CK$5),"■","")))</x:f>
      </x:c>
      <x:c r="CL148" s="7" t="str">
        <x:f>IF(OR($D148="",CL$5="",'상세일정'!AM148="제외"),"",IF($D148=$E148,IF(AND($D148&gt;=CL$5,$D148&lt;CL$5+7),"◆",""),IF(AND($D148&lt;CL$5+7,$E148&gt;CL$5),"■","")))</x:f>
      </x:c>
      <x:c r="CM148" s="7" t="str">
        <x:f>IF(OR($D148="",CM$5="",'상세일정'!AM148="제외"),"",IF($D148=$E148,IF(AND($D148&gt;=CM$5,$D148&lt;CM$5+7),"◆",""),IF(AND($D148&lt;CM$5+7,$E148&gt;CM$5),"■","")))</x:f>
      </x:c>
      <x:c r="CN148" s="7" t="str">
        <x:f>IF(OR($D148="",CN$5="",'상세일정'!AM148="제외"),"",IF($D148=$E148,IF(AND($D148&gt;=CN$5,$D148&lt;CN$5+7),"◆",""),IF(AND($D148&lt;CN$5+7,$E148&gt;CN$5),"■","")))</x:f>
      </x:c>
      <x:c r="CO148" s="7" t="str">
        <x:f>IF(OR($D148="",CO$5="",'상세일정'!AM148="제외"),"",IF($D148=$E148,IF(AND($D148&gt;=CO$5,$D148&lt;CO$5+7),"◆",""),IF(AND($D148&lt;CO$5+7,$E148&gt;CO$5),"■","")))</x:f>
      </x:c>
      <x:c r="CP148" s="7" t="str">
        <x:f>IF(OR($D148="",CP$5="",'상세일정'!AM148="제외"),"",IF($D148=$E148,IF(AND($D148&gt;=CP$5,$D148&lt;CP$5+7),"◆",""),IF(AND($D148&lt;CP$5+7,$E148&gt;CP$5),"■","")))</x:f>
      </x:c>
      <x:c r="CQ148" s="7" t="str">
        <x:f>IF(OR($D148="",CQ$5="",'상세일정'!AM148="제외"),"",IF($D148=$E148,IF(AND($D148&gt;=CQ$5,$D148&lt;CQ$5+7),"◆",""),IF(AND($D148&lt;CQ$5+7,$E148&gt;CQ$5),"■","")))</x:f>
      </x:c>
      <x:c r="CR148" s="7" t="str">
        <x:f>IF(OR($D148="",CR$5="",'상세일정'!AM148="제외"),"",IF($D148=$E148,IF(AND($D148&gt;=CR$5,$D148&lt;CR$5+7),"◆",""),IF(AND($D148&lt;CR$5+7,$E148&gt;CR$5),"■","")))</x:f>
      </x:c>
      <x:c r="CS148" s="7" t="str">
        <x:f>IF(OR($D148="",CS$5="",'상세일정'!AM148="제외"),"",IF($D148=$E148,IF(AND($D148&gt;=CS$5,$D148&lt;CS$5+7),"◆",""),IF(AND($D148&lt;CS$5+7,$E148&gt;CS$5),"■","")))</x:f>
      </x:c>
      <x:c r="CT148" s="7" t="str">
        <x:f>IF(OR($D148="",CT$5="",'상세일정'!AM148="제외"),"",IF($D148=$E148,IF(AND($D148&gt;=CT$5,$D148&lt;CT$5+7),"◆",""),IF(AND($D148&lt;CT$5+7,$E148&gt;CT$5),"■","")))</x:f>
      </x:c>
      <x:c r="CU148" s="7" t="str">
        <x:f>IF(OR($D148="",CU$5="",'상세일정'!AM148="제외"),"",IF($D148=$E148,IF(AND($D148&gt;=CU$5,$D148&lt;CU$5+7),"◆",""),IF(AND($D148&lt;CU$5+7,$E148&gt;CU$5),"■","")))</x:f>
      </x:c>
      <x:c r="CV148" s="7" t="str">
        <x:f>IF(OR($D148="",CV$5="",'상세일정'!AM148="제외"),"",IF($D148=$E148,IF(AND($D148&gt;=CV$5,$D148&lt;CV$5+7),"◆",""),IF(AND($D148&lt;CV$5+7,$E148&gt;CV$5),"■","")))</x:f>
      </x:c>
      <x:c r="CW148" s="7" t="str">
        <x:f>IF(OR($D148="",CW$5="",'상세일정'!AM148="제외"),"",IF($D148=$E148,IF(AND($D148&gt;=CW$5,$D148&lt;CW$5+7),"◆",""),IF(AND($D148&lt;CW$5+7,$E148&gt;CW$5),"■","")))</x:f>
      </x:c>
      <x:c r="CX148" s="7" t="str">
        <x:f>IF(OR($D148="",CX$5="",'상세일정'!AM148="제외"),"",IF($D148=$E148,IF(AND($D148&gt;=CX$5,$D148&lt;CX$5+7),"◆",""),IF(AND($D148&lt;CX$5+7,$E148&gt;CX$5),"■","")))</x:f>
      </x:c>
      <x:c r="CY148" s="7" t="str">
        <x:f>IF(OR($D148="",CY$5="",'상세일정'!AM148="제외"),"",IF($D148=$E148,IF(AND($D148&gt;=CY$5,$D148&lt;CY$5+7),"◆",""),IF(AND($D148&lt;CY$5+7,$E148&gt;CY$5),"■","")))</x:f>
      </x:c>
      <x:c r="CZ148" s="7" t="str">
        <x:f>IF(OR($D148="",CZ$5="",'상세일정'!AM148="제외"),"",IF($D148=$E148,IF(AND($D148&gt;=CZ$5,$D148&lt;CZ$5+7),"◆",""),IF(AND($D148&lt;CZ$5+7,$E148&gt;CZ$5),"■","")))</x:f>
      </x:c>
      <x:c r="DA148" s="7" t="str">
        <x:f>IF(OR($D148="",DA$5="",'상세일정'!AM148="제외"),"",IF($D148=$E148,IF(AND($D148&gt;=DA$5,$D148&lt;DA$5+7),"◆",""),IF(AND($D148&lt;DA$5+7,$E148&gt;DA$5),"■","")))</x:f>
      </x:c>
      <x:c r="DB148" s="7" t="str">
        <x:f>IF(OR($D148="",DB$5="",'상세일정'!AM148="제외"),"",IF($D148=$E148,IF(AND($D148&gt;=DB$5,$D148&lt;DB$5+7),"◆",""),IF(AND($D148&lt;DB$5+7,$E148&gt;DB$5),"■","")))</x:f>
      </x:c>
      <x:c r="DC148" s="7" t="str">
        <x:f>IF(OR($D148="",DC$5="",'상세일정'!AM148="제외"),"",IF($D148=$E148,IF(AND($D148&gt;=DC$5,$D148&lt;DC$5+7),"◆",""),IF(AND($D148&lt;DC$5+7,$E148&gt;DC$5),"■","")))</x:f>
      </x:c>
      <x:c r="DD148" s="7" t="str">
        <x:f>IF(OR($D148="",DD$5="",'상세일정'!AM148="제외"),"",IF($D148=$E148,IF(AND($D148&gt;=DD$5,$D148&lt;DD$5+7),"◆",""),IF(AND($D148&lt;DD$5+7,$E148&gt;DD$5),"■","")))</x:f>
      </x:c>
      <x:c r="DE148" s="7" t="str">
        <x:f>IF(OR($D148="",DE$5="",'상세일정'!AM148="제외"),"",IF($D148=$E148,IF(AND($D148&gt;=DE$5,$D148&lt;DE$5+7),"◆",""),IF(AND($D148&lt;DE$5+7,$E148&gt;DE$5),"■","")))</x:f>
      </x:c>
    </x:row>
    <x:row r="149" ht="34" customHeight="1">
      <x:c r="A149" s="7" t="str">
        <x:v>UT07</x:v>
      </x:c>
      <x:c r="B149" s="7" t="str">
        <x:v>16 기자재 구매·제작</x:v>
      </x:c>
      <x:c r="C149" s="7" t="str">
        <x:v>IA·냉각타워·데미워터 출하승인·운송·현장 입고</x:v>
      </x:c>
      <x:c r="D149" s="10" t="str">
        <x:f>'상세일정'!AJ149</x:f>
      </x:c>
      <x:c r="E149" s="10" t="str">
        <x:f>'상세일정'!AK149</x:f>
      </x:c>
      <x:c r="F149" s="7" t="str">
        <x:f>IF(OR($D149="",F$5="",'상세일정'!AM149="제외"),"",IF($D149=$E149,IF(AND($D149&gt;=F$5,$D149&lt;F$5+7),"◆",""),IF(AND($D149&lt;F$5+7,$E149&gt;F$5),"■","")))</x:f>
      </x:c>
      <x:c r="G149" s="7" t="str">
        <x:f>IF(OR($D149="",G$5="",'상세일정'!AM149="제외"),"",IF($D149=$E149,IF(AND($D149&gt;=G$5,$D149&lt;G$5+7),"◆",""),IF(AND($D149&lt;G$5+7,$E149&gt;G$5),"■","")))</x:f>
      </x:c>
      <x:c r="H149" s="7" t="str">
        <x:f>IF(OR($D149="",H$5="",'상세일정'!AM149="제외"),"",IF($D149=$E149,IF(AND($D149&gt;=H$5,$D149&lt;H$5+7),"◆",""),IF(AND($D149&lt;H$5+7,$E149&gt;H$5),"■","")))</x:f>
      </x:c>
      <x:c r="I149" s="7" t="str">
        <x:f>IF(OR($D149="",I$5="",'상세일정'!AM149="제외"),"",IF($D149=$E149,IF(AND($D149&gt;=I$5,$D149&lt;I$5+7),"◆",""),IF(AND($D149&lt;I$5+7,$E149&gt;I$5),"■","")))</x:f>
      </x:c>
      <x:c r="J149" s="7" t="str">
        <x:f>IF(OR($D149="",J$5="",'상세일정'!AM149="제외"),"",IF($D149=$E149,IF(AND($D149&gt;=J$5,$D149&lt;J$5+7),"◆",""),IF(AND($D149&lt;J$5+7,$E149&gt;J$5),"■","")))</x:f>
      </x:c>
      <x:c r="K149" s="7" t="str">
        <x:f>IF(OR($D149="",K$5="",'상세일정'!AM149="제외"),"",IF($D149=$E149,IF(AND($D149&gt;=K$5,$D149&lt;K$5+7),"◆",""),IF(AND($D149&lt;K$5+7,$E149&gt;K$5),"■","")))</x:f>
      </x:c>
      <x:c r="L149" s="7" t="str">
        <x:f>IF(OR($D149="",L$5="",'상세일정'!AM149="제외"),"",IF($D149=$E149,IF(AND($D149&gt;=L$5,$D149&lt;L$5+7),"◆",""),IF(AND($D149&lt;L$5+7,$E149&gt;L$5),"■","")))</x:f>
      </x:c>
      <x:c r="M149" s="7" t="str">
        <x:f>IF(OR($D149="",M$5="",'상세일정'!AM149="제외"),"",IF($D149=$E149,IF(AND($D149&gt;=M$5,$D149&lt;M$5+7),"◆",""),IF(AND($D149&lt;M$5+7,$E149&gt;M$5),"■","")))</x:f>
      </x:c>
      <x:c r="N149" s="7" t="str">
        <x:f>IF(OR($D149="",N$5="",'상세일정'!AM149="제외"),"",IF($D149=$E149,IF(AND($D149&gt;=N$5,$D149&lt;N$5+7),"◆",""),IF(AND($D149&lt;N$5+7,$E149&gt;N$5),"■","")))</x:f>
      </x:c>
      <x:c r="O149" s="7" t="str">
        <x:f>IF(OR($D149="",O$5="",'상세일정'!AM149="제외"),"",IF($D149=$E149,IF(AND($D149&gt;=O$5,$D149&lt;O$5+7),"◆",""),IF(AND($D149&lt;O$5+7,$E149&gt;O$5),"■","")))</x:f>
      </x:c>
      <x:c r="P149" s="7" t="str">
        <x:f>IF(OR($D149="",P$5="",'상세일정'!AM149="제외"),"",IF($D149=$E149,IF(AND($D149&gt;=P$5,$D149&lt;P$5+7),"◆",""),IF(AND($D149&lt;P$5+7,$E149&gt;P$5),"■","")))</x:f>
      </x:c>
      <x:c r="Q149" s="7" t="str">
        <x:f>IF(OR($D149="",Q$5="",'상세일정'!AM149="제외"),"",IF($D149=$E149,IF(AND($D149&gt;=Q$5,$D149&lt;Q$5+7),"◆",""),IF(AND($D149&lt;Q$5+7,$E149&gt;Q$5),"■","")))</x:f>
      </x:c>
      <x:c r="R149" s="7" t="str">
        <x:f>IF(OR($D149="",R$5="",'상세일정'!AM149="제외"),"",IF($D149=$E149,IF(AND($D149&gt;=R$5,$D149&lt;R$5+7),"◆",""),IF(AND($D149&lt;R$5+7,$E149&gt;R$5),"■","")))</x:f>
      </x:c>
      <x:c r="S149" s="7" t="str">
        <x:f>IF(OR($D149="",S$5="",'상세일정'!AM149="제외"),"",IF($D149=$E149,IF(AND($D149&gt;=S$5,$D149&lt;S$5+7),"◆",""),IF(AND($D149&lt;S$5+7,$E149&gt;S$5),"■","")))</x:f>
      </x:c>
      <x:c r="T149" s="7" t="str">
        <x:f>IF(OR($D149="",T$5="",'상세일정'!AM149="제외"),"",IF($D149=$E149,IF(AND($D149&gt;=T$5,$D149&lt;T$5+7),"◆",""),IF(AND($D149&lt;T$5+7,$E149&gt;T$5),"■","")))</x:f>
      </x:c>
      <x:c r="U149" s="7" t="str">
        <x:f>IF(OR($D149="",U$5="",'상세일정'!AM149="제외"),"",IF($D149=$E149,IF(AND($D149&gt;=U$5,$D149&lt;U$5+7),"◆",""),IF(AND($D149&lt;U$5+7,$E149&gt;U$5),"■","")))</x:f>
      </x:c>
      <x:c r="V149" s="7" t="str">
        <x:f>IF(OR($D149="",V$5="",'상세일정'!AM149="제외"),"",IF($D149=$E149,IF(AND($D149&gt;=V$5,$D149&lt;V$5+7),"◆",""),IF(AND($D149&lt;V$5+7,$E149&gt;V$5),"■","")))</x:f>
      </x:c>
      <x:c r="W149" s="7" t="str">
        <x:f>IF(OR($D149="",W$5="",'상세일정'!AM149="제외"),"",IF($D149=$E149,IF(AND($D149&gt;=W$5,$D149&lt;W$5+7),"◆",""),IF(AND($D149&lt;W$5+7,$E149&gt;W$5),"■","")))</x:f>
      </x:c>
      <x:c r="X149" s="7" t="str">
        <x:f>IF(OR($D149="",X$5="",'상세일정'!AM149="제외"),"",IF($D149=$E149,IF(AND($D149&gt;=X$5,$D149&lt;X$5+7),"◆",""),IF(AND($D149&lt;X$5+7,$E149&gt;X$5),"■","")))</x:f>
      </x:c>
      <x:c r="Y149" s="7" t="str">
        <x:f>IF(OR($D149="",Y$5="",'상세일정'!AM149="제외"),"",IF($D149=$E149,IF(AND($D149&gt;=Y$5,$D149&lt;Y$5+7),"◆",""),IF(AND($D149&lt;Y$5+7,$E149&gt;Y$5),"■","")))</x:f>
      </x:c>
      <x:c r="Z149" s="7" t="str">
        <x:f>IF(OR($D149="",Z$5="",'상세일정'!AM149="제외"),"",IF($D149=$E149,IF(AND($D149&gt;=Z$5,$D149&lt;Z$5+7),"◆",""),IF(AND($D149&lt;Z$5+7,$E149&gt;Z$5),"■","")))</x:f>
      </x:c>
      <x:c r="AA149" s="7" t="str">
        <x:f>IF(OR($D149="",AA$5="",'상세일정'!AM149="제외"),"",IF($D149=$E149,IF(AND($D149&gt;=AA$5,$D149&lt;AA$5+7),"◆",""),IF(AND($D149&lt;AA$5+7,$E149&gt;AA$5),"■","")))</x:f>
      </x:c>
      <x:c r="AB149" s="7" t="str">
        <x:f>IF(OR($D149="",AB$5="",'상세일정'!AM149="제외"),"",IF($D149=$E149,IF(AND($D149&gt;=AB$5,$D149&lt;AB$5+7),"◆",""),IF(AND($D149&lt;AB$5+7,$E149&gt;AB$5),"■","")))</x:f>
      </x:c>
      <x:c r="AC149" s="7" t="str">
        <x:f>IF(OR($D149="",AC$5="",'상세일정'!AM149="제외"),"",IF($D149=$E149,IF(AND($D149&gt;=AC$5,$D149&lt;AC$5+7),"◆",""),IF(AND($D149&lt;AC$5+7,$E149&gt;AC$5),"■","")))</x:f>
      </x:c>
      <x:c r="AD149" s="7" t="str">
        <x:f>IF(OR($D149="",AD$5="",'상세일정'!AM149="제외"),"",IF($D149=$E149,IF(AND($D149&gt;=AD$5,$D149&lt;AD$5+7),"◆",""),IF(AND($D149&lt;AD$5+7,$E149&gt;AD$5),"■","")))</x:f>
      </x:c>
      <x:c r="AE149" s="7" t="str">
        <x:f>IF(OR($D149="",AE$5="",'상세일정'!AM149="제외"),"",IF($D149=$E149,IF(AND($D149&gt;=AE$5,$D149&lt;AE$5+7),"◆",""),IF(AND($D149&lt;AE$5+7,$E149&gt;AE$5),"■","")))</x:f>
      </x:c>
      <x:c r="AF149" s="7" t="str">
        <x:f>IF(OR($D149="",AF$5="",'상세일정'!AM149="제외"),"",IF($D149=$E149,IF(AND($D149&gt;=AF$5,$D149&lt;AF$5+7),"◆",""),IF(AND($D149&lt;AF$5+7,$E149&gt;AF$5),"■","")))</x:f>
      </x:c>
      <x:c r="AG149" s="7" t="str">
        <x:f>IF(OR($D149="",AG$5="",'상세일정'!AM149="제외"),"",IF($D149=$E149,IF(AND($D149&gt;=AG$5,$D149&lt;AG$5+7),"◆",""),IF(AND($D149&lt;AG$5+7,$E149&gt;AG$5),"■","")))</x:f>
      </x:c>
      <x:c r="AH149" s="7" t="str">
        <x:f>IF(OR($D149="",AH$5="",'상세일정'!AM149="제외"),"",IF($D149=$E149,IF(AND($D149&gt;=AH$5,$D149&lt;AH$5+7),"◆",""),IF(AND($D149&lt;AH$5+7,$E149&gt;AH$5),"■","")))</x:f>
      </x:c>
      <x:c r="AI149" s="7" t="str">
        <x:f>IF(OR($D149="",AI$5="",'상세일정'!AM149="제외"),"",IF($D149=$E149,IF(AND($D149&gt;=AI$5,$D149&lt;AI$5+7),"◆",""),IF(AND($D149&lt;AI$5+7,$E149&gt;AI$5),"■","")))</x:f>
      </x:c>
      <x:c r="AJ149" s="7" t="str">
        <x:f>IF(OR($D149="",AJ$5="",'상세일정'!AM149="제외"),"",IF($D149=$E149,IF(AND($D149&gt;=AJ$5,$D149&lt;AJ$5+7),"◆",""),IF(AND($D149&lt;AJ$5+7,$E149&gt;AJ$5),"■","")))</x:f>
      </x:c>
      <x:c r="AK149" s="7" t="str">
        <x:f>IF(OR($D149="",AK$5="",'상세일정'!AM149="제외"),"",IF($D149=$E149,IF(AND($D149&gt;=AK$5,$D149&lt;AK$5+7),"◆",""),IF(AND($D149&lt;AK$5+7,$E149&gt;AK$5),"■","")))</x:f>
      </x:c>
      <x:c r="AL149" s="7" t="str">
        <x:f>IF(OR($D149="",AL$5="",'상세일정'!AM149="제외"),"",IF($D149=$E149,IF(AND($D149&gt;=AL$5,$D149&lt;AL$5+7),"◆",""),IF(AND($D149&lt;AL$5+7,$E149&gt;AL$5),"■","")))</x:f>
      </x:c>
      <x:c r="AM149" s="7" t="str">
        <x:f>IF(OR($D149="",AM$5="",'상세일정'!AM149="제외"),"",IF($D149=$E149,IF(AND($D149&gt;=AM$5,$D149&lt;AM$5+7),"◆",""),IF(AND($D149&lt;AM$5+7,$E149&gt;AM$5),"■","")))</x:f>
      </x:c>
      <x:c r="AN149" s="7" t="str">
        <x:f>IF(OR($D149="",AN$5="",'상세일정'!AM149="제외"),"",IF($D149=$E149,IF(AND($D149&gt;=AN$5,$D149&lt;AN$5+7),"◆",""),IF(AND($D149&lt;AN$5+7,$E149&gt;AN$5),"■","")))</x:f>
      </x:c>
      <x:c r="AO149" s="7" t="str">
        <x:f>IF(OR($D149="",AO$5="",'상세일정'!AM149="제외"),"",IF($D149=$E149,IF(AND($D149&gt;=AO$5,$D149&lt;AO$5+7),"◆",""),IF(AND($D149&lt;AO$5+7,$E149&gt;AO$5),"■","")))</x:f>
      </x:c>
      <x:c r="AP149" s="7" t="str">
        <x:f>IF(OR($D149="",AP$5="",'상세일정'!AM149="제외"),"",IF($D149=$E149,IF(AND($D149&gt;=AP$5,$D149&lt;AP$5+7),"◆",""),IF(AND($D149&lt;AP$5+7,$E149&gt;AP$5),"■","")))</x:f>
      </x:c>
      <x:c r="AQ149" s="7" t="str">
        <x:f>IF(OR($D149="",AQ$5="",'상세일정'!AM149="제외"),"",IF($D149=$E149,IF(AND($D149&gt;=AQ$5,$D149&lt;AQ$5+7),"◆",""),IF(AND($D149&lt;AQ$5+7,$E149&gt;AQ$5),"■","")))</x:f>
      </x:c>
      <x:c r="AR149" s="7" t="str">
        <x:f>IF(OR($D149="",AR$5="",'상세일정'!AM149="제외"),"",IF($D149=$E149,IF(AND($D149&gt;=AR$5,$D149&lt;AR$5+7),"◆",""),IF(AND($D149&lt;AR$5+7,$E149&gt;AR$5),"■","")))</x:f>
      </x:c>
      <x:c r="AS149" s="7" t="str">
        <x:f>IF(OR($D149="",AS$5="",'상세일정'!AM149="제외"),"",IF($D149=$E149,IF(AND($D149&gt;=AS$5,$D149&lt;AS$5+7),"◆",""),IF(AND($D149&lt;AS$5+7,$E149&gt;AS$5),"■","")))</x:f>
      </x:c>
      <x:c r="AT149" s="7" t="str">
        <x:f>IF(OR($D149="",AT$5="",'상세일정'!AM149="제외"),"",IF($D149=$E149,IF(AND($D149&gt;=AT$5,$D149&lt;AT$5+7),"◆",""),IF(AND($D149&lt;AT$5+7,$E149&gt;AT$5),"■","")))</x:f>
      </x:c>
      <x:c r="AU149" s="7" t="str">
        <x:f>IF(OR($D149="",AU$5="",'상세일정'!AM149="제외"),"",IF($D149=$E149,IF(AND($D149&gt;=AU$5,$D149&lt;AU$5+7),"◆",""),IF(AND($D149&lt;AU$5+7,$E149&gt;AU$5),"■","")))</x:f>
      </x:c>
      <x:c r="AV149" s="7" t="str">
        <x:f>IF(OR($D149="",AV$5="",'상세일정'!AM149="제외"),"",IF($D149=$E149,IF(AND($D149&gt;=AV$5,$D149&lt;AV$5+7),"◆",""),IF(AND($D149&lt;AV$5+7,$E149&gt;AV$5),"■","")))</x:f>
      </x:c>
      <x:c r="AW149" s="7" t="str">
        <x:f>IF(OR($D149="",AW$5="",'상세일정'!AM149="제외"),"",IF($D149=$E149,IF(AND($D149&gt;=AW$5,$D149&lt;AW$5+7),"◆",""),IF(AND($D149&lt;AW$5+7,$E149&gt;AW$5),"■","")))</x:f>
      </x:c>
      <x:c r="AX149" s="7" t="str">
        <x:f>IF(OR($D149="",AX$5="",'상세일정'!AM149="제외"),"",IF($D149=$E149,IF(AND($D149&gt;=AX$5,$D149&lt;AX$5+7),"◆",""),IF(AND($D149&lt;AX$5+7,$E149&gt;AX$5),"■","")))</x:f>
      </x:c>
      <x:c r="AY149" s="7" t="str">
        <x:f>IF(OR($D149="",AY$5="",'상세일정'!AM149="제외"),"",IF($D149=$E149,IF(AND($D149&gt;=AY$5,$D149&lt;AY$5+7),"◆",""),IF(AND($D149&lt;AY$5+7,$E149&gt;AY$5),"■","")))</x:f>
      </x:c>
      <x:c r="AZ149" s="7" t="str">
        <x:f>IF(OR($D149="",AZ$5="",'상세일정'!AM149="제외"),"",IF($D149=$E149,IF(AND($D149&gt;=AZ$5,$D149&lt;AZ$5+7),"◆",""),IF(AND($D149&lt;AZ$5+7,$E149&gt;AZ$5),"■","")))</x:f>
      </x:c>
      <x:c r="BA149" s="7" t="str">
        <x:f>IF(OR($D149="",BA$5="",'상세일정'!AM149="제외"),"",IF($D149=$E149,IF(AND($D149&gt;=BA$5,$D149&lt;BA$5+7),"◆",""),IF(AND($D149&lt;BA$5+7,$E149&gt;BA$5),"■","")))</x:f>
      </x:c>
      <x:c r="BB149" s="7" t="str">
        <x:f>IF(OR($D149="",BB$5="",'상세일정'!AM149="제외"),"",IF($D149=$E149,IF(AND($D149&gt;=BB$5,$D149&lt;BB$5+7),"◆",""),IF(AND($D149&lt;BB$5+7,$E149&gt;BB$5),"■","")))</x:f>
      </x:c>
      <x:c r="BC149" s="7" t="str">
        <x:f>IF(OR($D149="",BC$5="",'상세일정'!AM149="제외"),"",IF($D149=$E149,IF(AND($D149&gt;=BC$5,$D149&lt;BC$5+7),"◆",""),IF(AND($D149&lt;BC$5+7,$E149&gt;BC$5),"■","")))</x:f>
      </x:c>
      <x:c r="BD149" s="7" t="str">
        <x:f>IF(OR($D149="",BD$5="",'상세일정'!AM149="제외"),"",IF($D149=$E149,IF(AND($D149&gt;=BD$5,$D149&lt;BD$5+7),"◆",""),IF(AND($D149&lt;BD$5+7,$E149&gt;BD$5),"■","")))</x:f>
      </x:c>
      <x:c r="BE149" s="7" t="str">
        <x:f>IF(OR($D149="",BE$5="",'상세일정'!AM149="제외"),"",IF($D149=$E149,IF(AND($D149&gt;=BE$5,$D149&lt;BE$5+7),"◆",""),IF(AND($D149&lt;BE$5+7,$E149&gt;BE$5),"■","")))</x:f>
      </x:c>
      <x:c r="BF149" s="7" t="str">
        <x:f>IF(OR($D149="",BF$5="",'상세일정'!AM149="제외"),"",IF($D149=$E149,IF(AND($D149&gt;=BF$5,$D149&lt;BF$5+7),"◆",""),IF(AND($D149&lt;BF$5+7,$E149&gt;BF$5),"■","")))</x:f>
      </x:c>
      <x:c r="BG149" s="7" t="str">
        <x:f>IF(OR($D149="",BG$5="",'상세일정'!AM149="제외"),"",IF($D149=$E149,IF(AND($D149&gt;=BG$5,$D149&lt;BG$5+7),"◆",""),IF(AND($D149&lt;BG$5+7,$E149&gt;BG$5),"■","")))</x:f>
      </x:c>
      <x:c r="BH149" s="7" t="str">
        <x:f>IF(OR($D149="",BH$5="",'상세일정'!AM149="제외"),"",IF($D149=$E149,IF(AND($D149&gt;=BH$5,$D149&lt;BH$5+7),"◆",""),IF(AND($D149&lt;BH$5+7,$E149&gt;BH$5),"■","")))</x:f>
      </x:c>
      <x:c r="BI149" s="7" t="str">
        <x:f>IF(OR($D149="",BI$5="",'상세일정'!AM149="제외"),"",IF($D149=$E149,IF(AND($D149&gt;=BI$5,$D149&lt;BI$5+7),"◆",""),IF(AND($D149&lt;BI$5+7,$E149&gt;BI$5),"■","")))</x:f>
      </x:c>
      <x:c r="BJ149" s="7" t="str">
        <x:f>IF(OR($D149="",BJ$5="",'상세일정'!AM149="제외"),"",IF($D149=$E149,IF(AND($D149&gt;=BJ$5,$D149&lt;BJ$5+7),"◆",""),IF(AND($D149&lt;BJ$5+7,$E149&gt;BJ$5),"■","")))</x:f>
      </x:c>
      <x:c r="BK149" s="7" t="str">
        <x:f>IF(OR($D149="",BK$5="",'상세일정'!AM149="제외"),"",IF($D149=$E149,IF(AND($D149&gt;=BK$5,$D149&lt;BK$5+7),"◆",""),IF(AND($D149&lt;BK$5+7,$E149&gt;BK$5),"■","")))</x:f>
      </x:c>
      <x:c r="BL149" s="7" t="str">
        <x:f>IF(OR($D149="",BL$5="",'상세일정'!AM149="제외"),"",IF($D149=$E149,IF(AND($D149&gt;=BL$5,$D149&lt;BL$5+7),"◆",""),IF(AND($D149&lt;BL$5+7,$E149&gt;BL$5),"■","")))</x:f>
      </x:c>
      <x:c r="BM149" s="7" t="str">
        <x:f>IF(OR($D149="",BM$5="",'상세일정'!AM149="제외"),"",IF($D149=$E149,IF(AND($D149&gt;=BM$5,$D149&lt;BM$5+7),"◆",""),IF(AND($D149&lt;BM$5+7,$E149&gt;BM$5),"■","")))</x:f>
      </x:c>
      <x:c r="BN149" s="7" t="str">
        <x:f>IF(OR($D149="",BN$5="",'상세일정'!AM149="제외"),"",IF($D149=$E149,IF(AND($D149&gt;=BN$5,$D149&lt;BN$5+7),"◆",""),IF(AND($D149&lt;BN$5+7,$E149&gt;BN$5),"■","")))</x:f>
      </x:c>
      <x:c r="BO149" s="7" t="str">
        <x:f>IF(OR($D149="",BO$5="",'상세일정'!AM149="제외"),"",IF($D149=$E149,IF(AND($D149&gt;=BO$5,$D149&lt;BO$5+7),"◆",""),IF(AND($D149&lt;BO$5+7,$E149&gt;BO$5),"■","")))</x:f>
      </x:c>
      <x:c r="BP149" s="7" t="str">
        <x:f>IF(OR($D149="",BP$5="",'상세일정'!AM149="제외"),"",IF($D149=$E149,IF(AND($D149&gt;=BP$5,$D149&lt;BP$5+7),"◆",""),IF(AND($D149&lt;BP$5+7,$E149&gt;BP$5),"■","")))</x:f>
      </x:c>
      <x:c r="BQ149" s="7" t="str">
        <x:f>IF(OR($D149="",BQ$5="",'상세일정'!AM149="제외"),"",IF($D149=$E149,IF(AND($D149&gt;=BQ$5,$D149&lt;BQ$5+7),"◆",""),IF(AND($D149&lt;BQ$5+7,$E149&gt;BQ$5),"■","")))</x:f>
      </x:c>
      <x:c r="BR149" s="7" t="str">
        <x:f>IF(OR($D149="",BR$5="",'상세일정'!AM149="제외"),"",IF($D149=$E149,IF(AND($D149&gt;=BR$5,$D149&lt;BR$5+7),"◆",""),IF(AND($D149&lt;BR$5+7,$E149&gt;BR$5),"■","")))</x:f>
      </x:c>
      <x:c r="BS149" s="7" t="str">
        <x:f>IF(OR($D149="",BS$5="",'상세일정'!AM149="제외"),"",IF($D149=$E149,IF(AND($D149&gt;=BS$5,$D149&lt;BS$5+7),"◆",""),IF(AND($D149&lt;BS$5+7,$E149&gt;BS$5),"■","")))</x:f>
      </x:c>
      <x:c r="BT149" s="7" t="str">
        <x:f>IF(OR($D149="",BT$5="",'상세일정'!AM149="제외"),"",IF($D149=$E149,IF(AND($D149&gt;=BT$5,$D149&lt;BT$5+7),"◆",""),IF(AND($D149&lt;BT$5+7,$E149&gt;BT$5),"■","")))</x:f>
      </x:c>
      <x:c r="BU149" s="7" t="str">
        <x:f>IF(OR($D149="",BU$5="",'상세일정'!AM149="제외"),"",IF($D149=$E149,IF(AND($D149&gt;=BU$5,$D149&lt;BU$5+7),"◆",""),IF(AND($D149&lt;BU$5+7,$E149&gt;BU$5),"■","")))</x:f>
      </x:c>
      <x:c r="BV149" s="7" t="str">
        <x:f>IF(OR($D149="",BV$5="",'상세일정'!AM149="제외"),"",IF($D149=$E149,IF(AND($D149&gt;=BV$5,$D149&lt;BV$5+7),"◆",""),IF(AND($D149&lt;BV$5+7,$E149&gt;BV$5),"■","")))</x:f>
      </x:c>
      <x:c r="BW149" s="7" t="str">
        <x:f>IF(OR($D149="",BW$5="",'상세일정'!AM149="제외"),"",IF($D149=$E149,IF(AND($D149&gt;=BW$5,$D149&lt;BW$5+7),"◆",""),IF(AND($D149&lt;BW$5+7,$E149&gt;BW$5),"■","")))</x:f>
      </x:c>
      <x:c r="BX149" s="7" t="str">
        <x:f>IF(OR($D149="",BX$5="",'상세일정'!AM149="제외"),"",IF($D149=$E149,IF(AND($D149&gt;=BX$5,$D149&lt;BX$5+7),"◆",""),IF(AND($D149&lt;BX$5+7,$E149&gt;BX$5),"■","")))</x:f>
      </x:c>
      <x:c r="BY149" s="7" t="str">
        <x:f>IF(OR($D149="",BY$5="",'상세일정'!AM149="제외"),"",IF($D149=$E149,IF(AND($D149&gt;=BY$5,$D149&lt;BY$5+7),"◆",""),IF(AND($D149&lt;BY$5+7,$E149&gt;BY$5),"■","")))</x:f>
      </x:c>
      <x:c r="BZ149" s="7" t="str">
        <x:f>IF(OR($D149="",BZ$5="",'상세일정'!AM149="제외"),"",IF($D149=$E149,IF(AND($D149&gt;=BZ$5,$D149&lt;BZ$5+7),"◆",""),IF(AND($D149&lt;BZ$5+7,$E149&gt;BZ$5),"■","")))</x:f>
      </x:c>
      <x:c r="CA149" s="7" t="str">
        <x:f>IF(OR($D149="",CA$5="",'상세일정'!AM149="제외"),"",IF($D149=$E149,IF(AND($D149&gt;=CA$5,$D149&lt;CA$5+7),"◆",""),IF(AND($D149&lt;CA$5+7,$E149&gt;CA$5),"■","")))</x:f>
      </x:c>
      <x:c r="CB149" s="7" t="str">
        <x:f>IF(OR($D149="",CB$5="",'상세일정'!AM149="제외"),"",IF($D149=$E149,IF(AND($D149&gt;=CB$5,$D149&lt;CB$5+7),"◆",""),IF(AND($D149&lt;CB$5+7,$E149&gt;CB$5),"■","")))</x:f>
      </x:c>
      <x:c r="CC149" s="7" t="str">
        <x:f>IF(OR($D149="",CC$5="",'상세일정'!AM149="제외"),"",IF($D149=$E149,IF(AND($D149&gt;=CC$5,$D149&lt;CC$5+7),"◆",""),IF(AND($D149&lt;CC$5+7,$E149&gt;CC$5),"■","")))</x:f>
      </x:c>
      <x:c r="CD149" s="7" t="str">
        <x:f>IF(OR($D149="",CD$5="",'상세일정'!AM149="제외"),"",IF($D149=$E149,IF(AND($D149&gt;=CD$5,$D149&lt;CD$5+7),"◆",""),IF(AND($D149&lt;CD$5+7,$E149&gt;CD$5),"■","")))</x:f>
      </x:c>
      <x:c r="CE149" s="7" t="str">
        <x:f>IF(OR($D149="",CE$5="",'상세일정'!AM149="제외"),"",IF($D149=$E149,IF(AND($D149&gt;=CE$5,$D149&lt;CE$5+7),"◆",""),IF(AND($D149&lt;CE$5+7,$E149&gt;CE$5),"■","")))</x:f>
      </x:c>
      <x:c r="CF149" s="7" t="str">
        <x:f>IF(OR($D149="",CF$5="",'상세일정'!AM149="제외"),"",IF($D149=$E149,IF(AND($D149&gt;=CF$5,$D149&lt;CF$5+7),"◆",""),IF(AND($D149&lt;CF$5+7,$E149&gt;CF$5),"■","")))</x:f>
      </x:c>
      <x:c r="CG149" s="7" t="str">
        <x:f>IF(OR($D149="",CG$5="",'상세일정'!AM149="제외"),"",IF($D149=$E149,IF(AND($D149&gt;=CG$5,$D149&lt;CG$5+7),"◆",""),IF(AND($D149&lt;CG$5+7,$E149&gt;CG$5),"■","")))</x:f>
      </x:c>
      <x:c r="CH149" s="7" t="str">
        <x:f>IF(OR($D149="",CH$5="",'상세일정'!AM149="제외"),"",IF($D149=$E149,IF(AND($D149&gt;=CH$5,$D149&lt;CH$5+7),"◆",""),IF(AND($D149&lt;CH$5+7,$E149&gt;CH$5),"■","")))</x:f>
      </x:c>
      <x:c r="CI149" s="7" t="str">
        <x:f>IF(OR($D149="",CI$5="",'상세일정'!AM149="제외"),"",IF($D149=$E149,IF(AND($D149&gt;=CI$5,$D149&lt;CI$5+7),"◆",""),IF(AND($D149&lt;CI$5+7,$E149&gt;CI$5),"■","")))</x:f>
      </x:c>
      <x:c r="CJ149" s="7" t="str">
        <x:f>IF(OR($D149="",CJ$5="",'상세일정'!AM149="제외"),"",IF($D149=$E149,IF(AND($D149&gt;=CJ$5,$D149&lt;CJ$5+7),"◆",""),IF(AND($D149&lt;CJ$5+7,$E149&gt;CJ$5),"■","")))</x:f>
      </x:c>
      <x:c r="CK149" s="7" t="str">
        <x:f>IF(OR($D149="",CK$5="",'상세일정'!AM149="제외"),"",IF($D149=$E149,IF(AND($D149&gt;=CK$5,$D149&lt;CK$5+7),"◆",""),IF(AND($D149&lt;CK$5+7,$E149&gt;CK$5),"■","")))</x:f>
      </x:c>
      <x:c r="CL149" s="7" t="str">
        <x:f>IF(OR($D149="",CL$5="",'상세일정'!AM149="제외"),"",IF($D149=$E149,IF(AND($D149&gt;=CL$5,$D149&lt;CL$5+7),"◆",""),IF(AND($D149&lt;CL$5+7,$E149&gt;CL$5),"■","")))</x:f>
      </x:c>
      <x:c r="CM149" s="7" t="str">
        <x:f>IF(OR($D149="",CM$5="",'상세일정'!AM149="제외"),"",IF($D149=$E149,IF(AND($D149&gt;=CM$5,$D149&lt;CM$5+7),"◆",""),IF(AND($D149&lt;CM$5+7,$E149&gt;CM$5),"■","")))</x:f>
      </x:c>
      <x:c r="CN149" s="7" t="str">
        <x:f>IF(OR($D149="",CN$5="",'상세일정'!AM149="제외"),"",IF($D149=$E149,IF(AND($D149&gt;=CN$5,$D149&lt;CN$5+7),"◆",""),IF(AND($D149&lt;CN$5+7,$E149&gt;CN$5),"■","")))</x:f>
      </x:c>
      <x:c r="CO149" s="7" t="str">
        <x:f>IF(OR($D149="",CO$5="",'상세일정'!AM149="제외"),"",IF($D149=$E149,IF(AND($D149&gt;=CO$5,$D149&lt;CO$5+7),"◆",""),IF(AND($D149&lt;CO$5+7,$E149&gt;CO$5),"■","")))</x:f>
      </x:c>
      <x:c r="CP149" s="7" t="str">
        <x:f>IF(OR($D149="",CP$5="",'상세일정'!AM149="제외"),"",IF($D149=$E149,IF(AND($D149&gt;=CP$5,$D149&lt;CP$5+7),"◆",""),IF(AND($D149&lt;CP$5+7,$E149&gt;CP$5),"■","")))</x:f>
      </x:c>
      <x:c r="CQ149" s="7" t="str">
        <x:f>IF(OR($D149="",CQ$5="",'상세일정'!AM149="제외"),"",IF($D149=$E149,IF(AND($D149&gt;=CQ$5,$D149&lt;CQ$5+7),"◆",""),IF(AND($D149&lt;CQ$5+7,$E149&gt;CQ$5),"■","")))</x:f>
      </x:c>
      <x:c r="CR149" s="7" t="str">
        <x:f>IF(OR($D149="",CR$5="",'상세일정'!AM149="제외"),"",IF($D149=$E149,IF(AND($D149&gt;=CR$5,$D149&lt;CR$5+7),"◆",""),IF(AND($D149&lt;CR$5+7,$E149&gt;CR$5),"■","")))</x:f>
      </x:c>
      <x:c r="CS149" s="7" t="str">
        <x:f>IF(OR($D149="",CS$5="",'상세일정'!AM149="제외"),"",IF($D149=$E149,IF(AND($D149&gt;=CS$5,$D149&lt;CS$5+7),"◆",""),IF(AND($D149&lt;CS$5+7,$E149&gt;CS$5),"■","")))</x:f>
      </x:c>
      <x:c r="CT149" s="7" t="str">
        <x:f>IF(OR($D149="",CT$5="",'상세일정'!AM149="제외"),"",IF($D149=$E149,IF(AND($D149&gt;=CT$5,$D149&lt;CT$5+7),"◆",""),IF(AND($D149&lt;CT$5+7,$E149&gt;CT$5),"■","")))</x:f>
      </x:c>
      <x:c r="CU149" s="7" t="str">
        <x:f>IF(OR($D149="",CU$5="",'상세일정'!AM149="제외"),"",IF($D149=$E149,IF(AND($D149&gt;=CU$5,$D149&lt;CU$5+7),"◆",""),IF(AND($D149&lt;CU$5+7,$E149&gt;CU$5),"■","")))</x:f>
      </x:c>
      <x:c r="CV149" s="7" t="str">
        <x:f>IF(OR($D149="",CV$5="",'상세일정'!AM149="제외"),"",IF($D149=$E149,IF(AND($D149&gt;=CV$5,$D149&lt;CV$5+7),"◆",""),IF(AND($D149&lt;CV$5+7,$E149&gt;CV$5),"■","")))</x:f>
      </x:c>
      <x:c r="CW149" s="7" t="str">
        <x:f>IF(OR($D149="",CW$5="",'상세일정'!AM149="제외"),"",IF($D149=$E149,IF(AND($D149&gt;=CW$5,$D149&lt;CW$5+7),"◆",""),IF(AND($D149&lt;CW$5+7,$E149&gt;CW$5),"■","")))</x:f>
      </x:c>
      <x:c r="CX149" s="7" t="str">
        <x:f>IF(OR($D149="",CX$5="",'상세일정'!AM149="제외"),"",IF($D149=$E149,IF(AND($D149&gt;=CX$5,$D149&lt;CX$5+7),"◆",""),IF(AND($D149&lt;CX$5+7,$E149&gt;CX$5),"■","")))</x:f>
      </x:c>
      <x:c r="CY149" s="7" t="str">
        <x:f>IF(OR($D149="",CY$5="",'상세일정'!AM149="제외"),"",IF($D149=$E149,IF(AND($D149&gt;=CY$5,$D149&lt;CY$5+7),"◆",""),IF(AND($D149&lt;CY$5+7,$E149&gt;CY$5),"■","")))</x:f>
      </x:c>
      <x:c r="CZ149" s="7" t="str">
        <x:f>IF(OR($D149="",CZ$5="",'상세일정'!AM149="제외"),"",IF($D149=$E149,IF(AND($D149&gt;=CZ$5,$D149&lt;CZ$5+7),"◆",""),IF(AND($D149&lt;CZ$5+7,$E149&gt;CZ$5),"■","")))</x:f>
      </x:c>
      <x:c r="DA149" s="7" t="str">
        <x:f>IF(OR($D149="",DA$5="",'상세일정'!AM149="제외"),"",IF($D149=$E149,IF(AND($D149&gt;=DA$5,$D149&lt;DA$5+7),"◆",""),IF(AND($D149&lt;DA$5+7,$E149&gt;DA$5),"■","")))</x:f>
      </x:c>
      <x:c r="DB149" s="7" t="str">
        <x:f>IF(OR($D149="",DB$5="",'상세일정'!AM149="제외"),"",IF($D149=$E149,IF(AND($D149&gt;=DB$5,$D149&lt;DB$5+7),"◆",""),IF(AND($D149&lt;DB$5+7,$E149&gt;DB$5),"■","")))</x:f>
      </x:c>
      <x:c r="DC149" s="7" t="str">
        <x:f>IF(OR($D149="",DC$5="",'상세일정'!AM149="제외"),"",IF($D149=$E149,IF(AND($D149&gt;=DC$5,$D149&lt;DC$5+7),"◆",""),IF(AND($D149&lt;DC$5+7,$E149&gt;DC$5),"■","")))</x:f>
      </x:c>
      <x:c r="DD149" s="7" t="str">
        <x:f>IF(OR($D149="",DD$5="",'상세일정'!AM149="제외"),"",IF($D149=$E149,IF(AND($D149&gt;=DD$5,$D149&lt;DD$5+7),"◆",""),IF(AND($D149&lt;DD$5+7,$E149&gt;DD$5),"■","")))</x:f>
      </x:c>
      <x:c r="DE149" s="7" t="str">
        <x:f>IF(OR($D149="",DE$5="",'상세일정'!AM149="제외"),"",IF($D149=$E149,IF(AND($D149&gt;=DE$5,$D149&lt;DE$5+7),"◆",""),IF(AND($D149&lt;DE$5+7,$E149&gt;DE$5),"■","")))</x:f>
      </x:c>
    </x:row>
    <x:row r="150" ht="34" customHeight="1">
      <x:c r="A150" s="7" t="str">
        <x:v>PN01</x:v>
      </x:c>
      <x:c r="B150" s="7" t="str">
        <x:v>16 기자재 구매·제작</x:v>
      </x:c>
      <x:c r="C150" s="7" t="str">
        <x:v>수배전반·제어반 잔여 발주범위·사양 확정</x:v>
      </x:c>
      <x:c r="D150" s="10" t="str">
        <x:f>'상세일정'!AJ150</x:f>
      </x:c>
      <x:c r="E150" s="10" t="str">
        <x:f>'상세일정'!AK150</x:f>
      </x:c>
      <x:c r="F150" s="7" t="str">
        <x:f>IF(OR($D150="",F$5="",'상세일정'!AM150="제외"),"",IF($D150=$E150,IF(AND($D150&gt;=F$5,$D150&lt;F$5+7),"◆",""),IF(AND($D150&lt;F$5+7,$E150&gt;F$5),"■","")))</x:f>
      </x:c>
      <x:c r="G150" s="7" t="str">
        <x:f>IF(OR($D150="",G$5="",'상세일정'!AM150="제외"),"",IF($D150=$E150,IF(AND($D150&gt;=G$5,$D150&lt;G$5+7),"◆",""),IF(AND($D150&lt;G$5+7,$E150&gt;G$5),"■","")))</x:f>
      </x:c>
      <x:c r="H150" s="7" t="str">
        <x:f>IF(OR($D150="",H$5="",'상세일정'!AM150="제외"),"",IF($D150=$E150,IF(AND($D150&gt;=H$5,$D150&lt;H$5+7),"◆",""),IF(AND($D150&lt;H$5+7,$E150&gt;H$5),"■","")))</x:f>
      </x:c>
      <x:c r="I150" s="7" t="str">
        <x:f>IF(OR($D150="",I$5="",'상세일정'!AM150="제외"),"",IF($D150=$E150,IF(AND($D150&gt;=I$5,$D150&lt;I$5+7),"◆",""),IF(AND($D150&lt;I$5+7,$E150&gt;I$5),"■","")))</x:f>
      </x:c>
      <x:c r="J150" s="7" t="str">
        <x:f>IF(OR($D150="",J$5="",'상세일정'!AM150="제외"),"",IF($D150=$E150,IF(AND($D150&gt;=J$5,$D150&lt;J$5+7),"◆",""),IF(AND($D150&lt;J$5+7,$E150&gt;J$5),"■","")))</x:f>
      </x:c>
      <x:c r="K150" s="7" t="str">
        <x:f>IF(OR($D150="",K$5="",'상세일정'!AM150="제외"),"",IF($D150=$E150,IF(AND($D150&gt;=K$5,$D150&lt;K$5+7),"◆",""),IF(AND($D150&lt;K$5+7,$E150&gt;K$5),"■","")))</x:f>
      </x:c>
      <x:c r="L150" s="7" t="str">
        <x:f>IF(OR($D150="",L$5="",'상세일정'!AM150="제외"),"",IF($D150=$E150,IF(AND($D150&gt;=L$5,$D150&lt;L$5+7),"◆",""),IF(AND($D150&lt;L$5+7,$E150&gt;L$5),"■","")))</x:f>
      </x:c>
      <x:c r="M150" s="7" t="str">
        <x:f>IF(OR($D150="",M$5="",'상세일정'!AM150="제외"),"",IF($D150=$E150,IF(AND($D150&gt;=M$5,$D150&lt;M$5+7),"◆",""),IF(AND($D150&lt;M$5+7,$E150&gt;M$5),"■","")))</x:f>
      </x:c>
      <x:c r="N150" s="7" t="str">
        <x:f>IF(OR($D150="",N$5="",'상세일정'!AM150="제외"),"",IF($D150=$E150,IF(AND($D150&gt;=N$5,$D150&lt;N$5+7),"◆",""),IF(AND($D150&lt;N$5+7,$E150&gt;N$5),"■","")))</x:f>
      </x:c>
      <x:c r="O150" s="7" t="str">
        <x:f>IF(OR($D150="",O$5="",'상세일정'!AM150="제외"),"",IF($D150=$E150,IF(AND($D150&gt;=O$5,$D150&lt;O$5+7),"◆",""),IF(AND($D150&lt;O$5+7,$E150&gt;O$5),"■","")))</x:f>
      </x:c>
      <x:c r="P150" s="7" t="str">
        <x:f>IF(OR($D150="",P$5="",'상세일정'!AM150="제외"),"",IF($D150=$E150,IF(AND($D150&gt;=P$5,$D150&lt;P$5+7),"◆",""),IF(AND($D150&lt;P$5+7,$E150&gt;P$5),"■","")))</x:f>
      </x:c>
      <x:c r="Q150" s="7" t="str">
        <x:f>IF(OR($D150="",Q$5="",'상세일정'!AM150="제외"),"",IF($D150=$E150,IF(AND($D150&gt;=Q$5,$D150&lt;Q$5+7),"◆",""),IF(AND($D150&lt;Q$5+7,$E150&gt;Q$5),"■","")))</x:f>
      </x:c>
      <x:c r="R150" s="7" t="str">
        <x:f>IF(OR($D150="",R$5="",'상세일정'!AM150="제외"),"",IF($D150=$E150,IF(AND($D150&gt;=R$5,$D150&lt;R$5+7),"◆",""),IF(AND($D150&lt;R$5+7,$E150&gt;R$5),"■","")))</x:f>
      </x:c>
      <x:c r="S150" s="7" t="str">
        <x:f>IF(OR($D150="",S$5="",'상세일정'!AM150="제외"),"",IF($D150=$E150,IF(AND($D150&gt;=S$5,$D150&lt;S$5+7),"◆",""),IF(AND($D150&lt;S$5+7,$E150&gt;S$5),"■","")))</x:f>
      </x:c>
      <x:c r="T150" s="7" t="str">
        <x:f>IF(OR($D150="",T$5="",'상세일정'!AM150="제외"),"",IF($D150=$E150,IF(AND($D150&gt;=T$5,$D150&lt;T$5+7),"◆",""),IF(AND($D150&lt;T$5+7,$E150&gt;T$5),"■","")))</x:f>
      </x:c>
      <x:c r="U150" s="7" t="str">
        <x:f>IF(OR($D150="",U$5="",'상세일정'!AM150="제외"),"",IF($D150=$E150,IF(AND($D150&gt;=U$5,$D150&lt;U$5+7),"◆",""),IF(AND($D150&lt;U$5+7,$E150&gt;U$5),"■","")))</x:f>
      </x:c>
      <x:c r="V150" s="7" t="str">
        <x:f>IF(OR($D150="",V$5="",'상세일정'!AM150="제외"),"",IF($D150=$E150,IF(AND($D150&gt;=V$5,$D150&lt;V$5+7),"◆",""),IF(AND($D150&lt;V$5+7,$E150&gt;V$5),"■","")))</x:f>
      </x:c>
      <x:c r="W150" s="7" t="str">
        <x:f>IF(OR($D150="",W$5="",'상세일정'!AM150="제외"),"",IF($D150=$E150,IF(AND($D150&gt;=W$5,$D150&lt;W$5+7),"◆",""),IF(AND($D150&lt;W$5+7,$E150&gt;W$5),"■","")))</x:f>
      </x:c>
      <x:c r="X150" s="7" t="str">
        <x:f>IF(OR($D150="",X$5="",'상세일정'!AM150="제외"),"",IF($D150=$E150,IF(AND($D150&gt;=X$5,$D150&lt;X$5+7),"◆",""),IF(AND($D150&lt;X$5+7,$E150&gt;X$5),"■","")))</x:f>
      </x:c>
      <x:c r="Y150" s="7" t="str">
        <x:f>IF(OR($D150="",Y$5="",'상세일정'!AM150="제외"),"",IF($D150=$E150,IF(AND($D150&gt;=Y$5,$D150&lt;Y$5+7),"◆",""),IF(AND($D150&lt;Y$5+7,$E150&gt;Y$5),"■","")))</x:f>
      </x:c>
      <x:c r="Z150" s="7" t="str">
        <x:f>IF(OR($D150="",Z$5="",'상세일정'!AM150="제외"),"",IF($D150=$E150,IF(AND($D150&gt;=Z$5,$D150&lt;Z$5+7),"◆",""),IF(AND($D150&lt;Z$5+7,$E150&gt;Z$5),"■","")))</x:f>
      </x:c>
      <x:c r="AA150" s="7" t="str">
        <x:f>IF(OR($D150="",AA$5="",'상세일정'!AM150="제외"),"",IF($D150=$E150,IF(AND($D150&gt;=AA$5,$D150&lt;AA$5+7),"◆",""),IF(AND($D150&lt;AA$5+7,$E150&gt;AA$5),"■","")))</x:f>
      </x:c>
      <x:c r="AB150" s="7" t="str">
        <x:f>IF(OR($D150="",AB$5="",'상세일정'!AM150="제외"),"",IF($D150=$E150,IF(AND($D150&gt;=AB$5,$D150&lt;AB$5+7),"◆",""),IF(AND($D150&lt;AB$5+7,$E150&gt;AB$5),"■","")))</x:f>
      </x:c>
      <x:c r="AC150" s="7" t="str">
        <x:f>IF(OR($D150="",AC$5="",'상세일정'!AM150="제외"),"",IF($D150=$E150,IF(AND($D150&gt;=AC$5,$D150&lt;AC$5+7),"◆",""),IF(AND($D150&lt;AC$5+7,$E150&gt;AC$5),"■","")))</x:f>
      </x:c>
      <x:c r="AD150" s="7" t="str">
        <x:f>IF(OR($D150="",AD$5="",'상세일정'!AM150="제외"),"",IF($D150=$E150,IF(AND($D150&gt;=AD$5,$D150&lt;AD$5+7),"◆",""),IF(AND($D150&lt;AD$5+7,$E150&gt;AD$5),"■","")))</x:f>
      </x:c>
      <x:c r="AE150" s="7" t="str">
        <x:f>IF(OR($D150="",AE$5="",'상세일정'!AM150="제외"),"",IF($D150=$E150,IF(AND($D150&gt;=AE$5,$D150&lt;AE$5+7),"◆",""),IF(AND($D150&lt;AE$5+7,$E150&gt;AE$5),"■","")))</x:f>
      </x:c>
      <x:c r="AF150" s="7" t="str">
        <x:f>IF(OR($D150="",AF$5="",'상세일정'!AM150="제외"),"",IF($D150=$E150,IF(AND($D150&gt;=AF$5,$D150&lt;AF$5+7),"◆",""),IF(AND($D150&lt;AF$5+7,$E150&gt;AF$5),"■","")))</x:f>
      </x:c>
      <x:c r="AG150" s="7" t="str">
        <x:f>IF(OR($D150="",AG$5="",'상세일정'!AM150="제외"),"",IF($D150=$E150,IF(AND($D150&gt;=AG$5,$D150&lt;AG$5+7),"◆",""),IF(AND($D150&lt;AG$5+7,$E150&gt;AG$5),"■","")))</x:f>
      </x:c>
      <x:c r="AH150" s="7" t="str">
        <x:f>IF(OR($D150="",AH$5="",'상세일정'!AM150="제외"),"",IF($D150=$E150,IF(AND($D150&gt;=AH$5,$D150&lt;AH$5+7),"◆",""),IF(AND($D150&lt;AH$5+7,$E150&gt;AH$5),"■","")))</x:f>
      </x:c>
      <x:c r="AI150" s="7" t="str">
        <x:f>IF(OR($D150="",AI$5="",'상세일정'!AM150="제외"),"",IF($D150=$E150,IF(AND($D150&gt;=AI$5,$D150&lt;AI$5+7),"◆",""),IF(AND($D150&lt;AI$5+7,$E150&gt;AI$5),"■","")))</x:f>
      </x:c>
      <x:c r="AJ150" s="7" t="str">
        <x:f>IF(OR($D150="",AJ$5="",'상세일정'!AM150="제외"),"",IF($D150=$E150,IF(AND($D150&gt;=AJ$5,$D150&lt;AJ$5+7),"◆",""),IF(AND($D150&lt;AJ$5+7,$E150&gt;AJ$5),"■","")))</x:f>
      </x:c>
      <x:c r="AK150" s="7" t="str">
        <x:f>IF(OR($D150="",AK$5="",'상세일정'!AM150="제외"),"",IF($D150=$E150,IF(AND($D150&gt;=AK$5,$D150&lt;AK$5+7),"◆",""),IF(AND($D150&lt;AK$5+7,$E150&gt;AK$5),"■","")))</x:f>
      </x:c>
      <x:c r="AL150" s="7" t="str">
        <x:f>IF(OR($D150="",AL$5="",'상세일정'!AM150="제외"),"",IF($D150=$E150,IF(AND($D150&gt;=AL$5,$D150&lt;AL$5+7),"◆",""),IF(AND($D150&lt;AL$5+7,$E150&gt;AL$5),"■","")))</x:f>
      </x:c>
      <x:c r="AM150" s="7" t="str">
        <x:f>IF(OR($D150="",AM$5="",'상세일정'!AM150="제외"),"",IF($D150=$E150,IF(AND($D150&gt;=AM$5,$D150&lt;AM$5+7),"◆",""),IF(AND($D150&lt;AM$5+7,$E150&gt;AM$5),"■","")))</x:f>
      </x:c>
      <x:c r="AN150" s="7" t="str">
        <x:f>IF(OR($D150="",AN$5="",'상세일정'!AM150="제외"),"",IF($D150=$E150,IF(AND($D150&gt;=AN$5,$D150&lt;AN$5+7),"◆",""),IF(AND($D150&lt;AN$5+7,$E150&gt;AN$5),"■","")))</x:f>
      </x:c>
      <x:c r="AO150" s="7" t="str">
        <x:f>IF(OR($D150="",AO$5="",'상세일정'!AM150="제외"),"",IF($D150=$E150,IF(AND($D150&gt;=AO$5,$D150&lt;AO$5+7),"◆",""),IF(AND($D150&lt;AO$5+7,$E150&gt;AO$5),"■","")))</x:f>
      </x:c>
      <x:c r="AP150" s="7" t="str">
        <x:f>IF(OR($D150="",AP$5="",'상세일정'!AM150="제외"),"",IF($D150=$E150,IF(AND($D150&gt;=AP$5,$D150&lt;AP$5+7),"◆",""),IF(AND($D150&lt;AP$5+7,$E150&gt;AP$5),"■","")))</x:f>
      </x:c>
      <x:c r="AQ150" s="7" t="str">
        <x:f>IF(OR($D150="",AQ$5="",'상세일정'!AM150="제외"),"",IF($D150=$E150,IF(AND($D150&gt;=AQ$5,$D150&lt;AQ$5+7),"◆",""),IF(AND($D150&lt;AQ$5+7,$E150&gt;AQ$5),"■","")))</x:f>
      </x:c>
      <x:c r="AR150" s="7" t="str">
        <x:f>IF(OR($D150="",AR$5="",'상세일정'!AM150="제외"),"",IF($D150=$E150,IF(AND($D150&gt;=AR$5,$D150&lt;AR$5+7),"◆",""),IF(AND($D150&lt;AR$5+7,$E150&gt;AR$5),"■","")))</x:f>
      </x:c>
      <x:c r="AS150" s="7" t="str">
        <x:f>IF(OR($D150="",AS$5="",'상세일정'!AM150="제외"),"",IF($D150=$E150,IF(AND($D150&gt;=AS$5,$D150&lt;AS$5+7),"◆",""),IF(AND($D150&lt;AS$5+7,$E150&gt;AS$5),"■","")))</x:f>
      </x:c>
      <x:c r="AT150" s="7" t="str">
        <x:f>IF(OR($D150="",AT$5="",'상세일정'!AM150="제외"),"",IF($D150=$E150,IF(AND($D150&gt;=AT$5,$D150&lt;AT$5+7),"◆",""),IF(AND($D150&lt;AT$5+7,$E150&gt;AT$5),"■","")))</x:f>
      </x:c>
      <x:c r="AU150" s="7" t="str">
        <x:f>IF(OR($D150="",AU$5="",'상세일정'!AM150="제외"),"",IF($D150=$E150,IF(AND($D150&gt;=AU$5,$D150&lt;AU$5+7),"◆",""),IF(AND($D150&lt;AU$5+7,$E150&gt;AU$5),"■","")))</x:f>
      </x:c>
      <x:c r="AV150" s="7" t="str">
        <x:f>IF(OR($D150="",AV$5="",'상세일정'!AM150="제외"),"",IF($D150=$E150,IF(AND($D150&gt;=AV$5,$D150&lt;AV$5+7),"◆",""),IF(AND($D150&lt;AV$5+7,$E150&gt;AV$5),"■","")))</x:f>
      </x:c>
      <x:c r="AW150" s="7" t="str">
        <x:f>IF(OR($D150="",AW$5="",'상세일정'!AM150="제외"),"",IF($D150=$E150,IF(AND($D150&gt;=AW$5,$D150&lt;AW$5+7),"◆",""),IF(AND($D150&lt;AW$5+7,$E150&gt;AW$5),"■","")))</x:f>
      </x:c>
      <x:c r="AX150" s="7" t="str">
        <x:f>IF(OR($D150="",AX$5="",'상세일정'!AM150="제외"),"",IF($D150=$E150,IF(AND($D150&gt;=AX$5,$D150&lt;AX$5+7),"◆",""),IF(AND($D150&lt;AX$5+7,$E150&gt;AX$5),"■","")))</x:f>
      </x:c>
      <x:c r="AY150" s="7" t="str">
        <x:f>IF(OR($D150="",AY$5="",'상세일정'!AM150="제외"),"",IF($D150=$E150,IF(AND($D150&gt;=AY$5,$D150&lt;AY$5+7),"◆",""),IF(AND($D150&lt;AY$5+7,$E150&gt;AY$5),"■","")))</x:f>
      </x:c>
      <x:c r="AZ150" s="7" t="str">
        <x:f>IF(OR($D150="",AZ$5="",'상세일정'!AM150="제외"),"",IF($D150=$E150,IF(AND($D150&gt;=AZ$5,$D150&lt;AZ$5+7),"◆",""),IF(AND($D150&lt;AZ$5+7,$E150&gt;AZ$5),"■","")))</x:f>
      </x:c>
      <x:c r="BA150" s="7" t="str">
        <x:f>IF(OR($D150="",BA$5="",'상세일정'!AM150="제외"),"",IF($D150=$E150,IF(AND($D150&gt;=BA$5,$D150&lt;BA$5+7),"◆",""),IF(AND($D150&lt;BA$5+7,$E150&gt;BA$5),"■","")))</x:f>
      </x:c>
      <x:c r="BB150" s="7" t="str">
        <x:f>IF(OR($D150="",BB$5="",'상세일정'!AM150="제외"),"",IF($D150=$E150,IF(AND($D150&gt;=BB$5,$D150&lt;BB$5+7),"◆",""),IF(AND($D150&lt;BB$5+7,$E150&gt;BB$5),"■","")))</x:f>
      </x:c>
      <x:c r="BC150" s="7" t="str">
        <x:f>IF(OR($D150="",BC$5="",'상세일정'!AM150="제외"),"",IF($D150=$E150,IF(AND($D150&gt;=BC$5,$D150&lt;BC$5+7),"◆",""),IF(AND($D150&lt;BC$5+7,$E150&gt;BC$5),"■","")))</x:f>
      </x:c>
      <x:c r="BD150" s="7" t="str">
        <x:f>IF(OR($D150="",BD$5="",'상세일정'!AM150="제외"),"",IF($D150=$E150,IF(AND($D150&gt;=BD$5,$D150&lt;BD$5+7),"◆",""),IF(AND($D150&lt;BD$5+7,$E150&gt;BD$5),"■","")))</x:f>
      </x:c>
      <x:c r="BE150" s="7" t="str">
        <x:f>IF(OR($D150="",BE$5="",'상세일정'!AM150="제외"),"",IF($D150=$E150,IF(AND($D150&gt;=BE$5,$D150&lt;BE$5+7),"◆",""),IF(AND($D150&lt;BE$5+7,$E150&gt;BE$5),"■","")))</x:f>
      </x:c>
      <x:c r="BF150" s="7" t="str">
        <x:f>IF(OR($D150="",BF$5="",'상세일정'!AM150="제외"),"",IF($D150=$E150,IF(AND($D150&gt;=BF$5,$D150&lt;BF$5+7),"◆",""),IF(AND($D150&lt;BF$5+7,$E150&gt;BF$5),"■","")))</x:f>
      </x:c>
      <x:c r="BG150" s="7" t="str">
        <x:f>IF(OR($D150="",BG$5="",'상세일정'!AM150="제외"),"",IF($D150=$E150,IF(AND($D150&gt;=BG$5,$D150&lt;BG$5+7),"◆",""),IF(AND($D150&lt;BG$5+7,$E150&gt;BG$5),"■","")))</x:f>
      </x:c>
      <x:c r="BH150" s="7" t="str">
        <x:f>IF(OR($D150="",BH$5="",'상세일정'!AM150="제외"),"",IF($D150=$E150,IF(AND($D150&gt;=BH$5,$D150&lt;BH$5+7),"◆",""),IF(AND($D150&lt;BH$5+7,$E150&gt;BH$5),"■","")))</x:f>
      </x:c>
      <x:c r="BI150" s="7" t="str">
        <x:f>IF(OR($D150="",BI$5="",'상세일정'!AM150="제외"),"",IF($D150=$E150,IF(AND($D150&gt;=BI$5,$D150&lt;BI$5+7),"◆",""),IF(AND($D150&lt;BI$5+7,$E150&gt;BI$5),"■","")))</x:f>
      </x:c>
      <x:c r="BJ150" s="7" t="str">
        <x:f>IF(OR($D150="",BJ$5="",'상세일정'!AM150="제외"),"",IF($D150=$E150,IF(AND($D150&gt;=BJ$5,$D150&lt;BJ$5+7),"◆",""),IF(AND($D150&lt;BJ$5+7,$E150&gt;BJ$5),"■","")))</x:f>
      </x:c>
      <x:c r="BK150" s="7" t="str">
        <x:f>IF(OR($D150="",BK$5="",'상세일정'!AM150="제외"),"",IF($D150=$E150,IF(AND($D150&gt;=BK$5,$D150&lt;BK$5+7),"◆",""),IF(AND($D150&lt;BK$5+7,$E150&gt;BK$5),"■","")))</x:f>
      </x:c>
      <x:c r="BL150" s="7" t="str">
        <x:f>IF(OR($D150="",BL$5="",'상세일정'!AM150="제외"),"",IF($D150=$E150,IF(AND($D150&gt;=BL$5,$D150&lt;BL$5+7),"◆",""),IF(AND($D150&lt;BL$5+7,$E150&gt;BL$5),"■","")))</x:f>
      </x:c>
      <x:c r="BM150" s="7" t="str">
        <x:f>IF(OR($D150="",BM$5="",'상세일정'!AM150="제외"),"",IF($D150=$E150,IF(AND($D150&gt;=BM$5,$D150&lt;BM$5+7),"◆",""),IF(AND($D150&lt;BM$5+7,$E150&gt;BM$5),"■","")))</x:f>
      </x:c>
      <x:c r="BN150" s="7" t="str">
        <x:f>IF(OR($D150="",BN$5="",'상세일정'!AM150="제외"),"",IF($D150=$E150,IF(AND($D150&gt;=BN$5,$D150&lt;BN$5+7),"◆",""),IF(AND($D150&lt;BN$5+7,$E150&gt;BN$5),"■","")))</x:f>
      </x:c>
      <x:c r="BO150" s="7" t="str">
        <x:f>IF(OR($D150="",BO$5="",'상세일정'!AM150="제외"),"",IF($D150=$E150,IF(AND($D150&gt;=BO$5,$D150&lt;BO$5+7),"◆",""),IF(AND($D150&lt;BO$5+7,$E150&gt;BO$5),"■","")))</x:f>
      </x:c>
      <x:c r="BP150" s="7" t="str">
        <x:f>IF(OR($D150="",BP$5="",'상세일정'!AM150="제외"),"",IF($D150=$E150,IF(AND($D150&gt;=BP$5,$D150&lt;BP$5+7),"◆",""),IF(AND($D150&lt;BP$5+7,$E150&gt;BP$5),"■","")))</x:f>
      </x:c>
      <x:c r="BQ150" s="7" t="str">
        <x:f>IF(OR($D150="",BQ$5="",'상세일정'!AM150="제외"),"",IF($D150=$E150,IF(AND($D150&gt;=BQ$5,$D150&lt;BQ$5+7),"◆",""),IF(AND($D150&lt;BQ$5+7,$E150&gt;BQ$5),"■","")))</x:f>
      </x:c>
      <x:c r="BR150" s="7" t="str">
        <x:f>IF(OR($D150="",BR$5="",'상세일정'!AM150="제외"),"",IF($D150=$E150,IF(AND($D150&gt;=BR$5,$D150&lt;BR$5+7),"◆",""),IF(AND($D150&lt;BR$5+7,$E150&gt;BR$5),"■","")))</x:f>
      </x:c>
      <x:c r="BS150" s="7" t="str">
        <x:f>IF(OR($D150="",BS$5="",'상세일정'!AM150="제외"),"",IF($D150=$E150,IF(AND($D150&gt;=BS$5,$D150&lt;BS$5+7),"◆",""),IF(AND($D150&lt;BS$5+7,$E150&gt;BS$5),"■","")))</x:f>
      </x:c>
      <x:c r="BT150" s="7" t="str">
        <x:f>IF(OR($D150="",BT$5="",'상세일정'!AM150="제외"),"",IF($D150=$E150,IF(AND($D150&gt;=BT$5,$D150&lt;BT$5+7),"◆",""),IF(AND($D150&lt;BT$5+7,$E150&gt;BT$5),"■","")))</x:f>
      </x:c>
      <x:c r="BU150" s="7" t="str">
        <x:f>IF(OR($D150="",BU$5="",'상세일정'!AM150="제외"),"",IF($D150=$E150,IF(AND($D150&gt;=BU$5,$D150&lt;BU$5+7),"◆",""),IF(AND($D150&lt;BU$5+7,$E150&gt;BU$5),"■","")))</x:f>
      </x:c>
      <x:c r="BV150" s="7" t="str">
        <x:f>IF(OR($D150="",BV$5="",'상세일정'!AM150="제외"),"",IF($D150=$E150,IF(AND($D150&gt;=BV$5,$D150&lt;BV$5+7),"◆",""),IF(AND($D150&lt;BV$5+7,$E150&gt;BV$5),"■","")))</x:f>
      </x:c>
      <x:c r="BW150" s="7" t="str">
        <x:f>IF(OR($D150="",BW$5="",'상세일정'!AM150="제외"),"",IF($D150=$E150,IF(AND($D150&gt;=BW$5,$D150&lt;BW$5+7),"◆",""),IF(AND($D150&lt;BW$5+7,$E150&gt;BW$5),"■","")))</x:f>
      </x:c>
      <x:c r="BX150" s="7" t="str">
        <x:f>IF(OR($D150="",BX$5="",'상세일정'!AM150="제외"),"",IF($D150=$E150,IF(AND($D150&gt;=BX$5,$D150&lt;BX$5+7),"◆",""),IF(AND($D150&lt;BX$5+7,$E150&gt;BX$5),"■","")))</x:f>
      </x:c>
      <x:c r="BY150" s="7" t="str">
        <x:f>IF(OR($D150="",BY$5="",'상세일정'!AM150="제외"),"",IF($D150=$E150,IF(AND($D150&gt;=BY$5,$D150&lt;BY$5+7),"◆",""),IF(AND($D150&lt;BY$5+7,$E150&gt;BY$5),"■","")))</x:f>
      </x:c>
      <x:c r="BZ150" s="7" t="str">
        <x:f>IF(OR($D150="",BZ$5="",'상세일정'!AM150="제외"),"",IF($D150=$E150,IF(AND($D150&gt;=BZ$5,$D150&lt;BZ$5+7),"◆",""),IF(AND($D150&lt;BZ$5+7,$E150&gt;BZ$5),"■","")))</x:f>
      </x:c>
      <x:c r="CA150" s="7" t="str">
        <x:f>IF(OR($D150="",CA$5="",'상세일정'!AM150="제외"),"",IF($D150=$E150,IF(AND($D150&gt;=CA$5,$D150&lt;CA$5+7),"◆",""),IF(AND($D150&lt;CA$5+7,$E150&gt;CA$5),"■","")))</x:f>
      </x:c>
      <x:c r="CB150" s="7" t="str">
        <x:f>IF(OR($D150="",CB$5="",'상세일정'!AM150="제외"),"",IF($D150=$E150,IF(AND($D150&gt;=CB$5,$D150&lt;CB$5+7),"◆",""),IF(AND($D150&lt;CB$5+7,$E150&gt;CB$5),"■","")))</x:f>
      </x:c>
      <x:c r="CC150" s="7" t="str">
        <x:f>IF(OR($D150="",CC$5="",'상세일정'!AM150="제외"),"",IF($D150=$E150,IF(AND($D150&gt;=CC$5,$D150&lt;CC$5+7),"◆",""),IF(AND($D150&lt;CC$5+7,$E150&gt;CC$5),"■","")))</x:f>
      </x:c>
      <x:c r="CD150" s="7" t="str">
        <x:f>IF(OR($D150="",CD$5="",'상세일정'!AM150="제외"),"",IF($D150=$E150,IF(AND($D150&gt;=CD$5,$D150&lt;CD$5+7),"◆",""),IF(AND($D150&lt;CD$5+7,$E150&gt;CD$5),"■","")))</x:f>
      </x:c>
      <x:c r="CE150" s="7" t="str">
        <x:f>IF(OR($D150="",CE$5="",'상세일정'!AM150="제외"),"",IF($D150=$E150,IF(AND($D150&gt;=CE$5,$D150&lt;CE$5+7),"◆",""),IF(AND($D150&lt;CE$5+7,$E150&gt;CE$5),"■","")))</x:f>
      </x:c>
      <x:c r="CF150" s="7" t="str">
        <x:f>IF(OR($D150="",CF$5="",'상세일정'!AM150="제외"),"",IF($D150=$E150,IF(AND($D150&gt;=CF$5,$D150&lt;CF$5+7),"◆",""),IF(AND($D150&lt;CF$5+7,$E150&gt;CF$5),"■","")))</x:f>
      </x:c>
      <x:c r="CG150" s="7" t="str">
        <x:f>IF(OR($D150="",CG$5="",'상세일정'!AM150="제외"),"",IF($D150=$E150,IF(AND($D150&gt;=CG$5,$D150&lt;CG$5+7),"◆",""),IF(AND($D150&lt;CG$5+7,$E150&gt;CG$5),"■","")))</x:f>
      </x:c>
      <x:c r="CH150" s="7" t="str">
        <x:f>IF(OR($D150="",CH$5="",'상세일정'!AM150="제외"),"",IF($D150=$E150,IF(AND($D150&gt;=CH$5,$D150&lt;CH$5+7),"◆",""),IF(AND($D150&lt;CH$5+7,$E150&gt;CH$5),"■","")))</x:f>
      </x:c>
      <x:c r="CI150" s="7" t="str">
        <x:f>IF(OR($D150="",CI$5="",'상세일정'!AM150="제외"),"",IF($D150=$E150,IF(AND($D150&gt;=CI$5,$D150&lt;CI$5+7),"◆",""),IF(AND($D150&lt;CI$5+7,$E150&gt;CI$5),"■","")))</x:f>
      </x:c>
      <x:c r="CJ150" s="7" t="str">
        <x:f>IF(OR($D150="",CJ$5="",'상세일정'!AM150="제외"),"",IF($D150=$E150,IF(AND($D150&gt;=CJ$5,$D150&lt;CJ$5+7),"◆",""),IF(AND($D150&lt;CJ$5+7,$E150&gt;CJ$5),"■","")))</x:f>
      </x:c>
      <x:c r="CK150" s="7" t="str">
        <x:f>IF(OR($D150="",CK$5="",'상세일정'!AM150="제외"),"",IF($D150=$E150,IF(AND($D150&gt;=CK$5,$D150&lt;CK$5+7),"◆",""),IF(AND($D150&lt;CK$5+7,$E150&gt;CK$5),"■","")))</x:f>
      </x:c>
      <x:c r="CL150" s="7" t="str">
        <x:f>IF(OR($D150="",CL$5="",'상세일정'!AM150="제외"),"",IF($D150=$E150,IF(AND($D150&gt;=CL$5,$D150&lt;CL$5+7),"◆",""),IF(AND($D150&lt;CL$5+7,$E150&gt;CL$5),"■","")))</x:f>
      </x:c>
      <x:c r="CM150" s="7" t="str">
        <x:f>IF(OR($D150="",CM$5="",'상세일정'!AM150="제외"),"",IF($D150=$E150,IF(AND($D150&gt;=CM$5,$D150&lt;CM$5+7),"◆",""),IF(AND($D150&lt;CM$5+7,$E150&gt;CM$5),"■","")))</x:f>
      </x:c>
      <x:c r="CN150" s="7" t="str">
        <x:f>IF(OR($D150="",CN$5="",'상세일정'!AM150="제외"),"",IF($D150=$E150,IF(AND($D150&gt;=CN$5,$D150&lt;CN$5+7),"◆",""),IF(AND($D150&lt;CN$5+7,$E150&gt;CN$5),"■","")))</x:f>
      </x:c>
      <x:c r="CO150" s="7" t="str">
        <x:f>IF(OR($D150="",CO$5="",'상세일정'!AM150="제외"),"",IF($D150=$E150,IF(AND($D150&gt;=CO$5,$D150&lt;CO$5+7),"◆",""),IF(AND($D150&lt;CO$5+7,$E150&gt;CO$5),"■","")))</x:f>
      </x:c>
      <x:c r="CP150" s="7" t="str">
        <x:f>IF(OR($D150="",CP$5="",'상세일정'!AM150="제외"),"",IF($D150=$E150,IF(AND($D150&gt;=CP$5,$D150&lt;CP$5+7),"◆",""),IF(AND($D150&lt;CP$5+7,$E150&gt;CP$5),"■","")))</x:f>
      </x:c>
      <x:c r="CQ150" s="7" t="str">
        <x:f>IF(OR($D150="",CQ$5="",'상세일정'!AM150="제외"),"",IF($D150=$E150,IF(AND($D150&gt;=CQ$5,$D150&lt;CQ$5+7),"◆",""),IF(AND($D150&lt;CQ$5+7,$E150&gt;CQ$5),"■","")))</x:f>
      </x:c>
      <x:c r="CR150" s="7" t="str">
        <x:f>IF(OR($D150="",CR$5="",'상세일정'!AM150="제외"),"",IF($D150=$E150,IF(AND($D150&gt;=CR$5,$D150&lt;CR$5+7),"◆",""),IF(AND($D150&lt;CR$5+7,$E150&gt;CR$5),"■","")))</x:f>
      </x:c>
      <x:c r="CS150" s="7" t="str">
        <x:f>IF(OR($D150="",CS$5="",'상세일정'!AM150="제외"),"",IF($D150=$E150,IF(AND($D150&gt;=CS$5,$D150&lt;CS$5+7),"◆",""),IF(AND($D150&lt;CS$5+7,$E150&gt;CS$5),"■","")))</x:f>
      </x:c>
      <x:c r="CT150" s="7" t="str">
        <x:f>IF(OR($D150="",CT$5="",'상세일정'!AM150="제외"),"",IF($D150=$E150,IF(AND($D150&gt;=CT$5,$D150&lt;CT$5+7),"◆",""),IF(AND($D150&lt;CT$5+7,$E150&gt;CT$5),"■","")))</x:f>
      </x:c>
      <x:c r="CU150" s="7" t="str">
        <x:f>IF(OR($D150="",CU$5="",'상세일정'!AM150="제외"),"",IF($D150=$E150,IF(AND($D150&gt;=CU$5,$D150&lt;CU$5+7),"◆",""),IF(AND($D150&lt;CU$5+7,$E150&gt;CU$5),"■","")))</x:f>
      </x:c>
      <x:c r="CV150" s="7" t="str">
        <x:f>IF(OR($D150="",CV$5="",'상세일정'!AM150="제외"),"",IF($D150=$E150,IF(AND($D150&gt;=CV$5,$D150&lt;CV$5+7),"◆",""),IF(AND($D150&lt;CV$5+7,$E150&gt;CV$5),"■","")))</x:f>
      </x:c>
      <x:c r="CW150" s="7" t="str">
        <x:f>IF(OR($D150="",CW$5="",'상세일정'!AM150="제외"),"",IF($D150=$E150,IF(AND($D150&gt;=CW$5,$D150&lt;CW$5+7),"◆",""),IF(AND($D150&lt;CW$5+7,$E150&gt;CW$5),"■","")))</x:f>
      </x:c>
      <x:c r="CX150" s="7" t="str">
        <x:f>IF(OR($D150="",CX$5="",'상세일정'!AM150="제외"),"",IF($D150=$E150,IF(AND($D150&gt;=CX$5,$D150&lt;CX$5+7),"◆",""),IF(AND($D150&lt;CX$5+7,$E150&gt;CX$5),"■","")))</x:f>
      </x:c>
      <x:c r="CY150" s="7" t="str">
        <x:f>IF(OR($D150="",CY$5="",'상세일정'!AM150="제외"),"",IF($D150=$E150,IF(AND($D150&gt;=CY$5,$D150&lt;CY$5+7),"◆",""),IF(AND($D150&lt;CY$5+7,$E150&gt;CY$5),"■","")))</x:f>
      </x:c>
      <x:c r="CZ150" s="7" t="str">
        <x:f>IF(OR($D150="",CZ$5="",'상세일정'!AM150="제외"),"",IF($D150=$E150,IF(AND($D150&gt;=CZ$5,$D150&lt;CZ$5+7),"◆",""),IF(AND($D150&lt;CZ$5+7,$E150&gt;CZ$5),"■","")))</x:f>
      </x:c>
      <x:c r="DA150" s="7" t="str">
        <x:f>IF(OR($D150="",DA$5="",'상세일정'!AM150="제외"),"",IF($D150=$E150,IF(AND($D150&gt;=DA$5,$D150&lt;DA$5+7),"◆",""),IF(AND($D150&lt;DA$5+7,$E150&gt;DA$5),"■","")))</x:f>
      </x:c>
      <x:c r="DB150" s="7" t="str">
        <x:f>IF(OR($D150="",DB$5="",'상세일정'!AM150="제외"),"",IF($D150=$E150,IF(AND($D150&gt;=DB$5,$D150&lt;DB$5+7),"◆",""),IF(AND($D150&lt;DB$5+7,$E150&gt;DB$5),"■","")))</x:f>
      </x:c>
      <x:c r="DC150" s="7" t="str">
        <x:f>IF(OR($D150="",DC$5="",'상세일정'!AM150="제외"),"",IF($D150=$E150,IF(AND($D150&gt;=DC$5,$D150&lt;DC$5+7),"◆",""),IF(AND($D150&lt;DC$5+7,$E150&gt;DC$5),"■","")))</x:f>
      </x:c>
      <x:c r="DD150" s="7" t="str">
        <x:f>IF(OR($D150="",DD$5="",'상세일정'!AM150="제외"),"",IF($D150=$E150,IF(AND($D150&gt;=DD$5,$D150&lt;DD$5+7),"◆",""),IF(AND($D150&lt;DD$5+7,$E150&gt;DD$5),"■","")))</x:f>
      </x:c>
      <x:c r="DE150" s="7" t="str">
        <x:f>IF(OR($D150="",DE$5="",'상세일정'!AM150="제외"),"",IF($D150=$E150,IF(AND($D150&gt;=DE$5,$D150&lt;DE$5+7),"◆",""),IF(AND($D150&lt;DE$5+7,$E150&gt;DE$5),"■","")))</x:f>
      </x:c>
    </x:row>
    <x:row r="151" ht="34" customHeight="1">
      <x:c r="A151" s="7" t="str">
        <x:v>PN02</x:v>
      </x:c>
      <x:c r="B151" s="7" t="str">
        <x:v>16 기자재 구매·제작</x:v>
      </x:c>
      <x:c r="C151" s="7" t="str">
        <x:v>수배전반·제어반 견적/TBE·계약조건·납기 합의</x:v>
      </x:c>
      <x:c r="D151" s="10" t="str">
        <x:f>'상세일정'!AJ151</x:f>
      </x:c>
      <x:c r="E151" s="10" t="str">
        <x:f>'상세일정'!AK151</x:f>
      </x:c>
      <x:c r="F151" s="7" t="str">
        <x:f>IF(OR($D151="",F$5="",'상세일정'!AM151="제외"),"",IF($D151=$E151,IF(AND($D151&gt;=F$5,$D151&lt;F$5+7),"◆",""),IF(AND($D151&lt;F$5+7,$E151&gt;F$5),"■","")))</x:f>
      </x:c>
      <x:c r="G151" s="7" t="str">
        <x:f>IF(OR($D151="",G$5="",'상세일정'!AM151="제외"),"",IF($D151=$E151,IF(AND($D151&gt;=G$5,$D151&lt;G$5+7),"◆",""),IF(AND($D151&lt;G$5+7,$E151&gt;G$5),"■","")))</x:f>
      </x:c>
      <x:c r="H151" s="7" t="str">
        <x:f>IF(OR($D151="",H$5="",'상세일정'!AM151="제외"),"",IF($D151=$E151,IF(AND($D151&gt;=H$5,$D151&lt;H$5+7),"◆",""),IF(AND($D151&lt;H$5+7,$E151&gt;H$5),"■","")))</x:f>
      </x:c>
      <x:c r="I151" s="7" t="str">
        <x:f>IF(OR($D151="",I$5="",'상세일정'!AM151="제외"),"",IF($D151=$E151,IF(AND($D151&gt;=I$5,$D151&lt;I$5+7),"◆",""),IF(AND($D151&lt;I$5+7,$E151&gt;I$5),"■","")))</x:f>
      </x:c>
      <x:c r="J151" s="7" t="str">
        <x:f>IF(OR($D151="",J$5="",'상세일정'!AM151="제외"),"",IF($D151=$E151,IF(AND($D151&gt;=J$5,$D151&lt;J$5+7),"◆",""),IF(AND($D151&lt;J$5+7,$E151&gt;J$5),"■","")))</x:f>
      </x:c>
      <x:c r="K151" s="7" t="str">
        <x:f>IF(OR($D151="",K$5="",'상세일정'!AM151="제외"),"",IF($D151=$E151,IF(AND($D151&gt;=K$5,$D151&lt;K$5+7),"◆",""),IF(AND($D151&lt;K$5+7,$E151&gt;K$5),"■","")))</x:f>
      </x:c>
      <x:c r="L151" s="7" t="str">
        <x:f>IF(OR($D151="",L$5="",'상세일정'!AM151="제외"),"",IF($D151=$E151,IF(AND($D151&gt;=L$5,$D151&lt;L$5+7),"◆",""),IF(AND($D151&lt;L$5+7,$E151&gt;L$5),"■","")))</x:f>
      </x:c>
      <x:c r="M151" s="7" t="str">
        <x:f>IF(OR($D151="",M$5="",'상세일정'!AM151="제외"),"",IF($D151=$E151,IF(AND($D151&gt;=M$5,$D151&lt;M$5+7),"◆",""),IF(AND($D151&lt;M$5+7,$E151&gt;M$5),"■","")))</x:f>
      </x:c>
      <x:c r="N151" s="7" t="str">
        <x:f>IF(OR($D151="",N$5="",'상세일정'!AM151="제외"),"",IF($D151=$E151,IF(AND($D151&gt;=N$5,$D151&lt;N$5+7),"◆",""),IF(AND($D151&lt;N$5+7,$E151&gt;N$5),"■","")))</x:f>
      </x:c>
      <x:c r="O151" s="7" t="str">
        <x:f>IF(OR($D151="",O$5="",'상세일정'!AM151="제외"),"",IF($D151=$E151,IF(AND($D151&gt;=O$5,$D151&lt;O$5+7),"◆",""),IF(AND($D151&lt;O$5+7,$E151&gt;O$5),"■","")))</x:f>
      </x:c>
      <x:c r="P151" s="7" t="str">
        <x:f>IF(OR($D151="",P$5="",'상세일정'!AM151="제외"),"",IF($D151=$E151,IF(AND($D151&gt;=P$5,$D151&lt;P$5+7),"◆",""),IF(AND($D151&lt;P$5+7,$E151&gt;P$5),"■","")))</x:f>
      </x:c>
      <x:c r="Q151" s="7" t="str">
        <x:f>IF(OR($D151="",Q$5="",'상세일정'!AM151="제외"),"",IF($D151=$E151,IF(AND($D151&gt;=Q$5,$D151&lt;Q$5+7),"◆",""),IF(AND($D151&lt;Q$5+7,$E151&gt;Q$5),"■","")))</x:f>
      </x:c>
      <x:c r="R151" s="7" t="str">
        <x:f>IF(OR($D151="",R$5="",'상세일정'!AM151="제외"),"",IF($D151=$E151,IF(AND($D151&gt;=R$5,$D151&lt;R$5+7),"◆",""),IF(AND($D151&lt;R$5+7,$E151&gt;R$5),"■","")))</x:f>
      </x:c>
      <x:c r="S151" s="7" t="str">
        <x:f>IF(OR($D151="",S$5="",'상세일정'!AM151="제외"),"",IF($D151=$E151,IF(AND($D151&gt;=S$5,$D151&lt;S$5+7),"◆",""),IF(AND($D151&lt;S$5+7,$E151&gt;S$5),"■","")))</x:f>
      </x:c>
      <x:c r="T151" s="7" t="str">
        <x:f>IF(OR($D151="",T$5="",'상세일정'!AM151="제외"),"",IF($D151=$E151,IF(AND($D151&gt;=T$5,$D151&lt;T$5+7),"◆",""),IF(AND($D151&lt;T$5+7,$E151&gt;T$5),"■","")))</x:f>
      </x:c>
      <x:c r="U151" s="7" t="str">
        <x:f>IF(OR($D151="",U$5="",'상세일정'!AM151="제외"),"",IF($D151=$E151,IF(AND($D151&gt;=U$5,$D151&lt;U$5+7),"◆",""),IF(AND($D151&lt;U$5+7,$E151&gt;U$5),"■","")))</x:f>
      </x:c>
      <x:c r="V151" s="7" t="str">
        <x:f>IF(OR($D151="",V$5="",'상세일정'!AM151="제외"),"",IF($D151=$E151,IF(AND($D151&gt;=V$5,$D151&lt;V$5+7),"◆",""),IF(AND($D151&lt;V$5+7,$E151&gt;V$5),"■","")))</x:f>
      </x:c>
      <x:c r="W151" s="7" t="str">
        <x:f>IF(OR($D151="",W$5="",'상세일정'!AM151="제외"),"",IF($D151=$E151,IF(AND($D151&gt;=W$5,$D151&lt;W$5+7),"◆",""),IF(AND($D151&lt;W$5+7,$E151&gt;W$5),"■","")))</x:f>
      </x:c>
      <x:c r="X151" s="7" t="str">
        <x:f>IF(OR($D151="",X$5="",'상세일정'!AM151="제외"),"",IF($D151=$E151,IF(AND($D151&gt;=X$5,$D151&lt;X$5+7),"◆",""),IF(AND($D151&lt;X$5+7,$E151&gt;X$5),"■","")))</x:f>
      </x:c>
      <x:c r="Y151" s="7" t="str">
        <x:f>IF(OR($D151="",Y$5="",'상세일정'!AM151="제외"),"",IF($D151=$E151,IF(AND($D151&gt;=Y$5,$D151&lt;Y$5+7),"◆",""),IF(AND($D151&lt;Y$5+7,$E151&gt;Y$5),"■","")))</x:f>
      </x:c>
      <x:c r="Z151" s="7" t="str">
        <x:f>IF(OR($D151="",Z$5="",'상세일정'!AM151="제외"),"",IF($D151=$E151,IF(AND($D151&gt;=Z$5,$D151&lt;Z$5+7),"◆",""),IF(AND($D151&lt;Z$5+7,$E151&gt;Z$5),"■","")))</x:f>
      </x:c>
      <x:c r="AA151" s="7" t="str">
        <x:f>IF(OR($D151="",AA$5="",'상세일정'!AM151="제외"),"",IF($D151=$E151,IF(AND($D151&gt;=AA$5,$D151&lt;AA$5+7),"◆",""),IF(AND($D151&lt;AA$5+7,$E151&gt;AA$5),"■","")))</x:f>
      </x:c>
      <x:c r="AB151" s="7" t="str">
        <x:f>IF(OR($D151="",AB$5="",'상세일정'!AM151="제외"),"",IF($D151=$E151,IF(AND($D151&gt;=AB$5,$D151&lt;AB$5+7),"◆",""),IF(AND($D151&lt;AB$5+7,$E151&gt;AB$5),"■","")))</x:f>
      </x:c>
      <x:c r="AC151" s="7" t="str">
        <x:f>IF(OR($D151="",AC$5="",'상세일정'!AM151="제외"),"",IF($D151=$E151,IF(AND($D151&gt;=AC$5,$D151&lt;AC$5+7),"◆",""),IF(AND($D151&lt;AC$5+7,$E151&gt;AC$5),"■","")))</x:f>
      </x:c>
      <x:c r="AD151" s="7" t="str">
        <x:f>IF(OR($D151="",AD$5="",'상세일정'!AM151="제외"),"",IF($D151=$E151,IF(AND($D151&gt;=AD$5,$D151&lt;AD$5+7),"◆",""),IF(AND($D151&lt;AD$5+7,$E151&gt;AD$5),"■","")))</x:f>
      </x:c>
      <x:c r="AE151" s="7" t="str">
        <x:f>IF(OR($D151="",AE$5="",'상세일정'!AM151="제외"),"",IF($D151=$E151,IF(AND($D151&gt;=AE$5,$D151&lt;AE$5+7),"◆",""),IF(AND($D151&lt;AE$5+7,$E151&gt;AE$5),"■","")))</x:f>
      </x:c>
      <x:c r="AF151" s="7" t="str">
        <x:f>IF(OR($D151="",AF$5="",'상세일정'!AM151="제외"),"",IF($D151=$E151,IF(AND($D151&gt;=AF$5,$D151&lt;AF$5+7),"◆",""),IF(AND($D151&lt;AF$5+7,$E151&gt;AF$5),"■","")))</x:f>
      </x:c>
      <x:c r="AG151" s="7" t="str">
        <x:f>IF(OR($D151="",AG$5="",'상세일정'!AM151="제외"),"",IF($D151=$E151,IF(AND($D151&gt;=AG$5,$D151&lt;AG$5+7),"◆",""),IF(AND($D151&lt;AG$5+7,$E151&gt;AG$5),"■","")))</x:f>
      </x:c>
      <x:c r="AH151" s="7" t="str">
        <x:f>IF(OR($D151="",AH$5="",'상세일정'!AM151="제외"),"",IF($D151=$E151,IF(AND($D151&gt;=AH$5,$D151&lt;AH$5+7),"◆",""),IF(AND($D151&lt;AH$5+7,$E151&gt;AH$5),"■","")))</x:f>
      </x:c>
      <x:c r="AI151" s="7" t="str">
        <x:f>IF(OR($D151="",AI$5="",'상세일정'!AM151="제외"),"",IF($D151=$E151,IF(AND($D151&gt;=AI$5,$D151&lt;AI$5+7),"◆",""),IF(AND($D151&lt;AI$5+7,$E151&gt;AI$5),"■","")))</x:f>
      </x:c>
      <x:c r="AJ151" s="7" t="str">
        <x:f>IF(OR($D151="",AJ$5="",'상세일정'!AM151="제외"),"",IF($D151=$E151,IF(AND($D151&gt;=AJ$5,$D151&lt;AJ$5+7),"◆",""),IF(AND($D151&lt;AJ$5+7,$E151&gt;AJ$5),"■","")))</x:f>
      </x:c>
      <x:c r="AK151" s="7" t="str">
        <x:f>IF(OR($D151="",AK$5="",'상세일정'!AM151="제외"),"",IF($D151=$E151,IF(AND($D151&gt;=AK$5,$D151&lt;AK$5+7),"◆",""),IF(AND($D151&lt;AK$5+7,$E151&gt;AK$5),"■","")))</x:f>
      </x:c>
      <x:c r="AL151" s="7" t="str">
        <x:f>IF(OR($D151="",AL$5="",'상세일정'!AM151="제외"),"",IF($D151=$E151,IF(AND($D151&gt;=AL$5,$D151&lt;AL$5+7),"◆",""),IF(AND($D151&lt;AL$5+7,$E151&gt;AL$5),"■","")))</x:f>
      </x:c>
      <x:c r="AM151" s="7" t="str">
        <x:f>IF(OR($D151="",AM$5="",'상세일정'!AM151="제외"),"",IF($D151=$E151,IF(AND($D151&gt;=AM$5,$D151&lt;AM$5+7),"◆",""),IF(AND($D151&lt;AM$5+7,$E151&gt;AM$5),"■","")))</x:f>
      </x:c>
      <x:c r="AN151" s="7" t="str">
        <x:f>IF(OR($D151="",AN$5="",'상세일정'!AM151="제외"),"",IF($D151=$E151,IF(AND($D151&gt;=AN$5,$D151&lt;AN$5+7),"◆",""),IF(AND($D151&lt;AN$5+7,$E151&gt;AN$5),"■","")))</x:f>
      </x:c>
      <x:c r="AO151" s="7" t="str">
        <x:f>IF(OR($D151="",AO$5="",'상세일정'!AM151="제외"),"",IF($D151=$E151,IF(AND($D151&gt;=AO$5,$D151&lt;AO$5+7),"◆",""),IF(AND($D151&lt;AO$5+7,$E151&gt;AO$5),"■","")))</x:f>
      </x:c>
      <x:c r="AP151" s="7" t="str">
        <x:f>IF(OR($D151="",AP$5="",'상세일정'!AM151="제외"),"",IF($D151=$E151,IF(AND($D151&gt;=AP$5,$D151&lt;AP$5+7),"◆",""),IF(AND($D151&lt;AP$5+7,$E151&gt;AP$5),"■","")))</x:f>
      </x:c>
      <x:c r="AQ151" s="7" t="str">
        <x:f>IF(OR($D151="",AQ$5="",'상세일정'!AM151="제외"),"",IF($D151=$E151,IF(AND($D151&gt;=AQ$5,$D151&lt;AQ$5+7),"◆",""),IF(AND($D151&lt;AQ$5+7,$E151&gt;AQ$5),"■","")))</x:f>
      </x:c>
      <x:c r="AR151" s="7" t="str">
        <x:f>IF(OR($D151="",AR$5="",'상세일정'!AM151="제외"),"",IF($D151=$E151,IF(AND($D151&gt;=AR$5,$D151&lt;AR$5+7),"◆",""),IF(AND($D151&lt;AR$5+7,$E151&gt;AR$5),"■","")))</x:f>
      </x:c>
      <x:c r="AS151" s="7" t="str">
        <x:f>IF(OR($D151="",AS$5="",'상세일정'!AM151="제외"),"",IF($D151=$E151,IF(AND($D151&gt;=AS$5,$D151&lt;AS$5+7),"◆",""),IF(AND($D151&lt;AS$5+7,$E151&gt;AS$5),"■","")))</x:f>
      </x:c>
      <x:c r="AT151" s="7" t="str">
        <x:f>IF(OR($D151="",AT$5="",'상세일정'!AM151="제외"),"",IF($D151=$E151,IF(AND($D151&gt;=AT$5,$D151&lt;AT$5+7),"◆",""),IF(AND($D151&lt;AT$5+7,$E151&gt;AT$5),"■","")))</x:f>
      </x:c>
      <x:c r="AU151" s="7" t="str">
        <x:f>IF(OR($D151="",AU$5="",'상세일정'!AM151="제외"),"",IF($D151=$E151,IF(AND($D151&gt;=AU$5,$D151&lt;AU$5+7),"◆",""),IF(AND($D151&lt;AU$5+7,$E151&gt;AU$5),"■","")))</x:f>
      </x:c>
      <x:c r="AV151" s="7" t="str">
        <x:f>IF(OR($D151="",AV$5="",'상세일정'!AM151="제외"),"",IF($D151=$E151,IF(AND($D151&gt;=AV$5,$D151&lt;AV$5+7),"◆",""),IF(AND($D151&lt;AV$5+7,$E151&gt;AV$5),"■","")))</x:f>
      </x:c>
      <x:c r="AW151" s="7" t="str">
        <x:f>IF(OR($D151="",AW$5="",'상세일정'!AM151="제외"),"",IF($D151=$E151,IF(AND($D151&gt;=AW$5,$D151&lt;AW$5+7),"◆",""),IF(AND($D151&lt;AW$5+7,$E151&gt;AW$5),"■","")))</x:f>
      </x:c>
      <x:c r="AX151" s="7" t="str">
        <x:f>IF(OR($D151="",AX$5="",'상세일정'!AM151="제외"),"",IF($D151=$E151,IF(AND($D151&gt;=AX$5,$D151&lt;AX$5+7),"◆",""),IF(AND($D151&lt;AX$5+7,$E151&gt;AX$5),"■","")))</x:f>
      </x:c>
      <x:c r="AY151" s="7" t="str">
        <x:f>IF(OR($D151="",AY$5="",'상세일정'!AM151="제외"),"",IF($D151=$E151,IF(AND($D151&gt;=AY$5,$D151&lt;AY$5+7),"◆",""),IF(AND($D151&lt;AY$5+7,$E151&gt;AY$5),"■","")))</x:f>
      </x:c>
      <x:c r="AZ151" s="7" t="str">
        <x:f>IF(OR($D151="",AZ$5="",'상세일정'!AM151="제외"),"",IF($D151=$E151,IF(AND($D151&gt;=AZ$5,$D151&lt;AZ$5+7),"◆",""),IF(AND($D151&lt;AZ$5+7,$E151&gt;AZ$5),"■","")))</x:f>
      </x:c>
      <x:c r="BA151" s="7" t="str">
        <x:f>IF(OR($D151="",BA$5="",'상세일정'!AM151="제외"),"",IF($D151=$E151,IF(AND($D151&gt;=BA$5,$D151&lt;BA$5+7),"◆",""),IF(AND($D151&lt;BA$5+7,$E151&gt;BA$5),"■","")))</x:f>
      </x:c>
      <x:c r="BB151" s="7" t="str">
        <x:f>IF(OR($D151="",BB$5="",'상세일정'!AM151="제외"),"",IF($D151=$E151,IF(AND($D151&gt;=BB$5,$D151&lt;BB$5+7),"◆",""),IF(AND($D151&lt;BB$5+7,$E151&gt;BB$5),"■","")))</x:f>
      </x:c>
      <x:c r="BC151" s="7" t="str">
        <x:f>IF(OR($D151="",BC$5="",'상세일정'!AM151="제외"),"",IF($D151=$E151,IF(AND($D151&gt;=BC$5,$D151&lt;BC$5+7),"◆",""),IF(AND($D151&lt;BC$5+7,$E151&gt;BC$5),"■","")))</x:f>
      </x:c>
      <x:c r="BD151" s="7" t="str">
        <x:f>IF(OR($D151="",BD$5="",'상세일정'!AM151="제외"),"",IF($D151=$E151,IF(AND($D151&gt;=BD$5,$D151&lt;BD$5+7),"◆",""),IF(AND($D151&lt;BD$5+7,$E151&gt;BD$5),"■","")))</x:f>
      </x:c>
      <x:c r="BE151" s="7" t="str">
        <x:f>IF(OR($D151="",BE$5="",'상세일정'!AM151="제외"),"",IF($D151=$E151,IF(AND($D151&gt;=BE$5,$D151&lt;BE$5+7),"◆",""),IF(AND($D151&lt;BE$5+7,$E151&gt;BE$5),"■","")))</x:f>
      </x:c>
      <x:c r="BF151" s="7" t="str">
        <x:f>IF(OR($D151="",BF$5="",'상세일정'!AM151="제외"),"",IF($D151=$E151,IF(AND($D151&gt;=BF$5,$D151&lt;BF$5+7),"◆",""),IF(AND($D151&lt;BF$5+7,$E151&gt;BF$5),"■","")))</x:f>
      </x:c>
      <x:c r="BG151" s="7" t="str">
        <x:f>IF(OR($D151="",BG$5="",'상세일정'!AM151="제외"),"",IF($D151=$E151,IF(AND($D151&gt;=BG$5,$D151&lt;BG$5+7),"◆",""),IF(AND($D151&lt;BG$5+7,$E151&gt;BG$5),"■","")))</x:f>
      </x:c>
      <x:c r="BH151" s="7" t="str">
        <x:f>IF(OR($D151="",BH$5="",'상세일정'!AM151="제외"),"",IF($D151=$E151,IF(AND($D151&gt;=BH$5,$D151&lt;BH$5+7),"◆",""),IF(AND($D151&lt;BH$5+7,$E151&gt;BH$5),"■","")))</x:f>
      </x:c>
      <x:c r="BI151" s="7" t="str">
        <x:f>IF(OR($D151="",BI$5="",'상세일정'!AM151="제외"),"",IF($D151=$E151,IF(AND($D151&gt;=BI$5,$D151&lt;BI$5+7),"◆",""),IF(AND($D151&lt;BI$5+7,$E151&gt;BI$5),"■","")))</x:f>
      </x:c>
      <x:c r="BJ151" s="7" t="str">
        <x:f>IF(OR($D151="",BJ$5="",'상세일정'!AM151="제외"),"",IF($D151=$E151,IF(AND($D151&gt;=BJ$5,$D151&lt;BJ$5+7),"◆",""),IF(AND($D151&lt;BJ$5+7,$E151&gt;BJ$5),"■","")))</x:f>
      </x:c>
      <x:c r="BK151" s="7" t="str">
        <x:f>IF(OR($D151="",BK$5="",'상세일정'!AM151="제외"),"",IF($D151=$E151,IF(AND($D151&gt;=BK$5,$D151&lt;BK$5+7),"◆",""),IF(AND($D151&lt;BK$5+7,$E151&gt;BK$5),"■","")))</x:f>
      </x:c>
      <x:c r="BL151" s="7" t="str">
        <x:f>IF(OR($D151="",BL$5="",'상세일정'!AM151="제외"),"",IF($D151=$E151,IF(AND($D151&gt;=BL$5,$D151&lt;BL$5+7),"◆",""),IF(AND($D151&lt;BL$5+7,$E151&gt;BL$5),"■","")))</x:f>
      </x:c>
      <x:c r="BM151" s="7" t="str">
        <x:f>IF(OR($D151="",BM$5="",'상세일정'!AM151="제외"),"",IF($D151=$E151,IF(AND($D151&gt;=BM$5,$D151&lt;BM$5+7),"◆",""),IF(AND($D151&lt;BM$5+7,$E151&gt;BM$5),"■","")))</x:f>
      </x:c>
      <x:c r="BN151" s="7" t="str">
        <x:f>IF(OR($D151="",BN$5="",'상세일정'!AM151="제외"),"",IF($D151=$E151,IF(AND($D151&gt;=BN$5,$D151&lt;BN$5+7),"◆",""),IF(AND($D151&lt;BN$5+7,$E151&gt;BN$5),"■","")))</x:f>
      </x:c>
      <x:c r="BO151" s="7" t="str">
        <x:f>IF(OR($D151="",BO$5="",'상세일정'!AM151="제외"),"",IF($D151=$E151,IF(AND($D151&gt;=BO$5,$D151&lt;BO$5+7),"◆",""),IF(AND($D151&lt;BO$5+7,$E151&gt;BO$5),"■","")))</x:f>
      </x:c>
      <x:c r="BP151" s="7" t="str">
        <x:f>IF(OR($D151="",BP$5="",'상세일정'!AM151="제외"),"",IF($D151=$E151,IF(AND($D151&gt;=BP$5,$D151&lt;BP$5+7),"◆",""),IF(AND($D151&lt;BP$5+7,$E151&gt;BP$5),"■","")))</x:f>
      </x:c>
      <x:c r="BQ151" s="7" t="str">
        <x:f>IF(OR($D151="",BQ$5="",'상세일정'!AM151="제외"),"",IF($D151=$E151,IF(AND($D151&gt;=BQ$5,$D151&lt;BQ$5+7),"◆",""),IF(AND($D151&lt;BQ$5+7,$E151&gt;BQ$5),"■","")))</x:f>
      </x:c>
      <x:c r="BR151" s="7" t="str">
        <x:f>IF(OR($D151="",BR$5="",'상세일정'!AM151="제외"),"",IF($D151=$E151,IF(AND($D151&gt;=BR$5,$D151&lt;BR$5+7),"◆",""),IF(AND($D151&lt;BR$5+7,$E151&gt;BR$5),"■","")))</x:f>
      </x:c>
      <x:c r="BS151" s="7" t="str">
        <x:f>IF(OR($D151="",BS$5="",'상세일정'!AM151="제외"),"",IF($D151=$E151,IF(AND($D151&gt;=BS$5,$D151&lt;BS$5+7),"◆",""),IF(AND($D151&lt;BS$5+7,$E151&gt;BS$5),"■","")))</x:f>
      </x:c>
      <x:c r="BT151" s="7" t="str">
        <x:f>IF(OR($D151="",BT$5="",'상세일정'!AM151="제외"),"",IF($D151=$E151,IF(AND($D151&gt;=BT$5,$D151&lt;BT$5+7),"◆",""),IF(AND($D151&lt;BT$5+7,$E151&gt;BT$5),"■","")))</x:f>
      </x:c>
      <x:c r="BU151" s="7" t="str">
        <x:f>IF(OR($D151="",BU$5="",'상세일정'!AM151="제외"),"",IF($D151=$E151,IF(AND($D151&gt;=BU$5,$D151&lt;BU$5+7),"◆",""),IF(AND($D151&lt;BU$5+7,$E151&gt;BU$5),"■","")))</x:f>
      </x:c>
      <x:c r="BV151" s="7" t="str">
        <x:f>IF(OR($D151="",BV$5="",'상세일정'!AM151="제외"),"",IF($D151=$E151,IF(AND($D151&gt;=BV$5,$D151&lt;BV$5+7),"◆",""),IF(AND($D151&lt;BV$5+7,$E151&gt;BV$5),"■","")))</x:f>
      </x:c>
      <x:c r="BW151" s="7" t="str">
        <x:f>IF(OR($D151="",BW$5="",'상세일정'!AM151="제외"),"",IF($D151=$E151,IF(AND($D151&gt;=BW$5,$D151&lt;BW$5+7),"◆",""),IF(AND($D151&lt;BW$5+7,$E151&gt;BW$5),"■","")))</x:f>
      </x:c>
      <x:c r="BX151" s="7" t="str">
        <x:f>IF(OR($D151="",BX$5="",'상세일정'!AM151="제외"),"",IF($D151=$E151,IF(AND($D151&gt;=BX$5,$D151&lt;BX$5+7),"◆",""),IF(AND($D151&lt;BX$5+7,$E151&gt;BX$5),"■","")))</x:f>
      </x:c>
      <x:c r="BY151" s="7" t="str">
        <x:f>IF(OR($D151="",BY$5="",'상세일정'!AM151="제외"),"",IF($D151=$E151,IF(AND($D151&gt;=BY$5,$D151&lt;BY$5+7),"◆",""),IF(AND($D151&lt;BY$5+7,$E151&gt;BY$5),"■","")))</x:f>
      </x:c>
      <x:c r="BZ151" s="7" t="str">
        <x:f>IF(OR($D151="",BZ$5="",'상세일정'!AM151="제외"),"",IF($D151=$E151,IF(AND($D151&gt;=BZ$5,$D151&lt;BZ$5+7),"◆",""),IF(AND($D151&lt;BZ$5+7,$E151&gt;BZ$5),"■","")))</x:f>
      </x:c>
      <x:c r="CA151" s="7" t="str">
        <x:f>IF(OR($D151="",CA$5="",'상세일정'!AM151="제외"),"",IF($D151=$E151,IF(AND($D151&gt;=CA$5,$D151&lt;CA$5+7),"◆",""),IF(AND($D151&lt;CA$5+7,$E151&gt;CA$5),"■","")))</x:f>
      </x:c>
      <x:c r="CB151" s="7" t="str">
        <x:f>IF(OR($D151="",CB$5="",'상세일정'!AM151="제외"),"",IF($D151=$E151,IF(AND($D151&gt;=CB$5,$D151&lt;CB$5+7),"◆",""),IF(AND($D151&lt;CB$5+7,$E151&gt;CB$5),"■","")))</x:f>
      </x:c>
      <x:c r="CC151" s="7" t="str">
        <x:f>IF(OR($D151="",CC$5="",'상세일정'!AM151="제외"),"",IF($D151=$E151,IF(AND($D151&gt;=CC$5,$D151&lt;CC$5+7),"◆",""),IF(AND($D151&lt;CC$5+7,$E151&gt;CC$5),"■","")))</x:f>
      </x:c>
      <x:c r="CD151" s="7" t="str">
        <x:f>IF(OR($D151="",CD$5="",'상세일정'!AM151="제외"),"",IF($D151=$E151,IF(AND($D151&gt;=CD$5,$D151&lt;CD$5+7),"◆",""),IF(AND($D151&lt;CD$5+7,$E151&gt;CD$5),"■","")))</x:f>
      </x:c>
      <x:c r="CE151" s="7" t="str">
        <x:f>IF(OR($D151="",CE$5="",'상세일정'!AM151="제외"),"",IF($D151=$E151,IF(AND($D151&gt;=CE$5,$D151&lt;CE$5+7),"◆",""),IF(AND($D151&lt;CE$5+7,$E151&gt;CE$5),"■","")))</x:f>
      </x:c>
      <x:c r="CF151" s="7" t="str">
        <x:f>IF(OR($D151="",CF$5="",'상세일정'!AM151="제외"),"",IF($D151=$E151,IF(AND($D151&gt;=CF$5,$D151&lt;CF$5+7),"◆",""),IF(AND($D151&lt;CF$5+7,$E151&gt;CF$5),"■","")))</x:f>
      </x:c>
      <x:c r="CG151" s="7" t="str">
        <x:f>IF(OR($D151="",CG$5="",'상세일정'!AM151="제외"),"",IF($D151=$E151,IF(AND($D151&gt;=CG$5,$D151&lt;CG$5+7),"◆",""),IF(AND($D151&lt;CG$5+7,$E151&gt;CG$5),"■","")))</x:f>
      </x:c>
      <x:c r="CH151" s="7" t="str">
        <x:f>IF(OR($D151="",CH$5="",'상세일정'!AM151="제외"),"",IF($D151=$E151,IF(AND($D151&gt;=CH$5,$D151&lt;CH$5+7),"◆",""),IF(AND($D151&lt;CH$5+7,$E151&gt;CH$5),"■","")))</x:f>
      </x:c>
      <x:c r="CI151" s="7" t="str">
        <x:f>IF(OR($D151="",CI$5="",'상세일정'!AM151="제외"),"",IF($D151=$E151,IF(AND($D151&gt;=CI$5,$D151&lt;CI$5+7),"◆",""),IF(AND($D151&lt;CI$5+7,$E151&gt;CI$5),"■","")))</x:f>
      </x:c>
      <x:c r="CJ151" s="7" t="str">
        <x:f>IF(OR($D151="",CJ$5="",'상세일정'!AM151="제외"),"",IF($D151=$E151,IF(AND($D151&gt;=CJ$5,$D151&lt;CJ$5+7),"◆",""),IF(AND($D151&lt;CJ$5+7,$E151&gt;CJ$5),"■","")))</x:f>
      </x:c>
      <x:c r="CK151" s="7" t="str">
        <x:f>IF(OR($D151="",CK$5="",'상세일정'!AM151="제외"),"",IF($D151=$E151,IF(AND($D151&gt;=CK$5,$D151&lt;CK$5+7),"◆",""),IF(AND($D151&lt;CK$5+7,$E151&gt;CK$5),"■","")))</x:f>
      </x:c>
      <x:c r="CL151" s="7" t="str">
        <x:f>IF(OR($D151="",CL$5="",'상세일정'!AM151="제외"),"",IF($D151=$E151,IF(AND($D151&gt;=CL$5,$D151&lt;CL$5+7),"◆",""),IF(AND($D151&lt;CL$5+7,$E151&gt;CL$5),"■","")))</x:f>
      </x:c>
      <x:c r="CM151" s="7" t="str">
        <x:f>IF(OR($D151="",CM$5="",'상세일정'!AM151="제외"),"",IF($D151=$E151,IF(AND($D151&gt;=CM$5,$D151&lt;CM$5+7),"◆",""),IF(AND($D151&lt;CM$5+7,$E151&gt;CM$5),"■","")))</x:f>
      </x:c>
      <x:c r="CN151" s="7" t="str">
        <x:f>IF(OR($D151="",CN$5="",'상세일정'!AM151="제외"),"",IF($D151=$E151,IF(AND($D151&gt;=CN$5,$D151&lt;CN$5+7),"◆",""),IF(AND($D151&lt;CN$5+7,$E151&gt;CN$5),"■","")))</x:f>
      </x:c>
      <x:c r="CO151" s="7" t="str">
        <x:f>IF(OR($D151="",CO$5="",'상세일정'!AM151="제외"),"",IF($D151=$E151,IF(AND($D151&gt;=CO$5,$D151&lt;CO$5+7),"◆",""),IF(AND($D151&lt;CO$5+7,$E151&gt;CO$5),"■","")))</x:f>
      </x:c>
      <x:c r="CP151" s="7" t="str">
        <x:f>IF(OR($D151="",CP$5="",'상세일정'!AM151="제외"),"",IF($D151=$E151,IF(AND($D151&gt;=CP$5,$D151&lt;CP$5+7),"◆",""),IF(AND($D151&lt;CP$5+7,$E151&gt;CP$5),"■","")))</x:f>
      </x:c>
      <x:c r="CQ151" s="7" t="str">
        <x:f>IF(OR($D151="",CQ$5="",'상세일정'!AM151="제외"),"",IF($D151=$E151,IF(AND($D151&gt;=CQ$5,$D151&lt;CQ$5+7),"◆",""),IF(AND($D151&lt;CQ$5+7,$E151&gt;CQ$5),"■","")))</x:f>
      </x:c>
      <x:c r="CR151" s="7" t="str">
        <x:f>IF(OR($D151="",CR$5="",'상세일정'!AM151="제외"),"",IF($D151=$E151,IF(AND($D151&gt;=CR$5,$D151&lt;CR$5+7),"◆",""),IF(AND($D151&lt;CR$5+7,$E151&gt;CR$5),"■","")))</x:f>
      </x:c>
      <x:c r="CS151" s="7" t="str">
        <x:f>IF(OR($D151="",CS$5="",'상세일정'!AM151="제외"),"",IF($D151=$E151,IF(AND($D151&gt;=CS$5,$D151&lt;CS$5+7),"◆",""),IF(AND($D151&lt;CS$5+7,$E151&gt;CS$5),"■","")))</x:f>
      </x:c>
      <x:c r="CT151" s="7" t="str">
        <x:f>IF(OR($D151="",CT$5="",'상세일정'!AM151="제외"),"",IF($D151=$E151,IF(AND($D151&gt;=CT$5,$D151&lt;CT$5+7),"◆",""),IF(AND($D151&lt;CT$5+7,$E151&gt;CT$5),"■","")))</x:f>
      </x:c>
      <x:c r="CU151" s="7" t="str">
        <x:f>IF(OR($D151="",CU$5="",'상세일정'!AM151="제외"),"",IF($D151=$E151,IF(AND($D151&gt;=CU$5,$D151&lt;CU$5+7),"◆",""),IF(AND($D151&lt;CU$5+7,$E151&gt;CU$5),"■","")))</x:f>
      </x:c>
      <x:c r="CV151" s="7" t="str">
        <x:f>IF(OR($D151="",CV$5="",'상세일정'!AM151="제외"),"",IF($D151=$E151,IF(AND($D151&gt;=CV$5,$D151&lt;CV$5+7),"◆",""),IF(AND($D151&lt;CV$5+7,$E151&gt;CV$5),"■","")))</x:f>
      </x:c>
      <x:c r="CW151" s="7" t="str">
        <x:f>IF(OR($D151="",CW$5="",'상세일정'!AM151="제외"),"",IF($D151=$E151,IF(AND($D151&gt;=CW$5,$D151&lt;CW$5+7),"◆",""),IF(AND($D151&lt;CW$5+7,$E151&gt;CW$5),"■","")))</x:f>
      </x:c>
      <x:c r="CX151" s="7" t="str">
        <x:f>IF(OR($D151="",CX$5="",'상세일정'!AM151="제외"),"",IF($D151=$E151,IF(AND($D151&gt;=CX$5,$D151&lt;CX$5+7),"◆",""),IF(AND($D151&lt;CX$5+7,$E151&gt;CX$5),"■","")))</x:f>
      </x:c>
      <x:c r="CY151" s="7" t="str">
        <x:f>IF(OR($D151="",CY$5="",'상세일정'!AM151="제외"),"",IF($D151=$E151,IF(AND($D151&gt;=CY$5,$D151&lt;CY$5+7),"◆",""),IF(AND($D151&lt;CY$5+7,$E151&gt;CY$5),"■","")))</x:f>
      </x:c>
      <x:c r="CZ151" s="7" t="str">
        <x:f>IF(OR($D151="",CZ$5="",'상세일정'!AM151="제외"),"",IF($D151=$E151,IF(AND($D151&gt;=CZ$5,$D151&lt;CZ$5+7),"◆",""),IF(AND($D151&lt;CZ$5+7,$E151&gt;CZ$5),"■","")))</x:f>
      </x:c>
      <x:c r="DA151" s="7" t="str">
        <x:f>IF(OR($D151="",DA$5="",'상세일정'!AM151="제외"),"",IF($D151=$E151,IF(AND($D151&gt;=DA$5,$D151&lt;DA$5+7),"◆",""),IF(AND($D151&lt;DA$5+7,$E151&gt;DA$5),"■","")))</x:f>
      </x:c>
      <x:c r="DB151" s="7" t="str">
        <x:f>IF(OR($D151="",DB$5="",'상세일정'!AM151="제외"),"",IF($D151=$E151,IF(AND($D151&gt;=DB$5,$D151&lt;DB$5+7),"◆",""),IF(AND($D151&lt;DB$5+7,$E151&gt;DB$5),"■","")))</x:f>
      </x:c>
      <x:c r="DC151" s="7" t="str">
        <x:f>IF(OR($D151="",DC$5="",'상세일정'!AM151="제외"),"",IF($D151=$E151,IF(AND($D151&gt;=DC$5,$D151&lt;DC$5+7),"◆",""),IF(AND($D151&lt;DC$5+7,$E151&gt;DC$5),"■","")))</x:f>
      </x:c>
      <x:c r="DD151" s="7" t="str">
        <x:f>IF(OR($D151="",DD$5="",'상세일정'!AM151="제외"),"",IF($D151=$E151,IF(AND($D151&gt;=DD$5,$D151&lt;DD$5+7),"◆",""),IF(AND($D151&lt;DD$5+7,$E151&gt;DD$5),"■","")))</x:f>
      </x:c>
      <x:c r="DE151" s="7" t="str">
        <x:f>IF(OR($D151="",DE$5="",'상세일정'!AM151="제외"),"",IF($D151=$E151,IF(AND($D151&gt;=DE$5,$D151&lt;DE$5+7),"◆",""),IF(AND($D151&lt;DE$5+7,$E151&gt;DE$5),"■","")))</x:f>
      </x:c>
    </x:row>
    <x:row r="152" ht="34" customHeight="1">
      <x:c r="A152" s="7" t="str">
        <x:v>PN03</x:v>
      </x:c>
      <x:c r="B152" s="7" t="str">
        <x:v>16 기자재 구매·제작</x:v>
      </x:c>
      <x:c r="C152" s="7" t="str">
        <x:v>수배전반·제어반 제작도·ITP 승인</x:v>
      </x:c>
      <x:c r="D152" s="10" t="str">
        <x:f>'상세일정'!AJ152</x:f>
      </x:c>
      <x:c r="E152" s="10" t="str">
        <x:f>'상세일정'!AK152</x:f>
      </x:c>
      <x:c r="F152" s="7" t="str">
        <x:f>IF(OR($D152="",F$5="",'상세일정'!AM152="제외"),"",IF($D152=$E152,IF(AND($D152&gt;=F$5,$D152&lt;F$5+7),"◆",""),IF(AND($D152&lt;F$5+7,$E152&gt;F$5),"■","")))</x:f>
      </x:c>
      <x:c r="G152" s="7" t="str">
        <x:f>IF(OR($D152="",G$5="",'상세일정'!AM152="제외"),"",IF($D152=$E152,IF(AND($D152&gt;=G$5,$D152&lt;G$5+7),"◆",""),IF(AND($D152&lt;G$5+7,$E152&gt;G$5),"■","")))</x:f>
      </x:c>
      <x:c r="H152" s="7" t="str">
        <x:f>IF(OR($D152="",H$5="",'상세일정'!AM152="제외"),"",IF($D152=$E152,IF(AND($D152&gt;=H$5,$D152&lt;H$5+7),"◆",""),IF(AND($D152&lt;H$5+7,$E152&gt;H$5),"■","")))</x:f>
      </x:c>
      <x:c r="I152" s="7" t="str">
        <x:f>IF(OR($D152="",I$5="",'상세일정'!AM152="제외"),"",IF($D152=$E152,IF(AND($D152&gt;=I$5,$D152&lt;I$5+7),"◆",""),IF(AND($D152&lt;I$5+7,$E152&gt;I$5),"■","")))</x:f>
      </x:c>
      <x:c r="J152" s="7" t="str">
        <x:f>IF(OR($D152="",J$5="",'상세일정'!AM152="제외"),"",IF($D152=$E152,IF(AND($D152&gt;=J$5,$D152&lt;J$5+7),"◆",""),IF(AND($D152&lt;J$5+7,$E152&gt;J$5),"■","")))</x:f>
      </x:c>
      <x:c r="K152" s="7" t="str">
        <x:f>IF(OR($D152="",K$5="",'상세일정'!AM152="제외"),"",IF($D152=$E152,IF(AND($D152&gt;=K$5,$D152&lt;K$5+7),"◆",""),IF(AND($D152&lt;K$5+7,$E152&gt;K$5),"■","")))</x:f>
      </x:c>
      <x:c r="L152" s="7" t="str">
        <x:f>IF(OR($D152="",L$5="",'상세일정'!AM152="제외"),"",IF($D152=$E152,IF(AND($D152&gt;=L$5,$D152&lt;L$5+7),"◆",""),IF(AND($D152&lt;L$5+7,$E152&gt;L$5),"■","")))</x:f>
      </x:c>
      <x:c r="M152" s="7" t="str">
        <x:f>IF(OR($D152="",M$5="",'상세일정'!AM152="제외"),"",IF($D152=$E152,IF(AND($D152&gt;=M$5,$D152&lt;M$5+7),"◆",""),IF(AND($D152&lt;M$5+7,$E152&gt;M$5),"■","")))</x:f>
      </x:c>
      <x:c r="N152" s="7" t="str">
        <x:f>IF(OR($D152="",N$5="",'상세일정'!AM152="제외"),"",IF($D152=$E152,IF(AND($D152&gt;=N$5,$D152&lt;N$5+7),"◆",""),IF(AND($D152&lt;N$5+7,$E152&gt;N$5),"■","")))</x:f>
      </x:c>
      <x:c r="O152" s="7" t="str">
        <x:f>IF(OR($D152="",O$5="",'상세일정'!AM152="제외"),"",IF($D152=$E152,IF(AND($D152&gt;=O$5,$D152&lt;O$5+7),"◆",""),IF(AND($D152&lt;O$5+7,$E152&gt;O$5),"■","")))</x:f>
      </x:c>
      <x:c r="P152" s="7" t="str">
        <x:f>IF(OR($D152="",P$5="",'상세일정'!AM152="제외"),"",IF($D152=$E152,IF(AND($D152&gt;=P$5,$D152&lt;P$5+7),"◆",""),IF(AND($D152&lt;P$5+7,$E152&gt;P$5),"■","")))</x:f>
      </x:c>
      <x:c r="Q152" s="7" t="str">
        <x:f>IF(OR($D152="",Q$5="",'상세일정'!AM152="제외"),"",IF($D152=$E152,IF(AND($D152&gt;=Q$5,$D152&lt;Q$5+7),"◆",""),IF(AND($D152&lt;Q$5+7,$E152&gt;Q$5),"■","")))</x:f>
      </x:c>
      <x:c r="R152" s="7" t="str">
        <x:f>IF(OR($D152="",R$5="",'상세일정'!AM152="제외"),"",IF($D152=$E152,IF(AND($D152&gt;=R$5,$D152&lt;R$5+7),"◆",""),IF(AND($D152&lt;R$5+7,$E152&gt;R$5),"■","")))</x:f>
      </x:c>
      <x:c r="S152" s="7" t="str">
        <x:f>IF(OR($D152="",S$5="",'상세일정'!AM152="제외"),"",IF($D152=$E152,IF(AND($D152&gt;=S$5,$D152&lt;S$5+7),"◆",""),IF(AND($D152&lt;S$5+7,$E152&gt;S$5),"■","")))</x:f>
      </x:c>
      <x:c r="T152" s="7" t="str">
        <x:f>IF(OR($D152="",T$5="",'상세일정'!AM152="제외"),"",IF($D152=$E152,IF(AND($D152&gt;=T$5,$D152&lt;T$5+7),"◆",""),IF(AND($D152&lt;T$5+7,$E152&gt;T$5),"■","")))</x:f>
      </x:c>
      <x:c r="U152" s="7" t="str">
        <x:f>IF(OR($D152="",U$5="",'상세일정'!AM152="제외"),"",IF($D152=$E152,IF(AND($D152&gt;=U$5,$D152&lt;U$5+7),"◆",""),IF(AND($D152&lt;U$5+7,$E152&gt;U$5),"■","")))</x:f>
      </x:c>
      <x:c r="V152" s="7" t="str">
        <x:f>IF(OR($D152="",V$5="",'상세일정'!AM152="제외"),"",IF($D152=$E152,IF(AND($D152&gt;=V$5,$D152&lt;V$5+7),"◆",""),IF(AND($D152&lt;V$5+7,$E152&gt;V$5),"■","")))</x:f>
      </x:c>
      <x:c r="W152" s="7" t="str">
        <x:f>IF(OR($D152="",W$5="",'상세일정'!AM152="제외"),"",IF($D152=$E152,IF(AND($D152&gt;=W$5,$D152&lt;W$5+7),"◆",""),IF(AND($D152&lt;W$5+7,$E152&gt;W$5),"■","")))</x:f>
      </x:c>
      <x:c r="X152" s="7" t="str">
        <x:f>IF(OR($D152="",X$5="",'상세일정'!AM152="제외"),"",IF($D152=$E152,IF(AND($D152&gt;=X$5,$D152&lt;X$5+7),"◆",""),IF(AND($D152&lt;X$5+7,$E152&gt;X$5),"■","")))</x:f>
      </x:c>
      <x:c r="Y152" s="7" t="str">
        <x:f>IF(OR($D152="",Y$5="",'상세일정'!AM152="제외"),"",IF($D152=$E152,IF(AND($D152&gt;=Y$5,$D152&lt;Y$5+7),"◆",""),IF(AND($D152&lt;Y$5+7,$E152&gt;Y$5),"■","")))</x:f>
      </x:c>
      <x:c r="Z152" s="7" t="str">
        <x:f>IF(OR($D152="",Z$5="",'상세일정'!AM152="제외"),"",IF($D152=$E152,IF(AND($D152&gt;=Z$5,$D152&lt;Z$5+7),"◆",""),IF(AND($D152&lt;Z$5+7,$E152&gt;Z$5),"■","")))</x:f>
      </x:c>
      <x:c r="AA152" s="7" t="str">
        <x:f>IF(OR($D152="",AA$5="",'상세일정'!AM152="제외"),"",IF($D152=$E152,IF(AND($D152&gt;=AA$5,$D152&lt;AA$5+7),"◆",""),IF(AND($D152&lt;AA$5+7,$E152&gt;AA$5),"■","")))</x:f>
      </x:c>
      <x:c r="AB152" s="7" t="str">
        <x:f>IF(OR($D152="",AB$5="",'상세일정'!AM152="제외"),"",IF($D152=$E152,IF(AND($D152&gt;=AB$5,$D152&lt;AB$5+7),"◆",""),IF(AND($D152&lt;AB$5+7,$E152&gt;AB$5),"■","")))</x:f>
      </x:c>
      <x:c r="AC152" s="7" t="str">
        <x:f>IF(OR($D152="",AC$5="",'상세일정'!AM152="제외"),"",IF($D152=$E152,IF(AND($D152&gt;=AC$5,$D152&lt;AC$5+7),"◆",""),IF(AND($D152&lt;AC$5+7,$E152&gt;AC$5),"■","")))</x:f>
      </x:c>
      <x:c r="AD152" s="7" t="str">
        <x:f>IF(OR($D152="",AD$5="",'상세일정'!AM152="제외"),"",IF($D152=$E152,IF(AND($D152&gt;=AD$5,$D152&lt;AD$5+7),"◆",""),IF(AND($D152&lt;AD$5+7,$E152&gt;AD$5),"■","")))</x:f>
      </x:c>
      <x:c r="AE152" s="7" t="str">
        <x:f>IF(OR($D152="",AE$5="",'상세일정'!AM152="제외"),"",IF($D152=$E152,IF(AND($D152&gt;=AE$5,$D152&lt;AE$5+7),"◆",""),IF(AND($D152&lt;AE$5+7,$E152&gt;AE$5),"■","")))</x:f>
      </x:c>
      <x:c r="AF152" s="7" t="str">
        <x:f>IF(OR($D152="",AF$5="",'상세일정'!AM152="제외"),"",IF($D152=$E152,IF(AND($D152&gt;=AF$5,$D152&lt;AF$5+7),"◆",""),IF(AND($D152&lt;AF$5+7,$E152&gt;AF$5),"■","")))</x:f>
      </x:c>
      <x:c r="AG152" s="7" t="str">
        <x:f>IF(OR($D152="",AG$5="",'상세일정'!AM152="제외"),"",IF($D152=$E152,IF(AND($D152&gt;=AG$5,$D152&lt;AG$5+7),"◆",""),IF(AND($D152&lt;AG$5+7,$E152&gt;AG$5),"■","")))</x:f>
      </x:c>
      <x:c r="AH152" s="7" t="str">
        <x:f>IF(OR($D152="",AH$5="",'상세일정'!AM152="제외"),"",IF($D152=$E152,IF(AND($D152&gt;=AH$5,$D152&lt;AH$5+7),"◆",""),IF(AND($D152&lt;AH$5+7,$E152&gt;AH$5),"■","")))</x:f>
      </x:c>
      <x:c r="AI152" s="7" t="str">
        <x:f>IF(OR($D152="",AI$5="",'상세일정'!AM152="제외"),"",IF($D152=$E152,IF(AND($D152&gt;=AI$5,$D152&lt;AI$5+7),"◆",""),IF(AND($D152&lt;AI$5+7,$E152&gt;AI$5),"■","")))</x:f>
      </x:c>
      <x:c r="AJ152" s="7" t="str">
        <x:f>IF(OR($D152="",AJ$5="",'상세일정'!AM152="제외"),"",IF($D152=$E152,IF(AND($D152&gt;=AJ$5,$D152&lt;AJ$5+7),"◆",""),IF(AND($D152&lt;AJ$5+7,$E152&gt;AJ$5),"■","")))</x:f>
      </x:c>
      <x:c r="AK152" s="7" t="str">
        <x:f>IF(OR($D152="",AK$5="",'상세일정'!AM152="제외"),"",IF($D152=$E152,IF(AND($D152&gt;=AK$5,$D152&lt;AK$5+7),"◆",""),IF(AND($D152&lt;AK$5+7,$E152&gt;AK$5),"■","")))</x:f>
      </x:c>
      <x:c r="AL152" s="7" t="str">
        <x:f>IF(OR($D152="",AL$5="",'상세일정'!AM152="제외"),"",IF($D152=$E152,IF(AND($D152&gt;=AL$5,$D152&lt;AL$5+7),"◆",""),IF(AND($D152&lt;AL$5+7,$E152&gt;AL$5),"■","")))</x:f>
      </x:c>
      <x:c r="AM152" s="7" t="str">
        <x:f>IF(OR($D152="",AM$5="",'상세일정'!AM152="제외"),"",IF($D152=$E152,IF(AND($D152&gt;=AM$5,$D152&lt;AM$5+7),"◆",""),IF(AND($D152&lt;AM$5+7,$E152&gt;AM$5),"■","")))</x:f>
      </x:c>
      <x:c r="AN152" s="7" t="str">
        <x:f>IF(OR($D152="",AN$5="",'상세일정'!AM152="제외"),"",IF($D152=$E152,IF(AND($D152&gt;=AN$5,$D152&lt;AN$5+7),"◆",""),IF(AND($D152&lt;AN$5+7,$E152&gt;AN$5),"■","")))</x:f>
      </x:c>
      <x:c r="AO152" s="7" t="str">
        <x:f>IF(OR($D152="",AO$5="",'상세일정'!AM152="제외"),"",IF($D152=$E152,IF(AND($D152&gt;=AO$5,$D152&lt;AO$5+7),"◆",""),IF(AND($D152&lt;AO$5+7,$E152&gt;AO$5),"■","")))</x:f>
      </x:c>
      <x:c r="AP152" s="7" t="str">
        <x:f>IF(OR($D152="",AP$5="",'상세일정'!AM152="제외"),"",IF($D152=$E152,IF(AND($D152&gt;=AP$5,$D152&lt;AP$5+7),"◆",""),IF(AND($D152&lt;AP$5+7,$E152&gt;AP$5),"■","")))</x:f>
      </x:c>
      <x:c r="AQ152" s="7" t="str">
        <x:f>IF(OR($D152="",AQ$5="",'상세일정'!AM152="제외"),"",IF($D152=$E152,IF(AND($D152&gt;=AQ$5,$D152&lt;AQ$5+7),"◆",""),IF(AND($D152&lt;AQ$5+7,$E152&gt;AQ$5),"■","")))</x:f>
      </x:c>
      <x:c r="AR152" s="7" t="str">
        <x:f>IF(OR($D152="",AR$5="",'상세일정'!AM152="제외"),"",IF($D152=$E152,IF(AND($D152&gt;=AR$5,$D152&lt;AR$5+7),"◆",""),IF(AND($D152&lt;AR$5+7,$E152&gt;AR$5),"■","")))</x:f>
      </x:c>
      <x:c r="AS152" s="7" t="str">
        <x:f>IF(OR($D152="",AS$5="",'상세일정'!AM152="제외"),"",IF($D152=$E152,IF(AND($D152&gt;=AS$5,$D152&lt;AS$5+7),"◆",""),IF(AND($D152&lt;AS$5+7,$E152&gt;AS$5),"■","")))</x:f>
      </x:c>
      <x:c r="AT152" s="7" t="str">
        <x:f>IF(OR($D152="",AT$5="",'상세일정'!AM152="제외"),"",IF($D152=$E152,IF(AND($D152&gt;=AT$5,$D152&lt;AT$5+7),"◆",""),IF(AND($D152&lt;AT$5+7,$E152&gt;AT$5),"■","")))</x:f>
      </x:c>
      <x:c r="AU152" s="7" t="str">
        <x:f>IF(OR($D152="",AU$5="",'상세일정'!AM152="제외"),"",IF($D152=$E152,IF(AND($D152&gt;=AU$5,$D152&lt;AU$5+7),"◆",""),IF(AND($D152&lt;AU$5+7,$E152&gt;AU$5),"■","")))</x:f>
      </x:c>
      <x:c r="AV152" s="7" t="str">
        <x:f>IF(OR($D152="",AV$5="",'상세일정'!AM152="제외"),"",IF($D152=$E152,IF(AND($D152&gt;=AV$5,$D152&lt;AV$5+7),"◆",""),IF(AND($D152&lt;AV$5+7,$E152&gt;AV$5),"■","")))</x:f>
      </x:c>
      <x:c r="AW152" s="7" t="str">
        <x:f>IF(OR($D152="",AW$5="",'상세일정'!AM152="제외"),"",IF($D152=$E152,IF(AND($D152&gt;=AW$5,$D152&lt;AW$5+7),"◆",""),IF(AND($D152&lt;AW$5+7,$E152&gt;AW$5),"■","")))</x:f>
      </x:c>
      <x:c r="AX152" s="7" t="str">
        <x:f>IF(OR($D152="",AX$5="",'상세일정'!AM152="제외"),"",IF($D152=$E152,IF(AND($D152&gt;=AX$5,$D152&lt;AX$5+7),"◆",""),IF(AND($D152&lt;AX$5+7,$E152&gt;AX$5),"■","")))</x:f>
      </x:c>
      <x:c r="AY152" s="7" t="str">
        <x:f>IF(OR($D152="",AY$5="",'상세일정'!AM152="제외"),"",IF($D152=$E152,IF(AND($D152&gt;=AY$5,$D152&lt;AY$5+7),"◆",""),IF(AND($D152&lt;AY$5+7,$E152&gt;AY$5),"■","")))</x:f>
      </x:c>
      <x:c r="AZ152" s="7" t="str">
        <x:f>IF(OR($D152="",AZ$5="",'상세일정'!AM152="제외"),"",IF($D152=$E152,IF(AND($D152&gt;=AZ$5,$D152&lt;AZ$5+7),"◆",""),IF(AND($D152&lt;AZ$5+7,$E152&gt;AZ$5),"■","")))</x:f>
      </x:c>
      <x:c r="BA152" s="7" t="str">
        <x:f>IF(OR($D152="",BA$5="",'상세일정'!AM152="제외"),"",IF($D152=$E152,IF(AND($D152&gt;=BA$5,$D152&lt;BA$5+7),"◆",""),IF(AND($D152&lt;BA$5+7,$E152&gt;BA$5),"■","")))</x:f>
      </x:c>
      <x:c r="BB152" s="7" t="str">
        <x:f>IF(OR($D152="",BB$5="",'상세일정'!AM152="제외"),"",IF($D152=$E152,IF(AND($D152&gt;=BB$5,$D152&lt;BB$5+7),"◆",""),IF(AND($D152&lt;BB$5+7,$E152&gt;BB$5),"■","")))</x:f>
      </x:c>
      <x:c r="BC152" s="7" t="str">
        <x:f>IF(OR($D152="",BC$5="",'상세일정'!AM152="제외"),"",IF($D152=$E152,IF(AND($D152&gt;=BC$5,$D152&lt;BC$5+7),"◆",""),IF(AND($D152&lt;BC$5+7,$E152&gt;BC$5),"■","")))</x:f>
      </x:c>
      <x:c r="BD152" s="7" t="str">
        <x:f>IF(OR($D152="",BD$5="",'상세일정'!AM152="제외"),"",IF($D152=$E152,IF(AND($D152&gt;=BD$5,$D152&lt;BD$5+7),"◆",""),IF(AND($D152&lt;BD$5+7,$E152&gt;BD$5),"■","")))</x:f>
      </x:c>
      <x:c r="BE152" s="7" t="str">
        <x:f>IF(OR($D152="",BE$5="",'상세일정'!AM152="제외"),"",IF($D152=$E152,IF(AND($D152&gt;=BE$5,$D152&lt;BE$5+7),"◆",""),IF(AND($D152&lt;BE$5+7,$E152&gt;BE$5),"■","")))</x:f>
      </x:c>
      <x:c r="BF152" s="7" t="str">
        <x:f>IF(OR($D152="",BF$5="",'상세일정'!AM152="제외"),"",IF($D152=$E152,IF(AND($D152&gt;=BF$5,$D152&lt;BF$5+7),"◆",""),IF(AND($D152&lt;BF$5+7,$E152&gt;BF$5),"■","")))</x:f>
      </x:c>
      <x:c r="BG152" s="7" t="str">
        <x:f>IF(OR($D152="",BG$5="",'상세일정'!AM152="제외"),"",IF($D152=$E152,IF(AND($D152&gt;=BG$5,$D152&lt;BG$5+7),"◆",""),IF(AND($D152&lt;BG$5+7,$E152&gt;BG$5),"■","")))</x:f>
      </x:c>
      <x:c r="BH152" s="7" t="str">
        <x:f>IF(OR($D152="",BH$5="",'상세일정'!AM152="제외"),"",IF($D152=$E152,IF(AND($D152&gt;=BH$5,$D152&lt;BH$5+7),"◆",""),IF(AND($D152&lt;BH$5+7,$E152&gt;BH$5),"■","")))</x:f>
      </x:c>
      <x:c r="BI152" s="7" t="str">
        <x:f>IF(OR($D152="",BI$5="",'상세일정'!AM152="제외"),"",IF($D152=$E152,IF(AND($D152&gt;=BI$5,$D152&lt;BI$5+7),"◆",""),IF(AND($D152&lt;BI$5+7,$E152&gt;BI$5),"■","")))</x:f>
      </x:c>
      <x:c r="BJ152" s="7" t="str">
        <x:f>IF(OR($D152="",BJ$5="",'상세일정'!AM152="제외"),"",IF($D152=$E152,IF(AND($D152&gt;=BJ$5,$D152&lt;BJ$5+7),"◆",""),IF(AND($D152&lt;BJ$5+7,$E152&gt;BJ$5),"■","")))</x:f>
      </x:c>
      <x:c r="BK152" s="7" t="str">
        <x:f>IF(OR($D152="",BK$5="",'상세일정'!AM152="제외"),"",IF($D152=$E152,IF(AND($D152&gt;=BK$5,$D152&lt;BK$5+7),"◆",""),IF(AND($D152&lt;BK$5+7,$E152&gt;BK$5),"■","")))</x:f>
      </x:c>
      <x:c r="BL152" s="7" t="str">
        <x:f>IF(OR($D152="",BL$5="",'상세일정'!AM152="제외"),"",IF($D152=$E152,IF(AND($D152&gt;=BL$5,$D152&lt;BL$5+7),"◆",""),IF(AND($D152&lt;BL$5+7,$E152&gt;BL$5),"■","")))</x:f>
      </x:c>
      <x:c r="BM152" s="7" t="str">
        <x:f>IF(OR($D152="",BM$5="",'상세일정'!AM152="제외"),"",IF($D152=$E152,IF(AND($D152&gt;=BM$5,$D152&lt;BM$5+7),"◆",""),IF(AND($D152&lt;BM$5+7,$E152&gt;BM$5),"■","")))</x:f>
      </x:c>
      <x:c r="BN152" s="7" t="str">
        <x:f>IF(OR($D152="",BN$5="",'상세일정'!AM152="제외"),"",IF($D152=$E152,IF(AND($D152&gt;=BN$5,$D152&lt;BN$5+7),"◆",""),IF(AND($D152&lt;BN$5+7,$E152&gt;BN$5),"■","")))</x:f>
      </x:c>
      <x:c r="BO152" s="7" t="str">
        <x:f>IF(OR($D152="",BO$5="",'상세일정'!AM152="제외"),"",IF($D152=$E152,IF(AND($D152&gt;=BO$5,$D152&lt;BO$5+7),"◆",""),IF(AND($D152&lt;BO$5+7,$E152&gt;BO$5),"■","")))</x:f>
      </x:c>
      <x:c r="BP152" s="7" t="str">
        <x:f>IF(OR($D152="",BP$5="",'상세일정'!AM152="제외"),"",IF($D152=$E152,IF(AND($D152&gt;=BP$5,$D152&lt;BP$5+7),"◆",""),IF(AND($D152&lt;BP$5+7,$E152&gt;BP$5),"■","")))</x:f>
      </x:c>
      <x:c r="BQ152" s="7" t="str">
        <x:f>IF(OR($D152="",BQ$5="",'상세일정'!AM152="제외"),"",IF($D152=$E152,IF(AND($D152&gt;=BQ$5,$D152&lt;BQ$5+7),"◆",""),IF(AND($D152&lt;BQ$5+7,$E152&gt;BQ$5),"■","")))</x:f>
      </x:c>
      <x:c r="BR152" s="7" t="str">
        <x:f>IF(OR($D152="",BR$5="",'상세일정'!AM152="제외"),"",IF($D152=$E152,IF(AND($D152&gt;=BR$5,$D152&lt;BR$5+7),"◆",""),IF(AND($D152&lt;BR$5+7,$E152&gt;BR$5),"■","")))</x:f>
      </x:c>
      <x:c r="BS152" s="7" t="str">
        <x:f>IF(OR($D152="",BS$5="",'상세일정'!AM152="제외"),"",IF($D152=$E152,IF(AND($D152&gt;=BS$5,$D152&lt;BS$5+7),"◆",""),IF(AND($D152&lt;BS$5+7,$E152&gt;BS$5),"■","")))</x:f>
      </x:c>
      <x:c r="BT152" s="7" t="str">
        <x:f>IF(OR($D152="",BT$5="",'상세일정'!AM152="제외"),"",IF($D152=$E152,IF(AND($D152&gt;=BT$5,$D152&lt;BT$5+7),"◆",""),IF(AND($D152&lt;BT$5+7,$E152&gt;BT$5),"■","")))</x:f>
      </x:c>
      <x:c r="BU152" s="7" t="str">
        <x:f>IF(OR($D152="",BU$5="",'상세일정'!AM152="제외"),"",IF($D152=$E152,IF(AND($D152&gt;=BU$5,$D152&lt;BU$5+7),"◆",""),IF(AND($D152&lt;BU$5+7,$E152&gt;BU$5),"■","")))</x:f>
      </x:c>
      <x:c r="BV152" s="7" t="str">
        <x:f>IF(OR($D152="",BV$5="",'상세일정'!AM152="제외"),"",IF($D152=$E152,IF(AND($D152&gt;=BV$5,$D152&lt;BV$5+7),"◆",""),IF(AND($D152&lt;BV$5+7,$E152&gt;BV$5),"■","")))</x:f>
      </x:c>
      <x:c r="BW152" s="7" t="str">
        <x:f>IF(OR($D152="",BW$5="",'상세일정'!AM152="제외"),"",IF($D152=$E152,IF(AND($D152&gt;=BW$5,$D152&lt;BW$5+7),"◆",""),IF(AND($D152&lt;BW$5+7,$E152&gt;BW$5),"■","")))</x:f>
      </x:c>
      <x:c r="BX152" s="7" t="str">
        <x:f>IF(OR($D152="",BX$5="",'상세일정'!AM152="제외"),"",IF($D152=$E152,IF(AND($D152&gt;=BX$5,$D152&lt;BX$5+7),"◆",""),IF(AND($D152&lt;BX$5+7,$E152&gt;BX$5),"■","")))</x:f>
      </x:c>
      <x:c r="BY152" s="7" t="str">
        <x:f>IF(OR($D152="",BY$5="",'상세일정'!AM152="제외"),"",IF($D152=$E152,IF(AND($D152&gt;=BY$5,$D152&lt;BY$5+7),"◆",""),IF(AND($D152&lt;BY$5+7,$E152&gt;BY$5),"■","")))</x:f>
      </x:c>
      <x:c r="BZ152" s="7" t="str">
        <x:f>IF(OR($D152="",BZ$5="",'상세일정'!AM152="제외"),"",IF($D152=$E152,IF(AND($D152&gt;=BZ$5,$D152&lt;BZ$5+7),"◆",""),IF(AND($D152&lt;BZ$5+7,$E152&gt;BZ$5),"■","")))</x:f>
      </x:c>
      <x:c r="CA152" s="7" t="str">
        <x:f>IF(OR($D152="",CA$5="",'상세일정'!AM152="제외"),"",IF($D152=$E152,IF(AND($D152&gt;=CA$5,$D152&lt;CA$5+7),"◆",""),IF(AND($D152&lt;CA$5+7,$E152&gt;CA$5),"■","")))</x:f>
      </x:c>
      <x:c r="CB152" s="7" t="str">
        <x:f>IF(OR($D152="",CB$5="",'상세일정'!AM152="제외"),"",IF($D152=$E152,IF(AND($D152&gt;=CB$5,$D152&lt;CB$5+7),"◆",""),IF(AND($D152&lt;CB$5+7,$E152&gt;CB$5),"■","")))</x:f>
      </x:c>
      <x:c r="CC152" s="7" t="str">
        <x:f>IF(OR($D152="",CC$5="",'상세일정'!AM152="제외"),"",IF($D152=$E152,IF(AND($D152&gt;=CC$5,$D152&lt;CC$5+7),"◆",""),IF(AND($D152&lt;CC$5+7,$E152&gt;CC$5),"■","")))</x:f>
      </x:c>
      <x:c r="CD152" s="7" t="str">
        <x:f>IF(OR($D152="",CD$5="",'상세일정'!AM152="제외"),"",IF($D152=$E152,IF(AND($D152&gt;=CD$5,$D152&lt;CD$5+7),"◆",""),IF(AND($D152&lt;CD$5+7,$E152&gt;CD$5),"■","")))</x:f>
      </x:c>
      <x:c r="CE152" s="7" t="str">
        <x:f>IF(OR($D152="",CE$5="",'상세일정'!AM152="제외"),"",IF($D152=$E152,IF(AND($D152&gt;=CE$5,$D152&lt;CE$5+7),"◆",""),IF(AND($D152&lt;CE$5+7,$E152&gt;CE$5),"■","")))</x:f>
      </x:c>
      <x:c r="CF152" s="7" t="str">
        <x:f>IF(OR($D152="",CF$5="",'상세일정'!AM152="제외"),"",IF($D152=$E152,IF(AND($D152&gt;=CF$5,$D152&lt;CF$5+7),"◆",""),IF(AND($D152&lt;CF$5+7,$E152&gt;CF$5),"■","")))</x:f>
      </x:c>
      <x:c r="CG152" s="7" t="str">
        <x:f>IF(OR($D152="",CG$5="",'상세일정'!AM152="제외"),"",IF($D152=$E152,IF(AND($D152&gt;=CG$5,$D152&lt;CG$5+7),"◆",""),IF(AND($D152&lt;CG$5+7,$E152&gt;CG$5),"■","")))</x:f>
      </x:c>
      <x:c r="CH152" s="7" t="str">
        <x:f>IF(OR($D152="",CH$5="",'상세일정'!AM152="제외"),"",IF($D152=$E152,IF(AND($D152&gt;=CH$5,$D152&lt;CH$5+7),"◆",""),IF(AND($D152&lt;CH$5+7,$E152&gt;CH$5),"■","")))</x:f>
      </x:c>
      <x:c r="CI152" s="7" t="str">
        <x:f>IF(OR($D152="",CI$5="",'상세일정'!AM152="제외"),"",IF($D152=$E152,IF(AND($D152&gt;=CI$5,$D152&lt;CI$5+7),"◆",""),IF(AND($D152&lt;CI$5+7,$E152&gt;CI$5),"■","")))</x:f>
      </x:c>
      <x:c r="CJ152" s="7" t="str">
        <x:f>IF(OR($D152="",CJ$5="",'상세일정'!AM152="제외"),"",IF($D152=$E152,IF(AND($D152&gt;=CJ$5,$D152&lt;CJ$5+7),"◆",""),IF(AND($D152&lt;CJ$5+7,$E152&gt;CJ$5),"■","")))</x:f>
      </x:c>
      <x:c r="CK152" s="7" t="str">
        <x:f>IF(OR($D152="",CK$5="",'상세일정'!AM152="제외"),"",IF($D152=$E152,IF(AND($D152&gt;=CK$5,$D152&lt;CK$5+7),"◆",""),IF(AND($D152&lt;CK$5+7,$E152&gt;CK$5),"■","")))</x:f>
      </x:c>
      <x:c r="CL152" s="7" t="str">
        <x:f>IF(OR($D152="",CL$5="",'상세일정'!AM152="제외"),"",IF($D152=$E152,IF(AND($D152&gt;=CL$5,$D152&lt;CL$5+7),"◆",""),IF(AND($D152&lt;CL$5+7,$E152&gt;CL$5),"■","")))</x:f>
      </x:c>
      <x:c r="CM152" s="7" t="str">
        <x:f>IF(OR($D152="",CM$5="",'상세일정'!AM152="제외"),"",IF($D152=$E152,IF(AND($D152&gt;=CM$5,$D152&lt;CM$5+7),"◆",""),IF(AND($D152&lt;CM$5+7,$E152&gt;CM$5),"■","")))</x:f>
      </x:c>
      <x:c r="CN152" s="7" t="str">
        <x:f>IF(OR($D152="",CN$5="",'상세일정'!AM152="제외"),"",IF($D152=$E152,IF(AND($D152&gt;=CN$5,$D152&lt;CN$5+7),"◆",""),IF(AND($D152&lt;CN$5+7,$E152&gt;CN$5),"■","")))</x:f>
      </x:c>
      <x:c r="CO152" s="7" t="str">
        <x:f>IF(OR($D152="",CO$5="",'상세일정'!AM152="제외"),"",IF($D152=$E152,IF(AND($D152&gt;=CO$5,$D152&lt;CO$5+7),"◆",""),IF(AND($D152&lt;CO$5+7,$E152&gt;CO$5),"■","")))</x:f>
      </x:c>
      <x:c r="CP152" s="7" t="str">
        <x:f>IF(OR($D152="",CP$5="",'상세일정'!AM152="제외"),"",IF($D152=$E152,IF(AND($D152&gt;=CP$5,$D152&lt;CP$5+7),"◆",""),IF(AND($D152&lt;CP$5+7,$E152&gt;CP$5),"■","")))</x:f>
      </x:c>
      <x:c r="CQ152" s="7" t="str">
        <x:f>IF(OR($D152="",CQ$5="",'상세일정'!AM152="제외"),"",IF($D152=$E152,IF(AND($D152&gt;=CQ$5,$D152&lt;CQ$5+7),"◆",""),IF(AND($D152&lt;CQ$5+7,$E152&gt;CQ$5),"■","")))</x:f>
      </x:c>
      <x:c r="CR152" s="7" t="str">
        <x:f>IF(OR($D152="",CR$5="",'상세일정'!AM152="제외"),"",IF($D152=$E152,IF(AND($D152&gt;=CR$5,$D152&lt;CR$5+7),"◆",""),IF(AND($D152&lt;CR$5+7,$E152&gt;CR$5),"■","")))</x:f>
      </x:c>
      <x:c r="CS152" s="7" t="str">
        <x:f>IF(OR($D152="",CS$5="",'상세일정'!AM152="제외"),"",IF($D152=$E152,IF(AND($D152&gt;=CS$5,$D152&lt;CS$5+7),"◆",""),IF(AND($D152&lt;CS$5+7,$E152&gt;CS$5),"■","")))</x:f>
      </x:c>
      <x:c r="CT152" s="7" t="str">
        <x:f>IF(OR($D152="",CT$5="",'상세일정'!AM152="제외"),"",IF($D152=$E152,IF(AND($D152&gt;=CT$5,$D152&lt;CT$5+7),"◆",""),IF(AND($D152&lt;CT$5+7,$E152&gt;CT$5),"■","")))</x:f>
      </x:c>
      <x:c r="CU152" s="7" t="str">
        <x:f>IF(OR($D152="",CU$5="",'상세일정'!AM152="제외"),"",IF($D152=$E152,IF(AND($D152&gt;=CU$5,$D152&lt;CU$5+7),"◆",""),IF(AND($D152&lt;CU$5+7,$E152&gt;CU$5),"■","")))</x:f>
      </x:c>
      <x:c r="CV152" s="7" t="str">
        <x:f>IF(OR($D152="",CV$5="",'상세일정'!AM152="제외"),"",IF($D152=$E152,IF(AND($D152&gt;=CV$5,$D152&lt;CV$5+7),"◆",""),IF(AND($D152&lt;CV$5+7,$E152&gt;CV$5),"■","")))</x:f>
      </x:c>
      <x:c r="CW152" s="7" t="str">
        <x:f>IF(OR($D152="",CW$5="",'상세일정'!AM152="제외"),"",IF($D152=$E152,IF(AND($D152&gt;=CW$5,$D152&lt;CW$5+7),"◆",""),IF(AND($D152&lt;CW$5+7,$E152&gt;CW$5),"■","")))</x:f>
      </x:c>
      <x:c r="CX152" s="7" t="str">
        <x:f>IF(OR($D152="",CX$5="",'상세일정'!AM152="제외"),"",IF($D152=$E152,IF(AND($D152&gt;=CX$5,$D152&lt;CX$5+7),"◆",""),IF(AND($D152&lt;CX$5+7,$E152&gt;CX$5),"■","")))</x:f>
      </x:c>
      <x:c r="CY152" s="7" t="str">
        <x:f>IF(OR($D152="",CY$5="",'상세일정'!AM152="제외"),"",IF($D152=$E152,IF(AND($D152&gt;=CY$5,$D152&lt;CY$5+7),"◆",""),IF(AND($D152&lt;CY$5+7,$E152&gt;CY$5),"■","")))</x:f>
      </x:c>
      <x:c r="CZ152" s="7" t="str">
        <x:f>IF(OR($D152="",CZ$5="",'상세일정'!AM152="제외"),"",IF($D152=$E152,IF(AND($D152&gt;=CZ$5,$D152&lt;CZ$5+7),"◆",""),IF(AND($D152&lt;CZ$5+7,$E152&gt;CZ$5),"■","")))</x:f>
      </x:c>
      <x:c r="DA152" s="7" t="str">
        <x:f>IF(OR($D152="",DA$5="",'상세일정'!AM152="제외"),"",IF($D152=$E152,IF(AND($D152&gt;=DA$5,$D152&lt;DA$5+7),"◆",""),IF(AND($D152&lt;DA$5+7,$E152&gt;DA$5),"■","")))</x:f>
      </x:c>
      <x:c r="DB152" s="7" t="str">
        <x:f>IF(OR($D152="",DB$5="",'상세일정'!AM152="제외"),"",IF($D152=$E152,IF(AND($D152&gt;=DB$5,$D152&lt;DB$5+7),"◆",""),IF(AND($D152&lt;DB$5+7,$E152&gt;DB$5),"■","")))</x:f>
      </x:c>
      <x:c r="DC152" s="7" t="str">
        <x:f>IF(OR($D152="",DC$5="",'상세일정'!AM152="제외"),"",IF($D152=$E152,IF(AND($D152&gt;=DC$5,$D152&lt;DC$5+7),"◆",""),IF(AND($D152&lt;DC$5+7,$E152&gt;DC$5),"■","")))</x:f>
      </x:c>
      <x:c r="DD152" s="7" t="str">
        <x:f>IF(OR($D152="",DD$5="",'상세일정'!AM152="제외"),"",IF($D152=$E152,IF(AND($D152&gt;=DD$5,$D152&lt;DD$5+7),"◆",""),IF(AND($D152&lt;DD$5+7,$E152&gt;DD$5),"■","")))</x:f>
      </x:c>
      <x:c r="DE152" s="7" t="str">
        <x:f>IF(OR($D152="",DE$5="",'상세일정'!AM152="제외"),"",IF($D152=$E152,IF(AND($D152&gt;=DE$5,$D152&lt;DE$5+7),"◆",""),IF(AND($D152&lt;DE$5+7,$E152&gt;DE$5),"■","")))</x:f>
      </x:c>
    </x:row>
    <x:row r="153" ht="34" customHeight="1">
      <x:c r="A153" s="7" t="str">
        <x:v>PN04</x:v>
      </x:c>
      <x:c r="B153" s="7" t="str">
        <x:v>16 기자재 구매·제작</x:v>
      </x:c>
      <x:c r="C153" s="7" t="str">
        <x:v>수배전반·제어반 자재조달·제작</x:v>
      </x:c>
      <x:c r="D153" s="10" t="str">
        <x:f>'상세일정'!AJ153</x:f>
      </x:c>
      <x:c r="E153" s="10" t="str">
        <x:f>'상세일정'!AK153</x:f>
      </x:c>
      <x:c r="F153" s="7" t="str">
        <x:f>IF(OR($D153="",F$5="",'상세일정'!AM153="제외"),"",IF($D153=$E153,IF(AND($D153&gt;=F$5,$D153&lt;F$5+7),"◆",""),IF(AND($D153&lt;F$5+7,$E153&gt;F$5),"■","")))</x:f>
      </x:c>
      <x:c r="G153" s="7" t="str">
        <x:f>IF(OR($D153="",G$5="",'상세일정'!AM153="제외"),"",IF($D153=$E153,IF(AND($D153&gt;=G$5,$D153&lt;G$5+7),"◆",""),IF(AND($D153&lt;G$5+7,$E153&gt;G$5),"■","")))</x:f>
      </x:c>
      <x:c r="H153" s="7" t="str">
        <x:f>IF(OR($D153="",H$5="",'상세일정'!AM153="제외"),"",IF($D153=$E153,IF(AND($D153&gt;=H$5,$D153&lt;H$5+7),"◆",""),IF(AND($D153&lt;H$5+7,$E153&gt;H$5),"■","")))</x:f>
      </x:c>
      <x:c r="I153" s="7" t="str">
        <x:f>IF(OR($D153="",I$5="",'상세일정'!AM153="제외"),"",IF($D153=$E153,IF(AND($D153&gt;=I$5,$D153&lt;I$5+7),"◆",""),IF(AND($D153&lt;I$5+7,$E153&gt;I$5),"■","")))</x:f>
      </x:c>
      <x:c r="J153" s="7" t="str">
        <x:f>IF(OR($D153="",J$5="",'상세일정'!AM153="제외"),"",IF($D153=$E153,IF(AND($D153&gt;=J$5,$D153&lt;J$5+7),"◆",""),IF(AND($D153&lt;J$5+7,$E153&gt;J$5),"■","")))</x:f>
      </x:c>
      <x:c r="K153" s="7" t="str">
        <x:f>IF(OR($D153="",K$5="",'상세일정'!AM153="제외"),"",IF($D153=$E153,IF(AND($D153&gt;=K$5,$D153&lt;K$5+7),"◆",""),IF(AND($D153&lt;K$5+7,$E153&gt;K$5),"■","")))</x:f>
      </x:c>
      <x:c r="L153" s="7" t="str">
        <x:f>IF(OR($D153="",L$5="",'상세일정'!AM153="제외"),"",IF($D153=$E153,IF(AND($D153&gt;=L$5,$D153&lt;L$5+7),"◆",""),IF(AND($D153&lt;L$5+7,$E153&gt;L$5),"■","")))</x:f>
      </x:c>
      <x:c r="M153" s="7" t="str">
        <x:f>IF(OR($D153="",M$5="",'상세일정'!AM153="제외"),"",IF($D153=$E153,IF(AND($D153&gt;=M$5,$D153&lt;M$5+7),"◆",""),IF(AND($D153&lt;M$5+7,$E153&gt;M$5),"■","")))</x:f>
      </x:c>
      <x:c r="N153" s="7" t="str">
        <x:f>IF(OR($D153="",N$5="",'상세일정'!AM153="제외"),"",IF($D153=$E153,IF(AND($D153&gt;=N$5,$D153&lt;N$5+7),"◆",""),IF(AND($D153&lt;N$5+7,$E153&gt;N$5),"■","")))</x:f>
      </x:c>
      <x:c r="O153" s="7" t="str">
        <x:f>IF(OR($D153="",O$5="",'상세일정'!AM153="제외"),"",IF($D153=$E153,IF(AND($D153&gt;=O$5,$D153&lt;O$5+7),"◆",""),IF(AND($D153&lt;O$5+7,$E153&gt;O$5),"■","")))</x:f>
      </x:c>
      <x:c r="P153" s="7" t="str">
        <x:f>IF(OR($D153="",P$5="",'상세일정'!AM153="제외"),"",IF($D153=$E153,IF(AND($D153&gt;=P$5,$D153&lt;P$5+7),"◆",""),IF(AND($D153&lt;P$5+7,$E153&gt;P$5),"■","")))</x:f>
      </x:c>
      <x:c r="Q153" s="7" t="str">
        <x:f>IF(OR($D153="",Q$5="",'상세일정'!AM153="제외"),"",IF($D153=$E153,IF(AND($D153&gt;=Q$5,$D153&lt;Q$5+7),"◆",""),IF(AND($D153&lt;Q$5+7,$E153&gt;Q$5),"■","")))</x:f>
      </x:c>
      <x:c r="R153" s="7" t="str">
        <x:f>IF(OR($D153="",R$5="",'상세일정'!AM153="제외"),"",IF($D153=$E153,IF(AND($D153&gt;=R$5,$D153&lt;R$5+7),"◆",""),IF(AND($D153&lt;R$5+7,$E153&gt;R$5),"■","")))</x:f>
      </x:c>
      <x:c r="S153" s="7" t="str">
        <x:f>IF(OR($D153="",S$5="",'상세일정'!AM153="제외"),"",IF($D153=$E153,IF(AND($D153&gt;=S$5,$D153&lt;S$5+7),"◆",""),IF(AND($D153&lt;S$5+7,$E153&gt;S$5),"■","")))</x:f>
      </x:c>
      <x:c r="T153" s="7" t="str">
        <x:f>IF(OR($D153="",T$5="",'상세일정'!AM153="제외"),"",IF($D153=$E153,IF(AND($D153&gt;=T$5,$D153&lt;T$5+7),"◆",""),IF(AND($D153&lt;T$5+7,$E153&gt;T$5),"■","")))</x:f>
      </x:c>
      <x:c r="U153" s="7" t="str">
        <x:f>IF(OR($D153="",U$5="",'상세일정'!AM153="제외"),"",IF($D153=$E153,IF(AND($D153&gt;=U$5,$D153&lt;U$5+7),"◆",""),IF(AND($D153&lt;U$5+7,$E153&gt;U$5),"■","")))</x:f>
      </x:c>
      <x:c r="V153" s="7" t="str">
        <x:f>IF(OR($D153="",V$5="",'상세일정'!AM153="제외"),"",IF($D153=$E153,IF(AND($D153&gt;=V$5,$D153&lt;V$5+7),"◆",""),IF(AND($D153&lt;V$5+7,$E153&gt;V$5),"■","")))</x:f>
      </x:c>
      <x:c r="W153" s="7" t="str">
        <x:f>IF(OR($D153="",W$5="",'상세일정'!AM153="제외"),"",IF($D153=$E153,IF(AND($D153&gt;=W$5,$D153&lt;W$5+7),"◆",""),IF(AND($D153&lt;W$5+7,$E153&gt;W$5),"■","")))</x:f>
      </x:c>
      <x:c r="X153" s="7" t="str">
        <x:f>IF(OR($D153="",X$5="",'상세일정'!AM153="제외"),"",IF($D153=$E153,IF(AND($D153&gt;=X$5,$D153&lt;X$5+7),"◆",""),IF(AND($D153&lt;X$5+7,$E153&gt;X$5),"■","")))</x:f>
      </x:c>
      <x:c r="Y153" s="7" t="str">
        <x:f>IF(OR($D153="",Y$5="",'상세일정'!AM153="제외"),"",IF($D153=$E153,IF(AND($D153&gt;=Y$5,$D153&lt;Y$5+7),"◆",""),IF(AND($D153&lt;Y$5+7,$E153&gt;Y$5),"■","")))</x:f>
      </x:c>
      <x:c r="Z153" s="7" t="str">
        <x:f>IF(OR($D153="",Z$5="",'상세일정'!AM153="제외"),"",IF($D153=$E153,IF(AND($D153&gt;=Z$5,$D153&lt;Z$5+7),"◆",""),IF(AND($D153&lt;Z$5+7,$E153&gt;Z$5),"■","")))</x:f>
      </x:c>
      <x:c r="AA153" s="7" t="str">
        <x:f>IF(OR($D153="",AA$5="",'상세일정'!AM153="제외"),"",IF($D153=$E153,IF(AND($D153&gt;=AA$5,$D153&lt;AA$5+7),"◆",""),IF(AND($D153&lt;AA$5+7,$E153&gt;AA$5),"■","")))</x:f>
      </x:c>
      <x:c r="AB153" s="7" t="str">
        <x:f>IF(OR($D153="",AB$5="",'상세일정'!AM153="제외"),"",IF($D153=$E153,IF(AND($D153&gt;=AB$5,$D153&lt;AB$5+7),"◆",""),IF(AND($D153&lt;AB$5+7,$E153&gt;AB$5),"■","")))</x:f>
      </x:c>
      <x:c r="AC153" s="7" t="str">
        <x:f>IF(OR($D153="",AC$5="",'상세일정'!AM153="제외"),"",IF($D153=$E153,IF(AND($D153&gt;=AC$5,$D153&lt;AC$5+7),"◆",""),IF(AND($D153&lt;AC$5+7,$E153&gt;AC$5),"■","")))</x:f>
      </x:c>
      <x:c r="AD153" s="7" t="str">
        <x:f>IF(OR($D153="",AD$5="",'상세일정'!AM153="제외"),"",IF($D153=$E153,IF(AND($D153&gt;=AD$5,$D153&lt;AD$5+7),"◆",""),IF(AND($D153&lt;AD$5+7,$E153&gt;AD$5),"■","")))</x:f>
      </x:c>
      <x:c r="AE153" s="7" t="str">
        <x:f>IF(OR($D153="",AE$5="",'상세일정'!AM153="제외"),"",IF($D153=$E153,IF(AND($D153&gt;=AE$5,$D153&lt;AE$5+7),"◆",""),IF(AND($D153&lt;AE$5+7,$E153&gt;AE$5),"■","")))</x:f>
      </x:c>
      <x:c r="AF153" s="7" t="str">
        <x:f>IF(OR($D153="",AF$5="",'상세일정'!AM153="제외"),"",IF($D153=$E153,IF(AND($D153&gt;=AF$5,$D153&lt;AF$5+7),"◆",""),IF(AND($D153&lt;AF$5+7,$E153&gt;AF$5),"■","")))</x:f>
      </x:c>
      <x:c r="AG153" s="7" t="str">
        <x:f>IF(OR($D153="",AG$5="",'상세일정'!AM153="제외"),"",IF($D153=$E153,IF(AND($D153&gt;=AG$5,$D153&lt;AG$5+7),"◆",""),IF(AND($D153&lt;AG$5+7,$E153&gt;AG$5),"■","")))</x:f>
      </x:c>
      <x:c r="AH153" s="7" t="str">
        <x:f>IF(OR($D153="",AH$5="",'상세일정'!AM153="제외"),"",IF($D153=$E153,IF(AND($D153&gt;=AH$5,$D153&lt;AH$5+7),"◆",""),IF(AND($D153&lt;AH$5+7,$E153&gt;AH$5),"■","")))</x:f>
      </x:c>
      <x:c r="AI153" s="7" t="str">
        <x:f>IF(OR($D153="",AI$5="",'상세일정'!AM153="제외"),"",IF($D153=$E153,IF(AND($D153&gt;=AI$5,$D153&lt;AI$5+7),"◆",""),IF(AND($D153&lt;AI$5+7,$E153&gt;AI$5),"■","")))</x:f>
      </x:c>
      <x:c r="AJ153" s="7" t="str">
        <x:f>IF(OR($D153="",AJ$5="",'상세일정'!AM153="제외"),"",IF($D153=$E153,IF(AND($D153&gt;=AJ$5,$D153&lt;AJ$5+7),"◆",""),IF(AND($D153&lt;AJ$5+7,$E153&gt;AJ$5),"■","")))</x:f>
      </x:c>
      <x:c r="AK153" s="7" t="str">
        <x:f>IF(OR($D153="",AK$5="",'상세일정'!AM153="제외"),"",IF($D153=$E153,IF(AND($D153&gt;=AK$5,$D153&lt;AK$5+7),"◆",""),IF(AND($D153&lt;AK$5+7,$E153&gt;AK$5),"■","")))</x:f>
      </x:c>
      <x:c r="AL153" s="7" t="str">
        <x:f>IF(OR($D153="",AL$5="",'상세일정'!AM153="제외"),"",IF($D153=$E153,IF(AND($D153&gt;=AL$5,$D153&lt;AL$5+7),"◆",""),IF(AND($D153&lt;AL$5+7,$E153&gt;AL$5),"■","")))</x:f>
      </x:c>
      <x:c r="AM153" s="7" t="str">
        <x:f>IF(OR($D153="",AM$5="",'상세일정'!AM153="제외"),"",IF($D153=$E153,IF(AND($D153&gt;=AM$5,$D153&lt;AM$5+7),"◆",""),IF(AND($D153&lt;AM$5+7,$E153&gt;AM$5),"■","")))</x:f>
      </x:c>
      <x:c r="AN153" s="7" t="str">
        <x:f>IF(OR($D153="",AN$5="",'상세일정'!AM153="제외"),"",IF($D153=$E153,IF(AND($D153&gt;=AN$5,$D153&lt;AN$5+7),"◆",""),IF(AND($D153&lt;AN$5+7,$E153&gt;AN$5),"■","")))</x:f>
      </x:c>
      <x:c r="AO153" s="7" t="str">
        <x:f>IF(OR($D153="",AO$5="",'상세일정'!AM153="제외"),"",IF($D153=$E153,IF(AND($D153&gt;=AO$5,$D153&lt;AO$5+7),"◆",""),IF(AND($D153&lt;AO$5+7,$E153&gt;AO$5),"■","")))</x:f>
      </x:c>
      <x:c r="AP153" s="7" t="str">
        <x:f>IF(OR($D153="",AP$5="",'상세일정'!AM153="제외"),"",IF($D153=$E153,IF(AND($D153&gt;=AP$5,$D153&lt;AP$5+7),"◆",""),IF(AND($D153&lt;AP$5+7,$E153&gt;AP$5),"■","")))</x:f>
      </x:c>
      <x:c r="AQ153" s="7" t="str">
        <x:f>IF(OR($D153="",AQ$5="",'상세일정'!AM153="제외"),"",IF($D153=$E153,IF(AND($D153&gt;=AQ$5,$D153&lt;AQ$5+7),"◆",""),IF(AND($D153&lt;AQ$5+7,$E153&gt;AQ$5),"■","")))</x:f>
      </x:c>
      <x:c r="AR153" s="7" t="str">
        <x:f>IF(OR($D153="",AR$5="",'상세일정'!AM153="제외"),"",IF($D153=$E153,IF(AND($D153&gt;=AR$5,$D153&lt;AR$5+7),"◆",""),IF(AND($D153&lt;AR$5+7,$E153&gt;AR$5),"■","")))</x:f>
      </x:c>
      <x:c r="AS153" s="7" t="str">
        <x:f>IF(OR($D153="",AS$5="",'상세일정'!AM153="제외"),"",IF($D153=$E153,IF(AND($D153&gt;=AS$5,$D153&lt;AS$5+7),"◆",""),IF(AND($D153&lt;AS$5+7,$E153&gt;AS$5),"■","")))</x:f>
      </x:c>
      <x:c r="AT153" s="7" t="str">
        <x:f>IF(OR($D153="",AT$5="",'상세일정'!AM153="제외"),"",IF($D153=$E153,IF(AND($D153&gt;=AT$5,$D153&lt;AT$5+7),"◆",""),IF(AND($D153&lt;AT$5+7,$E153&gt;AT$5),"■","")))</x:f>
      </x:c>
      <x:c r="AU153" s="7" t="str">
        <x:f>IF(OR($D153="",AU$5="",'상세일정'!AM153="제외"),"",IF($D153=$E153,IF(AND($D153&gt;=AU$5,$D153&lt;AU$5+7),"◆",""),IF(AND($D153&lt;AU$5+7,$E153&gt;AU$5),"■","")))</x:f>
      </x:c>
      <x:c r="AV153" s="7" t="str">
        <x:f>IF(OR($D153="",AV$5="",'상세일정'!AM153="제외"),"",IF($D153=$E153,IF(AND($D153&gt;=AV$5,$D153&lt;AV$5+7),"◆",""),IF(AND($D153&lt;AV$5+7,$E153&gt;AV$5),"■","")))</x:f>
      </x:c>
      <x:c r="AW153" s="7" t="str">
        <x:f>IF(OR($D153="",AW$5="",'상세일정'!AM153="제외"),"",IF($D153=$E153,IF(AND($D153&gt;=AW$5,$D153&lt;AW$5+7),"◆",""),IF(AND($D153&lt;AW$5+7,$E153&gt;AW$5),"■","")))</x:f>
      </x:c>
      <x:c r="AX153" s="7" t="str">
        <x:f>IF(OR($D153="",AX$5="",'상세일정'!AM153="제외"),"",IF($D153=$E153,IF(AND($D153&gt;=AX$5,$D153&lt;AX$5+7),"◆",""),IF(AND($D153&lt;AX$5+7,$E153&gt;AX$5),"■","")))</x:f>
      </x:c>
      <x:c r="AY153" s="7" t="str">
        <x:f>IF(OR($D153="",AY$5="",'상세일정'!AM153="제외"),"",IF($D153=$E153,IF(AND($D153&gt;=AY$5,$D153&lt;AY$5+7),"◆",""),IF(AND($D153&lt;AY$5+7,$E153&gt;AY$5),"■","")))</x:f>
      </x:c>
      <x:c r="AZ153" s="7" t="str">
        <x:f>IF(OR($D153="",AZ$5="",'상세일정'!AM153="제외"),"",IF($D153=$E153,IF(AND($D153&gt;=AZ$5,$D153&lt;AZ$5+7),"◆",""),IF(AND($D153&lt;AZ$5+7,$E153&gt;AZ$5),"■","")))</x:f>
      </x:c>
      <x:c r="BA153" s="7" t="str">
        <x:f>IF(OR($D153="",BA$5="",'상세일정'!AM153="제외"),"",IF($D153=$E153,IF(AND($D153&gt;=BA$5,$D153&lt;BA$5+7),"◆",""),IF(AND($D153&lt;BA$5+7,$E153&gt;BA$5),"■","")))</x:f>
      </x:c>
      <x:c r="BB153" s="7" t="str">
        <x:f>IF(OR($D153="",BB$5="",'상세일정'!AM153="제외"),"",IF($D153=$E153,IF(AND($D153&gt;=BB$5,$D153&lt;BB$5+7),"◆",""),IF(AND($D153&lt;BB$5+7,$E153&gt;BB$5),"■","")))</x:f>
      </x:c>
      <x:c r="BC153" s="7" t="str">
        <x:f>IF(OR($D153="",BC$5="",'상세일정'!AM153="제외"),"",IF($D153=$E153,IF(AND($D153&gt;=BC$5,$D153&lt;BC$5+7),"◆",""),IF(AND($D153&lt;BC$5+7,$E153&gt;BC$5),"■","")))</x:f>
      </x:c>
      <x:c r="BD153" s="7" t="str">
        <x:f>IF(OR($D153="",BD$5="",'상세일정'!AM153="제외"),"",IF($D153=$E153,IF(AND($D153&gt;=BD$5,$D153&lt;BD$5+7),"◆",""),IF(AND($D153&lt;BD$5+7,$E153&gt;BD$5),"■","")))</x:f>
      </x:c>
      <x:c r="BE153" s="7" t="str">
        <x:f>IF(OR($D153="",BE$5="",'상세일정'!AM153="제외"),"",IF($D153=$E153,IF(AND($D153&gt;=BE$5,$D153&lt;BE$5+7),"◆",""),IF(AND($D153&lt;BE$5+7,$E153&gt;BE$5),"■","")))</x:f>
      </x:c>
      <x:c r="BF153" s="7" t="str">
        <x:f>IF(OR($D153="",BF$5="",'상세일정'!AM153="제외"),"",IF($D153=$E153,IF(AND($D153&gt;=BF$5,$D153&lt;BF$5+7),"◆",""),IF(AND($D153&lt;BF$5+7,$E153&gt;BF$5),"■","")))</x:f>
      </x:c>
      <x:c r="BG153" s="7" t="str">
        <x:f>IF(OR($D153="",BG$5="",'상세일정'!AM153="제외"),"",IF($D153=$E153,IF(AND($D153&gt;=BG$5,$D153&lt;BG$5+7),"◆",""),IF(AND($D153&lt;BG$5+7,$E153&gt;BG$5),"■","")))</x:f>
      </x:c>
      <x:c r="BH153" s="7" t="str">
        <x:f>IF(OR($D153="",BH$5="",'상세일정'!AM153="제외"),"",IF($D153=$E153,IF(AND($D153&gt;=BH$5,$D153&lt;BH$5+7),"◆",""),IF(AND($D153&lt;BH$5+7,$E153&gt;BH$5),"■","")))</x:f>
      </x:c>
      <x:c r="BI153" s="7" t="str">
        <x:f>IF(OR($D153="",BI$5="",'상세일정'!AM153="제외"),"",IF($D153=$E153,IF(AND($D153&gt;=BI$5,$D153&lt;BI$5+7),"◆",""),IF(AND($D153&lt;BI$5+7,$E153&gt;BI$5),"■","")))</x:f>
      </x:c>
      <x:c r="BJ153" s="7" t="str">
        <x:f>IF(OR($D153="",BJ$5="",'상세일정'!AM153="제외"),"",IF($D153=$E153,IF(AND($D153&gt;=BJ$5,$D153&lt;BJ$5+7),"◆",""),IF(AND($D153&lt;BJ$5+7,$E153&gt;BJ$5),"■","")))</x:f>
      </x:c>
      <x:c r="BK153" s="7" t="str">
        <x:f>IF(OR($D153="",BK$5="",'상세일정'!AM153="제외"),"",IF($D153=$E153,IF(AND($D153&gt;=BK$5,$D153&lt;BK$5+7),"◆",""),IF(AND($D153&lt;BK$5+7,$E153&gt;BK$5),"■","")))</x:f>
      </x:c>
      <x:c r="BL153" s="7" t="str">
        <x:f>IF(OR($D153="",BL$5="",'상세일정'!AM153="제외"),"",IF($D153=$E153,IF(AND($D153&gt;=BL$5,$D153&lt;BL$5+7),"◆",""),IF(AND($D153&lt;BL$5+7,$E153&gt;BL$5),"■","")))</x:f>
      </x:c>
      <x:c r="BM153" s="7" t="str">
        <x:f>IF(OR($D153="",BM$5="",'상세일정'!AM153="제외"),"",IF($D153=$E153,IF(AND($D153&gt;=BM$5,$D153&lt;BM$5+7),"◆",""),IF(AND($D153&lt;BM$5+7,$E153&gt;BM$5),"■","")))</x:f>
      </x:c>
      <x:c r="BN153" s="7" t="str">
        <x:f>IF(OR($D153="",BN$5="",'상세일정'!AM153="제외"),"",IF($D153=$E153,IF(AND($D153&gt;=BN$5,$D153&lt;BN$5+7),"◆",""),IF(AND($D153&lt;BN$5+7,$E153&gt;BN$5),"■","")))</x:f>
      </x:c>
      <x:c r="BO153" s="7" t="str">
        <x:f>IF(OR($D153="",BO$5="",'상세일정'!AM153="제외"),"",IF($D153=$E153,IF(AND($D153&gt;=BO$5,$D153&lt;BO$5+7),"◆",""),IF(AND($D153&lt;BO$5+7,$E153&gt;BO$5),"■","")))</x:f>
      </x:c>
      <x:c r="BP153" s="7" t="str">
        <x:f>IF(OR($D153="",BP$5="",'상세일정'!AM153="제외"),"",IF($D153=$E153,IF(AND($D153&gt;=BP$5,$D153&lt;BP$5+7),"◆",""),IF(AND($D153&lt;BP$5+7,$E153&gt;BP$5),"■","")))</x:f>
      </x:c>
      <x:c r="BQ153" s="7" t="str">
        <x:f>IF(OR($D153="",BQ$5="",'상세일정'!AM153="제외"),"",IF($D153=$E153,IF(AND($D153&gt;=BQ$5,$D153&lt;BQ$5+7),"◆",""),IF(AND($D153&lt;BQ$5+7,$E153&gt;BQ$5),"■","")))</x:f>
      </x:c>
      <x:c r="BR153" s="7" t="str">
        <x:f>IF(OR($D153="",BR$5="",'상세일정'!AM153="제외"),"",IF($D153=$E153,IF(AND($D153&gt;=BR$5,$D153&lt;BR$5+7),"◆",""),IF(AND($D153&lt;BR$5+7,$E153&gt;BR$5),"■","")))</x:f>
      </x:c>
      <x:c r="BS153" s="7" t="str">
        <x:f>IF(OR($D153="",BS$5="",'상세일정'!AM153="제외"),"",IF($D153=$E153,IF(AND($D153&gt;=BS$5,$D153&lt;BS$5+7),"◆",""),IF(AND($D153&lt;BS$5+7,$E153&gt;BS$5),"■","")))</x:f>
      </x:c>
      <x:c r="BT153" s="7" t="str">
        <x:f>IF(OR($D153="",BT$5="",'상세일정'!AM153="제외"),"",IF($D153=$E153,IF(AND($D153&gt;=BT$5,$D153&lt;BT$5+7),"◆",""),IF(AND($D153&lt;BT$5+7,$E153&gt;BT$5),"■","")))</x:f>
      </x:c>
      <x:c r="BU153" s="7" t="str">
        <x:f>IF(OR($D153="",BU$5="",'상세일정'!AM153="제외"),"",IF($D153=$E153,IF(AND($D153&gt;=BU$5,$D153&lt;BU$5+7),"◆",""),IF(AND($D153&lt;BU$5+7,$E153&gt;BU$5),"■","")))</x:f>
      </x:c>
      <x:c r="BV153" s="7" t="str">
        <x:f>IF(OR($D153="",BV$5="",'상세일정'!AM153="제외"),"",IF($D153=$E153,IF(AND($D153&gt;=BV$5,$D153&lt;BV$5+7),"◆",""),IF(AND($D153&lt;BV$5+7,$E153&gt;BV$5),"■","")))</x:f>
      </x:c>
      <x:c r="BW153" s="7" t="str">
        <x:f>IF(OR($D153="",BW$5="",'상세일정'!AM153="제외"),"",IF($D153=$E153,IF(AND($D153&gt;=BW$5,$D153&lt;BW$5+7),"◆",""),IF(AND($D153&lt;BW$5+7,$E153&gt;BW$5),"■","")))</x:f>
      </x:c>
      <x:c r="BX153" s="7" t="str">
        <x:f>IF(OR($D153="",BX$5="",'상세일정'!AM153="제외"),"",IF($D153=$E153,IF(AND($D153&gt;=BX$5,$D153&lt;BX$5+7),"◆",""),IF(AND($D153&lt;BX$5+7,$E153&gt;BX$5),"■","")))</x:f>
      </x:c>
      <x:c r="BY153" s="7" t="str">
        <x:f>IF(OR($D153="",BY$5="",'상세일정'!AM153="제외"),"",IF($D153=$E153,IF(AND($D153&gt;=BY$5,$D153&lt;BY$5+7),"◆",""),IF(AND($D153&lt;BY$5+7,$E153&gt;BY$5),"■","")))</x:f>
      </x:c>
      <x:c r="BZ153" s="7" t="str">
        <x:f>IF(OR($D153="",BZ$5="",'상세일정'!AM153="제외"),"",IF($D153=$E153,IF(AND($D153&gt;=BZ$5,$D153&lt;BZ$5+7),"◆",""),IF(AND($D153&lt;BZ$5+7,$E153&gt;BZ$5),"■","")))</x:f>
      </x:c>
      <x:c r="CA153" s="7" t="str">
        <x:f>IF(OR($D153="",CA$5="",'상세일정'!AM153="제외"),"",IF($D153=$E153,IF(AND($D153&gt;=CA$5,$D153&lt;CA$5+7),"◆",""),IF(AND($D153&lt;CA$5+7,$E153&gt;CA$5),"■","")))</x:f>
      </x:c>
      <x:c r="CB153" s="7" t="str">
        <x:f>IF(OR($D153="",CB$5="",'상세일정'!AM153="제외"),"",IF($D153=$E153,IF(AND($D153&gt;=CB$5,$D153&lt;CB$5+7),"◆",""),IF(AND($D153&lt;CB$5+7,$E153&gt;CB$5),"■","")))</x:f>
      </x:c>
      <x:c r="CC153" s="7" t="str">
        <x:f>IF(OR($D153="",CC$5="",'상세일정'!AM153="제외"),"",IF($D153=$E153,IF(AND($D153&gt;=CC$5,$D153&lt;CC$5+7),"◆",""),IF(AND($D153&lt;CC$5+7,$E153&gt;CC$5),"■","")))</x:f>
      </x:c>
      <x:c r="CD153" s="7" t="str">
        <x:f>IF(OR($D153="",CD$5="",'상세일정'!AM153="제외"),"",IF($D153=$E153,IF(AND($D153&gt;=CD$5,$D153&lt;CD$5+7),"◆",""),IF(AND($D153&lt;CD$5+7,$E153&gt;CD$5),"■","")))</x:f>
      </x:c>
      <x:c r="CE153" s="7" t="str">
        <x:f>IF(OR($D153="",CE$5="",'상세일정'!AM153="제외"),"",IF($D153=$E153,IF(AND($D153&gt;=CE$5,$D153&lt;CE$5+7),"◆",""),IF(AND($D153&lt;CE$5+7,$E153&gt;CE$5),"■","")))</x:f>
      </x:c>
      <x:c r="CF153" s="7" t="str">
        <x:f>IF(OR($D153="",CF$5="",'상세일정'!AM153="제외"),"",IF($D153=$E153,IF(AND($D153&gt;=CF$5,$D153&lt;CF$5+7),"◆",""),IF(AND($D153&lt;CF$5+7,$E153&gt;CF$5),"■","")))</x:f>
      </x:c>
      <x:c r="CG153" s="7" t="str">
        <x:f>IF(OR($D153="",CG$5="",'상세일정'!AM153="제외"),"",IF($D153=$E153,IF(AND($D153&gt;=CG$5,$D153&lt;CG$5+7),"◆",""),IF(AND($D153&lt;CG$5+7,$E153&gt;CG$5),"■","")))</x:f>
      </x:c>
      <x:c r="CH153" s="7" t="str">
        <x:f>IF(OR($D153="",CH$5="",'상세일정'!AM153="제외"),"",IF($D153=$E153,IF(AND($D153&gt;=CH$5,$D153&lt;CH$5+7),"◆",""),IF(AND($D153&lt;CH$5+7,$E153&gt;CH$5),"■","")))</x:f>
      </x:c>
      <x:c r="CI153" s="7" t="str">
        <x:f>IF(OR($D153="",CI$5="",'상세일정'!AM153="제외"),"",IF($D153=$E153,IF(AND($D153&gt;=CI$5,$D153&lt;CI$5+7),"◆",""),IF(AND($D153&lt;CI$5+7,$E153&gt;CI$5),"■","")))</x:f>
      </x:c>
      <x:c r="CJ153" s="7" t="str">
        <x:f>IF(OR($D153="",CJ$5="",'상세일정'!AM153="제외"),"",IF($D153=$E153,IF(AND($D153&gt;=CJ$5,$D153&lt;CJ$5+7),"◆",""),IF(AND($D153&lt;CJ$5+7,$E153&gt;CJ$5),"■","")))</x:f>
      </x:c>
      <x:c r="CK153" s="7" t="str">
        <x:f>IF(OR($D153="",CK$5="",'상세일정'!AM153="제외"),"",IF($D153=$E153,IF(AND($D153&gt;=CK$5,$D153&lt;CK$5+7),"◆",""),IF(AND($D153&lt;CK$5+7,$E153&gt;CK$5),"■","")))</x:f>
      </x:c>
      <x:c r="CL153" s="7" t="str">
        <x:f>IF(OR($D153="",CL$5="",'상세일정'!AM153="제외"),"",IF($D153=$E153,IF(AND($D153&gt;=CL$5,$D153&lt;CL$5+7),"◆",""),IF(AND($D153&lt;CL$5+7,$E153&gt;CL$5),"■","")))</x:f>
      </x:c>
      <x:c r="CM153" s="7" t="str">
        <x:f>IF(OR($D153="",CM$5="",'상세일정'!AM153="제외"),"",IF($D153=$E153,IF(AND($D153&gt;=CM$5,$D153&lt;CM$5+7),"◆",""),IF(AND($D153&lt;CM$5+7,$E153&gt;CM$5),"■","")))</x:f>
      </x:c>
      <x:c r="CN153" s="7" t="str">
        <x:f>IF(OR($D153="",CN$5="",'상세일정'!AM153="제외"),"",IF($D153=$E153,IF(AND($D153&gt;=CN$5,$D153&lt;CN$5+7),"◆",""),IF(AND($D153&lt;CN$5+7,$E153&gt;CN$5),"■","")))</x:f>
      </x:c>
      <x:c r="CO153" s="7" t="str">
        <x:f>IF(OR($D153="",CO$5="",'상세일정'!AM153="제외"),"",IF($D153=$E153,IF(AND($D153&gt;=CO$5,$D153&lt;CO$5+7),"◆",""),IF(AND($D153&lt;CO$5+7,$E153&gt;CO$5),"■","")))</x:f>
      </x:c>
      <x:c r="CP153" s="7" t="str">
        <x:f>IF(OR($D153="",CP$5="",'상세일정'!AM153="제외"),"",IF($D153=$E153,IF(AND($D153&gt;=CP$5,$D153&lt;CP$5+7),"◆",""),IF(AND($D153&lt;CP$5+7,$E153&gt;CP$5),"■","")))</x:f>
      </x:c>
      <x:c r="CQ153" s="7" t="str">
        <x:f>IF(OR($D153="",CQ$5="",'상세일정'!AM153="제외"),"",IF($D153=$E153,IF(AND($D153&gt;=CQ$5,$D153&lt;CQ$5+7),"◆",""),IF(AND($D153&lt;CQ$5+7,$E153&gt;CQ$5),"■","")))</x:f>
      </x:c>
      <x:c r="CR153" s="7" t="str">
        <x:f>IF(OR($D153="",CR$5="",'상세일정'!AM153="제외"),"",IF($D153=$E153,IF(AND($D153&gt;=CR$5,$D153&lt;CR$5+7),"◆",""),IF(AND($D153&lt;CR$5+7,$E153&gt;CR$5),"■","")))</x:f>
      </x:c>
      <x:c r="CS153" s="7" t="str">
        <x:f>IF(OR($D153="",CS$5="",'상세일정'!AM153="제외"),"",IF($D153=$E153,IF(AND($D153&gt;=CS$5,$D153&lt;CS$5+7),"◆",""),IF(AND($D153&lt;CS$5+7,$E153&gt;CS$5),"■","")))</x:f>
      </x:c>
      <x:c r="CT153" s="7" t="str">
        <x:f>IF(OR($D153="",CT$5="",'상세일정'!AM153="제외"),"",IF($D153=$E153,IF(AND($D153&gt;=CT$5,$D153&lt;CT$5+7),"◆",""),IF(AND($D153&lt;CT$5+7,$E153&gt;CT$5),"■","")))</x:f>
      </x:c>
      <x:c r="CU153" s="7" t="str">
        <x:f>IF(OR($D153="",CU$5="",'상세일정'!AM153="제외"),"",IF($D153=$E153,IF(AND($D153&gt;=CU$5,$D153&lt;CU$5+7),"◆",""),IF(AND($D153&lt;CU$5+7,$E153&gt;CU$5),"■","")))</x:f>
      </x:c>
      <x:c r="CV153" s="7" t="str">
        <x:f>IF(OR($D153="",CV$5="",'상세일정'!AM153="제외"),"",IF($D153=$E153,IF(AND($D153&gt;=CV$5,$D153&lt;CV$5+7),"◆",""),IF(AND($D153&lt;CV$5+7,$E153&gt;CV$5),"■","")))</x:f>
      </x:c>
      <x:c r="CW153" s="7" t="str">
        <x:f>IF(OR($D153="",CW$5="",'상세일정'!AM153="제외"),"",IF($D153=$E153,IF(AND($D153&gt;=CW$5,$D153&lt;CW$5+7),"◆",""),IF(AND($D153&lt;CW$5+7,$E153&gt;CW$5),"■","")))</x:f>
      </x:c>
      <x:c r="CX153" s="7" t="str">
        <x:f>IF(OR($D153="",CX$5="",'상세일정'!AM153="제외"),"",IF($D153=$E153,IF(AND($D153&gt;=CX$5,$D153&lt;CX$5+7),"◆",""),IF(AND($D153&lt;CX$5+7,$E153&gt;CX$5),"■","")))</x:f>
      </x:c>
      <x:c r="CY153" s="7" t="str">
        <x:f>IF(OR($D153="",CY$5="",'상세일정'!AM153="제외"),"",IF($D153=$E153,IF(AND($D153&gt;=CY$5,$D153&lt;CY$5+7),"◆",""),IF(AND($D153&lt;CY$5+7,$E153&gt;CY$5),"■","")))</x:f>
      </x:c>
      <x:c r="CZ153" s="7" t="str">
        <x:f>IF(OR($D153="",CZ$5="",'상세일정'!AM153="제외"),"",IF($D153=$E153,IF(AND($D153&gt;=CZ$5,$D153&lt;CZ$5+7),"◆",""),IF(AND($D153&lt;CZ$5+7,$E153&gt;CZ$5),"■","")))</x:f>
      </x:c>
      <x:c r="DA153" s="7" t="str">
        <x:f>IF(OR($D153="",DA$5="",'상세일정'!AM153="제외"),"",IF($D153=$E153,IF(AND($D153&gt;=DA$5,$D153&lt;DA$5+7),"◆",""),IF(AND($D153&lt;DA$5+7,$E153&gt;DA$5),"■","")))</x:f>
      </x:c>
      <x:c r="DB153" s="7" t="str">
        <x:f>IF(OR($D153="",DB$5="",'상세일정'!AM153="제외"),"",IF($D153=$E153,IF(AND($D153&gt;=DB$5,$D153&lt;DB$5+7),"◆",""),IF(AND($D153&lt;DB$5+7,$E153&gt;DB$5),"■","")))</x:f>
      </x:c>
      <x:c r="DC153" s="7" t="str">
        <x:f>IF(OR($D153="",DC$5="",'상세일정'!AM153="제외"),"",IF($D153=$E153,IF(AND($D153&gt;=DC$5,$D153&lt;DC$5+7),"◆",""),IF(AND($D153&lt;DC$5+7,$E153&gt;DC$5),"■","")))</x:f>
      </x:c>
      <x:c r="DD153" s="7" t="str">
        <x:f>IF(OR($D153="",DD$5="",'상세일정'!AM153="제외"),"",IF($D153=$E153,IF(AND($D153&gt;=DD$5,$D153&lt;DD$5+7),"◆",""),IF(AND($D153&lt;DD$5+7,$E153&gt;DD$5),"■","")))</x:f>
      </x:c>
      <x:c r="DE153" s="7" t="str">
        <x:f>IF(OR($D153="",DE$5="",'상세일정'!AM153="제외"),"",IF($D153=$E153,IF(AND($D153&gt;=DE$5,$D153&lt;DE$5+7),"◆",""),IF(AND($D153&lt;DE$5+7,$E153&gt;DE$5),"■","")))</x:f>
      </x:c>
    </x:row>
    <x:row r="154" ht="34" customHeight="1">
      <x:c r="A154" s="7" t="str">
        <x:v>PN05</x:v>
      </x:c>
      <x:c r="B154" s="7" t="str">
        <x:v>16 기자재 구매·제작</x:v>
      </x:c>
      <x:c r="C154" s="7" t="str">
        <x:v>수배전반·제어반 조립·공장 기능시험</x:v>
      </x:c>
      <x:c r="D154" s="10" t="str">
        <x:f>'상세일정'!AJ154</x:f>
      </x:c>
      <x:c r="E154" s="10" t="str">
        <x:f>'상세일정'!AK154</x:f>
      </x:c>
      <x:c r="F154" s="7" t="str">
        <x:f>IF(OR($D154="",F$5="",'상세일정'!AM154="제외"),"",IF($D154=$E154,IF(AND($D154&gt;=F$5,$D154&lt;F$5+7),"◆",""),IF(AND($D154&lt;F$5+7,$E154&gt;F$5),"■","")))</x:f>
      </x:c>
      <x:c r="G154" s="7" t="str">
        <x:f>IF(OR($D154="",G$5="",'상세일정'!AM154="제외"),"",IF($D154=$E154,IF(AND($D154&gt;=G$5,$D154&lt;G$5+7),"◆",""),IF(AND($D154&lt;G$5+7,$E154&gt;G$5),"■","")))</x:f>
      </x:c>
      <x:c r="H154" s="7" t="str">
        <x:f>IF(OR($D154="",H$5="",'상세일정'!AM154="제외"),"",IF($D154=$E154,IF(AND($D154&gt;=H$5,$D154&lt;H$5+7),"◆",""),IF(AND($D154&lt;H$5+7,$E154&gt;H$5),"■","")))</x:f>
      </x:c>
      <x:c r="I154" s="7" t="str">
        <x:f>IF(OR($D154="",I$5="",'상세일정'!AM154="제외"),"",IF($D154=$E154,IF(AND($D154&gt;=I$5,$D154&lt;I$5+7),"◆",""),IF(AND($D154&lt;I$5+7,$E154&gt;I$5),"■","")))</x:f>
      </x:c>
      <x:c r="J154" s="7" t="str">
        <x:f>IF(OR($D154="",J$5="",'상세일정'!AM154="제외"),"",IF($D154=$E154,IF(AND($D154&gt;=J$5,$D154&lt;J$5+7),"◆",""),IF(AND($D154&lt;J$5+7,$E154&gt;J$5),"■","")))</x:f>
      </x:c>
      <x:c r="K154" s="7" t="str">
        <x:f>IF(OR($D154="",K$5="",'상세일정'!AM154="제외"),"",IF($D154=$E154,IF(AND($D154&gt;=K$5,$D154&lt;K$5+7),"◆",""),IF(AND($D154&lt;K$5+7,$E154&gt;K$5),"■","")))</x:f>
      </x:c>
      <x:c r="L154" s="7" t="str">
        <x:f>IF(OR($D154="",L$5="",'상세일정'!AM154="제외"),"",IF($D154=$E154,IF(AND($D154&gt;=L$5,$D154&lt;L$5+7),"◆",""),IF(AND($D154&lt;L$5+7,$E154&gt;L$5),"■","")))</x:f>
      </x:c>
      <x:c r="M154" s="7" t="str">
        <x:f>IF(OR($D154="",M$5="",'상세일정'!AM154="제외"),"",IF($D154=$E154,IF(AND($D154&gt;=M$5,$D154&lt;M$5+7),"◆",""),IF(AND($D154&lt;M$5+7,$E154&gt;M$5),"■","")))</x:f>
      </x:c>
      <x:c r="N154" s="7" t="str">
        <x:f>IF(OR($D154="",N$5="",'상세일정'!AM154="제외"),"",IF($D154=$E154,IF(AND($D154&gt;=N$5,$D154&lt;N$5+7),"◆",""),IF(AND($D154&lt;N$5+7,$E154&gt;N$5),"■","")))</x:f>
      </x:c>
      <x:c r="O154" s="7" t="str">
        <x:f>IF(OR($D154="",O$5="",'상세일정'!AM154="제외"),"",IF($D154=$E154,IF(AND($D154&gt;=O$5,$D154&lt;O$5+7),"◆",""),IF(AND($D154&lt;O$5+7,$E154&gt;O$5),"■","")))</x:f>
      </x:c>
      <x:c r="P154" s="7" t="str">
        <x:f>IF(OR($D154="",P$5="",'상세일정'!AM154="제외"),"",IF($D154=$E154,IF(AND($D154&gt;=P$5,$D154&lt;P$5+7),"◆",""),IF(AND($D154&lt;P$5+7,$E154&gt;P$5),"■","")))</x:f>
      </x:c>
      <x:c r="Q154" s="7" t="str">
        <x:f>IF(OR($D154="",Q$5="",'상세일정'!AM154="제외"),"",IF($D154=$E154,IF(AND($D154&gt;=Q$5,$D154&lt;Q$5+7),"◆",""),IF(AND($D154&lt;Q$5+7,$E154&gt;Q$5),"■","")))</x:f>
      </x:c>
      <x:c r="R154" s="7" t="str">
        <x:f>IF(OR($D154="",R$5="",'상세일정'!AM154="제외"),"",IF($D154=$E154,IF(AND($D154&gt;=R$5,$D154&lt;R$5+7),"◆",""),IF(AND($D154&lt;R$5+7,$E154&gt;R$5),"■","")))</x:f>
      </x:c>
      <x:c r="S154" s="7" t="str">
        <x:f>IF(OR($D154="",S$5="",'상세일정'!AM154="제외"),"",IF($D154=$E154,IF(AND($D154&gt;=S$5,$D154&lt;S$5+7),"◆",""),IF(AND($D154&lt;S$5+7,$E154&gt;S$5),"■","")))</x:f>
      </x:c>
      <x:c r="T154" s="7" t="str">
        <x:f>IF(OR($D154="",T$5="",'상세일정'!AM154="제외"),"",IF($D154=$E154,IF(AND($D154&gt;=T$5,$D154&lt;T$5+7),"◆",""),IF(AND($D154&lt;T$5+7,$E154&gt;T$5),"■","")))</x:f>
      </x:c>
      <x:c r="U154" s="7" t="str">
        <x:f>IF(OR($D154="",U$5="",'상세일정'!AM154="제외"),"",IF($D154=$E154,IF(AND($D154&gt;=U$5,$D154&lt;U$5+7),"◆",""),IF(AND($D154&lt;U$5+7,$E154&gt;U$5),"■","")))</x:f>
      </x:c>
      <x:c r="V154" s="7" t="str">
        <x:f>IF(OR($D154="",V$5="",'상세일정'!AM154="제외"),"",IF($D154=$E154,IF(AND($D154&gt;=V$5,$D154&lt;V$5+7),"◆",""),IF(AND($D154&lt;V$5+7,$E154&gt;V$5),"■","")))</x:f>
      </x:c>
      <x:c r="W154" s="7" t="str">
        <x:f>IF(OR($D154="",W$5="",'상세일정'!AM154="제외"),"",IF($D154=$E154,IF(AND($D154&gt;=W$5,$D154&lt;W$5+7),"◆",""),IF(AND($D154&lt;W$5+7,$E154&gt;W$5),"■","")))</x:f>
      </x:c>
      <x:c r="X154" s="7" t="str">
        <x:f>IF(OR($D154="",X$5="",'상세일정'!AM154="제외"),"",IF($D154=$E154,IF(AND($D154&gt;=X$5,$D154&lt;X$5+7),"◆",""),IF(AND($D154&lt;X$5+7,$E154&gt;X$5),"■","")))</x:f>
      </x:c>
      <x:c r="Y154" s="7" t="str">
        <x:f>IF(OR($D154="",Y$5="",'상세일정'!AM154="제외"),"",IF($D154=$E154,IF(AND($D154&gt;=Y$5,$D154&lt;Y$5+7),"◆",""),IF(AND($D154&lt;Y$5+7,$E154&gt;Y$5),"■","")))</x:f>
      </x:c>
      <x:c r="Z154" s="7" t="str">
        <x:f>IF(OR($D154="",Z$5="",'상세일정'!AM154="제외"),"",IF($D154=$E154,IF(AND($D154&gt;=Z$5,$D154&lt;Z$5+7),"◆",""),IF(AND($D154&lt;Z$5+7,$E154&gt;Z$5),"■","")))</x:f>
      </x:c>
      <x:c r="AA154" s="7" t="str">
        <x:f>IF(OR($D154="",AA$5="",'상세일정'!AM154="제외"),"",IF($D154=$E154,IF(AND($D154&gt;=AA$5,$D154&lt;AA$5+7),"◆",""),IF(AND($D154&lt;AA$5+7,$E154&gt;AA$5),"■","")))</x:f>
      </x:c>
      <x:c r="AB154" s="7" t="str">
        <x:f>IF(OR($D154="",AB$5="",'상세일정'!AM154="제외"),"",IF($D154=$E154,IF(AND($D154&gt;=AB$5,$D154&lt;AB$5+7),"◆",""),IF(AND($D154&lt;AB$5+7,$E154&gt;AB$5),"■","")))</x:f>
      </x:c>
      <x:c r="AC154" s="7" t="str">
        <x:f>IF(OR($D154="",AC$5="",'상세일정'!AM154="제외"),"",IF($D154=$E154,IF(AND($D154&gt;=AC$5,$D154&lt;AC$5+7),"◆",""),IF(AND($D154&lt;AC$5+7,$E154&gt;AC$5),"■","")))</x:f>
      </x:c>
      <x:c r="AD154" s="7" t="str">
        <x:f>IF(OR($D154="",AD$5="",'상세일정'!AM154="제외"),"",IF($D154=$E154,IF(AND($D154&gt;=AD$5,$D154&lt;AD$5+7),"◆",""),IF(AND($D154&lt;AD$5+7,$E154&gt;AD$5),"■","")))</x:f>
      </x:c>
      <x:c r="AE154" s="7" t="str">
        <x:f>IF(OR($D154="",AE$5="",'상세일정'!AM154="제외"),"",IF($D154=$E154,IF(AND($D154&gt;=AE$5,$D154&lt;AE$5+7),"◆",""),IF(AND($D154&lt;AE$5+7,$E154&gt;AE$5),"■","")))</x:f>
      </x:c>
      <x:c r="AF154" s="7" t="str">
        <x:f>IF(OR($D154="",AF$5="",'상세일정'!AM154="제외"),"",IF($D154=$E154,IF(AND($D154&gt;=AF$5,$D154&lt;AF$5+7),"◆",""),IF(AND($D154&lt;AF$5+7,$E154&gt;AF$5),"■","")))</x:f>
      </x:c>
      <x:c r="AG154" s="7" t="str">
        <x:f>IF(OR($D154="",AG$5="",'상세일정'!AM154="제외"),"",IF($D154=$E154,IF(AND($D154&gt;=AG$5,$D154&lt;AG$5+7),"◆",""),IF(AND($D154&lt;AG$5+7,$E154&gt;AG$5),"■","")))</x:f>
      </x:c>
      <x:c r="AH154" s="7" t="str">
        <x:f>IF(OR($D154="",AH$5="",'상세일정'!AM154="제외"),"",IF($D154=$E154,IF(AND($D154&gt;=AH$5,$D154&lt;AH$5+7),"◆",""),IF(AND($D154&lt;AH$5+7,$E154&gt;AH$5),"■","")))</x:f>
      </x:c>
      <x:c r="AI154" s="7" t="str">
        <x:f>IF(OR($D154="",AI$5="",'상세일정'!AM154="제외"),"",IF($D154=$E154,IF(AND($D154&gt;=AI$5,$D154&lt;AI$5+7),"◆",""),IF(AND($D154&lt;AI$5+7,$E154&gt;AI$5),"■","")))</x:f>
      </x:c>
      <x:c r="AJ154" s="7" t="str">
        <x:f>IF(OR($D154="",AJ$5="",'상세일정'!AM154="제외"),"",IF($D154=$E154,IF(AND($D154&gt;=AJ$5,$D154&lt;AJ$5+7),"◆",""),IF(AND($D154&lt;AJ$5+7,$E154&gt;AJ$5),"■","")))</x:f>
      </x:c>
      <x:c r="AK154" s="7" t="str">
        <x:f>IF(OR($D154="",AK$5="",'상세일정'!AM154="제외"),"",IF($D154=$E154,IF(AND($D154&gt;=AK$5,$D154&lt;AK$5+7),"◆",""),IF(AND($D154&lt;AK$5+7,$E154&gt;AK$5),"■","")))</x:f>
      </x:c>
      <x:c r="AL154" s="7" t="str">
        <x:f>IF(OR($D154="",AL$5="",'상세일정'!AM154="제외"),"",IF($D154=$E154,IF(AND($D154&gt;=AL$5,$D154&lt;AL$5+7),"◆",""),IF(AND($D154&lt;AL$5+7,$E154&gt;AL$5),"■","")))</x:f>
      </x:c>
      <x:c r="AM154" s="7" t="str">
        <x:f>IF(OR($D154="",AM$5="",'상세일정'!AM154="제외"),"",IF($D154=$E154,IF(AND($D154&gt;=AM$5,$D154&lt;AM$5+7),"◆",""),IF(AND($D154&lt;AM$5+7,$E154&gt;AM$5),"■","")))</x:f>
      </x:c>
      <x:c r="AN154" s="7" t="str">
        <x:f>IF(OR($D154="",AN$5="",'상세일정'!AM154="제외"),"",IF($D154=$E154,IF(AND($D154&gt;=AN$5,$D154&lt;AN$5+7),"◆",""),IF(AND($D154&lt;AN$5+7,$E154&gt;AN$5),"■","")))</x:f>
      </x:c>
      <x:c r="AO154" s="7" t="str">
        <x:f>IF(OR($D154="",AO$5="",'상세일정'!AM154="제외"),"",IF($D154=$E154,IF(AND($D154&gt;=AO$5,$D154&lt;AO$5+7),"◆",""),IF(AND($D154&lt;AO$5+7,$E154&gt;AO$5),"■","")))</x:f>
      </x:c>
      <x:c r="AP154" s="7" t="str">
        <x:f>IF(OR($D154="",AP$5="",'상세일정'!AM154="제외"),"",IF($D154=$E154,IF(AND($D154&gt;=AP$5,$D154&lt;AP$5+7),"◆",""),IF(AND($D154&lt;AP$5+7,$E154&gt;AP$5),"■","")))</x:f>
      </x:c>
      <x:c r="AQ154" s="7" t="str">
        <x:f>IF(OR($D154="",AQ$5="",'상세일정'!AM154="제외"),"",IF($D154=$E154,IF(AND($D154&gt;=AQ$5,$D154&lt;AQ$5+7),"◆",""),IF(AND($D154&lt;AQ$5+7,$E154&gt;AQ$5),"■","")))</x:f>
      </x:c>
      <x:c r="AR154" s="7" t="str">
        <x:f>IF(OR($D154="",AR$5="",'상세일정'!AM154="제외"),"",IF($D154=$E154,IF(AND($D154&gt;=AR$5,$D154&lt;AR$5+7),"◆",""),IF(AND($D154&lt;AR$5+7,$E154&gt;AR$5),"■","")))</x:f>
      </x:c>
      <x:c r="AS154" s="7" t="str">
        <x:f>IF(OR($D154="",AS$5="",'상세일정'!AM154="제외"),"",IF($D154=$E154,IF(AND($D154&gt;=AS$5,$D154&lt;AS$5+7),"◆",""),IF(AND($D154&lt;AS$5+7,$E154&gt;AS$5),"■","")))</x:f>
      </x:c>
      <x:c r="AT154" s="7" t="str">
        <x:f>IF(OR($D154="",AT$5="",'상세일정'!AM154="제외"),"",IF($D154=$E154,IF(AND($D154&gt;=AT$5,$D154&lt;AT$5+7),"◆",""),IF(AND($D154&lt;AT$5+7,$E154&gt;AT$5),"■","")))</x:f>
      </x:c>
      <x:c r="AU154" s="7" t="str">
        <x:f>IF(OR($D154="",AU$5="",'상세일정'!AM154="제외"),"",IF($D154=$E154,IF(AND($D154&gt;=AU$5,$D154&lt;AU$5+7),"◆",""),IF(AND($D154&lt;AU$5+7,$E154&gt;AU$5),"■","")))</x:f>
      </x:c>
      <x:c r="AV154" s="7" t="str">
        <x:f>IF(OR($D154="",AV$5="",'상세일정'!AM154="제외"),"",IF($D154=$E154,IF(AND($D154&gt;=AV$5,$D154&lt;AV$5+7),"◆",""),IF(AND($D154&lt;AV$5+7,$E154&gt;AV$5),"■","")))</x:f>
      </x:c>
      <x:c r="AW154" s="7" t="str">
        <x:f>IF(OR($D154="",AW$5="",'상세일정'!AM154="제외"),"",IF($D154=$E154,IF(AND($D154&gt;=AW$5,$D154&lt;AW$5+7),"◆",""),IF(AND($D154&lt;AW$5+7,$E154&gt;AW$5),"■","")))</x:f>
      </x:c>
      <x:c r="AX154" s="7" t="str">
        <x:f>IF(OR($D154="",AX$5="",'상세일정'!AM154="제외"),"",IF($D154=$E154,IF(AND($D154&gt;=AX$5,$D154&lt;AX$5+7),"◆",""),IF(AND($D154&lt;AX$5+7,$E154&gt;AX$5),"■","")))</x:f>
      </x:c>
      <x:c r="AY154" s="7" t="str">
        <x:f>IF(OR($D154="",AY$5="",'상세일정'!AM154="제외"),"",IF($D154=$E154,IF(AND($D154&gt;=AY$5,$D154&lt;AY$5+7),"◆",""),IF(AND($D154&lt;AY$5+7,$E154&gt;AY$5),"■","")))</x:f>
      </x:c>
      <x:c r="AZ154" s="7" t="str">
        <x:f>IF(OR($D154="",AZ$5="",'상세일정'!AM154="제외"),"",IF($D154=$E154,IF(AND($D154&gt;=AZ$5,$D154&lt;AZ$5+7),"◆",""),IF(AND($D154&lt;AZ$5+7,$E154&gt;AZ$5),"■","")))</x:f>
      </x:c>
      <x:c r="BA154" s="7" t="str">
        <x:f>IF(OR($D154="",BA$5="",'상세일정'!AM154="제외"),"",IF($D154=$E154,IF(AND($D154&gt;=BA$5,$D154&lt;BA$5+7),"◆",""),IF(AND($D154&lt;BA$5+7,$E154&gt;BA$5),"■","")))</x:f>
      </x:c>
      <x:c r="BB154" s="7" t="str">
        <x:f>IF(OR($D154="",BB$5="",'상세일정'!AM154="제외"),"",IF($D154=$E154,IF(AND($D154&gt;=BB$5,$D154&lt;BB$5+7),"◆",""),IF(AND($D154&lt;BB$5+7,$E154&gt;BB$5),"■","")))</x:f>
      </x:c>
      <x:c r="BC154" s="7" t="str">
        <x:f>IF(OR($D154="",BC$5="",'상세일정'!AM154="제외"),"",IF($D154=$E154,IF(AND($D154&gt;=BC$5,$D154&lt;BC$5+7),"◆",""),IF(AND($D154&lt;BC$5+7,$E154&gt;BC$5),"■","")))</x:f>
      </x:c>
      <x:c r="BD154" s="7" t="str">
        <x:f>IF(OR($D154="",BD$5="",'상세일정'!AM154="제외"),"",IF($D154=$E154,IF(AND($D154&gt;=BD$5,$D154&lt;BD$5+7),"◆",""),IF(AND($D154&lt;BD$5+7,$E154&gt;BD$5),"■","")))</x:f>
      </x:c>
      <x:c r="BE154" s="7" t="str">
        <x:f>IF(OR($D154="",BE$5="",'상세일정'!AM154="제외"),"",IF($D154=$E154,IF(AND($D154&gt;=BE$5,$D154&lt;BE$5+7),"◆",""),IF(AND($D154&lt;BE$5+7,$E154&gt;BE$5),"■","")))</x:f>
      </x:c>
      <x:c r="BF154" s="7" t="str">
        <x:f>IF(OR($D154="",BF$5="",'상세일정'!AM154="제외"),"",IF($D154=$E154,IF(AND($D154&gt;=BF$5,$D154&lt;BF$5+7),"◆",""),IF(AND($D154&lt;BF$5+7,$E154&gt;BF$5),"■","")))</x:f>
      </x:c>
      <x:c r="BG154" s="7" t="str">
        <x:f>IF(OR($D154="",BG$5="",'상세일정'!AM154="제외"),"",IF($D154=$E154,IF(AND($D154&gt;=BG$5,$D154&lt;BG$5+7),"◆",""),IF(AND($D154&lt;BG$5+7,$E154&gt;BG$5),"■","")))</x:f>
      </x:c>
      <x:c r="BH154" s="7" t="str">
        <x:f>IF(OR($D154="",BH$5="",'상세일정'!AM154="제외"),"",IF($D154=$E154,IF(AND($D154&gt;=BH$5,$D154&lt;BH$5+7),"◆",""),IF(AND($D154&lt;BH$5+7,$E154&gt;BH$5),"■","")))</x:f>
      </x:c>
      <x:c r="BI154" s="7" t="str">
        <x:f>IF(OR($D154="",BI$5="",'상세일정'!AM154="제외"),"",IF($D154=$E154,IF(AND($D154&gt;=BI$5,$D154&lt;BI$5+7),"◆",""),IF(AND($D154&lt;BI$5+7,$E154&gt;BI$5),"■","")))</x:f>
      </x:c>
      <x:c r="BJ154" s="7" t="str">
        <x:f>IF(OR($D154="",BJ$5="",'상세일정'!AM154="제외"),"",IF($D154=$E154,IF(AND($D154&gt;=BJ$5,$D154&lt;BJ$5+7),"◆",""),IF(AND($D154&lt;BJ$5+7,$E154&gt;BJ$5),"■","")))</x:f>
      </x:c>
      <x:c r="BK154" s="7" t="str">
        <x:f>IF(OR($D154="",BK$5="",'상세일정'!AM154="제외"),"",IF($D154=$E154,IF(AND($D154&gt;=BK$5,$D154&lt;BK$5+7),"◆",""),IF(AND($D154&lt;BK$5+7,$E154&gt;BK$5),"■","")))</x:f>
      </x:c>
      <x:c r="BL154" s="7" t="str">
        <x:f>IF(OR($D154="",BL$5="",'상세일정'!AM154="제외"),"",IF($D154=$E154,IF(AND($D154&gt;=BL$5,$D154&lt;BL$5+7),"◆",""),IF(AND($D154&lt;BL$5+7,$E154&gt;BL$5),"■","")))</x:f>
      </x:c>
      <x:c r="BM154" s="7" t="str">
        <x:f>IF(OR($D154="",BM$5="",'상세일정'!AM154="제외"),"",IF($D154=$E154,IF(AND($D154&gt;=BM$5,$D154&lt;BM$5+7),"◆",""),IF(AND($D154&lt;BM$5+7,$E154&gt;BM$5),"■","")))</x:f>
      </x:c>
      <x:c r="BN154" s="7" t="str">
        <x:f>IF(OR($D154="",BN$5="",'상세일정'!AM154="제외"),"",IF($D154=$E154,IF(AND($D154&gt;=BN$5,$D154&lt;BN$5+7),"◆",""),IF(AND($D154&lt;BN$5+7,$E154&gt;BN$5),"■","")))</x:f>
      </x:c>
      <x:c r="BO154" s="7" t="str">
        <x:f>IF(OR($D154="",BO$5="",'상세일정'!AM154="제외"),"",IF($D154=$E154,IF(AND($D154&gt;=BO$5,$D154&lt;BO$5+7),"◆",""),IF(AND($D154&lt;BO$5+7,$E154&gt;BO$5),"■","")))</x:f>
      </x:c>
      <x:c r="BP154" s="7" t="str">
        <x:f>IF(OR($D154="",BP$5="",'상세일정'!AM154="제외"),"",IF($D154=$E154,IF(AND($D154&gt;=BP$5,$D154&lt;BP$5+7),"◆",""),IF(AND($D154&lt;BP$5+7,$E154&gt;BP$5),"■","")))</x:f>
      </x:c>
      <x:c r="BQ154" s="7" t="str">
        <x:f>IF(OR($D154="",BQ$5="",'상세일정'!AM154="제외"),"",IF($D154=$E154,IF(AND($D154&gt;=BQ$5,$D154&lt;BQ$5+7),"◆",""),IF(AND($D154&lt;BQ$5+7,$E154&gt;BQ$5),"■","")))</x:f>
      </x:c>
      <x:c r="BR154" s="7" t="str">
        <x:f>IF(OR($D154="",BR$5="",'상세일정'!AM154="제외"),"",IF($D154=$E154,IF(AND($D154&gt;=BR$5,$D154&lt;BR$5+7),"◆",""),IF(AND($D154&lt;BR$5+7,$E154&gt;BR$5),"■","")))</x:f>
      </x:c>
      <x:c r="BS154" s="7" t="str">
        <x:f>IF(OR($D154="",BS$5="",'상세일정'!AM154="제외"),"",IF($D154=$E154,IF(AND($D154&gt;=BS$5,$D154&lt;BS$5+7),"◆",""),IF(AND($D154&lt;BS$5+7,$E154&gt;BS$5),"■","")))</x:f>
      </x:c>
      <x:c r="BT154" s="7" t="str">
        <x:f>IF(OR($D154="",BT$5="",'상세일정'!AM154="제외"),"",IF($D154=$E154,IF(AND($D154&gt;=BT$5,$D154&lt;BT$5+7),"◆",""),IF(AND($D154&lt;BT$5+7,$E154&gt;BT$5),"■","")))</x:f>
      </x:c>
      <x:c r="BU154" s="7" t="str">
        <x:f>IF(OR($D154="",BU$5="",'상세일정'!AM154="제외"),"",IF($D154=$E154,IF(AND($D154&gt;=BU$5,$D154&lt;BU$5+7),"◆",""),IF(AND($D154&lt;BU$5+7,$E154&gt;BU$5),"■","")))</x:f>
      </x:c>
      <x:c r="BV154" s="7" t="str">
        <x:f>IF(OR($D154="",BV$5="",'상세일정'!AM154="제외"),"",IF($D154=$E154,IF(AND($D154&gt;=BV$5,$D154&lt;BV$5+7),"◆",""),IF(AND($D154&lt;BV$5+7,$E154&gt;BV$5),"■","")))</x:f>
      </x:c>
      <x:c r="BW154" s="7" t="str">
        <x:f>IF(OR($D154="",BW$5="",'상세일정'!AM154="제외"),"",IF($D154=$E154,IF(AND($D154&gt;=BW$5,$D154&lt;BW$5+7),"◆",""),IF(AND($D154&lt;BW$5+7,$E154&gt;BW$5),"■","")))</x:f>
      </x:c>
      <x:c r="BX154" s="7" t="str">
        <x:f>IF(OR($D154="",BX$5="",'상세일정'!AM154="제외"),"",IF($D154=$E154,IF(AND($D154&gt;=BX$5,$D154&lt;BX$5+7),"◆",""),IF(AND($D154&lt;BX$5+7,$E154&gt;BX$5),"■","")))</x:f>
      </x:c>
      <x:c r="BY154" s="7" t="str">
        <x:f>IF(OR($D154="",BY$5="",'상세일정'!AM154="제외"),"",IF($D154=$E154,IF(AND($D154&gt;=BY$5,$D154&lt;BY$5+7),"◆",""),IF(AND($D154&lt;BY$5+7,$E154&gt;BY$5),"■","")))</x:f>
      </x:c>
      <x:c r="BZ154" s="7" t="str">
        <x:f>IF(OR($D154="",BZ$5="",'상세일정'!AM154="제외"),"",IF($D154=$E154,IF(AND($D154&gt;=BZ$5,$D154&lt;BZ$5+7),"◆",""),IF(AND($D154&lt;BZ$5+7,$E154&gt;BZ$5),"■","")))</x:f>
      </x:c>
      <x:c r="CA154" s="7" t="str">
        <x:f>IF(OR($D154="",CA$5="",'상세일정'!AM154="제외"),"",IF($D154=$E154,IF(AND($D154&gt;=CA$5,$D154&lt;CA$5+7),"◆",""),IF(AND($D154&lt;CA$5+7,$E154&gt;CA$5),"■","")))</x:f>
      </x:c>
      <x:c r="CB154" s="7" t="str">
        <x:f>IF(OR($D154="",CB$5="",'상세일정'!AM154="제외"),"",IF($D154=$E154,IF(AND($D154&gt;=CB$5,$D154&lt;CB$5+7),"◆",""),IF(AND($D154&lt;CB$5+7,$E154&gt;CB$5),"■","")))</x:f>
      </x:c>
      <x:c r="CC154" s="7" t="str">
        <x:f>IF(OR($D154="",CC$5="",'상세일정'!AM154="제외"),"",IF($D154=$E154,IF(AND($D154&gt;=CC$5,$D154&lt;CC$5+7),"◆",""),IF(AND($D154&lt;CC$5+7,$E154&gt;CC$5),"■","")))</x:f>
      </x:c>
      <x:c r="CD154" s="7" t="str">
        <x:f>IF(OR($D154="",CD$5="",'상세일정'!AM154="제외"),"",IF($D154=$E154,IF(AND($D154&gt;=CD$5,$D154&lt;CD$5+7),"◆",""),IF(AND($D154&lt;CD$5+7,$E154&gt;CD$5),"■","")))</x:f>
      </x:c>
      <x:c r="CE154" s="7" t="str">
        <x:f>IF(OR($D154="",CE$5="",'상세일정'!AM154="제외"),"",IF($D154=$E154,IF(AND($D154&gt;=CE$5,$D154&lt;CE$5+7),"◆",""),IF(AND($D154&lt;CE$5+7,$E154&gt;CE$5),"■","")))</x:f>
      </x:c>
      <x:c r="CF154" s="7" t="str">
        <x:f>IF(OR($D154="",CF$5="",'상세일정'!AM154="제외"),"",IF($D154=$E154,IF(AND($D154&gt;=CF$5,$D154&lt;CF$5+7),"◆",""),IF(AND($D154&lt;CF$5+7,$E154&gt;CF$5),"■","")))</x:f>
      </x:c>
      <x:c r="CG154" s="7" t="str">
        <x:f>IF(OR($D154="",CG$5="",'상세일정'!AM154="제외"),"",IF($D154=$E154,IF(AND($D154&gt;=CG$5,$D154&lt;CG$5+7),"◆",""),IF(AND($D154&lt;CG$5+7,$E154&gt;CG$5),"■","")))</x:f>
      </x:c>
      <x:c r="CH154" s="7" t="str">
        <x:f>IF(OR($D154="",CH$5="",'상세일정'!AM154="제외"),"",IF($D154=$E154,IF(AND($D154&gt;=CH$5,$D154&lt;CH$5+7),"◆",""),IF(AND($D154&lt;CH$5+7,$E154&gt;CH$5),"■","")))</x:f>
      </x:c>
      <x:c r="CI154" s="7" t="str">
        <x:f>IF(OR($D154="",CI$5="",'상세일정'!AM154="제외"),"",IF($D154=$E154,IF(AND($D154&gt;=CI$5,$D154&lt;CI$5+7),"◆",""),IF(AND($D154&lt;CI$5+7,$E154&gt;CI$5),"■","")))</x:f>
      </x:c>
      <x:c r="CJ154" s="7" t="str">
        <x:f>IF(OR($D154="",CJ$5="",'상세일정'!AM154="제외"),"",IF($D154=$E154,IF(AND($D154&gt;=CJ$5,$D154&lt;CJ$5+7),"◆",""),IF(AND($D154&lt;CJ$5+7,$E154&gt;CJ$5),"■","")))</x:f>
      </x:c>
      <x:c r="CK154" s="7" t="str">
        <x:f>IF(OR($D154="",CK$5="",'상세일정'!AM154="제외"),"",IF($D154=$E154,IF(AND($D154&gt;=CK$5,$D154&lt;CK$5+7),"◆",""),IF(AND($D154&lt;CK$5+7,$E154&gt;CK$5),"■","")))</x:f>
      </x:c>
      <x:c r="CL154" s="7" t="str">
        <x:f>IF(OR($D154="",CL$5="",'상세일정'!AM154="제외"),"",IF($D154=$E154,IF(AND($D154&gt;=CL$5,$D154&lt;CL$5+7),"◆",""),IF(AND($D154&lt;CL$5+7,$E154&gt;CL$5),"■","")))</x:f>
      </x:c>
      <x:c r="CM154" s="7" t="str">
        <x:f>IF(OR($D154="",CM$5="",'상세일정'!AM154="제외"),"",IF($D154=$E154,IF(AND($D154&gt;=CM$5,$D154&lt;CM$5+7),"◆",""),IF(AND($D154&lt;CM$5+7,$E154&gt;CM$5),"■","")))</x:f>
      </x:c>
      <x:c r="CN154" s="7" t="str">
        <x:f>IF(OR($D154="",CN$5="",'상세일정'!AM154="제외"),"",IF($D154=$E154,IF(AND($D154&gt;=CN$5,$D154&lt;CN$5+7),"◆",""),IF(AND($D154&lt;CN$5+7,$E154&gt;CN$5),"■","")))</x:f>
      </x:c>
      <x:c r="CO154" s="7" t="str">
        <x:f>IF(OR($D154="",CO$5="",'상세일정'!AM154="제외"),"",IF($D154=$E154,IF(AND($D154&gt;=CO$5,$D154&lt;CO$5+7),"◆",""),IF(AND($D154&lt;CO$5+7,$E154&gt;CO$5),"■","")))</x:f>
      </x:c>
      <x:c r="CP154" s="7" t="str">
        <x:f>IF(OR($D154="",CP$5="",'상세일정'!AM154="제외"),"",IF($D154=$E154,IF(AND($D154&gt;=CP$5,$D154&lt;CP$5+7),"◆",""),IF(AND($D154&lt;CP$5+7,$E154&gt;CP$5),"■","")))</x:f>
      </x:c>
      <x:c r="CQ154" s="7" t="str">
        <x:f>IF(OR($D154="",CQ$5="",'상세일정'!AM154="제외"),"",IF($D154=$E154,IF(AND($D154&gt;=CQ$5,$D154&lt;CQ$5+7),"◆",""),IF(AND($D154&lt;CQ$5+7,$E154&gt;CQ$5),"■","")))</x:f>
      </x:c>
      <x:c r="CR154" s="7" t="str">
        <x:f>IF(OR($D154="",CR$5="",'상세일정'!AM154="제외"),"",IF($D154=$E154,IF(AND($D154&gt;=CR$5,$D154&lt;CR$5+7),"◆",""),IF(AND($D154&lt;CR$5+7,$E154&gt;CR$5),"■","")))</x:f>
      </x:c>
      <x:c r="CS154" s="7" t="str">
        <x:f>IF(OR($D154="",CS$5="",'상세일정'!AM154="제외"),"",IF($D154=$E154,IF(AND($D154&gt;=CS$5,$D154&lt;CS$5+7),"◆",""),IF(AND($D154&lt;CS$5+7,$E154&gt;CS$5),"■","")))</x:f>
      </x:c>
      <x:c r="CT154" s="7" t="str">
        <x:f>IF(OR($D154="",CT$5="",'상세일정'!AM154="제외"),"",IF($D154=$E154,IF(AND($D154&gt;=CT$5,$D154&lt;CT$5+7),"◆",""),IF(AND($D154&lt;CT$5+7,$E154&gt;CT$5),"■","")))</x:f>
      </x:c>
      <x:c r="CU154" s="7" t="str">
        <x:f>IF(OR($D154="",CU$5="",'상세일정'!AM154="제외"),"",IF($D154=$E154,IF(AND($D154&gt;=CU$5,$D154&lt;CU$5+7),"◆",""),IF(AND($D154&lt;CU$5+7,$E154&gt;CU$5),"■","")))</x:f>
      </x:c>
      <x:c r="CV154" s="7" t="str">
        <x:f>IF(OR($D154="",CV$5="",'상세일정'!AM154="제외"),"",IF($D154=$E154,IF(AND($D154&gt;=CV$5,$D154&lt;CV$5+7),"◆",""),IF(AND($D154&lt;CV$5+7,$E154&gt;CV$5),"■","")))</x:f>
      </x:c>
      <x:c r="CW154" s="7" t="str">
        <x:f>IF(OR($D154="",CW$5="",'상세일정'!AM154="제외"),"",IF($D154=$E154,IF(AND($D154&gt;=CW$5,$D154&lt;CW$5+7),"◆",""),IF(AND($D154&lt;CW$5+7,$E154&gt;CW$5),"■","")))</x:f>
      </x:c>
      <x:c r="CX154" s="7" t="str">
        <x:f>IF(OR($D154="",CX$5="",'상세일정'!AM154="제외"),"",IF($D154=$E154,IF(AND($D154&gt;=CX$5,$D154&lt;CX$5+7),"◆",""),IF(AND($D154&lt;CX$5+7,$E154&gt;CX$5),"■","")))</x:f>
      </x:c>
      <x:c r="CY154" s="7" t="str">
        <x:f>IF(OR($D154="",CY$5="",'상세일정'!AM154="제외"),"",IF($D154=$E154,IF(AND($D154&gt;=CY$5,$D154&lt;CY$5+7),"◆",""),IF(AND($D154&lt;CY$5+7,$E154&gt;CY$5),"■","")))</x:f>
      </x:c>
      <x:c r="CZ154" s="7" t="str">
        <x:f>IF(OR($D154="",CZ$5="",'상세일정'!AM154="제외"),"",IF($D154=$E154,IF(AND($D154&gt;=CZ$5,$D154&lt;CZ$5+7),"◆",""),IF(AND($D154&lt;CZ$5+7,$E154&gt;CZ$5),"■","")))</x:f>
      </x:c>
      <x:c r="DA154" s="7" t="str">
        <x:f>IF(OR($D154="",DA$5="",'상세일정'!AM154="제외"),"",IF($D154=$E154,IF(AND($D154&gt;=DA$5,$D154&lt;DA$5+7),"◆",""),IF(AND($D154&lt;DA$5+7,$E154&gt;DA$5),"■","")))</x:f>
      </x:c>
      <x:c r="DB154" s="7" t="str">
        <x:f>IF(OR($D154="",DB$5="",'상세일정'!AM154="제외"),"",IF($D154=$E154,IF(AND($D154&gt;=DB$5,$D154&lt;DB$5+7),"◆",""),IF(AND($D154&lt;DB$5+7,$E154&gt;DB$5),"■","")))</x:f>
      </x:c>
      <x:c r="DC154" s="7" t="str">
        <x:f>IF(OR($D154="",DC$5="",'상세일정'!AM154="제외"),"",IF($D154=$E154,IF(AND($D154&gt;=DC$5,$D154&lt;DC$5+7),"◆",""),IF(AND($D154&lt;DC$5+7,$E154&gt;DC$5),"■","")))</x:f>
      </x:c>
      <x:c r="DD154" s="7" t="str">
        <x:f>IF(OR($D154="",DD$5="",'상세일정'!AM154="제외"),"",IF($D154=$E154,IF(AND($D154&gt;=DD$5,$D154&lt;DD$5+7),"◆",""),IF(AND($D154&lt;DD$5+7,$E154&gt;DD$5),"■","")))</x:f>
      </x:c>
      <x:c r="DE154" s="7" t="str">
        <x:f>IF(OR($D154="",DE$5="",'상세일정'!AM154="제외"),"",IF($D154=$E154,IF(AND($D154&gt;=DE$5,$D154&lt;DE$5+7),"◆",""),IF(AND($D154&lt;DE$5+7,$E154&gt;DE$5),"■","")))</x:f>
      </x:c>
    </x:row>
    <x:row r="155" ht="34" customHeight="1">
      <x:c r="A155" s="7" t="str">
        <x:v>PN06</x:v>
      </x:c>
      <x:c r="B155" s="7" t="str">
        <x:v>16 기자재 구매·제작</x:v>
      </x:c>
      <x:c r="C155" s="7" t="str">
        <x:v>수배전반·제어반 FAT 입회·지적사항 조치</x:v>
      </x:c>
      <x:c r="D155" s="10" t="str">
        <x:f>'상세일정'!AJ155</x:f>
      </x:c>
      <x:c r="E155" s="10" t="str">
        <x:f>'상세일정'!AK155</x:f>
      </x:c>
      <x:c r="F155" s="7" t="str">
        <x:f>IF(OR($D155="",F$5="",'상세일정'!AM155="제외"),"",IF($D155=$E155,IF(AND($D155&gt;=F$5,$D155&lt;F$5+7),"◆",""),IF(AND($D155&lt;F$5+7,$E155&gt;F$5),"■","")))</x:f>
      </x:c>
      <x:c r="G155" s="7" t="str">
        <x:f>IF(OR($D155="",G$5="",'상세일정'!AM155="제외"),"",IF($D155=$E155,IF(AND($D155&gt;=G$5,$D155&lt;G$5+7),"◆",""),IF(AND($D155&lt;G$5+7,$E155&gt;G$5),"■","")))</x:f>
      </x:c>
      <x:c r="H155" s="7" t="str">
        <x:f>IF(OR($D155="",H$5="",'상세일정'!AM155="제외"),"",IF($D155=$E155,IF(AND($D155&gt;=H$5,$D155&lt;H$5+7),"◆",""),IF(AND($D155&lt;H$5+7,$E155&gt;H$5),"■","")))</x:f>
      </x:c>
      <x:c r="I155" s="7" t="str">
        <x:f>IF(OR($D155="",I$5="",'상세일정'!AM155="제외"),"",IF($D155=$E155,IF(AND($D155&gt;=I$5,$D155&lt;I$5+7),"◆",""),IF(AND($D155&lt;I$5+7,$E155&gt;I$5),"■","")))</x:f>
      </x:c>
      <x:c r="J155" s="7" t="str">
        <x:f>IF(OR($D155="",J$5="",'상세일정'!AM155="제외"),"",IF($D155=$E155,IF(AND($D155&gt;=J$5,$D155&lt;J$5+7),"◆",""),IF(AND($D155&lt;J$5+7,$E155&gt;J$5),"■","")))</x:f>
      </x:c>
      <x:c r="K155" s="7" t="str">
        <x:f>IF(OR($D155="",K$5="",'상세일정'!AM155="제외"),"",IF($D155=$E155,IF(AND($D155&gt;=K$5,$D155&lt;K$5+7),"◆",""),IF(AND($D155&lt;K$5+7,$E155&gt;K$5),"■","")))</x:f>
      </x:c>
      <x:c r="L155" s="7" t="str">
        <x:f>IF(OR($D155="",L$5="",'상세일정'!AM155="제외"),"",IF($D155=$E155,IF(AND($D155&gt;=L$5,$D155&lt;L$5+7),"◆",""),IF(AND($D155&lt;L$5+7,$E155&gt;L$5),"■","")))</x:f>
      </x:c>
      <x:c r="M155" s="7" t="str">
        <x:f>IF(OR($D155="",M$5="",'상세일정'!AM155="제외"),"",IF($D155=$E155,IF(AND($D155&gt;=M$5,$D155&lt;M$5+7),"◆",""),IF(AND($D155&lt;M$5+7,$E155&gt;M$5),"■","")))</x:f>
      </x:c>
      <x:c r="N155" s="7" t="str">
        <x:f>IF(OR($D155="",N$5="",'상세일정'!AM155="제외"),"",IF($D155=$E155,IF(AND($D155&gt;=N$5,$D155&lt;N$5+7),"◆",""),IF(AND($D155&lt;N$5+7,$E155&gt;N$5),"■","")))</x:f>
      </x:c>
      <x:c r="O155" s="7" t="str">
        <x:f>IF(OR($D155="",O$5="",'상세일정'!AM155="제외"),"",IF($D155=$E155,IF(AND($D155&gt;=O$5,$D155&lt;O$5+7),"◆",""),IF(AND($D155&lt;O$5+7,$E155&gt;O$5),"■","")))</x:f>
      </x:c>
      <x:c r="P155" s="7" t="str">
        <x:f>IF(OR($D155="",P$5="",'상세일정'!AM155="제외"),"",IF($D155=$E155,IF(AND($D155&gt;=P$5,$D155&lt;P$5+7),"◆",""),IF(AND($D155&lt;P$5+7,$E155&gt;P$5),"■","")))</x:f>
      </x:c>
      <x:c r="Q155" s="7" t="str">
        <x:f>IF(OR($D155="",Q$5="",'상세일정'!AM155="제외"),"",IF($D155=$E155,IF(AND($D155&gt;=Q$5,$D155&lt;Q$5+7),"◆",""),IF(AND($D155&lt;Q$5+7,$E155&gt;Q$5),"■","")))</x:f>
      </x:c>
      <x:c r="R155" s="7" t="str">
        <x:f>IF(OR($D155="",R$5="",'상세일정'!AM155="제외"),"",IF($D155=$E155,IF(AND($D155&gt;=R$5,$D155&lt;R$5+7),"◆",""),IF(AND($D155&lt;R$5+7,$E155&gt;R$5),"■","")))</x:f>
      </x:c>
      <x:c r="S155" s="7" t="str">
        <x:f>IF(OR($D155="",S$5="",'상세일정'!AM155="제외"),"",IF($D155=$E155,IF(AND($D155&gt;=S$5,$D155&lt;S$5+7),"◆",""),IF(AND($D155&lt;S$5+7,$E155&gt;S$5),"■","")))</x:f>
      </x:c>
      <x:c r="T155" s="7" t="str">
        <x:f>IF(OR($D155="",T$5="",'상세일정'!AM155="제외"),"",IF($D155=$E155,IF(AND($D155&gt;=T$5,$D155&lt;T$5+7),"◆",""),IF(AND($D155&lt;T$5+7,$E155&gt;T$5),"■","")))</x:f>
      </x:c>
      <x:c r="U155" s="7" t="str">
        <x:f>IF(OR($D155="",U$5="",'상세일정'!AM155="제외"),"",IF($D155=$E155,IF(AND($D155&gt;=U$5,$D155&lt;U$5+7),"◆",""),IF(AND($D155&lt;U$5+7,$E155&gt;U$5),"■","")))</x:f>
      </x:c>
      <x:c r="V155" s="7" t="str">
        <x:f>IF(OR($D155="",V$5="",'상세일정'!AM155="제외"),"",IF($D155=$E155,IF(AND($D155&gt;=V$5,$D155&lt;V$5+7),"◆",""),IF(AND($D155&lt;V$5+7,$E155&gt;V$5),"■","")))</x:f>
      </x:c>
      <x:c r="W155" s="7" t="str">
        <x:f>IF(OR($D155="",W$5="",'상세일정'!AM155="제외"),"",IF($D155=$E155,IF(AND($D155&gt;=W$5,$D155&lt;W$5+7),"◆",""),IF(AND($D155&lt;W$5+7,$E155&gt;W$5),"■","")))</x:f>
      </x:c>
      <x:c r="X155" s="7" t="str">
        <x:f>IF(OR($D155="",X$5="",'상세일정'!AM155="제외"),"",IF($D155=$E155,IF(AND($D155&gt;=X$5,$D155&lt;X$5+7),"◆",""),IF(AND($D155&lt;X$5+7,$E155&gt;X$5),"■","")))</x:f>
      </x:c>
      <x:c r="Y155" s="7" t="str">
        <x:f>IF(OR($D155="",Y$5="",'상세일정'!AM155="제외"),"",IF($D155=$E155,IF(AND($D155&gt;=Y$5,$D155&lt;Y$5+7),"◆",""),IF(AND($D155&lt;Y$5+7,$E155&gt;Y$5),"■","")))</x:f>
      </x:c>
      <x:c r="Z155" s="7" t="str">
        <x:f>IF(OR($D155="",Z$5="",'상세일정'!AM155="제외"),"",IF($D155=$E155,IF(AND($D155&gt;=Z$5,$D155&lt;Z$5+7),"◆",""),IF(AND($D155&lt;Z$5+7,$E155&gt;Z$5),"■","")))</x:f>
      </x:c>
      <x:c r="AA155" s="7" t="str">
        <x:f>IF(OR($D155="",AA$5="",'상세일정'!AM155="제외"),"",IF($D155=$E155,IF(AND($D155&gt;=AA$5,$D155&lt;AA$5+7),"◆",""),IF(AND($D155&lt;AA$5+7,$E155&gt;AA$5),"■","")))</x:f>
      </x:c>
      <x:c r="AB155" s="7" t="str">
        <x:f>IF(OR($D155="",AB$5="",'상세일정'!AM155="제외"),"",IF($D155=$E155,IF(AND($D155&gt;=AB$5,$D155&lt;AB$5+7),"◆",""),IF(AND($D155&lt;AB$5+7,$E155&gt;AB$5),"■","")))</x:f>
      </x:c>
      <x:c r="AC155" s="7" t="str">
        <x:f>IF(OR($D155="",AC$5="",'상세일정'!AM155="제외"),"",IF($D155=$E155,IF(AND($D155&gt;=AC$5,$D155&lt;AC$5+7),"◆",""),IF(AND($D155&lt;AC$5+7,$E155&gt;AC$5),"■","")))</x:f>
      </x:c>
      <x:c r="AD155" s="7" t="str">
        <x:f>IF(OR($D155="",AD$5="",'상세일정'!AM155="제외"),"",IF($D155=$E155,IF(AND($D155&gt;=AD$5,$D155&lt;AD$5+7),"◆",""),IF(AND($D155&lt;AD$5+7,$E155&gt;AD$5),"■","")))</x:f>
      </x:c>
      <x:c r="AE155" s="7" t="str">
        <x:f>IF(OR($D155="",AE$5="",'상세일정'!AM155="제외"),"",IF($D155=$E155,IF(AND($D155&gt;=AE$5,$D155&lt;AE$5+7),"◆",""),IF(AND($D155&lt;AE$5+7,$E155&gt;AE$5),"■","")))</x:f>
      </x:c>
      <x:c r="AF155" s="7" t="str">
        <x:f>IF(OR($D155="",AF$5="",'상세일정'!AM155="제외"),"",IF($D155=$E155,IF(AND($D155&gt;=AF$5,$D155&lt;AF$5+7),"◆",""),IF(AND($D155&lt;AF$5+7,$E155&gt;AF$5),"■","")))</x:f>
      </x:c>
      <x:c r="AG155" s="7" t="str">
        <x:f>IF(OR($D155="",AG$5="",'상세일정'!AM155="제외"),"",IF($D155=$E155,IF(AND($D155&gt;=AG$5,$D155&lt;AG$5+7),"◆",""),IF(AND($D155&lt;AG$5+7,$E155&gt;AG$5),"■","")))</x:f>
      </x:c>
      <x:c r="AH155" s="7" t="str">
        <x:f>IF(OR($D155="",AH$5="",'상세일정'!AM155="제외"),"",IF($D155=$E155,IF(AND($D155&gt;=AH$5,$D155&lt;AH$5+7),"◆",""),IF(AND($D155&lt;AH$5+7,$E155&gt;AH$5),"■","")))</x:f>
      </x:c>
      <x:c r="AI155" s="7" t="str">
        <x:f>IF(OR($D155="",AI$5="",'상세일정'!AM155="제외"),"",IF($D155=$E155,IF(AND($D155&gt;=AI$5,$D155&lt;AI$5+7),"◆",""),IF(AND($D155&lt;AI$5+7,$E155&gt;AI$5),"■","")))</x:f>
      </x:c>
      <x:c r="AJ155" s="7" t="str">
        <x:f>IF(OR($D155="",AJ$5="",'상세일정'!AM155="제외"),"",IF($D155=$E155,IF(AND($D155&gt;=AJ$5,$D155&lt;AJ$5+7),"◆",""),IF(AND($D155&lt;AJ$5+7,$E155&gt;AJ$5),"■","")))</x:f>
      </x:c>
      <x:c r="AK155" s="7" t="str">
        <x:f>IF(OR($D155="",AK$5="",'상세일정'!AM155="제외"),"",IF($D155=$E155,IF(AND($D155&gt;=AK$5,$D155&lt;AK$5+7),"◆",""),IF(AND($D155&lt;AK$5+7,$E155&gt;AK$5),"■","")))</x:f>
      </x:c>
      <x:c r="AL155" s="7" t="str">
        <x:f>IF(OR($D155="",AL$5="",'상세일정'!AM155="제외"),"",IF($D155=$E155,IF(AND($D155&gt;=AL$5,$D155&lt;AL$5+7),"◆",""),IF(AND($D155&lt;AL$5+7,$E155&gt;AL$5),"■","")))</x:f>
      </x:c>
      <x:c r="AM155" s="7" t="str">
        <x:f>IF(OR($D155="",AM$5="",'상세일정'!AM155="제외"),"",IF($D155=$E155,IF(AND($D155&gt;=AM$5,$D155&lt;AM$5+7),"◆",""),IF(AND($D155&lt;AM$5+7,$E155&gt;AM$5),"■","")))</x:f>
      </x:c>
      <x:c r="AN155" s="7" t="str">
        <x:f>IF(OR($D155="",AN$5="",'상세일정'!AM155="제외"),"",IF($D155=$E155,IF(AND($D155&gt;=AN$5,$D155&lt;AN$5+7),"◆",""),IF(AND($D155&lt;AN$5+7,$E155&gt;AN$5),"■","")))</x:f>
      </x:c>
      <x:c r="AO155" s="7" t="str">
        <x:f>IF(OR($D155="",AO$5="",'상세일정'!AM155="제외"),"",IF($D155=$E155,IF(AND($D155&gt;=AO$5,$D155&lt;AO$5+7),"◆",""),IF(AND($D155&lt;AO$5+7,$E155&gt;AO$5),"■","")))</x:f>
      </x:c>
      <x:c r="AP155" s="7" t="str">
        <x:f>IF(OR($D155="",AP$5="",'상세일정'!AM155="제외"),"",IF($D155=$E155,IF(AND($D155&gt;=AP$5,$D155&lt;AP$5+7),"◆",""),IF(AND($D155&lt;AP$5+7,$E155&gt;AP$5),"■","")))</x:f>
      </x:c>
      <x:c r="AQ155" s="7" t="str">
        <x:f>IF(OR($D155="",AQ$5="",'상세일정'!AM155="제외"),"",IF($D155=$E155,IF(AND($D155&gt;=AQ$5,$D155&lt;AQ$5+7),"◆",""),IF(AND($D155&lt;AQ$5+7,$E155&gt;AQ$5),"■","")))</x:f>
      </x:c>
      <x:c r="AR155" s="7" t="str">
        <x:f>IF(OR($D155="",AR$5="",'상세일정'!AM155="제외"),"",IF($D155=$E155,IF(AND($D155&gt;=AR$5,$D155&lt;AR$5+7),"◆",""),IF(AND($D155&lt;AR$5+7,$E155&gt;AR$5),"■","")))</x:f>
      </x:c>
      <x:c r="AS155" s="7" t="str">
        <x:f>IF(OR($D155="",AS$5="",'상세일정'!AM155="제외"),"",IF($D155=$E155,IF(AND($D155&gt;=AS$5,$D155&lt;AS$5+7),"◆",""),IF(AND($D155&lt;AS$5+7,$E155&gt;AS$5),"■","")))</x:f>
      </x:c>
      <x:c r="AT155" s="7" t="str">
        <x:f>IF(OR($D155="",AT$5="",'상세일정'!AM155="제외"),"",IF($D155=$E155,IF(AND($D155&gt;=AT$5,$D155&lt;AT$5+7),"◆",""),IF(AND($D155&lt;AT$5+7,$E155&gt;AT$5),"■","")))</x:f>
      </x:c>
      <x:c r="AU155" s="7" t="str">
        <x:f>IF(OR($D155="",AU$5="",'상세일정'!AM155="제외"),"",IF($D155=$E155,IF(AND($D155&gt;=AU$5,$D155&lt;AU$5+7),"◆",""),IF(AND($D155&lt;AU$5+7,$E155&gt;AU$5),"■","")))</x:f>
      </x:c>
      <x:c r="AV155" s="7" t="str">
        <x:f>IF(OR($D155="",AV$5="",'상세일정'!AM155="제외"),"",IF($D155=$E155,IF(AND($D155&gt;=AV$5,$D155&lt;AV$5+7),"◆",""),IF(AND($D155&lt;AV$5+7,$E155&gt;AV$5),"■","")))</x:f>
      </x:c>
      <x:c r="AW155" s="7" t="str">
        <x:f>IF(OR($D155="",AW$5="",'상세일정'!AM155="제외"),"",IF($D155=$E155,IF(AND($D155&gt;=AW$5,$D155&lt;AW$5+7),"◆",""),IF(AND($D155&lt;AW$5+7,$E155&gt;AW$5),"■","")))</x:f>
      </x:c>
      <x:c r="AX155" s="7" t="str">
        <x:f>IF(OR($D155="",AX$5="",'상세일정'!AM155="제외"),"",IF($D155=$E155,IF(AND($D155&gt;=AX$5,$D155&lt;AX$5+7),"◆",""),IF(AND($D155&lt;AX$5+7,$E155&gt;AX$5),"■","")))</x:f>
      </x:c>
      <x:c r="AY155" s="7" t="str">
        <x:f>IF(OR($D155="",AY$5="",'상세일정'!AM155="제외"),"",IF($D155=$E155,IF(AND($D155&gt;=AY$5,$D155&lt;AY$5+7),"◆",""),IF(AND($D155&lt;AY$5+7,$E155&gt;AY$5),"■","")))</x:f>
      </x:c>
      <x:c r="AZ155" s="7" t="str">
        <x:f>IF(OR($D155="",AZ$5="",'상세일정'!AM155="제외"),"",IF($D155=$E155,IF(AND($D155&gt;=AZ$5,$D155&lt;AZ$5+7),"◆",""),IF(AND($D155&lt;AZ$5+7,$E155&gt;AZ$5),"■","")))</x:f>
      </x:c>
      <x:c r="BA155" s="7" t="str">
        <x:f>IF(OR($D155="",BA$5="",'상세일정'!AM155="제외"),"",IF($D155=$E155,IF(AND($D155&gt;=BA$5,$D155&lt;BA$5+7),"◆",""),IF(AND($D155&lt;BA$5+7,$E155&gt;BA$5),"■","")))</x:f>
      </x:c>
      <x:c r="BB155" s="7" t="str">
        <x:f>IF(OR($D155="",BB$5="",'상세일정'!AM155="제외"),"",IF($D155=$E155,IF(AND($D155&gt;=BB$5,$D155&lt;BB$5+7),"◆",""),IF(AND($D155&lt;BB$5+7,$E155&gt;BB$5),"■","")))</x:f>
      </x:c>
      <x:c r="BC155" s="7" t="str">
        <x:f>IF(OR($D155="",BC$5="",'상세일정'!AM155="제외"),"",IF($D155=$E155,IF(AND($D155&gt;=BC$5,$D155&lt;BC$5+7),"◆",""),IF(AND($D155&lt;BC$5+7,$E155&gt;BC$5),"■","")))</x:f>
      </x:c>
      <x:c r="BD155" s="7" t="str">
        <x:f>IF(OR($D155="",BD$5="",'상세일정'!AM155="제외"),"",IF($D155=$E155,IF(AND($D155&gt;=BD$5,$D155&lt;BD$5+7),"◆",""),IF(AND($D155&lt;BD$5+7,$E155&gt;BD$5),"■","")))</x:f>
      </x:c>
      <x:c r="BE155" s="7" t="str">
        <x:f>IF(OR($D155="",BE$5="",'상세일정'!AM155="제외"),"",IF($D155=$E155,IF(AND($D155&gt;=BE$5,$D155&lt;BE$5+7),"◆",""),IF(AND($D155&lt;BE$5+7,$E155&gt;BE$5),"■","")))</x:f>
      </x:c>
      <x:c r="BF155" s="7" t="str">
        <x:f>IF(OR($D155="",BF$5="",'상세일정'!AM155="제외"),"",IF($D155=$E155,IF(AND($D155&gt;=BF$5,$D155&lt;BF$5+7),"◆",""),IF(AND($D155&lt;BF$5+7,$E155&gt;BF$5),"■","")))</x:f>
      </x:c>
      <x:c r="BG155" s="7" t="str">
        <x:f>IF(OR($D155="",BG$5="",'상세일정'!AM155="제외"),"",IF($D155=$E155,IF(AND($D155&gt;=BG$5,$D155&lt;BG$5+7),"◆",""),IF(AND($D155&lt;BG$5+7,$E155&gt;BG$5),"■","")))</x:f>
      </x:c>
      <x:c r="BH155" s="7" t="str">
        <x:f>IF(OR($D155="",BH$5="",'상세일정'!AM155="제외"),"",IF($D155=$E155,IF(AND($D155&gt;=BH$5,$D155&lt;BH$5+7),"◆",""),IF(AND($D155&lt;BH$5+7,$E155&gt;BH$5),"■","")))</x:f>
      </x:c>
      <x:c r="BI155" s="7" t="str">
        <x:f>IF(OR($D155="",BI$5="",'상세일정'!AM155="제외"),"",IF($D155=$E155,IF(AND($D155&gt;=BI$5,$D155&lt;BI$5+7),"◆",""),IF(AND($D155&lt;BI$5+7,$E155&gt;BI$5),"■","")))</x:f>
      </x:c>
      <x:c r="BJ155" s="7" t="str">
        <x:f>IF(OR($D155="",BJ$5="",'상세일정'!AM155="제외"),"",IF($D155=$E155,IF(AND($D155&gt;=BJ$5,$D155&lt;BJ$5+7),"◆",""),IF(AND($D155&lt;BJ$5+7,$E155&gt;BJ$5),"■","")))</x:f>
      </x:c>
      <x:c r="BK155" s="7" t="str">
        <x:f>IF(OR($D155="",BK$5="",'상세일정'!AM155="제외"),"",IF($D155=$E155,IF(AND($D155&gt;=BK$5,$D155&lt;BK$5+7),"◆",""),IF(AND($D155&lt;BK$5+7,$E155&gt;BK$5),"■","")))</x:f>
      </x:c>
      <x:c r="BL155" s="7" t="str">
        <x:f>IF(OR($D155="",BL$5="",'상세일정'!AM155="제외"),"",IF($D155=$E155,IF(AND($D155&gt;=BL$5,$D155&lt;BL$5+7),"◆",""),IF(AND($D155&lt;BL$5+7,$E155&gt;BL$5),"■","")))</x:f>
      </x:c>
      <x:c r="BM155" s="7" t="str">
        <x:f>IF(OR($D155="",BM$5="",'상세일정'!AM155="제외"),"",IF($D155=$E155,IF(AND($D155&gt;=BM$5,$D155&lt;BM$5+7),"◆",""),IF(AND($D155&lt;BM$5+7,$E155&gt;BM$5),"■","")))</x:f>
      </x:c>
      <x:c r="BN155" s="7" t="str">
        <x:f>IF(OR($D155="",BN$5="",'상세일정'!AM155="제외"),"",IF($D155=$E155,IF(AND($D155&gt;=BN$5,$D155&lt;BN$5+7),"◆",""),IF(AND($D155&lt;BN$5+7,$E155&gt;BN$5),"■","")))</x:f>
      </x:c>
      <x:c r="BO155" s="7" t="str">
        <x:f>IF(OR($D155="",BO$5="",'상세일정'!AM155="제외"),"",IF($D155=$E155,IF(AND($D155&gt;=BO$5,$D155&lt;BO$5+7),"◆",""),IF(AND($D155&lt;BO$5+7,$E155&gt;BO$5),"■","")))</x:f>
      </x:c>
      <x:c r="BP155" s="7" t="str">
        <x:f>IF(OR($D155="",BP$5="",'상세일정'!AM155="제외"),"",IF($D155=$E155,IF(AND($D155&gt;=BP$5,$D155&lt;BP$5+7),"◆",""),IF(AND($D155&lt;BP$5+7,$E155&gt;BP$5),"■","")))</x:f>
      </x:c>
      <x:c r="BQ155" s="7" t="str">
        <x:f>IF(OR($D155="",BQ$5="",'상세일정'!AM155="제외"),"",IF($D155=$E155,IF(AND($D155&gt;=BQ$5,$D155&lt;BQ$5+7),"◆",""),IF(AND($D155&lt;BQ$5+7,$E155&gt;BQ$5),"■","")))</x:f>
      </x:c>
      <x:c r="BR155" s="7" t="str">
        <x:f>IF(OR($D155="",BR$5="",'상세일정'!AM155="제외"),"",IF($D155=$E155,IF(AND($D155&gt;=BR$5,$D155&lt;BR$5+7),"◆",""),IF(AND($D155&lt;BR$5+7,$E155&gt;BR$5),"■","")))</x:f>
      </x:c>
      <x:c r="BS155" s="7" t="str">
        <x:f>IF(OR($D155="",BS$5="",'상세일정'!AM155="제외"),"",IF($D155=$E155,IF(AND($D155&gt;=BS$5,$D155&lt;BS$5+7),"◆",""),IF(AND($D155&lt;BS$5+7,$E155&gt;BS$5),"■","")))</x:f>
      </x:c>
      <x:c r="BT155" s="7" t="str">
        <x:f>IF(OR($D155="",BT$5="",'상세일정'!AM155="제외"),"",IF($D155=$E155,IF(AND($D155&gt;=BT$5,$D155&lt;BT$5+7),"◆",""),IF(AND($D155&lt;BT$5+7,$E155&gt;BT$5),"■","")))</x:f>
      </x:c>
      <x:c r="BU155" s="7" t="str">
        <x:f>IF(OR($D155="",BU$5="",'상세일정'!AM155="제외"),"",IF($D155=$E155,IF(AND($D155&gt;=BU$5,$D155&lt;BU$5+7),"◆",""),IF(AND($D155&lt;BU$5+7,$E155&gt;BU$5),"■","")))</x:f>
      </x:c>
      <x:c r="BV155" s="7" t="str">
        <x:f>IF(OR($D155="",BV$5="",'상세일정'!AM155="제외"),"",IF($D155=$E155,IF(AND($D155&gt;=BV$5,$D155&lt;BV$5+7),"◆",""),IF(AND($D155&lt;BV$5+7,$E155&gt;BV$5),"■","")))</x:f>
      </x:c>
      <x:c r="BW155" s="7" t="str">
        <x:f>IF(OR($D155="",BW$5="",'상세일정'!AM155="제외"),"",IF($D155=$E155,IF(AND($D155&gt;=BW$5,$D155&lt;BW$5+7),"◆",""),IF(AND($D155&lt;BW$5+7,$E155&gt;BW$5),"■","")))</x:f>
      </x:c>
      <x:c r="BX155" s="7" t="str">
        <x:f>IF(OR($D155="",BX$5="",'상세일정'!AM155="제외"),"",IF($D155=$E155,IF(AND($D155&gt;=BX$5,$D155&lt;BX$5+7),"◆",""),IF(AND($D155&lt;BX$5+7,$E155&gt;BX$5),"■","")))</x:f>
      </x:c>
      <x:c r="BY155" s="7" t="str">
        <x:f>IF(OR($D155="",BY$5="",'상세일정'!AM155="제외"),"",IF($D155=$E155,IF(AND($D155&gt;=BY$5,$D155&lt;BY$5+7),"◆",""),IF(AND($D155&lt;BY$5+7,$E155&gt;BY$5),"■","")))</x:f>
      </x:c>
      <x:c r="BZ155" s="7" t="str">
        <x:f>IF(OR($D155="",BZ$5="",'상세일정'!AM155="제외"),"",IF($D155=$E155,IF(AND($D155&gt;=BZ$5,$D155&lt;BZ$5+7),"◆",""),IF(AND($D155&lt;BZ$5+7,$E155&gt;BZ$5),"■","")))</x:f>
      </x:c>
      <x:c r="CA155" s="7" t="str">
        <x:f>IF(OR($D155="",CA$5="",'상세일정'!AM155="제외"),"",IF($D155=$E155,IF(AND($D155&gt;=CA$5,$D155&lt;CA$5+7),"◆",""),IF(AND($D155&lt;CA$5+7,$E155&gt;CA$5),"■","")))</x:f>
      </x:c>
      <x:c r="CB155" s="7" t="str">
        <x:f>IF(OR($D155="",CB$5="",'상세일정'!AM155="제외"),"",IF($D155=$E155,IF(AND($D155&gt;=CB$5,$D155&lt;CB$5+7),"◆",""),IF(AND($D155&lt;CB$5+7,$E155&gt;CB$5),"■","")))</x:f>
      </x:c>
      <x:c r="CC155" s="7" t="str">
        <x:f>IF(OR($D155="",CC$5="",'상세일정'!AM155="제외"),"",IF($D155=$E155,IF(AND($D155&gt;=CC$5,$D155&lt;CC$5+7),"◆",""),IF(AND($D155&lt;CC$5+7,$E155&gt;CC$5),"■","")))</x:f>
      </x:c>
      <x:c r="CD155" s="7" t="str">
        <x:f>IF(OR($D155="",CD$5="",'상세일정'!AM155="제외"),"",IF($D155=$E155,IF(AND($D155&gt;=CD$5,$D155&lt;CD$5+7),"◆",""),IF(AND($D155&lt;CD$5+7,$E155&gt;CD$5),"■","")))</x:f>
      </x:c>
      <x:c r="CE155" s="7" t="str">
        <x:f>IF(OR($D155="",CE$5="",'상세일정'!AM155="제외"),"",IF($D155=$E155,IF(AND($D155&gt;=CE$5,$D155&lt;CE$5+7),"◆",""),IF(AND($D155&lt;CE$5+7,$E155&gt;CE$5),"■","")))</x:f>
      </x:c>
      <x:c r="CF155" s="7" t="str">
        <x:f>IF(OR($D155="",CF$5="",'상세일정'!AM155="제외"),"",IF($D155=$E155,IF(AND($D155&gt;=CF$5,$D155&lt;CF$5+7),"◆",""),IF(AND($D155&lt;CF$5+7,$E155&gt;CF$5),"■","")))</x:f>
      </x:c>
      <x:c r="CG155" s="7" t="str">
        <x:f>IF(OR($D155="",CG$5="",'상세일정'!AM155="제외"),"",IF($D155=$E155,IF(AND($D155&gt;=CG$5,$D155&lt;CG$5+7),"◆",""),IF(AND($D155&lt;CG$5+7,$E155&gt;CG$5),"■","")))</x:f>
      </x:c>
      <x:c r="CH155" s="7" t="str">
        <x:f>IF(OR($D155="",CH$5="",'상세일정'!AM155="제외"),"",IF($D155=$E155,IF(AND($D155&gt;=CH$5,$D155&lt;CH$5+7),"◆",""),IF(AND($D155&lt;CH$5+7,$E155&gt;CH$5),"■","")))</x:f>
      </x:c>
      <x:c r="CI155" s="7" t="str">
        <x:f>IF(OR($D155="",CI$5="",'상세일정'!AM155="제외"),"",IF($D155=$E155,IF(AND($D155&gt;=CI$5,$D155&lt;CI$5+7),"◆",""),IF(AND($D155&lt;CI$5+7,$E155&gt;CI$5),"■","")))</x:f>
      </x:c>
      <x:c r="CJ155" s="7" t="str">
        <x:f>IF(OR($D155="",CJ$5="",'상세일정'!AM155="제외"),"",IF($D155=$E155,IF(AND($D155&gt;=CJ$5,$D155&lt;CJ$5+7),"◆",""),IF(AND($D155&lt;CJ$5+7,$E155&gt;CJ$5),"■","")))</x:f>
      </x:c>
      <x:c r="CK155" s="7" t="str">
        <x:f>IF(OR($D155="",CK$5="",'상세일정'!AM155="제외"),"",IF($D155=$E155,IF(AND($D155&gt;=CK$5,$D155&lt;CK$5+7),"◆",""),IF(AND($D155&lt;CK$5+7,$E155&gt;CK$5),"■","")))</x:f>
      </x:c>
      <x:c r="CL155" s="7" t="str">
        <x:f>IF(OR($D155="",CL$5="",'상세일정'!AM155="제외"),"",IF($D155=$E155,IF(AND($D155&gt;=CL$5,$D155&lt;CL$5+7),"◆",""),IF(AND($D155&lt;CL$5+7,$E155&gt;CL$5),"■","")))</x:f>
      </x:c>
      <x:c r="CM155" s="7" t="str">
        <x:f>IF(OR($D155="",CM$5="",'상세일정'!AM155="제외"),"",IF($D155=$E155,IF(AND($D155&gt;=CM$5,$D155&lt;CM$5+7),"◆",""),IF(AND($D155&lt;CM$5+7,$E155&gt;CM$5),"■","")))</x:f>
      </x:c>
      <x:c r="CN155" s="7" t="str">
        <x:f>IF(OR($D155="",CN$5="",'상세일정'!AM155="제외"),"",IF($D155=$E155,IF(AND($D155&gt;=CN$5,$D155&lt;CN$5+7),"◆",""),IF(AND($D155&lt;CN$5+7,$E155&gt;CN$5),"■","")))</x:f>
      </x:c>
      <x:c r="CO155" s="7" t="str">
        <x:f>IF(OR($D155="",CO$5="",'상세일정'!AM155="제외"),"",IF($D155=$E155,IF(AND($D155&gt;=CO$5,$D155&lt;CO$5+7),"◆",""),IF(AND($D155&lt;CO$5+7,$E155&gt;CO$5),"■","")))</x:f>
      </x:c>
      <x:c r="CP155" s="7" t="str">
        <x:f>IF(OR($D155="",CP$5="",'상세일정'!AM155="제외"),"",IF($D155=$E155,IF(AND($D155&gt;=CP$5,$D155&lt;CP$5+7),"◆",""),IF(AND($D155&lt;CP$5+7,$E155&gt;CP$5),"■","")))</x:f>
      </x:c>
      <x:c r="CQ155" s="7" t="str">
        <x:f>IF(OR($D155="",CQ$5="",'상세일정'!AM155="제외"),"",IF($D155=$E155,IF(AND($D155&gt;=CQ$5,$D155&lt;CQ$5+7),"◆",""),IF(AND($D155&lt;CQ$5+7,$E155&gt;CQ$5),"■","")))</x:f>
      </x:c>
      <x:c r="CR155" s="7" t="str">
        <x:f>IF(OR($D155="",CR$5="",'상세일정'!AM155="제외"),"",IF($D155=$E155,IF(AND($D155&gt;=CR$5,$D155&lt;CR$5+7),"◆",""),IF(AND($D155&lt;CR$5+7,$E155&gt;CR$5),"■","")))</x:f>
      </x:c>
      <x:c r="CS155" s="7" t="str">
        <x:f>IF(OR($D155="",CS$5="",'상세일정'!AM155="제외"),"",IF($D155=$E155,IF(AND($D155&gt;=CS$5,$D155&lt;CS$5+7),"◆",""),IF(AND($D155&lt;CS$5+7,$E155&gt;CS$5),"■","")))</x:f>
      </x:c>
      <x:c r="CT155" s="7" t="str">
        <x:f>IF(OR($D155="",CT$5="",'상세일정'!AM155="제외"),"",IF($D155=$E155,IF(AND($D155&gt;=CT$5,$D155&lt;CT$5+7),"◆",""),IF(AND($D155&lt;CT$5+7,$E155&gt;CT$5),"■","")))</x:f>
      </x:c>
      <x:c r="CU155" s="7" t="str">
        <x:f>IF(OR($D155="",CU$5="",'상세일정'!AM155="제외"),"",IF($D155=$E155,IF(AND($D155&gt;=CU$5,$D155&lt;CU$5+7),"◆",""),IF(AND($D155&lt;CU$5+7,$E155&gt;CU$5),"■","")))</x:f>
      </x:c>
      <x:c r="CV155" s="7" t="str">
        <x:f>IF(OR($D155="",CV$5="",'상세일정'!AM155="제외"),"",IF($D155=$E155,IF(AND($D155&gt;=CV$5,$D155&lt;CV$5+7),"◆",""),IF(AND($D155&lt;CV$5+7,$E155&gt;CV$5),"■","")))</x:f>
      </x:c>
      <x:c r="CW155" s="7" t="str">
        <x:f>IF(OR($D155="",CW$5="",'상세일정'!AM155="제외"),"",IF($D155=$E155,IF(AND($D155&gt;=CW$5,$D155&lt;CW$5+7),"◆",""),IF(AND($D155&lt;CW$5+7,$E155&gt;CW$5),"■","")))</x:f>
      </x:c>
      <x:c r="CX155" s="7" t="str">
        <x:f>IF(OR($D155="",CX$5="",'상세일정'!AM155="제외"),"",IF($D155=$E155,IF(AND($D155&gt;=CX$5,$D155&lt;CX$5+7),"◆",""),IF(AND($D155&lt;CX$5+7,$E155&gt;CX$5),"■","")))</x:f>
      </x:c>
      <x:c r="CY155" s="7" t="str">
        <x:f>IF(OR($D155="",CY$5="",'상세일정'!AM155="제외"),"",IF($D155=$E155,IF(AND($D155&gt;=CY$5,$D155&lt;CY$5+7),"◆",""),IF(AND($D155&lt;CY$5+7,$E155&gt;CY$5),"■","")))</x:f>
      </x:c>
      <x:c r="CZ155" s="7" t="str">
        <x:f>IF(OR($D155="",CZ$5="",'상세일정'!AM155="제외"),"",IF($D155=$E155,IF(AND($D155&gt;=CZ$5,$D155&lt;CZ$5+7),"◆",""),IF(AND($D155&lt;CZ$5+7,$E155&gt;CZ$5),"■","")))</x:f>
      </x:c>
      <x:c r="DA155" s="7" t="str">
        <x:f>IF(OR($D155="",DA$5="",'상세일정'!AM155="제외"),"",IF($D155=$E155,IF(AND($D155&gt;=DA$5,$D155&lt;DA$5+7),"◆",""),IF(AND($D155&lt;DA$5+7,$E155&gt;DA$5),"■","")))</x:f>
      </x:c>
      <x:c r="DB155" s="7" t="str">
        <x:f>IF(OR($D155="",DB$5="",'상세일정'!AM155="제외"),"",IF($D155=$E155,IF(AND($D155&gt;=DB$5,$D155&lt;DB$5+7),"◆",""),IF(AND($D155&lt;DB$5+7,$E155&gt;DB$5),"■","")))</x:f>
      </x:c>
      <x:c r="DC155" s="7" t="str">
        <x:f>IF(OR($D155="",DC$5="",'상세일정'!AM155="제외"),"",IF($D155=$E155,IF(AND($D155&gt;=DC$5,$D155&lt;DC$5+7),"◆",""),IF(AND($D155&lt;DC$5+7,$E155&gt;DC$5),"■","")))</x:f>
      </x:c>
      <x:c r="DD155" s="7" t="str">
        <x:f>IF(OR($D155="",DD$5="",'상세일정'!AM155="제외"),"",IF($D155=$E155,IF(AND($D155&gt;=DD$5,$D155&lt;DD$5+7),"◆",""),IF(AND($D155&lt;DD$5+7,$E155&gt;DD$5),"■","")))</x:f>
      </x:c>
      <x:c r="DE155" s="7" t="str">
        <x:f>IF(OR($D155="",DE$5="",'상세일정'!AM155="제외"),"",IF($D155=$E155,IF(AND($D155&gt;=DE$5,$D155&lt;DE$5+7),"◆",""),IF(AND($D155&lt;DE$5+7,$E155&gt;DE$5),"■","")))</x:f>
      </x:c>
    </x:row>
    <x:row r="156" ht="34" customHeight="1">
      <x:c r="A156" s="7" t="str">
        <x:v>PN07</x:v>
      </x:c>
      <x:c r="B156" s="7" t="str">
        <x:v>16 기자재 구매·제작</x:v>
      </x:c>
      <x:c r="C156" s="7" t="str">
        <x:v>수배전반·제어반 출하승인·운송·현장 입고</x:v>
      </x:c>
      <x:c r="D156" s="10" t="str">
        <x:f>'상세일정'!AJ156</x:f>
      </x:c>
      <x:c r="E156" s="10" t="str">
        <x:f>'상세일정'!AK156</x:f>
      </x:c>
      <x:c r="F156" s="7" t="str">
        <x:f>IF(OR($D156="",F$5="",'상세일정'!AM156="제외"),"",IF($D156=$E156,IF(AND($D156&gt;=F$5,$D156&lt;F$5+7),"◆",""),IF(AND($D156&lt;F$5+7,$E156&gt;F$5),"■","")))</x:f>
      </x:c>
      <x:c r="G156" s="7" t="str">
        <x:f>IF(OR($D156="",G$5="",'상세일정'!AM156="제외"),"",IF($D156=$E156,IF(AND($D156&gt;=G$5,$D156&lt;G$5+7),"◆",""),IF(AND($D156&lt;G$5+7,$E156&gt;G$5),"■","")))</x:f>
      </x:c>
      <x:c r="H156" s="7" t="str">
        <x:f>IF(OR($D156="",H$5="",'상세일정'!AM156="제외"),"",IF($D156=$E156,IF(AND($D156&gt;=H$5,$D156&lt;H$5+7),"◆",""),IF(AND($D156&lt;H$5+7,$E156&gt;H$5),"■","")))</x:f>
      </x:c>
      <x:c r="I156" s="7" t="str">
        <x:f>IF(OR($D156="",I$5="",'상세일정'!AM156="제외"),"",IF($D156=$E156,IF(AND($D156&gt;=I$5,$D156&lt;I$5+7),"◆",""),IF(AND($D156&lt;I$5+7,$E156&gt;I$5),"■","")))</x:f>
      </x:c>
      <x:c r="J156" s="7" t="str">
        <x:f>IF(OR($D156="",J$5="",'상세일정'!AM156="제외"),"",IF($D156=$E156,IF(AND($D156&gt;=J$5,$D156&lt;J$5+7),"◆",""),IF(AND($D156&lt;J$5+7,$E156&gt;J$5),"■","")))</x:f>
      </x:c>
      <x:c r="K156" s="7" t="str">
        <x:f>IF(OR($D156="",K$5="",'상세일정'!AM156="제외"),"",IF($D156=$E156,IF(AND($D156&gt;=K$5,$D156&lt;K$5+7),"◆",""),IF(AND($D156&lt;K$5+7,$E156&gt;K$5),"■","")))</x:f>
      </x:c>
      <x:c r="L156" s="7" t="str">
        <x:f>IF(OR($D156="",L$5="",'상세일정'!AM156="제외"),"",IF($D156=$E156,IF(AND($D156&gt;=L$5,$D156&lt;L$5+7),"◆",""),IF(AND($D156&lt;L$5+7,$E156&gt;L$5),"■","")))</x:f>
      </x:c>
      <x:c r="M156" s="7" t="str">
        <x:f>IF(OR($D156="",M$5="",'상세일정'!AM156="제외"),"",IF($D156=$E156,IF(AND($D156&gt;=M$5,$D156&lt;M$5+7),"◆",""),IF(AND($D156&lt;M$5+7,$E156&gt;M$5),"■","")))</x:f>
      </x:c>
      <x:c r="N156" s="7" t="str">
        <x:f>IF(OR($D156="",N$5="",'상세일정'!AM156="제외"),"",IF($D156=$E156,IF(AND($D156&gt;=N$5,$D156&lt;N$5+7),"◆",""),IF(AND($D156&lt;N$5+7,$E156&gt;N$5),"■","")))</x:f>
      </x:c>
      <x:c r="O156" s="7" t="str">
        <x:f>IF(OR($D156="",O$5="",'상세일정'!AM156="제외"),"",IF($D156=$E156,IF(AND($D156&gt;=O$5,$D156&lt;O$5+7),"◆",""),IF(AND($D156&lt;O$5+7,$E156&gt;O$5),"■","")))</x:f>
      </x:c>
      <x:c r="P156" s="7" t="str">
        <x:f>IF(OR($D156="",P$5="",'상세일정'!AM156="제외"),"",IF($D156=$E156,IF(AND($D156&gt;=P$5,$D156&lt;P$5+7),"◆",""),IF(AND($D156&lt;P$5+7,$E156&gt;P$5),"■","")))</x:f>
      </x:c>
      <x:c r="Q156" s="7" t="str">
        <x:f>IF(OR($D156="",Q$5="",'상세일정'!AM156="제외"),"",IF($D156=$E156,IF(AND($D156&gt;=Q$5,$D156&lt;Q$5+7),"◆",""),IF(AND($D156&lt;Q$5+7,$E156&gt;Q$5),"■","")))</x:f>
      </x:c>
      <x:c r="R156" s="7" t="str">
        <x:f>IF(OR($D156="",R$5="",'상세일정'!AM156="제외"),"",IF($D156=$E156,IF(AND($D156&gt;=R$5,$D156&lt;R$5+7),"◆",""),IF(AND($D156&lt;R$5+7,$E156&gt;R$5),"■","")))</x:f>
      </x:c>
      <x:c r="S156" s="7" t="str">
        <x:f>IF(OR($D156="",S$5="",'상세일정'!AM156="제외"),"",IF($D156=$E156,IF(AND($D156&gt;=S$5,$D156&lt;S$5+7),"◆",""),IF(AND($D156&lt;S$5+7,$E156&gt;S$5),"■","")))</x:f>
      </x:c>
      <x:c r="T156" s="7" t="str">
        <x:f>IF(OR($D156="",T$5="",'상세일정'!AM156="제외"),"",IF($D156=$E156,IF(AND($D156&gt;=T$5,$D156&lt;T$5+7),"◆",""),IF(AND($D156&lt;T$5+7,$E156&gt;T$5),"■","")))</x:f>
      </x:c>
      <x:c r="U156" s="7" t="str">
        <x:f>IF(OR($D156="",U$5="",'상세일정'!AM156="제외"),"",IF($D156=$E156,IF(AND($D156&gt;=U$5,$D156&lt;U$5+7),"◆",""),IF(AND($D156&lt;U$5+7,$E156&gt;U$5),"■","")))</x:f>
      </x:c>
      <x:c r="V156" s="7" t="str">
        <x:f>IF(OR($D156="",V$5="",'상세일정'!AM156="제외"),"",IF($D156=$E156,IF(AND($D156&gt;=V$5,$D156&lt;V$5+7),"◆",""),IF(AND($D156&lt;V$5+7,$E156&gt;V$5),"■","")))</x:f>
      </x:c>
      <x:c r="W156" s="7" t="str">
        <x:f>IF(OR($D156="",W$5="",'상세일정'!AM156="제외"),"",IF($D156=$E156,IF(AND($D156&gt;=W$5,$D156&lt;W$5+7),"◆",""),IF(AND($D156&lt;W$5+7,$E156&gt;W$5),"■","")))</x:f>
      </x:c>
      <x:c r="X156" s="7" t="str">
        <x:f>IF(OR($D156="",X$5="",'상세일정'!AM156="제외"),"",IF($D156=$E156,IF(AND($D156&gt;=X$5,$D156&lt;X$5+7),"◆",""),IF(AND($D156&lt;X$5+7,$E156&gt;X$5),"■","")))</x:f>
      </x:c>
      <x:c r="Y156" s="7" t="str">
        <x:f>IF(OR($D156="",Y$5="",'상세일정'!AM156="제외"),"",IF($D156=$E156,IF(AND($D156&gt;=Y$5,$D156&lt;Y$5+7),"◆",""),IF(AND($D156&lt;Y$5+7,$E156&gt;Y$5),"■","")))</x:f>
      </x:c>
      <x:c r="Z156" s="7" t="str">
        <x:f>IF(OR($D156="",Z$5="",'상세일정'!AM156="제외"),"",IF($D156=$E156,IF(AND($D156&gt;=Z$5,$D156&lt;Z$5+7),"◆",""),IF(AND($D156&lt;Z$5+7,$E156&gt;Z$5),"■","")))</x:f>
      </x:c>
      <x:c r="AA156" s="7" t="str">
        <x:f>IF(OR($D156="",AA$5="",'상세일정'!AM156="제외"),"",IF($D156=$E156,IF(AND($D156&gt;=AA$5,$D156&lt;AA$5+7),"◆",""),IF(AND($D156&lt;AA$5+7,$E156&gt;AA$5),"■","")))</x:f>
      </x:c>
      <x:c r="AB156" s="7" t="str">
        <x:f>IF(OR($D156="",AB$5="",'상세일정'!AM156="제외"),"",IF($D156=$E156,IF(AND($D156&gt;=AB$5,$D156&lt;AB$5+7),"◆",""),IF(AND($D156&lt;AB$5+7,$E156&gt;AB$5),"■","")))</x:f>
      </x:c>
      <x:c r="AC156" s="7" t="str">
        <x:f>IF(OR($D156="",AC$5="",'상세일정'!AM156="제외"),"",IF($D156=$E156,IF(AND($D156&gt;=AC$5,$D156&lt;AC$5+7),"◆",""),IF(AND($D156&lt;AC$5+7,$E156&gt;AC$5),"■","")))</x:f>
      </x:c>
      <x:c r="AD156" s="7" t="str">
        <x:f>IF(OR($D156="",AD$5="",'상세일정'!AM156="제외"),"",IF($D156=$E156,IF(AND($D156&gt;=AD$5,$D156&lt;AD$5+7),"◆",""),IF(AND($D156&lt;AD$5+7,$E156&gt;AD$5),"■","")))</x:f>
      </x:c>
      <x:c r="AE156" s="7" t="str">
        <x:f>IF(OR($D156="",AE$5="",'상세일정'!AM156="제외"),"",IF($D156=$E156,IF(AND($D156&gt;=AE$5,$D156&lt;AE$5+7),"◆",""),IF(AND($D156&lt;AE$5+7,$E156&gt;AE$5),"■","")))</x:f>
      </x:c>
      <x:c r="AF156" s="7" t="str">
        <x:f>IF(OR($D156="",AF$5="",'상세일정'!AM156="제외"),"",IF($D156=$E156,IF(AND($D156&gt;=AF$5,$D156&lt;AF$5+7),"◆",""),IF(AND($D156&lt;AF$5+7,$E156&gt;AF$5),"■","")))</x:f>
      </x:c>
      <x:c r="AG156" s="7" t="str">
        <x:f>IF(OR($D156="",AG$5="",'상세일정'!AM156="제외"),"",IF($D156=$E156,IF(AND($D156&gt;=AG$5,$D156&lt;AG$5+7),"◆",""),IF(AND($D156&lt;AG$5+7,$E156&gt;AG$5),"■","")))</x:f>
      </x:c>
      <x:c r="AH156" s="7" t="str">
        <x:f>IF(OR($D156="",AH$5="",'상세일정'!AM156="제외"),"",IF($D156=$E156,IF(AND($D156&gt;=AH$5,$D156&lt;AH$5+7),"◆",""),IF(AND($D156&lt;AH$5+7,$E156&gt;AH$5),"■","")))</x:f>
      </x:c>
      <x:c r="AI156" s="7" t="str">
        <x:f>IF(OR($D156="",AI$5="",'상세일정'!AM156="제외"),"",IF($D156=$E156,IF(AND($D156&gt;=AI$5,$D156&lt;AI$5+7),"◆",""),IF(AND($D156&lt;AI$5+7,$E156&gt;AI$5),"■","")))</x:f>
      </x:c>
      <x:c r="AJ156" s="7" t="str">
        <x:f>IF(OR($D156="",AJ$5="",'상세일정'!AM156="제외"),"",IF($D156=$E156,IF(AND($D156&gt;=AJ$5,$D156&lt;AJ$5+7),"◆",""),IF(AND($D156&lt;AJ$5+7,$E156&gt;AJ$5),"■","")))</x:f>
      </x:c>
      <x:c r="AK156" s="7" t="str">
        <x:f>IF(OR($D156="",AK$5="",'상세일정'!AM156="제외"),"",IF($D156=$E156,IF(AND($D156&gt;=AK$5,$D156&lt;AK$5+7),"◆",""),IF(AND($D156&lt;AK$5+7,$E156&gt;AK$5),"■","")))</x:f>
      </x:c>
      <x:c r="AL156" s="7" t="str">
        <x:f>IF(OR($D156="",AL$5="",'상세일정'!AM156="제외"),"",IF($D156=$E156,IF(AND($D156&gt;=AL$5,$D156&lt;AL$5+7),"◆",""),IF(AND($D156&lt;AL$5+7,$E156&gt;AL$5),"■","")))</x:f>
      </x:c>
      <x:c r="AM156" s="7" t="str">
        <x:f>IF(OR($D156="",AM$5="",'상세일정'!AM156="제외"),"",IF($D156=$E156,IF(AND($D156&gt;=AM$5,$D156&lt;AM$5+7),"◆",""),IF(AND($D156&lt;AM$5+7,$E156&gt;AM$5),"■","")))</x:f>
      </x:c>
      <x:c r="AN156" s="7" t="str">
        <x:f>IF(OR($D156="",AN$5="",'상세일정'!AM156="제외"),"",IF($D156=$E156,IF(AND($D156&gt;=AN$5,$D156&lt;AN$5+7),"◆",""),IF(AND($D156&lt;AN$5+7,$E156&gt;AN$5),"■","")))</x:f>
      </x:c>
      <x:c r="AO156" s="7" t="str">
        <x:f>IF(OR($D156="",AO$5="",'상세일정'!AM156="제외"),"",IF($D156=$E156,IF(AND($D156&gt;=AO$5,$D156&lt;AO$5+7),"◆",""),IF(AND($D156&lt;AO$5+7,$E156&gt;AO$5),"■","")))</x:f>
      </x:c>
      <x:c r="AP156" s="7" t="str">
        <x:f>IF(OR($D156="",AP$5="",'상세일정'!AM156="제외"),"",IF($D156=$E156,IF(AND($D156&gt;=AP$5,$D156&lt;AP$5+7),"◆",""),IF(AND($D156&lt;AP$5+7,$E156&gt;AP$5),"■","")))</x:f>
      </x:c>
      <x:c r="AQ156" s="7" t="str">
        <x:f>IF(OR($D156="",AQ$5="",'상세일정'!AM156="제외"),"",IF($D156=$E156,IF(AND($D156&gt;=AQ$5,$D156&lt;AQ$5+7),"◆",""),IF(AND($D156&lt;AQ$5+7,$E156&gt;AQ$5),"■","")))</x:f>
      </x:c>
      <x:c r="AR156" s="7" t="str">
        <x:f>IF(OR($D156="",AR$5="",'상세일정'!AM156="제외"),"",IF($D156=$E156,IF(AND($D156&gt;=AR$5,$D156&lt;AR$5+7),"◆",""),IF(AND($D156&lt;AR$5+7,$E156&gt;AR$5),"■","")))</x:f>
      </x:c>
      <x:c r="AS156" s="7" t="str">
        <x:f>IF(OR($D156="",AS$5="",'상세일정'!AM156="제외"),"",IF($D156=$E156,IF(AND($D156&gt;=AS$5,$D156&lt;AS$5+7),"◆",""),IF(AND($D156&lt;AS$5+7,$E156&gt;AS$5),"■","")))</x:f>
      </x:c>
      <x:c r="AT156" s="7" t="str">
        <x:f>IF(OR($D156="",AT$5="",'상세일정'!AM156="제외"),"",IF($D156=$E156,IF(AND($D156&gt;=AT$5,$D156&lt;AT$5+7),"◆",""),IF(AND($D156&lt;AT$5+7,$E156&gt;AT$5),"■","")))</x:f>
      </x:c>
      <x:c r="AU156" s="7" t="str">
        <x:f>IF(OR($D156="",AU$5="",'상세일정'!AM156="제외"),"",IF($D156=$E156,IF(AND($D156&gt;=AU$5,$D156&lt;AU$5+7),"◆",""),IF(AND($D156&lt;AU$5+7,$E156&gt;AU$5),"■","")))</x:f>
      </x:c>
      <x:c r="AV156" s="7" t="str">
        <x:f>IF(OR($D156="",AV$5="",'상세일정'!AM156="제외"),"",IF($D156=$E156,IF(AND($D156&gt;=AV$5,$D156&lt;AV$5+7),"◆",""),IF(AND($D156&lt;AV$5+7,$E156&gt;AV$5),"■","")))</x:f>
      </x:c>
      <x:c r="AW156" s="7" t="str">
        <x:f>IF(OR($D156="",AW$5="",'상세일정'!AM156="제외"),"",IF($D156=$E156,IF(AND($D156&gt;=AW$5,$D156&lt;AW$5+7),"◆",""),IF(AND($D156&lt;AW$5+7,$E156&gt;AW$5),"■","")))</x:f>
      </x:c>
      <x:c r="AX156" s="7" t="str">
        <x:f>IF(OR($D156="",AX$5="",'상세일정'!AM156="제외"),"",IF($D156=$E156,IF(AND($D156&gt;=AX$5,$D156&lt;AX$5+7),"◆",""),IF(AND($D156&lt;AX$5+7,$E156&gt;AX$5),"■","")))</x:f>
      </x:c>
      <x:c r="AY156" s="7" t="str">
        <x:f>IF(OR($D156="",AY$5="",'상세일정'!AM156="제외"),"",IF($D156=$E156,IF(AND($D156&gt;=AY$5,$D156&lt;AY$5+7),"◆",""),IF(AND($D156&lt;AY$5+7,$E156&gt;AY$5),"■","")))</x:f>
      </x:c>
      <x:c r="AZ156" s="7" t="str">
        <x:f>IF(OR($D156="",AZ$5="",'상세일정'!AM156="제외"),"",IF($D156=$E156,IF(AND($D156&gt;=AZ$5,$D156&lt;AZ$5+7),"◆",""),IF(AND($D156&lt;AZ$5+7,$E156&gt;AZ$5),"■","")))</x:f>
      </x:c>
      <x:c r="BA156" s="7" t="str">
        <x:f>IF(OR($D156="",BA$5="",'상세일정'!AM156="제외"),"",IF($D156=$E156,IF(AND($D156&gt;=BA$5,$D156&lt;BA$5+7),"◆",""),IF(AND($D156&lt;BA$5+7,$E156&gt;BA$5),"■","")))</x:f>
      </x:c>
      <x:c r="BB156" s="7" t="str">
        <x:f>IF(OR($D156="",BB$5="",'상세일정'!AM156="제외"),"",IF($D156=$E156,IF(AND($D156&gt;=BB$5,$D156&lt;BB$5+7),"◆",""),IF(AND($D156&lt;BB$5+7,$E156&gt;BB$5),"■","")))</x:f>
      </x:c>
      <x:c r="BC156" s="7" t="str">
        <x:f>IF(OR($D156="",BC$5="",'상세일정'!AM156="제외"),"",IF($D156=$E156,IF(AND($D156&gt;=BC$5,$D156&lt;BC$5+7),"◆",""),IF(AND($D156&lt;BC$5+7,$E156&gt;BC$5),"■","")))</x:f>
      </x:c>
      <x:c r="BD156" s="7" t="str">
        <x:f>IF(OR($D156="",BD$5="",'상세일정'!AM156="제외"),"",IF($D156=$E156,IF(AND($D156&gt;=BD$5,$D156&lt;BD$5+7),"◆",""),IF(AND($D156&lt;BD$5+7,$E156&gt;BD$5),"■","")))</x:f>
      </x:c>
      <x:c r="BE156" s="7" t="str">
        <x:f>IF(OR($D156="",BE$5="",'상세일정'!AM156="제외"),"",IF($D156=$E156,IF(AND($D156&gt;=BE$5,$D156&lt;BE$5+7),"◆",""),IF(AND($D156&lt;BE$5+7,$E156&gt;BE$5),"■","")))</x:f>
      </x:c>
      <x:c r="BF156" s="7" t="str">
        <x:f>IF(OR($D156="",BF$5="",'상세일정'!AM156="제외"),"",IF($D156=$E156,IF(AND($D156&gt;=BF$5,$D156&lt;BF$5+7),"◆",""),IF(AND($D156&lt;BF$5+7,$E156&gt;BF$5),"■","")))</x:f>
      </x:c>
      <x:c r="BG156" s="7" t="str">
        <x:f>IF(OR($D156="",BG$5="",'상세일정'!AM156="제외"),"",IF($D156=$E156,IF(AND($D156&gt;=BG$5,$D156&lt;BG$5+7),"◆",""),IF(AND($D156&lt;BG$5+7,$E156&gt;BG$5),"■","")))</x:f>
      </x:c>
      <x:c r="BH156" s="7" t="str">
        <x:f>IF(OR($D156="",BH$5="",'상세일정'!AM156="제외"),"",IF($D156=$E156,IF(AND($D156&gt;=BH$5,$D156&lt;BH$5+7),"◆",""),IF(AND($D156&lt;BH$5+7,$E156&gt;BH$5),"■","")))</x:f>
      </x:c>
      <x:c r="BI156" s="7" t="str">
        <x:f>IF(OR($D156="",BI$5="",'상세일정'!AM156="제외"),"",IF($D156=$E156,IF(AND($D156&gt;=BI$5,$D156&lt;BI$5+7),"◆",""),IF(AND($D156&lt;BI$5+7,$E156&gt;BI$5),"■","")))</x:f>
      </x:c>
      <x:c r="BJ156" s="7" t="str">
        <x:f>IF(OR($D156="",BJ$5="",'상세일정'!AM156="제외"),"",IF($D156=$E156,IF(AND($D156&gt;=BJ$5,$D156&lt;BJ$5+7),"◆",""),IF(AND($D156&lt;BJ$5+7,$E156&gt;BJ$5),"■","")))</x:f>
      </x:c>
      <x:c r="BK156" s="7" t="str">
        <x:f>IF(OR($D156="",BK$5="",'상세일정'!AM156="제외"),"",IF($D156=$E156,IF(AND($D156&gt;=BK$5,$D156&lt;BK$5+7),"◆",""),IF(AND($D156&lt;BK$5+7,$E156&gt;BK$5),"■","")))</x:f>
      </x:c>
      <x:c r="BL156" s="7" t="str">
        <x:f>IF(OR($D156="",BL$5="",'상세일정'!AM156="제외"),"",IF($D156=$E156,IF(AND($D156&gt;=BL$5,$D156&lt;BL$5+7),"◆",""),IF(AND($D156&lt;BL$5+7,$E156&gt;BL$5),"■","")))</x:f>
      </x:c>
      <x:c r="BM156" s="7" t="str">
        <x:f>IF(OR($D156="",BM$5="",'상세일정'!AM156="제외"),"",IF($D156=$E156,IF(AND($D156&gt;=BM$5,$D156&lt;BM$5+7),"◆",""),IF(AND($D156&lt;BM$5+7,$E156&gt;BM$5),"■","")))</x:f>
      </x:c>
      <x:c r="BN156" s="7" t="str">
        <x:f>IF(OR($D156="",BN$5="",'상세일정'!AM156="제외"),"",IF($D156=$E156,IF(AND($D156&gt;=BN$5,$D156&lt;BN$5+7),"◆",""),IF(AND($D156&lt;BN$5+7,$E156&gt;BN$5),"■","")))</x:f>
      </x:c>
      <x:c r="BO156" s="7" t="str">
        <x:f>IF(OR($D156="",BO$5="",'상세일정'!AM156="제외"),"",IF($D156=$E156,IF(AND($D156&gt;=BO$5,$D156&lt;BO$5+7),"◆",""),IF(AND($D156&lt;BO$5+7,$E156&gt;BO$5),"■","")))</x:f>
      </x:c>
      <x:c r="BP156" s="7" t="str">
        <x:f>IF(OR($D156="",BP$5="",'상세일정'!AM156="제외"),"",IF($D156=$E156,IF(AND($D156&gt;=BP$5,$D156&lt;BP$5+7),"◆",""),IF(AND($D156&lt;BP$5+7,$E156&gt;BP$5),"■","")))</x:f>
      </x:c>
      <x:c r="BQ156" s="7" t="str">
        <x:f>IF(OR($D156="",BQ$5="",'상세일정'!AM156="제외"),"",IF($D156=$E156,IF(AND($D156&gt;=BQ$5,$D156&lt;BQ$5+7),"◆",""),IF(AND($D156&lt;BQ$5+7,$E156&gt;BQ$5),"■","")))</x:f>
      </x:c>
      <x:c r="BR156" s="7" t="str">
        <x:f>IF(OR($D156="",BR$5="",'상세일정'!AM156="제외"),"",IF($D156=$E156,IF(AND($D156&gt;=BR$5,$D156&lt;BR$5+7),"◆",""),IF(AND($D156&lt;BR$5+7,$E156&gt;BR$5),"■","")))</x:f>
      </x:c>
      <x:c r="BS156" s="7" t="str">
        <x:f>IF(OR($D156="",BS$5="",'상세일정'!AM156="제외"),"",IF($D156=$E156,IF(AND($D156&gt;=BS$5,$D156&lt;BS$5+7),"◆",""),IF(AND($D156&lt;BS$5+7,$E156&gt;BS$5),"■","")))</x:f>
      </x:c>
      <x:c r="BT156" s="7" t="str">
        <x:f>IF(OR($D156="",BT$5="",'상세일정'!AM156="제외"),"",IF($D156=$E156,IF(AND($D156&gt;=BT$5,$D156&lt;BT$5+7),"◆",""),IF(AND($D156&lt;BT$5+7,$E156&gt;BT$5),"■","")))</x:f>
      </x:c>
      <x:c r="BU156" s="7" t="str">
        <x:f>IF(OR($D156="",BU$5="",'상세일정'!AM156="제외"),"",IF($D156=$E156,IF(AND($D156&gt;=BU$5,$D156&lt;BU$5+7),"◆",""),IF(AND($D156&lt;BU$5+7,$E156&gt;BU$5),"■","")))</x:f>
      </x:c>
      <x:c r="BV156" s="7" t="str">
        <x:f>IF(OR($D156="",BV$5="",'상세일정'!AM156="제외"),"",IF($D156=$E156,IF(AND($D156&gt;=BV$5,$D156&lt;BV$5+7),"◆",""),IF(AND($D156&lt;BV$5+7,$E156&gt;BV$5),"■","")))</x:f>
      </x:c>
      <x:c r="BW156" s="7" t="str">
        <x:f>IF(OR($D156="",BW$5="",'상세일정'!AM156="제외"),"",IF($D156=$E156,IF(AND($D156&gt;=BW$5,$D156&lt;BW$5+7),"◆",""),IF(AND($D156&lt;BW$5+7,$E156&gt;BW$5),"■","")))</x:f>
      </x:c>
      <x:c r="BX156" s="7" t="str">
        <x:f>IF(OR($D156="",BX$5="",'상세일정'!AM156="제외"),"",IF($D156=$E156,IF(AND($D156&gt;=BX$5,$D156&lt;BX$5+7),"◆",""),IF(AND($D156&lt;BX$5+7,$E156&gt;BX$5),"■","")))</x:f>
      </x:c>
      <x:c r="BY156" s="7" t="str">
        <x:f>IF(OR($D156="",BY$5="",'상세일정'!AM156="제외"),"",IF($D156=$E156,IF(AND($D156&gt;=BY$5,$D156&lt;BY$5+7),"◆",""),IF(AND($D156&lt;BY$5+7,$E156&gt;BY$5),"■","")))</x:f>
      </x:c>
      <x:c r="BZ156" s="7" t="str">
        <x:f>IF(OR($D156="",BZ$5="",'상세일정'!AM156="제외"),"",IF($D156=$E156,IF(AND($D156&gt;=BZ$5,$D156&lt;BZ$5+7),"◆",""),IF(AND($D156&lt;BZ$5+7,$E156&gt;BZ$5),"■","")))</x:f>
      </x:c>
      <x:c r="CA156" s="7" t="str">
        <x:f>IF(OR($D156="",CA$5="",'상세일정'!AM156="제외"),"",IF($D156=$E156,IF(AND($D156&gt;=CA$5,$D156&lt;CA$5+7),"◆",""),IF(AND($D156&lt;CA$5+7,$E156&gt;CA$5),"■","")))</x:f>
      </x:c>
      <x:c r="CB156" s="7" t="str">
        <x:f>IF(OR($D156="",CB$5="",'상세일정'!AM156="제외"),"",IF($D156=$E156,IF(AND($D156&gt;=CB$5,$D156&lt;CB$5+7),"◆",""),IF(AND($D156&lt;CB$5+7,$E156&gt;CB$5),"■","")))</x:f>
      </x:c>
      <x:c r="CC156" s="7" t="str">
        <x:f>IF(OR($D156="",CC$5="",'상세일정'!AM156="제외"),"",IF($D156=$E156,IF(AND($D156&gt;=CC$5,$D156&lt;CC$5+7),"◆",""),IF(AND($D156&lt;CC$5+7,$E156&gt;CC$5),"■","")))</x:f>
      </x:c>
      <x:c r="CD156" s="7" t="str">
        <x:f>IF(OR($D156="",CD$5="",'상세일정'!AM156="제외"),"",IF($D156=$E156,IF(AND($D156&gt;=CD$5,$D156&lt;CD$5+7),"◆",""),IF(AND($D156&lt;CD$5+7,$E156&gt;CD$5),"■","")))</x:f>
      </x:c>
      <x:c r="CE156" s="7" t="str">
        <x:f>IF(OR($D156="",CE$5="",'상세일정'!AM156="제외"),"",IF($D156=$E156,IF(AND($D156&gt;=CE$5,$D156&lt;CE$5+7),"◆",""),IF(AND($D156&lt;CE$5+7,$E156&gt;CE$5),"■","")))</x:f>
      </x:c>
      <x:c r="CF156" s="7" t="str">
        <x:f>IF(OR($D156="",CF$5="",'상세일정'!AM156="제외"),"",IF($D156=$E156,IF(AND($D156&gt;=CF$5,$D156&lt;CF$5+7),"◆",""),IF(AND($D156&lt;CF$5+7,$E156&gt;CF$5),"■","")))</x:f>
      </x:c>
      <x:c r="CG156" s="7" t="str">
        <x:f>IF(OR($D156="",CG$5="",'상세일정'!AM156="제외"),"",IF($D156=$E156,IF(AND($D156&gt;=CG$5,$D156&lt;CG$5+7),"◆",""),IF(AND($D156&lt;CG$5+7,$E156&gt;CG$5),"■","")))</x:f>
      </x:c>
      <x:c r="CH156" s="7" t="str">
        <x:f>IF(OR($D156="",CH$5="",'상세일정'!AM156="제외"),"",IF($D156=$E156,IF(AND($D156&gt;=CH$5,$D156&lt;CH$5+7),"◆",""),IF(AND($D156&lt;CH$5+7,$E156&gt;CH$5),"■","")))</x:f>
      </x:c>
      <x:c r="CI156" s="7" t="str">
        <x:f>IF(OR($D156="",CI$5="",'상세일정'!AM156="제외"),"",IF($D156=$E156,IF(AND($D156&gt;=CI$5,$D156&lt;CI$5+7),"◆",""),IF(AND($D156&lt;CI$5+7,$E156&gt;CI$5),"■","")))</x:f>
      </x:c>
      <x:c r="CJ156" s="7" t="str">
        <x:f>IF(OR($D156="",CJ$5="",'상세일정'!AM156="제외"),"",IF($D156=$E156,IF(AND($D156&gt;=CJ$5,$D156&lt;CJ$5+7),"◆",""),IF(AND($D156&lt;CJ$5+7,$E156&gt;CJ$5),"■","")))</x:f>
      </x:c>
      <x:c r="CK156" s="7" t="str">
        <x:f>IF(OR($D156="",CK$5="",'상세일정'!AM156="제외"),"",IF($D156=$E156,IF(AND($D156&gt;=CK$5,$D156&lt;CK$5+7),"◆",""),IF(AND($D156&lt;CK$5+7,$E156&gt;CK$5),"■","")))</x:f>
      </x:c>
      <x:c r="CL156" s="7" t="str">
        <x:f>IF(OR($D156="",CL$5="",'상세일정'!AM156="제외"),"",IF($D156=$E156,IF(AND($D156&gt;=CL$5,$D156&lt;CL$5+7),"◆",""),IF(AND($D156&lt;CL$5+7,$E156&gt;CL$5),"■","")))</x:f>
      </x:c>
      <x:c r="CM156" s="7" t="str">
        <x:f>IF(OR($D156="",CM$5="",'상세일정'!AM156="제외"),"",IF($D156=$E156,IF(AND($D156&gt;=CM$5,$D156&lt;CM$5+7),"◆",""),IF(AND($D156&lt;CM$5+7,$E156&gt;CM$5),"■","")))</x:f>
      </x:c>
      <x:c r="CN156" s="7" t="str">
        <x:f>IF(OR($D156="",CN$5="",'상세일정'!AM156="제외"),"",IF($D156=$E156,IF(AND($D156&gt;=CN$5,$D156&lt;CN$5+7),"◆",""),IF(AND($D156&lt;CN$5+7,$E156&gt;CN$5),"■","")))</x:f>
      </x:c>
      <x:c r="CO156" s="7" t="str">
        <x:f>IF(OR($D156="",CO$5="",'상세일정'!AM156="제외"),"",IF($D156=$E156,IF(AND($D156&gt;=CO$5,$D156&lt;CO$5+7),"◆",""),IF(AND($D156&lt;CO$5+7,$E156&gt;CO$5),"■","")))</x:f>
      </x:c>
      <x:c r="CP156" s="7" t="str">
        <x:f>IF(OR($D156="",CP$5="",'상세일정'!AM156="제외"),"",IF($D156=$E156,IF(AND($D156&gt;=CP$5,$D156&lt;CP$5+7),"◆",""),IF(AND($D156&lt;CP$5+7,$E156&gt;CP$5),"■","")))</x:f>
      </x:c>
      <x:c r="CQ156" s="7" t="str">
        <x:f>IF(OR($D156="",CQ$5="",'상세일정'!AM156="제외"),"",IF($D156=$E156,IF(AND($D156&gt;=CQ$5,$D156&lt;CQ$5+7),"◆",""),IF(AND($D156&lt;CQ$5+7,$E156&gt;CQ$5),"■","")))</x:f>
      </x:c>
      <x:c r="CR156" s="7" t="str">
        <x:f>IF(OR($D156="",CR$5="",'상세일정'!AM156="제외"),"",IF($D156=$E156,IF(AND($D156&gt;=CR$5,$D156&lt;CR$5+7),"◆",""),IF(AND($D156&lt;CR$5+7,$E156&gt;CR$5),"■","")))</x:f>
      </x:c>
      <x:c r="CS156" s="7" t="str">
        <x:f>IF(OR($D156="",CS$5="",'상세일정'!AM156="제외"),"",IF($D156=$E156,IF(AND($D156&gt;=CS$5,$D156&lt;CS$5+7),"◆",""),IF(AND($D156&lt;CS$5+7,$E156&gt;CS$5),"■","")))</x:f>
      </x:c>
      <x:c r="CT156" s="7" t="str">
        <x:f>IF(OR($D156="",CT$5="",'상세일정'!AM156="제외"),"",IF($D156=$E156,IF(AND($D156&gt;=CT$5,$D156&lt;CT$5+7),"◆",""),IF(AND($D156&lt;CT$5+7,$E156&gt;CT$5),"■","")))</x:f>
      </x:c>
      <x:c r="CU156" s="7" t="str">
        <x:f>IF(OR($D156="",CU$5="",'상세일정'!AM156="제외"),"",IF($D156=$E156,IF(AND($D156&gt;=CU$5,$D156&lt;CU$5+7),"◆",""),IF(AND($D156&lt;CU$5+7,$E156&gt;CU$5),"■","")))</x:f>
      </x:c>
      <x:c r="CV156" s="7" t="str">
        <x:f>IF(OR($D156="",CV$5="",'상세일정'!AM156="제외"),"",IF($D156=$E156,IF(AND($D156&gt;=CV$5,$D156&lt;CV$5+7),"◆",""),IF(AND($D156&lt;CV$5+7,$E156&gt;CV$5),"■","")))</x:f>
      </x:c>
      <x:c r="CW156" s="7" t="str">
        <x:f>IF(OR($D156="",CW$5="",'상세일정'!AM156="제외"),"",IF($D156=$E156,IF(AND($D156&gt;=CW$5,$D156&lt;CW$5+7),"◆",""),IF(AND($D156&lt;CW$5+7,$E156&gt;CW$5),"■","")))</x:f>
      </x:c>
      <x:c r="CX156" s="7" t="str">
        <x:f>IF(OR($D156="",CX$5="",'상세일정'!AM156="제외"),"",IF($D156=$E156,IF(AND($D156&gt;=CX$5,$D156&lt;CX$5+7),"◆",""),IF(AND($D156&lt;CX$5+7,$E156&gt;CX$5),"■","")))</x:f>
      </x:c>
      <x:c r="CY156" s="7" t="str">
        <x:f>IF(OR($D156="",CY$5="",'상세일정'!AM156="제외"),"",IF($D156=$E156,IF(AND($D156&gt;=CY$5,$D156&lt;CY$5+7),"◆",""),IF(AND($D156&lt;CY$5+7,$E156&gt;CY$5),"■","")))</x:f>
      </x:c>
      <x:c r="CZ156" s="7" t="str">
        <x:f>IF(OR($D156="",CZ$5="",'상세일정'!AM156="제외"),"",IF($D156=$E156,IF(AND($D156&gt;=CZ$5,$D156&lt;CZ$5+7),"◆",""),IF(AND($D156&lt;CZ$5+7,$E156&gt;CZ$5),"■","")))</x:f>
      </x:c>
      <x:c r="DA156" s="7" t="str">
        <x:f>IF(OR($D156="",DA$5="",'상세일정'!AM156="제외"),"",IF($D156=$E156,IF(AND($D156&gt;=DA$5,$D156&lt;DA$5+7),"◆",""),IF(AND($D156&lt;DA$5+7,$E156&gt;DA$5),"■","")))</x:f>
      </x:c>
      <x:c r="DB156" s="7" t="str">
        <x:f>IF(OR($D156="",DB$5="",'상세일정'!AM156="제외"),"",IF($D156=$E156,IF(AND($D156&gt;=DB$5,$D156&lt;DB$5+7),"◆",""),IF(AND($D156&lt;DB$5+7,$E156&gt;DB$5),"■","")))</x:f>
      </x:c>
      <x:c r="DC156" s="7" t="str">
        <x:f>IF(OR($D156="",DC$5="",'상세일정'!AM156="제외"),"",IF($D156=$E156,IF(AND($D156&gt;=DC$5,$D156&lt;DC$5+7),"◆",""),IF(AND($D156&lt;DC$5+7,$E156&gt;DC$5),"■","")))</x:f>
      </x:c>
      <x:c r="DD156" s="7" t="str">
        <x:f>IF(OR($D156="",DD$5="",'상세일정'!AM156="제외"),"",IF($D156=$E156,IF(AND($D156&gt;=DD$5,$D156&lt;DD$5+7),"◆",""),IF(AND($D156&lt;DD$5+7,$E156&gt;DD$5),"■","")))</x:f>
      </x:c>
      <x:c r="DE156" s="7" t="str">
        <x:f>IF(OR($D156="",DE$5="",'상세일정'!AM156="제외"),"",IF($D156=$E156,IF(AND($D156&gt;=DE$5,$D156&lt;DE$5+7),"◆",""),IF(AND($D156&lt;DE$5+7,$E156&gt;DE$5),"■","")))</x:f>
      </x:c>
    </x:row>
    <x:row r="157" ht="34" customHeight="1">
      <x:c r="A157" s="7" t="str">
        <x:v>CN01</x:v>
      </x:c>
      <x:c r="B157" s="7" t="str">
        <x:v>17 토공·기초</x:v>
      </x:c>
      <x:c r="C157" s="7" t="str">
        <x:v>가설울타리·사무실·임시전력·세륜시설 설치</x:v>
      </x:c>
      <x:c r="D157" s="10" t="str">
        <x:f>'상세일정'!AJ157</x:f>
      </x:c>
      <x:c r="E157" s="10" t="str">
        <x:f>'상세일정'!AK157</x:f>
      </x:c>
      <x:c r="F157" s="7" t="str">
        <x:f>IF(OR($D157="",F$5="",'상세일정'!AM157="제외"),"",IF($D157=$E157,IF(AND($D157&gt;=F$5,$D157&lt;F$5+7),"◆",""),IF(AND($D157&lt;F$5+7,$E157&gt;F$5),"■","")))</x:f>
      </x:c>
      <x:c r="G157" s="7" t="str">
        <x:f>IF(OR($D157="",G$5="",'상세일정'!AM157="제외"),"",IF($D157=$E157,IF(AND($D157&gt;=G$5,$D157&lt;G$5+7),"◆",""),IF(AND($D157&lt;G$5+7,$E157&gt;G$5),"■","")))</x:f>
      </x:c>
      <x:c r="H157" s="7" t="str">
        <x:f>IF(OR($D157="",H$5="",'상세일정'!AM157="제외"),"",IF($D157=$E157,IF(AND($D157&gt;=H$5,$D157&lt;H$5+7),"◆",""),IF(AND($D157&lt;H$5+7,$E157&gt;H$5),"■","")))</x:f>
      </x:c>
      <x:c r="I157" s="7" t="str">
        <x:f>IF(OR($D157="",I$5="",'상세일정'!AM157="제외"),"",IF($D157=$E157,IF(AND($D157&gt;=I$5,$D157&lt;I$5+7),"◆",""),IF(AND($D157&lt;I$5+7,$E157&gt;I$5),"■","")))</x:f>
      </x:c>
      <x:c r="J157" s="7" t="str">
        <x:f>IF(OR($D157="",J$5="",'상세일정'!AM157="제외"),"",IF($D157=$E157,IF(AND($D157&gt;=J$5,$D157&lt;J$5+7),"◆",""),IF(AND($D157&lt;J$5+7,$E157&gt;J$5),"■","")))</x:f>
      </x:c>
      <x:c r="K157" s="7" t="str">
        <x:f>IF(OR($D157="",K$5="",'상세일정'!AM157="제외"),"",IF($D157=$E157,IF(AND($D157&gt;=K$5,$D157&lt;K$5+7),"◆",""),IF(AND($D157&lt;K$5+7,$E157&gt;K$5),"■","")))</x:f>
      </x:c>
      <x:c r="L157" s="7" t="str">
        <x:f>IF(OR($D157="",L$5="",'상세일정'!AM157="제외"),"",IF($D157=$E157,IF(AND($D157&gt;=L$5,$D157&lt;L$5+7),"◆",""),IF(AND($D157&lt;L$5+7,$E157&gt;L$5),"■","")))</x:f>
      </x:c>
      <x:c r="M157" s="7" t="str">
        <x:f>IF(OR($D157="",M$5="",'상세일정'!AM157="제외"),"",IF($D157=$E157,IF(AND($D157&gt;=M$5,$D157&lt;M$5+7),"◆",""),IF(AND($D157&lt;M$5+7,$E157&gt;M$5),"■","")))</x:f>
      </x:c>
      <x:c r="N157" s="7" t="str">
        <x:f>IF(OR($D157="",N$5="",'상세일정'!AM157="제외"),"",IF($D157=$E157,IF(AND($D157&gt;=N$5,$D157&lt;N$5+7),"◆",""),IF(AND($D157&lt;N$5+7,$E157&gt;N$5),"■","")))</x:f>
      </x:c>
      <x:c r="O157" s="7" t="str">
        <x:f>IF(OR($D157="",O$5="",'상세일정'!AM157="제외"),"",IF($D157=$E157,IF(AND($D157&gt;=O$5,$D157&lt;O$5+7),"◆",""),IF(AND($D157&lt;O$5+7,$E157&gt;O$5),"■","")))</x:f>
      </x:c>
      <x:c r="P157" s="7" t="str">
        <x:f>IF(OR($D157="",P$5="",'상세일정'!AM157="제외"),"",IF($D157=$E157,IF(AND($D157&gt;=P$5,$D157&lt;P$5+7),"◆",""),IF(AND($D157&lt;P$5+7,$E157&gt;P$5),"■","")))</x:f>
      </x:c>
      <x:c r="Q157" s="7" t="str">
        <x:f>IF(OR($D157="",Q$5="",'상세일정'!AM157="제외"),"",IF($D157=$E157,IF(AND($D157&gt;=Q$5,$D157&lt;Q$5+7),"◆",""),IF(AND($D157&lt;Q$5+7,$E157&gt;Q$5),"■","")))</x:f>
      </x:c>
      <x:c r="R157" s="7" t="str">
        <x:f>IF(OR($D157="",R$5="",'상세일정'!AM157="제외"),"",IF($D157=$E157,IF(AND($D157&gt;=R$5,$D157&lt;R$5+7),"◆",""),IF(AND($D157&lt;R$5+7,$E157&gt;R$5),"■","")))</x:f>
      </x:c>
      <x:c r="S157" s="7" t="str">
        <x:f>IF(OR($D157="",S$5="",'상세일정'!AM157="제외"),"",IF($D157=$E157,IF(AND($D157&gt;=S$5,$D157&lt;S$5+7),"◆",""),IF(AND($D157&lt;S$5+7,$E157&gt;S$5),"■","")))</x:f>
      </x:c>
      <x:c r="T157" s="7" t="str">
        <x:f>IF(OR($D157="",T$5="",'상세일정'!AM157="제외"),"",IF($D157=$E157,IF(AND($D157&gt;=T$5,$D157&lt;T$5+7),"◆",""),IF(AND($D157&lt;T$5+7,$E157&gt;T$5),"■","")))</x:f>
      </x:c>
      <x:c r="U157" s="7" t="str">
        <x:f>IF(OR($D157="",U$5="",'상세일정'!AM157="제외"),"",IF($D157=$E157,IF(AND($D157&gt;=U$5,$D157&lt;U$5+7),"◆",""),IF(AND($D157&lt;U$5+7,$E157&gt;U$5),"■","")))</x:f>
      </x:c>
      <x:c r="V157" s="7" t="str">
        <x:f>IF(OR($D157="",V$5="",'상세일정'!AM157="제외"),"",IF($D157=$E157,IF(AND($D157&gt;=V$5,$D157&lt;V$5+7),"◆",""),IF(AND($D157&lt;V$5+7,$E157&gt;V$5),"■","")))</x:f>
      </x:c>
      <x:c r="W157" s="7" t="str">
        <x:f>IF(OR($D157="",W$5="",'상세일정'!AM157="제외"),"",IF($D157=$E157,IF(AND($D157&gt;=W$5,$D157&lt;W$5+7),"◆",""),IF(AND($D157&lt;W$5+7,$E157&gt;W$5),"■","")))</x:f>
      </x:c>
      <x:c r="X157" s="7" t="str">
        <x:f>IF(OR($D157="",X$5="",'상세일정'!AM157="제외"),"",IF($D157=$E157,IF(AND($D157&gt;=X$5,$D157&lt;X$5+7),"◆",""),IF(AND($D157&lt;X$5+7,$E157&gt;X$5),"■","")))</x:f>
      </x:c>
      <x:c r="Y157" s="7" t="str">
        <x:f>IF(OR($D157="",Y$5="",'상세일정'!AM157="제외"),"",IF($D157=$E157,IF(AND($D157&gt;=Y$5,$D157&lt;Y$5+7),"◆",""),IF(AND($D157&lt;Y$5+7,$E157&gt;Y$5),"■","")))</x:f>
      </x:c>
      <x:c r="Z157" s="7" t="str">
        <x:f>IF(OR($D157="",Z$5="",'상세일정'!AM157="제외"),"",IF($D157=$E157,IF(AND($D157&gt;=Z$5,$D157&lt;Z$5+7),"◆",""),IF(AND($D157&lt;Z$5+7,$E157&gt;Z$5),"■","")))</x:f>
      </x:c>
      <x:c r="AA157" s="7" t="str">
        <x:f>IF(OR($D157="",AA$5="",'상세일정'!AM157="제외"),"",IF($D157=$E157,IF(AND($D157&gt;=AA$5,$D157&lt;AA$5+7),"◆",""),IF(AND($D157&lt;AA$5+7,$E157&gt;AA$5),"■","")))</x:f>
      </x:c>
      <x:c r="AB157" s="7" t="str">
        <x:f>IF(OR($D157="",AB$5="",'상세일정'!AM157="제외"),"",IF($D157=$E157,IF(AND($D157&gt;=AB$5,$D157&lt;AB$5+7),"◆",""),IF(AND($D157&lt;AB$5+7,$E157&gt;AB$5),"■","")))</x:f>
      </x:c>
      <x:c r="AC157" s="7" t="str">
        <x:f>IF(OR($D157="",AC$5="",'상세일정'!AM157="제외"),"",IF($D157=$E157,IF(AND($D157&gt;=AC$5,$D157&lt;AC$5+7),"◆",""),IF(AND($D157&lt;AC$5+7,$E157&gt;AC$5),"■","")))</x:f>
      </x:c>
      <x:c r="AD157" s="7" t="str">
        <x:f>IF(OR($D157="",AD$5="",'상세일정'!AM157="제외"),"",IF($D157=$E157,IF(AND($D157&gt;=AD$5,$D157&lt;AD$5+7),"◆",""),IF(AND($D157&lt;AD$5+7,$E157&gt;AD$5),"■","")))</x:f>
      </x:c>
      <x:c r="AE157" s="7" t="str">
        <x:f>IF(OR($D157="",AE$5="",'상세일정'!AM157="제외"),"",IF($D157=$E157,IF(AND($D157&gt;=AE$5,$D157&lt;AE$5+7),"◆",""),IF(AND($D157&lt;AE$5+7,$E157&gt;AE$5),"■","")))</x:f>
      </x:c>
      <x:c r="AF157" s="7" t="str">
        <x:f>IF(OR($D157="",AF$5="",'상세일정'!AM157="제외"),"",IF($D157=$E157,IF(AND($D157&gt;=AF$5,$D157&lt;AF$5+7),"◆",""),IF(AND($D157&lt;AF$5+7,$E157&gt;AF$5),"■","")))</x:f>
      </x:c>
      <x:c r="AG157" s="7" t="str">
        <x:f>IF(OR($D157="",AG$5="",'상세일정'!AM157="제외"),"",IF($D157=$E157,IF(AND($D157&gt;=AG$5,$D157&lt;AG$5+7),"◆",""),IF(AND($D157&lt;AG$5+7,$E157&gt;AG$5),"■","")))</x:f>
      </x:c>
      <x:c r="AH157" s="7" t="str">
        <x:f>IF(OR($D157="",AH$5="",'상세일정'!AM157="제외"),"",IF($D157=$E157,IF(AND($D157&gt;=AH$5,$D157&lt;AH$5+7),"◆",""),IF(AND($D157&lt;AH$5+7,$E157&gt;AH$5),"■","")))</x:f>
      </x:c>
      <x:c r="AI157" s="7" t="str">
        <x:f>IF(OR($D157="",AI$5="",'상세일정'!AM157="제외"),"",IF($D157=$E157,IF(AND($D157&gt;=AI$5,$D157&lt;AI$5+7),"◆",""),IF(AND($D157&lt;AI$5+7,$E157&gt;AI$5),"■","")))</x:f>
      </x:c>
      <x:c r="AJ157" s="7" t="str">
        <x:f>IF(OR($D157="",AJ$5="",'상세일정'!AM157="제외"),"",IF($D157=$E157,IF(AND($D157&gt;=AJ$5,$D157&lt;AJ$5+7),"◆",""),IF(AND($D157&lt;AJ$5+7,$E157&gt;AJ$5),"■","")))</x:f>
      </x:c>
      <x:c r="AK157" s="7" t="str">
        <x:f>IF(OR($D157="",AK$5="",'상세일정'!AM157="제외"),"",IF($D157=$E157,IF(AND($D157&gt;=AK$5,$D157&lt;AK$5+7),"◆",""),IF(AND($D157&lt;AK$5+7,$E157&gt;AK$5),"■","")))</x:f>
      </x:c>
      <x:c r="AL157" s="7" t="str">
        <x:f>IF(OR($D157="",AL$5="",'상세일정'!AM157="제외"),"",IF($D157=$E157,IF(AND($D157&gt;=AL$5,$D157&lt;AL$5+7),"◆",""),IF(AND($D157&lt;AL$5+7,$E157&gt;AL$5),"■","")))</x:f>
      </x:c>
      <x:c r="AM157" s="7" t="str">
        <x:f>IF(OR($D157="",AM$5="",'상세일정'!AM157="제외"),"",IF($D157=$E157,IF(AND($D157&gt;=AM$5,$D157&lt;AM$5+7),"◆",""),IF(AND($D157&lt;AM$5+7,$E157&gt;AM$5),"■","")))</x:f>
      </x:c>
      <x:c r="AN157" s="7" t="str">
        <x:f>IF(OR($D157="",AN$5="",'상세일정'!AM157="제외"),"",IF($D157=$E157,IF(AND($D157&gt;=AN$5,$D157&lt;AN$5+7),"◆",""),IF(AND($D157&lt;AN$5+7,$E157&gt;AN$5),"■","")))</x:f>
      </x:c>
      <x:c r="AO157" s="7" t="str">
        <x:f>IF(OR($D157="",AO$5="",'상세일정'!AM157="제외"),"",IF($D157=$E157,IF(AND($D157&gt;=AO$5,$D157&lt;AO$5+7),"◆",""),IF(AND($D157&lt;AO$5+7,$E157&gt;AO$5),"■","")))</x:f>
      </x:c>
      <x:c r="AP157" s="7" t="str">
        <x:f>IF(OR($D157="",AP$5="",'상세일정'!AM157="제외"),"",IF($D157=$E157,IF(AND($D157&gt;=AP$5,$D157&lt;AP$5+7),"◆",""),IF(AND($D157&lt;AP$5+7,$E157&gt;AP$5),"■","")))</x:f>
      </x:c>
      <x:c r="AQ157" s="7" t="str">
        <x:f>IF(OR($D157="",AQ$5="",'상세일정'!AM157="제외"),"",IF($D157=$E157,IF(AND($D157&gt;=AQ$5,$D157&lt;AQ$5+7),"◆",""),IF(AND($D157&lt;AQ$5+7,$E157&gt;AQ$5),"■","")))</x:f>
      </x:c>
      <x:c r="AR157" s="7" t="str">
        <x:f>IF(OR($D157="",AR$5="",'상세일정'!AM157="제외"),"",IF($D157=$E157,IF(AND($D157&gt;=AR$5,$D157&lt;AR$5+7),"◆",""),IF(AND($D157&lt;AR$5+7,$E157&gt;AR$5),"■","")))</x:f>
      </x:c>
      <x:c r="AS157" s="7" t="str">
        <x:f>IF(OR($D157="",AS$5="",'상세일정'!AM157="제외"),"",IF($D157=$E157,IF(AND($D157&gt;=AS$5,$D157&lt;AS$5+7),"◆",""),IF(AND($D157&lt;AS$5+7,$E157&gt;AS$5),"■","")))</x:f>
      </x:c>
      <x:c r="AT157" s="7" t="str">
        <x:f>IF(OR($D157="",AT$5="",'상세일정'!AM157="제외"),"",IF($D157=$E157,IF(AND($D157&gt;=AT$5,$D157&lt;AT$5+7),"◆",""),IF(AND($D157&lt;AT$5+7,$E157&gt;AT$5),"■","")))</x:f>
      </x:c>
      <x:c r="AU157" s="7" t="str">
        <x:f>IF(OR($D157="",AU$5="",'상세일정'!AM157="제외"),"",IF($D157=$E157,IF(AND($D157&gt;=AU$5,$D157&lt;AU$5+7),"◆",""),IF(AND($D157&lt;AU$5+7,$E157&gt;AU$5),"■","")))</x:f>
      </x:c>
      <x:c r="AV157" s="7" t="str">
        <x:f>IF(OR($D157="",AV$5="",'상세일정'!AM157="제외"),"",IF($D157=$E157,IF(AND($D157&gt;=AV$5,$D157&lt;AV$5+7),"◆",""),IF(AND($D157&lt;AV$5+7,$E157&gt;AV$5),"■","")))</x:f>
      </x:c>
      <x:c r="AW157" s="7" t="str">
        <x:f>IF(OR($D157="",AW$5="",'상세일정'!AM157="제외"),"",IF($D157=$E157,IF(AND($D157&gt;=AW$5,$D157&lt;AW$5+7),"◆",""),IF(AND($D157&lt;AW$5+7,$E157&gt;AW$5),"■","")))</x:f>
      </x:c>
      <x:c r="AX157" s="7" t="str">
        <x:f>IF(OR($D157="",AX$5="",'상세일정'!AM157="제외"),"",IF($D157=$E157,IF(AND($D157&gt;=AX$5,$D157&lt;AX$5+7),"◆",""),IF(AND($D157&lt;AX$5+7,$E157&gt;AX$5),"■","")))</x:f>
      </x:c>
      <x:c r="AY157" s="7" t="str">
        <x:f>IF(OR($D157="",AY$5="",'상세일정'!AM157="제외"),"",IF($D157=$E157,IF(AND($D157&gt;=AY$5,$D157&lt;AY$5+7),"◆",""),IF(AND($D157&lt;AY$5+7,$E157&gt;AY$5),"■","")))</x:f>
      </x:c>
      <x:c r="AZ157" s="7" t="str">
        <x:f>IF(OR($D157="",AZ$5="",'상세일정'!AM157="제외"),"",IF($D157=$E157,IF(AND($D157&gt;=AZ$5,$D157&lt;AZ$5+7),"◆",""),IF(AND($D157&lt;AZ$5+7,$E157&gt;AZ$5),"■","")))</x:f>
      </x:c>
      <x:c r="BA157" s="7" t="str">
        <x:f>IF(OR($D157="",BA$5="",'상세일정'!AM157="제외"),"",IF($D157=$E157,IF(AND($D157&gt;=BA$5,$D157&lt;BA$5+7),"◆",""),IF(AND($D157&lt;BA$5+7,$E157&gt;BA$5),"■","")))</x:f>
      </x:c>
      <x:c r="BB157" s="7" t="str">
        <x:f>IF(OR($D157="",BB$5="",'상세일정'!AM157="제외"),"",IF($D157=$E157,IF(AND($D157&gt;=BB$5,$D157&lt;BB$5+7),"◆",""),IF(AND($D157&lt;BB$5+7,$E157&gt;BB$5),"■","")))</x:f>
      </x:c>
      <x:c r="BC157" s="7" t="str">
        <x:f>IF(OR($D157="",BC$5="",'상세일정'!AM157="제외"),"",IF($D157=$E157,IF(AND($D157&gt;=BC$5,$D157&lt;BC$5+7),"◆",""),IF(AND($D157&lt;BC$5+7,$E157&gt;BC$5),"■","")))</x:f>
      </x:c>
      <x:c r="BD157" s="7" t="str">
        <x:f>IF(OR($D157="",BD$5="",'상세일정'!AM157="제외"),"",IF($D157=$E157,IF(AND($D157&gt;=BD$5,$D157&lt;BD$5+7),"◆",""),IF(AND($D157&lt;BD$5+7,$E157&gt;BD$5),"■","")))</x:f>
      </x:c>
      <x:c r="BE157" s="7" t="str">
        <x:f>IF(OR($D157="",BE$5="",'상세일정'!AM157="제외"),"",IF($D157=$E157,IF(AND($D157&gt;=BE$5,$D157&lt;BE$5+7),"◆",""),IF(AND($D157&lt;BE$5+7,$E157&gt;BE$5),"■","")))</x:f>
      </x:c>
      <x:c r="BF157" s="7" t="str">
        <x:f>IF(OR($D157="",BF$5="",'상세일정'!AM157="제외"),"",IF($D157=$E157,IF(AND($D157&gt;=BF$5,$D157&lt;BF$5+7),"◆",""),IF(AND($D157&lt;BF$5+7,$E157&gt;BF$5),"■","")))</x:f>
      </x:c>
      <x:c r="BG157" s="7" t="str">
        <x:f>IF(OR($D157="",BG$5="",'상세일정'!AM157="제외"),"",IF($D157=$E157,IF(AND($D157&gt;=BG$5,$D157&lt;BG$5+7),"◆",""),IF(AND($D157&lt;BG$5+7,$E157&gt;BG$5),"■","")))</x:f>
      </x:c>
      <x:c r="BH157" s="7" t="str">
        <x:f>IF(OR($D157="",BH$5="",'상세일정'!AM157="제외"),"",IF($D157=$E157,IF(AND($D157&gt;=BH$5,$D157&lt;BH$5+7),"◆",""),IF(AND($D157&lt;BH$5+7,$E157&gt;BH$5),"■","")))</x:f>
      </x:c>
      <x:c r="BI157" s="7" t="str">
        <x:f>IF(OR($D157="",BI$5="",'상세일정'!AM157="제외"),"",IF($D157=$E157,IF(AND($D157&gt;=BI$5,$D157&lt;BI$5+7),"◆",""),IF(AND($D157&lt;BI$5+7,$E157&gt;BI$5),"■","")))</x:f>
      </x:c>
      <x:c r="BJ157" s="7" t="str">
        <x:f>IF(OR($D157="",BJ$5="",'상세일정'!AM157="제외"),"",IF($D157=$E157,IF(AND($D157&gt;=BJ$5,$D157&lt;BJ$5+7),"◆",""),IF(AND($D157&lt;BJ$5+7,$E157&gt;BJ$5),"■","")))</x:f>
      </x:c>
      <x:c r="BK157" s="7" t="str">
        <x:f>IF(OR($D157="",BK$5="",'상세일정'!AM157="제외"),"",IF($D157=$E157,IF(AND($D157&gt;=BK$5,$D157&lt;BK$5+7),"◆",""),IF(AND($D157&lt;BK$5+7,$E157&gt;BK$5),"■","")))</x:f>
      </x:c>
      <x:c r="BL157" s="7" t="str">
        <x:f>IF(OR($D157="",BL$5="",'상세일정'!AM157="제외"),"",IF($D157=$E157,IF(AND($D157&gt;=BL$5,$D157&lt;BL$5+7),"◆",""),IF(AND($D157&lt;BL$5+7,$E157&gt;BL$5),"■","")))</x:f>
      </x:c>
      <x:c r="BM157" s="7" t="str">
        <x:f>IF(OR($D157="",BM$5="",'상세일정'!AM157="제외"),"",IF($D157=$E157,IF(AND($D157&gt;=BM$5,$D157&lt;BM$5+7),"◆",""),IF(AND($D157&lt;BM$5+7,$E157&gt;BM$5),"■","")))</x:f>
      </x:c>
      <x:c r="BN157" s="7" t="str">
        <x:f>IF(OR($D157="",BN$5="",'상세일정'!AM157="제외"),"",IF($D157=$E157,IF(AND($D157&gt;=BN$5,$D157&lt;BN$5+7),"◆",""),IF(AND($D157&lt;BN$5+7,$E157&gt;BN$5),"■","")))</x:f>
      </x:c>
      <x:c r="BO157" s="7" t="str">
        <x:f>IF(OR($D157="",BO$5="",'상세일정'!AM157="제외"),"",IF($D157=$E157,IF(AND($D157&gt;=BO$5,$D157&lt;BO$5+7),"◆",""),IF(AND($D157&lt;BO$5+7,$E157&gt;BO$5),"■","")))</x:f>
      </x:c>
      <x:c r="BP157" s="7" t="str">
        <x:f>IF(OR($D157="",BP$5="",'상세일정'!AM157="제외"),"",IF($D157=$E157,IF(AND($D157&gt;=BP$5,$D157&lt;BP$5+7),"◆",""),IF(AND($D157&lt;BP$5+7,$E157&gt;BP$5),"■","")))</x:f>
      </x:c>
      <x:c r="BQ157" s="7" t="str">
        <x:f>IF(OR($D157="",BQ$5="",'상세일정'!AM157="제외"),"",IF($D157=$E157,IF(AND($D157&gt;=BQ$5,$D157&lt;BQ$5+7),"◆",""),IF(AND($D157&lt;BQ$5+7,$E157&gt;BQ$5),"■","")))</x:f>
      </x:c>
      <x:c r="BR157" s="7" t="str">
        <x:f>IF(OR($D157="",BR$5="",'상세일정'!AM157="제외"),"",IF($D157=$E157,IF(AND($D157&gt;=BR$5,$D157&lt;BR$5+7),"◆",""),IF(AND($D157&lt;BR$5+7,$E157&gt;BR$5),"■","")))</x:f>
      </x:c>
      <x:c r="BS157" s="7" t="str">
        <x:f>IF(OR($D157="",BS$5="",'상세일정'!AM157="제외"),"",IF($D157=$E157,IF(AND($D157&gt;=BS$5,$D157&lt;BS$5+7),"◆",""),IF(AND($D157&lt;BS$5+7,$E157&gt;BS$5),"■","")))</x:f>
      </x:c>
      <x:c r="BT157" s="7" t="str">
        <x:f>IF(OR($D157="",BT$5="",'상세일정'!AM157="제외"),"",IF($D157=$E157,IF(AND($D157&gt;=BT$5,$D157&lt;BT$5+7),"◆",""),IF(AND($D157&lt;BT$5+7,$E157&gt;BT$5),"■","")))</x:f>
      </x:c>
      <x:c r="BU157" s="7" t="str">
        <x:f>IF(OR($D157="",BU$5="",'상세일정'!AM157="제외"),"",IF($D157=$E157,IF(AND($D157&gt;=BU$5,$D157&lt;BU$5+7),"◆",""),IF(AND($D157&lt;BU$5+7,$E157&gt;BU$5),"■","")))</x:f>
      </x:c>
      <x:c r="BV157" s="7" t="str">
        <x:f>IF(OR($D157="",BV$5="",'상세일정'!AM157="제외"),"",IF($D157=$E157,IF(AND($D157&gt;=BV$5,$D157&lt;BV$5+7),"◆",""),IF(AND($D157&lt;BV$5+7,$E157&gt;BV$5),"■","")))</x:f>
      </x:c>
      <x:c r="BW157" s="7" t="str">
        <x:f>IF(OR($D157="",BW$5="",'상세일정'!AM157="제외"),"",IF($D157=$E157,IF(AND($D157&gt;=BW$5,$D157&lt;BW$5+7),"◆",""),IF(AND($D157&lt;BW$5+7,$E157&gt;BW$5),"■","")))</x:f>
      </x:c>
      <x:c r="BX157" s="7" t="str">
        <x:f>IF(OR($D157="",BX$5="",'상세일정'!AM157="제외"),"",IF($D157=$E157,IF(AND($D157&gt;=BX$5,$D157&lt;BX$5+7),"◆",""),IF(AND($D157&lt;BX$5+7,$E157&gt;BX$5),"■","")))</x:f>
      </x:c>
      <x:c r="BY157" s="7" t="str">
        <x:f>IF(OR($D157="",BY$5="",'상세일정'!AM157="제외"),"",IF($D157=$E157,IF(AND($D157&gt;=BY$5,$D157&lt;BY$5+7),"◆",""),IF(AND($D157&lt;BY$5+7,$E157&gt;BY$5),"■","")))</x:f>
      </x:c>
      <x:c r="BZ157" s="7" t="str">
        <x:f>IF(OR($D157="",BZ$5="",'상세일정'!AM157="제외"),"",IF($D157=$E157,IF(AND($D157&gt;=BZ$5,$D157&lt;BZ$5+7),"◆",""),IF(AND($D157&lt;BZ$5+7,$E157&gt;BZ$5),"■","")))</x:f>
      </x:c>
      <x:c r="CA157" s="7" t="str">
        <x:f>IF(OR($D157="",CA$5="",'상세일정'!AM157="제외"),"",IF($D157=$E157,IF(AND($D157&gt;=CA$5,$D157&lt;CA$5+7),"◆",""),IF(AND($D157&lt;CA$5+7,$E157&gt;CA$5),"■","")))</x:f>
      </x:c>
      <x:c r="CB157" s="7" t="str">
        <x:f>IF(OR($D157="",CB$5="",'상세일정'!AM157="제외"),"",IF($D157=$E157,IF(AND($D157&gt;=CB$5,$D157&lt;CB$5+7),"◆",""),IF(AND($D157&lt;CB$5+7,$E157&gt;CB$5),"■","")))</x:f>
      </x:c>
      <x:c r="CC157" s="7" t="str">
        <x:f>IF(OR($D157="",CC$5="",'상세일정'!AM157="제외"),"",IF($D157=$E157,IF(AND($D157&gt;=CC$5,$D157&lt;CC$5+7),"◆",""),IF(AND($D157&lt;CC$5+7,$E157&gt;CC$5),"■","")))</x:f>
      </x:c>
      <x:c r="CD157" s="7" t="str">
        <x:f>IF(OR($D157="",CD$5="",'상세일정'!AM157="제외"),"",IF($D157=$E157,IF(AND($D157&gt;=CD$5,$D157&lt;CD$5+7),"◆",""),IF(AND($D157&lt;CD$5+7,$E157&gt;CD$5),"■","")))</x:f>
      </x:c>
      <x:c r="CE157" s="7" t="str">
        <x:f>IF(OR($D157="",CE$5="",'상세일정'!AM157="제외"),"",IF($D157=$E157,IF(AND($D157&gt;=CE$5,$D157&lt;CE$5+7),"◆",""),IF(AND($D157&lt;CE$5+7,$E157&gt;CE$5),"■","")))</x:f>
      </x:c>
      <x:c r="CF157" s="7" t="str">
        <x:f>IF(OR($D157="",CF$5="",'상세일정'!AM157="제외"),"",IF($D157=$E157,IF(AND($D157&gt;=CF$5,$D157&lt;CF$5+7),"◆",""),IF(AND($D157&lt;CF$5+7,$E157&gt;CF$5),"■","")))</x:f>
      </x:c>
      <x:c r="CG157" s="7" t="str">
        <x:f>IF(OR($D157="",CG$5="",'상세일정'!AM157="제외"),"",IF($D157=$E157,IF(AND($D157&gt;=CG$5,$D157&lt;CG$5+7),"◆",""),IF(AND($D157&lt;CG$5+7,$E157&gt;CG$5),"■","")))</x:f>
      </x:c>
      <x:c r="CH157" s="7" t="str">
        <x:f>IF(OR($D157="",CH$5="",'상세일정'!AM157="제외"),"",IF($D157=$E157,IF(AND($D157&gt;=CH$5,$D157&lt;CH$5+7),"◆",""),IF(AND($D157&lt;CH$5+7,$E157&gt;CH$5),"■","")))</x:f>
      </x:c>
      <x:c r="CI157" s="7" t="str">
        <x:f>IF(OR($D157="",CI$5="",'상세일정'!AM157="제외"),"",IF($D157=$E157,IF(AND($D157&gt;=CI$5,$D157&lt;CI$5+7),"◆",""),IF(AND($D157&lt;CI$5+7,$E157&gt;CI$5),"■","")))</x:f>
      </x:c>
      <x:c r="CJ157" s="7" t="str">
        <x:f>IF(OR($D157="",CJ$5="",'상세일정'!AM157="제외"),"",IF($D157=$E157,IF(AND($D157&gt;=CJ$5,$D157&lt;CJ$5+7),"◆",""),IF(AND($D157&lt;CJ$5+7,$E157&gt;CJ$5),"■","")))</x:f>
      </x:c>
      <x:c r="CK157" s="7" t="str">
        <x:f>IF(OR($D157="",CK$5="",'상세일정'!AM157="제외"),"",IF($D157=$E157,IF(AND($D157&gt;=CK$5,$D157&lt;CK$5+7),"◆",""),IF(AND($D157&lt;CK$5+7,$E157&gt;CK$5),"■","")))</x:f>
      </x:c>
      <x:c r="CL157" s="7" t="str">
        <x:f>IF(OR($D157="",CL$5="",'상세일정'!AM157="제외"),"",IF($D157=$E157,IF(AND($D157&gt;=CL$5,$D157&lt;CL$5+7),"◆",""),IF(AND($D157&lt;CL$5+7,$E157&gt;CL$5),"■","")))</x:f>
      </x:c>
      <x:c r="CM157" s="7" t="str">
        <x:f>IF(OR($D157="",CM$5="",'상세일정'!AM157="제외"),"",IF($D157=$E157,IF(AND($D157&gt;=CM$5,$D157&lt;CM$5+7),"◆",""),IF(AND($D157&lt;CM$5+7,$E157&gt;CM$5),"■","")))</x:f>
      </x:c>
      <x:c r="CN157" s="7" t="str">
        <x:f>IF(OR($D157="",CN$5="",'상세일정'!AM157="제외"),"",IF($D157=$E157,IF(AND($D157&gt;=CN$5,$D157&lt;CN$5+7),"◆",""),IF(AND($D157&lt;CN$5+7,$E157&gt;CN$5),"■","")))</x:f>
      </x:c>
      <x:c r="CO157" s="7" t="str">
        <x:f>IF(OR($D157="",CO$5="",'상세일정'!AM157="제외"),"",IF($D157=$E157,IF(AND($D157&gt;=CO$5,$D157&lt;CO$5+7),"◆",""),IF(AND($D157&lt;CO$5+7,$E157&gt;CO$5),"■","")))</x:f>
      </x:c>
      <x:c r="CP157" s="7" t="str">
        <x:f>IF(OR($D157="",CP$5="",'상세일정'!AM157="제외"),"",IF($D157=$E157,IF(AND($D157&gt;=CP$5,$D157&lt;CP$5+7),"◆",""),IF(AND($D157&lt;CP$5+7,$E157&gt;CP$5),"■","")))</x:f>
      </x:c>
      <x:c r="CQ157" s="7" t="str">
        <x:f>IF(OR($D157="",CQ$5="",'상세일정'!AM157="제외"),"",IF($D157=$E157,IF(AND($D157&gt;=CQ$5,$D157&lt;CQ$5+7),"◆",""),IF(AND($D157&lt;CQ$5+7,$E157&gt;CQ$5),"■","")))</x:f>
      </x:c>
      <x:c r="CR157" s="7" t="str">
        <x:f>IF(OR($D157="",CR$5="",'상세일정'!AM157="제외"),"",IF($D157=$E157,IF(AND($D157&gt;=CR$5,$D157&lt;CR$5+7),"◆",""),IF(AND($D157&lt;CR$5+7,$E157&gt;CR$5),"■","")))</x:f>
      </x:c>
      <x:c r="CS157" s="7" t="str">
        <x:f>IF(OR($D157="",CS$5="",'상세일정'!AM157="제외"),"",IF($D157=$E157,IF(AND($D157&gt;=CS$5,$D157&lt;CS$5+7),"◆",""),IF(AND($D157&lt;CS$5+7,$E157&gt;CS$5),"■","")))</x:f>
      </x:c>
      <x:c r="CT157" s="7" t="str">
        <x:f>IF(OR($D157="",CT$5="",'상세일정'!AM157="제외"),"",IF($D157=$E157,IF(AND($D157&gt;=CT$5,$D157&lt;CT$5+7),"◆",""),IF(AND($D157&lt;CT$5+7,$E157&gt;CT$5),"■","")))</x:f>
      </x:c>
      <x:c r="CU157" s="7" t="str">
        <x:f>IF(OR($D157="",CU$5="",'상세일정'!AM157="제외"),"",IF($D157=$E157,IF(AND($D157&gt;=CU$5,$D157&lt;CU$5+7),"◆",""),IF(AND($D157&lt;CU$5+7,$E157&gt;CU$5),"■","")))</x:f>
      </x:c>
      <x:c r="CV157" s="7" t="str">
        <x:f>IF(OR($D157="",CV$5="",'상세일정'!AM157="제외"),"",IF($D157=$E157,IF(AND($D157&gt;=CV$5,$D157&lt;CV$5+7),"◆",""),IF(AND($D157&lt;CV$5+7,$E157&gt;CV$5),"■","")))</x:f>
      </x:c>
      <x:c r="CW157" s="7" t="str">
        <x:f>IF(OR($D157="",CW$5="",'상세일정'!AM157="제외"),"",IF($D157=$E157,IF(AND($D157&gt;=CW$5,$D157&lt;CW$5+7),"◆",""),IF(AND($D157&lt;CW$5+7,$E157&gt;CW$5),"■","")))</x:f>
      </x:c>
      <x:c r="CX157" s="7" t="str">
        <x:f>IF(OR($D157="",CX$5="",'상세일정'!AM157="제외"),"",IF($D157=$E157,IF(AND($D157&gt;=CX$5,$D157&lt;CX$5+7),"◆",""),IF(AND($D157&lt;CX$5+7,$E157&gt;CX$5),"■","")))</x:f>
      </x:c>
      <x:c r="CY157" s="7" t="str">
        <x:f>IF(OR($D157="",CY$5="",'상세일정'!AM157="제외"),"",IF($D157=$E157,IF(AND($D157&gt;=CY$5,$D157&lt;CY$5+7),"◆",""),IF(AND($D157&lt;CY$5+7,$E157&gt;CY$5),"■","")))</x:f>
      </x:c>
      <x:c r="CZ157" s="7" t="str">
        <x:f>IF(OR($D157="",CZ$5="",'상세일정'!AM157="제외"),"",IF($D157=$E157,IF(AND($D157&gt;=CZ$5,$D157&lt;CZ$5+7),"◆",""),IF(AND($D157&lt;CZ$5+7,$E157&gt;CZ$5),"■","")))</x:f>
      </x:c>
      <x:c r="DA157" s="7" t="str">
        <x:f>IF(OR($D157="",DA$5="",'상세일정'!AM157="제외"),"",IF($D157=$E157,IF(AND($D157&gt;=DA$5,$D157&lt;DA$5+7),"◆",""),IF(AND($D157&lt;DA$5+7,$E157&gt;DA$5),"■","")))</x:f>
      </x:c>
      <x:c r="DB157" s="7" t="str">
        <x:f>IF(OR($D157="",DB$5="",'상세일정'!AM157="제외"),"",IF($D157=$E157,IF(AND($D157&gt;=DB$5,$D157&lt;DB$5+7),"◆",""),IF(AND($D157&lt;DB$5+7,$E157&gt;DB$5),"■","")))</x:f>
      </x:c>
      <x:c r="DC157" s="7" t="str">
        <x:f>IF(OR($D157="",DC$5="",'상세일정'!AM157="제외"),"",IF($D157=$E157,IF(AND($D157&gt;=DC$5,$D157&lt;DC$5+7),"◆",""),IF(AND($D157&lt;DC$5+7,$E157&gt;DC$5),"■","")))</x:f>
      </x:c>
      <x:c r="DD157" s="7" t="str">
        <x:f>IF(OR($D157="",DD$5="",'상세일정'!AM157="제외"),"",IF($D157=$E157,IF(AND($D157&gt;=DD$5,$D157&lt;DD$5+7),"◆",""),IF(AND($D157&lt;DD$5+7,$E157&gt;DD$5),"■","")))</x:f>
      </x:c>
      <x:c r="DE157" s="7" t="str">
        <x:f>IF(OR($D157="",DE$5="",'상세일정'!AM157="제외"),"",IF($D157=$E157,IF(AND($D157&gt;=DE$5,$D157&lt;DE$5+7),"◆",""),IF(AND($D157&lt;DE$5+7,$E157&gt;DE$5),"■","")))</x:f>
      </x:c>
    </x:row>
    <x:row r="158" ht="34" customHeight="1">
      <x:c r="A158" s="7" t="str">
        <x:v>CN02</x:v>
      </x:c>
      <x:c r="B158" s="7" t="str">
        <x:v>17 토공·기초</x:v>
      </x:c>
      <x:c r="C158" s="7" t="str">
        <x:v>측량 기준점·부지정리·성토조건 확인</x:v>
      </x:c>
      <x:c r="D158" s="10" t="str">
        <x:f>'상세일정'!AJ158</x:f>
      </x:c>
      <x:c r="E158" s="10" t="str">
        <x:f>'상세일정'!AK158</x:f>
      </x:c>
      <x:c r="F158" s="7" t="str">
        <x:f>IF(OR($D158="",F$5="",'상세일정'!AM158="제외"),"",IF($D158=$E158,IF(AND($D158&gt;=F$5,$D158&lt;F$5+7),"◆",""),IF(AND($D158&lt;F$5+7,$E158&gt;F$5),"■","")))</x:f>
      </x:c>
      <x:c r="G158" s="7" t="str">
        <x:f>IF(OR($D158="",G$5="",'상세일정'!AM158="제외"),"",IF($D158=$E158,IF(AND($D158&gt;=G$5,$D158&lt;G$5+7),"◆",""),IF(AND($D158&lt;G$5+7,$E158&gt;G$5),"■","")))</x:f>
      </x:c>
      <x:c r="H158" s="7" t="str">
        <x:f>IF(OR($D158="",H$5="",'상세일정'!AM158="제외"),"",IF($D158=$E158,IF(AND($D158&gt;=H$5,$D158&lt;H$5+7),"◆",""),IF(AND($D158&lt;H$5+7,$E158&gt;H$5),"■","")))</x:f>
      </x:c>
      <x:c r="I158" s="7" t="str">
        <x:f>IF(OR($D158="",I$5="",'상세일정'!AM158="제외"),"",IF($D158=$E158,IF(AND($D158&gt;=I$5,$D158&lt;I$5+7),"◆",""),IF(AND($D158&lt;I$5+7,$E158&gt;I$5),"■","")))</x:f>
      </x:c>
      <x:c r="J158" s="7" t="str">
        <x:f>IF(OR($D158="",J$5="",'상세일정'!AM158="제외"),"",IF($D158=$E158,IF(AND($D158&gt;=J$5,$D158&lt;J$5+7),"◆",""),IF(AND($D158&lt;J$5+7,$E158&gt;J$5),"■","")))</x:f>
      </x:c>
      <x:c r="K158" s="7" t="str">
        <x:f>IF(OR($D158="",K$5="",'상세일정'!AM158="제외"),"",IF($D158=$E158,IF(AND($D158&gt;=K$5,$D158&lt;K$5+7),"◆",""),IF(AND($D158&lt;K$5+7,$E158&gt;K$5),"■","")))</x:f>
      </x:c>
      <x:c r="L158" s="7" t="str">
        <x:f>IF(OR($D158="",L$5="",'상세일정'!AM158="제외"),"",IF($D158=$E158,IF(AND($D158&gt;=L$5,$D158&lt;L$5+7),"◆",""),IF(AND($D158&lt;L$5+7,$E158&gt;L$5),"■","")))</x:f>
      </x:c>
      <x:c r="M158" s="7" t="str">
        <x:f>IF(OR($D158="",M$5="",'상세일정'!AM158="제외"),"",IF($D158=$E158,IF(AND($D158&gt;=M$5,$D158&lt;M$5+7),"◆",""),IF(AND($D158&lt;M$5+7,$E158&gt;M$5),"■","")))</x:f>
      </x:c>
      <x:c r="N158" s="7" t="str">
        <x:f>IF(OR($D158="",N$5="",'상세일정'!AM158="제외"),"",IF($D158=$E158,IF(AND($D158&gt;=N$5,$D158&lt;N$5+7),"◆",""),IF(AND($D158&lt;N$5+7,$E158&gt;N$5),"■","")))</x:f>
      </x:c>
      <x:c r="O158" s="7" t="str">
        <x:f>IF(OR($D158="",O$5="",'상세일정'!AM158="제외"),"",IF($D158=$E158,IF(AND($D158&gt;=O$5,$D158&lt;O$5+7),"◆",""),IF(AND($D158&lt;O$5+7,$E158&gt;O$5),"■","")))</x:f>
      </x:c>
      <x:c r="P158" s="7" t="str">
        <x:f>IF(OR($D158="",P$5="",'상세일정'!AM158="제외"),"",IF($D158=$E158,IF(AND($D158&gt;=P$5,$D158&lt;P$5+7),"◆",""),IF(AND($D158&lt;P$5+7,$E158&gt;P$5),"■","")))</x:f>
      </x:c>
      <x:c r="Q158" s="7" t="str">
        <x:f>IF(OR($D158="",Q$5="",'상세일정'!AM158="제외"),"",IF($D158=$E158,IF(AND($D158&gt;=Q$5,$D158&lt;Q$5+7),"◆",""),IF(AND($D158&lt;Q$5+7,$E158&gt;Q$5),"■","")))</x:f>
      </x:c>
      <x:c r="R158" s="7" t="str">
        <x:f>IF(OR($D158="",R$5="",'상세일정'!AM158="제외"),"",IF($D158=$E158,IF(AND($D158&gt;=R$5,$D158&lt;R$5+7),"◆",""),IF(AND($D158&lt;R$5+7,$E158&gt;R$5),"■","")))</x:f>
      </x:c>
      <x:c r="S158" s="7" t="str">
        <x:f>IF(OR($D158="",S$5="",'상세일정'!AM158="제외"),"",IF($D158=$E158,IF(AND($D158&gt;=S$5,$D158&lt;S$5+7),"◆",""),IF(AND($D158&lt;S$5+7,$E158&gt;S$5),"■","")))</x:f>
      </x:c>
      <x:c r="T158" s="7" t="str">
        <x:f>IF(OR($D158="",T$5="",'상세일정'!AM158="제외"),"",IF($D158=$E158,IF(AND($D158&gt;=T$5,$D158&lt;T$5+7),"◆",""),IF(AND($D158&lt;T$5+7,$E158&gt;T$5),"■","")))</x:f>
      </x:c>
      <x:c r="U158" s="7" t="str">
        <x:f>IF(OR($D158="",U$5="",'상세일정'!AM158="제외"),"",IF($D158=$E158,IF(AND($D158&gt;=U$5,$D158&lt;U$5+7),"◆",""),IF(AND($D158&lt;U$5+7,$E158&gt;U$5),"■","")))</x:f>
      </x:c>
      <x:c r="V158" s="7" t="str">
        <x:f>IF(OR($D158="",V$5="",'상세일정'!AM158="제외"),"",IF($D158=$E158,IF(AND($D158&gt;=V$5,$D158&lt;V$5+7),"◆",""),IF(AND($D158&lt;V$5+7,$E158&gt;V$5),"■","")))</x:f>
      </x:c>
      <x:c r="W158" s="7" t="str">
        <x:f>IF(OR($D158="",W$5="",'상세일정'!AM158="제외"),"",IF($D158=$E158,IF(AND($D158&gt;=W$5,$D158&lt;W$5+7),"◆",""),IF(AND($D158&lt;W$5+7,$E158&gt;W$5),"■","")))</x:f>
      </x:c>
      <x:c r="X158" s="7" t="str">
        <x:f>IF(OR($D158="",X$5="",'상세일정'!AM158="제외"),"",IF($D158=$E158,IF(AND($D158&gt;=X$5,$D158&lt;X$5+7),"◆",""),IF(AND($D158&lt;X$5+7,$E158&gt;X$5),"■","")))</x:f>
      </x:c>
      <x:c r="Y158" s="7" t="str">
        <x:f>IF(OR($D158="",Y$5="",'상세일정'!AM158="제외"),"",IF($D158=$E158,IF(AND($D158&gt;=Y$5,$D158&lt;Y$5+7),"◆",""),IF(AND($D158&lt;Y$5+7,$E158&gt;Y$5),"■","")))</x:f>
      </x:c>
      <x:c r="Z158" s="7" t="str">
        <x:f>IF(OR($D158="",Z$5="",'상세일정'!AM158="제외"),"",IF($D158=$E158,IF(AND($D158&gt;=Z$5,$D158&lt;Z$5+7),"◆",""),IF(AND($D158&lt;Z$5+7,$E158&gt;Z$5),"■","")))</x:f>
      </x:c>
      <x:c r="AA158" s="7" t="str">
        <x:f>IF(OR($D158="",AA$5="",'상세일정'!AM158="제외"),"",IF($D158=$E158,IF(AND($D158&gt;=AA$5,$D158&lt;AA$5+7),"◆",""),IF(AND($D158&lt;AA$5+7,$E158&gt;AA$5),"■","")))</x:f>
      </x:c>
      <x:c r="AB158" s="7" t="str">
        <x:f>IF(OR($D158="",AB$5="",'상세일정'!AM158="제외"),"",IF($D158=$E158,IF(AND($D158&gt;=AB$5,$D158&lt;AB$5+7),"◆",""),IF(AND($D158&lt;AB$5+7,$E158&gt;AB$5),"■","")))</x:f>
      </x:c>
      <x:c r="AC158" s="7" t="str">
        <x:f>IF(OR($D158="",AC$5="",'상세일정'!AM158="제외"),"",IF($D158=$E158,IF(AND($D158&gt;=AC$5,$D158&lt;AC$5+7),"◆",""),IF(AND($D158&lt;AC$5+7,$E158&gt;AC$5),"■","")))</x:f>
      </x:c>
      <x:c r="AD158" s="7" t="str">
        <x:f>IF(OR($D158="",AD$5="",'상세일정'!AM158="제외"),"",IF($D158=$E158,IF(AND($D158&gt;=AD$5,$D158&lt;AD$5+7),"◆",""),IF(AND($D158&lt;AD$5+7,$E158&gt;AD$5),"■","")))</x:f>
      </x:c>
      <x:c r="AE158" s="7" t="str">
        <x:f>IF(OR($D158="",AE$5="",'상세일정'!AM158="제외"),"",IF($D158=$E158,IF(AND($D158&gt;=AE$5,$D158&lt;AE$5+7),"◆",""),IF(AND($D158&lt;AE$5+7,$E158&gt;AE$5),"■","")))</x:f>
      </x:c>
      <x:c r="AF158" s="7" t="str">
        <x:f>IF(OR($D158="",AF$5="",'상세일정'!AM158="제외"),"",IF($D158=$E158,IF(AND($D158&gt;=AF$5,$D158&lt;AF$5+7),"◆",""),IF(AND($D158&lt;AF$5+7,$E158&gt;AF$5),"■","")))</x:f>
      </x:c>
      <x:c r="AG158" s="7" t="str">
        <x:f>IF(OR($D158="",AG$5="",'상세일정'!AM158="제외"),"",IF($D158=$E158,IF(AND($D158&gt;=AG$5,$D158&lt;AG$5+7),"◆",""),IF(AND($D158&lt;AG$5+7,$E158&gt;AG$5),"■","")))</x:f>
      </x:c>
      <x:c r="AH158" s="7" t="str">
        <x:f>IF(OR($D158="",AH$5="",'상세일정'!AM158="제외"),"",IF($D158=$E158,IF(AND($D158&gt;=AH$5,$D158&lt;AH$5+7),"◆",""),IF(AND($D158&lt;AH$5+7,$E158&gt;AH$5),"■","")))</x:f>
      </x:c>
      <x:c r="AI158" s="7" t="str">
        <x:f>IF(OR($D158="",AI$5="",'상세일정'!AM158="제외"),"",IF($D158=$E158,IF(AND($D158&gt;=AI$5,$D158&lt;AI$5+7),"◆",""),IF(AND($D158&lt;AI$5+7,$E158&gt;AI$5),"■","")))</x:f>
      </x:c>
      <x:c r="AJ158" s="7" t="str">
        <x:f>IF(OR($D158="",AJ$5="",'상세일정'!AM158="제외"),"",IF($D158=$E158,IF(AND($D158&gt;=AJ$5,$D158&lt;AJ$5+7),"◆",""),IF(AND($D158&lt;AJ$5+7,$E158&gt;AJ$5),"■","")))</x:f>
      </x:c>
      <x:c r="AK158" s="7" t="str">
        <x:f>IF(OR($D158="",AK$5="",'상세일정'!AM158="제외"),"",IF($D158=$E158,IF(AND($D158&gt;=AK$5,$D158&lt;AK$5+7),"◆",""),IF(AND($D158&lt;AK$5+7,$E158&gt;AK$5),"■","")))</x:f>
      </x:c>
      <x:c r="AL158" s="7" t="str">
        <x:f>IF(OR($D158="",AL$5="",'상세일정'!AM158="제외"),"",IF($D158=$E158,IF(AND($D158&gt;=AL$5,$D158&lt;AL$5+7),"◆",""),IF(AND($D158&lt;AL$5+7,$E158&gt;AL$5),"■","")))</x:f>
      </x:c>
      <x:c r="AM158" s="7" t="str">
        <x:f>IF(OR($D158="",AM$5="",'상세일정'!AM158="제외"),"",IF($D158=$E158,IF(AND($D158&gt;=AM$5,$D158&lt;AM$5+7),"◆",""),IF(AND($D158&lt;AM$5+7,$E158&gt;AM$5),"■","")))</x:f>
      </x:c>
      <x:c r="AN158" s="7" t="str">
        <x:f>IF(OR($D158="",AN$5="",'상세일정'!AM158="제외"),"",IF($D158=$E158,IF(AND($D158&gt;=AN$5,$D158&lt;AN$5+7),"◆",""),IF(AND($D158&lt;AN$5+7,$E158&gt;AN$5),"■","")))</x:f>
      </x:c>
      <x:c r="AO158" s="7" t="str">
        <x:f>IF(OR($D158="",AO$5="",'상세일정'!AM158="제외"),"",IF($D158=$E158,IF(AND($D158&gt;=AO$5,$D158&lt;AO$5+7),"◆",""),IF(AND($D158&lt;AO$5+7,$E158&gt;AO$5),"■","")))</x:f>
      </x:c>
      <x:c r="AP158" s="7" t="str">
        <x:f>IF(OR($D158="",AP$5="",'상세일정'!AM158="제외"),"",IF($D158=$E158,IF(AND($D158&gt;=AP$5,$D158&lt;AP$5+7),"◆",""),IF(AND($D158&lt;AP$5+7,$E158&gt;AP$5),"■","")))</x:f>
      </x:c>
      <x:c r="AQ158" s="7" t="str">
        <x:f>IF(OR($D158="",AQ$5="",'상세일정'!AM158="제외"),"",IF($D158=$E158,IF(AND($D158&gt;=AQ$5,$D158&lt;AQ$5+7),"◆",""),IF(AND($D158&lt;AQ$5+7,$E158&gt;AQ$5),"■","")))</x:f>
      </x:c>
      <x:c r="AR158" s="7" t="str">
        <x:f>IF(OR($D158="",AR$5="",'상세일정'!AM158="제외"),"",IF($D158=$E158,IF(AND($D158&gt;=AR$5,$D158&lt;AR$5+7),"◆",""),IF(AND($D158&lt;AR$5+7,$E158&gt;AR$5),"■","")))</x:f>
      </x:c>
      <x:c r="AS158" s="7" t="str">
        <x:f>IF(OR($D158="",AS$5="",'상세일정'!AM158="제외"),"",IF($D158=$E158,IF(AND($D158&gt;=AS$5,$D158&lt;AS$5+7),"◆",""),IF(AND($D158&lt;AS$5+7,$E158&gt;AS$5),"■","")))</x:f>
      </x:c>
      <x:c r="AT158" s="7" t="str">
        <x:f>IF(OR($D158="",AT$5="",'상세일정'!AM158="제외"),"",IF($D158=$E158,IF(AND($D158&gt;=AT$5,$D158&lt;AT$5+7),"◆",""),IF(AND($D158&lt;AT$5+7,$E158&gt;AT$5),"■","")))</x:f>
      </x:c>
      <x:c r="AU158" s="7" t="str">
        <x:f>IF(OR($D158="",AU$5="",'상세일정'!AM158="제외"),"",IF($D158=$E158,IF(AND($D158&gt;=AU$5,$D158&lt;AU$5+7),"◆",""),IF(AND($D158&lt;AU$5+7,$E158&gt;AU$5),"■","")))</x:f>
      </x:c>
      <x:c r="AV158" s="7" t="str">
        <x:f>IF(OR($D158="",AV$5="",'상세일정'!AM158="제외"),"",IF($D158=$E158,IF(AND($D158&gt;=AV$5,$D158&lt;AV$5+7),"◆",""),IF(AND($D158&lt;AV$5+7,$E158&gt;AV$5),"■","")))</x:f>
      </x:c>
      <x:c r="AW158" s="7" t="str">
        <x:f>IF(OR($D158="",AW$5="",'상세일정'!AM158="제외"),"",IF($D158=$E158,IF(AND($D158&gt;=AW$5,$D158&lt;AW$5+7),"◆",""),IF(AND($D158&lt;AW$5+7,$E158&gt;AW$5),"■","")))</x:f>
      </x:c>
      <x:c r="AX158" s="7" t="str">
        <x:f>IF(OR($D158="",AX$5="",'상세일정'!AM158="제외"),"",IF($D158=$E158,IF(AND($D158&gt;=AX$5,$D158&lt;AX$5+7),"◆",""),IF(AND($D158&lt;AX$5+7,$E158&gt;AX$5),"■","")))</x:f>
      </x:c>
      <x:c r="AY158" s="7" t="str">
        <x:f>IF(OR($D158="",AY$5="",'상세일정'!AM158="제외"),"",IF($D158=$E158,IF(AND($D158&gt;=AY$5,$D158&lt;AY$5+7),"◆",""),IF(AND($D158&lt;AY$5+7,$E158&gt;AY$5),"■","")))</x:f>
      </x:c>
      <x:c r="AZ158" s="7" t="str">
        <x:f>IF(OR($D158="",AZ$5="",'상세일정'!AM158="제외"),"",IF($D158=$E158,IF(AND($D158&gt;=AZ$5,$D158&lt;AZ$5+7),"◆",""),IF(AND($D158&lt;AZ$5+7,$E158&gt;AZ$5),"■","")))</x:f>
      </x:c>
      <x:c r="BA158" s="7" t="str">
        <x:f>IF(OR($D158="",BA$5="",'상세일정'!AM158="제외"),"",IF($D158=$E158,IF(AND($D158&gt;=BA$5,$D158&lt;BA$5+7),"◆",""),IF(AND($D158&lt;BA$5+7,$E158&gt;BA$5),"■","")))</x:f>
      </x:c>
      <x:c r="BB158" s="7" t="str">
        <x:f>IF(OR($D158="",BB$5="",'상세일정'!AM158="제외"),"",IF($D158=$E158,IF(AND($D158&gt;=BB$5,$D158&lt;BB$5+7),"◆",""),IF(AND($D158&lt;BB$5+7,$E158&gt;BB$5),"■","")))</x:f>
      </x:c>
      <x:c r="BC158" s="7" t="str">
        <x:f>IF(OR($D158="",BC$5="",'상세일정'!AM158="제외"),"",IF($D158=$E158,IF(AND($D158&gt;=BC$5,$D158&lt;BC$5+7),"◆",""),IF(AND($D158&lt;BC$5+7,$E158&gt;BC$5),"■","")))</x:f>
      </x:c>
      <x:c r="BD158" s="7" t="str">
        <x:f>IF(OR($D158="",BD$5="",'상세일정'!AM158="제외"),"",IF($D158=$E158,IF(AND($D158&gt;=BD$5,$D158&lt;BD$5+7),"◆",""),IF(AND($D158&lt;BD$5+7,$E158&gt;BD$5),"■","")))</x:f>
      </x:c>
      <x:c r="BE158" s="7" t="str">
        <x:f>IF(OR($D158="",BE$5="",'상세일정'!AM158="제외"),"",IF($D158=$E158,IF(AND($D158&gt;=BE$5,$D158&lt;BE$5+7),"◆",""),IF(AND($D158&lt;BE$5+7,$E158&gt;BE$5),"■","")))</x:f>
      </x:c>
      <x:c r="BF158" s="7" t="str">
        <x:f>IF(OR($D158="",BF$5="",'상세일정'!AM158="제외"),"",IF($D158=$E158,IF(AND($D158&gt;=BF$5,$D158&lt;BF$5+7),"◆",""),IF(AND($D158&lt;BF$5+7,$E158&gt;BF$5),"■","")))</x:f>
      </x:c>
      <x:c r="BG158" s="7" t="str">
        <x:f>IF(OR($D158="",BG$5="",'상세일정'!AM158="제외"),"",IF($D158=$E158,IF(AND($D158&gt;=BG$5,$D158&lt;BG$5+7),"◆",""),IF(AND($D158&lt;BG$5+7,$E158&gt;BG$5),"■","")))</x:f>
      </x:c>
      <x:c r="BH158" s="7" t="str">
        <x:f>IF(OR($D158="",BH$5="",'상세일정'!AM158="제외"),"",IF($D158=$E158,IF(AND($D158&gt;=BH$5,$D158&lt;BH$5+7),"◆",""),IF(AND($D158&lt;BH$5+7,$E158&gt;BH$5),"■","")))</x:f>
      </x:c>
      <x:c r="BI158" s="7" t="str">
        <x:f>IF(OR($D158="",BI$5="",'상세일정'!AM158="제외"),"",IF($D158=$E158,IF(AND($D158&gt;=BI$5,$D158&lt;BI$5+7),"◆",""),IF(AND($D158&lt;BI$5+7,$E158&gt;BI$5),"■","")))</x:f>
      </x:c>
      <x:c r="BJ158" s="7" t="str">
        <x:f>IF(OR($D158="",BJ$5="",'상세일정'!AM158="제외"),"",IF($D158=$E158,IF(AND($D158&gt;=BJ$5,$D158&lt;BJ$5+7),"◆",""),IF(AND($D158&lt;BJ$5+7,$E158&gt;BJ$5),"■","")))</x:f>
      </x:c>
      <x:c r="BK158" s="7" t="str">
        <x:f>IF(OR($D158="",BK$5="",'상세일정'!AM158="제외"),"",IF($D158=$E158,IF(AND($D158&gt;=BK$5,$D158&lt;BK$5+7),"◆",""),IF(AND($D158&lt;BK$5+7,$E158&gt;BK$5),"■","")))</x:f>
      </x:c>
      <x:c r="BL158" s="7" t="str">
        <x:f>IF(OR($D158="",BL$5="",'상세일정'!AM158="제외"),"",IF($D158=$E158,IF(AND($D158&gt;=BL$5,$D158&lt;BL$5+7),"◆",""),IF(AND($D158&lt;BL$5+7,$E158&gt;BL$5),"■","")))</x:f>
      </x:c>
      <x:c r="BM158" s="7" t="str">
        <x:f>IF(OR($D158="",BM$5="",'상세일정'!AM158="제외"),"",IF($D158=$E158,IF(AND($D158&gt;=BM$5,$D158&lt;BM$5+7),"◆",""),IF(AND($D158&lt;BM$5+7,$E158&gt;BM$5),"■","")))</x:f>
      </x:c>
      <x:c r="BN158" s="7" t="str">
        <x:f>IF(OR($D158="",BN$5="",'상세일정'!AM158="제외"),"",IF($D158=$E158,IF(AND($D158&gt;=BN$5,$D158&lt;BN$5+7),"◆",""),IF(AND($D158&lt;BN$5+7,$E158&gt;BN$5),"■","")))</x:f>
      </x:c>
      <x:c r="BO158" s="7" t="str">
        <x:f>IF(OR($D158="",BO$5="",'상세일정'!AM158="제외"),"",IF($D158=$E158,IF(AND($D158&gt;=BO$5,$D158&lt;BO$5+7),"◆",""),IF(AND($D158&lt;BO$5+7,$E158&gt;BO$5),"■","")))</x:f>
      </x:c>
      <x:c r="BP158" s="7" t="str">
        <x:f>IF(OR($D158="",BP$5="",'상세일정'!AM158="제외"),"",IF($D158=$E158,IF(AND($D158&gt;=BP$5,$D158&lt;BP$5+7),"◆",""),IF(AND($D158&lt;BP$5+7,$E158&gt;BP$5),"■","")))</x:f>
      </x:c>
      <x:c r="BQ158" s="7" t="str">
        <x:f>IF(OR($D158="",BQ$5="",'상세일정'!AM158="제외"),"",IF($D158=$E158,IF(AND($D158&gt;=BQ$5,$D158&lt;BQ$5+7),"◆",""),IF(AND($D158&lt;BQ$5+7,$E158&gt;BQ$5),"■","")))</x:f>
      </x:c>
      <x:c r="BR158" s="7" t="str">
        <x:f>IF(OR($D158="",BR$5="",'상세일정'!AM158="제외"),"",IF($D158=$E158,IF(AND($D158&gt;=BR$5,$D158&lt;BR$5+7),"◆",""),IF(AND($D158&lt;BR$5+7,$E158&gt;BR$5),"■","")))</x:f>
      </x:c>
      <x:c r="BS158" s="7" t="str">
        <x:f>IF(OR($D158="",BS$5="",'상세일정'!AM158="제외"),"",IF($D158=$E158,IF(AND($D158&gt;=BS$5,$D158&lt;BS$5+7),"◆",""),IF(AND($D158&lt;BS$5+7,$E158&gt;BS$5),"■","")))</x:f>
      </x:c>
      <x:c r="BT158" s="7" t="str">
        <x:f>IF(OR($D158="",BT$5="",'상세일정'!AM158="제외"),"",IF($D158=$E158,IF(AND($D158&gt;=BT$5,$D158&lt;BT$5+7),"◆",""),IF(AND($D158&lt;BT$5+7,$E158&gt;BT$5),"■","")))</x:f>
      </x:c>
      <x:c r="BU158" s="7" t="str">
        <x:f>IF(OR($D158="",BU$5="",'상세일정'!AM158="제외"),"",IF($D158=$E158,IF(AND($D158&gt;=BU$5,$D158&lt;BU$5+7),"◆",""),IF(AND($D158&lt;BU$5+7,$E158&gt;BU$5),"■","")))</x:f>
      </x:c>
      <x:c r="BV158" s="7" t="str">
        <x:f>IF(OR($D158="",BV$5="",'상세일정'!AM158="제외"),"",IF($D158=$E158,IF(AND($D158&gt;=BV$5,$D158&lt;BV$5+7),"◆",""),IF(AND($D158&lt;BV$5+7,$E158&gt;BV$5),"■","")))</x:f>
      </x:c>
      <x:c r="BW158" s="7" t="str">
        <x:f>IF(OR($D158="",BW$5="",'상세일정'!AM158="제외"),"",IF($D158=$E158,IF(AND($D158&gt;=BW$5,$D158&lt;BW$5+7),"◆",""),IF(AND($D158&lt;BW$5+7,$E158&gt;BW$5),"■","")))</x:f>
      </x:c>
      <x:c r="BX158" s="7" t="str">
        <x:f>IF(OR($D158="",BX$5="",'상세일정'!AM158="제외"),"",IF($D158=$E158,IF(AND($D158&gt;=BX$5,$D158&lt;BX$5+7),"◆",""),IF(AND($D158&lt;BX$5+7,$E158&gt;BX$5),"■","")))</x:f>
      </x:c>
      <x:c r="BY158" s="7" t="str">
        <x:f>IF(OR($D158="",BY$5="",'상세일정'!AM158="제외"),"",IF($D158=$E158,IF(AND($D158&gt;=BY$5,$D158&lt;BY$5+7),"◆",""),IF(AND($D158&lt;BY$5+7,$E158&gt;BY$5),"■","")))</x:f>
      </x:c>
      <x:c r="BZ158" s="7" t="str">
        <x:f>IF(OR($D158="",BZ$5="",'상세일정'!AM158="제외"),"",IF($D158=$E158,IF(AND($D158&gt;=BZ$5,$D158&lt;BZ$5+7),"◆",""),IF(AND($D158&lt;BZ$5+7,$E158&gt;BZ$5),"■","")))</x:f>
      </x:c>
      <x:c r="CA158" s="7" t="str">
        <x:f>IF(OR($D158="",CA$5="",'상세일정'!AM158="제외"),"",IF($D158=$E158,IF(AND($D158&gt;=CA$5,$D158&lt;CA$5+7),"◆",""),IF(AND($D158&lt;CA$5+7,$E158&gt;CA$5),"■","")))</x:f>
      </x:c>
      <x:c r="CB158" s="7" t="str">
        <x:f>IF(OR($D158="",CB$5="",'상세일정'!AM158="제외"),"",IF($D158=$E158,IF(AND($D158&gt;=CB$5,$D158&lt;CB$5+7),"◆",""),IF(AND($D158&lt;CB$5+7,$E158&gt;CB$5),"■","")))</x:f>
      </x:c>
      <x:c r="CC158" s="7" t="str">
        <x:f>IF(OR($D158="",CC$5="",'상세일정'!AM158="제외"),"",IF($D158=$E158,IF(AND($D158&gt;=CC$5,$D158&lt;CC$5+7),"◆",""),IF(AND($D158&lt;CC$5+7,$E158&gt;CC$5),"■","")))</x:f>
      </x:c>
      <x:c r="CD158" s="7" t="str">
        <x:f>IF(OR($D158="",CD$5="",'상세일정'!AM158="제외"),"",IF($D158=$E158,IF(AND($D158&gt;=CD$5,$D158&lt;CD$5+7),"◆",""),IF(AND($D158&lt;CD$5+7,$E158&gt;CD$5),"■","")))</x:f>
      </x:c>
      <x:c r="CE158" s="7" t="str">
        <x:f>IF(OR($D158="",CE$5="",'상세일정'!AM158="제외"),"",IF($D158=$E158,IF(AND($D158&gt;=CE$5,$D158&lt;CE$5+7),"◆",""),IF(AND($D158&lt;CE$5+7,$E158&gt;CE$5),"■","")))</x:f>
      </x:c>
      <x:c r="CF158" s="7" t="str">
        <x:f>IF(OR($D158="",CF$5="",'상세일정'!AM158="제외"),"",IF($D158=$E158,IF(AND($D158&gt;=CF$5,$D158&lt;CF$5+7),"◆",""),IF(AND($D158&lt;CF$5+7,$E158&gt;CF$5),"■","")))</x:f>
      </x:c>
      <x:c r="CG158" s="7" t="str">
        <x:f>IF(OR($D158="",CG$5="",'상세일정'!AM158="제외"),"",IF($D158=$E158,IF(AND($D158&gt;=CG$5,$D158&lt;CG$5+7),"◆",""),IF(AND($D158&lt;CG$5+7,$E158&gt;CG$5),"■","")))</x:f>
      </x:c>
      <x:c r="CH158" s="7" t="str">
        <x:f>IF(OR($D158="",CH$5="",'상세일정'!AM158="제외"),"",IF($D158=$E158,IF(AND($D158&gt;=CH$5,$D158&lt;CH$5+7),"◆",""),IF(AND($D158&lt;CH$5+7,$E158&gt;CH$5),"■","")))</x:f>
      </x:c>
      <x:c r="CI158" s="7" t="str">
        <x:f>IF(OR($D158="",CI$5="",'상세일정'!AM158="제외"),"",IF($D158=$E158,IF(AND($D158&gt;=CI$5,$D158&lt;CI$5+7),"◆",""),IF(AND($D158&lt;CI$5+7,$E158&gt;CI$5),"■","")))</x:f>
      </x:c>
      <x:c r="CJ158" s="7" t="str">
        <x:f>IF(OR($D158="",CJ$5="",'상세일정'!AM158="제외"),"",IF($D158=$E158,IF(AND($D158&gt;=CJ$5,$D158&lt;CJ$5+7),"◆",""),IF(AND($D158&lt;CJ$5+7,$E158&gt;CJ$5),"■","")))</x:f>
      </x:c>
      <x:c r="CK158" s="7" t="str">
        <x:f>IF(OR($D158="",CK$5="",'상세일정'!AM158="제외"),"",IF($D158=$E158,IF(AND($D158&gt;=CK$5,$D158&lt;CK$5+7),"◆",""),IF(AND($D158&lt;CK$5+7,$E158&gt;CK$5),"■","")))</x:f>
      </x:c>
      <x:c r="CL158" s="7" t="str">
        <x:f>IF(OR($D158="",CL$5="",'상세일정'!AM158="제외"),"",IF($D158=$E158,IF(AND($D158&gt;=CL$5,$D158&lt;CL$5+7),"◆",""),IF(AND($D158&lt;CL$5+7,$E158&gt;CL$5),"■","")))</x:f>
      </x:c>
      <x:c r="CM158" s="7" t="str">
        <x:f>IF(OR($D158="",CM$5="",'상세일정'!AM158="제외"),"",IF($D158=$E158,IF(AND($D158&gt;=CM$5,$D158&lt;CM$5+7),"◆",""),IF(AND($D158&lt;CM$5+7,$E158&gt;CM$5),"■","")))</x:f>
      </x:c>
      <x:c r="CN158" s="7" t="str">
        <x:f>IF(OR($D158="",CN$5="",'상세일정'!AM158="제외"),"",IF($D158=$E158,IF(AND($D158&gt;=CN$5,$D158&lt;CN$5+7),"◆",""),IF(AND($D158&lt;CN$5+7,$E158&gt;CN$5),"■","")))</x:f>
      </x:c>
      <x:c r="CO158" s="7" t="str">
        <x:f>IF(OR($D158="",CO$5="",'상세일정'!AM158="제외"),"",IF($D158=$E158,IF(AND($D158&gt;=CO$5,$D158&lt;CO$5+7),"◆",""),IF(AND($D158&lt;CO$5+7,$E158&gt;CO$5),"■","")))</x:f>
      </x:c>
      <x:c r="CP158" s="7" t="str">
        <x:f>IF(OR($D158="",CP$5="",'상세일정'!AM158="제외"),"",IF($D158=$E158,IF(AND($D158&gt;=CP$5,$D158&lt;CP$5+7),"◆",""),IF(AND($D158&lt;CP$5+7,$E158&gt;CP$5),"■","")))</x:f>
      </x:c>
      <x:c r="CQ158" s="7" t="str">
        <x:f>IF(OR($D158="",CQ$5="",'상세일정'!AM158="제외"),"",IF($D158=$E158,IF(AND($D158&gt;=CQ$5,$D158&lt;CQ$5+7),"◆",""),IF(AND($D158&lt;CQ$5+7,$E158&gt;CQ$5),"■","")))</x:f>
      </x:c>
      <x:c r="CR158" s="7" t="str">
        <x:f>IF(OR($D158="",CR$5="",'상세일정'!AM158="제외"),"",IF($D158=$E158,IF(AND($D158&gt;=CR$5,$D158&lt;CR$5+7),"◆",""),IF(AND($D158&lt;CR$5+7,$E158&gt;CR$5),"■","")))</x:f>
      </x:c>
      <x:c r="CS158" s="7" t="str">
        <x:f>IF(OR($D158="",CS$5="",'상세일정'!AM158="제외"),"",IF($D158=$E158,IF(AND($D158&gt;=CS$5,$D158&lt;CS$5+7),"◆",""),IF(AND($D158&lt;CS$5+7,$E158&gt;CS$5),"■","")))</x:f>
      </x:c>
      <x:c r="CT158" s="7" t="str">
        <x:f>IF(OR($D158="",CT$5="",'상세일정'!AM158="제외"),"",IF($D158=$E158,IF(AND($D158&gt;=CT$5,$D158&lt;CT$5+7),"◆",""),IF(AND($D158&lt;CT$5+7,$E158&gt;CT$5),"■","")))</x:f>
      </x:c>
      <x:c r="CU158" s="7" t="str">
        <x:f>IF(OR($D158="",CU$5="",'상세일정'!AM158="제외"),"",IF($D158=$E158,IF(AND($D158&gt;=CU$5,$D158&lt;CU$5+7),"◆",""),IF(AND($D158&lt;CU$5+7,$E158&gt;CU$5),"■","")))</x:f>
      </x:c>
      <x:c r="CV158" s="7" t="str">
        <x:f>IF(OR($D158="",CV$5="",'상세일정'!AM158="제외"),"",IF($D158=$E158,IF(AND($D158&gt;=CV$5,$D158&lt;CV$5+7),"◆",""),IF(AND($D158&lt;CV$5+7,$E158&gt;CV$5),"■","")))</x:f>
      </x:c>
      <x:c r="CW158" s="7" t="str">
        <x:f>IF(OR($D158="",CW$5="",'상세일정'!AM158="제외"),"",IF($D158=$E158,IF(AND($D158&gt;=CW$5,$D158&lt;CW$5+7),"◆",""),IF(AND($D158&lt;CW$5+7,$E158&gt;CW$5),"■","")))</x:f>
      </x:c>
      <x:c r="CX158" s="7" t="str">
        <x:f>IF(OR($D158="",CX$5="",'상세일정'!AM158="제외"),"",IF($D158=$E158,IF(AND($D158&gt;=CX$5,$D158&lt;CX$5+7),"◆",""),IF(AND($D158&lt;CX$5+7,$E158&gt;CX$5),"■","")))</x:f>
      </x:c>
      <x:c r="CY158" s="7" t="str">
        <x:f>IF(OR($D158="",CY$5="",'상세일정'!AM158="제외"),"",IF($D158=$E158,IF(AND($D158&gt;=CY$5,$D158&lt;CY$5+7),"◆",""),IF(AND($D158&lt;CY$5+7,$E158&gt;CY$5),"■","")))</x:f>
      </x:c>
      <x:c r="CZ158" s="7" t="str">
        <x:f>IF(OR($D158="",CZ$5="",'상세일정'!AM158="제외"),"",IF($D158=$E158,IF(AND($D158&gt;=CZ$5,$D158&lt;CZ$5+7),"◆",""),IF(AND($D158&lt;CZ$5+7,$E158&gt;CZ$5),"■","")))</x:f>
      </x:c>
      <x:c r="DA158" s="7" t="str">
        <x:f>IF(OR($D158="",DA$5="",'상세일정'!AM158="제외"),"",IF($D158=$E158,IF(AND($D158&gt;=DA$5,$D158&lt;DA$5+7),"◆",""),IF(AND($D158&lt;DA$5+7,$E158&gt;DA$5),"■","")))</x:f>
      </x:c>
      <x:c r="DB158" s="7" t="str">
        <x:f>IF(OR($D158="",DB$5="",'상세일정'!AM158="제외"),"",IF($D158=$E158,IF(AND($D158&gt;=DB$5,$D158&lt;DB$5+7),"◆",""),IF(AND($D158&lt;DB$5+7,$E158&gt;DB$5),"■","")))</x:f>
      </x:c>
      <x:c r="DC158" s="7" t="str">
        <x:f>IF(OR($D158="",DC$5="",'상세일정'!AM158="제외"),"",IF($D158=$E158,IF(AND($D158&gt;=DC$5,$D158&lt;DC$5+7),"◆",""),IF(AND($D158&lt;DC$5+7,$E158&gt;DC$5),"■","")))</x:f>
      </x:c>
      <x:c r="DD158" s="7" t="str">
        <x:f>IF(OR($D158="",DD$5="",'상세일정'!AM158="제외"),"",IF($D158=$E158,IF(AND($D158&gt;=DD$5,$D158&lt;DD$5+7),"◆",""),IF(AND($D158&lt;DD$5+7,$E158&gt;DD$5),"■","")))</x:f>
      </x:c>
      <x:c r="DE158" s="7" t="str">
        <x:f>IF(OR($D158="",DE$5="",'상세일정'!AM158="제외"),"",IF($D158=$E158,IF(AND($D158&gt;=DE$5,$D158&lt;DE$5+7),"◆",""),IF(AND($D158&lt;DE$5+7,$E158&gt;DE$5),"■","")))</x:f>
      </x:c>
    </x:row>
    <x:row r="159" ht="34" customHeight="1">
      <x:c r="A159" s="7" t="str">
        <x:v>CN03</x:v>
      </x:c>
      <x:c r="B159" s="7" t="str">
        <x:v>17 토공·기초</x:v>
      </x:c>
      <x:c r="C159" s="7" t="str">
        <x:v>터파기·지장물 확인·토사 반출</x:v>
      </x:c>
      <x:c r="D159" s="10" t="str">
        <x:f>'상세일정'!AJ159</x:f>
      </x:c>
      <x:c r="E159" s="10" t="str">
        <x:f>'상세일정'!AK159</x:f>
      </x:c>
      <x:c r="F159" s="7" t="str">
        <x:f>IF(OR($D159="",F$5="",'상세일정'!AM159="제외"),"",IF($D159=$E159,IF(AND($D159&gt;=F$5,$D159&lt;F$5+7),"◆",""),IF(AND($D159&lt;F$5+7,$E159&gt;F$5),"■","")))</x:f>
      </x:c>
      <x:c r="G159" s="7" t="str">
        <x:f>IF(OR($D159="",G$5="",'상세일정'!AM159="제외"),"",IF($D159=$E159,IF(AND($D159&gt;=G$5,$D159&lt;G$5+7),"◆",""),IF(AND($D159&lt;G$5+7,$E159&gt;G$5),"■","")))</x:f>
      </x:c>
      <x:c r="H159" s="7" t="str">
        <x:f>IF(OR($D159="",H$5="",'상세일정'!AM159="제외"),"",IF($D159=$E159,IF(AND($D159&gt;=H$5,$D159&lt;H$5+7),"◆",""),IF(AND($D159&lt;H$5+7,$E159&gt;H$5),"■","")))</x:f>
      </x:c>
      <x:c r="I159" s="7" t="str">
        <x:f>IF(OR($D159="",I$5="",'상세일정'!AM159="제외"),"",IF($D159=$E159,IF(AND($D159&gt;=I$5,$D159&lt;I$5+7),"◆",""),IF(AND($D159&lt;I$5+7,$E159&gt;I$5),"■","")))</x:f>
      </x:c>
      <x:c r="J159" s="7" t="str">
        <x:f>IF(OR($D159="",J$5="",'상세일정'!AM159="제외"),"",IF($D159=$E159,IF(AND($D159&gt;=J$5,$D159&lt;J$5+7),"◆",""),IF(AND($D159&lt;J$5+7,$E159&gt;J$5),"■","")))</x:f>
      </x:c>
      <x:c r="K159" s="7" t="str">
        <x:f>IF(OR($D159="",K$5="",'상세일정'!AM159="제외"),"",IF($D159=$E159,IF(AND($D159&gt;=K$5,$D159&lt;K$5+7),"◆",""),IF(AND($D159&lt;K$5+7,$E159&gt;K$5),"■","")))</x:f>
      </x:c>
      <x:c r="L159" s="7" t="str">
        <x:f>IF(OR($D159="",L$5="",'상세일정'!AM159="제외"),"",IF($D159=$E159,IF(AND($D159&gt;=L$5,$D159&lt;L$5+7),"◆",""),IF(AND($D159&lt;L$5+7,$E159&gt;L$5),"■","")))</x:f>
      </x:c>
      <x:c r="M159" s="7" t="str">
        <x:f>IF(OR($D159="",M$5="",'상세일정'!AM159="제외"),"",IF($D159=$E159,IF(AND($D159&gt;=M$5,$D159&lt;M$5+7),"◆",""),IF(AND($D159&lt;M$5+7,$E159&gt;M$5),"■","")))</x:f>
      </x:c>
      <x:c r="N159" s="7" t="str">
        <x:f>IF(OR($D159="",N$5="",'상세일정'!AM159="제외"),"",IF($D159=$E159,IF(AND($D159&gt;=N$5,$D159&lt;N$5+7),"◆",""),IF(AND($D159&lt;N$5+7,$E159&gt;N$5),"■","")))</x:f>
      </x:c>
      <x:c r="O159" s="7" t="str">
        <x:f>IF(OR($D159="",O$5="",'상세일정'!AM159="제외"),"",IF($D159=$E159,IF(AND($D159&gt;=O$5,$D159&lt;O$5+7),"◆",""),IF(AND($D159&lt;O$5+7,$E159&gt;O$5),"■","")))</x:f>
      </x:c>
      <x:c r="P159" s="7" t="str">
        <x:f>IF(OR($D159="",P$5="",'상세일정'!AM159="제외"),"",IF($D159=$E159,IF(AND($D159&gt;=P$5,$D159&lt;P$5+7),"◆",""),IF(AND($D159&lt;P$5+7,$E159&gt;P$5),"■","")))</x:f>
      </x:c>
      <x:c r="Q159" s="7" t="str">
        <x:f>IF(OR($D159="",Q$5="",'상세일정'!AM159="제외"),"",IF($D159=$E159,IF(AND($D159&gt;=Q$5,$D159&lt;Q$5+7),"◆",""),IF(AND($D159&lt;Q$5+7,$E159&gt;Q$5),"■","")))</x:f>
      </x:c>
      <x:c r="R159" s="7" t="str">
        <x:f>IF(OR($D159="",R$5="",'상세일정'!AM159="제외"),"",IF($D159=$E159,IF(AND($D159&gt;=R$5,$D159&lt;R$5+7),"◆",""),IF(AND($D159&lt;R$5+7,$E159&gt;R$5),"■","")))</x:f>
      </x:c>
      <x:c r="S159" s="7" t="str">
        <x:f>IF(OR($D159="",S$5="",'상세일정'!AM159="제외"),"",IF($D159=$E159,IF(AND($D159&gt;=S$5,$D159&lt;S$5+7),"◆",""),IF(AND($D159&lt;S$5+7,$E159&gt;S$5),"■","")))</x:f>
      </x:c>
      <x:c r="T159" s="7" t="str">
        <x:f>IF(OR($D159="",T$5="",'상세일정'!AM159="제외"),"",IF($D159=$E159,IF(AND($D159&gt;=T$5,$D159&lt;T$5+7),"◆",""),IF(AND($D159&lt;T$5+7,$E159&gt;T$5),"■","")))</x:f>
      </x:c>
      <x:c r="U159" s="7" t="str">
        <x:f>IF(OR($D159="",U$5="",'상세일정'!AM159="제외"),"",IF($D159=$E159,IF(AND($D159&gt;=U$5,$D159&lt;U$5+7),"◆",""),IF(AND($D159&lt;U$5+7,$E159&gt;U$5),"■","")))</x:f>
      </x:c>
      <x:c r="V159" s="7" t="str">
        <x:f>IF(OR($D159="",V$5="",'상세일정'!AM159="제외"),"",IF($D159=$E159,IF(AND($D159&gt;=V$5,$D159&lt;V$5+7),"◆",""),IF(AND($D159&lt;V$5+7,$E159&gt;V$5),"■","")))</x:f>
      </x:c>
      <x:c r="W159" s="7" t="str">
        <x:f>IF(OR($D159="",W$5="",'상세일정'!AM159="제외"),"",IF($D159=$E159,IF(AND($D159&gt;=W$5,$D159&lt;W$5+7),"◆",""),IF(AND($D159&lt;W$5+7,$E159&gt;W$5),"■","")))</x:f>
      </x:c>
      <x:c r="X159" s="7" t="str">
        <x:f>IF(OR($D159="",X$5="",'상세일정'!AM159="제외"),"",IF($D159=$E159,IF(AND($D159&gt;=X$5,$D159&lt;X$5+7),"◆",""),IF(AND($D159&lt;X$5+7,$E159&gt;X$5),"■","")))</x:f>
      </x:c>
      <x:c r="Y159" s="7" t="str">
        <x:f>IF(OR($D159="",Y$5="",'상세일정'!AM159="제외"),"",IF($D159=$E159,IF(AND($D159&gt;=Y$5,$D159&lt;Y$5+7),"◆",""),IF(AND($D159&lt;Y$5+7,$E159&gt;Y$5),"■","")))</x:f>
      </x:c>
      <x:c r="Z159" s="7" t="str">
        <x:f>IF(OR($D159="",Z$5="",'상세일정'!AM159="제외"),"",IF($D159=$E159,IF(AND($D159&gt;=Z$5,$D159&lt;Z$5+7),"◆",""),IF(AND($D159&lt;Z$5+7,$E159&gt;Z$5),"■","")))</x:f>
      </x:c>
      <x:c r="AA159" s="7" t="str">
        <x:f>IF(OR($D159="",AA$5="",'상세일정'!AM159="제외"),"",IF($D159=$E159,IF(AND($D159&gt;=AA$5,$D159&lt;AA$5+7),"◆",""),IF(AND($D159&lt;AA$5+7,$E159&gt;AA$5),"■","")))</x:f>
      </x:c>
      <x:c r="AB159" s="7" t="str">
        <x:f>IF(OR($D159="",AB$5="",'상세일정'!AM159="제외"),"",IF($D159=$E159,IF(AND($D159&gt;=AB$5,$D159&lt;AB$5+7),"◆",""),IF(AND($D159&lt;AB$5+7,$E159&gt;AB$5),"■","")))</x:f>
      </x:c>
      <x:c r="AC159" s="7" t="str">
        <x:f>IF(OR($D159="",AC$5="",'상세일정'!AM159="제외"),"",IF($D159=$E159,IF(AND($D159&gt;=AC$5,$D159&lt;AC$5+7),"◆",""),IF(AND($D159&lt;AC$5+7,$E159&gt;AC$5),"■","")))</x:f>
      </x:c>
      <x:c r="AD159" s="7" t="str">
        <x:f>IF(OR($D159="",AD$5="",'상세일정'!AM159="제외"),"",IF($D159=$E159,IF(AND($D159&gt;=AD$5,$D159&lt;AD$5+7),"◆",""),IF(AND($D159&lt;AD$5+7,$E159&gt;AD$5),"■","")))</x:f>
      </x:c>
      <x:c r="AE159" s="7" t="str">
        <x:f>IF(OR($D159="",AE$5="",'상세일정'!AM159="제외"),"",IF($D159=$E159,IF(AND($D159&gt;=AE$5,$D159&lt;AE$5+7),"◆",""),IF(AND($D159&lt;AE$5+7,$E159&gt;AE$5),"■","")))</x:f>
      </x:c>
      <x:c r="AF159" s="7" t="str">
        <x:f>IF(OR($D159="",AF$5="",'상세일정'!AM159="제외"),"",IF($D159=$E159,IF(AND($D159&gt;=AF$5,$D159&lt;AF$5+7),"◆",""),IF(AND($D159&lt;AF$5+7,$E159&gt;AF$5),"■","")))</x:f>
      </x:c>
      <x:c r="AG159" s="7" t="str">
        <x:f>IF(OR($D159="",AG$5="",'상세일정'!AM159="제외"),"",IF($D159=$E159,IF(AND($D159&gt;=AG$5,$D159&lt;AG$5+7),"◆",""),IF(AND($D159&lt;AG$5+7,$E159&gt;AG$5),"■","")))</x:f>
      </x:c>
      <x:c r="AH159" s="7" t="str">
        <x:f>IF(OR($D159="",AH$5="",'상세일정'!AM159="제외"),"",IF($D159=$E159,IF(AND($D159&gt;=AH$5,$D159&lt;AH$5+7),"◆",""),IF(AND($D159&lt;AH$5+7,$E159&gt;AH$5),"■","")))</x:f>
      </x:c>
      <x:c r="AI159" s="7" t="str">
        <x:f>IF(OR($D159="",AI$5="",'상세일정'!AM159="제외"),"",IF($D159=$E159,IF(AND($D159&gt;=AI$5,$D159&lt;AI$5+7),"◆",""),IF(AND($D159&lt;AI$5+7,$E159&gt;AI$5),"■","")))</x:f>
      </x:c>
      <x:c r="AJ159" s="7" t="str">
        <x:f>IF(OR($D159="",AJ$5="",'상세일정'!AM159="제외"),"",IF($D159=$E159,IF(AND($D159&gt;=AJ$5,$D159&lt;AJ$5+7),"◆",""),IF(AND($D159&lt;AJ$5+7,$E159&gt;AJ$5),"■","")))</x:f>
      </x:c>
      <x:c r="AK159" s="7" t="str">
        <x:f>IF(OR($D159="",AK$5="",'상세일정'!AM159="제외"),"",IF($D159=$E159,IF(AND($D159&gt;=AK$5,$D159&lt;AK$5+7),"◆",""),IF(AND($D159&lt;AK$5+7,$E159&gt;AK$5),"■","")))</x:f>
      </x:c>
      <x:c r="AL159" s="7" t="str">
        <x:f>IF(OR($D159="",AL$5="",'상세일정'!AM159="제외"),"",IF($D159=$E159,IF(AND($D159&gt;=AL$5,$D159&lt;AL$5+7),"◆",""),IF(AND($D159&lt;AL$5+7,$E159&gt;AL$5),"■","")))</x:f>
      </x:c>
      <x:c r="AM159" s="7" t="str">
        <x:f>IF(OR($D159="",AM$5="",'상세일정'!AM159="제외"),"",IF($D159=$E159,IF(AND($D159&gt;=AM$5,$D159&lt;AM$5+7),"◆",""),IF(AND($D159&lt;AM$5+7,$E159&gt;AM$5),"■","")))</x:f>
      </x:c>
      <x:c r="AN159" s="7" t="str">
        <x:f>IF(OR($D159="",AN$5="",'상세일정'!AM159="제외"),"",IF($D159=$E159,IF(AND($D159&gt;=AN$5,$D159&lt;AN$5+7),"◆",""),IF(AND($D159&lt;AN$5+7,$E159&gt;AN$5),"■","")))</x:f>
      </x:c>
      <x:c r="AO159" s="7" t="str">
        <x:f>IF(OR($D159="",AO$5="",'상세일정'!AM159="제외"),"",IF($D159=$E159,IF(AND($D159&gt;=AO$5,$D159&lt;AO$5+7),"◆",""),IF(AND($D159&lt;AO$5+7,$E159&gt;AO$5),"■","")))</x:f>
      </x:c>
      <x:c r="AP159" s="7" t="str">
        <x:f>IF(OR($D159="",AP$5="",'상세일정'!AM159="제외"),"",IF($D159=$E159,IF(AND($D159&gt;=AP$5,$D159&lt;AP$5+7),"◆",""),IF(AND($D159&lt;AP$5+7,$E159&gt;AP$5),"■","")))</x:f>
      </x:c>
      <x:c r="AQ159" s="7" t="str">
        <x:f>IF(OR($D159="",AQ$5="",'상세일정'!AM159="제외"),"",IF($D159=$E159,IF(AND($D159&gt;=AQ$5,$D159&lt;AQ$5+7),"◆",""),IF(AND($D159&lt;AQ$5+7,$E159&gt;AQ$5),"■","")))</x:f>
      </x:c>
      <x:c r="AR159" s="7" t="str">
        <x:f>IF(OR($D159="",AR$5="",'상세일정'!AM159="제외"),"",IF($D159=$E159,IF(AND($D159&gt;=AR$5,$D159&lt;AR$5+7),"◆",""),IF(AND($D159&lt;AR$5+7,$E159&gt;AR$5),"■","")))</x:f>
      </x:c>
      <x:c r="AS159" s="7" t="str">
        <x:f>IF(OR($D159="",AS$5="",'상세일정'!AM159="제외"),"",IF($D159=$E159,IF(AND($D159&gt;=AS$5,$D159&lt;AS$5+7),"◆",""),IF(AND($D159&lt;AS$5+7,$E159&gt;AS$5),"■","")))</x:f>
      </x:c>
      <x:c r="AT159" s="7" t="str">
        <x:f>IF(OR($D159="",AT$5="",'상세일정'!AM159="제외"),"",IF($D159=$E159,IF(AND($D159&gt;=AT$5,$D159&lt;AT$5+7),"◆",""),IF(AND($D159&lt;AT$5+7,$E159&gt;AT$5),"■","")))</x:f>
      </x:c>
      <x:c r="AU159" s="7" t="str">
        <x:f>IF(OR($D159="",AU$5="",'상세일정'!AM159="제외"),"",IF($D159=$E159,IF(AND($D159&gt;=AU$5,$D159&lt;AU$5+7),"◆",""),IF(AND($D159&lt;AU$5+7,$E159&gt;AU$5),"■","")))</x:f>
      </x:c>
      <x:c r="AV159" s="7" t="str">
        <x:f>IF(OR($D159="",AV$5="",'상세일정'!AM159="제외"),"",IF($D159=$E159,IF(AND($D159&gt;=AV$5,$D159&lt;AV$5+7),"◆",""),IF(AND($D159&lt;AV$5+7,$E159&gt;AV$5),"■","")))</x:f>
      </x:c>
      <x:c r="AW159" s="7" t="str">
        <x:f>IF(OR($D159="",AW$5="",'상세일정'!AM159="제외"),"",IF($D159=$E159,IF(AND($D159&gt;=AW$5,$D159&lt;AW$5+7),"◆",""),IF(AND($D159&lt;AW$5+7,$E159&gt;AW$5),"■","")))</x:f>
      </x:c>
      <x:c r="AX159" s="7" t="str">
        <x:f>IF(OR($D159="",AX$5="",'상세일정'!AM159="제외"),"",IF($D159=$E159,IF(AND($D159&gt;=AX$5,$D159&lt;AX$5+7),"◆",""),IF(AND($D159&lt;AX$5+7,$E159&gt;AX$5),"■","")))</x:f>
      </x:c>
      <x:c r="AY159" s="7" t="str">
        <x:f>IF(OR($D159="",AY$5="",'상세일정'!AM159="제외"),"",IF($D159=$E159,IF(AND($D159&gt;=AY$5,$D159&lt;AY$5+7),"◆",""),IF(AND($D159&lt;AY$5+7,$E159&gt;AY$5),"■","")))</x:f>
      </x:c>
      <x:c r="AZ159" s="7" t="str">
        <x:f>IF(OR($D159="",AZ$5="",'상세일정'!AM159="제외"),"",IF($D159=$E159,IF(AND($D159&gt;=AZ$5,$D159&lt;AZ$5+7),"◆",""),IF(AND($D159&lt;AZ$5+7,$E159&gt;AZ$5),"■","")))</x:f>
      </x:c>
      <x:c r="BA159" s="7" t="str">
        <x:f>IF(OR($D159="",BA$5="",'상세일정'!AM159="제외"),"",IF($D159=$E159,IF(AND($D159&gt;=BA$5,$D159&lt;BA$5+7),"◆",""),IF(AND($D159&lt;BA$5+7,$E159&gt;BA$5),"■","")))</x:f>
      </x:c>
      <x:c r="BB159" s="7" t="str">
        <x:f>IF(OR($D159="",BB$5="",'상세일정'!AM159="제외"),"",IF($D159=$E159,IF(AND($D159&gt;=BB$5,$D159&lt;BB$5+7),"◆",""),IF(AND($D159&lt;BB$5+7,$E159&gt;BB$5),"■","")))</x:f>
      </x:c>
      <x:c r="BC159" s="7" t="str">
        <x:f>IF(OR($D159="",BC$5="",'상세일정'!AM159="제외"),"",IF($D159=$E159,IF(AND($D159&gt;=BC$5,$D159&lt;BC$5+7),"◆",""),IF(AND($D159&lt;BC$5+7,$E159&gt;BC$5),"■","")))</x:f>
      </x:c>
      <x:c r="BD159" s="7" t="str">
        <x:f>IF(OR($D159="",BD$5="",'상세일정'!AM159="제외"),"",IF($D159=$E159,IF(AND($D159&gt;=BD$5,$D159&lt;BD$5+7),"◆",""),IF(AND($D159&lt;BD$5+7,$E159&gt;BD$5),"■","")))</x:f>
      </x:c>
      <x:c r="BE159" s="7" t="str">
        <x:f>IF(OR($D159="",BE$5="",'상세일정'!AM159="제외"),"",IF($D159=$E159,IF(AND($D159&gt;=BE$5,$D159&lt;BE$5+7),"◆",""),IF(AND($D159&lt;BE$5+7,$E159&gt;BE$5),"■","")))</x:f>
      </x:c>
      <x:c r="BF159" s="7" t="str">
        <x:f>IF(OR($D159="",BF$5="",'상세일정'!AM159="제외"),"",IF($D159=$E159,IF(AND($D159&gt;=BF$5,$D159&lt;BF$5+7),"◆",""),IF(AND($D159&lt;BF$5+7,$E159&gt;BF$5),"■","")))</x:f>
      </x:c>
      <x:c r="BG159" s="7" t="str">
        <x:f>IF(OR($D159="",BG$5="",'상세일정'!AM159="제외"),"",IF($D159=$E159,IF(AND($D159&gt;=BG$5,$D159&lt;BG$5+7),"◆",""),IF(AND($D159&lt;BG$5+7,$E159&gt;BG$5),"■","")))</x:f>
      </x:c>
      <x:c r="BH159" s="7" t="str">
        <x:f>IF(OR($D159="",BH$5="",'상세일정'!AM159="제외"),"",IF($D159=$E159,IF(AND($D159&gt;=BH$5,$D159&lt;BH$5+7),"◆",""),IF(AND($D159&lt;BH$5+7,$E159&gt;BH$5),"■","")))</x:f>
      </x:c>
      <x:c r="BI159" s="7" t="str">
        <x:f>IF(OR($D159="",BI$5="",'상세일정'!AM159="제외"),"",IF($D159=$E159,IF(AND($D159&gt;=BI$5,$D159&lt;BI$5+7),"◆",""),IF(AND($D159&lt;BI$5+7,$E159&gt;BI$5),"■","")))</x:f>
      </x:c>
      <x:c r="BJ159" s="7" t="str">
        <x:f>IF(OR($D159="",BJ$5="",'상세일정'!AM159="제외"),"",IF($D159=$E159,IF(AND($D159&gt;=BJ$5,$D159&lt;BJ$5+7),"◆",""),IF(AND($D159&lt;BJ$5+7,$E159&gt;BJ$5),"■","")))</x:f>
      </x:c>
      <x:c r="BK159" s="7" t="str">
        <x:f>IF(OR($D159="",BK$5="",'상세일정'!AM159="제외"),"",IF($D159=$E159,IF(AND($D159&gt;=BK$5,$D159&lt;BK$5+7),"◆",""),IF(AND($D159&lt;BK$5+7,$E159&gt;BK$5),"■","")))</x:f>
      </x:c>
      <x:c r="BL159" s="7" t="str">
        <x:f>IF(OR($D159="",BL$5="",'상세일정'!AM159="제외"),"",IF($D159=$E159,IF(AND($D159&gt;=BL$5,$D159&lt;BL$5+7),"◆",""),IF(AND($D159&lt;BL$5+7,$E159&gt;BL$5),"■","")))</x:f>
      </x:c>
      <x:c r="BM159" s="7" t="str">
        <x:f>IF(OR($D159="",BM$5="",'상세일정'!AM159="제외"),"",IF($D159=$E159,IF(AND($D159&gt;=BM$5,$D159&lt;BM$5+7),"◆",""),IF(AND($D159&lt;BM$5+7,$E159&gt;BM$5),"■","")))</x:f>
      </x:c>
      <x:c r="BN159" s="7" t="str">
        <x:f>IF(OR($D159="",BN$5="",'상세일정'!AM159="제외"),"",IF($D159=$E159,IF(AND($D159&gt;=BN$5,$D159&lt;BN$5+7),"◆",""),IF(AND($D159&lt;BN$5+7,$E159&gt;BN$5),"■","")))</x:f>
      </x:c>
      <x:c r="BO159" s="7" t="str">
        <x:f>IF(OR($D159="",BO$5="",'상세일정'!AM159="제외"),"",IF($D159=$E159,IF(AND($D159&gt;=BO$5,$D159&lt;BO$5+7),"◆",""),IF(AND($D159&lt;BO$5+7,$E159&gt;BO$5),"■","")))</x:f>
      </x:c>
      <x:c r="BP159" s="7" t="str">
        <x:f>IF(OR($D159="",BP$5="",'상세일정'!AM159="제외"),"",IF($D159=$E159,IF(AND($D159&gt;=BP$5,$D159&lt;BP$5+7),"◆",""),IF(AND($D159&lt;BP$5+7,$E159&gt;BP$5),"■","")))</x:f>
      </x:c>
      <x:c r="BQ159" s="7" t="str">
        <x:f>IF(OR($D159="",BQ$5="",'상세일정'!AM159="제외"),"",IF($D159=$E159,IF(AND($D159&gt;=BQ$5,$D159&lt;BQ$5+7),"◆",""),IF(AND($D159&lt;BQ$5+7,$E159&gt;BQ$5),"■","")))</x:f>
      </x:c>
      <x:c r="BR159" s="7" t="str">
        <x:f>IF(OR($D159="",BR$5="",'상세일정'!AM159="제외"),"",IF($D159=$E159,IF(AND($D159&gt;=BR$5,$D159&lt;BR$5+7),"◆",""),IF(AND($D159&lt;BR$5+7,$E159&gt;BR$5),"■","")))</x:f>
      </x:c>
      <x:c r="BS159" s="7" t="str">
        <x:f>IF(OR($D159="",BS$5="",'상세일정'!AM159="제외"),"",IF($D159=$E159,IF(AND($D159&gt;=BS$5,$D159&lt;BS$5+7),"◆",""),IF(AND($D159&lt;BS$5+7,$E159&gt;BS$5),"■","")))</x:f>
      </x:c>
      <x:c r="BT159" s="7" t="str">
        <x:f>IF(OR($D159="",BT$5="",'상세일정'!AM159="제외"),"",IF($D159=$E159,IF(AND($D159&gt;=BT$5,$D159&lt;BT$5+7),"◆",""),IF(AND($D159&lt;BT$5+7,$E159&gt;BT$5),"■","")))</x:f>
      </x:c>
      <x:c r="BU159" s="7" t="str">
        <x:f>IF(OR($D159="",BU$5="",'상세일정'!AM159="제외"),"",IF($D159=$E159,IF(AND($D159&gt;=BU$5,$D159&lt;BU$5+7),"◆",""),IF(AND($D159&lt;BU$5+7,$E159&gt;BU$5),"■","")))</x:f>
      </x:c>
      <x:c r="BV159" s="7" t="str">
        <x:f>IF(OR($D159="",BV$5="",'상세일정'!AM159="제외"),"",IF($D159=$E159,IF(AND($D159&gt;=BV$5,$D159&lt;BV$5+7),"◆",""),IF(AND($D159&lt;BV$5+7,$E159&gt;BV$5),"■","")))</x:f>
      </x:c>
      <x:c r="BW159" s="7" t="str">
        <x:f>IF(OR($D159="",BW$5="",'상세일정'!AM159="제외"),"",IF($D159=$E159,IF(AND($D159&gt;=BW$5,$D159&lt;BW$5+7),"◆",""),IF(AND($D159&lt;BW$5+7,$E159&gt;BW$5),"■","")))</x:f>
      </x:c>
      <x:c r="BX159" s="7" t="str">
        <x:f>IF(OR($D159="",BX$5="",'상세일정'!AM159="제외"),"",IF($D159=$E159,IF(AND($D159&gt;=BX$5,$D159&lt;BX$5+7),"◆",""),IF(AND($D159&lt;BX$5+7,$E159&gt;BX$5),"■","")))</x:f>
      </x:c>
      <x:c r="BY159" s="7" t="str">
        <x:f>IF(OR($D159="",BY$5="",'상세일정'!AM159="제외"),"",IF($D159=$E159,IF(AND($D159&gt;=BY$5,$D159&lt;BY$5+7),"◆",""),IF(AND($D159&lt;BY$5+7,$E159&gt;BY$5),"■","")))</x:f>
      </x:c>
      <x:c r="BZ159" s="7" t="str">
        <x:f>IF(OR($D159="",BZ$5="",'상세일정'!AM159="제외"),"",IF($D159=$E159,IF(AND($D159&gt;=BZ$5,$D159&lt;BZ$5+7),"◆",""),IF(AND($D159&lt;BZ$5+7,$E159&gt;BZ$5),"■","")))</x:f>
      </x:c>
      <x:c r="CA159" s="7" t="str">
        <x:f>IF(OR($D159="",CA$5="",'상세일정'!AM159="제외"),"",IF($D159=$E159,IF(AND($D159&gt;=CA$5,$D159&lt;CA$5+7),"◆",""),IF(AND($D159&lt;CA$5+7,$E159&gt;CA$5),"■","")))</x:f>
      </x:c>
      <x:c r="CB159" s="7" t="str">
        <x:f>IF(OR($D159="",CB$5="",'상세일정'!AM159="제외"),"",IF($D159=$E159,IF(AND($D159&gt;=CB$5,$D159&lt;CB$5+7),"◆",""),IF(AND($D159&lt;CB$5+7,$E159&gt;CB$5),"■","")))</x:f>
      </x:c>
      <x:c r="CC159" s="7" t="str">
        <x:f>IF(OR($D159="",CC$5="",'상세일정'!AM159="제외"),"",IF($D159=$E159,IF(AND($D159&gt;=CC$5,$D159&lt;CC$5+7),"◆",""),IF(AND($D159&lt;CC$5+7,$E159&gt;CC$5),"■","")))</x:f>
      </x:c>
      <x:c r="CD159" s="7" t="str">
        <x:f>IF(OR($D159="",CD$5="",'상세일정'!AM159="제외"),"",IF($D159=$E159,IF(AND($D159&gt;=CD$5,$D159&lt;CD$5+7),"◆",""),IF(AND($D159&lt;CD$5+7,$E159&gt;CD$5),"■","")))</x:f>
      </x:c>
      <x:c r="CE159" s="7" t="str">
        <x:f>IF(OR($D159="",CE$5="",'상세일정'!AM159="제외"),"",IF($D159=$E159,IF(AND($D159&gt;=CE$5,$D159&lt;CE$5+7),"◆",""),IF(AND($D159&lt;CE$5+7,$E159&gt;CE$5),"■","")))</x:f>
      </x:c>
      <x:c r="CF159" s="7" t="str">
        <x:f>IF(OR($D159="",CF$5="",'상세일정'!AM159="제외"),"",IF($D159=$E159,IF(AND($D159&gt;=CF$5,$D159&lt;CF$5+7),"◆",""),IF(AND($D159&lt;CF$5+7,$E159&gt;CF$5),"■","")))</x:f>
      </x:c>
      <x:c r="CG159" s="7" t="str">
        <x:f>IF(OR($D159="",CG$5="",'상세일정'!AM159="제외"),"",IF($D159=$E159,IF(AND($D159&gt;=CG$5,$D159&lt;CG$5+7),"◆",""),IF(AND($D159&lt;CG$5+7,$E159&gt;CG$5),"■","")))</x:f>
      </x:c>
      <x:c r="CH159" s="7" t="str">
        <x:f>IF(OR($D159="",CH$5="",'상세일정'!AM159="제외"),"",IF($D159=$E159,IF(AND($D159&gt;=CH$5,$D159&lt;CH$5+7),"◆",""),IF(AND($D159&lt;CH$5+7,$E159&gt;CH$5),"■","")))</x:f>
      </x:c>
      <x:c r="CI159" s="7" t="str">
        <x:f>IF(OR($D159="",CI$5="",'상세일정'!AM159="제외"),"",IF($D159=$E159,IF(AND($D159&gt;=CI$5,$D159&lt;CI$5+7),"◆",""),IF(AND($D159&lt;CI$5+7,$E159&gt;CI$5),"■","")))</x:f>
      </x:c>
      <x:c r="CJ159" s="7" t="str">
        <x:f>IF(OR($D159="",CJ$5="",'상세일정'!AM159="제외"),"",IF($D159=$E159,IF(AND($D159&gt;=CJ$5,$D159&lt;CJ$5+7),"◆",""),IF(AND($D159&lt;CJ$5+7,$E159&gt;CJ$5),"■","")))</x:f>
      </x:c>
      <x:c r="CK159" s="7" t="str">
        <x:f>IF(OR($D159="",CK$5="",'상세일정'!AM159="제외"),"",IF($D159=$E159,IF(AND($D159&gt;=CK$5,$D159&lt;CK$5+7),"◆",""),IF(AND($D159&lt;CK$5+7,$E159&gt;CK$5),"■","")))</x:f>
      </x:c>
      <x:c r="CL159" s="7" t="str">
        <x:f>IF(OR($D159="",CL$5="",'상세일정'!AM159="제외"),"",IF($D159=$E159,IF(AND($D159&gt;=CL$5,$D159&lt;CL$5+7),"◆",""),IF(AND($D159&lt;CL$5+7,$E159&gt;CL$5),"■","")))</x:f>
      </x:c>
      <x:c r="CM159" s="7" t="str">
        <x:f>IF(OR($D159="",CM$5="",'상세일정'!AM159="제외"),"",IF($D159=$E159,IF(AND($D159&gt;=CM$5,$D159&lt;CM$5+7),"◆",""),IF(AND($D159&lt;CM$5+7,$E159&gt;CM$5),"■","")))</x:f>
      </x:c>
      <x:c r="CN159" s="7" t="str">
        <x:f>IF(OR($D159="",CN$5="",'상세일정'!AM159="제외"),"",IF($D159=$E159,IF(AND($D159&gt;=CN$5,$D159&lt;CN$5+7),"◆",""),IF(AND($D159&lt;CN$5+7,$E159&gt;CN$5),"■","")))</x:f>
      </x:c>
      <x:c r="CO159" s="7" t="str">
        <x:f>IF(OR($D159="",CO$5="",'상세일정'!AM159="제외"),"",IF($D159=$E159,IF(AND($D159&gt;=CO$5,$D159&lt;CO$5+7),"◆",""),IF(AND($D159&lt;CO$5+7,$E159&gt;CO$5),"■","")))</x:f>
      </x:c>
      <x:c r="CP159" s="7" t="str">
        <x:f>IF(OR($D159="",CP$5="",'상세일정'!AM159="제외"),"",IF($D159=$E159,IF(AND($D159&gt;=CP$5,$D159&lt;CP$5+7),"◆",""),IF(AND($D159&lt;CP$5+7,$E159&gt;CP$5),"■","")))</x:f>
      </x:c>
      <x:c r="CQ159" s="7" t="str">
        <x:f>IF(OR($D159="",CQ$5="",'상세일정'!AM159="제외"),"",IF($D159=$E159,IF(AND($D159&gt;=CQ$5,$D159&lt;CQ$5+7),"◆",""),IF(AND($D159&lt;CQ$5+7,$E159&gt;CQ$5),"■","")))</x:f>
      </x:c>
      <x:c r="CR159" s="7" t="str">
        <x:f>IF(OR($D159="",CR$5="",'상세일정'!AM159="제외"),"",IF($D159=$E159,IF(AND($D159&gt;=CR$5,$D159&lt;CR$5+7),"◆",""),IF(AND($D159&lt;CR$5+7,$E159&gt;CR$5),"■","")))</x:f>
      </x:c>
      <x:c r="CS159" s="7" t="str">
        <x:f>IF(OR($D159="",CS$5="",'상세일정'!AM159="제외"),"",IF($D159=$E159,IF(AND($D159&gt;=CS$5,$D159&lt;CS$5+7),"◆",""),IF(AND($D159&lt;CS$5+7,$E159&gt;CS$5),"■","")))</x:f>
      </x:c>
      <x:c r="CT159" s="7" t="str">
        <x:f>IF(OR($D159="",CT$5="",'상세일정'!AM159="제외"),"",IF($D159=$E159,IF(AND($D159&gt;=CT$5,$D159&lt;CT$5+7),"◆",""),IF(AND($D159&lt;CT$5+7,$E159&gt;CT$5),"■","")))</x:f>
      </x:c>
      <x:c r="CU159" s="7" t="str">
        <x:f>IF(OR($D159="",CU$5="",'상세일정'!AM159="제외"),"",IF($D159=$E159,IF(AND($D159&gt;=CU$5,$D159&lt;CU$5+7),"◆",""),IF(AND($D159&lt;CU$5+7,$E159&gt;CU$5),"■","")))</x:f>
      </x:c>
      <x:c r="CV159" s="7" t="str">
        <x:f>IF(OR($D159="",CV$5="",'상세일정'!AM159="제외"),"",IF($D159=$E159,IF(AND($D159&gt;=CV$5,$D159&lt;CV$5+7),"◆",""),IF(AND($D159&lt;CV$5+7,$E159&gt;CV$5),"■","")))</x:f>
      </x:c>
      <x:c r="CW159" s="7" t="str">
        <x:f>IF(OR($D159="",CW$5="",'상세일정'!AM159="제외"),"",IF($D159=$E159,IF(AND($D159&gt;=CW$5,$D159&lt;CW$5+7),"◆",""),IF(AND($D159&lt;CW$5+7,$E159&gt;CW$5),"■","")))</x:f>
      </x:c>
      <x:c r="CX159" s="7" t="str">
        <x:f>IF(OR($D159="",CX$5="",'상세일정'!AM159="제외"),"",IF($D159=$E159,IF(AND($D159&gt;=CX$5,$D159&lt;CX$5+7),"◆",""),IF(AND($D159&lt;CX$5+7,$E159&gt;CX$5),"■","")))</x:f>
      </x:c>
      <x:c r="CY159" s="7" t="str">
        <x:f>IF(OR($D159="",CY$5="",'상세일정'!AM159="제외"),"",IF($D159=$E159,IF(AND($D159&gt;=CY$5,$D159&lt;CY$5+7),"◆",""),IF(AND($D159&lt;CY$5+7,$E159&gt;CY$5),"■","")))</x:f>
      </x:c>
      <x:c r="CZ159" s="7" t="str">
        <x:f>IF(OR($D159="",CZ$5="",'상세일정'!AM159="제외"),"",IF($D159=$E159,IF(AND($D159&gt;=CZ$5,$D159&lt;CZ$5+7),"◆",""),IF(AND($D159&lt;CZ$5+7,$E159&gt;CZ$5),"■","")))</x:f>
      </x:c>
      <x:c r="DA159" s="7" t="str">
        <x:f>IF(OR($D159="",DA$5="",'상세일정'!AM159="제외"),"",IF($D159=$E159,IF(AND($D159&gt;=DA$5,$D159&lt;DA$5+7),"◆",""),IF(AND($D159&lt;DA$5+7,$E159&gt;DA$5),"■","")))</x:f>
      </x:c>
      <x:c r="DB159" s="7" t="str">
        <x:f>IF(OR($D159="",DB$5="",'상세일정'!AM159="제외"),"",IF($D159=$E159,IF(AND($D159&gt;=DB$5,$D159&lt;DB$5+7),"◆",""),IF(AND($D159&lt;DB$5+7,$E159&gt;DB$5),"■","")))</x:f>
      </x:c>
      <x:c r="DC159" s="7" t="str">
        <x:f>IF(OR($D159="",DC$5="",'상세일정'!AM159="제외"),"",IF($D159=$E159,IF(AND($D159&gt;=DC$5,$D159&lt;DC$5+7),"◆",""),IF(AND($D159&lt;DC$5+7,$E159&gt;DC$5),"■","")))</x:f>
      </x:c>
      <x:c r="DD159" s="7" t="str">
        <x:f>IF(OR($D159="",DD$5="",'상세일정'!AM159="제외"),"",IF($D159=$E159,IF(AND($D159&gt;=DD$5,$D159&lt;DD$5+7),"◆",""),IF(AND($D159&lt;DD$5+7,$E159&gt;DD$5),"■","")))</x:f>
      </x:c>
      <x:c r="DE159" s="7" t="str">
        <x:f>IF(OR($D159="",DE$5="",'상세일정'!AM159="제외"),"",IF($D159=$E159,IF(AND($D159&gt;=DE$5,$D159&lt;DE$5+7),"◆",""),IF(AND($D159&lt;DE$5+7,$E159&gt;DE$5),"■","")))</x:f>
      </x:c>
    </x:row>
    <x:row r="160" ht="34" customHeight="1">
      <x:c r="A160" s="7" t="str">
        <x:v>CN04</x:v>
      </x:c>
      <x:c r="B160" s="7" t="str">
        <x:v>17 토공·기초</x:v>
      </x:c>
      <x:c r="C160" s="7" t="str">
        <x:v>파일 시공·재하시험 및 기초지반 확인</x:v>
      </x:c>
      <x:c r="D160" s="10" t="str">
        <x:f>'상세일정'!AJ160</x:f>
      </x:c>
      <x:c r="E160" s="10" t="str">
        <x:f>'상세일정'!AK160</x:f>
      </x:c>
      <x:c r="F160" s="7" t="str">
        <x:f>IF(OR($D160="",F$5="",'상세일정'!AM160="제외"),"",IF($D160=$E160,IF(AND($D160&gt;=F$5,$D160&lt;F$5+7),"◆",""),IF(AND($D160&lt;F$5+7,$E160&gt;F$5),"■","")))</x:f>
      </x:c>
      <x:c r="G160" s="7" t="str">
        <x:f>IF(OR($D160="",G$5="",'상세일정'!AM160="제외"),"",IF($D160=$E160,IF(AND($D160&gt;=G$5,$D160&lt;G$5+7),"◆",""),IF(AND($D160&lt;G$5+7,$E160&gt;G$5),"■","")))</x:f>
      </x:c>
      <x:c r="H160" s="7" t="str">
        <x:f>IF(OR($D160="",H$5="",'상세일정'!AM160="제외"),"",IF($D160=$E160,IF(AND($D160&gt;=H$5,$D160&lt;H$5+7),"◆",""),IF(AND($D160&lt;H$5+7,$E160&gt;H$5),"■","")))</x:f>
      </x:c>
      <x:c r="I160" s="7" t="str">
        <x:f>IF(OR($D160="",I$5="",'상세일정'!AM160="제외"),"",IF($D160=$E160,IF(AND($D160&gt;=I$5,$D160&lt;I$5+7),"◆",""),IF(AND($D160&lt;I$5+7,$E160&gt;I$5),"■","")))</x:f>
      </x:c>
      <x:c r="J160" s="7" t="str">
        <x:f>IF(OR($D160="",J$5="",'상세일정'!AM160="제외"),"",IF($D160=$E160,IF(AND($D160&gt;=J$5,$D160&lt;J$5+7),"◆",""),IF(AND($D160&lt;J$5+7,$E160&gt;J$5),"■","")))</x:f>
      </x:c>
      <x:c r="K160" s="7" t="str">
        <x:f>IF(OR($D160="",K$5="",'상세일정'!AM160="제외"),"",IF($D160=$E160,IF(AND($D160&gt;=K$5,$D160&lt;K$5+7),"◆",""),IF(AND($D160&lt;K$5+7,$E160&gt;K$5),"■","")))</x:f>
      </x:c>
      <x:c r="L160" s="7" t="str">
        <x:f>IF(OR($D160="",L$5="",'상세일정'!AM160="제외"),"",IF($D160=$E160,IF(AND($D160&gt;=L$5,$D160&lt;L$5+7),"◆",""),IF(AND($D160&lt;L$5+7,$E160&gt;L$5),"■","")))</x:f>
      </x:c>
      <x:c r="M160" s="7" t="str">
        <x:f>IF(OR($D160="",M$5="",'상세일정'!AM160="제외"),"",IF($D160=$E160,IF(AND($D160&gt;=M$5,$D160&lt;M$5+7),"◆",""),IF(AND($D160&lt;M$5+7,$E160&gt;M$5),"■","")))</x:f>
      </x:c>
      <x:c r="N160" s="7" t="str">
        <x:f>IF(OR($D160="",N$5="",'상세일정'!AM160="제외"),"",IF($D160=$E160,IF(AND($D160&gt;=N$5,$D160&lt;N$5+7),"◆",""),IF(AND($D160&lt;N$5+7,$E160&gt;N$5),"■","")))</x:f>
      </x:c>
      <x:c r="O160" s="7" t="str">
        <x:f>IF(OR($D160="",O$5="",'상세일정'!AM160="제외"),"",IF($D160=$E160,IF(AND($D160&gt;=O$5,$D160&lt;O$5+7),"◆",""),IF(AND($D160&lt;O$5+7,$E160&gt;O$5),"■","")))</x:f>
      </x:c>
      <x:c r="P160" s="7" t="str">
        <x:f>IF(OR($D160="",P$5="",'상세일정'!AM160="제외"),"",IF($D160=$E160,IF(AND($D160&gt;=P$5,$D160&lt;P$5+7),"◆",""),IF(AND($D160&lt;P$5+7,$E160&gt;P$5),"■","")))</x:f>
      </x:c>
      <x:c r="Q160" s="7" t="str">
        <x:f>IF(OR($D160="",Q$5="",'상세일정'!AM160="제외"),"",IF($D160=$E160,IF(AND($D160&gt;=Q$5,$D160&lt;Q$5+7),"◆",""),IF(AND($D160&lt;Q$5+7,$E160&gt;Q$5),"■","")))</x:f>
      </x:c>
      <x:c r="R160" s="7" t="str">
        <x:f>IF(OR($D160="",R$5="",'상세일정'!AM160="제외"),"",IF($D160=$E160,IF(AND($D160&gt;=R$5,$D160&lt;R$5+7),"◆",""),IF(AND($D160&lt;R$5+7,$E160&gt;R$5),"■","")))</x:f>
      </x:c>
      <x:c r="S160" s="7" t="str">
        <x:f>IF(OR($D160="",S$5="",'상세일정'!AM160="제외"),"",IF($D160=$E160,IF(AND($D160&gt;=S$5,$D160&lt;S$5+7),"◆",""),IF(AND($D160&lt;S$5+7,$E160&gt;S$5),"■","")))</x:f>
      </x:c>
      <x:c r="T160" s="7" t="str">
        <x:f>IF(OR($D160="",T$5="",'상세일정'!AM160="제외"),"",IF($D160=$E160,IF(AND($D160&gt;=T$5,$D160&lt;T$5+7),"◆",""),IF(AND($D160&lt;T$5+7,$E160&gt;T$5),"■","")))</x:f>
      </x:c>
      <x:c r="U160" s="7" t="str">
        <x:f>IF(OR($D160="",U$5="",'상세일정'!AM160="제외"),"",IF($D160=$E160,IF(AND($D160&gt;=U$5,$D160&lt;U$5+7),"◆",""),IF(AND($D160&lt;U$5+7,$E160&gt;U$5),"■","")))</x:f>
      </x:c>
      <x:c r="V160" s="7" t="str">
        <x:f>IF(OR($D160="",V$5="",'상세일정'!AM160="제외"),"",IF($D160=$E160,IF(AND($D160&gt;=V$5,$D160&lt;V$5+7),"◆",""),IF(AND($D160&lt;V$5+7,$E160&gt;V$5),"■","")))</x:f>
      </x:c>
      <x:c r="W160" s="7" t="str">
        <x:f>IF(OR($D160="",W$5="",'상세일정'!AM160="제외"),"",IF($D160=$E160,IF(AND($D160&gt;=W$5,$D160&lt;W$5+7),"◆",""),IF(AND($D160&lt;W$5+7,$E160&gt;W$5),"■","")))</x:f>
      </x:c>
      <x:c r="X160" s="7" t="str">
        <x:f>IF(OR($D160="",X$5="",'상세일정'!AM160="제외"),"",IF($D160=$E160,IF(AND($D160&gt;=X$5,$D160&lt;X$5+7),"◆",""),IF(AND($D160&lt;X$5+7,$E160&gt;X$5),"■","")))</x:f>
      </x:c>
      <x:c r="Y160" s="7" t="str">
        <x:f>IF(OR($D160="",Y$5="",'상세일정'!AM160="제외"),"",IF($D160=$E160,IF(AND($D160&gt;=Y$5,$D160&lt;Y$5+7),"◆",""),IF(AND($D160&lt;Y$5+7,$E160&gt;Y$5),"■","")))</x:f>
      </x:c>
      <x:c r="Z160" s="7" t="str">
        <x:f>IF(OR($D160="",Z$5="",'상세일정'!AM160="제외"),"",IF($D160=$E160,IF(AND($D160&gt;=Z$5,$D160&lt;Z$5+7),"◆",""),IF(AND($D160&lt;Z$5+7,$E160&gt;Z$5),"■","")))</x:f>
      </x:c>
      <x:c r="AA160" s="7" t="str">
        <x:f>IF(OR($D160="",AA$5="",'상세일정'!AM160="제외"),"",IF($D160=$E160,IF(AND($D160&gt;=AA$5,$D160&lt;AA$5+7),"◆",""),IF(AND($D160&lt;AA$5+7,$E160&gt;AA$5),"■","")))</x:f>
      </x:c>
      <x:c r="AB160" s="7" t="str">
        <x:f>IF(OR($D160="",AB$5="",'상세일정'!AM160="제외"),"",IF($D160=$E160,IF(AND($D160&gt;=AB$5,$D160&lt;AB$5+7),"◆",""),IF(AND($D160&lt;AB$5+7,$E160&gt;AB$5),"■","")))</x:f>
      </x:c>
      <x:c r="AC160" s="7" t="str">
        <x:f>IF(OR($D160="",AC$5="",'상세일정'!AM160="제외"),"",IF($D160=$E160,IF(AND($D160&gt;=AC$5,$D160&lt;AC$5+7),"◆",""),IF(AND($D160&lt;AC$5+7,$E160&gt;AC$5),"■","")))</x:f>
      </x:c>
      <x:c r="AD160" s="7" t="str">
        <x:f>IF(OR($D160="",AD$5="",'상세일정'!AM160="제외"),"",IF($D160=$E160,IF(AND($D160&gt;=AD$5,$D160&lt;AD$5+7),"◆",""),IF(AND($D160&lt;AD$5+7,$E160&gt;AD$5),"■","")))</x:f>
      </x:c>
      <x:c r="AE160" s="7" t="str">
        <x:f>IF(OR($D160="",AE$5="",'상세일정'!AM160="제외"),"",IF($D160=$E160,IF(AND($D160&gt;=AE$5,$D160&lt;AE$5+7),"◆",""),IF(AND($D160&lt;AE$5+7,$E160&gt;AE$5),"■","")))</x:f>
      </x:c>
      <x:c r="AF160" s="7" t="str">
        <x:f>IF(OR($D160="",AF$5="",'상세일정'!AM160="제외"),"",IF($D160=$E160,IF(AND($D160&gt;=AF$5,$D160&lt;AF$5+7),"◆",""),IF(AND($D160&lt;AF$5+7,$E160&gt;AF$5),"■","")))</x:f>
      </x:c>
      <x:c r="AG160" s="7" t="str">
        <x:f>IF(OR($D160="",AG$5="",'상세일정'!AM160="제외"),"",IF($D160=$E160,IF(AND($D160&gt;=AG$5,$D160&lt;AG$5+7),"◆",""),IF(AND($D160&lt;AG$5+7,$E160&gt;AG$5),"■","")))</x:f>
      </x:c>
      <x:c r="AH160" s="7" t="str">
        <x:f>IF(OR($D160="",AH$5="",'상세일정'!AM160="제외"),"",IF($D160=$E160,IF(AND($D160&gt;=AH$5,$D160&lt;AH$5+7),"◆",""),IF(AND($D160&lt;AH$5+7,$E160&gt;AH$5),"■","")))</x:f>
      </x:c>
      <x:c r="AI160" s="7" t="str">
        <x:f>IF(OR($D160="",AI$5="",'상세일정'!AM160="제외"),"",IF($D160=$E160,IF(AND($D160&gt;=AI$5,$D160&lt;AI$5+7),"◆",""),IF(AND($D160&lt;AI$5+7,$E160&gt;AI$5),"■","")))</x:f>
      </x:c>
      <x:c r="AJ160" s="7" t="str">
        <x:f>IF(OR($D160="",AJ$5="",'상세일정'!AM160="제외"),"",IF($D160=$E160,IF(AND($D160&gt;=AJ$5,$D160&lt;AJ$5+7),"◆",""),IF(AND($D160&lt;AJ$5+7,$E160&gt;AJ$5),"■","")))</x:f>
      </x:c>
      <x:c r="AK160" s="7" t="str">
        <x:f>IF(OR($D160="",AK$5="",'상세일정'!AM160="제외"),"",IF($D160=$E160,IF(AND($D160&gt;=AK$5,$D160&lt;AK$5+7),"◆",""),IF(AND($D160&lt;AK$5+7,$E160&gt;AK$5),"■","")))</x:f>
      </x:c>
      <x:c r="AL160" s="7" t="str">
        <x:f>IF(OR($D160="",AL$5="",'상세일정'!AM160="제외"),"",IF($D160=$E160,IF(AND($D160&gt;=AL$5,$D160&lt;AL$5+7),"◆",""),IF(AND($D160&lt;AL$5+7,$E160&gt;AL$5),"■","")))</x:f>
      </x:c>
      <x:c r="AM160" s="7" t="str">
        <x:f>IF(OR($D160="",AM$5="",'상세일정'!AM160="제외"),"",IF($D160=$E160,IF(AND($D160&gt;=AM$5,$D160&lt;AM$5+7),"◆",""),IF(AND($D160&lt;AM$5+7,$E160&gt;AM$5),"■","")))</x:f>
      </x:c>
      <x:c r="AN160" s="7" t="str">
        <x:f>IF(OR($D160="",AN$5="",'상세일정'!AM160="제외"),"",IF($D160=$E160,IF(AND($D160&gt;=AN$5,$D160&lt;AN$5+7),"◆",""),IF(AND($D160&lt;AN$5+7,$E160&gt;AN$5),"■","")))</x:f>
      </x:c>
      <x:c r="AO160" s="7" t="str">
        <x:f>IF(OR($D160="",AO$5="",'상세일정'!AM160="제외"),"",IF($D160=$E160,IF(AND($D160&gt;=AO$5,$D160&lt;AO$5+7),"◆",""),IF(AND($D160&lt;AO$5+7,$E160&gt;AO$5),"■","")))</x:f>
      </x:c>
      <x:c r="AP160" s="7" t="str">
        <x:f>IF(OR($D160="",AP$5="",'상세일정'!AM160="제외"),"",IF($D160=$E160,IF(AND($D160&gt;=AP$5,$D160&lt;AP$5+7),"◆",""),IF(AND($D160&lt;AP$5+7,$E160&gt;AP$5),"■","")))</x:f>
      </x:c>
      <x:c r="AQ160" s="7" t="str">
        <x:f>IF(OR($D160="",AQ$5="",'상세일정'!AM160="제외"),"",IF($D160=$E160,IF(AND($D160&gt;=AQ$5,$D160&lt;AQ$5+7),"◆",""),IF(AND($D160&lt;AQ$5+7,$E160&gt;AQ$5),"■","")))</x:f>
      </x:c>
      <x:c r="AR160" s="7" t="str">
        <x:f>IF(OR($D160="",AR$5="",'상세일정'!AM160="제외"),"",IF($D160=$E160,IF(AND($D160&gt;=AR$5,$D160&lt;AR$5+7),"◆",""),IF(AND($D160&lt;AR$5+7,$E160&gt;AR$5),"■","")))</x:f>
      </x:c>
      <x:c r="AS160" s="7" t="str">
        <x:f>IF(OR($D160="",AS$5="",'상세일정'!AM160="제외"),"",IF($D160=$E160,IF(AND($D160&gt;=AS$5,$D160&lt;AS$5+7),"◆",""),IF(AND($D160&lt;AS$5+7,$E160&gt;AS$5),"■","")))</x:f>
      </x:c>
      <x:c r="AT160" s="7" t="str">
        <x:f>IF(OR($D160="",AT$5="",'상세일정'!AM160="제외"),"",IF($D160=$E160,IF(AND($D160&gt;=AT$5,$D160&lt;AT$5+7),"◆",""),IF(AND($D160&lt;AT$5+7,$E160&gt;AT$5),"■","")))</x:f>
      </x:c>
      <x:c r="AU160" s="7" t="str">
        <x:f>IF(OR($D160="",AU$5="",'상세일정'!AM160="제외"),"",IF($D160=$E160,IF(AND($D160&gt;=AU$5,$D160&lt;AU$5+7),"◆",""),IF(AND($D160&lt;AU$5+7,$E160&gt;AU$5),"■","")))</x:f>
      </x:c>
      <x:c r="AV160" s="7" t="str">
        <x:f>IF(OR($D160="",AV$5="",'상세일정'!AM160="제외"),"",IF($D160=$E160,IF(AND($D160&gt;=AV$5,$D160&lt;AV$5+7),"◆",""),IF(AND($D160&lt;AV$5+7,$E160&gt;AV$5),"■","")))</x:f>
      </x:c>
      <x:c r="AW160" s="7" t="str">
        <x:f>IF(OR($D160="",AW$5="",'상세일정'!AM160="제외"),"",IF($D160=$E160,IF(AND($D160&gt;=AW$5,$D160&lt;AW$5+7),"◆",""),IF(AND($D160&lt;AW$5+7,$E160&gt;AW$5),"■","")))</x:f>
      </x:c>
      <x:c r="AX160" s="7" t="str">
        <x:f>IF(OR($D160="",AX$5="",'상세일정'!AM160="제외"),"",IF($D160=$E160,IF(AND($D160&gt;=AX$5,$D160&lt;AX$5+7),"◆",""),IF(AND($D160&lt;AX$5+7,$E160&gt;AX$5),"■","")))</x:f>
      </x:c>
      <x:c r="AY160" s="7" t="str">
        <x:f>IF(OR($D160="",AY$5="",'상세일정'!AM160="제외"),"",IF($D160=$E160,IF(AND($D160&gt;=AY$5,$D160&lt;AY$5+7),"◆",""),IF(AND($D160&lt;AY$5+7,$E160&gt;AY$5),"■","")))</x:f>
      </x:c>
      <x:c r="AZ160" s="7" t="str">
        <x:f>IF(OR($D160="",AZ$5="",'상세일정'!AM160="제외"),"",IF($D160=$E160,IF(AND($D160&gt;=AZ$5,$D160&lt;AZ$5+7),"◆",""),IF(AND($D160&lt;AZ$5+7,$E160&gt;AZ$5),"■","")))</x:f>
      </x:c>
      <x:c r="BA160" s="7" t="str">
        <x:f>IF(OR($D160="",BA$5="",'상세일정'!AM160="제외"),"",IF($D160=$E160,IF(AND($D160&gt;=BA$5,$D160&lt;BA$5+7),"◆",""),IF(AND($D160&lt;BA$5+7,$E160&gt;BA$5),"■","")))</x:f>
      </x:c>
      <x:c r="BB160" s="7" t="str">
        <x:f>IF(OR($D160="",BB$5="",'상세일정'!AM160="제외"),"",IF($D160=$E160,IF(AND($D160&gt;=BB$5,$D160&lt;BB$5+7),"◆",""),IF(AND($D160&lt;BB$5+7,$E160&gt;BB$5),"■","")))</x:f>
      </x:c>
      <x:c r="BC160" s="7" t="str">
        <x:f>IF(OR($D160="",BC$5="",'상세일정'!AM160="제외"),"",IF($D160=$E160,IF(AND($D160&gt;=BC$5,$D160&lt;BC$5+7),"◆",""),IF(AND($D160&lt;BC$5+7,$E160&gt;BC$5),"■","")))</x:f>
      </x:c>
      <x:c r="BD160" s="7" t="str">
        <x:f>IF(OR($D160="",BD$5="",'상세일정'!AM160="제외"),"",IF($D160=$E160,IF(AND($D160&gt;=BD$5,$D160&lt;BD$5+7),"◆",""),IF(AND($D160&lt;BD$5+7,$E160&gt;BD$5),"■","")))</x:f>
      </x:c>
      <x:c r="BE160" s="7" t="str">
        <x:f>IF(OR($D160="",BE$5="",'상세일정'!AM160="제외"),"",IF($D160=$E160,IF(AND($D160&gt;=BE$5,$D160&lt;BE$5+7),"◆",""),IF(AND($D160&lt;BE$5+7,$E160&gt;BE$5),"■","")))</x:f>
      </x:c>
      <x:c r="BF160" s="7" t="str">
        <x:f>IF(OR($D160="",BF$5="",'상세일정'!AM160="제외"),"",IF($D160=$E160,IF(AND($D160&gt;=BF$5,$D160&lt;BF$5+7),"◆",""),IF(AND($D160&lt;BF$5+7,$E160&gt;BF$5),"■","")))</x:f>
      </x:c>
      <x:c r="BG160" s="7" t="str">
        <x:f>IF(OR($D160="",BG$5="",'상세일정'!AM160="제외"),"",IF($D160=$E160,IF(AND($D160&gt;=BG$5,$D160&lt;BG$5+7),"◆",""),IF(AND($D160&lt;BG$5+7,$E160&gt;BG$5),"■","")))</x:f>
      </x:c>
      <x:c r="BH160" s="7" t="str">
        <x:f>IF(OR($D160="",BH$5="",'상세일정'!AM160="제외"),"",IF($D160=$E160,IF(AND($D160&gt;=BH$5,$D160&lt;BH$5+7),"◆",""),IF(AND($D160&lt;BH$5+7,$E160&gt;BH$5),"■","")))</x:f>
      </x:c>
      <x:c r="BI160" s="7" t="str">
        <x:f>IF(OR($D160="",BI$5="",'상세일정'!AM160="제외"),"",IF($D160=$E160,IF(AND($D160&gt;=BI$5,$D160&lt;BI$5+7),"◆",""),IF(AND($D160&lt;BI$5+7,$E160&gt;BI$5),"■","")))</x:f>
      </x:c>
      <x:c r="BJ160" s="7" t="str">
        <x:f>IF(OR($D160="",BJ$5="",'상세일정'!AM160="제외"),"",IF($D160=$E160,IF(AND($D160&gt;=BJ$5,$D160&lt;BJ$5+7),"◆",""),IF(AND($D160&lt;BJ$5+7,$E160&gt;BJ$5),"■","")))</x:f>
      </x:c>
      <x:c r="BK160" s="7" t="str">
        <x:f>IF(OR($D160="",BK$5="",'상세일정'!AM160="제외"),"",IF($D160=$E160,IF(AND($D160&gt;=BK$5,$D160&lt;BK$5+7),"◆",""),IF(AND($D160&lt;BK$5+7,$E160&gt;BK$5),"■","")))</x:f>
      </x:c>
      <x:c r="BL160" s="7" t="str">
        <x:f>IF(OR($D160="",BL$5="",'상세일정'!AM160="제외"),"",IF($D160=$E160,IF(AND($D160&gt;=BL$5,$D160&lt;BL$5+7),"◆",""),IF(AND($D160&lt;BL$5+7,$E160&gt;BL$5),"■","")))</x:f>
      </x:c>
      <x:c r="BM160" s="7" t="str">
        <x:f>IF(OR($D160="",BM$5="",'상세일정'!AM160="제외"),"",IF($D160=$E160,IF(AND($D160&gt;=BM$5,$D160&lt;BM$5+7),"◆",""),IF(AND($D160&lt;BM$5+7,$E160&gt;BM$5),"■","")))</x:f>
      </x:c>
      <x:c r="BN160" s="7" t="str">
        <x:f>IF(OR($D160="",BN$5="",'상세일정'!AM160="제외"),"",IF($D160=$E160,IF(AND($D160&gt;=BN$5,$D160&lt;BN$5+7),"◆",""),IF(AND($D160&lt;BN$5+7,$E160&gt;BN$5),"■","")))</x:f>
      </x:c>
      <x:c r="BO160" s="7" t="str">
        <x:f>IF(OR($D160="",BO$5="",'상세일정'!AM160="제외"),"",IF($D160=$E160,IF(AND($D160&gt;=BO$5,$D160&lt;BO$5+7),"◆",""),IF(AND($D160&lt;BO$5+7,$E160&gt;BO$5),"■","")))</x:f>
      </x:c>
      <x:c r="BP160" s="7" t="str">
        <x:f>IF(OR($D160="",BP$5="",'상세일정'!AM160="제외"),"",IF($D160=$E160,IF(AND($D160&gt;=BP$5,$D160&lt;BP$5+7),"◆",""),IF(AND($D160&lt;BP$5+7,$E160&gt;BP$5),"■","")))</x:f>
      </x:c>
      <x:c r="BQ160" s="7" t="str">
        <x:f>IF(OR($D160="",BQ$5="",'상세일정'!AM160="제외"),"",IF($D160=$E160,IF(AND($D160&gt;=BQ$5,$D160&lt;BQ$5+7),"◆",""),IF(AND($D160&lt;BQ$5+7,$E160&gt;BQ$5),"■","")))</x:f>
      </x:c>
      <x:c r="BR160" s="7" t="str">
        <x:f>IF(OR($D160="",BR$5="",'상세일정'!AM160="제외"),"",IF($D160=$E160,IF(AND($D160&gt;=BR$5,$D160&lt;BR$5+7),"◆",""),IF(AND($D160&lt;BR$5+7,$E160&gt;BR$5),"■","")))</x:f>
      </x:c>
      <x:c r="BS160" s="7" t="str">
        <x:f>IF(OR($D160="",BS$5="",'상세일정'!AM160="제외"),"",IF($D160=$E160,IF(AND($D160&gt;=BS$5,$D160&lt;BS$5+7),"◆",""),IF(AND($D160&lt;BS$5+7,$E160&gt;BS$5),"■","")))</x:f>
      </x:c>
      <x:c r="BT160" s="7" t="str">
        <x:f>IF(OR($D160="",BT$5="",'상세일정'!AM160="제외"),"",IF($D160=$E160,IF(AND($D160&gt;=BT$5,$D160&lt;BT$5+7),"◆",""),IF(AND($D160&lt;BT$5+7,$E160&gt;BT$5),"■","")))</x:f>
      </x:c>
      <x:c r="BU160" s="7" t="str">
        <x:f>IF(OR($D160="",BU$5="",'상세일정'!AM160="제외"),"",IF($D160=$E160,IF(AND($D160&gt;=BU$5,$D160&lt;BU$5+7),"◆",""),IF(AND($D160&lt;BU$5+7,$E160&gt;BU$5),"■","")))</x:f>
      </x:c>
      <x:c r="BV160" s="7" t="str">
        <x:f>IF(OR($D160="",BV$5="",'상세일정'!AM160="제외"),"",IF($D160=$E160,IF(AND($D160&gt;=BV$5,$D160&lt;BV$5+7),"◆",""),IF(AND($D160&lt;BV$5+7,$E160&gt;BV$5),"■","")))</x:f>
      </x:c>
      <x:c r="BW160" s="7" t="str">
        <x:f>IF(OR($D160="",BW$5="",'상세일정'!AM160="제외"),"",IF($D160=$E160,IF(AND($D160&gt;=BW$5,$D160&lt;BW$5+7),"◆",""),IF(AND($D160&lt;BW$5+7,$E160&gt;BW$5),"■","")))</x:f>
      </x:c>
      <x:c r="BX160" s="7" t="str">
        <x:f>IF(OR($D160="",BX$5="",'상세일정'!AM160="제외"),"",IF($D160=$E160,IF(AND($D160&gt;=BX$5,$D160&lt;BX$5+7),"◆",""),IF(AND($D160&lt;BX$5+7,$E160&gt;BX$5),"■","")))</x:f>
      </x:c>
      <x:c r="BY160" s="7" t="str">
        <x:f>IF(OR($D160="",BY$5="",'상세일정'!AM160="제외"),"",IF($D160=$E160,IF(AND($D160&gt;=BY$5,$D160&lt;BY$5+7),"◆",""),IF(AND($D160&lt;BY$5+7,$E160&gt;BY$5),"■","")))</x:f>
      </x:c>
      <x:c r="BZ160" s="7" t="str">
        <x:f>IF(OR($D160="",BZ$5="",'상세일정'!AM160="제외"),"",IF($D160=$E160,IF(AND($D160&gt;=BZ$5,$D160&lt;BZ$5+7),"◆",""),IF(AND($D160&lt;BZ$5+7,$E160&gt;BZ$5),"■","")))</x:f>
      </x:c>
      <x:c r="CA160" s="7" t="str">
        <x:f>IF(OR($D160="",CA$5="",'상세일정'!AM160="제외"),"",IF($D160=$E160,IF(AND($D160&gt;=CA$5,$D160&lt;CA$5+7),"◆",""),IF(AND($D160&lt;CA$5+7,$E160&gt;CA$5),"■","")))</x:f>
      </x:c>
      <x:c r="CB160" s="7" t="str">
        <x:f>IF(OR($D160="",CB$5="",'상세일정'!AM160="제외"),"",IF($D160=$E160,IF(AND($D160&gt;=CB$5,$D160&lt;CB$5+7),"◆",""),IF(AND($D160&lt;CB$5+7,$E160&gt;CB$5),"■","")))</x:f>
      </x:c>
      <x:c r="CC160" s="7" t="str">
        <x:f>IF(OR($D160="",CC$5="",'상세일정'!AM160="제외"),"",IF($D160=$E160,IF(AND($D160&gt;=CC$5,$D160&lt;CC$5+7),"◆",""),IF(AND($D160&lt;CC$5+7,$E160&gt;CC$5),"■","")))</x:f>
      </x:c>
      <x:c r="CD160" s="7" t="str">
        <x:f>IF(OR($D160="",CD$5="",'상세일정'!AM160="제외"),"",IF($D160=$E160,IF(AND($D160&gt;=CD$5,$D160&lt;CD$5+7),"◆",""),IF(AND($D160&lt;CD$5+7,$E160&gt;CD$5),"■","")))</x:f>
      </x:c>
      <x:c r="CE160" s="7" t="str">
        <x:f>IF(OR($D160="",CE$5="",'상세일정'!AM160="제외"),"",IF($D160=$E160,IF(AND($D160&gt;=CE$5,$D160&lt;CE$5+7),"◆",""),IF(AND($D160&lt;CE$5+7,$E160&gt;CE$5),"■","")))</x:f>
      </x:c>
      <x:c r="CF160" s="7" t="str">
        <x:f>IF(OR($D160="",CF$5="",'상세일정'!AM160="제외"),"",IF($D160=$E160,IF(AND($D160&gt;=CF$5,$D160&lt;CF$5+7),"◆",""),IF(AND($D160&lt;CF$5+7,$E160&gt;CF$5),"■","")))</x:f>
      </x:c>
      <x:c r="CG160" s="7" t="str">
        <x:f>IF(OR($D160="",CG$5="",'상세일정'!AM160="제외"),"",IF($D160=$E160,IF(AND($D160&gt;=CG$5,$D160&lt;CG$5+7),"◆",""),IF(AND($D160&lt;CG$5+7,$E160&gt;CG$5),"■","")))</x:f>
      </x:c>
      <x:c r="CH160" s="7" t="str">
        <x:f>IF(OR($D160="",CH$5="",'상세일정'!AM160="제외"),"",IF($D160=$E160,IF(AND($D160&gt;=CH$5,$D160&lt;CH$5+7),"◆",""),IF(AND($D160&lt;CH$5+7,$E160&gt;CH$5),"■","")))</x:f>
      </x:c>
      <x:c r="CI160" s="7" t="str">
        <x:f>IF(OR($D160="",CI$5="",'상세일정'!AM160="제외"),"",IF($D160=$E160,IF(AND($D160&gt;=CI$5,$D160&lt;CI$5+7),"◆",""),IF(AND($D160&lt;CI$5+7,$E160&gt;CI$5),"■","")))</x:f>
      </x:c>
      <x:c r="CJ160" s="7" t="str">
        <x:f>IF(OR($D160="",CJ$5="",'상세일정'!AM160="제외"),"",IF($D160=$E160,IF(AND($D160&gt;=CJ$5,$D160&lt;CJ$5+7),"◆",""),IF(AND($D160&lt;CJ$5+7,$E160&gt;CJ$5),"■","")))</x:f>
      </x:c>
      <x:c r="CK160" s="7" t="str">
        <x:f>IF(OR($D160="",CK$5="",'상세일정'!AM160="제외"),"",IF($D160=$E160,IF(AND($D160&gt;=CK$5,$D160&lt;CK$5+7),"◆",""),IF(AND($D160&lt;CK$5+7,$E160&gt;CK$5),"■","")))</x:f>
      </x:c>
      <x:c r="CL160" s="7" t="str">
        <x:f>IF(OR($D160="",CL$5="",'상세일정'!AM160="제외"),"",IF($D160=$E160,IF(AND($D160&gt;=CL$5,$D160&lt;CL$5+7),"◆",""),IF(AND($D160&lt;CL$5+7,$E160&gt;CL$5),"■","")))</x:f>
      </x:c>
      <x:c r="CM160" s="7" t="str">
        <x:f>IF(OR($D160="",CM$5="",'상세일정'!AM160="제외"),"",IF($D160=$E160,IF(AND($D160&gt;=CM$5,$D160&lt;CM$5+7),"◆",""),IF(AND($D160&lt;CM$5+7,$E160&gt;CM$5),"■","")))</x:f>
      </x:c>
      <x:c r="CN160" s="7" t="str">
        <x:f>IF(OR($D160="",CN$5="",'상세일정'!AM160="제외"),"",IF($D160=$E160,IF(AND($D160&gt;=CN$5,$D160&lt;CN$5+7),"◆",""),IF(AND($D160&lt;CN$5+7,$E160&gt;CN$5),"■","")))</x:f>
      </x:c>
      <x:c r="CO160" s="7" t="str">
        <x:f>IF(OR($D160="",CO$5="",'상세일정'!AM160="제외"),"",IF($D160=$E160,IF(AND($D160&gt;=CO$5,$D160&lt;CO$5+7),"◆",""),IF(AND($D160&lt;CO$5+7,$E160&gt;CO$5),"■","")))</x:f>
      </x:c>
      <x:c r="CP160" s="7" t="str">
        <x:f>IF(OR($D160="",CP$5="",'상세일정'!AM160="제외"),"",IF($D160=$E160,IF(AND($D160&gt;=CP$5,$D160&lt;CP$5+7),"◆",""),IF(AND($D160&lt;CP$5+7,$E160&gt;CP$5),"■","")))</x:f>
      </x:c>
      <x:c r="CQ160" s="7" t="str">
        <x:f>IF(OR($D160="",CQ$5="",'상세일정'!AM160="제외"),"",IF($D160=$E160,IF(AND($D160&gt;=CQ$5,$D160&lt;CQ$5+7),"◆",""),IF(AND($D160&lt;CQ$5+7,$E160&gt;CQ$5),"■","")))</x:f>
      </x:c>
      <x:c r="CR160" s="7" t="str">
        <x:f>IF(OR($D160="",CR$5="",'상세일정'!AM160="제외"),"",IF($D160=$E160,IF(AND($D160&gt;=CR$5,$D160&lt;CR$5+7),"◆",""),IF(AND($D160&lt;CR$5+7,$E160&gt;CR$5),"■","")))</x:f>
      </x:c>
      <x:c r="CS160" s="7" t="str">
        <x:f>IF(OR($D160="",CS$5="",'상세일정'!AM160="제외"),"",IF($D160=$E160,IF(AND($D160&gt;=CS$5,$D160&lt;CS$5+7),"◆",""),IF(AND($D160&lt;CS$5+7,$E160&gt;CS$5),"■","")))</x:f>
      </x:c>
      <x:c r="CT160" s="7" t="str">
        <x:f>IF(OR($D160="",CT$5="",'상세일정'!AM160="제외"),"",IF($D160=$E160,IF(AND($D160&gt;=CT$5,$D160&lt;CT$5+7),"◆",""),IF(AND($D160&lt;CT$5+7,$E160&gt;CT$5),"■","")))</x:f>
      </x:c>
      <x:c r="CU160" s="7" t="str">
        <x:f>IF(OR($D160="",CU$5="",'상세일정'!AM160="제외"),"",IF($D160=$E160,IF(AND($D160&gt;=CU$5,$D160&lt;CU$5+7),"◆",""),IF(AND($D160&lt;CU$5+7,$E160&gt;CU$5),"■","")))</x:f>
      </x:c>
      <x:c r="CV160" s="7" t="str">
        <x:f>IF(OR($D160="",CV$5="",'상세일정'!AM160="제외"),"",IF($D160=$E160,IF(AND($D160&gt;=CV$5,$D160&lt;CV$5+7),"◆",""),IF(AND($D160&lt;CV$5+7,$E160&gt;CV$5),"■","")))</x:f>
      </x:c>
      <x:c r="CW160" s="7" t="str">
        <x:f>IF(OR($D160="",CW$5="",'상세일정'!AM160="제외"),"",IF($D160=$E160,IF(AND($D160&gt;=CW$5,$D160&lt;CW$5+7),"◆",""),IF(AND($D160&lt;CW$5+7,$E160&gt;CW$5),"■","")))</x:f>
      </x:c>
      <x:c r="CX160" s="7" t="str">
        <x:f>IF(OR($D160="",CX$5="",'상세일정'!AM160="제외"),"",IF($D160=$E160,IF(AND($D160&gt;=CX$5,$D160&lt;CX$5+7),"◆",""),IF(AND($D160&lt;CX$5+7,$E160&gt;CX$5),"■","")))</x:f>
      </x:c>
      <x:c r="CY160" s="7" t="str">
        <x:f>IF(OR($D160="",CY$5="",'상세일정'!AM160="제외"),"",IF($D160=$E160,IF(AND($D160&gt;=CY$5,$D160&lt;CY$5+7),"◆",""),IF(AND($D160&lt;CY$5+7,$E160&gt;CY$5),"■","")))</x:f>
      </x:c>
      <x:c r="CZ160" s="7" t="str">
        <x:f>IF(OR($D160="",CZ$5="",'상세일정'!AM160="제외"),"",IF($D160=$E160,IF(AND($D160&gt;=CZ$5,$D160&lt;CZ$5+7),"◆",""),IF(AND($D160&lt;CZ$5+7,$E160&gt;CZ$5),"■","")))</x:f>
      </x:c>
      <x:c r="DA160" s="7" t="str">
        <x:f>IF(OR($D160="",DA$5="",'상세일정'!AM160="제외"),"",IF($D160=$E160,IF(AND($D160&gt;=DA$5,$D160&lt;DA$5+7),"◆",""),IF(AND($D160&lt;DA$5+7,$E160&gt;DA$5),"■","")))</x:f>
      </x:c>
      <x:c r="DB160" s="7" t="str">
        <x:f>IF(OR($D160="",DB$5="",'상세일정'!AM160="제외"),"",IF($D160=$E160,IF(AND($D160&gt;=DB$5,$D160&lt;DB$5+7),"◆",""),IF(AND($D160&lt;DB$5+7,$E160&gt;DB$5),"■","")))</x:f>
      </x:c>
      <x:c r="DC160" s="7" t="str">
        <x:f>IF(OR($D160="",DC$5="",'상세일정'!AM160="제외"),"",IF($D160=$E160,IF(AND($D160&gt;=DC$5,$D160&lt;DC$5+7),"◆",""),IF(AND($D160&lt;DC$5+7,$E160&gt;DC$5),"■","")))</x:f>
      </x:c>
      <x:c r="DD160" s="7" t="str">
        <x:f>IF(OR($D160="",DD$5="",'상세일정'!AM160="제외"),"",IF($D160=$E160,IF(AND($D160&gt;=DD$5,$D160&lt;DD$5+7),"◆",""),IF(AND($D160&lt;DD$5+7,$E160&gt;DD$5),"■","")))</x:f>
      </x:c>
      <x:c r="DE160" s="7" t="str">
        <x:f>IF(OR($D160="",DE$5="",'상세일정'!AM160="제외"),"",IF($D160=$E160,IF(AND($D160&gt;=DE$5,$D160&lt;DE$5+7),"◆",""),IF(AND($D160&lt;DE$5+7,$E160&gt;DE$5),"■","")))</x:f>
      </x:c>
    </x:row>
    <x:row r="161" ht="34" customHeight="1">
      <x:c r="A161" s="7" t="str">
        <x:v>CN05</x:v>
      </x:c>
      <x:c r="B161" s="7" t="str">
        <x:v>17 토공·기초</x:v>
      </x:c>
      <x:c r="C161" s="7" t="str">
        <x:v>기초 철근·거푸집·앵커 검측</x:v>
      </x:c>
      <x:c r="D161" s="10" t="str">
        <x:f>'상세일정'!AJ161</x:f>
      </x:c>
      <x:c r="E161" s="10" t="str">
        <x:f>'상세일정'!AK161</x:f>
      </x:c>
      <x:c r="F161" s="7" t="str">
        <x:f>IF(OR($D161="",F$5="",'상세일정'!AM161="제외"),"",IF($D161=$E161,IF(AND($D161&gt;=F$5,$D161&lt;F$5+7),"◆",""),IF(AND($D161&lt;F$5+7,$E161&gt;F$5),"■","")))</x:f>
      </x:c>
      <x:c r="G161" s="7" t="str">
        <x:f>IF(OR($D161="",G$5="",'상세일정'!AM161="제외"),"",IF($D161=$E161,IF(AND($D161&gt;=G$5,$D161&lt;G$5+7),"◆",""),IF(AND($D161&lt;G$5+7,$E161&gt;G$5),"■","")))</x:f>
      </x:c>
      <x:c r="H161" s="7" t="str">
        <x:f>IF(OR($D161="",H$5="",'상세일정'!AM161="제외"),"",IF($D161=$E161,IF(AND($D161&gt;=H$5,$D161&lt;H$5+7),"◆",""),IF(AND($D161&lt;H$5+7,$E161&gt;H$5),"■","")))</x:f>
      </x:c>
      <x:c r="I161" s="7" t="str">
        <x:f>IF(OR($D161="",I$5="",'상세일정'!AM161="제외"),"",IF($D161=$E161,IF(AND($D161&gt;=I$5,$D161&lt;I$5+7),"◆",""),IF(AND($D161&lt;I$5+7,$E161&gt;I$5),"■","")))</x:f>
      </x:c>
      <x:c r="J161" s="7" t="str">
        <x:f>IF(OR($D161="",J$5="",'상세일정'!AM161="제외"),"",IF($D161=$E161,IF(AND($D161&gt;=J$5,$D161&lt;J$5+7),"◆",""),IF(AND($D161&lt;J$5+7,$E161&gt;J$5),"■","")))</x:f>
      </x:c>
      <x:c r="K161" s="7" t="str">
        <x:f>IF(OR($D161="",K$5="",'상세일정'!AM161="제외"),"",IF($D161=$E161,IF(AND($D161&gt;=K$5,$D161&lt;K$5+7),"◆",""),IF(AND($D161&lt;K$5+7,$E161&gt;K$5),"■","")))</x:f>
      </x:c>
      <x:c r="L161" s="7" t="str">
        <x:f>IF(OR($D161="",L$5="",'상세일정'!AM161="제외"),"",IF($D161=$E161,IF(AND($D161&gt;=L$5,$D161&lt;L$5+7),"◆",""),IF(AND($D161&lt;L$5+7,$E161&gt;L$5),"■","")))</x:f>
      </x:c>
      <x:c r="M161" s="7" t="str">
        <x:f>IF(OR($D161="",M$5="",'상세일정'!AM161="제외"),"",IF($D161=$E161,IF(AND($D161&gt;=M$5,$D161&lt;M$5+7),"◆",""),IF(AND($D161&lt;M$5+7,$E161&gt;M$5),"■","")))</x:f>
      </x:c>
      <x:c r="N161" s="7" t="str">
        <x:f>IF(OR($D161="",N$5="",'상세일정'!AM161="제외"),"",IF($D161=$E161,IF(AND($D161&gt;=N$5,$D161&lt;N$5+7),"◆",""),IF(AND($D161&lt;N$5+7,$E161&gt;N$5),"■","")))</x:f>
      </x:c>
      <x:c r="O161" s="7" t="str">
        <x:f>IF(OR($D161="",O$5="",'상세일정'!AM161="제외"),"",IF($D161=$E161,IF(AND($D161&gt;=O$5,$D161&lt;O$5+7),"◆",""),IF(AND($D161&lt;O$5+7,$E161&gt;O$5),"■","")))</x:f>
      </x:c>
      <x:c r="P161" s="7" t="str">
        <x:f>IF(OR($D161="",P$5="",'상세일정'!AM161="제외"),"",IF($D161=$E161,IF(AND($D161&gt;=P$5,$D161&lt;P$5+7),"◆",""),IF(AND($D161&lt;P$5+7,$E161&gt;P$5),"■","")))</x:f>
      </x:c>
      <x:c r="Q161" s="7" t="str">
        <x:f>IF(OR($D161="",Q$5="",'상세일정'!AM161="제외"),"",IF($D161=$E161,IF(AND($D161&gt;=Q$5,$D161&lt;Q$5+7),"◆",""),IF(AND($D161&lt;Q$5+7,$E161&gt;Q$5),"■","")))</x:f>
      </x:c>
      <x:c r="R161" s="7" t="str">
        <x:f>IF(OR($D161="",R$5="",'상세일정'!AM161="제외"),"",IF($D161=$E161,IF(AND($D161&gt;=R$5,$D161&lt;R$5+7),"◆",""),IF(AND($D161&lt;R$5+7,$E161&gt;R$5),"■","")))</x:f>
      </x:c>
      <x:c r="S161" s="7" t="str">
        <x:f>IF(OR($D161="",S$5="",'상세일정'!AM161="제외"),"",IF($D161=$E161,IF(AND($D161&gt;=S$5,$D161&lt;S$5+7),"◆",""),IF(AND($D161&lt;S$5+7,$E161&gt;S$5),"■","")))</x:f>
      </x:c>
      <x:c r="T161" s="7" t="str">
        <x:f>IF(OR($D161="",T$5="",'상세일정'!AM161="제외"),"",IF($D161=$E161,IF(AND($D161&gt;=T$5,$D161&lt;T$5+7),"◆",""),IF(AND($D161&lt;T$5+7,$E161&gt;T$5),"■","")))</x:f>
      </x:c>
      <x:c r="U161" s="7" t="str">
        <x:f>IF(OR($D161="",U$5="",'상세일정'!AM161="제외"),"",IF($D161=$E161,IF(AND($D161&gt;=U$5,$D161&lt;U$5+7),"◆",""),IF(AND($D161&lt;U$5+7,$E161&gt;U$5),"■","")))</x:f>
      </x:c>
      <x:c r="V161" s="7" t="str">
        <x:f>IF(OR($D161="",V$5="",'상세일정'!AM161="제외"),"",IF($D161=$E161,IF(AND($D161&gt;=V$5,$D161&lt;V$5+7),"◆",""),IF(AND($D161&lt;V$5+7,$E161&gt;V$5),"■","")))</x:f>
      </x:c>
      <x:c r="W161" s="7" t="str">
        <x:f>IF(OR($D161="",W$5="",'상세일정'!AM161="제외"),"",IF($D161=$E161,IF(AND($D161&gt;=W$5,$D161&lt;W$5+7),"◆",""),IF(AND($D161&lt;W$5+7,$E161&gt;W$5),"■","")))</x:f>
      </x:c>
      <x:c r="X161" s="7" t="str">
        <x:f>IF(OR($D161="",X$5="",'상세일정'!AM161="제외"),"",IF($D161=$E161,IF(AND($D161&gt;=X$5,$D161&lt;X$5+7),"◆",""),IF(AND($D161&lt;X$5+7,$E161&gt;X$5),"■","")))</x:f>
      </x:c>
      <x:c r="Y161" s="7" t="str">
        <x:f>IF(OR($D161="",Y$5="",'상세일정'!AM161="제외"),"",IF($D161=$E161,IF(AND($D161&gt;=Y$5,$D161&lt;Y$5+7),"◆",""),IF(AND($D161&lt;Y$5+7,$E161&gt;Y$5),"■","")))</x:f>
      </x:c>
      <x:c r="Z161" s="7" t="str">
        <x:f>IF(OR($D161="",Z$5="",'상세일정'!AM161="제외"),"",IF($D161=$E161,IF(AND($D161&gt;=Z$5,$D161&lt;Z$5+7),"◆",""),IF(AND($D161&lt;Z$5+7,$E161&gt;Z$5),"■","")))</x:f>
      </x:c>
      <x:c r="AA161" s="7" t="str">
        <x:f>IF(OR($D161="",AA$5="",'상세일정'!AM161="제외"),"",IF($D161=$E161,IF(AND($D161&gt;=AA$5,$D161&lt;AA$5+7),"◆",""),IF(AND($D161&lt;AA$5+7,$E161&gt;AA$5),"■","")))</x:f>
      </x:c>
      <x:c r="AB161" s="7" t="str">
        <x:f>IF(OR($D161="",AB$5="",'상세일정'!AM161="제외"),"",IF($D161=$E161,IF(AND($D161&gt;=AB$5,$D161&lt;AB$5+7),"◆",""),IF(AND($D161&lt;AB$5+7,$E161&gt;AB$5),"■","")))</x:f>
      </x:c>
      <x:c r="AC161" s="7" t="str">
        <x:f>IF(OR($D161="",AC$5="",'상세일정'!AM161="제외"),"",IF($D161=$E161,IF(AND($D161&gt;=AC$5,$D161&lt;AC$5+7),"◆",""),IF(AND($D161&lt;AC$5+7,$E161&gt;AC$5),"■","")))</x:f>
      </x:c>
      <x:c r="AD161" s="7" t="str">
        <x:f>IF(OR($D161="",AD$5="",'상세일정'!AM161="제외"),"",IF($D161=$E161,IF(AND($D161&gt;=AD$5,$D161&lt;AD$5+7),"◆",""),IF(AND($D161&lt;AD$5+7,$E161&gt;AD$5),"■","")))</x:f>
      </x:c>
      <x:c r="AE161" s="7" t="str">
        <x:f>IF(OR($D161="",AE$5="",'상세일정'!AM161="제외"),"",IF($D161=$E161,IF(AND($D161&gt;=AE$5,$D161&lt;AE$5+7),"◆",""),IF(AND($D161&lt;AE$5+7,$E161&gt;AE$5),"■","")))</x:f>
      </x:c>
      <x:c r="AF161" s="7" t="str">
        <x:f>IF(OR($D161="",AF$5="",'상세일정'!AM161="제외"),"",IF($D161=$E161,IF(AND($D161&gt;=AF$5,$D161&lt;AF$5+7),"◆",""),IF(AND($D161&lt;AF$5+7,$E161&gt;AF$5),"■","")))</x:f>
      </x:c>
      <x:c r="AG161" s="7" t="str">
        <x:f>IF(OR($D161="",AG$5="",'상세일정'!AM161="제외"),"",IF($D161=$E161,IF(AND($D161&gt;=AG$5,$D161&lt;AG$5+7),"◆",""),IF(AND($D161&lt;AG$5+7,$E161&gt;AG$5),"■","")))</x:f>
      </x:c>
      <x:c r="AH161" s="7" t="str">
        <x:f>IF(OR($D161="",AH$5="",'상세일정'!AM161="제외"),"",IF($D161=$E161,IF(AND($D161&gt;=AH$5,$D161&lt;AH$5+7),"◆",""),IF(AND($D161&lt;AH$5+7,$E161&gt;AH$5),"■","")))</x:f>
      </x:c>
      <x:c r="AI161" s="7" t="str">
        <x:f>IF(OR($D161="",AI$5="",'상세일정'!AM161="제외"),"",IF($D161=$E161,IF(AND($D161&gt;=AI$5,$D161&lt;AI$5+7),"◆",""),IF(AND($D161&lt;AI$5+7,$E161&gt;AI$5),"■","")))</x:f>
      </x:c>
      <x:c r="AJ161" s="7" t="str">
        <x:f>IF(OR($D161="",AJ$5="",'상세일정'!AM161="제외"),"",IF($D161=$E161,IF(AND($D161&gt;=AJ$5,$D161&lt;AJ$5+7),"◆",""),IF(AND($D161&lt;AJ$5+7,$E161&gt;AJ$5),"■","")))</x:f>
      </x:c>
      <x:c r="AK161" s="7" t="str">
        <x:f>IF(OR($D161="",AK$5="",'상세일정'!AM161="제외"),"",IF($D161=$E161,IF(AND($D161&gt;=AK$5,$D161&lt;AK$5+7),"◆",""),IF(AND($D161&lt;AK$5+7,$E161&gt;AK$5),"■","")))</x:f>
      </x:c>
      <x:c r="AL161" s="7" t="str">
        <x:f>IF(OR($D161="",AL$5="",'상세일정'!AM161="제외"),"",IF($D161=$E161,IF(AND($D161&gt;=AL$5,$D161&lt;AL$5+7),"◆",""),IF(AND($D161&lt;AL$5+7,$E161&gt;AL$5),"■","")))</x:f>
      </x:c>
      <x:c r="AM161" s="7" t="str">
        <x:f>IF(OR($D161="",AM$5="",'상세일정'!AM161="제외"),"",IF($D161=$E161,IF(AND($D161&gt;=AM$5,$D161&lt;AM$5+7),"◆",""),IF(AND($D161&lt;AM$5+7,$E161&gt;AM$5),"■","")))</x:f>
      </x:c>
      <x:c r="AN161" s="7" t="str">
        <x:f>IF(OR($D161="",AN$5="",'상세일정'!AM161="제외"),"",IF($D161=$E161,IF(AND($D161&gt;=AN$5,$D161&lt;AN$5+7),"◆",""),IF(AND($D161&lt;AN$5+7,$E161&gt;AN$5),"■","")))</x:f>
      </x:c>
      <x:c r="AO161" s="7" t="str">
        <x:f>IF(OR($D161="",AO$5="",'상세일정'!AM161="제외"),"",IF($D161=$E161,IF(AND($D161&gt;=AO$5,$D161&lt;AO$5+7),"◆",""),IF(AND($D161&lt;AO$5+7,$E161&gt;AO$5),"■","")))</x:f>
      </x:c>
      <x:c r="AP161" s="7" t="str">
        <x:f>IF(OR($D161="",AP$5="",'상세일정'!AM161="제외"),"",IF($D161=$E161,IF(AND($D161&gt;=AP$5,$D161&lt;AP$5+7),"◆",""),IF(AND($D161&lt;AP$5+7,$E161&gt;AP$5),"■","")))</x:f>
      </x:c>
      <x:c r="AQ161" s="7" t="str">
        <x:f>IF(OR($D161="",AQ$5="",'상세일정'!AM161="제외"),"",IF($D161=$E161,IF(AND($D161&gt;=AQ$5,$D161&lt;AQ$5+7),"◆",""),IF(AND($D161&lt;AQ$5+7,$E161&gt;AQ$5),"■","")))</x:f>
      </x:c>
      <x:c r="AR161" s="7" t="str">
        <x:f>IF(OR($D161="",AR$5="",'상세일정'!AM161="제외"),"",IF($D161=$E161,IF(AND($D161&gt;=AR$5,$D161&lt;AR$5+7),"◆",""),IF(AND($D161&lt;AR$5+7,$E161&gt;AR$5),"■","")))</x:f>
      </x:c>
      <x:c r="AS161" s="7" t="str">
        <x:f>IF(OR($D161="",AS$5="",'상세일정'!AM161="제외"),"",IF($D161=$E161,IF(AND($D161&gt;=AS$5,$D161&lt;AS$5+7),"◆",""),IF(AND($D161&lt;AS$5+7,$E161&gt;AS$5),"■","")))</x:f>
      </x:c>
      <x:c r="AT161" s="7" t="str">
        <x:f>IF(OR($D161="",AT$5="",'상세일정'!AM161="제외"),"",IF($D161=$E161,IF(AND($D161&gt;=AT$5,$D161&lt;AT$5+7),"◆",""),IF(AND($D161&lt;AT$5+7,$E161&gt;AT$5),"■","")))</x:f>
      </x:c>
      <x:c r="AU161" s="7" t="str">
        <x:f>IF(OR($D161="",AU$5="",'상세일정'!AM161="제외"),"",IF($D161=$E161,IF(AND($D161&gt;=AU$5,$D161&lt;AU$5+7),"◆",""),IF(AND($D161&lt;AU$5+7,$E161&gt;AU$5),"■","")))</x:f>
      </x:c>
      <x:c r="AV161" s="7" t="str">
        <x:f>IF(OR($D161="",AV$5="",'상세일정'!AM161="제외"),"",IF($D161=$E161,IF(AND($D161&gt;=AV$5,$D161&lt;AV$5+7),"◆",""),IF(AND($D161&lt;AV$5+7,$E161&gt;AV$5),"■","")))</x:f>
      </x:c>
      <x:c r="AW161" s="7" t="str">
        <x:f>IF(OR($D161="",AW$5="",'상세일정'!AM161="제외"),"",IF($D161=$E161,IF(AND($D161&gt;=AW$5,$D161&lt;AW$5+7),"◆",""),IF(AND($D161&lt;AW$5+7,$E161&gt;AW$5),"■","")))</x:f>
      </x:c>
      <x:c r="AX161" s="7" t="str">
        <x:f>IF(OR($D161="",AX$5="",'상세일정'!AM161="제외"),"",IF($D161=$E161,IF(AND($D161&gt;=AX$5,$D161&lt;AX$5+7),"◆",""),IF(AND($D161&lt;AX$5+7,$E161&gt;AX$5),"■","")))</x:f>
      </x:c>
      <x:c r="AY161" s="7" t="str">
        <x:f>IF(OR($D161="",AY$5="",'상세일정'!AM161="제외"),"",IF($D161=$E161,IF(AND($D161&gt;=AY$5,$D161&lt;AY$5+7),"◆",""),IF(AND($D161&lt;AY$5+7,$E161&gt;AY$5),"■","")))</x:f>
      </x:c>
      <x:c r="AZ161" s="7" t="str">
        <x:f>IF(OR($D161="",AZ$5="",'상세일정'!AM161="제외"),"",IF($D161=$E161,IF(AND($D161&gt;=AZ$5,$D161&lt;AZ$5+7),"◆",""),IF(AND($D161&lt;AZ$5+7,$E161&gt;AZ$5),"■","")))</x:f>
      </x:c>
      <x:c r="BA161" s="7" t="str">
        <x:f>IF(OR($D161="",BA$5="",'상세일정'!AM161="제외"),"",IF($D161=$E161,IF(AND($D161&gt;=BA$5,$D161&lt;BA$5+7),"◆",""),IF(AND($D161&lt;BA$5+7,$E161&gt;BA$5),"■","")))</x:f>
      </x:c>
      <x:c r="BB161" s="7" t="str">
        <x:f>IF(OR($D161="",BB$5="",'상세일정'!AM161="제외"),"",IF($D161=$E161,IF(AND($D161&gt;=BB$5,$D161&lt;BB$5+7),"◆",""),IF(AND($D161&lt;BB$5+7,$E161&gt;BB$5),"■","")))</x:f>
      </x:c>
      <x:c r="BC161" s="7" t="str">
        <x:f>IF(OR($D161="",BC$5="",'상세일정'!AM161="제외"),"",IF($D161=$E161,IF(AND($D161&gt;=BC$5,$D161&lt;BC$5+7),"◆",""),IF(AND($D161&lt;BC$5+7,$E161&gt;BC$5),"■","")))</x:f>
      </x:c>
      <x:c r="BD161" s="7" t="str">
        <x:f>IF(OR($D161="",BD$5="",'상세일정'!AM161="제외"),"",IF($D161=$E161,IF(AND($D161&gt;=BD$5,$D161&lt;BD$5+7),"◆",""),IF(AND($D161&lt;BD$5+7,$E161&gt;BD$5),"■","")))</x:f>
      </x:c>
      <x:c r="BE161" s="7" t="str">
        <x:f>IF(OR($D161="",BE$5="",'상세일정'!AM161="제외"),"",IF($D161=$E161,IF(AND($D161&gt;=BE$5,$D161&lt;BE$5+7),"◆",""),IF(AND($D161&lt;BE$5+7,$E161&gt;BE$5),"■","")))</x:f>
      </x:c>
      <x:c r="BF161" s="7" t="str">
        <x:f>IF(OR($D161="",BF$5="",'상세일정'!AM161="제외"),"",IF($D161=$E161,IF(AND($D161&gt;=BF$5,$D161&lt;BF$5+7),"◆",""),IF(AND($D161&lt;BF$5+7,$E161&gt;BF$5),"■","")))</x:f>
      </x:c>
      <x:c r="BG161" s="7" t="str">
        <x:f>IF(OR($D161="",BG$5="",'상세일정'!AM161="제외"),"",IF($D161=$E161,IF(AND($D161&gt;=BG$5,$D161&lt;BG$5+7),"◆",""),IF(AND($D161&lt;BG$5+7,$E161&gt;BG$5),"■","")))</x:f>
      </x:c>
      <x:c r="BH161" s="7" t="str">
        <x:f>IF(OR($D161="",BH$5="",'상세일정'!AM161="제외"),"",IF($D161=$E161,IF(AND($D161&gt;=BH$5,$D161&lt;BH$5+7),"◆",""),IF(AND($D161&lt;BH$5+7,$E161&gt;BH$5),"■","")))</x:f>
      </x:c>
      <x:c r="BI161" s="7" t="str">
        <x:f>IF(OR($D161="",BI$5="",'상세일정'!AM161="제외"),"",IF($D161=$E161,IF(AND($D161&gt;=BI$5,$D161&lt;BI$5+7),"◆",""),IF(AND($D161&lt;BI$5+7,$E161&gt;BI$5),"■","")))</x:f>
      </x:c>
      <x:c r="BJ161" s="7" t="str">
        <x:f>IF(OR($D161="",BJ$5="",'상세일정'!AM161="제외"),"",IF($D161=$E161,IF(AND($D161&gt;=BJ$5,$D161&lt;BJ$5+7),"◆",""),IF(AND($D161&lt;BJ$5+7,$E161&gt;BJ$5),"■","")))</x:f>
      </x:c>
      <x:c r="BK161" s="7" t="str">
        <x:f>IF(OR($D161="",BK$5="",'상세일정'!AM161="제외"),"",IF($D161=$E161,IF(AND($D161&gt;=BK$5,$D161&lt;BK$5+7),"◆",""),IF(AND($D161&lt;BK$5+7,$E161&gt;BK$5),"■","")))</x:f>
      </x:c>
      <x:c r="BL161" s="7" t="str">
        <x:f>IF(OR($D161="",BL$5="",'상세일정'!AM161="제외"),"",IF($D161=$E161,IF(AND($D161&gt;=BL$5,$D161&lt;BL$5+7),"◆",""),IF(AND($D161&lt;BL$5+7,$E161&gt;BL$5),"■","")))</x:f>
      </x:c>
      <x:c r="BM161" s="7" t="str">
        <x:f>IF(OR($D161="",BM$5="",'상세일정'!AM161="제외"),"",IF($D161=$E161,IF(AND($D161&gt;=BM$5,$D161&lt;BM$5+7),"◆",""),IF(AND($D161&lt;BM$5+7,$E161&gt;BM$5),"■","")))</x:f>
      </x:c>
      <x:c r="BN161" s="7" t="str">
        <x:f>IF(OR($D161="",BN$5="",'상세일정'!AM161="제외"),"",IF($D161=$E161,IF(AND($D161&gt;=BN$5,$D161&lt;BN$5+7),"◆",""),IF(AND($D161&lt;BN$5+7,$E161&gt;BN$5),"■","")))</x:f>
      </x:c>
      <x:c r="BO161" s="7" t="str">
        <x:f>IF(OR($D161="",BO$5="",'상세일정'!AM161="제외"),"",IF($D161=$E161,IF(AND($D161&gt;=BO$5,$D161&lt;BO$5+7),"◆",""),IF(AND($D161&lt;BO$5+7,$E161&gt;BO$5),"■","")))</x:f>
      </x:c>
      <x:c r="BP161" s="7" t="str">
        <x:f>IF(OR($D161="",BP$5="",'상세일정'!AM161="제외"),"",IF($D161=$E161,IF(AND($D161&gt;=BP$5,$D161&lt;BP$5+7),"◆",""),IF(AND($D161&lt;BP$5+7,$E161&gt;BP$5),"■","")))</x:f>
      </x:c>
      <x:c r="BQ161" s="7" t="str">
        <x:f>IF(OR($D161="",BQ$5="",'상세일정'!AM161="제외"),"",IF($D161=$E161,IF(AND($D161&gt;=BQ$5,$D161&lt;BQ$5+7),"◆",""),IF(AND($D161&lt;BQ$5+7,$E161&gt;BQ$5),"■","")))</x:f>
      </x:c>
      <x:c r="BR161" s="7" t="str">
        <x:f>IF(OR($D161="",BR$5="",'상세일정'!AM161="제외"),"",IF($D161=$E161,IF(AND($D161&gt;=BR$5,$D161&lt;BR$5+7),"◆",""),IF(AND($D161&lt;BR$5+7,$E161&gt;BR$5),"■","")))</x:f>
      </x:c>
      <x:c r="BS161" s="7" t="str">
        <x:f>IF(OR($D161="",BS$5="",'상세일정'!AM161="제외"),"",IF($D161=$E161,IF(AND($D161&gt;=BS$5,$D161&lt;BS$5+7),"◆",""),IF(AND($D161&lt;BS$5+7,$E161&gt;BS$5),"■","")))</x:f>
      </x:c>
      <x:c r="BT161" s="7" t="str">
        <x:f>IF(OR($D161="",BT$5="",'상세일정'!AM161="제외"),"",IF($D161=$E161,IF(AND($D161&gt;=BT$5,$D161&lt;BT$5+7),"◆",""),IF(AND($D161&lt;BT$5+7,$E161&gt;BT$5),"■","")))</x:f>
      </x:c>
      <x:c r="BU161" s="7" t="str">
        <x:f>IF(OR($D161="",BU$5="",'상세일정'!AM161="제외"),"",IF($D161=$E161,IF(AND($D161&gt;=BU$5,$D161&lt;BU$5+7),"◆",""),IF(AND($D161&lt;BU$5+7,$E161&gt;BU$5),"■","")))</x:f>
      </x:c>
      <x:c r="BV161" s="7" t="str">
        <x:f>IF(OR($D161="",BV$5="",'상세일정'!AM161="제외"),"",IF($D161=$E161,IF(AND($D161&gt;=BV$5,$D161&lt;BV$5+7),"◆",""),IF(AND($D161&lt;BV$5+7,$E161&gt;BV$5),"■","")))</x:f>
      </x:c>
      <x:c r="BW161" s="7" t="str">
        <x:f>IF(OR($D161="",BW$5="",'상세일정'!AM161="제외"),"",IF($D161=$E161,IF(AND($D161&gt;=BW$5,$D161&lt;BW$5+7),"◆",""),IF(AND($D161&lt;BW$5+7,$E161&gt;BW$5),"■","")))</x:f>
      </x:c>
      <x:c r="BX161" s="7" t="str">
        <x:f>IF(OR($D161="",BX$5="",'상세일정'!AM161="제외"),"",IF($D161=$E161,IF(AND($D161&gt;=BX$5,$D161&lt;BX$5+7),"◆",""),IF(AND($D161&lt;BX$5+7,$E161&gt;BX$5),"■","")))</x:f>
      </x:c>
      <x:c r="BY161" s="7" t="str">
        <x:f>IF(OR($D161="",BY$5="",'상세일정'!AM161="제외"),"",IF($D161=$E161,IF(AND($D161&gt;=BY$5,$D161&lt;BY$5+7),"◆",""),IF(AND($D161&lt;BY$5+7,$E161&gt;BY$5),"■","")))</x:f>
      </x:c>
      <x:c r="BZ161" s="7" t="str">
        <x:f>IF(OR($D161="",BZ$5="",'상세일정'!AM161="제외"),"",IF($D161=$E161,IF(AND($D161&gt;=BZ$5,$D161&lt;BZ$5+7),"◆",""),IF(AND($D161&lt;BZ$5+7,$E161&gt;BZ$5),"■","")))</x:f>
      </x:c>
      <x:c r="CA161" s="7" t="str">
        <x:f>IF(OR($D161="",CA$5="",'상세일정'!AM161="제외"),"",IF($D161=$E161,IF(AND($D161&gt;=CA$5,$D161&lt;CA$5+7),"◆",""),IF(AND($D161&lt;CA$5+7,$E161&gt;CA$5),"■","")))</x:f>
      </x:c>
      <x:c r="CB161" s="7" t="str">
        <x:f>IF(OR($D161="",CB$5="",'상세일정'!AM161="제외"),"",IF($D161=$E161,IF(AND($D161&gt;=CB$5,$D161&lt;CB$5+7),"◆",""),IF(AND($D161&lt;CB$5+7,$E161&gt;CB$5),"■","")))</x:f>
      </x:c>
      <x:c r="CC161" s="7" t="str">
        <x:f>IF(OR($D161="",CC$5="",'상세일정'!AM161="제외"),"",IF($D161=$E161,IF(AND($D161&gt;=CC$5,$D161&lt;CC$5+7),"◆",""),IF(AND($D161&lt;CC$5+7,$E161&gt;CC$5),"■","")))</x:f>
      </x:c>
      <x:c r="CD161" s="7" t="str">
        <x:f>IF(OR($D161="",CD$5="",'상세일정'!AM161="제외"),"",IF($D161=$E161,IF(AND($D161&gt;=CD$5,$D161&lt;CD$5+7),"◆",""),IF(AND($D161&lt;CD$5+7,$E161&gt;CD$5),"■","")))</x:f>
      </x:c>
      <x:c r="CE161" s="7" t="str">
        <x:f>IF(OR($D161="",CE$5="",'상세일정'!AM161="제외"),"",IF($D161=$E161,IF(AND($D161&gt;=CE$5,$D161&lt;CE$5+7),"◆",""),IF(AND($D161&lt;CE$5+7,$E161&gt;CE$5),"■","")))</x:f>
      </x:c>
      <x:c r="CF161" s="7" t="str">
        <x:f>IF(OR($D161="",CF$5="",'상세일정'!AM161="제외"),"",IF($D161=$E161,IF(AND($D161&gt;=CF$5,$D161&lt;CF$5+7),"◆",""),IF(AND($D161&lt;CF$5+7,$E161&gt;CF$5),"■","")))</x:f>
      </x:c>
      <x:c r="CG161" s="7" t="str">
        <x:f>IF(OR($D161="",CG$5="",'상세일정'!AM161="제외"),"",IF($D161=$E161,IF(AND($D161&gt;=CG$5,$D161&lt;CG$5+7),"◆",""),IF(AND($D161&lt;CG$5+7,$E161&gt;CG$5),"■","")))</x:f>
      </x:c>
      <x:c r="CH161" s="7" t="str">
        <x:f>IF(OR($D161="",CH$5="",'상세일정'!AM161="제외"),"",IF($D161=$E161,IF(AND($D161&gt;=CH$5,$D161&lt;CH$5+7),"◆",""),IF(AND($D161&lt;CH$5+7,$E161&gt;CH$5),"■","")))</x:f>
      </x:c>
      <x:c r="CI161" s="7" t="str">
        <x:f>IF(OR($D161="",CI$5="",'상세일정'!AM161="제외"),"",IF($D161=$E161,IF(AND($D161&gt;=CI$5,$D161&lt;CI$5+7),"◆",""),IF(AND($D161&lt;CI$5+7,$E161&gt;CI$5),"■","")))</x:f>
      </x:c>
      <x:c r="CJ161" s="7" t="str">
        <x:f>IF(OR($D161="",CJ$5="",'상세일정'!AM161="제외"),"",IF($D161=$E161,IF(AND($D161&gt;=CJ$5,$D161&lt;CJ$5+7),"◆",""),IF(AND($D161&lt;CJ$5+7,$E161&gt;CJ$5),"■","")))</x:f>
      </x:c>
      <x:c r="CK161" s="7" t="str">
        <x:f>IF(OR($D161="",CK$5="",'상세일정'!AM161="제외"),"",IF($D161=$E161,IF(AND($D161&gt;=CK$5,$D161&lt;CK$5+7),"◆",""),IF(AND($D161&lt;CK$5+7,$E161&gt;CK$5),"■","")))</x:f>
      </x:c>
      <x:c r="CL161" s="7" t="str">
        <x:f>IF(OR($D161="",CL$5="",'상세일정'!AM161="제외"),"",IF($D161=$E161,IF(AND($D161&gt;=CL$5,$D161&lt;CL$5+7),"◆",""),IF(AND($D161&lt;CL$5+7,$E161&gt;CL$5),"■","")))</x:f>
      </x:c>
      <x:c r="CM161" s="7" t="str">
        <x:f>IF(OR($D161="",CM$5="",'상세일정'!AM161="제외"),"",IF($D161=$E161,IF(AND($D161&gt;=CM$5,$D161&lt;CM$5+7),"◆",""),IF(AND($D161&lt;CM$5+7,$E161&gt;CM$5),"■","")))</x:f>
      </x:c>
      <x:c r="CN161" s="7" t="str">
        <x:f>IF(OR($D161="",CN$5="",'상세일정'!AM161="제외"),"",IF($D161=$E161,IF(AND($D161&gt;=CN$5,$D161&lt;CN$5+7),"◆",""),IF(AND($D161&lt;CN$5+7,$E161&gt;CN$5),"■","")))</x:f>
      </x:c>
      <x:c r="CO161" s="7" t="str">
        <x:f>IF(OR($D161="",CO$5="",'상세일정'!AM161="제외"),"",IF($D161=$E161,IF(AND($D161&gt;=CO$5,$D161&lt;CO$5+7),"◆",""),IF(AND($D161&lt;CO$5+7,$E161&gt;CO$5),"■","")))</x:f>
      </x:c>
      <x:c r="CP161" s="7" t="str">
        <x:f>IF(OR($D161="",CP$5="",'상세일정'!AM161="제외"),"",IF($D161=$E161,IF(AND($D161&gt;=CP$5,$D161&lt;CP$5+7),"◆",""),IF(AND($D161&lt;CP$5+7,$E161&gt;CP$5),"■","")))</x:f>
      </x:c>
      <x:c r="CQ161" s="7" t="str">
        <x:f>IF(OR($D161="",CQ$5="",'상세일정'!AM161="제외"),"",IF($D161=$E161,IF(AND($D161&gt;=CQ$5,$D161&lt;CQ$5+7),"◆",""),IF(AND($D161&lt;CQ$5+7,$E161&gt;CQ$5),"■","")))</x:f>
      </x:c>
      <x:c r="CR161" s="7" t="str">
        <x:f>IF(OR($D161="",CR$5="",'상세일정'!AM161="제외"),"",IF($D161=$E161,IF(AND($D161&gt;=CR$5,$D161&lt;CR$5+7),"◆",""),IF(AND($D161&lt;CR$5+7,$E161&gt;CR$5),"■","")))</x:f>
      </x:c>
      <x:c r="CS161" s="7" t="str">
        <x:f>IF(OR($D161="",CS$5="",'상세일정'!AM161="제외"),"",IF($D161=$E161,IF(AND($D161&gt;=CS$5,$D161&lt;CS$5+7),"◆",""),IF(AND($D161&lt;CS$5+7,$E161&gt;CS$5),"■","")))</x:f>
      </x:c>
      <x:c r="CT161" s="7" t="str">
        <x:f>IF(OR($D161="",CT$5="",'상세일정'!AM161="제외"),"",IF($D161=$E161,IF(AND($D161&gt;=CT$5,$D161&lt;CT$5+7),"◆",""),IF(AND($D161&lt;CT$5+7,$E161&gt;CT$5),"■","")))</x:f>
      </x:c>
      <x:c r="CU161" s="7" t="str">
        <x:f>IF(OR($D161="",CU$5="",'상세일정'!AM161="제외"),"",IF($D161=$E161,IF(AND($D161&gt;=CU$5,$D161&lt;CU$5+7),"◆",""),IF(AND($D161&lt;CU$5+7,$E161&gt;CU$5),"■","")))</x:f>
      </x:c>
      <x:c r="CV161" s="7" t="str">
        <x:f>IF(OR($D161="",CV$5="",'상세일정'!AM161="제외"),"",IF($D161=$E161,IF(AND($D161&gt;=CV$5,$D161&lt;CV$5+7),"◆",""),IF(AND($D161&lt;CV$5+7,$E161&gt;CV$5),"■","")))</x:f>
      </x:c>
      <x:c r="CW161" s="7" t="str">
        <x:f>IF(OR($D161="",CW$5="",'상세일정'!AM161="제외"),"",IF($D161=$E161,IF(AND($D161&gt;=CW$5,$D161&lt;CW$5+7),"◆",""),IF(AND($D161&lt;CW$5+7,$E161&gt;CW$5),"■","")))</x:f>
      </x:c>
      <x:c r="CX161" s="7" t="str">
        <x:f>IF(OR($D161="",CX$5="",'상세일정'!AM161="제외"),"",IF($D161=$E161,IF(AND($D161&gt;=CX$5,$D161&lt;CX$5+7),"◆",""),IF(AND($D161&lt;CX$5+7,$E161&gt;CX$5),"■","")))</x:f>
      </x:c>
      <x:c r="CY161" s="7" t="str">
        <x:f>IF(OR($D161="",CY$5="",'상세일정'!AM161="제외"),"",IF($D161=$E161,IF(AND($D161&gt;=CY$5,$D161&lt;CY$5+7),"◆",""),IF(AND($D161&lt;CY$5+7,$E161&gt;CY$5),"■","")))</x:f>
      </x:c>
      <x:c r="CZ161" s="7" t="str">
        <x:f>IF(OR($D161="",CZ$5="",'상세일정'!AM161="제외"),"",IF($D161=$E161,IF(AND($D161&gt;=CZ$5,$D161&lt;CZ$5+7),"◆",""),IF(AND($D161&lt;CZ$5+7,$E161&gt;CZ$5),"■","")))</x:f>
      </x:c>
      <x:c r="DA161" s="7" t="str">
        <x:f>IF(OR($D161="",DA$5="",'상세일정'!AM161="제외"),"",IF($D161=$E161,IF(AND($D161&gt;=DA$5,$D161&lt;DA$5+7),"◆",""),IF(AND($D161&lt;DA$5+7,$E161&gt;DA$5),"■","")))</x:f>
      </x:c>
      <x:c r="DB161" s="7" t="str">
        <x:f>IF(OR($D161="",DB$5="",'상세일정'!AM161="제외"),"",IF($D161=$E161,IF(AND($D161&gt;=DB$5,$D161&lt;DB$5+7),"◆",""),IF(AND($D161&lt;DB$5+7,$E161&gt;DB$5),"■","")))</x:f>
      </x:c>
      <x:c r="DC161" s="7" t="str">
        <x:f>IF(OR($D161="",DC$5="",'상세일정'!AM161="제외"),"",IF($D161=$E161,IF(AND($D161&gt;=DC$5,$D161&lt;DC$5+7),"◆",""),IF(AND($D161&lt;DC$5+7,$E161&gt;DC$5),"■","")))</x:f>
      </x:c>
      <x:c r="DD161" s="7" t="str">
        <x:f>IF(OR($D161="",DD$5="",'상세일정'!AM161="제외"),"",IF($D161=$E161,IF(AND($D161&gt;=DD$5,$D161&lt;DD$5+7),"◆",""),IF(AND($D161&lt;DD$5+7,$E161&gt;DD$5),"■","")))</x:f>
      </x:c>
      <x:c r="DE161" s="7" t="str">
        <x:f>IF(OR($D161="",DE$5="",'상세일정'!AM161="제외"),"",IF($D161=$E161,IF(AND($D161&gt;=DE$5,$D161&lt;DE$5+7),"◆",""),IF(AND($D161&lt;DE$5+7,$E161&gt;DE$5),"■","")))</x:f>
      </x:c>
    </x:row>
    <x:row r="162" ht="34" customHeight="1">
      <x:c r="A162" s="7" t="str">
        <x:v>CN06</x:v>
      </x:c>
      <x:c r="B162" s="7" t="str">
        <x:v>17 토공·기초</x:v>
      </x:c>
      <x:c r="C162" s="7" t="str">
        <x:v>KGS 기초 중간검사 및 지적조치</x:v>
      </x:c>
      <x:c r="D162" s="10" t="str">
        <x:f>'상세일정'!AJ162</x:f>
      </x:c>
      <x:c r="E162" s="10" t="str">
        <x:f>'상세일정'!AK162</x:f>
      </x:c>
      <x:c r="F162" s="7" t="str">
        <x:f>IF(OR($D162="",F$5="",'상세일정'!AM162="제외"),"",IF($D162=$E162,IF(AND($D162&gt;=F$5,$D162&lt;F$5+7),"◆",""),IF(AND($D162&lt;F$5+7,$E162&gt;F$5),"■","")))</x:f>
      </x:c>
      <x:c r="G162" s="7" t="str">
        <x:f>IF(OR($D162="",G$5="",'상세일정'!AM162="제외"),"",IF($D162=$E162,IF(AND($D162&gt;=G$5,$D162&lt;G$5+7),"◆",""),IF(AND($D162&lt;G$5+7,$E162&gt;G$5),"■","")))</x:f>
      </x:c>
      <x:c r="H162" s="7" t="str">
        <x:f>IF(OR($D162="",H$5="",'상세일정'!AM162="제외"),"",IF($D162=$E162,IF(AND($D162&gt;=H$5,$D162&lt;H$5+7),"◆",""),IF(AND($D162&lt;H$5+7,$E162&gt;H$5),"■","")))</x:f>
      </x:c>
      <x:c r="I162" s="7" t="str">
        <x:f>IF(OR($D162="",I$5="",'상세일정'!AM162="제외"),"",IF($D162=$E162,IF(AND($D162&gt;=I$5,$D162&lt;I$5+7),"◆",""),IF(AND($D162&lt;I$5+7,$E162&gt;I$5),"■","")))</x:f>
      </x:c>
      <x:c r="J162" s="7" t="str">
        <x:f>IF(OR($D162="",J$5="",'상세일정'!AM162="제외"),"",IF($D162=$E162,IF(AND($D162&gt;=J$5,$D162&lt;J$5+7),"◆",""),IF(AND($D162&lt;J$5+7,$E162&gt;J$5),"■","")))</x:f>
      </x:c>
      <x:c r="K162" s="7" t="str">
        <x:f>IF(OR($D162="",K$5="",'상세일정'!AM162="제외"),"",IF($D162=$E162,IF(AND($D162&gt;=K$5,$D162&lt;K$5+7),"◆",""),IF(AND($D162&lt;K$5+7,$E162&gt;K$5),"■","")))</x:f>
      </x:c>
      <x:c r="L162" s="7" t="str">
        <x:f>IF(OR($D162="",L$5="",'상세일정'!AM162="제외"),"",IF($D162=$E162,IF(AND($D162&gt;=L$5,$D162&lt;L$5+7),"◆",""),IF(AND($D162&lt;L$5+7,$E162&gt;L$5),"■","")))</x:f>
      </x:c>
      <x:c r="M162" s="7" t="str">
        <x:f>IF(OR($D162="",M$5="",'상세일정'!AM162="제외"),"",IF($D162=$E162,IF(AND($D162&gt;=M$5,$D162&lt;M$5+7),"◆",""),IF(AND($D162&lt;M$5+7,$E162&gt;M$5),"■","")))</x:f>
      </x:c>
      <x:c r="N162" s="7" t="str">
        <x:f>IF(OR($D162="",N$5="",'상세일정'!AM162="제외"),"",IF($D162=$E162,IF(AND($D162&gt;=N$5,$D162&lt;N$5+7),"◆",""),IF(AND($D162&lt;N$5+7,$E162&gt;N$5),"■","")))</x:f>
      </x:c>
      <x:c r="O162" s="7" t="str">
        <x:f>IF(OR($D162="",O$5="",'상세일정'!AM162="제외"),"",IF($D162=$E162,IF(AND($D162&gt;=O$5,$D162&lt;O$5+7),"◆",""),IF(AND($D162&lt;O$5+7,$E162&gt;O$5),"■","")))</x:f>
      </x:c>
      <x:c r="P162" s="7" t="str">
        <x:f>IF(OR($D162="",P$5="",'상세일정'!AM162="제외"),"",IF($D162=$E162,IF(AND($D162&gt;=P$5,$D162&lt;P$5+7),"◆",""),IF(AND($D162&lt;P$5+7,$E162&gt;P$5),"■","")))</x:f>
      </x:c>
      <x:c r="Q162" s="7" t="str">
        <x:f>IF(OR($D162="",Q$5="",'상세일정'!AM162="제외"),"",IF($D162=$E162,IF(AND($D162&gt;=Q$5,$D162&lt;Q$5+7),"◆",""),IF(AND($D162&lt;Q$5+7,$E162&gt;Q$5),"■","")))</x:f>
      </x:c>
      <x:c r="R162" s="7" t="str">
        <x:f>IF(OR($D162="",R$5="",'상세일정'!AM162="제외"),"",IF($D162=$E162,IF(AND($D162&gt;=R$5,$D162&lt;R$5+7),"◆",""),IF(AND($D162&lt;R$5+7,$E162&gt;R$5),"■","")))</x:f>
      </x:c>
      <x:c r="S162" s="7" t="str">
        <x:f>IF(OR($D162="",S$5="",'상세일정'!AM162="제외"),"",IF($D162=$E162,IF(AND($D162&gt;=S$5,$D162&lt;S$5+7),"◆",""),IF(AND($D162&lt;S$5+7,$E162&gt;S$5),"■","")))</x:f>
      </x:c>
      <x:c r="T162" s="7" t="str">
        <x:f>IF(OR($D162="",T$5="",'상세일정'!AM162="제외"),"",IF($D162=$E162,IF(AND($D162&gt;=T$5,$D162&lt;T$5+7),"◆",""),IF(AND($D162&lt;T$5+7,$E162&gt;T$5),"■","")))</x:f>
      </x:c>
      <x:c r="U162" s="7" t="str">
        <x:f>IF(OR($D162="",U$5="",'상세일정'!AM162="제외"),"",IF($D162=$E162,IF(AND($D162&gt;=U$5,$D162&lt;U$5+7),"◆",""),IF(AND($D162&lt;U$5+7,$E162&gt;U$5),"■","")))</x:f>
      </x:c>
      <x:c r="V162" s="7" t="str">
        <x:f>IF(OR($D162="",V$5="",'상세일정'!AM162="제외"),"",IF($D162=$E162,IF(AND($D162&gt;=V$5,$D162&lt;V$5+7),"◆",""),IF(AND($D162&lt;V$5+7,$E162&gt;V$5),"■","")))</x:f>
      </x:c>
      <x:c r="W162" s="7" t="str">
        <x:f>IF(OR($D162="",W$5="",'상세일정'!AM162="제외"),"",IF($D162=$E162,IF(AND($D162&gt;=W$5,$D162&lt;W$5+7),"◆",""),IF(AND($D162&lt;W$5+7,$E162&gt;W$5),"■","")))</x:f>
      </x:c>
      <x:c r="X162" s="7" t="str">
        <x:f>IF(OR($D162="",X$5="",'상세일정'!AM162="제외"),"",IF($D162=$E162,IF(AND($D162&gt;=X$5,$D162&lt;X$5+7),"◆",""),IF(AND($D162&lt;X$5+7,$E162&gt;X$5),"■","")))</x:f>
      </x:c>
      <x:c r="Y162" s="7" t="str">
        <x:f>IF(OR($D162="",Y$5="",'상세일정'!AM162="제외"),"",IF($D162=$E162,IF(AND($D162&gt;=Y$5,$D162&lt;Y$5+7),"◆",""),IF(AND($D162&lt;Y$5+7,$E162&gt;Y$5),"■","")))</x:f>
      </x:c>
      <x:c r="Z162" s="7" t="str">
        <x:f>IF(OR($D162="",Z$5="",'상세일정'!AM162="제외"),"",IF($D162=$E162,IF(AND($D162&gt;=Z$5,$D162&lt;Z$5+7),"◆",""),IF(AND($D162&lt;Z$5+7,$E162&gt;Z$5),"■","")))</x:f>
      </x:c>
      <x:c r="AA162" s="7" t="str">
        <x:f>IF(OR($D162="",AA$5="",'상세일정'!AM162="제외"),"",IF($D162=$E162,IF(AND($D162&gt;=AA$5,$D162&lt;AA$5+7),"◆",""),IF(AND($D162&lt;AA$5+7,$E162&gt;AA$5),"■","")))</x:f>
      </x:c>
      <x:c r="AB162" s="7" t="str">
        <x:f>IF(OR($D162="",AB$5="",'상세일정'!AM162="제외"),"",IF($D162=$E162,IF(AND($D162&gt;=AB$5,$D162&lt;AB$5+7),"◆",""),IF(AND($D162&lt;AB$5+7,$E162&gt;AB$5),"■","")))</x:f>
      </x:c>
      <x:c r="AC162" s="7" t="str">
        <x:f>IF(OR($D162="",AC$5="",'상세일정'!AM162="제외"),"",IF($D162=$E162,IF(AND($D162&gt;=AC$5,$D162&lt;AC$5+7),"◆",""),IF(AND($D162&lt;AC$5+7,$E162&gt;AC$5),"■","")))</x:f>
      </x:c>
      <x:c r="AD162" s="7" t="str">
        <x:f>IF(OR($D162="",AD$5="",'상세일정'!AM162="제외"),"",IF($D162=$E162,IF(AND($D162&gt;=AD$5,$D162&lt;AD$5+7),"◆",""),IF(AND($D162&lt;AD$5+7,$E162&gt;AD$5),"■","")))</x:f>
      </x:c>
      <x:c r="AE162" s="7" t="str">
        <x:f>IF(OR($D162="",AE$5="",'상세일정'!AM162="제외"),"",IF($D162=$E162,IF(AND($D162&gt;=AE$5,$D162&lt;AE$5+7),"◆",""),IF(AND($D162&lt;AE$5+7,$E162&gt;AE$5),"■","")))</x:f>
      </x:c>
      <x:c r="AF162" s="7" t="str">
        <x:f>IF(OR($D162="",AF$5="",'상세일정'!AM162="제외"),"",IF($D162=$E162,IF(AND($D162&gt;=AF$5,$D162&lt;AF$5+7),"◆",""),IF(AND($D162&lt;AF$5+7,$E162&gt;AF$5),"■","")))</x:f>
      </x:c>
      <x:c r="AG162" s="7" t="str">
        <x:f>IF(OR($D162="",AG$5="",'상세일정'!AM162="제외"),"",IF($D162=$E162,IF(AND($D162&gt;=AG$5,$D162&lt;AG$5+7),"◆",""),IF(AND($D162&lt;AG$5+7,$E162&gt;AG$5),"■","")))</x:f>
      </x:c>
      <x:c r="AH162" s="7" t="str">
        <x:f>IF(OR($D162="",AH$5="",'상세일정'!AM162="제외"),"",IF($D162=$E162,IF(AND($D162&gt;=AH$5,$D162&lt;AH$5+7),"◆",""),IF(AND($D162&lt;AH$5+7,$E162&gt;AH$5),"■","")))</x:f>
      </x:c>
      <x:c r="AI162" s="7" t="str">
        <x:f>IF(OR($D162="",AI$5="",'상세일정'!AM162="제외"),"",IF($D162=$E162,IF(AND($D162&gt;=AI$5,$D162&lt;AI$5+7),"◆",""),IF(AND($D162&lt;AI$5+7,$E162&gt;AI$5),"■","")))</x:f>
      </x:c>
      <x:c r="AJ162" s="7" t="str">
        <x:f>IF(OR($D162="",AJ$5="",'상세일정'!AM162="제외"),"",IF($D162=$E162,IF(AND($D162&gt;=AJ$5,$D162&lt;AJ$5+7),"◆",""),IF(AND($D162&lt;AJ$5+7,$E162&gt;AJ$5),"■","")))</x:f>
      </x:c>
      <x:c r="AK162" s="7" t="str">
        <x:f>IF(OR($D162="",AK$5="",'상세일정'!AM162="제외"),"",IF($D162=$E162,IF(AND($D162&gt;=AK$5,$D162&lt;AK$5+7),"◆",""),IF(AND($D162&lt;AK$5+7,$E162&gt;AK$5),"■","")))</x:f>
      </x:c>
      <x:c r="AL162" s="7" t="str">
        <x:f>IF(OR($D162="",AL$5="",'상세일정'!AM162="제외"),"",IF($D162=$E162,IF(AND($D162&gt;=AL$5,$D162&lt;AL$5+7),"◆",""),IF(AND($D162&lt;AL$5+7,$E162&gt;AL$5),"■","")))</x:f>
      </x:c>
      <x:c r="AM162" s="7" t="str">
        <x:f>IF(OR($D162="",AM$5="",'상세일정'!AM162="제외"),"",IF($D162=$E162,IF(AND($D162&gt;=AM$5,$D162&lt;AM$5+7),"◆",""),IF(AND($D162&lt;AM$5+7,$E162&gt;AM$5),"■","")))</x:f>
      </x:c>
      <x:c r="AN162" s="7" t="str">
        <x:f>IF(OR($D162="",AN$5="",'상세일정'!AM162="제외"),"",IF($D162=$E162,IF(AND($D162&gt;=AN$5,$D162&lt;AN$5+7),"◆",""),IF(AND($D162&lt;AN$5+7,$E162&gt;AN$5),"■","")))</x:f>
      </x:c>
      <x:c r="AO162" s="7" t="str">
        <x:f>IF(OR($D162="",AO$5="",'상세일정'!AM162="제외"),"",IF($D162=$E162,IF(AND($D162&gt;=AO$5,$D162&lt;AO$5+7),"◆",""),IF(AND($D162&lt;AO$5+7,$E162&gt;AO$5),"■","")))</x:f>
      </x:c>
      <x:c r="AP162" s="7" t="str">
        <x:f>IF(OR($D162="",AP$5="",'상세일정'!AM162="제외"),"",IF($D162=$E162,IF(AND($D162&gt;=AP$5,$D162&lt;AP$5+7),"◆",""),IF(AND($D162&lt;AP$5+7,$E162&gt;AP$5),"■","")))</x:f>
      </x:c>
      <x:c r="AQ162" s="7" t="str">
        <x:f>IF(OR($D162="",AQ$5="",'상세일정'!AM162="제외"),"",IF($D162=$E162,IF(AND($D162&gt;=AQ$5,$D162&lt;AQ$5+7),"◆",""),IF(AND($D162&lt;AQ$5+7,$E162&gt;AQ$5),"■","")))</x:f>
      </x:c>
      <x:c r="AR162" s="7" t="str">
        <x:f>IF(OR($D162="",AR$5="",'상세일정'!AM162="제외"),"",IF($D162=$E162,IF(AND($D162&gt;=AR$5,$D162&lt;AR$5+7),"◆",""),IF(AND($D162&lt;AR$5+7,$E162&gt;AR$5),"■","")))</x:f>
      </x:c>
      <x:c r="AS162" s="7" t="str">
        <x:f>IF(OR($D162="",AS$5="",'상세일정'!AM162="제외"),"",IF($D162=$E162,IF(AND($D162&gt;=AS$5,$D162&lt;AS$5+7),"◆",""),IF(AND($D162&lt;AS$5+7,$E162&gt;AS$5),"■","")))</x:f>
      </x:c>
      <x:c r="AT162" s="7" t="str">
        <x:f>IF(OR($D162="",AT$5="",'상세일정'!AM162="제외"),"",IF($D162=$E162,IF(AND($D162&gt;=AT$5,$D162&lt;AT$5+7),"◆",""),IF(AND($D162&lt;AT$5+7,$E162&gt;AT$5),"■","")))</x:f>
      </x:c>
      <x:c r="AU162" s="7" t="str">
        <x:f>IF(OR($D162="",AU$5="",'상세일정'!AM162="제외"),"",IF($D162=$E162,IF(AND($D162&gt;=AU$5,$D162&lt;AU$5+7),"◆",""),IF(AND($D162&lt;AU$5+7,$E162&gt;AU$5),"■","")))</x:f>
      </x:c>
      <x:c r="AV162" s="7" t="str">
        <x:f>IF(OR($D162="",AV$5="",'상세일정'!AM162="제외"),"",IF($D162=$E162,IF(AND($D162&gt;=AV$5,$D162&lt;AV$5+7),"◆",""),IF(AND($D162&lt;AV$5+7,$E162&gt;AV$5),"■","")))</x:f>
      </x:c>
      <x:c r="AW162" s="7" t="str">
        <x:f>IF(OR($D162="",AW$5="",'상세일정'!AM162="제외"),"",IF($D162=$E162,IF(AND($D162&gt;=AW$5,$D162&lt;AW$5+7),"◆",""),IF(AND($D162&lt;AW$5+7,$E162&gt;AW$5),"■","")))</x:f>
      </x:c>
      <x:c r="AX162" s="7" t="str">
        <x:f>IF(OR($D162="",AX$5="",'상세일정'!AM162="제외"),"",IF($D162=$E162,IF(AND($D162&gt;=AX$5,$D162&lt;AX$5+7),"◆",""),IF(AND($D162&lt;AX$5+7,$E162&gt;AX$5),"■","")))</x:f>
      </x:c>
      <x:c r="AY162" s="7" t="str">
        <x:f>IF(OR($D162="",AY$5="",'상세일정'!AM162="제외"),"",IF($D162=$E162,IF(AND($D162&gt;=AY$5,$D162&lt;AY$5+7),"◆",""),IF(AND($D162&lt;AY$5+7,$E162&gt;AY$5),"■","")))</x:f>
      </x:c>
      <x:c r="AZ162" s="7" t="str">
        <x:f>IF(OR($D162="",AZ$5="",'상세일정'!AM162="제외"),"",IF($D162=$E162,IF(AND($D162&gt;=AZ$5,$D162&lt;AZ$5+7),"◆",""),IF(AND($D162&lt;AZ$5+7,$E162&gt;AZ$5),"■","")))</x:f>
      </x:c>
      <x:c r="BA162" s="7" t="str">
        <x:f>IF(OR($D162="",BA$5="",'상세일정'!AM162="제외"),"",IF($D162=$E162,IF(AND($D162&gt;=BA$5,$D162&lt;BA$5+7),"◆",""),IF(AND($D162&lt;BA$5+7,$E162&gt;BA$5),"■","")))</x:f>
      </x:c>
      <x:c r="BB162" s="7" t="str">
        <x:f>IF(OR($D162="",BB$5="",'상세일정'!AM162="제외"),"",IF($D162=$E162,IF(AND($D162&gt;=BB$5,$D162&lt;BB$5+7),"◆",""),IF(AND($D162&lt;BB$5+7,$E162&gt;BB$5),"■","")))</x:f>
      </x:c>
      <x:c r="BC162" s="7" t="str">
        <x:f>IF(OR($D162="",BC$5="",'상세일정'!AM162="제외"),"",IF($D162=$E162,IF(AND($D162&gt;=BC$5,$D162&lt;BC$5+7),"◆",""),IF(AND($D162&lt;BC$5+7,$E162&gt;BC$5),"■","")))</x:f>
      </x:c>
      <x:c r="BD162" s="7" t="str">
        <x:f>IF(OR($D162="",BD$5="",'상세일정'!AM162="제외"),"",IF($D162=$E162,IF(AND($D162&gt;=BD$5,$D162&lt;BD$5+7),"◆",""),IF(AND($D162&lt;BD$5+7,$E162&gt;BD$5),"■","")))</x:f>
      </x:c>
      <x:c r="BE162" s="7" t="str">
        <x:f>IF(OR($D162="",BE$5="",'상세일정'!AM162="제외"),"",IF($D162=$E162,IF(AND($D162&gt;=BE$5,$D162&lt;BE$5+7),"◆",""),IF(AND($D162&lt;BE$5+7,$E162&gt;BE$5),"■","")))</x:f>
      </x:c>
      <x:c r="BF162" s="7" t="str">
        <x:f>IF(OR($D162="",BF$5="",'상세일정'!AM162="제외"),"",IF($D162=$E162,IF(AND($D162&gt;=BF$5,$D162&lt;BF$5+7),"◆",""),IF(AND($D162&lt;BF$5+7,$E162&gt;BF$5),"■","")))</x:f>
      </x:c>
      <x:c r="BG162" s="7" t="str">
        <x:f>IF(OR($D162="",BG$5="",'상세일정'!AM162="제외"),"",IF($D162=$E162,IF(AND($D162&gt;=BG$5,$D162&lt;BG$5+7),"◆",""),IF(AND($D162&lt;BG$5+7,$E162&gt;BG$5),"■","")))</x:f>
      </x:c>
      <x:c r="BH162" s="7" t="str">
        <x:f>IF(OR($D162="",BH$5="",'상세일정'!AM162="제외"),"",IF($D162=$E162,IF(AND($D162&gt;=BH$5,$D162&lt;BH$5+7),"◆",""),IF(AND($D162&lt;BH$5+7,$E162&gt;BH$5),"■","")))</x:f>
      </x:c>
      <x:c r="BI162" s="7" t="str">
        <x:f>IF(OR($D162="",BI$5="",'상세일정'!AM162="제외"),"",IF($D162=$E162,IF(AND($D162&gt;=BI$5,$D162&lt;BI$5+7),"◆",""),IF(AND($D162&lt;BI$5+7,$E162&gt;BI$5),"■","")))</x:f>
      </x:c>
      <x:c r="BJ162" s="7" t="str">
        <x:f>IF(OR($D162="",BJ$5="",'상세일정'!AM162="제외"),"",IF($D162=$E162,IF(AND($D162&gt;=BJ$5,$D162&lt;BJ$5+7),"◆",""),IF(AND($D162&lt;BJ$5+7,$E162&gt;BJ$5),"■","")))</x:f>
      </x:c>
      <x:c r="BK162" s="7" t="str">
        <x:f>IF(OR($D162="",BK$5="",'상세일정'!AM162="제외"),"",IF($D162=$E162,IF(AND($D162&gt;=BK$5,$D162&lt;BK$5+7),"◆",""),IF(AND($D162&lt;BK$5+7,$E162&gt;BK$5),"■","")))</x:f>
      </x:c>
      <x:c r="BL162" s="7" t="str">
        <x:f>IF(OR($D162="",BL$5="",'상세일정'!AM162="제외"),"",IF($D162=$E162,IF(AND($D162&gt;=BL$5,$D162&lt;BL$5+7),"◆",""),IF(AND($D162&lt;BL$5+7,$E162&gt;BL$5),"■","")))</x:f>
      </x:c>
      <x:c r="BM162" s="7" t="str">
        <x:f>IF(OR($D162="",BM$5="",'상세일정'!AM162="제외"),"",IF($D162=$E162,IF(AND($D162&gt;=BM$5,$D162&lt;BM$5+7),"◆",""),IF(AND($D162&lt;BM$5+7,$E162&gt;BM$5),"■","")))</x:f>
      </x:c>
      <x:c r="BN162" s="7" t="str">
        <x:f>IF(OR($D162="",BN$5="",'상세일정'!AM162="제외"),"",IF($D162=$E162,IF(AND($D162&gt;=BN$5,$D162&lt;BN$5+7),"◆",""),IF(AND($D162&lt;BN$5+7,$E162&gt;BN$5),"■","")))</x:f>
      </x:c>
      <x:c r="BO162" s="7" t="str">
        <x:f>IF(OR($D162="",BO$5="",'상세일정'!AM162="제외"),"",IF($D162=$E162,IF(AND($D162&gt;=BO$5,$D162&lt;BO$5+7),"◆",""),IF(AND($D162&lt;BO$5+7,$E162&gt;BO$5),"■","")))</x:f>
      </x:c>
      <x:c r="BP162" s="7" t="str">
        <x:f>IF(OR($D162="",BP$5="",'상세일정'!AM162="제외"),"",IF($D162=$E162,IF(AND($D162&gt;=BP$5,$D162&lt;BP$5+7),"◆",""),IF(AND($D162&lt;BP$5+7,$E162&gt;BP$5),"■","")))</x:f>
      </x:c>
      <x:c r="BQ162" s="7" t="str">
        <x:f>IF(OR($D162="",BQ$5="",'상세일정'!AM162="제외"),"",IF($D162=$E162,IF(AND($D162&gt;=BQ$5,$D162&lt;BQ$5+7),"◆",""),IF(AND($D162&lt;BQ$5+7,$E162&gt;BQ$5),"■","")))</x:f>
      </x:c>
      <x:c r="BR162" s="7" t="str">
        <x:f>IF(OR($D162="",BR$5="",'상세일정'!AM162="제외"),"",IF($D162=$E162,IF(AND($D162&gt;=BR$5,$D162&lt;BR$5+7),"◆",""),IF(AND($D162&lt;BR$5+7,$E162&gt;BR$5),"■","")))</x:f>
      </x:c>
      <x:c r="BS162" s="7" t="str">
        <x:f>IF(OR($D162="",BS$5="",'상세일정'!AM162="제외"),"",IF($D162=$E162,IF(AND($D162&gt;=BS$5,$D162&lt;BS$5+7),"◆",""),IF(AND($D162&lt;BS$5+7,$E162&gt;BS$5),"■","")))</x:f>
      </x:c>
      <x:c r="BT162" s="7" t="str">
        <x:f>IF(OR($D162="",BT$5="",'상세일정'!AM162="제외"),"",IF($D162=$E162,IF(AND($D162&gt;=BT$5,$D162&lt;BT$5+7),"◆",""),IF(AND($D162&lt;BT$5+7,$E162&gt;BT$5),"■","")))</x:f>
      </x:c>
      <x:c r="BU162" s="7" t="str">
        <x:f>IF(OR($D162="",BU$5="",'상세일정'!AM162="제외"),"",IF($D162=$E162,IF(AND($D162&gt;=BU$5,$D162&lt;BU$5+7),"◆",""),IF(AND($D162&lt;BU$5+7,$E162&gt;BU$5),"■","")))</x:f>
      </x:c>
      <x:c r="BV162" s="7" t="str">
        <x:f>IF(OR($D162="",BV$5="",'상세일정'!AM162="제외"),"",IF($D162=$E162,IF(AND($D162&gt;=BV$5,$D162&lt;BV$5+7),"◆",""),IF(AND($D162&lt;BV$5+7,$E162&gt;BV$5),"■","")))</x:f>
      </x:c>
      <x:c r="BW162" s="7" t="str">
        <x:f>IF(OR($D162="",BW$5="",'상세일정'!AM162="제외"),"",IF($D162=$E162,IF(AND($D162&gt;=BW$5,$D162&lt;BW$5+7),"◆",""),IF(AND($D162&lt;BW$5+7,$E162&gt;BW$5),"■","")))</x:f>
      </x:c>
      <x:c r="BX162" s="7" t="str">
        <x:f>IF(OR($D162="",BX$5="",'상세일정'!AM162="제외"),"",IF($D162=$E162,IF(AND($D162&gt;=BX$5,$D162&lt;BX$5+7),"◆",""),IF(AND($D162&lt;BX$5+7,$E162&gt;BX$5),"■","")))</x:f>
      </x:c>
      <x:c r="BY162" s="7" t="str">
        <x:f>IF(OR($D162="",BY$5="",'상세일정'!AM162="제외"),"",IF($D162=$E162,IF(AND($D162&gt;=BY$5,$D162&lt;BY$5+7),"◆",""),IF(AND($D162&lt;BY$5+7,$E162&gt;BY$5),"■","")))</x:f>
      </x:c>
      <x:c r="BZ162" s="7" t="str">
        <x:f>IF(OR($D162="",BZ$5="",'상세일정'!AM162="제외"),"",IF($D162=$E162,IF(AND($D162&gt;=BZ$5,$D162&lt;BZ$5+7),"◆",""),IF(AND($D162&lt;BZ$5+7,$E162&gt;BZ$5),"■","")))</x:f>
      </x:c>
      <x:c r="CA162" s="7" t="str">
        <x:f>IF(OR($D162="",CA$5="",'상세일정'!AM162="제외"),"",IF($D162=$E162,IF(AND($D162&gt;=CA$5,$D162&lt;CA$5+7),"◆",""),IF(AND($D162&lt;CA$5+7,$E162&gt;CA$5),"■","")))</x:f>
      </x:c>
      <x:c r="CB162" s="7" t="str">
        <x:f>IF(OR($D162="",CB$5="",'상세일정'!AM162="제외"),"",IF($D162=$E162,IF(AND($D162&gt;=CB$5,$D162&lt;CB$5+7),"◆",""),IF(AND($D162&lt;CB$5+7,$E162&gt;CB$5),"■","")))</x:f>
      </x:c>
      <x:c r="CC162" s="7" t="str">
        <x:f>IF(OR($D162="",CC$5="",'상세일정'!AM162="제외"),"",IF($D162=$E162,IF(AND($D162&gt;=CC$5,$D162&lt;CC$5+7),"◆",""),IF(AND($D162&lt;CC$5+7,$E162&gt;CC$5),"■","")))</x:f>
      </x:c>
      <x:c r="CD162" s="7" t="str">
        <x:f>IF(OR($D162="",CD$5="",'상세일정'!AM162="제외"),"",IF($D162=$E162,IF(AND($D162&gt;=CD$5,$D162&lt;CD$5+7),"◆",""),IF(AND($D162&lt;CD$5+7,$E162&gt;CD$5),"■","")))</x:f>
      </x:c>
      <x:c r="CE162" s="7" t="str">
        <x:f>IF(OR($D162="",CE$5="",'상세일정'!AM162="제외"),"",IF($D162=$E162,IF(AND($D162&gt;=CE$5,$D162&lt;CE$5+7),"◆",""),IF(AND($D162&lt;CE$5+7,$E162&gt;CE$5),"■","")))</x:f>
      </x:c>
      <x:c r="CF162" s="7" t="str">
        <x:f>IF(OR($D162="",CF$5="",'상세일정'!AM162="제외"),"",IF($D162=$E162,IF(AND($D162&gt;=CF$5,$D162&lt;CF$5+7),"◆",""),IF(AND($D162&lt;CF$5+7,$E162&gt;CF$5),"■","")))</x:f>
      </x:c>
      <x:c r="CG162" s="7" t="str">
        <x:f>IF(OR($D162="",CG$5="",'상세일정'!AM162="제외"),"",IF($D162=$E162,IF(AND($D162&gt;=CG$5,$D162&lt;CG$5+7),"◆",""),IF(AND($D162&lt;CG$5+7,$E162&gt;CG$5),"■","")))</x:f>
      </x:c>
      <x:c r="CH162" s="7" t="str">
        <x:f>IF(OR($D162="",CH$5="",'상세일정'!AM162="제외"),"",IF($D162=$E162,IF(AND($D162&gt;=CH$5,$D162&lt;CH$5+7),"◆",""),IF(AND($D162&lt;CH$5+7,$E162&gt;CH$5),"■","")))</x:f>
      </x:c>
      <x:c r="CI162" s="7" t="str">
        <x:f>IF(OR($D162="",CI$5="",'상세일정'!AM162="제외"),"",IF($D162=$E162,IF(AND($D162&gt;=CI$5,$D162&lt;CI$5+7),"◆",""),IF(AND($D162&lt;CI$5+7,$E162&gt;CI$5),"■","")))</x:f>
      </x:c>
      <x:c r="CJ162" s="7" t="str">
        <x:f>IF(OR($D162="",CJ$5="",'상세일정'!AM162="제외"),"",IF($D162=$E162,IF(AND($D162&gt;=CJ$5,$D162&lt;CJ$5+7),"◆",""),IF(AND($D162&lt;CJ$5+7,$E162&gt;CJ$5),"■","")))</x:f>
      </x:c>
      <x:c r="CK162" s="7" t="str">
        <x:f>IF(OR($D162="",CK$5="",'상세일정'!AM162="제외"),"",IF($D162=$E162,IF(AND($D162&gt;=CK$5,$D162&lt;CK$5+7),"◆",""),IF(AND($D162&lt;CK$5+7,$E162&gt;CK$5),"■","")))</x:f>
      </x:c>
      <x:c r="CL162" s="7" t="str">
        <x:f>IF(OR($D162="",CL$5="",'상세일정'!AM162="제외"),"",IF($D162=$E162,IF(AND($D162&gt;=CL$5,$D162&lt;CL$5+7),"◆",""),IF(AND($D162&lt;CL$5+7,$E162&gt;CL$5),"■","")))</x:f>
      </x:c>
      <x:c r="CM162" s="7" t="str">
        <x:f>IF(OR($D162="",CM$5="",'상세일정'!AM162="제외"),"",IF($D162=$E162,IF(AND($D162&gt;=CM$5,$D162&lt;CM$5+7),"◆",""),IF(AND($D162&lt;CM$5+7,$E162&gt;CM$5),"■","")))</x:f>
      </x:c>
      <x:c r="CN162" s="7" t="str">
        <x:f>IF(OR($D162="",CN$5="",'상세일정'!AM162="제외"),"",IF($D162=$E162,IF(AND($D162&gt;=CN$5,$D162&lt;CN$5+7),"◆",""),IF(AND($D162&lt;CN$5+7,$E162&gt;CN$5),"■","")))</x:f>
      </x:c>
      <x:c r="CO162" s="7" t="str">
        <x:f>IF(OR($D162="",CO$5="",'상세일정'!AM162="제외"),"",IF($D162=$E162,IF(AND($D162&gt;=CO$5,$D162&lt;CO$5+7),"◆",""),IF(AND($D162&lt;CO$5+7,$E162&gt;CO$5),"■","")))</x:f>
      </x:c>
      <x:c r="CP162" s="7" t="str">
        <x:f>IF(OR($D162="",CP$5="",'상세일정'!AM162="제외"),"",IF($D162=$E162,IF(AND($D162&gt;=CP$5,$D162&lt;CP$5+7),"◆",""),IF(AND($D162&lt;CP$5+7,$E162&gt;CP$5),"■","")))</x:f>
      </x:c>
      <x:c r="CQ162" s="7" t="str">
        <x:f>IF(OR($D162="",CQ$5="",'상세일정'!AM162="제외"),"",IF($D162=$E162,IF(AND($D162&gt;=CQ$5,$D162&lt;CQ$5+7),"◆",""),IF(AND($D162&lt;CQ$5+7,$E162&gt;CQ$5),"■","")))</x:f>
      </x:c>
      <x:c r="CR162" s="7" t="str">
        <x:f>IF(OR($D162="",CR$5="",'상세일정'!AM162="제외"),"",IF($D162=$E162,IF(AND($D162&gt;=CR$5,$D162&lt;CR$5+7),"◆",""),IF(AND($D162&lt;CR$5+7,$E162&gt;CR$5),"■","")))</x:f>
      </x:c>
      <x:c r="CS162" s="7" t="str">
        <x:f>IF(OR($D162="",CS$5="",'상세일정'!AM162="제외"),"",IF($D162=$E162,IF(AND($D162&gt;=CS$5,$D162&lt;CS$5+7),"◆",""),IF(AND($D162&lt;CS$5+7,$E162&gt;CS$5),"■","")))</x:f>
      </x:c>
      <x:c r="CT162" s="7" t="str">
        <x:f>IF(OR($D162="",CT$5="",'상세일정'!AM162="제외"),"",IF($D162=$E162,IF(AND($D162&gt;=CT$5,$D162&lt;CT$5+7),"◆",""),IF(AND($D162&lt;CT$5+7,$E162&gt;CT$5),"■","")))</x:f>
      </x:c>
      <x:c r="CU162" s="7" t="str">
        <x:f>IF(OR($D162="",CU$5="",'상세일정'!AM162="제외"),"",IF($D162=$E162,IF(AND($D162&gt;=CU$5,$D162&lt;CU$5+7),"◆",""),IF(AND($D162&lt;CU$5+7,$E162&gt;CU$5),"■","")))</x:f>
      </x:c>
      <x:c r="CV162" s="7" t="str">
        <x:f>IF(OR($D162="",CV$5="",'상세일정'!AM162="제외"),"",IF($D162=$E162,IF(AND($D162&gt;=CV$5,$D162&lt;CV$5+7),"◆",""),IF(AND($D162&lt;CV$5+7,$E162&gt;CV$5),"■","")))</x:f>
      </x:c>
      <x:c r="CW162" s="7" t="str">
        <x:f>IF(OR($D162="",CW$5="",'상세일정'!AM162="제외"),"",IF($D162=$E162,IF(AND($D162&gt;=CW$5,$D162&lt;CW$5+7),"◆",""),IF(AND($D162&lt;CW$5+7,$E162&gt;CW$5),"■","")))</x:f>
      </x:c>
      <x:c r="CX162" s="7" t="str">
        <x:f>IF(OR($D162="",CX$5="",'상세일정'!AM162="제외"),"",IF($D162=$E162,IF(AND($D162&gt;=CX$5,$D162&lt;CX$5+7),"◆",""),IF(AND($D162&lt;CX$5+7,$E162&gt;CX$5),"■","")))</x:f>
      </x:c>
      <x:c r="CY162" s="7" t="str">
        <x:f>IF(OR($D162="",CY$5="",'상세일정'!AM162="제외"),"",IF($D162=$E162,IF(AND($D162&gt;=CY$5,$D162&lt;CY$5+7),"◆",""),IF(AND($D162&lt;CY$5+7,$E162&gt;CY$5),"■","")))</x:f>
      </x:c>
      <x:c r="CZ162" s="7" t="str">
        <x:f>IF(OR($D162="",CZ$5="",'상세일정'!AM162="제외"),"",IF($D162=$E162,IF(AND($D162&gt;=CZ$5,$D162&lt;CZ$5+7),"◆",""),IF(AND($D162&lt;CZ$5+7,$E162&gt;CZ$5),"■","")))</x:f>
      </x:c>
      <x:c r="DA162" s="7" t="str">
        <x:f>IF(OR($D162="",DA$5="",'상세일정'!AM162="제외"),"",IF($D162=$E162,IF(AND($D162&gt;=DA$5,$D162&lt;DA$5+7),"◆",""),IF(AND($D162&lt;DA$5+7,$E162&gt;DA$5),"■","")))</x:f>
      </x:c>
      <x:c r="DB162" s="7" t="str">
        <x:f>IF(OR($D162="",DB$5="",'상세일정'!AM162="제외"),"",IF($D162=$E162,IF(AND($D162&gt;=DB$5,$D162&lt;DB$5+7),"◆",""),IF(AND($D162&lt;DB$5+7,$E162&gt;DB$5),"■","")))</x:f>
      </x:c>
      <x:c r="DC162" s="7" t="str">
        <x:f>IF(OR($D162="",DC$5="",'상세일정'!AM162="제외"),"",IF($D162=$E162,IF(AND($D162&gt;=DC$5,$D162&lt;DC$5+7),"◆",""),IF(AND($D162&lt;DC$5+7,$E162&gt;DC$5),"■","")))</x:f>
      </x:c>
      <x:c r="DD162" s="7" t="str">
        <x:f>IF(OR($D162="",DD$5="",'상세일정'!AM162="제외"),"",IF($D162=$E162,IF(AND($D162&gt;=DD$5,$D162&lt;DD$5+7),"◆",""),IF(AND($D162&lt;DD$5+7,$E162&gt;DD$5),"■","")))</x:f>
      </x:c>
      <x:c r="DE162" s="7" t="str">
        <x:f>IF(OR($D162="",DE$5="",'상세일정'!AM162="제외"),"",IF($D162=$E162,IF(AND($D162&gt;=DE$5,$D162&lt;DE$5+7),"◆",""),IF(AND($D162&lt;DE$5+7,$E162&gt;DE$5),"■","")))</x:f>
      </x:c>
    </x:row>
    <x:row r="163" ht="34" customHeight="1">
      <x:c r="A163" s="7" t="str">
        <x:v>CN07</x:v>
      </x:c>
      <x:c r="B163" s="7" t="str">
        <x:v>17 토공·기초</x:v>
      </x:c>
      <x:c r="C163" s="7" t="str">
        <x:v>기초 타설·양생·거푸집 해체</x:v>
      </x:c>
      <x:c r="D163" s="10" t="str">
        <x:f>'상세일정'!AJ163</x:f>
      </x:c>
      <x:c r="E163" s="10" t="str">
        <x:f>'상세일정'!AK163</x:f>
      </x:c>
      <x:c r="F163" s="7" t="str">
        <x:f>IF(OR($D163="",F$5="",'상세일정'!AM163="제외"),"",IF($D163=$E163,IF(AND($D163&gt;=F$5,$D163&lt;F$5+7),"◆",""),IF(AND($D163&lt;F$5+7,$E163&gt;F$5),"■","")))</x:f>
      </x:c>
      <x:c r="G163" s="7" t="str">
        <x:f>IF(OR($D163="",G$5="",'상세일정'!AM163="제외"),"",IF($D163=$E163,IF(AND($D163&gt;=G$5,$D163&lt;G$5+7),"◆",""),IF(AND($D163&lt;G$5+7,$E163&gt;G$5),"■","")))</x:f>
      </x:c>
      <x:c r="H163" s="7" t="str">
        <x:f>IF(OR($D163="",H$5="",'상세일정'!AM163="제외"),"",IF($D163=$E163,IF(AND($D163&gt;=H$5,$D163&lt;H$5+7),"◆",""),IF(AND($D163&lt;H$5+7,$E163&gt;H$5),"■","")))</x:f>
      </x:c>
      <x:c r="I163" s="7" t="str">
        <x:f>IF(OR($D163="",I$5="",'상세일정'!AM163="제외"),"",IF($D163=$E163,IF(AND($D163&gt;=I$5,$D163&lt;I$5+7),"◆",""),IF(AND($D163&lt;I$5+7,$E163&gt;I$5),"■","")))</x:f>
      </x:c>
      <x:c r="J163" s="7" t="str">
        <x:f>IF(OR($D163="",J$5="",'상세일정'!AM163="제외"),"",IF($D163=$E163,IF(AND($D163&gt;=J$5,$D163&lt;J$5+7),"◆",""),IF(AND($D163&lt;J$5+7,$E163&gt;J$5),"■","")))</x:f>
      </x:c>
      <x:c r="K163" s="7" t="str">
        <x:f>IF(OR($D163="",K$5="",'상세일정'!AM163="제외"),"",IF($D163=$E163,IF(AND($D163&gt;=K$5,$D163&lt;K$5+7),"◆",""),IF(AND($D163&lt;K$5+7,$E163&gt;K$5),"■","")))</x:f>
      </x:c>
      <x:c r="L163" s="7" t="str">
        <x:f>IF(OR($D163="",L$5="",'상세일정'!AM163="제외"),"",IF($D163=$E163,IF(AND($D163&gt;=L$5,$D163&lt;L$5+7),"◆",""),IF(AND($D163&lt;L$5+7,$E163&gt;L$5),"■","")))</x:f>
      </x:c>
      <x:c r="M163" s="7" t="str">
        <x:f>IF(OR($D163="",M$5="",'상세일정'!AM163="제외"),"",IF($D163=$E163,IF(AND($D163&gt;=M$5,$D163&lt;M$5+7),"◆",""),IF(AND($D163&lt;M$5+7,$E163&gt;M$5),"■","")))</x:f>
      </x:c>
      <x:c r="N163" s="7" t="str">
        <x:f>IF(OR($D163="",N$5="",'상세일정'!AM163="제외"),"",IF($D163=$E163,IF(AND($D163&gt;=N$5,$D163&lt;N$5+7),"◆",""),IF(AND($D163&lt;N$5+7,$E163&gt;N$5),"■","")))</x:f>
      </x:c>
      <x:c r="O163" s="7" t="str">
        <x:f>IF(OR($D163="",O$5="",'상세일정'!AM163="제외"),"",IF($D163=$E163,IF(AND($D163&gt;=O$5,$D163&lt;O$5+7),"◆",""),IF(AND($D163&lt;O$5+7,$E163&gt;O$5),"■","")))</x:f>
      </x:c>
      <x:c r="P163" s="7" t="str">
        <x:f>IF(OR($D163="",P$5="",'상세일정'!AM163="제외"),"",IF($D163=$E163,IF(AND($D163&gt;=P$5,$D163&lt;P$5+7),"◆",""),IF(AND($D163&lt;P$5+7,$E163&gt;P$5),"■","")))</x:f>
      </x:c>
      <x:c r="Q163" s="7" t="str">
        <x:f>IF(OR($D163="",Q$5="",'상세일정'!AM163="제외"),"",IF($D163=$E163,IF(AND($D163&gt;=Q$5,$D163&lt;Q$5+7),"◆",""),IF(AND($D163&lt;Q$5+7,$E163&gt;Q$5),"■","")))</x:f>
      </x:c>
      <x:c r="R163" s="7" t="str">
        <x:f>IF(OR($D163="",R$5="",'상세일정'!AM163="제외"),"",IF($D163=$E163,IF(AND($D163&gt;=R$5,$D163&lt;R$5+7),"◆",""),IF(AND($D163&lt;R$5+7,$E163&gt;R$5),"■","")))</x:f>
      </x:c>
      <x:c r="S163" s="7" t="str">
        <x:f>IF(OR($D163="",S$5="",'상세일정'!AM163="제외"),"",IF($D163=$E163,IF(AND($D163&gt;=S$5,$D163&lt;S$5+7),"◆",""),IF(AND($D163&lt;S$5+7,$E163&gt;S$5),"■","")))</x:f>
      </x:c>
      <x:c r="T163" s="7" t="str">
        <x:f>IF(OR($D163="",T$5="",'상세일정'!AM163="제외"),"",IF($D163=$E163,IF(AND($D163&gt;=T$5,$D163&lt;T$5+7),"◆",""),IF(AND($D163&lt;T$5+7,$E163&gt;T$5),"■","")))</x:f>
      </x:c>
      <x:c r="U163" s="7" t="str">
        <x:f>IF(OR($D163="",U$5="",'상세일정'!AM163="제외"),"",IF($D163=$E163,IF(AND($D163&gt;=U$5,$D163&lt;U$5+7),"◆",""),IF(AND($D163&lt;U$5+7,$E163&gt;U$5),"■","")))</x:f>
      </x:c>
      <x:c r="V163" s="7" t="str">
        <x:f>IF(OR($D163="",V$5="",'상세일정'!AM163="제외"),"",IF($D163=$E163,IF(AND($D163&gt;=V$5,$D163&lt;V$5+7),"◆",""),IF(AND($D163&lt;V$5+7,$E163&gt;V$5),"■","")))</x:f>
      </x:c>
      <x:c r="W163" s="7" t="str">
        <x:f>IF(OR($D163="",W$5="",'상세일정'!AM163="제외"),"",IF($D163=$E163,IF(AND($D163&gt;=W$5,$D163&lt;W$5+7),"◆",""),IF(AND($D163&lt;W$5+7,$E163&gt;W$5),"■","")))</x:f>
      </x:c>
      <x:c r="X163" s="7" t="str">
        <x:f>IF(OR($D163="",X$5="",'상세일정'!AM163="제외"),"",IF($D163=$E163,IF(AND($D163&gt;=X$5,$D163&lt;X$5+7),"◆",""),IF(AND($D163&lt;X$5+7,$E163&gt;X$5),"■","")))</x:f>
      </x:c>
      <x:c r="Y163" s="7" t="str">
        <x:f>IF(OR($D163="",Y$5="",'상세일정'!AM163="제외"),"",IF($D163=$E163,IF(AND($D163&gt;=Y$5,$D163&lt;Y$5+7),"◆",""),IF(AND($D163&lt;Y$5+7,$E163&gt;Y$5),"■","")))</x:f>
      </x:c>
      <x:c r="Z163" s="7" t="str">
        <x:f>IF(OR($D163="",Z$5="",'상세일정'!AM163="제외"),"",IF($D163=$E163,IF(AND($D163&gt;=Z$5,$D163&lt;Z$5+7),"◆",""),IF(AND($D163&lt;Z$5+7,$E163&gt;Z$5),"■","")))</x:f>
      </x:c>
      <x:c r="AA163" s="7" t="str">
        <x:f>IF(OR($D163="",AA$5="",'상세일정'!AM163="제외"),"",IF($D163=$E163,IF(AND($D163&gt;=AA$5,$D163&lt;AA$5+7),"◆",""),IF(AND($D163&lt;AA$5+7,$E163&gt;AA$5),"■","")))</x:f>
      </x:c>
      <x:c r="AB163" s="7" t="str">
        <x:f>IF(OR($D163="",AB$5="",'상세일정'!AM163="제외"),"",IF($D163=$E163,IF(AND($D163&gt;=AB$5,$D163&lt;AB$5+7),"◆",""),IF(AND($D163&lt;AB$5+7,$E163&gt;AB$5),"■","")))</x:f>
      </x:c>
      <x:c r="AC163" s="7" t="str">
        <x:f>IF(OR($D163="",AC$5="",'상세일정'!AM163="제외"),"",IF($D163=$E163,IF(AND($D163&gt;=AC$5,$D163&lt;AC$5+7),"◆",""),IF(AND($D163&lt;AC$5+7,$E163&gt;AC$5),"■","")))</x:f>
      </x:c>
      <x:c r="AD163" s="7" t="str">
        <x:f>IF(OR($D163="",AD$5="",'상세일정'!AM163="제외"),"",IF($D163=$E163,IF(AND($D163&gt;=AD$5,$D163&lt;AD$5+7),"◆",""),IF(AND($D163&lt;AD$5+7,$E163&gt;AD$5),"■","")))</x:f>
      </x:c>
      <x:c r="AE163" s="7" t="str">
        <x:f>IF(OR($D163="",AE$5="",'상세일정'!AM163="제외"),"",IF($D163=$E163,IF(AND($D163&gt;=AE$5,$D163&lt;AE$5+7),"◆",""),IF(AND($D163&lt;AE$5+7,$E163&gt;AE$5),"■","")))</x:f>
      </x:c>
      <x:c r="AF163" s="7" t="str">
        <x:f>IF(OR($D163="",AF$5="",'상세일정'!AM163="제외"),"",IF($D163=$E163,IF(AND($D163&gt;=AF$5,$D163&lt;AF$5+7),"◆",""),IF(AND($D163&lt;AF$5+7,$E163&gt;AF$5),"■","")))</x:f>
      </x:c>
      <x:c r="AG163" s="7" t="str">
        <x:f>IF(OR($D163="",AG$5="",'상세일정'!AM163="제외"),"",IF($D163=$E163,IF(AND($D163&gt;=AG$5,$D163&lt;AG$5+7),"◆",""),IF(AND($D163&lt;AG$5+7,$E163&gt;AG$5),"■","")))</x:f>
      </x:c>
      <x:c r="AH163" s="7" t="str">
        <x:f>IF(OR($D163="",AH$5="",'상세일정'!AM163="제외"),"",IF($D163=$E163,IF(AND($D163&gt;=AH$5,$D163&lt;AH$5+7),"◆",""),IF(AND($D163&lt;AH$5+7,$E163&gt;AH$5),"■","")))</x:f>
      </x:c>
      <x:c r="AI163" s="7" t="str">
        <x:f>IF(OR($D163="",AI$5="",'상세일정'!AM163="제외"),"",IF($D163=$E163,IF(AND($D163&gt;=AI$5,$D163&lt;AI$5+7),"◆",""),IF(AND($D163&lt;AI$5+7,$E163&gt;AI$5),"■","")))</x:f>
      </x:c>
      <x:c r="AJ163" s="7" t="str">
        <x:f>IF(OR($D163="",AJ$5="",'상세일정'!AM163="제외"),"",IF($D163=$E163,IF(AND($D163&gt;=AJ$5,$D163&lt;AJ$5+7),"◆",""),IF(AND($D163&lt;AJ$5+7,$E163&gt;AJ$5),"■","")))</x:f>
      </x:c>
      <x:c r="AK163" s="7" t="str">
        <x:f>IF(OR($D163="",AK$5="",'상세일정'!AM163="제외"),"",IF($D163=$E163,IF(AND($D163&gt;=AK$5,$D163&lt;AK$5+7),"◆",""),IF(AND($D163&lt;AK$5+7,$E163&gt;AK$5),"■","")))</x:f>
      </x:c>
      <x:c r="AL163" s="7" t="str">
        <x:f>IF(OR($D163="",AL$5="",'상세일정'!AM163="제외"),"",IF($D163=$E163,IF(AND($D163&gt;=AL$5,$D163&lt;AL$5+7),"◆",""),IF(AND($D163&lt;AL$5+7,$E163&gt;AL$5),"■","")))</x:f>
      </x:c>
      <x:c r="AM163" s="7" t="str">
        <x:f>IF(OR($D163="",AM$5="",'상세일정'!AM163="제외"),"",IF($D163=$E163,IF(AND($D163&gt;=AM$5,$D163&lt;AM$5+7),"◆",""),IF(AND($D163&lt;AM$5+7,$E163&gt;AM$5),"■","")))</x:f>
      </x:c>
      <x:c r="AN163" s="7" t="str">
        <x:f>IF(OR($D163="",AN$5="",'상세일정'!AM163="제외"),"",IF($D163=$E163,IF(AND($D163&gt;=AN$5,$D163&lt;AN$5+7),"◆",""),IF(AND($D163&lt;AN$5+7,$E163&gt;AN$5),"■","")))</x:f>
      </x:c>
      <x:c r="AO163" s="7" t="str">
        <x:f>IF(OR($D163="",AO$5="",'상세일정'!AM163="제외"),"",IF($D163=$E163,IF(AND($D163&gt;=AO$5,$D163&lt;AO$5+7),"◆",""),IF(AND($D163&lt;AO$5+7,$E163&gt;AO$5),"■","")))</x:f>
      </x:c>
      <x:c r="AP163" s="7" t="str">
        <x:f>IF(OR($D163="",AP$5="",'상세일정'!AM163="제외"),"",IF($D163=$E163,IF(AND($D163&gt;=AP$5,$D163&lt;AP$5+7),"◆",""),IF(AND($D163&lt;AP$5+7,$E163&gt;AP$5),"■","")))</x:f>
      </x:c>
      <x:c r="AQ163" s="7" t="str">
        <x:f>IF(OR($D163="",AQ$5="",'상세일정'!AM163="제외"),"",IF($D163=$E163,IF(AND($D163&gt;=AQ$5,$D163&lt;AQ$5+7),"◆",""),IF(AND($D163&lt;AQ$5+7,$E163&gt;AQ$5),"■","")))</x:f>
      </x:c>
      <x:c r="AR163" s="7" t="str">
        <x:f>IF(OR($D163="",AR$5="",'상세일정'!AM163="제외"),"",IF($D163=$E163,IF(AND($D163&gt;=AR$5,$D163&lt;AR$5+7),"◆",""),IF(AND($D163&lt;AR$5+7,$E163&gt;AR$5),"■","")))</x:f>
      </x:c>
      <x:c r="AS163" s="7" t="str">
        <x:f>IF(OR($D163="",AS$5="",'상세일정'!AM163="제외"),"",IF($D163=$E163,IF(AND($D163&gt;=AS$5,$D163&lt;AS$5+7),"◆",""),IF(AND($D163&lt;AS$5+7,$E163&gt;AS$5),"■","")))</x:f>
      </x:c>
      <x:c r="AT163" s="7" t="str">
        <x:f>IF(OR($D163="",AT$5="",'상세일정'!AM163="제외"),"",IF($D163=$E163,IF(AND($D163&gt;=AT$5,$D163&lt;AT$5+7),"◆",""),IF(AND($D163&lt;AT$5+7,$E163&gt;AT$5),"■","")))</x:f>
      </x:c>
      <x:c r="AU163" s="7" t="str">
        <x:f>IF(OR($D163="",AU$5="",'상세일정'!AM163="제외"),"",IF($D163=$E163,IF(AND($D163&gt;=AU$5,$D163&lt;AU$5+7),"◆",""),IF(AND($D163&lt;AU$5+7,$E163&gt;AU$5),"■","")))</x:f>
      </x:c>
      <x:c r="AV163" s="7" t="str">
        <x:f>IF(OR($D163="",AV$5="",'상세일정'!AM163="제외"),"",IF($D163=$E163,IF(AND($D163&gt;=AV$5,$D163&lt;AV$5+7),"◆",""),IF(AND($D163&lt;AV$5+7,$E163&gt;AV$5),"■","")))</x:f>
      </x:c>
      <x:c r="AW163" s="7" t="str">
        <x:f>IF(OR($D163="",AW$5="",'상세일정'!AM163="제외"),"",IF($D163=$E163,IF(AND($D163&gt;=AW$5,$D163&lt;AW$5+7),"◆",""),IF(AND($D163&lt;AW$5+7,$E163&gt;AW$5),"■","")))</x:f>
      </x:c>
      <x:c r="AX163" s="7" t="str">
        <x:f>IF(OR($D163="",AX$5="",'상세일정'!AM163="제외"),"",IF($D163=$E163,IF(AND($D163&gt;=AX$5,$D163&lt;AX$5+7),"◆",""),IF(AND($D163&lt;AX$5+7,$E163&gt;AX$5),"■","")))</x:f>
      </x:c>
      <x:c r="AY163" s="7" t="str">
        <x:f>IF(OR($D163="",AY$5="",'상세일정'!AM163="제외"),"",IF($D163=$E163,IF(AND($D163&gt;=AY$5,$D163&lt;AY$5+7),"◆",""),IF(AND($D163&lt;AY$5+7,$E163&gt;AY$5),"■","")))</x:f>
      </x:c>
      <x:c r="AZ163" s="7" t="str">
        <x:f>IF(OR($D163="",AZ$5="",'상세일정'!AM163="제외"),"",IF($D163=$E163,IF(AND($D163&gt;=AZ$5,$D163&lt;AZ$5+7),"◆",""),IF(AND($D163&lt;AZ$5+7,$E163&gt;AZ$5),"■","")))</x:f>
      </x:c>
      <x:c r="BA163" s="7" t="str">
        <x:f>IF(OR($D163="",BA$5="",'상세일정'!AM163="제외"),"",IF($D163=$E163,IF(AND($D163&gt;=BA$5,$D163&lt;BA$5+7),"◆",""),IF(AND($D163&lt;BA$5+7,$E163&gt;BA$5),"■","")))</x:f>
      </x:c>
      <x:c r="BB163" s="7" t="str">
        <x:f>IF(OR($D163="",BB$5="",'상세일정'!AM163="제외"),"",IF($D163=$E163,IF(AND($D163&gt;=BB$5,$D163&lt;BB$5+7),"◆",""),IF(AND($D163&lt;BB$5+7,$E163&gt;BB$5),"■","")))</x:f>
      </x:c>
      <x:c r="BC163" s="7" t="str">
        <x:f>IF(OR($D163="",BC$5="",'상세일정'!AM163="제외"),"",IF($D163=$E163,IF(AND($D163&gt;=BC$5,$D163&lt;BC$5+7),"◆",""),IF(AND($D163&lt;BC$5+7,$E163&gt;BC$5),"■","")))</x:f>
      </x:c>
      <x:c r="BD163" s="7" t="str">
        <x:f>IF(OR($D163="",BD$5="",'상세일정'!AM163="제외"),"",IF($D163=$E163,IF(AND($D163&gt;=BD$5,$D163&lt;BD$5+7),"◆",""),IF(AND($D163&lt;BD$5+7,$E163&gt;BD$5),"■","")))</x:f>
      </x:c>
      <x:c r="BE163" s="7" t="str">
        <x:f>IF(OR($D163="",BE$5="",'상세일정'!AM163="제외"),"",IF($D163=$E163,IF(AND($D163&gt;=BE$5,$D163&lt;BE$5+7),"◆",""),IF(AND($D163&lt;BE$5+7,$E163&gt;BE$5),"■","")))</x:f>
      </x:c>
      <x:c r="BF163" s="7" t="str">
        <x:f>IF(OR($D163="",BF$5="",'상세일정'!AM163="제외"),"",IF($D163=$E163,IF(AND($D163&gt;=BF$5,$D163&lt;BF$5+7),"◆",""),IF(AND($D163&lt;BF$5+7,$E163&gt;BF$5),"■","")))</x:f>
      </x:c>
      <x:c r="BG163" s="7" t="str">
        <x:f>IF(OR($D163="",BG$5="",'상세일정'!AM163="제외"),"",IF($D163=$E163,IF(AND($D163&gt;=BG$5,$D163&lt;BG$5+7),"◆",""),IF(AND($D163&lt;BG$5+7,$E163&gt;BG$5),"■","")))</x:f>
      </x:c>
      <x:c r="BH163" s="7" t="str">
        <x:f>IF(OR($D163="",BH$5="",'상세일정'!AM163="제외"),"",IF($D163=$E163,IF(AND($D163&gt;=BH$5,$D163&lt;BH$5+7),"◆",""),IF(AND($D163&lt;BH$5+7,$E163&gt;BH$5),"■","")))</x:f>
      </x:c>
      <x:c r="BI163" s="7" t="str">
        <x:f>IF(OR($D163="",BI$5="",'상세일정'!AM163="제외"),"",IF($D163=$E163,IF(AND($D163&gt;=BI$5,$D163&lt;BI$5+7),"◆",""),IF(AND($D163&lt;BI$5+7,$E163&gt;BI$5),"■","")))</x:f>
      </x:c>
      <x:c r="BJ163" s="7" t="str">
        <x:f>IF(OR($D163="",BJ$5="",'상세일정'!AM163="제외"),"",IF($D163=$E163,IF(AND($D163&gt;=BJ$5,$D163&lt;BJ$5+7),"◆",""),IF(AND($D163&lt;BJ$5+7,$E163&gt;BJ$5),"■","")))</x:f>
      </x:c>
      <x:c r="BK163" s="7" t="str">
        <x:f>IF(OR($D163="",BK$5="",'상세일정'!AM163="제외"),"",IF($D163=$E163,IF(AND($D163&gt;=BK$5,$D163&lt;BK$5+7),"◆",""),IF(AND($D163&lt;BK$5+7,$E163&gt;BK$5),"■","")))</x:f>
      </x:c>
      <x:c r="BL163" s="7" t="str">
        <x:f>IF(OR($D163="",BL$5="",'상세일정'!AM163="제외"),"",IF($D163=$E163,IF(AND($D163&gt;=BL$5,$D163&lt;BL$5+7),"◆",""),IF(AND($D163&lt;BL$5+7,$E163&gt;BL$5),"■","")))</x:f>
      </x:c>
      <x:c r="BM163" s="7" t="str">
        <x:f>IF(OR($D163="",BM$5="",'상세일정'!AM163="제외"),"",IF($D163=$E163,IF(AND($D163&gt;=BM$5,$D163&lt;BM$5+7),"◆",""),IF(AND($D163&lt;BM$5+7,$E163&gt;BM$5),"■","")))</x:f>
      </x:c>
      <x:c r="BN163" s="7" t="str">
        <x:f>IF(OR($D163="",BN$5="",'상세일정'!AM163="제외"),"",IF($D163=$E163,IF(AND($D163&gt;=BN$5,$D163&lt;BN$5+7),"◆",""),IF(AND($D163&lt;BN$5+7,$E163&gt;BN$5),"■","")))</x:f>
      </x:c>
      <x:c r="BO163" s="7" t="str">
        <x:f>IF(OR($D163="",BO$5="",'상세일정'!AM163="제외"),"",IF($D163=$E163,IF(AND($D163&gt;=BO$5,$D163&lt;BO$5+7),"◆",""),IF(AND($D163&lt;BO$5+7,$E163&gt;BO$5),"■","")))</x:f>
      </x:c>
      <x:c r="BP163" s="7" t="str">
        <x:f>IF(OR($D163="",BP$5="",'상세일정'!AM163="제외"),"",IF($D163=$E163,IF(AND($D163&gt;=BP$5,$D163&lt;BP$5+7),"◆",""),IF(AND($D163&lt;BP$5+7,$E163&gt;BP$5),"■","")))</x:f>
      </x:c>
      <x:c r="BQ163" s="7" t="str">
        <x:f>IF(OR($D163="",BQ$5="",'상세일정'!AM163="제외"),"",IF($D163=$E163,IF(AND($D163&gt;=BQ$5,$D163&lt;BQ$5+7),"◆",""),IF(AND($D163&lt;BQ$5+7,$E163&gt;BQ$5),"■","")))</x:f>
      </x:c>
      <x:c r="BR163" s="7" t="str">
        <x:f>IF(OR($D163="",BR$5="",'상세일정'!AM163="제외"),"",IF($D163=$E163,IF(AND($D163&gt;=BR$5,$D163&lt;BR$5+7),"◆",""),IF(AND($D163&lt;BR$5+7,$E163&gt;BR$5),"■","")))</x:f>
      </x:c>
      <x:c r="BS163" s="7" t="str">
        <x:f>IF(OR($D163="",BS$5="",'상세일정'!AM163="제외"),"",IF($D163=$E163,IF(AND($D163&gt;=BS$5,$D163&lt;BS$5+7),"◆",""),IF(AND($D163&lt;BS$5+7,$E163&gt;BS$5),"■","")))</x:f>
      </x:c>
      <x:c r="BT163" s="7" t="str">
        <x:f>IF(OR($D163="",BT$5="",'상세일정'!AM163="제외"),"",IF($D163=$E163,IF(AND($D163&gt;=BT$5,$D163&lt;BT$5+7),"◆",""),IF(AND($D163&lt;BT$5+7,$E163&gt;BT$5),"■","")))</x:f>
      </x:c>
      <x:c r="BU163" s="7" t="str">
        <x:f>IF(OR($D163="",BU$5="",'상세일정'!AM163="제외"),"",IF($D163=$E163,IF(AND($D163&gt;=BU$5,$D163&lt;BU$5+7),"◆",""),IF(AND($D163&lt;BU$5+7,$E163&gt;BU$5),"■","")))</x:f>
      </x:c>
      <x:c r="BV163" s="7" t="str">
        <x:f>IF(OR($D163="",BV$5="",'상세일정'!AM163="제외"),"",IF($D163=$E163,IF(AND($D163&gt;=BV$5,$D163&lt;BV$5+7),"◆",""),IF(AND($D163&lt;BV$5+7,$E163&gt;BV$5),"■","")))</x:f>
      </x:c>
      <x:c r="BW163" s="7" t="str">
        <x:f>IF(OR($D163="",BW$5="",'상세일정'!AM163="제외"),"",IF($D163=$E163,IF(AND($D163&gt;=BW$5,$D163&lt;BW$5+7),"◆",""),IF(AND($D163&lt;BW$5+7,$E163&gt;BW$5),"■","")))</x:f>
      </x:c>
      <x:c r="BX163" s="7" t="str">
        <x:f>IF(OR($D163="",BX$5="",'상세일정'!AM163="제외"),"",IF($D163=$E163,IF(AND($D163&gt;=BX$5,$D163&lt;BX$5+7),"◆",""),IF(AND($D163&lt;BX$5+7,$E163&gt;BX$5),"■","")))</x:f>
      </x:c>
      <x:c r="BY163" s="7" t="str">
        <x:f>IF(OR($D163="",BY$5="",'상세일정'!AM163="제외"),"",IF($D163=$E163,IF(AND($D163&gt;=BY$5,$D163&lt;BY$5+7),"◆",""),IF(AND($D163&lt;BY$5+7,$E163&gt;BY$5),"■","")))</x:f>
      </x:c>
      <x:c r="BZ163" s="7" t="str">
        <x:f>IF(OR($D163="",BZ$5="",'상세일정'!AM163="제외"),"",IF($D163=$E163,IF(AND($D163&gt;=BZ$5,$D163&lt;BZ$5+7),"◆",""),IF(AND($D163&lt;BZ$5+7,$E163&gt;BZ$5),"■","")))</x:f>
      </x:c>
      <x:c r="CA163" s="7" t="str">
        <x:f>IF(OR($D163="",CA$5="",'상세일정'!AM163="제외"),"",IF($D163=$E163,IF(AND($D163&gt;=CA$5,$D163&lt;CA$5+7),"◆",""),IF(AND($D163&lt;CA$5+7,$E163&gt;CA$5),"■","")))</x:f>
      </x:c>
      <x:c r="CB163" s="7" t="str">
        <x:f>IF(OR($D163="",CB$5="",'상세일정'!AM163="제외"),"",IF($D163=$E163,IF(AND($D163&gt;=CB$5,$D163&lt;CB$5+7),"◆",""),IF(AND($D163&lt;CB$5+7,$E163&gt;CB$5),"■","")))</x:f>
      </x:c>
      <x:c r="CC163" s="7" t="str">
        <x:f>IF(OR($D163="",CC$5="",'상세일정'!AM163="제외"),"",IF($D163=$E163,IF(AND($D163&gt;=CC$5,$D163&lt;CC$5+7),"◆",""),IF(AND($D163&lt;CC$5+7,$E163&gt;CC$5),"■","")))</x:f>
      </x:c>
      <x:c r="CD163" s="7" t="str">
        <x:f>IF(OR($D163="",CD$5="",'상세일정'!AM163="제외"),"",IF($D163=$E163,IF(AND($D163&gt;=CD$5,$D163&lt;CD$5+7),"◆",""),IF(AND($D163&lt;CD$5+7,$E163&gt;CD$5),"■","")))</x:f>
      </x:c>
      <x:c r="CE163" s="7" t="str">
        <x:f>IF(OR($D163="",CE$5="",'상세일정'!AM163="제외"),"",IF($D163=$E163,IF(AND($D163&gt;=CE$5,$D163&lt;CE$5+7),"◆",""),IF(AND($D163&lt;CE$5+7,$E163&gt;CE$5),"■","")))</x:f>
      </x:c>
      <x:c r="CF163" s="7" t="str">
        <x:f>IF(OR($D163="",CF$5="",'상세일정'!AM163="제외"),"",IF($D163=$E163,IF(AND($D163&gt;=CF$5,$D163&lt;CF$5+7),"◆",""),IF(AND($D163&lt;CF$5+7,$E163&gt;CF$5),"■","")))</x:f>
      </x:c>
      <x:c r="CG163" s="7" t="str">
        <x:f>IF(OR($D163="",CG$5="",'상세일정'!AM163="제외"),"",IF($D163=$E163,IF(AND($D163&gt;=CG$5,$D163&lt;CG$5+7),"◆",""),IF(AND($D163&lt;CG$5+7,$E163&gt;CG$5),"■","")))</x:f>
      </x:c>
      <x:c r="CH163" s="7" t="str">
        <x:f>IF(OR($D163="",CH$5="",'상세일정'!AM163="제외"),"",IF($D163=$E163,IF(AND($D163&gt;=CH$5,$D163&lt;CH$5+7),"◆",""),IF(AND($D163&lt;CH$5+7,$E163&gt;CH$5),"■","")))</x:f>
      </x:c>
      <x:c r="CI163" s="7" t="str">
        <x:f>IF(OR($D163="",CI$5="",'상세일정'!AM163="제외"),"",IF($D163=$E163,IF(AND($D163&gt;=CI$5,$D163&lt;CI$5+7),"◆",""),IF(AND($D163&lt;CI$5+7,$E163&gt;CI$5),"■","")))</x:f>
      </x:c>
      <x:c r="CJ163" s="7" t="str">
        <x:f>IF(OR($D163="",CJ$5="",'상세일정'!AM163="제외"),"",IF($D163=$E163,IF(AND($D163&gt;=CJ$5,$D163&lt;CJ$5+7),"◆",""),IF(AND($D163&lt;CJ$5+7,$E163&gt;CJ$5),"■","")))</x:f>
      </x:c>
      <x:c r="CK163" s="7" t="str">
        <x:f>IF(OR($D163="",CK$5="",'상세일정'!AM163="제외"),"",IF($D163=$E163,IF(AND($D163&gt;=CK$5,$D163&lt;CK$5+7),"◆",""),IF(AND($D163&lt;CK$5+7,$E163&gt;CK$5),"■","")))</x:f>
      </x:c>
      <x:c r="CL163" s="7" t="str">
        <x:f>IF(OR($D163="",CL$5="",'상세일정'!AM163="제외"),"",IF($D163=$E163,IF(AND($D163&gt;=CL$5,$D163&lt;CL$5+7),"◆",""),IF(AND($D163&lt;CL$5+7,$E163&gt;CL$5),"■","")))</x:f>
      </x:c>
      <x:c r="CM163" s="7" t="str">
        <x:f>IF(OR($D163="",CM$5="",'상세일정'!AM163="제외"),"",IF($D163=$E163,IF(AND($D163&gt;=CM$5,$D163&lt;CM$5+7),"◆",""),IF(AND($D163&lt;CM$5+7,$E163&gt;CM$5),"■","")))</x:f>
      </x:c>
      <x:c r="CN163" s="7" t="str">
        <x:f>IF(OR($D163="",CN$5="",'상세일정'!AM163="제외"),"",IF($D163=$E163,IF(AND($D163&gt;=CN$5,$D163&lt;CN$5+7),"◆",""),IF(AND($D163&lt;CN$5+7,$E163&gt;CN$5),"■","")))</x:f>
      </x:c>
      <x:c r="CO163" s="7" t="str">
        <x:f>IF(OR($D163="",CO$5="",'상세일정'!AM163="제외"),"",IF($D163=$E163,IF(AND($D163&gt;=CO$5,$D163&lt;CO$5+7),"◆",""),IF(AND($D163&lt;CO$5+7,$E163&gt;CO$5),"■","")))</x:f>
      </x:c>
      <x:c r="CP163" s="7" t="str">
        <x:f>IF(OR($D163="",CP$5="",'상세일정'!AM163="제외"),"",IF($D163=$E163,IF(AND($D163&gt;=CP$5,$D163&lt;CP$5+7),"◆",""),IF(AND($D163&lt;CP$5+7,$E163&gt;CP$5),"■","")))</x:f>
      </x:c>
      <x:c r="CQ163" s="7" t="str">
        <x:f>IF(OR($D163="",CQ$5="",'상세일정'!AM163="제외"),"",IF($D163=$E163,IF(AND($D163&gt;=CQ$5,$D163&lt;CQ$5+7),"◆",""),IF(AND($D163&lt;CQ$5+7,$E163&gt;CQ$5),"■","")))</x:f>
      </x:c>
      <x:c r="CR163" s="7" t="str">
        <x:f>IF(OR($D163="",CR$5="",'상세일정'!AM163="제외"),"",IF($D163=$E163,IF(AND($D163&gt;=CR$5,$D163&lt;CR$5+7),"◆",""),IF(AND($D163&lt;CR$5+7,$E163&gt;CR$5),"■","")))</x:f>
      </x:c>
      <x:c r="CS163" s="7" t="str">
        <x:f>IF(OR($D163="",CS$5="",'상세일정'!AM163="제외"),"",IF($D163=$E163,IF(AND($D163&gt;=CS$5,$D163&lt;CS$5+7),"◆",""),IF(AND($D163&lt;CS$5+7,$E163&gt;CS$5),"■","")))</x:f>
      </x:c>
      <x:c r="CT163" s="7" t="str">
        <x:f>IF(OR($D163="",CT$5="",'상세일정'!AM163="제외"),"",IF($D163=$E163,IF(AND($D163&gt;=CT$5,$D163&lt;CT$5+7),"◆",""),IF(AND($D163&lt;CT$5+7,$E163&gt;CT$5),"■","")))</x:f>
      </x:c>
      <x:c r="CU163" s="7" t="str">
        <x:f>IF(OR($D163="",CU$5="",'상세일정'!AM163="제외"),"",IF($D163=$E163,IF(AND($D163&gt;=CU$5,$D163&lt;CU$5+7),"◆",""),IF(AND($D163&lt;CU$5+7,$E163&gt;CU$5),"■","")))</x:f>
      </x:c>
      <x:c r="CV163" s="7" t="str">
        <x:f>IF(OR($D163="",CV$5="",'상세일정'!AM163="제외"),"",IF($D163=$E163,IF(AND($D163&gt;=CV$5,$D163&lt;CV$5+7),"◆",""),IF(AND($D163&lt;CV$5+7,$E163&gt;CV$5),"■","")))</x:f>
      </x:c>
      <x:c r="CW163" s="7" t="str">
        <x:f>IF(OR($D163="",CW$5="",'상세일정'!AM163="제외"),"",IF($D163=$E163,IF(AND($D163&gt;=CW$5,$D163&lt;CW$5+7),"◆",""),IF(AND($D163&lt;CW$5+7,$E163&gt;CW$5),"■","")))</x:f>
      </x:c>
      <x:c r="CX163" s="7" t="str">
        <x:f>IF(OR($D163="",CX$5="",'상세일정'!AM163="제외"),"",IF($D163=$E163,IF(AND($D163&gt;=CX$5,$D163&lt;CX$5+7),"◆",""),IF(AND($D163&lt;CX$5+7,$E163&gt;CX$5),"■","")))</x:f>
      </x:c>
      <x:c r="CY163" s="7" t="str">
        <x:f>IF(OR($D163="",CY$5="",'상세일정'!AM163="제외"),"",IF($D163=$E163,IF(AND($D163&gt;=CY$5,$D163&lt;CY$5+7),"◆",""),IF(AND($D163&lt;CY$5+7,$E163&gt;CY$5),"■","")))</x:f>
      </x:c>
      <x:c r="CZ163" s="7" t="str">
        <x:f>IF(OR($D163="",CZ$5="",'상세일정'!AM163="제외"),"",IF($D163=$E163,IF(AND($D163&gt;=CZ$5,$D163&lt;CZ$5+7),"◆",""),IF(AND($D163&lt;CZ$5+7,$E163&gt;CZ$5),"■","")))</x:f>
      </x:c>
      <x:c r="DA163" s="7" t="str">
        <x:f>IF(OR($D163="",DA$5="",'상세일정'!AM163="제외"),"",IF($D163=$E163,IF(AND($D163&gt;=DA$5,$D163&lt;DA$5+7),"◆",""),IF(AND($D163&lt;DA$5+7,$E163&gt;DA$5),"■","")))</x:f>
      </x:c>
      <x:c r="DB163" s="7" t="str">
        <x:f>IF(OR($D163="",DB$5="",'상세일정'!AM163="제외"),"",IF($D163=$E163,IF(AND($D163&gt;=DB$5,$D163&lt;DB$5+7),"◆",""),IF(AND($D163&lt;DB$5+7,$E163&gt;DB$5),"■","")))</x:f>
      </x:c>
      <x:c r="DC163" s="7" t="str">
        <x:f>IF(OR($D163="",DC$5="",'상세일정'!AM163="제외"),"",IF($D163=$E163,IF(AND($D163&gt;=DC$5,$D163&lt;DC$5+7),"◆",""),IF(AND($D163&lt;DC$5+7,$E163&gt;DC$5),"■","")))</x:f>
      </x:c>
      <x:c r="DD163" s="7" t="str">
        <x:f>IF(OR($D163="",DD$5="",'상세일정'!AM163="제외"),"",IF($D163=$E163,IF(AND($D163&gt;=DD$5,$D163&lt;DD$5+7),"◆",""),IF(AND($D163&lt;DD$5+7,$E163&gt;DD$5),"■","")))</x:f>
      </x:c>
      <x:c r="DE163" s="7" t="str">
        <x:f>IF(OR($D163="",DE$5="",'상세일정'!AM163="제외"),"",IF($D163=$E163,IF(AND($D163&gt;=DE$5,$D163&lt;DE$5+7),"◆",""),IF(AND($D163&lt;DE$5+7,$E163&gt;DE$5),"■","")))</x:f>
      </x:c>
    </x:row>
    <x:row r="164" ht="34" customHeight="1">
      <x:c r="A164" s="7" t="str">
        <x:v>BW01</x:v>
      </x:c>
      <x:c r="B164" s="7" t="str">
        <x:v>18 건축·방호벽</x:v>
      </x:c>
      <x:c r="C164" s="7" t="str">
        <x:v>방호벽 철근·거푸집 및 매입물 시공</x:v>
      </x:c>
      <x:c r="D164" s="10" t="str">
        <x:f>'상세일정'!AJ164</x:f>
      </x:c>
      <x:c r="E164" s="10" t="str">
        <x:f>'상세일정'!AK164</x:f>
      </x:c>
      <x:c r="F164" s="7" t="str">
        <x:f>IF(OR($D164="",F$5="",'상세일정'!AM164="제외"),"",IF($D164=$E164,IF(AND($D164&gt;=F$5,$D164&lt;F$5+7),"◆",""),IF(AND($D164&lt;F$5+7,$E164&gt;F$5),"■","")))</x:f>
      </x:c>
      <x:c r="G164" s="7" t="str">
        <x:f>IF(OR($D164="",G$5="",'상세일정'!AM164="제외"),"",IF($D164=$E164,IF(AND($D164&gt;=G$5,$D164&lt;G$5+7),"◆",""),IF(AND($D164&lt;G$5+7,$E164&gt;G$5),"■","")))</x:f>
      </x:c>
      <x:c r="H164" s="7" t="str">
        <x:f>IF(OR($D164="",H$5="",'상세일정'!AM164="제외"),"",IF($D164=$E164,IF(AND($D164&gt;=H$5,$D164&lt;H$5+7),"◆",""),IF(AND($D164&lt;H$5+7,$E164&gt;H$5),"■","")))</x:f>
      </x:c>
      <x:c r="I164" s="7" t="str">
        <x:f>IF(OR($D164="",I$5="",'상세일정'!AM164="제외"),"",IF($D164=$E164,IF(AND($D164&gt;=I$5,$D164&lt;I$5+7),"◆",""),IF(AND($D164&lt;I$5+7,$E164&gt;I$5),"■","")))</x:f>
      </x:c>
      <x:c r="J164" s="7" t="str">
        <x:f>IF(OR($D164="",J$5="",'상세일정'!AM164="제외"),"",IF($D164=$E164,IF(AND($D164&gt;=J$5,$D164&lt;J$5+7),"◆",""),IF(AND($D164&lt;J$5+7,$E164&gt;J$5),"■","")))</x:f>
      </x:c>
      <x:c r="K164" s="7" t="str">
        <x:f>IF(OR($D164="",K$5="",'상세일정'!AM164="제외"),"",IF($D164=$E164,IF(AND($D164&gt;=K$5,$D164&lt;K$5+7),"◆",""),IF(AND($D164&lt;K$5+7,$E164&gt;K$5),"■","")))</x:f>
      </x:c>
      <x:c r="L164" s="7" t="str">
        <x:f>IF(OR($D164="",L$5="",'상세일정'!AM164="제외"),"",IF($D164=$E164,IF(AND($D164&gt;=L$5,$D164&lt;L$5+7),"◆",""),IF(AND($D164&lt;L$5+7,$E164&gt;L$5),"■","")))</x:f>
      </x:c>
      <x:c r="M164" s="7" t="str">
        <x:f>IF(OR($D164="",M$5="",'상세일정'!AM164="제외"),"",IF($D164=$E164,IF(AND($D164&gt;=M$5,$D164&lt;M$5+7),"◆",""),IF(AND($D164&lt;M$5+7,$E164&gt;M$5),"■","")))</x:f>
      </x:c>
      <x:c r="N164" s="7" t="str">
        <x:f>IF(OR($D164="",N$5="",'상세일정'!AM164="제외"),"",IF($D164=$E164,IF(AND($D164&gt;=N$5,$D164&lt;N$5+7),"◆",""),IF(AND($D164&lt;N$5+7,$E164&gt;N$5),"■","")))</x:f>
      </x:c>
      <x:c r="O164" s="7" t="str">
        <x:f>IF(OR($D164="",O$5="",'상세일정'!AM164="제외"),"",IF($D164=$E164,IF(AND($D164&gt;=O$5,$D164&lt;O$5+7),"◆",""),IF(AND($D164&lt;O$5+7,$E164&gt;O$5),"■","")))</x:f>
      </x:c>
      <x:c r="P164" s="7" t="str">
        <x:f>IF(OR($D164="",P$5="",'상세일정'!AM164="제외"),"",IF($D164=$E164,IF(AND($D164&gt;=P$5,$D164&lt;P$5+7),"◆",""),IF(AND($D164&lt;P$5+7,$E164&gt;P$5),"■","")))</x:f>
      </x:c>
      <x:c r="Q164" s="7" t="str">
        <x:f>IF(OR($D164="",Q$5="",'상세일정'!AM164="제외"),"",IF($D164=$E164,IF(AND($D164&gt;=Q$5,$D164&lt;Q$5+7),"◆",""),IF(AND($D164&lt;Q$5+7,$E164&gt;Q$5),"■","")))</x:f>
      </x:c>
      <x:c r="R164" s="7" t="str">
        <x:f>IF(OR($D164="",R$5="",'상세일정'!AM164="제외"),"",IF($D164=$E164,IF(AND($D164&gt;=R$5,$D164&lt;R$5+7),"◆",""),IF(AND($D164&lt;R$5+7,$E164&gt;R$5),"■","")))</x:f>
      </x:c>
      <x:c r="S164" s="7" t="str">
        <x:f>IF(OR($D164="",S$5="",'상세일정'!AM164="제외"),"",IF($D164=$E164,IF(AND($D164&gt;=S$5,$D164&lt;S$5+7),"◆",""),IF(AND($D164&lt;S$5+7,$E164&gt;S$5),"■","")))</x:f>
      </x:c>
      <x:c r="T164" s="7" t="str">
        <x:f>IF(OR($D164="",T$5="",'상세일정'!AM164="제외"),"",IF($D164=$E164,IF(AND($D164&gt;=T$5,$D164&lt;T$5+7),"◆",""),IF(AND($D164&lt;T$5+7,$E164&gt;T$5),"■","")))</x:f>
      </x:c>
      <x:c r="U164" s="7" t="str">
        <x:f>IF(OR($D164="",U$5="",'상세일정'!AM164="제외"),"",IF($D164=$E164,IF(AND($D164&gt;=U$5,$D164&lt;U$5+7),"◆",""),IF(AND($D164&lt;U$5+7,$E164&gt;U$5),"■","")))</x:f>
      </x:c>
      <x:c r="V164" s="7" t="str">
        <x:f>IF(OR($D164="",V$5="",'상세일정'!AM164="제외"),"",IF($D164=$E164,IF(AND($D164&gt;=V$5,$D164&lt;V$5+7),"◆",""),IF(AND($D164&lt;V$5+7,$E164&gt;V$5),"■","")))</x:f>
      </x:c>
      <x:c r="W164" s="7" t="str">
        <x:f>IF(OR($D164="",W$5="",'상세일정'!AM164="제외"),"",IF($D164=$E164,IF(AND($D164&gt;=W$5,$D164&lt;W$5+7),"◆",""),IF(AND($D164&lt;W$5+7,$E164&gt;W$5),"■","")))</x:f>
      </x:c>
      <x:c r="X164" s="7" t="str">
        <x:f>IF(OR($D164="",X$5="",'상세일정'!AM164="제외"),"",IF($D164=$E164,IF(AND($D164&gt;=X$5,$D164&lt;X$5+7),"◆",""),IF(AND($D164&lt;X$5+7,$E164&gt;X$5),"■","")))</x:f>
      </x:c>
      <x:c r="Y164" s="7" t="str">
        <x:f>IF(OR($D164="",Y$5="",'상세일정'!AM164="제외"),"",IF($D164=$E164,IF(AND($D164&gt;=Y$5,$D164&lt;Y$5+7),"◆",""),IF(AND($D164&lt;Y$5+7,$E164&gt;Y$5),"■","")))</x:f>
      </x:c>
      <x:c r="Z164" s="7" t="str">
        <x:f>IF(OR($D164="",Z$5="",'상세일정'!AM164="제외"),"",IF($D164=$E164,IF(AND($D164&gt;=Z$5,$D164&lt;Z$5+7),"◆",""),IF(AND($D164&lt;Z$5+7,$E164&gt;Z$5),"■","")))</x:f>
      </x:c>
      <x:c r="AA164" s="7" t="str">
        <x:f>IF(OR($D164="",AA$5="",'상세일정'!AM164="제외"),"",IF($D164=$E164,IF(AND($D164&gt;=AA$5,$D164&lt;AA$5+7),"◆",""),IF(AND($D164&lt;AA$5+7,$E164&gt;AA$5),"■","")))</x:f>
      </x:c>
      <x:c r="AB164" s="7" t="str">
        <x:f>IF(OR($D164="",AB$5="",'상세일정'!AM164="제외"),"",IF($D164=$E164,IF(AND($D164&gt;=AB$5,$D164&lt;AB$5+7),"◆",""),IF(AND($D164&lt;AB$5+7,$E164&gt;AB$5),"■","")))</x:f>
      </x:c>
      <x:c r="AC164" s="7" t="str">
        <x:f>IF(OR($D164="",AC$5="",'상세일정'!AM164="제외"),"",IF($D164=$E164,IF(AND($D164&gt;=AC$5,$D164&lt;AC$5+7),"◆",""),IF(AND($D164&lt;AC$5+7,$E164&gt;AC$5),"■","")))</x:f>
      </x:c>
      <x:c r="AD164" s="7" t="str">
        <x:f>IF(OR($D164="",AD$5="",'상세일정'!AM164="제외"),"",IF($D164=$E164,IF(AND($D164&gt;=AD$5,$D164&lt;AD$5+7),"◆",""),IF(AND($D164&lt;AD$5+7,$E164&gt;AD$5),"■","")))</x:f>
      </x:c>
      <x:c r="AE164" s="7" t="str">
        <x:f>IF(OR($D164="",AE$5="",'상세일정'!AM164="제외"),"",IF($D164=$E164,IF(AND($D164&gt;=AE$5,$D164&lt;AE$5+7),"◆",""),IF(AND($D164&lt;AE$5+7,$E164&gt;AE$5),"■","")))</x:f>
      </x:c>
      <x:c r="AF164" s="7" t="str">
        <x:f>IF(OR($D164="",AF$5="",'상세일정'!AM164="제외"),"",IF($D164=$E164,IF(AND($D164&gt;=AF$5,$D164&lt;AF$5+7),"◆",""),IF(AND($D164&lt;AF$5+7,$E164&gt;AF$5),"■","")))</x:f>
      </x:c>
      <x:c r="AG164" s="7" t="str">
        <x:f>IF(OR($D164="",AG$5="",'상세일정'!AM164="제외"),"",IF($D164=$E164,IF(AND($D164&gt;=AG$5,$D164&lt;AG$5+7),"◆",""),IF(AND($D164&lt;AG$5+7,$E164&gt;AG$5),"■","")))</x:f>
      </x:c>
      <x:c r="AH164" s="7" t="str">
        <x:f>IF(OR($D164="",AH$5="",'상세일정'!AM164="제외"),"",IF($D164=$E164,IF(AND($D164&gt;=AH$5,$D164&lt;AH$5+7),"◆",""),IF(AND($D164&lt;AH$5+7,$E164&gt;AH$5),"■","")))</x:f>
      </x:c>
      <x:c r="AI164" s="7" t="str">
        <x:f>IF(OR($D164="",AI$5="",'상세일정'!AM164="제외"),"",IF($D164=$E164,IF(AND($D164&gt;=AI$5,$D164&lt;AI$5+7),"◆",""),IF(AND($D164&lt;AI$5+7,$E164&gt;AI$5),"■","")))</x:f>
      </x:c>
      <x:c r="AJ164" s="7" t="str">
        <x:f>IF(OR($D164="",AJ$5="",'상세일정'!AM164="제외"),"",IF($D164=$E164,IF(AND($D164&gt;=AJ$5,$D164&lt;AJ$5+7),"◆",""),IF(AND($D164&lt;AJ$5+7,$E164&gt;AJ$5),"■","")))</x:f>
      </x:c>
      <x:c r="AK164" s="7" t="str">
        <x:f>IF(OR($D164="",AK$5="",'상세일정'!AM164="제외"),"",IF($D164=$E164,IF(AND($D164&gt;=AK$5,$D164&lt;AK$5+7),"◆",""),IF(AND($D164&lt;AK$5+7,$E164&gt;AK$5),"■","")))</x:f>
      </x:c>
      <x:c r="AL164" s="7" t="str">
        <x:f>IF(OR($D164="",AL$5="",'상세일정'!AM164="제외"),"",IF($D164=$E164,IF(AND($D164&gt;=AL$5,$D164&lt;AL$5+7),"◆",""),IF(AND($D164&lt;AL$5+7,$E164&gt;AL$5),"■","")))</x:f>
      </x:c>
      <x:c r="AM164" s="7" t="str">
        <x:f>IF(OR($D164="",AM$5="",'상세일정'!AM164="제외"),"",IF($D164=$E164,IF(AND($D164&gt;=AM$5,$D164&lt;AM$5+7),"◆",""),IF(AND($D164&lt;AM$5+7,$E164&gt;AM$5),"■","")))</x:f>
      </x:c>
      <x:c r="AN164" s="7" t="str">
        <x:f>IF(OR($D164="",AN$5="",'상세일정'!AM164="제외"),"",IF($D164=$E164,IF(AND($D164&gt;=AN$5,$D164&lt;AN$5+7),"◆",""),IF(AND($D164&lt;AN$5+7,$E164&gt;AN$5),"■","")))</x:f>
      </x:c>
      <x:c r="AO164" s="7" t="str">
        <x:f>IF(OR($D164="",AO$5="",'상세일정'!AM164="제외"),"",IF($D164=$E164,IF(AND($D164&gt;=AO$5,$D164&lt;AO$5+7),"◆",""),IF(AND($D164&lt;AO$5+7,$E164&gt;AO$5),"■","")))</x:f>
      </x:c>
      <x:c r="AP164" s="7" t="str">
        <x:f>IF(OR($D164="",AP$5="",'상세일정'!AM164="제외"),"",IF($D164=$E164,IF(AND($D164&gt;=AP$5,$D164&lt;AP$5+7),"◆",""),IF(AND($D164&lt;AP$5+7,$E164&gt;AP$5),"■","")))</x:f>
      </x:c>
      <x:c r="AQ164" s="7" t="str">
        <x:f>IF(OR($D164="",AQ$5="",'상세일정'!AM164="제외"),"",IF($D164=$E164,IF(AND($D164&gt;=AQ$5,$D164&lt;AQ$5+7),"◆",""),IF(AND($D164&lt;AQ$5+7,$E164&gt;AQ$5),"■","")))</x:f>
      </x:c>
      <x:c r="AR164" s="7" t="str">
        <x:f>IF(OR($D164="",AR$5="",'상세일정'!AM164="제외"),"",IF($D164=$E164,IF(AND($D164&gt;=AR$5,$D164&lt;AR$5+7),"◆",""),IF(AND($D164&lt;AR$5+7,$E164&gt;AR$5),"■","")))</x:f>
      </x:c>
      <x:c r="AS164" s="7" t="str">
        <x:f>IF(OR($D164="",AS$5="",'상세일정'!AM164="제외"),"",IF($D164=$E164,IF(AND($D164&gt;=AS$5,$D164&lt;AS$5+7),"◆",""),IF(AND($D164&lt;AS$5+7,$E164&gt;AS$5),"■","")))</x:f>
      </x:c>
      <x:c r="AT164" s="7" t="str">
        <x:f>IF(OR($D164="",AT$5="",'상세일정'!AM164="제외"),"",IF($D164=$E164,IF(AND($D164&gt;=AT$5,$D164&lt;AT$5+7),"◆",""),IF(AND($D164&lt;AT$5+7,$E164&gt;AT$5),"■","")))</x:f>
      </x:c>
      <x:c r="AU164" s="7" t="str">
        <x:f>IF(OR($D164="",AU$5="",'상세일정'!AM164="제외"),"",IF($D164=$E164,IF(AND($D164&gt;=AU$5,$D164&lt;AU$5+7),"◆",""),IF(AND($D164&lt;AU$5+7,$E164&gt;AU$5),"■","")))</x:f>
      </x:c>
      <x:c r="AV164" s="7" t="str">
        <x:f>IF(OR($D164="",AV$5="",'상세일정'!AM164="제외"),"",IF($D164=$E164,IF(AND($D164&gt;=AV$5,$D164&lt;AV$5+7),"◆",""),IF(AND($D164&lt;AV$5+7,$E164&gt;AV$5),"■","")))</x:f>
      </x:c>
      <x:c r="AW164" s="7" t="str">
        <x:f>IF(OR($D164="",AW$5="",'상세일정'!AM164="제외"),"",IF($D164=$E164,IF(AND($D164&gt;=AW$5,$D164&lt;AW$5+7),"◆",""),IF(AND($D164&lt;AW$5+7,$E164&gt;AW$5),"■","")))</x:f>
      </x:c>
      <x:c r="AX164" s="7" t="str">
        <x:f>IF(OR($D164="",AX$5="",'상세일정'!AM164="제외"),"",IF($D164=$E164,IF(AND($D164&gt;=AX$5,$D164&lt;AX$5+7),"◆",""),IF(AND($D164&lt;AX$5+7,$E164&gt;AX$5),"■","")))</x:f>
      </x:c>
      <x:c r="AY164" s="7" t="str">
        <x:f>IF(OR($D164="",AY$5="",'상세일정'!AM164="제외"),"",IF($D164=$E164,IF(AND($D164&gt;=AY$5,$D164&lt;AY$5+7),"◆",""),IF(AND($D164&lt;AY$5+7,$E164&gt;AY$5),"■","")))</x:f>
      </x:c>
      <x:c r="AZ164" s="7" t="str">
        <x:f>IF(OR($D164="",AZ$5="",'상세일정'!AM164="제외"),"",IF($D164=$E164,IF(AND($D164&gt;=AZ$5,$D164&lt;AZ$5+7),"◆",""),IF(AND($D164&lt;AZ$5+7,$E164&gt;AZ$5),"■","")))</x:f>
      </x:c>
      <x:c r="BA164" s="7" t="str">
        <x:f>IF(OR($D164="",BA$5="",'상세일정'!AM164="제외"),"",IF($D164=$E164,IF(AND($D164&gt;=BA$5,$D164&lt;BA$5+7),"◆",""),IF(AND($D164&lt;BA$5+7,$E164&gt;BA$5),"■","")))</x:f>
      </x:c>
      <x:c r="BB164" s="7" t="str">
        <x:f>IF(OR($D164="",BB$5="",'상세일정'!AM164="제외"),"",IF($D164=$E164,IF(AND($D164&gt;=BB$5,$D164&lt;BB$5+7),"◆",""),IF(AND($D164&lt;BB$5+7,$E164&gt;BB$5),"■","")))</x:f>
      </x:c>
      <x:c r="BC164" s="7" t="str">
        <x:f>IF(OR($D164="",BC$5="",'상세일정'!AM164="제외"),"",IF($D164=$E164,IF(AND($D164&gt;=BC$5,$D164&lt;BC$5+7),"◆",""),IF(AND($D164&lt;BC$5+7,$E164&gt;BC$5),"■","")))</x:f>
      </x:c>
      <x:c r="BD164" s="7" t="str">
        <x:f>IF(OR($D164="",BD$5="",'상세일정'!AM164="제외"),"",IF($D164=$E164,IF(AND($D164&gt;=BD$5,$D164&lt;BD$5+7),"◆",""),IF(AND($D164&lt;BD$5+7,$E164&gt;BD$5),"■","")))</x:f>
      </x:c>
      <x:c r="BE164" s="7" t="str">
        <x:f>IF(OR($D164="",BE$5="",'상세일정'!AM164="제외"),"",IF($D164=$E164,IF(AND($D164&gt;=BE$5,$D164&lt;BE$5+7),"◆",""),IF(AND($D164&lt;BE$5+7,$E164&gt;BE$5),"■","")))</x:f>
      </x:c>
      <x:c r="BF164" s="7" t="str">
        <x:f>IF(OR($D164="",BF$5="",'상세일정'!AM164="제외"),"",IF($D164=$E164,IF(AND($D164&gt;=BF$5,$D164&lt;BF$5+7),"◆",""),IF(AND($D164&lt;BF$5+7,$E164&gt;BF$5),"■","")))</x:f>
      </x:c>
      <x:c r="BG164" s="7" t="str">
        <x:f>IF(OR($D164="",BG$5="",'상세일정'!AM164="제외"),"",IF($D164=$E164,IF(AND($D164&gt;=BG$5,$D164&lt;BG$5+7),"◆",""),IF(AND($D164&lt;BG$5+7,$E164&gt;BG$5),"■","")))</x:f>
      </x:c>
      <x:c r="BH164" s="7" t="str">
        <x:f>IF(OR($D164="",BH$5="",'상세일정'!AM164="제외"),"",IF($D164=$E164,IF(AND($D164&gt;=BH$5,$D164&lt;BH$5+7),"◆",""),IF(AND($D164&lt;BH$5+7,$E164&gt;BH$5),"■","")))</x:f>
      </x:c>
      <x:c r="BI164" s="7" t="str">
        <x:f>IF(OR($D164="",BI$5="",'상세일정'!AM164="제외"),"",IF($D164=$E164,IF(AND($D164&gt;=BI$5,$D164&lt;BI$5+7),"◆",""),IF(AND($D164&lt;BI$5+7,$E164&gt;BI$5),"■","")))</x:f>
      </x:c>
      <x:c r="BJ164" s="7" t="str">
        <x:f>IF(OR($D164="",BJ$5="",'상세일정'!AM164="제외"),"",IF($D164=$E164,IF(AND($D164&gt;=BJ$5,$D164&lt;BJ$5+7),"◆",""),IF(AND($D164&lt;BJ$5+7,$E164&gt;BJ$5),"■","")))</x:f>
      </x:c>
      <x:c r="BK164" s="7" t="str">
        <x:f>IF(OR($D164="",BK$5="",'상세일정'!AM164="제외"),"",IF($D164=$E164,IF(AND($D164&gt;=BK$5,$D164&lt;BK$5+7),"◆",""),IF(AND($D164&lt;BK$5+7,$E164&gt;BK$5),"■","")))</x:f>
      </x:c>
      <x:c r="BL164" s="7" t="str">
        <x:f>IF(OR($D164="",BL$5="",'상세일정'!AM164="제외"),"",IF($D164=$E164,IF(AND($D164&gt;=BL$5,$D164&lt;BL$5+7),"◆",""),IF(AND($D164&lt;BL$5+7,$E164&gt;BL$5),"■","")))</x:f>
      </x:c>
      <x:c r="BM164" s="7" t="str">
        <x:f>IF(OR($D164="",BM$5="",'상세일정'!AM164="제외"),"",IF($D164=$E164,IF(AND($D164&gt;=BM$5,$D164&lt;BM$5+7),"◆",""),IF(AND($D164&lt;BM$5+7,$E164&gt;BM$5),"■","")))</x:f>
      </x:c>
      <x:c r="BN164" s="7" t="str">
        <x:f>IF(OR($D164="",BN$5="",'상세일정'!AM164="제외"),"",IF($D164=$E164,IF(AND($D164&gt;=BN$5,$D164&lt;BN$5+7),"◆",""),IF(AND($D164&lt;BN$5+7,$E164&gt;BN$5),"■","")))</x:f>
      </x:c>
      <x:c r="BO164" s="7" t="str">
        <x:f>IF(OR($D164="",BO$5="",'상세일정'!AM164="제외"),"",IF($D164=$E164,IF(AND($D164&gt;=BO$5,$D164&lt;BO$5+7),"◆",""),IF(AND($D164&lt;BO$5+7,$E164&gt;BO$5),"■","")))</x:f>
      </x:c>
      <x:c r="BP164" s="7" t="str">
        <x:f>IF(OR($D164="",BP$5="",'상세일정'!AM164="제외"),"",IF($D164=$E164,IF(AND($D164&gt;=BP$5,$D164&lt;BP$5+7),"◆",""),IF(AND($D164&lt;BP$5+7,$E164&gt;BP$5),"■","")))</x:f>
      </x:c>
      <x:c r="BQ164" s="7" t="str">
        <x:f>IF(OR($D164="",BQ$5="",'상세일정'!AM164="제외"),"",IF($D164=$E164,IF(AND($D164&gt;=BQ$5,$D164&lt;BQ$5+7),"◆",""),IF(AND($D164&lt;BQ$5+7,$E164&gt;BQ$5),"■","")))</x:f>
      </x:c>
      <x:c r="BR164" s="7" t="str">
        <x:f>IF(OR($D164="",BR$5="",'상세일정'!AM164="제외"),"",IF($D164=$E164,IF(AND($D164&gt;=BR$5,$D164&lt;BR$5+7),"◆",""),IF(AND($D164&lt;BR$5+7,$E164&gt;BR$5),"■","")))</x:f>
      </x:c>
      <x:c r="BS164" s="7" t="str">
        <x:f>IF(OR($D164="",BS$5="",'상세일정'!AM164="제외"),"",IF($D164=$E164,IF(AND($D164&gt;=BS$5,$D164&lt;BS$5+7),"◆",""),IF(AND($D164&lt;BS$5+7,$E164&gt;BS$5),"■","")))</x:f>
      </x:c>
      <x:c r="BT164" s="7" t="str">
        <x:f>IF(OR($D164="",BT$5="",'상세일정'!AM164="제외"),"",IF($D164=$E164,IF(AND($D164&gt;=BT$5,$D164&lt;BT$5+7),"◆",""),IF(AND($D164&lt;BT$5+7,$E164&gt;BT$5),"■","")))</x:f>
      </x:c>
      <x:c r="BU164" s="7" t="str">
        <x:f>IF(OR($D164="",BU$5="",'상세일정'!AM164="제외"),"",IF($D164=$E164,IF(AND($D164&gt;=BU$5,$D164&lt;BU$5+7),"◆",""),IF(AND($D164&lt;BU$5+7,$E164&gt;BU$5),"■","")))</x:f>
      </x:c>
      <x:c r="BV164" s="7" t="str">
        <x:f>IF(OR($D164="",BV$5="",'상세일정'!AM164="제외"),"",IF($D164=$E164,IF(AND($D164&gt;=BV$5,$D164&lt;BV$5+7),"◆",""),IF(AND($D164&lt;BV$5+7,$E164&gt;BV$5),"■","")))</x:f>
      </x:c>
      <x:c r="BW164" s="7" t="str">
        <x:f>IF(OR($D164="",BW$5="",'상세일정'!AM164="제외"),"",IF($D164=$E164,IF(AND($D164&gt;=BW$5,$D164&lt;BW$5+7),"◆",""),IF(AND($D164&lt;BW$5+7,$E164&gt;BW$5),"■","")))</x:f>
      </x:c>
      <x:c r="BX164" s="7" t="str">
        <x:f>IF(OR($D164="",BX$5="",'상세일정'!AM164="제외"),"",IF($D164=$E164,IF(AND($D164&gt;=BX$5,$D164&lt;BX$5+7),"◆",""),IF(AND($D164&lt;BX$5+7,$E164&gt;BX$5),"■","")))</x:f>
      </x:c>
      <x:c r="BY164" s="7" t="str">
        <x:f>IF(OR($D164="",BY$5="",'상세일정'!AM164="제외"),"",IF($D164=$E164,IF(AND($D164&gt;=BY$5,$D164&lt;BY$5+7),"◆",""),IF(AND($D164&lt;BY$5+7,$E164&gt;BY$5),"■","")))</x:f>
      </x:c>
      <x:c r="BZ164" s="7" t="str">
        <x:f>IF(OR($D164="",BZ$5="",'상세일정'!AM164="제외"),"",IF($D164=$E164,IF(AND($D164&gt;=BZ$5,$D164&lt;BZ$5+7),"◆",""),IF(AND($D164&lt;BZ$5+7,$E164&gt;BZ$5),"■","")))</x:f>
      </x:c>
      <x:c r="CA164" s="7" t="str">
        <x:f>IF(OR($D164="",CA$5="",'상세일정'!AM164="제외"),"",IF($D164=$E164,IF(AND($D164&gt;=CA$5,$D164&lt;CA$5+7),"◆",""),IF(AND($D164&lt;CA$5+7,$E164&gt;CA$5),"■","")))</x:f>
      </x:c>
      <x:c r="CB164" s="7" t="str">
        <x:f>IF(OR($D164="",CB$5="",'상세일정'!AM164="제외"),"",IF($D164=$E164,IF(AND($D164&gt;=CB$5,$D164&lt;CB$5+7),"◆",""),IF(AND($D164&lt;CB$5+7,$E164&gt;CB$5),"■","")))</x:f>
      </x:c>
      <x:c r="CC164" s="7" t="str">
        <x:f>IF(OR($D164="",CC$5="",'상세일정'!AM164="제외"),"",IF($D164=$E164,IF(AND($D164&gt;=CC$5,$D164&lt;CC$5+7),"◆",""),IF(AND($D164&lt;CC$5+7,$E164&gt;CC$5),"■","")))</x:f>
      </x:c>
      <x:c r="CD164" s="7" t="str">
        <x:f>IF(OR($D164="",CD$5="",'상세일정'!AM164="제외"),"",IF($D164=$E164,IF(AND($D164&gt;=CD$5,$D164&lt;CD$5+7),"◆",""),IF(AND($D164&lt;CD$5+7,$E164&gt;CD$5),"■","")))</x:f>
      </x:c>
      <x:c r="CE164" s="7" t="str">
        <x:f>IF(OR($D164="",CE$5="",'상세일정'!AM164="제외"),"",IF($D164=$E164,IF(AND($D164&gt;=CE$5,$D164&lt;CE$5+7),"◆",""),IF(AND($D164&lt;CE$5+7,$E164&gt;CE$5),"■","")))</x:f>
      </x:c>
      <x:c r="CF164" s="7" t="str">
        <x:f>IF(OR($D164="",CF$5="",'상세일정'!AM164="제외"),"",IF($D164=$E164,IF(AND($D164&gt;=CF$5,$D164&lt;CF$5+7),"◆",""),IF(AND($D164&lt;CF$5+7,$E164&gt;CF$5),"■","")))</x:f>
      </x:c>
      <x:c r="CG164" s="7" t="str">
        <x:f>IF(OR($D164="",CG$5="",'상세일정'!AM164="제외"),"",IF($D164=$E164,IF(AND($D164&gt;=CG$5,$D164&lt;CG$5+7),"◆",""),IF(AND($D164&lt;CG$5+7,$E164&gt;CG$5),"■","")))</x:f>
      </x:c>
      <x:c r="CH164" s="7" t="str">
        <x:f>IF(OR($D164="",CH$5="",'상세일정'!AM164="제외"),"",IF($D164=$E164,IF(AND($D164&gt;=CH$5,$D164&lt;CH$5+7),"◆",""),IF(AND($D164&lt;CH$5+7,$E164&gt;CH$5),"■","")))</x:f>
      </x:c>
      <x:c r="CI164" s="7" t="str">
        <x:f>IF(OR($D164="",CI$5="",'상세일정'!AM164="제외"),"",IF($D164=$E164,IF(AND($D164&gt;=CI$5,$D164&lt;CI$5+7),"◆",""),IF(AND($D164&lt;CI$5+7,$E164&gt;CI$5),"■","")))</x:f>
      </x:c>
      <x:c r="CJ164" s="7" t="str">
        <x:f>IF(OR($D164="",CJ$5="",'상세일정'!AM164="제외"),"",IF($D164=$E164,IF(AND($D164&gt;=CJ$5,$D164&lt;CJ$5+7),"◆",""),IF(AND($D164&lt;CJ$5+7,$E164&gt;CJ$5),"■","")))</x:f>
      </x:c>
      <x:c r="CK164" s="7" t="str">
        <x:f>IF(OR($D164="",CK$5="",'상세일정'!AM164="제외"),"",IF($D164=$E164,IF(AND($D164&gt;=CK$5,$D164&lt;CK$5+7),"◆",""),IF(AND($D164&lt;CK$5+7,$E164&gt;CK$5),"■","")))</x:f>
      </x:c>
      <x:c r="CL164" s="7" t="str">
        <x:f>IF(OR($D164="",CL$5="",'상세일정'!AM164="제외"),"",IF($D164=$E164,IF(AND($D164&gt;=CL$5,$D164&lt;CL$5+7),"◆",""),IF(AND($D164&lt;CL$5+7,$E164&gt;CL$5),"■","")))</x:f>
      </x:c>
      <x:c r="CM164" s="7" t="str">
        <x:f>IF(OR($D164="",CM$5="",'상세일정'!AM164="제외"),"",IF($D164=$E164,IF(AND($D164&gt;=CM$5,$D164&lt;CM$5+7),"◆",""),IF(AND($D164&lt;CM$5+7,$E164&gt;CM$5),"■","")))</x:f>
      </x:c>
      <x:c r="CN164" s="7" t="str">
        <x:f>IF(OR($D164="",CN$5="",'상세일정'!AM164="제외"),"",IF($D164=$E164,IF(AND($D164&gt;=CN$5,$D164&lt;CN$5+7),"◆",""),IF(AND($D164&lt;CN$5+7,$E164&gt;CN$5),"■","")))</x:f>
      </x:c>
      <x:c r="CO164" s="7" t="str">
        <x:f>IF(OR($D164="",CO$5="",'상세일정'!AM164="제외"),"",IF($D164=$E164,IF(AND($D164&gt;=CO$5,$D164&lt;CO$5+7),"◆",""),IF(AND($D164&lt;CO$5+7,$E164&gt;CO$5),"■","")))</x:f>
      </x:c>
      <x:c r="CP164" s="7" t="str">
        <x:f>IF(OR($D164="",CP$5="",'상세일정'!AM164="제외"),"",IF($D164=$E164,IF(AND($D164&gt;=CP$5,$D164&lt;CP$5+7),"◆",""),IF(AND($D164&lt;CP$5+7,$E164&gt;CP$5),"■","")))</x:f>
      </x:c>
      <x:c r="CQ164" s="7" t="str">
        <x:f>IF(OR($D164="",CQ$5="",'상세일정'!AM164="제외"),"",IF($D164=$E164,IF(AND($D164&gt;=CQ$5,$D164&lt;CQ$5+7),"◆",""),IF(AND($D164&lt;CQ$5+7,$E164&gt;CQ$5),"■","")))</x:f>
      </x:c>
      <x:c r="CR164" s="7" t="str">
        <x:f>IF(OR($D164="",CR$5="",'상세일정'!AM164="제외"),"",IF($D164=$E164,IF(AND($D164&gt;=CR$5,$D164&lt;CR$5+7),"◆",""),IF(AND($D164&lt;CR$5+7,$E164&gt;CR$5),"■","")))</x:f>
      </x:c>
      <x:c r="CS164" s="7" t="str">
        <x:f>IF(OR($D164="",CS$5="",'상세일정'!AM164="제외"),"",IF($D164=$E164,IF(AND($D164&gt;=CS$5,$D164&lt;CS$5+7),"◆",""),IF(AND($D164&lt;CS$5+7,$E164&gt;CS$5),"■","")))</x:f>
      </x:c>
      <x:c r="CT164" s="7" t="str">
        <x:f>IF(OR($D164="",CT$5="",'상세일정'!AM164="제외"),"",IF($D164=$E164,IF(AND($D164&gt;=CT$5,$D164&lt;CT$5+7),"◆",""),IF(AND($D164&lt;CT$5+7,$E164&gt;CT$5),"■","")))</x:f>
      </x:c>
      <x:c r="CU164" s="7" t="str">
        <x:f>IF(OR($D164="",CU$5="",'상세일정'!AM164="제외"),"",IF($D164=$E164,IF(AND($D164&gt;=CU$5,$D164&lt;CU$5+7),"◆",""),IF(AND($D164&lt;CU$5+7,$E164&gt;CU$5),"■","")))</x:f>
      </x:c>
      <x:c r="CV164" s="7" t="str">
        <x:f>IF(OR($D164="",CV$5="",'상세일정'!AM164="제외"),"",IF($D164=$E164,IF(AND($D164&gt;=CV$5,$D164&lt;CV$5+7),"◆",""),IF(AND($D164&lt;CV$5+7,$E164&gt;CV$5),"■","")))</x:f>
      </x:c>
      <x:c r="CW164" s="7" t="str">
        <x:f>IF(OR($D164="",CW$5="",'상세일정'!AM164="제외"),"",IF($D164=$E164,IF(AND($D164&gt;=CW$5,$D164&lt;CW$5+7),"◆",""),IF(AND($D164&lt;CW$5+7,$E164&gt;CW$5),"■","")))</x:f>
      </x:c>
      <x:c r="CX164" s="7" t="str">
        <x:f>IF(OR($D164="",CX$5="",'상세일정'!AM164="제외"),"",IF($D164=$E164,IF(AND($D164&gt;=CX$5,$D164&lt;CX$5+7),"◆",""),IF(AND($D164&lt;CX$5+7,$E164&gt;CX$5),"■","")))</x:f>
      </x:c>
      <x:c r="CY164" s="7" t="str">
        <x:f>IF(OR($D164="",CY$5="",'상세일정'!AM164="제외"),"",IF($D164=$E164,IF(AND($D164&gt;=CY$5,$D164&lt;CY$5+7),"◆",""),IF(AND($D164&lt;CY$5+7,$E164&gt;CY$5),"■","")))</x:f>
      </x:c>
      <x:c r="CZ164" s="7" t="str">
        <x:f>IF(OR($D164="",CZ$5="",'상세일정'!AM164="제외"),"",IF($D164=$E164,IF(AND($D164&gt;=CZ$5,$D164&lt;CZ$5+7),"◆",""),IF(AND($D164&lt;CZ$5+7,$E164&gt;CZ$5),"■","")))</x:f>
      </x:c>
      <x:c r="DA164" s="7" t="str">
        <x:f>IF(OR($D164="",DA$5="",'상세일정'!AM164="제외"),"",IF($D164=$E164,IF(AND($D164&gt;=DA$5,$D164&lt;DA$5+7),"◆",""),IF(AND($D164&lt;DA$5+7,$E164&gt;DA$5),"■","")))</x:f>
      </x:c>
      <x:c r="DB164" s="7" t="str">
        <x:f>IF(OR($D164="",DB$5="",'상세일정'!AM164="제외"),"",IF($D164=$E164,IF(AND($D164&gt;=DB$5,$D164&lt;DB$5+7),"◆",""),IF(AND($D164&lt;DB$5+7,$E164&gt;DB$5),"■","")))</x:f>
      </x:c>
      <x:c r="DC164" s="7" t="str">
        <x:f>IF(OR($D164="",DC$5="",'상세일정'!AM164="제외"),"",IF($D164=$E164,IF(AND($D164&gt;=DC$5,$D164&lt;DC$5+7),"◆",""),IF(AND($D164&lt;DC$5+7,$E164&gt;DC$5),"■","")))</x:f>
      </x:c>
      <x:c r="DD164" s="7" t="str">
        <x:f>IF(OR($D164="",DD$5="",'상세일정'!AM164="제외"),"",IF($D164=$E164,IF(AND($D164&gt;=DD$5,$D164&lt;DD$5+7),"◆",""),IF(AND($D164&lt;DD$5+7,$E164&gt;DD$5),"■","")))</x:f>
      </x:c>
      <x:c r="DE164" s="7" t="str">
        <x:f>IF(OR($D164="",DE$5="",'상세일정'!AM164="제외"),"",IF($D164=$E164,IF(AND($D164&gt;=DE$5,$D164&lt;DE$5+7),"◆",""),IF(AND($D164&lt;DE$5+7,$E164&gt;DE$5),"■","")))</x:f>
      </x:c>
    </x:row>
    <x:row r="165" ht="34" customHeight="1">
      <x:c r="A165" s="7" t="str">
        <x:v>BW02</x:v>
      </x:c>
      <x:c r="B165" s="7" t="str">
        <x:v>18 건축·방호벽</x:v>
      </x:c>
      <x:c r="C165" s="7" t="str">
        <x:v>KGS 방호벽 중간검사·타설 승인</x:v>
      </x:c>
      <x:c r="D165" s="10" t="str">
        <x:f>'상세일정'!AJ165</x:f>
      </x:c>
      <x:c r="E165" s="10" t="str">
        <x:f>'상세일정'!AK165</x:f>
      </x:c>
      <x:c r="F165" s="7" t="str">
        <x:f>IF(OR($D165="",F$5="",'상세일정'!AM165="제외"),"",IF($D165=$E165,IF(AND($D165&gt;=F$5,$D165&lt;F$5+7),"◆",""),IF(AND($D165&lt;F$5+7,$E165&gt;F$5),"■","")))</x:f>
      </x:c>
      <x:c r="G165" s="7" t="str">
        <x:f>IF(OR($D165="",G$5="",'상세일정'!AM165="제외"),"",IF($D165=$E165,IF(AND($D165&gt;=G$5,$D165&lt;G$5+7),"◆",""),IF(AND($D165&lt;G$5+7,$E165&gt;G$5),"■","")))</x:f>
      </x:c>
      <x:c r="H165" s="7" t="str">
        <x:f>IF(OR($D165="",H$5="",'상세일정'!AM165="제외"),"",IF($D165=$E165,IF(AND($D165&gt;=H$5,$D165&lt;H$5+7),"◆",""),IF(AND($D165&lt;H$5+7,$E165&gt;H$5),"■","")))</x:f>
      </x:c>
      <x:c r="I165" s="7" t="str">
        <x:f>IF(OR($D165="",I$5="",'상세일정'!AM165="제외"),"",IF($D165=$E165,IF(AND($D165&gt;=I$5,$D165&lt;I$5+7),"◆",""),IF(AND($D165&lt;I$5+7,$E165&gt;I$5),"■","")))</x:f>
      </x:c>
      <x:c r="J165" s="7" t="str">
        <x:f>IF(OR($D165="",J$5="",'상세일정'!AM165="제외"),"",IF($D165=$E165,IF(AND($D165&gt;=J$5,$D165&lt;J$5+7),"◆",""),IF(AND($D165&lt;J$5+7,$E165&gt;J$5),"■","")))</x:f>
      </x:c>
      <x:c r="K165" s="7" t="str">
        <x:f>IF(OR($D165="",K$5="",'상세일정'!AM165="제외"),"",IF($D165=$E165,IF(AND($D165&gt;=K$5,$D165&lt;K$5+7),"◆",""),IF(AND($D165&lt;K$5+7,$E165&gt;K$5),"■","")))</x:f>
      </x:c>
      <x:c r="L165" s="7" t="str">
        <x:f>IF(OR($D165="",L$5="",'상세일정'!AM165="제외"),"",IF($D165=$E165,IF(AND($D165&gt;=L$5,$D165&lt;L$5+7),"◆",""),IF(AND($D165&lt;L$5+7,$E165&gt;L$5),"■","")))</x:f>
      </x:c>
      <x:c r="M165" s="7" t="str">
        <x:f>IF(OR($D165="",M$5="",'상세일정'!AM165="제외"),"",IF($D165=$E165,IF(AND($D165&gt;=M$5,$D165&lt;M$5+7),"◆",""),IF(AND($D165&lt;M$5+7,$E165&gt;M$5),"■","")))</x:f>
      </x:c>
      <x:c r="N165" s="7" t="str">
        <x:f>IF(OR($D165="",N$5="",'상세일정'!AM165="제외"),"",IF($D165=$E165,IF(AND($D165&gt;=N$5,$D165&lt;N$5+7),"◆",""),IF(AND($D165&lt;N$5+7,$E165&gt;N$5),"■","")))</x:f>
      </x:c>
      <x:c r="O165" s="7" t="str">
        <x:f>IF(OR($D165="",O$5="",'상세일정'!AM165="제외"),"",IF($D165=$E165,IF(AND($D165&gt;=O$5,$D165&lt;O$5+7),"◆",""),IF(AND($D165&lt;O$5+7,$E165&gt;O$5),"■","")))</x:f>
      </x:c>
      <x:c r="P165" s="7" t="str">
        <x:f>IF(OR($D165="",P$5="",'상세일정'!AM165="제외"),"",IF($D165=$E165,IF(AND($D165&gt;=P$5,$D165&lt;P$5+7),"◆",""),IF(AND($D165&lt;P$5+7,$E165&gt;P$5),"■","")))</x:f>
      </x:c>
      <x:c r="Q165" s="7" t="str">
        <x:f>IF(OR($D165="",Q$5="",'상세일정'!AM165="제외"),"",IF($D165=$E165,IF(AND($D165&gt;=Q$5,$D165&lt;Q$5+7),"◆",""),IF(AND($D165&lt;Q$5+7,$E165&gt;Q$5),"■","")))</x:f>
      </x:c>
      <x:c r="R165" s="7" t="str">
        <x:f>IF(OR($D165="",R$5="",'상세일정'!AM165="제외"),"",IF($D165=$E165,IF(AND($D165&gt;=R$5,$D165&lt;R$5+7),"◆",""),IF(AND($D165&lt;R$5+7,$E165&gt;R$5),"■","")))</x:f>
      </x:c>
      <x:c r="S165" s="7" t="str">
        <x:f>IF(OR($D165="",S$5="",'상세일정'!AM165="제외"),"",IF($D165=$E165,IF(AND($D165&gt;=S$5,$D165&lt;S$5+7),"◆",""),IF(AND($D165&lt;S$5+7,$E165&gt;S$5),"■","")))</x:f>
      </x:c>
      <x:c r="T165" s="7" t="str">
        <x:f>IF(OR($D165="",T$5="",'상세일정'!AM165="제외"),"",IF($D165=$E165,IF(AND($D165&gt;=T$5,$D165&lt;T$5+7),"◆",""),IF(AND($D165&lt;T$5+7,$E165&gt;T$5),"■","")))</x:f>
      </x:c>
      <x:c r="U165" s="7" t="str">
        <x:f>IF(OR($D165="",U$5="",'상세일정'!AM165="제외"),"",IF($D165=$E165,IF(AND($D165&gt;=U$5,$D165&lt;U$5+7),"◆",""),IF(AND($D165&lt;U$5+7,$E165&gt;U$5),"■","")))</x:f>
      </x:c>
      <x:c r="V165" s="7" t="str">
        <x:f>IF(OR($D165="",V$5="",'상세일정'!AM165="제외"),"",IF($D165=$E165,IF(AND($D165&gt;=V$5,$D165&lt;V$5+7),"◆",""),IF(AND($D165&lt;V$5+7,$E165&gt;V$5),"■","")))</x:f>
      </x:c>
      <x:c r="W165" s="7" t="str">
        <x:f>IF(OR($D165="",W$5="",'상세일정'!AM165="제외"),"",IF($D165=$E165,IF(AND($D165&gt;=W$5,$D165&lt;W$5+7),"◆",""),IF(AND($D165&lt;W$5+7,$E165&gt;W$5),"■","")))</x:f>
      </x:c>
      <x:c r="X165" s="7" t="str">
        <x:f>IF(OR($D165="",X$5="",'상세일정'!AM165="제외"),"",IF($D165=$E165,IF(AND($D165&gt;=X$5,$D165&lt;X$5+7),"◆",""),IF(AND($D165&lt;X$5+7,$E165&gt;X$5),"■","")))</x:f>
      </x:c>
      <x:c r="Y165" s="7" t="str">
        <x:f>IF(OR($D165="",Y$5="",'상세일정'!AM165="제외"),"",IF($D165=$E165,IF(AND($D165&gt;=Y$5,$D165&lt;Y$5+7),"◆",""),IF(AND($D165&lt;Y$5+7,$E165&gt;Y$5),"■","")))</x:f>
      </x:c>
      <x:c r="Z165" s="7" t="str">
        <x:f>IF(OR($D165="",Z$5="",'상세일정'!AM165="제외"),"",IF($D165=$E165,IF(AND($D165&gt;=Z$5,$D165&lt;Z$5+7),"◆",""),IF(AND($D165&lt;Z$5+7,$E165&gt;Z$5),"■","")))</x:f>
      </x:c>
      <x:c r="AA165" s="7" t="str">
        <x:f>IF(OR($D165="",AA$5="",'상세일정'!AM165="제외"),"",IF($D165=$E165,IF(AND($D165&gt;=AA$5,$D165&lt;AA$5+7),"◆",""),IF(AND($D165&lt;AA$5+7,$E165&gt;AA$5),"■","")))</x:f>
      </x:c>
      <x:c r="AB165" s="7" t="str">
        <x:f>IF(OR($D165="",AB$5="",'상세일정'!AM165="제외"),"",IF($D165=$E165,IF(AND($D165&gt;=AB$5,$D165&lt;AB$5+7),"◆",""),IF(AND($D165&lt;AB$5+7,$E165&gt;AB$5),"■","")))</x:f>
      </x:c>
      <x:c r="AC165" s="7" t="str">
        <x:f>IF(OR($D165="",AC$5="",'상세일정'!AM165="제외"),"",IF($D165=$E165,IF(AND($D165&gt;=AC$5,$D165&lt;AC$5+7),"◆",""),IF(AND($D165&lt;AC$5+7,$E165&gt;AC$5),"■","")))</x:f>
      </x:c>
      <x:c r="AD165" s="7" t="str">
        <x:f>IF(OR($D165="",AD$5="",'상세일정'!AM165="제외"),"",IF($D165=$E165,IF(AND($D165&gt;=AD$5,$D165&lt;AD$5+7),"◆",""),IF(AND($D165&lt;AD$5+7,$E165&gt;AD$5),"■","")))</x:f>
      </x:c>
      <x:c r="AE165" s="7" t="str">
        <x:f>IF(OR($D165="",AE$5="",'상세일정'!AM165="제외"),"",IF($D165=$E165,IF(AND($D165&gt;=AE$5,$D165&lt;AE$5+7),"◆",""),IF(AND($D165&lt;AE$5+7,$E165&gt;AE$5),"■","")))</x:f>
      </x:c>
      <x:c r="AF165" s="7" t="str">
        <x:f>IF(OR($D165="",AF$5="",'상세일정'!AM165="제외"),"",IF($D165=$E165,IF(AND($D165&gt;=AF$5,$D165&lt;AF$5+7),"◆",""),IF(AND($D165&lt;AF$5+7,$E165&gt;AF$5),"■","")))</x:f>
      </x:c>
      <x:c r="AG165" s="7" t="str">
        <x:f>IF(OR($D165="",AG$5="",'상세일정'!AM165="제외"),"",IF($D165=$E165,IF(AND($D165&gt;=AG$5,$D165&lt;AG$5+7),"◆",""),IF(AND($D165&lt;AG$5+7,$E165&gt;AG$5),"■","")))</x:f>
      </x:c>
      <x:c r="AH165" s="7" t="str">
        <x:f>IF(OR($D165="",AH$5="",'상세일정'!AM165="제외"),"",IF($D165=$E165,IF(AND($D165&gt;=AH$5,$D165&lt;AH$5+7),"◆",""),IF(AND($D165&lt;AH$5+7,$E165&gt;AH$5),"■","")))</x:f>
      </x:c>
      <x:c r="AI165" s="7" t="str">
        <x:f>IF(OR($D165="",AI$5="",'상세일정'!AM165="제외"),"",IF($D165=$E165,IF(AND($D165&gt;=AI$5,$D165&lt;AI$5+7),"◆",""),IF(AND($D165&lt;AI$5+7,$E165&gt;AI$5),"■","")))</x:f>
      </x:c>
      <x:c r="AJ165" s="7" t="str">
        <x:f>IF(OR($D165="",AJ$5="",'상세일정'!AM165="제외"),"",IF($D165=$E165,IF(AND($D165&gt;=AJ$5,$D165&lt;AJ$5+7),"◆",""),IF(AND($D165&lt;AJ$5+7,$E165&gt;AJ$5),"■","")))</x:f>
      </x:c>
      <x:c r="AK165" s="7" t="str">
        <x:f>IF(OR($D165="",AK$5="",'상세일정'!AM165="제외"),"",IF($D165=$E165,IF(AND($D165&gt;=AK$5,$D165&lt;AK$5+7),"◆",""),IF(AND($D165&lt;AK$5+7,$E165&gt;AK$5),"■","")))</x:f>
      </x:c>
      <x:c r="AL165" s="7" t="str">
        <x:f>IF(OR($D165="",AL$5="",'상세일정'!AM165="제외"),"",IF($D165=$E165,IF(AND($D165&gt;=AL$5,$D165&lt;AL$5+7),"◆",""),IF(AND($D165&lt;AL$5+7,$E165&gt;AL$5),"■","")))</x:f>
      </x:c>
      <x:c r="AM165" s="7" t="str">
        <x:f>IF(OR($D165="",AM$5="",'상세일정'!AM165="제외"),"",IF($D165=$E165,IF(AND($D165&gt;=AM$5,$D165&lt;AM$5+7),"◆",""),IF(AND($D165&lt;AM$5+7,$E165&gt;AM$5),"■","")))</x:f>
      </x:c>
      <x:c r="AN165" s="7" t="str">
        <x:f>IF(OR($D165="",AN$5="",'상세일정'!AM165="제외"),"",IF($D165=$E165,IF(AND($D165&gt;=AN$5,$D165&lt;AN$5+7),"◆",""),IF(AND($D165&lt;AN$5+7,$E165&gt;AN$5),"■","")))</x:f>
      </x:c>
      <x:c r="AO165" s="7" t="str">
        <x:f>IF(OR($D165="",AO$5="",'상세일정'!AM165="제외"),"",IF($D165=$E165,IF(AND($D165&gt;=AO$5,$D165&lt;AO$5+7),"◆",""),IF(AND($D165&lt;AO$5+7,$E165&gt;AO$5),"■","")))</x:f>
      </x:c>
      <x:c r="AP165" s="7" t="str">
        <x:f>IF(OR($D165="",AP$5="",'상세일정'!AM165="제외"),"",IF($D165=$E165,IF(AND($D165&gt;=AP$5,$D165&lt;AP$5+7),"◆",""),IF(AND($D165&lt;AP$5+7,$E165&gt;AP$5),"■","")))</x:f>
      </x:c>
      <x:c r="AQ165" s="7" t="str">
        <x:f>IF(OR($D165="",AQ$5="",'상세일정'!AM165="제외"),"",IF($D165=$E165,IF(AND($D165&gt;=AQ$5,$D165&lt;AQ$5+7),"◆",""),IF(AND($D165&lt;AQ$5+7,$E165&gt;AQ$5),"■","")))</x:f>
      </x:c>
      <x:c r="AR165" s="7" t="str">
        <x:f>IF(OR($D165="",AR$5="",'상세일정'!AM165="제외"),"",IF($D165=$E165,IF(AND($D165&gt;=AR$5,$D165&lt;AR$5+7),"◆",""),IF(AND($D165&lt;AR$5+7,$E165&gt;AR$5),"■","")))</x:f>
      </x:c>
      <x:c r="AS165" s="7" t="str">
        <x:f>IF(OR($D165="",AS$5="",'상세일정'!AM165="제외"),"",IF($D165=$E165,IF(AND($D165&gt;=AS$5,$D165&lt;AS$5+7),"◆",""),IF(AND($D165&lt;AS$5+7,$E165&gt;AS$5),"■","")))</x:f>
      </x:c>
      <x:c r="AT165" s="7" t="str">
        <x:f>IF(OR($D165="",AT$5="",'상세일정'!AM165="제외"),"",IF($D165=$E165,IF(AND($D165&gt;=AT$5,$D165&lt;AT$5+7),"◆",""),IF(AND($D165&lt;AT$5+7,$E165&gt;AT$5),"■","")))</x:f>
      </x:c>
      <x:c r="AU165" s="7" t="str">
        <x:f>IF(OR($D165="",AU$5="",'상세일정'!AM165="제외"),"",IF($D165=$E165,IF(AND($D165&gt;=AU$5,$D165&lt;AU$5+7),"◆",""),IF(AND($D165&lt;AU$5+7,$E165&gt;AU$5),"■","")))</x:f>
      </x:c>
      <x:c r="AV165" s="7" t="str">
        <x:f>IF(OR($D165="",AV$5="",'상세일정'!AM165="제외"),"",IF($D165=$E165,IF(AND($D165&gt;=AV$5,$D165&lt;AV$5+7),"◆",""),IF(AND($D165&lt;AV$5+7,$E165&gt;AV$5),"■","")))</x:f>
      </x:c>
      <x:c r="AW165" s="7" t="str">
        <x:f>IF(OR($D165="",AW$5="",'상세일정'!AM165="제외"),"",IF($D165=$E165,IF(AND($D165&gt;=AW$5,$D165&lt;AW$5+7),"◆",""),IF(AND($D165&lt;AW$5+7,$E165&gt;AW$5),"■","")))</x:f>
      </x:c>
      <x:c r="AX165" s="7" t="str">
        <x:f>IF(OR($D165="",AX$5="",'상세일정'!AM165="제외"),"",IF($D165=$E165,IF(AND($D165&gt;=AX$5,$D165&lt;AX$5+7),"◆",""),IF(AND($D165&lt;AX$5+7,$E165&gt;AX$5),"■","")))</x:f>
      </x:c>
      <x:c r="AY165" s="7" t="str">
        <x:f>IF(OR($D165="",AY$5="",'상세일정'!AM165="제외"),"",IF($D165=$E165,IF(AND($D165&gt;=AY$5,$D165&lt;AY$5+7),"◆",""),IF(AND($D165&lt;AY$5+7,$E165&gt;AY$5),"■","")))</x:f>
      </x:c>
      <x:c r="AZ165" s="7" t="str">
        <x:f>IF(OR($D165="",AZ$5="",'상세일정'!AM165="제외"),"",IF($D165=$E165,IF(AND($D165&gt;=AZ$5,$D165&lt;AZ$5+7),"◆",""),IF(AND($D165&lt;AZ$5+7,$E165&gt;AZ$5),"■","")))</x:f>
      </x:c>
      <x:c r="BA165" s="7" t="str">
        <x:f>IF(OR($D165="",BA$5="",'상세일정'!AM165="제외"),"",IF($D165=$E165,IF(AND($D165&gt;=BA$5,$D165&lt;BA$5+7),"◆",""),IF(AND($D165&lt;BA$5+7,$E165&gt;BA$5),"■","")))</x:f>
      </x:c>
      <x:c r="BB165" s="7" t="str">
        <x:f>IF(OR($D165="",BB$5="",'상세일정'!AM165="제외"),"",IF($D165=$E165,IF(AND($D165&gt;=BB$5,$D165&lt;BB$5+7),"◆",""),IF(AND($D165&lt;BB$5+7,$E165&gt;BB$5),"■","")))</x:f>
      </x:c>
      <x:c r="BC165" s="7" t="str">
        <x:f>IF(OR($D165="",BC$5="",'상세일정'!AM165="제외"),"",IF($D165=$E165,IF(AND($D165&gt;=BC$5,$D165&lt;BC$5+7),"◆",""),IF(AND($D165&lt;BC$5+7,$E165&gt;BC$5),"■","")))</x:f>
      </x:c>
      <x:c r="BD165" s="7" t="str">
        <x:f>IF(OR($D165="",BD$5="",'상세일정'!AM165="제외"),"",IF($D165=$E165,IF(AND($D165&gt;=BD$5,$D165&lt;BD$5+7),"◆",""),IF(AND($D165&lt;BD$5+7,$E165&gt;BD$5),"■","")))</x:f>
      </x:c>
      <x:c r="BE165" s="7" t="str">
        <x:f>IF(OR($D165="",BE$5="",'상세일정'!AM165="제외"),"",IF($D165=$E165,IF(AND($D165&gt;=BE$5,$D165&lt;BE$5+7),"◆",""),IF(AND($D165&lt;BE$5+7,$E165&gt;BE$5),"■","")))</x:f>
      </x:c>
      <x:c r="BF165" s="7" t="str">
        <x:f>IF(OR($D165="",BF$5="",'상세일정'!AM165="제외"),"",IF($D165=$E165,IF(AND($D165&gt;=BF$5,$D165&lt;BF$5+7),"◆",""),IF(AND($D165&lt;BF$5+7,$E165&gt;BF$5),"■","")))</x:f>
      </x:c>
      <x:c r="BG165" s="7" t="str">
        <x:f>IF(OR($D165="",BG$5="",'상세일정'!AM165="제외"),"",IF($D165=$E165,IF(AND($D165&gt;=BG$5,$D165&lt;BG$5+7),"◆",""),IF(AND($D165&lt;BG$5+7,$E165&gt;BG$5),"■","")))</x:f>
      </x:c>
      <x:c r="BH165" s="7" t="str">
        <x:f>IF(OR($D165="",BH$5="",'상세일정'!AM165="제외"),"",IF($D165=$E165,IF(AND($D165&gt;=BH$5,$D165&lt;BH$5+7),"◆",""),IF(AND($D165&lt;BH$5+7,$E165&gt;BH$5),"■","")))</x:f>
      </x:c>
      <x:c r="BI165" s="7" t="str">
        <x:f>IF(OR($D165="",BI$5="",'상세일정'!AM165="제외"),"",IF($D165=$E165,IF(AND($D165&gt;=BI$5,$D165&lt;BI$5+7),"◆",""),IF(AND($D165&lt;BI$5+7,$E165&gt;BI$5),"■","")))</x:f>
      </x:c>
      <x:c r="BJ165" s="7" t="str">
        <x:f>IF(OR($D165="",BJ$5="",'상세일정'!AM165="제외"),"",IF($D165=$E165,IF(AND($D165&gt;=BJ$5,$D165&lt;BJ$5+7),"◆",""),IF(AND($D165&lt;BJ$5+7,$E165&gt;BJ$5),"■","")))</x:f>
      </x:c>
      <x:c r="BK165" s="7" t="str">
        <x:f>IF(OR($D165="",BK$5="",'상세일정'!AM165="제외"),"",IF($D165=$E165,IF(AND($D165&gt;=BK$5,$D165&lt;BK$5+7),"◆",""),IF(AND($D165&lt;BK$5+7,$E165&gt;BK$5),"■","")))</x:f>
      </x:c>
      <x:c r="BL165" s="7" t="str">
        <x:f>IF(OR($D165="",BL$5="",'상세일정'!AM165="제외"),"",IF($D165=$E165,IF(AND($D165&gt;=BL$5,$D165&lt;BL$5+7),"◆",""),IF(AND($D165&lt;BL$5+7,$E165&gt;BL$5),"■","")))</x:f>
      </x:c>
      <x:c r="BM165" s="7" t="str">
        <x:f>IF(OR($D165="",BM$5="",'상세일정'!AM165="제외"),"",IF($D165=$E165,IF(AND($D165&gt;=BM$5,$D165&lt;BM$5+7),"◆",""),IF(AND($D165&lt;BM$5+7,$E165&gt;BM$5),"■","")))</x:f>
      </x:c>
      <x:c r="BN165" s="7" t="str">
        <x:f>IF(OR($D165="",BN$5="",'상세일정'!AM165="제외"),"",IF($D165=$E165,IF(AND($D165&gt;=BN$5,$D165&lt;BN$5+7),"◆",""),IF(AND($D165&lt;BN$5+7,$E165&gt;BN$5),"■","")))</x:f>
      </x:c>
      <x:c r="BO165" s="7" t="str">
        <x:f>IF(OR($D165="",BO$5="",'상세일정'!AM165="제외"),"",IF($D165=$E165,IF(AND($D165&gt;=BO$5,$D165&lt;BO$5+7),"◆",""),IF(AND($D165&lt;BO$5+7,$E165&gt;BO$5),"■","")))</x:f>
      </x:c>
      <x:c r="BP165" s="7" t="str">
        <x:f>IF(OR($D165="",BP$5="",'상세일정'!AM165="제외"),"",IF($D165=$E165,IF(AND($D165&gt;=BP$5,$D165&lt;BP$5+7),"◆",""),IF(AND($D165&lt;BP$5+7,$E165&gt;BP$5),"■","")))</x:f>
      </x:c>
      <x:c r="BQ165" s="7" t="str">
        <x:f>IF(OR($D165="",BQ$5="",'상세일정'!AM165="제외"),"",IF($D165=$E165,IF(AND($D165&gt;=BQ$5,$D165&lt;BQ$5+7),"◆",""),IF(AND($D165&lt;BQ$5+7,$E165&gt;BQ$5),"■","")))</x:f>
      </x:c>
      <x:c r="BR165" s="7" t="str">
        <x:f>IF(OR($D165="",BR$5="",'상세일정'!AM165="제외"),"",IF($D165=$E165,IF(AND($D165&gt;=BR$5,$D165&lt;BR$5+7),"◆",""),IF(AND($D165&lt;BR$5+7,$E165&gt;BR$5),"■","")))</x:f>
      </x:c>
      <x:c r="BS165" s="7" t="str">
        <x:f>IF(OR($D165="",BS$5="",'상세일정'!AM165="제외"),"",IF($D165=$E165,IF(AND($D165&gt;=BS$5,$D165&lt;BS$5+7),"◆",""),IF(AND($D165&lt;BS$5+7,$E165&gt;BS$5),"■","")))</x:f>
      </x:c>
      <x:c r="BT165" s="7" t="str">
        <x:f>IF(OR($D165="",BT$5="",'상세일정'!AM165="제외"),"",IF($D165=$E165,IF(AND($D165&gt;=BT$5,$D165&lt;BT$5+7),"◆",""),IF(AND($D165&lt;BT$5+7,$E165&gt;BT$5),"■","")))</x:f>
      </x:c>
      <x:c r="BU165" s="7" t="str">
        <x:f>IF(OR($D165="",BU$5="",'상세일정'!AM165="제외"),"",IF($D165=$E165,IF(AND($D165&gt;=BU$5,$D165&lt;BU$5+7),"◆",""),IF(AND($D165&lt;BU$5+7,$E165&gt;BU$5),"■","")))</x:f>
      </x:c>
      <x:c r="BV165" s="7" t="str">
        <x:f>IF(OR($D165="",BV$5="",'상세일정'!AM165="제외"),"",IF($D165=$E165,IF(AND($D165&gt;=BV$5,$D165&lt;BV$5+7),"◆",""),IF(AND($D165&lt;BV$5+7,$E165&gt;BV$5),"■","")))</x:f>
      </x:c>
      <x:c r="BW165" s="7" t="str">
        <x:f>IF(OR($D165="",BW$5="",'상세일정'!AM165="제외"),"",IF($D165=$E165,IF(AND($D165&gt;=BW$5,$D165&lt;BW$5+7),"◆",""),IF(AND($D165&lt;BW$5+7,$E165&gt;BW$5),"■","")))</x:f>
      </x:c>
      <x:c r="BX165" s="7" t="str">
        <x:f>IF(OR($D165="",BX$5="",'상세일정'!AM165="제외"),"",IF($D165=$E165,IF(AND($D165&gt;=BX$5,$D165&lt;BX$5+7),"◆",""),IF(AND($D165&lt;BX$5+7,$E165&gt;BX$5),"■","")))</x:f>
      </x:c>
      <x:c r="BY165" s="7" t="str">
        <x:f>IF(OR($D165="",BY$5="",'상세일정'!AM165="제외"),"",IF($D165=$E165,IF(AND($D165&gt;=BY$5,$D165&lt;BY$5+7),"◆",""),IF(AND($D165&lt;BY$5+7,$E165&gt;BY$5),"■","")))</x:f>
      </x:c>
      <x:c r="BZ165" s="7" t="str">
        <x:f>IF(OR($D165="",BZ$5="",'상세일정'!AM165="제외"),"",IF($D165=$E165,IF(AND($D165&gt;=BZ$5,$D165&lt;BZ$5+7),"◆",""),IF(AND($D165&lt;BZ$5+7,$E165&gt;BZ$5),"■","")))</x:f>
      </x:c>
      <x:c r="CA165" s="7" t="str">
        <x:f>IF(OR($D165="",CA$5="",'상세일정'!AM165="제외"),"",IF($D165=$E165,IF(AND($D165&gt;=CA$5,$D165&lt;CA$5+7),"◆",""),IF(AND($D165&lt;CA$5+7,$E165&gt;CA$5),"■","")))</x:f>
      </x:c>
      <x:c r="CB165" s="7" t="str">
        <x:f>IF(OR($D165="",CB$5="",'상세일정'!AM165="제외"),"",IF($D165=$E165,IF(AND($D165&gt;=CB$5,$D165&lt;CB$5+7),"◆",""),IF(AND($D165&lt;CB$5+7,$E165&gt;CB$5),"■","")))</x:f>
      </x:c>
      <x:c r="CC165" s="7" t="str">
        <x:f>IF(OR($D165="",CC$5="",'상세일정'!AM165="제외"),"",IF($D165=$E165,IF(AND($D165&gt;=CC$5,$D165&lt;CC$5+7),"◆",""),IF(AND($D165&lt;CC$5+7,$E165&gt;CC$5),"■","")))</x:f>
      </x:c>
      <x:c r="CD165" s="7" t="str">
        <x:f>IF(OR($D165="",CD$5="",'상세일정'!AM165="제외"),"",IF($D165=$E165,IF(AND($D165&gt;=CD$5,$D165&lt;CD$5+7),"◆",""),IF(AND($D165&lt;CD$5+7,$E165&gt;CD$5),"■","")))</x:f>
      </x:c>
      <x:c r="CE165" s="7" t="str">
        <x:f>IF(OR($D165="",CE$5="",'상세일정'!AM165="제외"),"",IF($D165=$E165,IF(AND($D165&gt;=CE$5,$D165&lt;CE$5+7),"◆",""),IF(AND($D165&lt;CE$5+7,$E165&gt;CE$5),"■","")))</x:f>
      </x:c>
      <x:c r="CF165" s="7" t="str">
        <x:f>IF(OR($D165="",CF$5="",'상세일정'!AM165="제외"),"",IF($D165=$E165,IF(AND($D165&gt;=CF$5,$D165&lt;CF$5+7),"◆",""),IF(AND($D165&lt;CF$5+7,$E165&gt;CF$5),"■","")))</x:f>
      </x:c>
      <x:c r="CG165" s="7" t="str">
        <x:f>IF(OR($D165="",CG$5="",'상세일정'!AM165="제외"),"",IF($D165=$E165,IF(AND($D165&gt;=CG$5,$D165&lt;CG$5+7),"◆",""),IF(AND($D165&lt;CG$5+7,$E165&gt;CG$5),"■","")))</x:f>
      </x:c>
      <x:c r="CH165" s="7" t="str">
        <x:f>IF(OR($D165="",CH$5="",'상세일정'!AM165="제외"),"",IF($D165=$E165,IF(AND($D165&gt;=CH$5,$D165&lt;CH$5+7),"◆",""),IF(AND($D165&lt;CH$5+7,$E165&gt;CH$5),"■","")))</x:f>
      </x:c>
      <x:c r="CI165" s="7" t="str">
        <x:f>IF(OR($D165="",CI$5="",'상세일정'!AM165="제외"),"",IF($D165=$E165,IF(AND($D165&gt;=CI$5,$D165&lt;CI$5+7),"◆",""),IF(AND($D165&lt;CI$5+7,$E165&gt;CI$5),"■","")))</x:f>
      </x:c>
      <x:c r="CJ165" s="7" t="str">
        <x:f>IF(OR($D165="",CJ$5="",'상세일정'!AM165="제외"),"",IF($D165=$E165,IF(AND($D165&gt;=CJ$5,$D165&lt;CJ$5+7),"◆",""),IF(AND($D165&lt;CJ$5+7,$E165&gt;CJ$5),"■","")))</x:f>
      </x:c>
      <x:c r="CK165" s="7" t="str">
        <x:f>IF(OR($D165="",CK$5="",'상세일정'!AM165="제외"),"",IF($D165=$E165,IF(AND($D165&gt;=CK$5,$D165&lt;CK$5+7),"◆",""),IF(AND($D165&lt;CK$5+7,$E165&gt;CK$5),"■","")))</x:f>
      </x:c>
      <x:c r="CL165" s="7" t="str">
        <x:f>IF(OR($D165="",CL$5="",'상세일정'!AM165="제외"),"",IF($D165=$E165,IF(AND($D165&gt;=CL$5,$D165&lt;CL$5+7),"◆",""),IF(AND($D165&lt;CL$5+7,$E165&gt;CL$5),"■","")))</x:f>
      </x:c>
      <x:c r="CM165" s="7" t="str">
        <x:f>IF(OR($D165="",CM$5="",'상세일정'!AM165="제외"),"",IF($D165=$E165,IF(AND($D165&gt;=CM$5,$D165&lt;CM$5+7),"◆",""),IF(AND($D165&lt;CM$5+7,$E165&gt;CM$5),"■","")))</x:f>
      </x:c>
      <x:c r="CN165" s="7" t="str">
        <x:f>IF(OR($D165="",CN$5="",'상세일정'!AM165="제외"),"",IF($D165=$E165,IF(AND($D165&gt;=CN$5,$D165&lt;CN$5+7),"◆",""),IF(AND($D165&lt;CN$5+7,$E165&gt;CN$5),"■","")))</x:f>
      </x:c>
      <x:c r="CO165" s="7" t="str">
        <x:f>IF(OR($D165="",CO$5="",'상세일정'!AM165="제외"),"",IF($D165=$E165,IF(AND($D165&gt;=CO$5,$D165&lt;CO$5+7),"◆",""),IF(AND($D165&lt;CO$5+7,$E165&gt;CO$5),"■","")))</x:f>
      </x:c>
      <x:c r="CP165" s="7" t="str">
        <x:f>IF(OR($D165="",CP$5="",'상세일정'!AM165="제외"),"",IF($D165=$E165,IF(AND($D165&gt;=CP$5,$D165&lt;CP$5+7),"◆",""),IF(AND($D165&lt;CP$5+7,$E165&gt;CP$5),"■","")))</x:f>
      </x:c>
      <x:c r="CQ165" s="7" t="str">
        <x:f>IF(OR($D165="",CQ$5="",'상세일정'!AM165="제외"),"",IF($D165=$E165,IF(AND($D165&gt;=CQ$5,$D165&lt;CQ$5+7),"◆",""),IF(AND($D165&lt;CQ$5+7,$E165&gt;CQ$5),"■","")))</x:f>
      </x:c>
      <x:c r="CR165" s="7" t="str">
        <x:f>IF(OR($D165="",CR$5="",'상세일정'!AM165="제외"),"",IF($D165=$E165,IF(AND($D165&gt;=CR$5,$D165&lt;CR$5+7),"◆",""),IF(AND($D165&lt;CR$5+7,$E165&gt;CR$5),"■","")))</x:f>
      </x:c>
      <x:c r="CS165" s="7" t="str">
        <x:f>IF(OR($D165="",CS$5="",'상세일정'!AM165="제외"),"",IF($D165=$E165,IF(AND($D165&gt;=CS$5,$D165&lt;CS$5+7),"◆",""),IF(AND($D165&lt;CS$5+7,$E165&gt;CS$5),"■","")))</x:f>
      </x:c>
      <x:c r="CT165" s="7" t="str">
        <x:f>IF(OR($D165="",CT$5="",'상세일정'!AM165="제외"),"",IF($D165=$E165,IF(AND($D165&gt;=CT$5,$D165&lt;CT$5+7),"◆",""),IF(AND($D165&lt;CT$5+7,$E165&gt;CT$5),"■","")))</x:f>
      </x:c>
      <x:c r="CU165" s="7" t="str">
        <x:f>IF(OR($D165="",CU$5="",'상세일정'!AM165="제외"),"",IF($D165=$E165,IF(AND($D165&gt;=CU$5,$D165&lt;CU$5+7),"◆",""),IF(AND($D165&lt;CU$5+7,$E165&gt;CU$5),"■","")))</x:f>
      </x:c>
      <x:c r="CV165" s="7" t="str">
        <x:f>IF(OR($D165="",CV$5="",'상세일정'!AM165="제외"),"",IF($D165=$E165,IF(AND($D165&gt;=CV$5,$D165&lt;CV$5+7),"◆",""),IF(AND($D165&lt;CV$5+7,$E165&gt;CV$5),"■","")))</x:f>
      </x:c>
      <x:c r="CW165" s="7" t="str">
        <x:f>IF(OR($D165="",CW$5="",'상세일정'!AM165="제외"),"",IF($D165=$E165,IF(AND($D165&gt;=CW$5,$D165&lt;CW$5+7),"◆",""),IF(AND($D165&lt;CW$5+7,$E165&gt;CW$5),"■","")))</x:f>
      </x:c>
      <x:c r="CX165" s="7" t="str">
        <x:f>IF(OR($D165="",CX$5="",'상세일정'!AM165="제외"),"",IF($D165=$E165,IF(AND($D165&gt;=CX$5,$D165&lt;CX$5+7),"◆",""),IF(AND($D165&lt;CX$5+7,$E165&gt;CX$5),"■","")))</x:f>
      </x:c>
      <x:c r="CY165" s="7" t="str">
        <x:f>IF(OR($D165="",CY$5="",'상세일정'!AM165="제외"),"",IF($D165=$E165,IF(AND($D165&gt;=CY$5,$D165&lt;CY$5+7),"◆",""),IF(AND($D165&lt;CY$5+7,$E165&gt;CY$5),"■","")))</x:f>
      </x:c>
      <x:c r="CZ165" s="7" t="str">
        <x:f>IF(OR($D165="",CZ$5="",'상세일정'!AM165="제외"),"",IF($D165=$E165,IF(AND($D165&gt;=CZ$5,$D165&lt;CZ$5+7),"◆",""),IF(AND($D165&lt;CZ$5+7,$E165&gt;CZ$5),"■","")))</x:f>
      </x:c>
      <x:c r="DA165" s="7" t="str">
        <x:f>IF(OR($D165="",DA$5="",'상세일정'!AM165="제외"),"",IF($D165=$E165,IF(AND($D165&gt;=DA$5,$D165&lt;DA$5+7),"◆",""),IF(AND($D165&lt;DA$5+7,$E165&gt;DA$5),"■","")))</x:f>
      </x:c>
      <x:c r="DB165" s="7" t="str">
        <x:f>IF(OR($D165="",DB$5="",'상세일정'!AM165="제외"),"",IF($D165=$E165,IF(AND($D165&gt;=DB$5,$D165&lt;DB$5+7),"◆",""),IF(AND($D165&lt;DB$5+7,$E165&gt;DB$5),"■","")))</x:f>
      </x:c>
      <x:c r="DC165" s="7" t="str">
        <x:f>IF(OR($D165="",DC$5="",'상세일정'!AM165="제외"),"",IF($D165=$E165,IF(AND($D165&gt;=DC$5,$D165&lt;DC$5+7),"◆",""),IF(AND($D165&lt;DC$5+7,$E165&gt;DC$5),"■","")))</x:f>
      </x:c>
      <x:c r="DD165" s="7" t="str">
        <x:f>IF(OR($D165="",DD$5="",'상세일정'!AM165="제외"),"",IF($D165=$E165,IF(AND($D165&gt;=DD$5,$D165&lt;DD$5+7),"◆",""),IF(AND($D165&lt;DD$5+7,$E165&gt;DD$5),"■","")))</x:f>
      </x:c>
      <x:c r="DE165" s="7" t="str">
        <x:f>IF(OR($D165="",DE$5="",'상세일정'!AM165="제외"),"",IF($D165=$E165,IF(AND($D165&gt;=DE$5,$D165&lt;DE$5+7),"◆",""),IF(AND($D165&lt;DE$5+7,$E165&gt;DE$5),"■","")))</x:f>
      </x:c>
    </x:row>
    <x:row r="166" ht="34" customHeight="1">
      <x:c r="A166" s="7" t="str">
        <x:v>BW03</x:v>
      </x:c>
      <x:c r="B166" s="7" t="str">
        <x:v>18 건축·방호벽</x:v>
      </x:c>
      <x:c r="C166" s="7" t="str">
        <x:v>방호벽 타설·양생·해체</x:v>
      </x:c>
      <x:c r="D166" s="10" t="str">
        <x:f>'상세일정'!AJ166</x:f>
      </x:c>
      <x:c r="E166" s="10" t="str">
        <x:f>'상세일정'!AK166</x:f>
      </x:c>
      <x:c r="F166" s="7" t="str">
        <x:f>IF(OR($D166="",F$5="",'상세일정'!AM166="제외"),"",IF($D166=$E166,IF(AND($D166&gt;=F$5,$D166&lt;F$5+7),"◆",""),IF(AND($D166&lt;F$5+7,$E166&gt;F$5),"■","")))</x:f>
      </x:c>
      <x:c r="G166" s="7" t="str">
        <x:f>IF(OR($D166="",G$5="",'상세일정'!AM166="제외"),"",IF($D166=$E166,IF(AND($D166&gt;=G$5,$D166&lt;G$5+7),"◆",""),IF(AND($D166&lt;G$5+7,$E166&gt;G$5),"■","")))</x:f>
      </x:c>
      <x:c r="H166" s="7" t="str">
        <x:f>IF(OR($D166="",H$5="",'상세일정'!AM166="제외"),"",IF($D166=$E166,IF(AND($D166&gt;=H$5,$D166&lt;H$5+7),"◆",""),IF(AND($D166&lt;H$5+7,$E166&gt;H$5),"■","")))</x:f>
      </x:c>
      <x:c r="I166" s="7" t="str">
        <x:f>IF(OR($D166="",I$5="",'상세일정'!AM166="제외"),"",IF($D166=$E166,IF(AND($D166&gt;=I$5,$D166&lt;I$5+7),"◆",""),IF(AND($D166&lt;I$5+7,$E166&gt;I$5),"■","")))</x:f>
      </x:c>
      <x:c r="J166" s="7" t="str">
        <x:f>IF(OR($D166="",J$5="",'상세일정'!AM166="제외"),"",IF($D166=$E166,IF(AND($D166&gt;=J$5,$D166&lt;J$5+7),"◆",""),IF(AND($D166&lt;J$5+7,$E166&gt;J$5),"■","")))</x:f>
      </x:c>
      <x:c r="K166" s="7" t="str">
        <x:f>IF(OR($D166="",K$5="",'상세일정'!AM166="제외"),"",IF($D166=$E166,IF(AND($D166&gt;=K$5,$D166&lt;K$5+7),"◆",""),IF(AND($D166&lt;K$5+7,$E166&gt;K$5),"■","")))</x:f>
      </x:c>
      <x:c r="L166" s="7" t="str">
        <x:f>IF(OR($D166="",L$5="",'상세일정'!AM166="제외"),"",IF($D166=$E166,IF(AND($D166&gt;=L$5,$D166&lt;L$5+7),"◆",""),IF(AND($D166&lt;L$5+7,$E166&gt;L$5),"■","")))</x:f>
      </x:c>
      <x:c r="M166" s="7" t="str">
        <x:f>IF(OR($D166="",M$5="",'상세일정'!AM166="제외"),"",IF($D166=$E166,IF(AND($D166&gt;=M$5,$D166&lt;M$5+7),"◆",""),IF(AND($D166&lt;M$5+7,$E166&gt;M$5),"■","")))</x:f>
      </x:c>
      <x:c r="N166" s="7" t="str">
        <x:f>IF(OR($D166="",N$5="",'상세일정'!AM166="제외"),"",IF($D166=$E166,IF(AND($D166&gt;=N$5,$D166&lt;N$5+7),"◆",""),IF(AND($D166&lt;N$5+7,$E166&gt;N$5),"■","")))</x:f>
      </x:c>
      <x:c r="O166" s="7" t="str">
        <x:f>IF(OR($D166="",O$5="",'상세일정'!AM166="제외"),"",IF($D166=$E166,IF(AND($D166&gt;=O$5,$D166&lt;O$5+7),"◆",""),IF(AND($D166&lt;O$5+7,$E166&gt;O$5),"■","")))</x:f>
      </x:c>
      <x:c r="P166" s="7" t="str">
        <x:f>IF(OR($D166="",P$5="",'상세일정'!AM166="제외"),"",IF($D166=$E166,IF(AND($D166&gt;=P$5,$D166&lt;P$5+7),"◆",""),IF(AND($D166&lt;P$5+7,$E166&gt;P$5),"■","")))</x:f>
      </x:c>
      <x:c r="Q166" s="7" t="str">
        <x:f>IF(OR($D166="",Q$5="",'상세일정'!AM166="제외"),"",IF($D166=$E166,IF(AND($D166&gt;=Q$5,$D166&lt;Q$5+7),"◆",""),IF(AND($D166&lt;Q$5+7,$E166&gt;Q$5),"■","")))</x:f>
      </x:c>
      <x:c r="R166" s="7" t="str">
        <x:f>IF(OR($D166="",R$5="",'상세일정'!AM166="제외"),"",IF($D166=$E166,IF(AND($D166&gt;=R$5,$D166&lt;R$5+7),"◆",""),IF(AND($D166&lt;R$5+7,$E166&gt;R$5),"■","")))</x:f>
      </x:c>
      <x:c r="S166" s="7" t="str">
        <x:f>IF(OR($D166="",S$5="",'상세일정'!AM166="제외"),"",IF($D166=$E166,IF(AND($D166&gt;=S$5,$D166&lt;S$5+7),"◆",""),IF(AND($D166&lt;S$5+7,$E166&gt;S$5),"■","")))</x:f>
      </x:c>
      <x:c r="T166" s="7" t="str">
        <x:f>IF(OR($D166="",T$5="",'상세일정'!AM166="제외"),"",IF($D166=$E166,IF(AND($D166&gt;=T$5,$D166&lt;T$5+7),"◆",""),IF(AND($D166&lt;T$5+7,$E166&gt;T$5),"■","")))</x:f>
      </x:c>
      <x:c r="U166" s="7" t="str">
        <x:f>IF(OR($D166="",U$5="",'상세일정'!AM166="제외"),"",IF($D166=$E166,IF(AND($D166&gt;=U$5,$D166&lt;U$5+7),"◆",""),IF(AND($D166&lt;U$5+7,$E166&gt;U$5),"■","")))</x:f>
      </x:c>
      <x:c r="V166" s="7" t="str">
        <x:f>IF(OR($D166="",V$5="",'상세일정'!AM166="제외"),"",IF($D166=$E166,IF(AND($D166&gt;=V$5,$D166&lt;V$5+7),"◆",""),IF(AND($D166&lt;V$5+7,$E166&gt;V$5),"■","")))</x:f>
      </x:c>
      <x:c r="W166" s="7" t="str">
        <x:f>IF(OR($D166="",W$5="",'상세일정'!AM166="제외"),"",IF($D166=$E166,IF(AND($D166&gt;=W$5,$D166&lt;W$5+7),"◆",""),IF(AND($D166&lt;W$5+7,$E166&gt;W$5),"■","")))</x:f>
      </x:c>
      <x:c r="X166" s="7" t="str">
        <x:f>IF(OR($D166="",X$5="",'상세일정'!AM166="제외"),"",IF($D166=$E166,IF(AND($D166&gt;=X$5,$D166&lt;X$5+7),"◆",""),IF(AND($D166&lt;X$5+7,$E166&gt;X$5),"■","")))</x:f>
      </x:c>
      <x:c r="Y166" s="7" t="str">
        <x:f>IF(OR($D166="",Y$5="",'상세일정'!AM166="제외"),"",IF($D166=$E166,IF(AND($D166&gt;=Y$5,$D166&lt;Y$5+7),"◆",""),IF(AND($D166&lt;Y$5+7,$E166&gt;Y$5),"■","")))</x:f>
      </x:c>
      <x:c r="Z166" s="7" t="str">
        <x:f>IF(OR($D166="",Z$5="",'상세일정'!AM166="제외"),"",IF($D166=$E166,IF(AND($D166&gt;=Z$5,$D166&lt;Z$5+7),"◆",""),IF(AND($D166&lt;Z$5+7,$E166&gt;Z$5),"■","")))</x:f>
      </x:c>
      <x:c r="AA166" s="7" t="str">
        <x:f>IF(OR($D166="",AA$5="",'상세일정'!AM166="제외"),"",IF($D166=$E166,IF(AND($D166&gt;=AA$5,$D166&lt;AA$5+7),"◆",""),IF(AND($D166&lt;AA$5+7,$E166&gt;AA$5),"■","")))</x:f>
      </x:c>
      <x:c r="AB166" s="7" t="str">
        <x:f>IF(OR($D166="",AB$5="",'상세일정'!AM166="제외"),"",IF($D166=$E166,IF(AND($D166&gt;=AB$5,$D166&lt;AB$5+7),"◆",""),IF(AND($D166&lt;AB$5+7,$E166&gt;AB$5),"■","")))</x:f>
      </x:c>
      <x:c r="AC166" s="7" t="str">
        <x:f>IF(OR($D166="",AC$5="",'상세일정'!AM166="제외"),"",IF($D166=$E166,IF(AND($D166&gt;=AC$5,$D166&lt;AC$5+7),"◆",""),IF(AND($D166&lt;AC$5+7,$E166&gt;AC$5),"■","")))</x:f>
      </x:c>
      <x:c r="AD166" s="7" t="str">
        <x:f>IF(OR($D166="",AD$5="",'상세일정'!AM166="제외"),"",IF($D166=$E166,IF(AND($D166&gt;=AD$5,$D166&lt;AD$5+7),"◆",""),IF(AND($D166&lt;AD$5+7,$E166&gt;AD$5),"■","")))</x:f>
      </x:c>
      <x:c r="AE166" s="7" t="str">
        <x:f>IF(OR($D166="",AE$5="",'상세일정'!AM166="제외"),"",IF($D166=$E166,IF(AND($D166&gt;=AE$5,$D166&lt;AE$5+7),"◆",""),IF(AND($D166&lt;AE$5+7,$E166&gt;AE$5),"■","")))</x:f>
      </x:c>
      <x:c r="AF166" s="7" t="str">
        <x:f>IF(OR($D166="",AF$5="",'상세일정'!AM166="제외"),"",IF($D166=$E166,IF(AND($D166&gt;=AF$5,$D166&lt;AF$5+7),"◆",""),IF(AND($D166&lt;AF$5+7,$E166&gt;AF$5),"■","")))</x:f>
      </x:c>
      <x:c r="AG166" s="7" t="str">
        <x:f>IF(OR($D166="",AG$5="",'상세일정'!AM166="제외"),"",IF($D166=$E166,IF(AND($D166&gt;=AG$5,$D166&lt;AG$5+7),"◆",""),IF(AND($D166&lt;AG$5+7,$E166&gt;AG$5),"■","")))</x:f>
      </x:c>
      <x:c r="AH166" s="7" t="str">
        <x:f>IF(OR($D166="",AH$5="",'상세일정'!AM166="제외"),"",IF($D166=$E166,IF(AND($D166&gt;=AH$5,$D166&lt;AH$5+7),"◆",""),IF(AND($D166&lt;AH$5+7,$E166&gt;AH$5),"■","")))</x:f>
      </x:c>
      <x:c r="AI166" s="7" t="str">
        <x:f>IF(OR($D166="",AI$5="",'상세일정'!AM166="제외"),"",IF($D166=$E166,IF(AND($D166&gt;=AI$5,$D166&lt;AI$5+7),"◆",""),IF(AND($D166&lt;AI$5+7,$E166&gt;AI$5),"■","")))</x:f>
      </x:c>
      <x:c r="AJ166" s="7" t="str">
        <x:f>IF(OR($D166="",AJ$5="",'상세일정'!AM166="제외"),"",IF($D166=$E166,IF(AND($D166&gt;=AJ$5,$D166&lt;AJ$5+7),"◆",""),IF(AND($D166&lt;AJ$5+7,$E166&gt;AJ$5),"■","")))</x:f>
      </x:c>
      <x:c r="AK166" s="7" t="str">
        <x:f>IF(OR($D166="",AK$5="",'상세일정'!AM166="제외"),"",IF($D166=$E166,IF(AND($D166&gt;=AK$5,$D166&lt;AK$5+7),"◆",""),IF(AND($D166&lt;AK$5+7,$E166&gt;AK$5),"■","")))</x:f>
      </x:c>
      <x:c r="AL166" s="7" t="str">
        <x:f>IF(OR($D166="",AL$5="",'상세일정'!AM166="제외"),"",IF($D166=$E166,IF(AND($D166&gt;=AL$5,$D166&lt;AL$5+7),"◆",""),IF(AND($D166&lt;AL$5+7,$E166&gt;AL$5),"■","")))</x:f>
      </x:c>
      <x:c r="AM166" s="7" t="str">
        <x:f>IF(OR($D166="",AM$5="",'상세일정'!AM166="제외"),"",IF($D166=$E166,IF(AND($D166&gt;=AM$5,$D166&lt;AM$5+7),"◆",""),IF(AND($D166&lt;AM$5+7,$E166&gt;AM$5),"■","")))</x:f>
      </x:c>
      <x:c r="AN166" s="7" t="str">
        <x:f>IF(OR($D166="",AN$5="",'상세일정'!AM166="제외"),"",IF($D166=$E166,IF(AND($D166&gt;=AN$5,$D166&lt;AN$5+7),"◆",""),IF(AND($D166&lt;AN$5+7,$E166&gt;AN$5),"■","")))</x:f>
      </x:c>
      <x:c r="AO166" s="7" t="str">
        <x:f>IF(OR($D166="",AO$5="",'상세일정'!AM166="제외"),"",IF($D166=$E166,IF(AND($D166&gt;=AO$5,$D166&lt;AO$5+7),"◆",""),IF(AND($D166&lt;AO$5+7,$E166&gt;AO$5),"■","")))</x:f>
      </x:c>
      <x:c r="AP166" s="7" t="str">
        <x:f>IF(OR($D166="",AP$5="",'상세일정'!AM166="제외"),"",IF($D166=$E166,IF(AND($D166&gt;=AP$5,$D166&lt;AP$5+7),"◆",""),IF(AND($D166&lt;AP$5+7,$E166&gt;AP$5),"■","")))</x:f>
      </x:c>
      <x:c r="AQ166" s="7" t="str">
        <x:f>IF(OR($D166="",AQ$5="",'상세일정'!AM166="제외"),"",IF($D166=$E166,IF(AND($D166&gt;=AQ$5,$D166&lt;AQ$5+7),"◆",""),IF(AND($D166&lt;AQ$5+7,$E166&gt;AQ$5),"■","")))</x:f>
      </x:c>
      <x:c r="AR166" s="7" t="str">
        <x:f>IF(OR($D166="",AR$5="",'상세일정'!AM166="제외"),"",IF($D166=$E166,IF(AND($D166&gt;=AR$5,$D166&lt;AR$5+7),"◆",""),IF(AND($D166&lt;AR$5+7,$E166&gt;AR$5),"■","")))</x:f>
      </x:c>
      <x:c r="AS166" s="7" t="str">
        <x:f>IF(OR($D166="",AS$5="",'상세일정'!AM166="제외"),"",IF($D166=$E166,IF(AND($D166&gt;=AS$5,$D166&lt;AS$5+7),"◆",""),IF(AND($D166&lt;AS$5+7,$E166&gt;AS$5),"■","")))</x:f>
      </x:c>
      <x:c r="AT166" s="7" t="str">
        <x:f>IF(OR($D166="",AT$5="",'상세일정'!AM166="제외"),"",IF($D166=$E166,IF(AND($D166&gt;=AT$5,$D166&lt;AT$5+7),"◆",""),IF(AND($D166&lt;AT$5+7,$E166&gt;AT$5),"■","")))</x:f>
      </x:c>
      <x:c r="AU166" s="7" t="str">
        <x:f>IF(OR($D166="",AU$5="",'상세일정'!AM166="제외"),"",IF($D166=$E166,IF(AND($D166&gt;=AU$5,$D166&lt;AU$5+7),"◆",""),IF(AND($D166&lt;AU$5+7,$E166&gt;AU$5),"■","")))</x:f>
      </x:c>
      <x:c r="AV166" s="7" t="str">
        <x:f>IF(OR($D166="",AV$5="",'상세일정'!AM166="제외"),"",IF($D166=$E166,IF(AND($D166&gt;=AV$5,$D166&lt;AV$5+7),"◆",""),IF(AND($D166&lt;AV$5+7,$E166&gt;AV$5),"■","")))</x:f>
      </x:c>
      <x:c r="AW166" s="7" t="str">
        <x:f>IF(OR($D166="",AW$5="",'상세일정'!AM166="제외"),"",IF($D166=$E166,IF(AND($D166&gt;=AW$5,$D166&lt;AW$5+7),"◆",""),IF(AND($D166&lt;AW$5+7,$E166&gt;AW$5),"■","")))</x:f>
      </x:c>
      <x:c r="AX166" s="7" t="str">
        <x:f>IF(OR($D166="",AX$5="",'상세일정'!AM166="제외"),"",IF($D166=$E166,IF(AND($D166&gt;=AX$5,$D166&lt;AX$5+7),"◆",""),IF(AND($D166&lt;AX$5+7,$E166&gt;AX$5),"■","")))</x:f>
      </x:c>
      <x:c r="AY166" s="7" t="str">
        <x:f>IF(OR($D166="",AY$5="",'상세일정'!AM166="제외"),"",IF($D166=$E166,IF(AND($D166&gt;=AY$5,$D166&lt;AY$5+7),"◆",""),IF(AND($D166&lt;AY$5+7,$E166&gt;AY$5),"■","")))</x:f>
      </x:c>
      <x:c r="AZ166" s="7" t="str">
        <x:f>IF(OR($D166="",AZ$5="",'상세일정'!AM166="제외"),"",IF($D166=$E166,IF(AND($D166&gt;=AZ$5,$D166&lt;AZ$5+7),"◆",""),IF(AND($D166&lt;AZ$5+7,$E166&gt;AZ$5),"■","")))</x:f>
      </x:c>
      <x:c r="BA166" s="7" t="str">
        <x:f>IF(OR($D166="",BA$5="",'상세일정'!AM166="제외"),"",IF($D166=$E166,IF(AND($D166&gt;=BA$5,$D166&lt;BA$5+7),"◆",""),IF(AND($D166&lt;BA$5+7,$E166&gt;BA$5),"■","")))</x:f>
      </x:c>
      <x:c r="BB166" s="7" t="str">
        <x:f>IF(OR($D166="",BB$5="",'상세일정'!AM166="제외"),"",IF($D166=$E166,IF(AND($D166&gt;=BB$5,$D166&lt;BB$5+7),"◆",""),IF(AND($D166&lt;BB$5+7,$E166&gt;BB$5),"■","")))</x:f>
      </x:c>
      <x:c r="BC166" s="7" t="str">
        <x:f>IF(OR($D166="",BC$5="",'상세일정'!AM166="제외"),"",IF($D166=$E166,IF(AND($D166&gt;=BC$5,$D166&lt;BC$5+7),"◆",""),IF(AND($D166&lt;BC$5+7,$E166&gt;BC$5),"■","")))</x:f>
      </x:c>
      <x:c r="BD166" s="7" t="str">
        <x:f>IF(OR($D166="",BD$5="",'상세일정'!AM166="제외"),"",IF($D166=$E166,IF(AND($D166&gt;=BD$5,$D166&lt;BD$5+7),"◆",""),IF(AND($D166&lt;BD$5+7,$E166&gt;BD$5),"■","")))</x:f>
      </x:c>
      <x:c r="BE166" s="7" t="str">
        <x:f>IF(OR($D166="",BE$5="",'상세일정'!AM166="제외"),"",IF($D166=$E166,IF(AND($D166&gt;=BE$5,$D166&lt;BE$5+7),"◆",""),IF(AND($D166&lt;BE$5+7,$E166&gt;BE$5),"■","")))</x:f>
      </x:c>
      <x:c r="BF166" s="7" t="str">
        <x:f>IF(OR($D166="",BF$5="",'상세일정'!AM166="제외"),"",IF($D166=$E166,IF(AND($D166&gt;=BF$5,$D166&lt;BF$5+7),"◆",""),IF(AND($D166&lt;BF$5+7,$E166&gt;BF$5),"■","")))</x:f>
      </x:c>
      <x:c r="BG166" s="7" t="str">
        <x:f>IF(OR($D166="",BG$5="",'상세일정'!AM166="제외"),"",IF($D166=$E166,IF(AND($D166&gt;=BG$5,$D166&lt;BG$5+7),"◆",""),IF(AND($D166&lt;BG$5+7,$E166&gt;BG$5),"■","")))</x:f>
      </x:c>
      <x:c r="BH166" s="7" t="str">
        <x:f>IF(OR($D166="",BH$5="",'상세일정'!AM166="제외"),"",IF($D166=$E166,IF(AND($D166&gt;=BH$5,$D166&lt;BH$5+7),"◆",""),IF(AND($D166&lt;BH$5+7,$E166&gt;BH$5),"■","")))</x:f>
      </x:c>
      <x:c r="BI166" s="7" t="str">
        <x:f>IF(OR($D166="",BI$5="",'상세일정'!AM166="제외"),"",IF($D166=$E166,IF(AND($D166&gt;=BI$5,$D166&lt;BI$5+7),"◆",""),IF(AND($D166&lt;BI$5+7,$E166&gt;BI$5),"■","")))</x:f>
      </x:c>
      <x:c r="BJ166" s="7" t="str">
        <x:f>IF(OR($D166="",BJ$5="",'상세일정'!AM166="제외"),"",IF($D166=$E166,IF(AND($D166&gt;=BJ$5,$D166&lt;BJ$5+7),"◆",""),IF(AND($D166&lt;BJ$5+7,$E166&gt;BJ$5),"■","")))</x:f>
      </x:c>
      <x:c r="BK166" s="7" t="str">
        <x:f>IF(OR($D166="",BK$5="",'상세일정'!AM166="제외"),"",IF($D166=$E166,IF(AND($D166&gt;=BK$5,$D166&lt;BK$5+7),"◆",""),IF(AND($D166&lt;BK$5+7,$E166&gt;BK$5),"■","")))</x:f>
      </x:c>
      <x:c r="BL166" s="7" t="str">
        <x:f>IF(OR($D166="",BL$5="",'상세일정'!AM166="제외"),"",IF($D166=$E166,IF(AND($D166&gt;=BL$5,$D166&lt;BL$5+7),"◆",""),IF(AND($D166&lt;BL$5+7,$E166&gt;BL$5),"■","")))</x:f>
      </x:c>
      <x:c r="BM166" s="7" t="str">
        <x:f>IF(OR($D166="",BM$5="",'상세일정'!AM166="제외"),"",IF($D166=$E166,IF(AND($D166&gt;=BM$5,$D166&lt;BM$5+7),"◆",""),IF(AND($D166&lt;BM$5+7,$E166&gt;BM$5),"■","")))</x:f>
      </x:c>
      <x:c r="BN166" s="7" t="str">
        <x:f>IF(OR($D166="",BN$5="",'상세일정'!AM166="제외"),"",IF($D166=$E166,IF(AND($D166&gt;=BN$5,$D166&lt;BN$5+7),"◆",""),IF(AND($D166&lt;BN$5+7,$E166&gt;BN$5),"■","")))</x:f>
      </x:c>
      <x:c r="BO166" s="7" t="str">
        <x:f>IF(OR($D166="",BO$5="",'상세일정'!AM166="제외"),"",IF($D166=$E166,IF(AND($D166&gt;=BO$5,$D166&lt;BO$5+7),"◆",""),IF(AND($D166&lt;BO$5+7,$E166&gt;BO$5),"■","")))</x:f>
      </x:c>
      <x:c r="BP166" s="7" t="str">
        <x:f>IF(OR($D166="",BP$5="",'상세일정'!AM166="제외"),"",IF($D166=$E166,IF(AND($D166&gt;=BP$5,$D166&lt;BP$5+7),"◆",""),IF(AND($D166&lt;BP$5+7,$E166&gt;BP$5),"■","")))</x:f>
      </x:c>
      <x:c r="BQ166" s="7" t="str">
        <x:f>IF(OR($D166="",BQ$5="",'상세일정'!AM166="제외"),"",IF($D166=$E166,IF(AND($D166&gt;=BQ$5,$D166&lt;BQ$5+7),"◆",""),IF(AND($D166&lt;BQ$5+7,$E166&gt;BQ$5),"■","")))</x:f>
      </x:c>
      <x:c r="BR166" s="7" t="str">
        <x:f>IF(OR($D166="",BR$5="",'상세일정'!AM166="제외"),"",IF($D166=$E166,IF(AND($D166&gt;=BR$5,$D166&lt;BR$5+7),"◆",""),IF(AND($D166&lt;BR$5+7,$E166&gt;BR$5),"■","")))</x:f>
      </x:c>
      <x:c r="BS166" s="7" t="str">
        <x:f>IF(OR($D166="",BS$5="",'상세일정'!AM166="제외"),"",IF($D166=$E166,IF(AND($D166&gt;=BS$5,$D166&lt;BS$5+7),"◆",""),IF(AND($D166&lt;BS$5+7,$E166&gt;BS$5),"■","")))</x:f>
      </x:c>
      <x:c r="BT166" s="7" t="str">
        <x:f>IF(OR($D166="",BT$5="",'상세일정'!AM166="제외"),"",IF($D166=$E166,IF(AND($D166&gt;=BT$5,$D166&lt;BT$5+7),"◆",""),IF(AND($D166&lt;BT$5+7,$E166&gt;BT$5),"■","")))</x:f>
      </x:c>
      <x:c r="BU166" s="7" t="str">
        <x:f>IF(OR($D166="",BU$5="",'상세일정'!AM166="제외"),"",IF($D166=$E166,IF(AND($D166&gt;=BU$5,$D166&lt;BU$5+7),"◆",""),IF(AND($D166&lt;BU$5+7,$E166&gt;BU$5),"■","")))</x:f>
      </x:c>
      <x:c r="BV166" s="7" t="str">
        <x:f>IF(OR($D166="",BV$5="",'상세일정'!AM166="제외"),"",IF($D166=$E166,IF(AND($D166&gt;=BV$5,$D166&lt;BV$5+7),"◆",""),IF(AND($D166&lt;BV$5+7,$E166&gt;BV$5),"■","")))</x:f>
      </x:c>
      <x:c r="BW166" s="7" t="str">
        <x:f>IF(OR($D166="",BW$5="",'상세일정'!AM166="제외"),"",IF($D166=$E166,IF(AND($D166&gt;=BW$5,$D166&lt;BW$5+7),"◆",""),IF(AND($D166&lt;BW$5+7,$E166&gt;BW$5),"■","")))</x:f>
      </x:c>
      <x:c r="BX166" s="7" t="str">
        <x:f>IF(OR($D166="",BX$5="",'상세일정'!AM166="제외"),"",IF($D166=$E166,IF(AND($D166&gt;=BX$5,$D166&lt;BX$5+7),"◆",""),IF(AND($D166&lt;BX$5+7,$E166&gt;BX$5),"■","")))</x:f>
      </x:c>
      <x:c r="BY166" s="7" t="str">
        <x:f>IF(OR($D166="",BY$5="",'상세일정'!AM166="제외"),"",IF($D166=$E166,IF(AND($D166&gt;=BY$5,$D166&lt;BY$5+7),"◆",""),IF(AND($D166&lt;BY$5+7,$E166&gt;BY$5),"■","")))</x:f>
      </x:c>
      <x:c r="BZ166" s="7" t="str">
        <x:f>IF(OR($D166="",BZ$5="",'상세일정'!AM166="제외"),"",IF($D166=$E166,IF(AND($D166&gt;=BZ$5,$D166&lt;BZ$5+7),"◆",""),IF(AND($D166&lt;BZ$5+7,$E166&gt;BZ$5),"■","")))</x:f>
      </x:c>
      <x:c r="CA166" s="7" t="str">
        <x:f>IF(OR($D166="",CA$5="",'상세일정'!AM166="제외"),"",IF($D166=$E166,IF(AND($D166&gt;=CA$5,$D166&lt;CA$5+7),"◆",""),IF(AND($D166&lt;CA$5+7,$E166&gt;CA$5),"■","")))</x:f>
      </x:c>
      <x:c r="CB166" s="7" t="str">
        <x:f>IF(OR($D166="",CB$5="",'상세일정'!AM166="제외"),"",IF($D166=$E166,IF(AND($D166&gt;=CB$5,$D166&lt;CB$5+7),"◆",""),IF(AND($D166&lt;CB$5+7,$E166&gt;CB$5),"■","")))</x:f>
      </x:c>
      <x:c r="CC166" s="7" t="str">
        <x:f>IF(OR($D166="",CC$5="",'상세일정'!AM166="제외"),"",IF($D166=$E166,IF(AND($D166&gt;=CC$5,$D166&lt;CC$5+7),"◆",""),IF(AND($D166&lt;CC$5+7,$E166&gt;CC$5),"■","")))</x:f>
      </x:c>
      <x:c r="CD166" s="7" t="str">
        <x:f>IF(OR($D166="",CD$5="",'상세일정'!AM166="제외"),"",IF($D166=$E166,IF(AND($D166&gt;=CD$5,$D166&lt;CD$5+7),"◆",""),IF(AND($D166&lt;CD$5+7,$E166&gt;CD$5),"■","")))</x:f>
      </x:c>
      <x:c r="CE166" s="7" t="str">
        <x:f>IF(OR($D166="",CE$5="",'상세일정'!AM166="제외"),"",IF($D166=$E166,IF(AND($D166&gt;=CE$5,$D166&lt;CE$5+7),"◆",""),IF(AND($D166&lt;CE$5+7,$E166&gt;CE$5),"■","")))</x:f>
      </x:c>
      <x:c r="CF166" s="7" t="str">
        <x:f>IF(OR($D166="",CF$5="",'상세일정'!AM166="제외"),"",IF($D166=$E166,IF(AND($D166&gt;=CF$5,$D166&lt;CF$5+7),"◆",""),IF(AND($D166&lt;CF$5+7,$E166&gt;CF$5),"■","")))</x:f>
      </x:c>
      <x:c r="CG166" s="7" t="str">
        <x:f>IF(OR($D166="",CG$5="",'상세일정'!AM166="제외"),"",IF($D166=$E166,IF(AND($D166&gt;=CG$5,$D166&lt;CG$5+7),"◆",""),IF(AND($D166&lt;CG$5+7,$E166&gt;CG$5),"■","")))</x:f>
      </x:c>
      <x:c r="CH166" s="7" t="str">
        <x:f>IF(OR($D166="",CH$5="",'상세일정'!AM166="제외"),"",IF($D166=$E166,IF(AND($D166&gt;=CH$5,$D166&lt;CH$5+7),"◆",""),IF(AND($D166&lt;CH$5+7,$E166&gt;CH$5),"■","")))</x:f>
      </x:c>
      <x:c r="CI166" s="7" t="str">
        <x:f>IF(OR($D166="",CI$5="",'상세일정'!AM166="제외"),"",IF($D166=$E166,IF(AND($D166&gt;=CI$5,$D166&lt;CI$5+7),"◆",""),IF(AND($D166&lt;CI$5+7,$E166&gt;CI$5),"■","")))</x:f>
      </x:c>
      <x:c r="CJ166" s="7" t="str">
        <x:f>IF(OR($D166="",CJ$5="",'상세일정'!AM166="제외"),"",IF($D166=$E166,IF(AND($D166&gt;=CJ$5,$D166&lt;CJ$5+7),"◆",""),IF(AND($D166&lt;CJ$5+7,$E166&gt;CJ$5),"■","")))</x:f>
      </x:c>
      <x:c r="CK166" s="7" t="str">
        <x:f>IF(OR($D166="",CK$5="",'상세일정'!AM166="제외"),"",IF($D166=$E166,IF(AND($D166&gt;=CK$5,$D166&lt;CK$5+7),"◆",""),IF(AND($D166&lt;CK$5+7,$E166&gt;CK$5),"■","")))</x:f>
      </x:c>
      <x:c r="CL166" s="7" t="str">
        <x:f>IF(OR($D166="",CL$5="",'상세일정'!AM166="제외"),"",IF($D166=$E166,IF(AND($D166&gt;=CL$5,$D166&lt;CL$5+7),"◆",""),IF(AND($D166&lt;CL$5+7,$E166&gt;CL$5),"■","")))</x:f>
      </x:c>
      <x:c r="CM166" s="7" t="str">
        <x:f>IF(OR($D166="",CM$5="",'상세일정'!AM166="제외"),"",IF($D166=$E166,IF(AND($D166&gt;=CM$5,$D166&lt;CM$5+7),"◆",""),IF(AND($D166&lt;CM$5+7,$E166&gt;CM$5),"■","")))</x:f>
      </x:c>
      <x:c r="CN166" s="7" t="str">
        <x:f>IF(OR($D166="",CN$5="",'상세일정'!AM166="제외"),"",IF($D166=$E166,IF(AND($D166&gt;=CN$5,$D166&lt;CN$5+7),"◆",""),IF(AND($D166&lt;CN$5+7,$E166&gt;CN$5),"■","")))</x:f>
      </x:c>
      <x:c r="CO166" s="7" t="str">
        <x:f>IF(OR($D166="",CO$5="",'상세일정'!AM166="제외"),"",IF($D166=$E166,IF(AND($D166&gt;=CO$5,$D166&lt;CO$5+7),"◆",""),IF(AND($D166&lt;CO$5+7,$E166&gt;CO$5),"■","")))</x:f>
      </x:c>
      <x:c r="CP166" s="7" t="str">
        <x:f>IF(OR($D166="",CP$5="",'상세일정'!AM166="제외"),"",IF($D166=$E166,IF(AND($D166&gt;=CP$5,$D166&lt;CP$5+7),"◆",""),IF(AND($D166&lt;CP$5+7,$E166&gt;CP$5),"■","")))</x:f>
      </x:c>
      <x:c r="CQ166" s="7" t="str">
        <x:f>IF(OR($D166="",CQ$5="",'상세일정'!AM166="제외"),"",IF($D166=$E166,IF(AND($D166&gt;=CQ$5,$D166&lt;CQ$5+7),"◆",""),IF(AND($D166&lt;CQ$5+7,$E166&gt;CQ$5),"■","")))</x:f>
      </x:c>
      <x:c r="CR166" s="7" t="str">
        <x:f>IF(OR($D166="",CR$5="",'상세일정'!AM166="제외"),"",IF($D166=$E166,IF(AND($D166&gt;=CR$5,$D166&lt;CR$5+7),"◆",""),IF(AND($D166&lt;CR$5+7,$E166&gt;CR$5),"■","")))</x:f>
      </x:c>
      <x:c r="CS166" s="7" t="str">
        <x:f>IF(OR($D166="",CS$5="",'상세일정'!AM166="제외"),"",IF($D166=$E166,IF(AND($D166&gt;=CS$5,$D166&lt;CS$5+7),"◆",""),IF(AND($D166&lt;CS$5+7,$E166&gt;CS$5),"■","")))</x:f>
      </x:c>
      <x:c r="CT166" s="7" t="str">
        <x:f>IF(OR($D166="",CT$5="",'상세일정'!AM166="제외"),"",IF($D166=$E166,IF(AND($D166&gt;=CT$5,$D166&lt;CT$5+7),"◆",""),IF(AND($D166&lt;CT$5+7,$E166&gt;CT$5),"■","")))</x:f>
      </x:c>
      <x:c r="CU166" s="7" t="str">
        <x:f>IF(OR($D166="",CU$5="",'상세일정'!AM166="제외"),"",IF($D166=$E166,IF(AND($D166&gt;=CU$5,$D166&lt;CU$5+7),"◆",""),IF(AND($D166&lt;CU$5+7,$E166&gt;CU$5),"■","")))</x:f>
      </x:c>
      <x:c r="CV166" s="7" t="str">
        <x:f>IF(OR($D166="",CV$5="",'상세일정'!AM166="제외"),"",IF($D166=$E166,IF(AND($D166&gt;=CV$5,$D166&lt;CV$5+7),"◆",""),IF(AND($D166&lt;CV$5+7,$E166&gt;CV$5),"■","")))</x:f>
      </x:c>
      <x:c r="CW166" s="7" t="str">
        <x:f>IF(OR($D166="",CW$5="",'상세일정'!AM166="제외"),"",IF($D166=$E166,IF(AND($D166&gt;=CW$5,$D166&lt;CW$5+7),"◆",""),IF(AND($D166&lt;CW$5+7,$E166&gt;CW$5),"■","")))</x:f>
      </x:c>
      <x:c r="CX166" s="7" t="str">
        <x:f>IF(OR($D166="",CX$5="",'상세일정'!AM166="제외"),"",IF($D166=$E166,IF(AND($D166&gt;=CX$5,$D166&lt;CX$5+7),"◆",""),IF(AND($D166&lt;CX$5+7,$E166&gt;CX$5),"■","")))</x:f>
      </x:c>
      <x:c r="CY166" s="7" t="str">
        <x:f>IF(OR($D166="",CY$5="",'상세일정'!AM166="제외"),"",IF($D166=$E166,IF(AND($D166&gt;=CY$5,$D166&lt;CY$5+7),"◆",""),IF(AND($D166&lt;CY$5+7,$E166&gt;CY$5),"■","")))</x:f>
      </x:c>
      <x:c r="CZ166" s="7" t="str">
        <x:f>IF(OR($D166="",CZ$5="",'상세일정'!AM166="제외"),"",IF($D166=$E166,IF(AND($D166&gt;=CZ$5,$D166&lt;CZ$5+7),"◆",""),IF(AND($D166&lt;CZ$5+7,$E166&gt;CZ$5),"■","")))</x:f>
      </x:c>
      <x:c r="DA166" s="7" t="str">
        <x:f>IF(OR($D166="",DA$5="",'상세일정'!AM166="제외"),"",IF($D166=$E166,IF(AND($D166&gt;=DA$5,$D166&lt;DA$5+7),"◆",""),IF(AND($D166&lt;DA$5+7,$E166&gt;DA$5),"■","")))</x:f>
      </x:c>
      <x:c r="DB166" s="7" t="str">
        <x:f>IF(OR($D166="",DB$5="",'상세일정'!AM166="제외"),"",IF($D166=$E166,IF(AND($D166&gt;=DB$5,$D166&lt;DB$5+7),"◆",""),IF(AND($D166&lt;DB$5+7,$E166&gt;DB$5),"■","")))</x:f>
      </x:c>
      <x:c r="DC166" s="7" t="str">
        <x:f>IF(OR($D166="",DC$5="",'상세일정'!AM166="제외"),"",IF($D166=$E166,IF(AND($D166&gt;=DC$5,$D166&lt;DC$5+7),"◆",""),IF(AND($D166&lt;DC$5+7,$E166&gt;DC$5),"■","")))</x:f>
      </x:c>
      <x:c r="DD166" s="7" t="str">
        <x:f>IF(OR($D166="",DD$5="",'상세일정'!AM166="제외"),"",IF($D166=$E166,IF(AND($D166&gt;=DD$5,$D166&lt;DD$5+7),"◆",""),IF(AND($D166&lt;DD$5+7,$E166&gt;DD$5),"■","")))</x:f>
      </x:c>
      <x:c r="DE166" s="7" t="str">
        <x:f>IF(OR($D166="",DE$5="",'상세일정'!AM166="제외"),"",IF($D166=$E166,IF(AND($D166&gt;=DE$5,$D166&lt;DE$5+7),"◆",""),IF(AND($D166&lt;DE$5+7,$E166&gt;DE$5),"■","")))</x:f>
      </x:c>
    </x:row>
    <x:row r="167" ht="34" customHeight="1">
      <x:c r="A167" s="7" t="str">
        <x:v>BW04</x:v>
      </x:c>
      <x:c r="B167" s="7" t="str">
        <x:v>18 건축·방호벽</x:v>
      </x:c>
      <x:c r="C167" s="7" t="str">
        <x:v>압축·저장동 구조체·철골·지붕 설치</x:v>
      </x:c>
      <x:c r="D167" s="10" t="str">
        <x:f>'상세일정'!AJ167</x:f>
      </x:c>
      <x:c r="E167" s="10" t="str">
        <x:f>'상세일정'!AK167</x:f>
      </x:c>
      <x:c r="F167" s="7" t="str">
        <x:f>IF(OR($D167="",F$5="",'상세일정'!AM167="제외"),"",IF($D167=$E167,IF(AND($D167&gt;=F$5,$D167&lt;F$5+7),"◆",""),IF(AND($D167&lt;F$5+7,$E167&gt;F$5),"■","")))</x:f>
      </x:c>
      <x:c r="G167" s="7" t="str">
        <x:f>IF(OR($D167="",G$5="",'상세일정'!AM167="제외"),"",IF($D167=$E167,IF(AND($D167&gt;=G$5,$D167&lt;G$5+7),"◆",""),IF(AND($D167&lt;G$5+7,$E167&gt;G$5),"■","")))</x:f>
      </x:c>
      <x:c r="H167" s="7" t="str">
        <x:f>IF(OR($D167="",H$5="",'상세일정'!AM167="제외"),"",IF($D167=$E167,IF(AND($D167&gt;=H$5,$D167&lt;H$5+7),"◆",""),IF(AND($D167&lt;H$5+7,$E167&gt;H$5),"■","")))</x:f>
      </x:c>
      <x:c r="I167" s="7" t="str">
        <x:f>IF(OR($D167="",I$5="",'상세일정'!AM167="제외"),"",IF($D167=$E167,IF(AND($D167&gt;=I$5,$D167&lt;I$5+7),"◆",""),IF(AND($D167&lt;I$5+7,$E167&gt;I$5),"■","")))</x:f>
      </x:c>
      <x:c r="J167" s="7" t="str">
        <x:f>IF(OR($D167="",J$5="",'상세일정'!AM167="제외"),"",IF($D167=$E167,IF(AND($D167&gt;=J$5,$D167&lt;J$5+7),"◆",""),IF(AND($D167&lt;J$5+7,$E167&gt;J$5),"■","")))</x:f>
      </x:c>
      <x:c r="K167" s="7" t="str">
        <x:f>IF(OR($D167="",K$5="",'상세일정'!AM167="제외"),"",IF($D167=$E167,IF(AND($D167&gt;=K$5,$D167&lt;K$5+7),"◆",""),IF(AND($D167&lt;K$5+7,$E167&gt;K$5),"■","")))</x:f>
      </x:c>
      <x:c r="L167" s="7" t="str">
        <x:f>IF(OR($D167="",L$5="",'상세일정'!AM167="제외"),"",IF($D167=$E167,IF(AND($D167&gt;=L$5,$D167&lt;L$5+7),"◆",""),IF(AND($D167&lt;L$5+7,$E167&gt;L$5),"■","")))</x:f>
      </x:c>
      <x:c r="M167" s="7" t="str">
        <x:f>IF(OR($D167="",M$5="",'상세일정'!AM167="제외"),"",IF($D167=$E167,IF(AND($D167&gt;=M$5,$D167&lt;M$5+7),"◆",""),IF(AND($D167&lt;M$5+7,$E167&gt;M$5),"■","")))</x:f>
      </x:c>
      <x:c r="N167" s="7" t="str">
        <x:f>IF(OR($D167="",N$5="",'상세일정'!AM167="제외"),"",IF($D167=$E167,IF(AND($D167&gt;=N$5,$D167&lt;N$5+7),"◆",""),IF(AND($D167&lt;N$5+7,$E167&gt;N$5),"■","")))</x:f>
      </x:c>
      <x:c r="O167" s="7" t="str">
        <x:f>IF(OR($D167="",O$5="",'상세일정'!AM167="제외"),"",IF($D167=$E167,IF(AND($D167&gt;=O$5,$D167&lt;O$5+7),"◆",""),IF(AND($D167&lt;O$5+7,$E167&gt;O$5),"■","")))</x:f>
      </x:c>
      <x:c r="P167" s="7" t="str">
        <x:f>IF(OR($D167="",P$5="",'상세일정'!AM167="제외"),"",IF($D167=$E167,IF(AND($D167&gt;=P$5,$D167&lt;P$5+7),"◆",""),IF(AND($D167&lt;P$5+7,$E167&gt;P$5),"■","")))</x:f>
      </x:c>
      <x:c r="Q167" s="7" t="str">
        <x:f>IF(OR($D167="",Q$5="",'상세일정'!AM167="제외"),"",IF($D167=$E167,IF(AND($D167&gt;=Q$5,$D167&lt;Q$5+7),"◆",""),IF(AND($D167&lt;Q$5+7,$E167&gt;Q$5),"■","")))</x:f>
      </x:c>
      <x:c r="R167" s="7" t="str">
        <x:f>IF(OR($D167="",R$5="",'상세일정'!AM167="제외"),"",IF($D167=$E167,IF(AND($D167&gt;=R$5,$D167&lt;R$5+7),"◆",""),IF(AND($D167&lt;R$5+7,$E167&gt;R$5),"■","")))</x:f>
      </x:c>
      <x:c r="S167" s="7" t="str">
        <x:f>IF(OR($D167="",S$5="",'상세일정'!AM167="제외"),"",IF($D167=$E167,IF(AND($D167&gt;=S$5,$D167&lt;S$5+7),"◆",""),IF(AND($D167&lt;S$5+7,$E167&gt;S$5),"■","")))</x:f>
      </x:c>
      <x:c r="T167" s="7" t="str">
        <x:f>IF(OR($D167="",T$5="",'상세일정'!AM167="제외"),"",IF($D167=$E167,IF(AND($D167&gt;=T$5,$D167&lt;T$5+7),"◆",""),IF(AND($D167&lt;T$5+7,$E167&gt;T$5),"■","")))</x:f>
      </x:c>
      <x:c r="U167" s="7" t="str">
        <x:f>IF(OR($D167="",U$5="",'상세일정'!AM167="제외"),"",IF($D167=$E167,IF(AND($D167&gt;=U$5,$D167&lt;U$5+7),"◆",""),IF(AND($D167&lt;U$5+7,$E167&gt;U$5),"■","")))</x:f>
      </x:c>
      <x:c r="V167" s="7" t="str">
        <x:f>IF(OR($D167="",V$5="",'상세일정'!AM167="제외"),"",IF($D167=$E167,IF(AND($D167&gt;=V$5,$D167&lt;V$5+7),"◆",""),IF(AND($D167&lt;V$5+7,$E167&gt;V$5),"■","")))</x:f>
      </x:c>
      <x:c r="W167" s="7" t="str">
        <x:f>IF(OR($D167="",W$5="",'상세일정'!AM167="제외"),"",IF($D167=$E167,IF(AND($D167&gt;=W$5,$D167&lt;W$5+7),"◆",""),IF(AND($D167&lt;W$5+7,$E167&gt;W$5),"■","")))</x:f>
      </x:c>
      <x:c r="X167" s="7" t="str">
        <x:f>IF(OR($D167="",X$5="",'상세일정'!AM167="제외"),"",IF($D167=$E167,IF(AND($D167&gt;=X$5,$D167&lt;X$5+7),"◆",""),IF(AND($D167&lt;X$5+7,$E167&gt;X$5),"■","")))</x:f>
      </x:c>
      <x:c r="Y167" s="7" t="str">
        <x:f>IF(OR($D167="",Y$5="",'상세일정'!AM167="제외"),"",IF($D167=$E167,IF(AND($D167&gt;=Y$5,$D167&lt;Y$5+7),"◆",""),IF(AND($D167&lt;Y$5+7,$E167&gt;Y$5),"■","")))</x:f>
      </x:c>
      <x:c r="Z167" s="7" t="str">
        <x:f>IF(OR($D167="",Z$5="",'상세일정'!AM167="제외"),"",IF($D167=$E167,IF(AND($D167&gt;=Z$5,$D167&lt;Z$5+7),"◆",""),IF(AND($D167&lt;Z$5+7,$E167&gt;Z$5),"■","")))</x:f>
      </x:c>
      <x:c r="AA167" s="7" t="str">
        <x:f>IF(OR($D167="",AA$5="",'상세일정'!AM167="제외"),"",IF($D167=$E167,IF(AND($D167&gt;=AA$5,$D167&lt;AA$5+7),"◆",""),IF(AND($D167&lt;AA$5+7,$E167&gt;AA$5),"■","")))</x:f>
      </x:c>
      <x:c r="AB167" s="7" t="str">
        <x:f>IF(OR($D167="",AB$5="",'상세일정'!AM167="제외"),"",IF($D167=$E167,IF(AND($D167&gt;=AB$5,$D167&lt;AB$5+7),"◆",""),IF(AND($D167&lt;AB$5+7,$E167&gt;AB$5),"■","")))</x:f>
      </x:c>
      <x:c r="AC167" s="7" t="str">
        <x:f>IF(OR($D167="",AC$5="",'상세일정'!AM167="제외"),"",IF($D167=$E167,IF(AND($D167&gt;=AC$5,$D167&lt;AC$5+7),"◆",""),IF(AND($D167&lt;AC$5+7,$E167&gt;AC$5),"■","")))</x:f>
      </x:c>
      <x:c r="AD167" s="7" t="str">
        <x:f>IF(OR($D167="",AD$5="",'상세일정'!AM167="제외"),"",IF($D167=$E167,IF(AND($D167&gt;=AD$5,$D167&lt;AD$5+7),"◆",""),IF(AND($D167&lt;AD$5+7,$E167&gt;AD$5),"■","")))</x:f>
      </x:c>
      <x:c r="AE167" s="7" t="str">
        <x:f>IF(OR($D167="",AE$5="",'상세일정'!AM167="제외"),"",IF($D167=$E167,IF(AND($D167&gt;=AE$5,$D167&lt;AE$5+7),"◆",""),IF(AND($D167&lt;AE$5+7,$E167&gt;AE$5),"■","")))</x:f>
      </x:c>
      <x:c r="AF167" s="7" t="str">
        <x:f>IF(OR($D167="",AF$5="",'상세일정'!AM167="제외"),"",IF($D167=$E167,IF(AND($D167&gt;=AF$5,$D167&lt;AF$5+7),"◆",""),IF(AND($D167&lt;AF$5+7,$E167&gt;AF$5),"■","")))</x:f>
      </x:c>
      <x:c r="AG167" s="7" t="str">
        <x:f>IF(OR($D167="",AG$5="",'상세일정'!AM167="제외"),"",IF($D167=$E167,IF(AND($D167&gt;=AG$5,$D167&lt;AG$5+7),"◆",""),IF(AND($D167&lt;AG$5+7,$E167&gt;AG$5),"■","")))</x:f>
      </x:c>
      <x:c r="AH167" s="7" t="str">
        <x:f>IF(OR($D167="",AH$5="",'상세일정'!AM167="제외"),"",IF($D167=$E167,IF(AND($D167&gt;=AH$5,$D167&lt;AH$5+7),"◆",""),IF(AND($D167&lt;AH$5+7,$E167&gt;AH$5),"■","")))</x:f>
      </x:c>
      <x:c r="AI167" s="7" t="str">
        <x:f>IF(OR($D167="",AI$5="",'상세일정'!AM167="제외"),"",IF($D167=$E167,IF(AND($D167&gt;=AI$5,$D167&lt;AI$5+7),"◆",""),IF(AND($D167&lt;AI$5+7,$E167&gt;AI$5),"■","")))</x:f>
      </x:c>
      <x:c r="AJ167" s="7" t="str">
        <x:f>IF(OR($D167="",AJ$5="",'상세일정'!AM167="제외"),"",IF($D167=$E167,IF(AND($D167&gt;=AJ$5,$D167&lt;AJ$5+7),"◆",""),IF(AND($D167&lt;AJ$5+7,$E167&gt;AJ$5),"■","")))</x:f>
      </x:c>
      <x:c r="AK167" s="7" t="str">
        <x:f>IF(OR($D167="",AK$5="",'상세일정'!AM167="제외"),"",IF($D167=$E167,IF(AND($D167&gt;=AK$5,$D167&lt;AK$5+7),"◆",""),IF(AND($D167&lt;AK$5+7,$E167&gt;AK$5),"■","")))</x:f>
      </x:c>
      <x:c r="AL167" s="7" t="str">
        <x:f>IF(OR($D167="",AL$5="",'상세일정'!AM167="제외"),"",IF($D167=$E167,IF(AND($D167&gt;=AL$5,$D167&lt;AL$5+7),"◆",""),IF(AND($D167&lt;AL$5+7,$E167&gt;AL$5),"■","")))</x:f>
      </x:c>
      <x:c r="AM167" s="7" t="str">
        <x:f>IF(OR($D167="",AM$5="",'상세일정'!AM167="제외"),"",IF($D167=$E167,IF(AND($D167&gt;=AM$5,$D167&lt;AM$5+7),"◆",""),IF(AND($D167&lt;AM$5+7,$E167&gt;AM$5),"■","")))</x:f>
      </x:c>
      <x:c r="AN167" s="7" t="str">
        <x:f>IF(OR($D167="",AN$5="",'상세일정'!AM167="제외"),"",IF($D167=$E167,IF(AND($D167&gt;=AN$5,$D167&lt;AN$5+7),"◆",""),IF(AND($D167&lt;AN$5+7,$E167&gt;AN$5),"■","")))</x:f>
      </x:c>
      <x:c r="AO167" s="7" t="str">
        <x:f>IF(OR($D167="",AO$5="",'상세일정'!AM167="제외"),"",IF($D167=$E167,IF(AND($D167&gt;=AO$5,$D167&lt;AO$5+7),"◆",""),IF(AND($D167&lt;AO$5+7,$E167&gt;AO$5),"■","")))</x:f>
      </x:c>
      <x:c r="AP167" s="7" t="str">
        <x:f>IF(OR($D167="",AP$5="",'상세일정'!AM167="제외"),"",IF($D167=$E167,IF(AND($D167&gt;=AP$5,$D167&lt;AP$5+7),"◆",""),IF(AND($D167&lt;AP$5+7,$E167&gt;AP$5),"■","")))</x:f>
      </x:c>
      <x:c r="AQ167" s="7" t="str">
        <x:f>IF(OR($D167="",AQ$5="",'상세일정'!AM167="제외"),"",IF($D167=$E167,IF(AND($D167&gt;=AQ$5,$D167&lt;AQ$5+7),"◆",""),IF(AND($D167&lt;AQ$5+7,$E167&gt;AQ$5),"■","")))</x:f>
      </x:c>
      <x:c r="AR167" s="7" t="str">
        <x:f>IF(OR($D167="",AR$5="",'상세일정'!AM167="제외"),"",IF($D167=$E167,IF(AND($D167&gt;=AR$5,$D167&lt;AR$5+7),"◆",""),IF(AND($D167&lt;AR$5+7,$E167&gt;AR$5),"■","")))</x:f>
      </x:c>
      <x:c r="AS167" s="7" t="str">
        <x:f>IF(OR($D167="",AS$5="",'상세일정'!AM167="제외"),"",IF($D167=$E167,IF(AND($D167&gt;=AS$5,$D167&lt;AS$5+7),"◆",""),IF(AND($D167&lt;AS$5+7,$E167&gt;AS$5),"■","")))</x:f>
      </x:c>
      <x:c r="AT167" s="7" t="str">
        <x:f>IF(OR($D167="",AT$5="",'상세일정'!AM167="제외"),"",IF($D167=$E167,IF(AND($D167&gt;=AT$5,$D167&lt;AT$5+7),"◆",""),IF(AND($D167&lt;AT$5+7,$E167&gt;AT$5),"■","")))</x:f>
      </x:c>
      <x:c r="AU167" s="7" t="str">
        <x:f>IF(OR($D167="",AU$5="",'상세일정'!AM167="제외"),"",IF($D167=$E167,IF(AND($D167&gt;=AU$5,$D167&lt;AU$5+7),"◆",""),IF(AND($D167&lt;AU$5+7,$E167&gt;AU$5),"■","")))</x:f>
      </x:c>
      <x:c r="AV167" s="7" t="str">
        <x:f>IF(OR($D167="",AV$5="",'상세일정'!AM167="제외"),"",IF($D167=$E167,IF(AND($D167&gt;=AV$5,$D167&lt;AV$5+7),"◆",""),IF(AND($D167&lt;AV$5+7,$E167&gt;AV$5),"■","")))</x:f>
      </x:c>
      <x:c r="AW167" s="7" t="str">
        <x:f>IF(OR($D167="",AW$5="",'상세일정'!AM167="제외"),"",IF($D167=$E167,IF(AND($D167&gt;=AW$5,$D167&lt;AW$5+7),"◆",""),IF(AND($D167&lt;AW$5+7,$E167&gt;AW$5),"■","")))</x:f>
      </x:c>
      <x:c r="AX167" s="7" t="str">
        <x:f>IF(OR($D167="",AX$5="",'상세일정'!AM167="제외"),"",IF($D167=$E167,IF(AND($D167&gt;=AX$5,$D167&lt;AX$5+7),"◆",""),IF(AND($D167&lt;AX$5+7,$E167&gt;AX$5),"■","")))</x:f>
      </x:c>
      <x:c r="AY167" s="7" t="str">
        <x:f>IF(OR($D167="",AY$5="",'상세일정'!AM167="제외"),"",IF($D167=$E167,IF(AND($D167&gt;=AY$5,$D167&lt;AY$5+7),"◆",""),IF(AND($D167&lt;AY$5+7,$E167&gt;AY$5),"■","")))</x:f>
      </x:c>
      <x:c r="AZ167" s="7" t="str">
        <x:f>IF(OR($D167="",AZ$5="",'상세일정'!AM167="제외"),"",IF($D167=$E167,IF(AND($D167&gt;=AZ$5,$D167&lt;AZ$5+7),"◆",""),IF(AND($D167&lt;AZ$5+7,$E167&gt;AZ$5),"■","")))</x:f>
      </x:c>
      <x:c r="BA167" s="7" t="str">
        <x:f>IF(OR($D167="",BA$5="",'상세일정'!AM167="제외"),"",IF($D167=$E167,IF(AND($D167&gt;=BA$5,$D167&lt;BA$5+7),"◆",""),IF(AND($D167&lt;BA$5+7,$E167&gt;BA$5),"■","")))</x:f>
      </x:c>
      <x:c r="BB167" s="7" t="str">
        <x:f>IF(OR($D167="",BB$5="",'상세일정'!AM167="제외"),"",IF($D167=$E167,IF(AND($D167&gt;=BB$5,$D167&lt;BB$5+7),"◆",""),IF(AND($D167&lt;BB$5+7,$E167&gt;BB$5),"■","")))</x:f>
      </x:c>
      <x:c r="BC167" s="7" t="str">
        <x:f>IF(OR($D167="",BC$5="",'상세일정'!AM167="제외"),"",IF($D167=$E167,IF(AND($D167&gt;=BC$5,$D167&lt;BC$5+7),"◆",""),IF(AND($D167&lt;BC$5+7,$E167&gt;BC$5),"■","")))</x:f>
      </x:c>
      <x:c r="BD167" s="7" t="str">
        <x:f>IF(OR($D167="",BD$5="",'상세일정'!AM167="제외"),"",IF($D167=$E167,IF(AND($D167&gt;=BD$5,$D167&lt;BD$5+7),"◆",""),IF(AND($D167&lt;BD$5+7,$E167&gt;BD$5),"■","")))</x:f>
      </x:c>
      <x:c r="BE167" s="7" t="str">
        <x:f>IF(OR($D167="",BE$5="",'상세일정'!AM167="제외"),"",IF($D167=$E167,IF(AND($D167&gt;=BE$5,$D167&lt;BE$5+7),"◆",""),IF(AND($D167&lt;BE$5+7,$E167&gt;BE$5),"■","")))</x:f>
      </x:c>
      <x:c r="BF167" s="7" t="str">
        <x:f>IF(OR($D167="",BF$5="",'상세일정'!AM167="제외"),"",IF($D167=$E167,IF(AND($D167&gt;=BF$5,$D167&lt;BF$5+7),"◆",""),IF(AND($D167&lt;BF$5+7,$E167&gt;BF$5),"■","")))</x:f>
      </x:c>
      <x:c r="BG167" s="7" t="str">
        <x:f>IF(OR($D167="",BG$5="",'상세일정'!AM167="제외"),"",IF($D167=$E167,IF(AND($D167&gt;=BG$5,$D167&lt;BG$5+7),"◆",""),IF(AND($D167&lt;BG$5+7,$E167&gt;BG$5),"■","")))</x:f>
      </x:c>
      <x:c r="BH167" s="7" t="str">
        <x:f>IF(OR($D167="",BH$5="",'상세일정'!AM167="제외"),"",IF($D167=$E167,IF(AND($D167&gt;=BH$5,$D167&lt;BH$5+7),"◆",""),IF(AND($D167&lt;BH$5+7,$E167&gt;BH$5),"■","")))</x:f>
      </x:c>
      <x:c r="BI167" s="7" t="str">
        <x:f>IF(OR($D167="",BI$5="",'상세일정'!AM167="제외"),"",IF($D167=$E167,IF(AND($D167&gt;=BI$5,$D167&lt;BI$5+7),"◆",""),IF(AND($D167&lt;BI$5+7,$E167&gt;BI$5),"■","")))</x:f>
      </x:c>
      <x:c r="BJ167" s="7" t="str">
        <x:f>IF(OR($D167="",BJ$5="",'상세일정'!AM167="제외"),"",IF($D167=$E167,IF(AND($D167&gt;=BJ$5,$D167&lt;BJ$5+7),"◆",""),IF(AND($D167&lt;BJ$5+7,$E167&gt;BJ$5),"■","")))</x:f>
      </x:c>
      <x:c r="BK167" s="7" t="str">
        <x:f>IF(OR($D167="",BK$5="",'상세일정'!AM167="제외"),"",IF($D167=$E167,IF(AND($D167&gt;=BK$5,$D167&lt;BK$5+7),"◆",""),IF(AND($D167&lt;BK$5+7,$E167&gt;BK$5),"■","")))</x:f>
      </x:c>
      <x:c r="BL167" s="7" t="str">
        <x:f>IF(OR($D167="",BL$5="",'상세일정'!AM167="제외"),"",IF($D167=$E167,IF(AND($D167&gt;=BL$5,$D167&lt;BL$5+7),"◆",""),IF(AND($D167&lt;BL$5+7,$E167&gt;BL$5),"■","")))</x:f>
      </x:c>
      <x:c r="BM167" s="7" t="str">
        <x:f>IF(OR($D167="",BM$5="",'상세일정'!AM167="제외"),"",IF($D167=$E167,IF(AND($D167&gt;=BM$5,$D167&lt;BM$5+7),"◆",""),IF(AND($D167&lt;BM$5+7,$E167&gt;BM$5),"■","")))</x:f>
      </x:c>
      <x:c r="BN167" s="7" t="str">
        <x:f>IF(OR($D167="",BN$5="",'상세일정'!AM167="제외"),"",IF($D167=$E167,IF(AND($D167&gt;=BN$5,$D167&lt;BN$5+7),"◆",""),IF(AND($D167&lt;BN$5+7,$E167&gt;BN$5),"■","")))</x:f>
      </x:c>
      <x:c r="BO167" s="7" t="str">
        <x:f>IF(OR($D167="",BO$5="",'상세일정'!AM167="제외"),"",IF($D167=$E167,IF(AND($D167&gt;=BO$5,$D167&lt;BO$5+7),"◆",""),IF(AND($D167&lt;BO$5+7,$E167&gt;BO$5),"■","")))</x:f>
      </x:c>
      <x:c r="BP167" s="7" t="str">
        <x:f>IF(OR($D167="",BP$5="",'상세일정'!AM167="제외"),"",IF($D167=$E167,IF(AND($D167&gt;=BP$5,$D167&lt;BP$5+7),"◆",""),IF(AND($D167&lt;BP$5+7,$E167&gt;BP$5),"■","")))</x:f>
      </x:c>
      <x:c r="BQ167" s="7" t="str">
        <x:f>IF(OR($D167="",BQ$5="",'상세일정'!AM167="제외"),"",IF($D167=$E167,IF(AND($D167&gt;=BQ$5,$D167&lt;BQ$5+7),"◆",""),IF(AND($D167&lt;BQ$5+7,$E167&gt;BQ$5),"■","")))</x:f>
      </x:c>
      <x:c r="BR167" s="7" t="str">
        <x:f>IF(OR($D167="",BR$5="",'상세일정'!AM167="제외"),"",IF($D167=$E167,IF(AND($D167&gt;=BR$5,$D167&lt;BR$5+7),"◆",""),IF(AND($D167&lt;BR$5+7,$E167&gt;BR$5),"■","")))</x:f>
      </x:c>
      <x:c r="BS167" s="7" t="str">
        <x:f>IF(OR($D167="",BS$5="",'상세일정'!AM167="제외"),"",IF($D167=$E167,IF(AND($D167&gt;=BS$5,$D167&lt;BS$5+7),"◆",""),IF(AND($D167&lt;BS$5+7,$E167&gt;BS$5),"■","")))</x:f>
      </x:c>
      <x:c r="BT167" s="7" t="str">
        <x:f>IF(OR($D167="",BT$5="",'상세일정'!AM167="제외"),"",IF($D167=$E167,IF(AND($D167&gt;=BT$5,$D167&lt;BT$5+7),"◆",""),IF(AND($D167&lt;BT$5+7,$E167&gt;BT$5),"■","")))</x:f>
      </x:c>
      <x:c r="BU167" s="7" t="str">
        <x:f>IF(OR($D167="",BU$5="",'상세일정'!AM167="제외"),"",IF($D167=$E167,IF(AND($D167&gt;=BU$5,$D167&lt;BU$5+7),"◆",""),IF(AND($D167&lt;BU$5+7,$E167&gt;BU$5),"■","")))</x:f>
      </x:c>
      <x:c r="BV167" s="7" t="str">
        <x:f>IF(OR($D167="",BV$5="",'상세일정'!AM167="제외"),"",IF($D167=$E167,IF(AND($D167&gt;=BV$5,$D167&lt;BV$5+7),"◆",""),IF(AND($D167&lt;BV$5+7,$E167&gt;BV$5),"■","")))</x:f>
      </x:c>
      <x:c r="BW167" s="7" t="str">
        <x:f>IF(OR($D167="",BW$5="",'상세일정'!AM167="제외"),"",IF($D167=$E167,IF(AND($D167&gt;=BW$5,$D167&lt;BW$5+7),"◆",""),IF(AND($D167&lt;BW$5+7,$E167&gt;BW$5),"■","")))</x:f>
      </x:c>
      <x:c r="BX167" s="7" t="str">
        <x:f>IF(OR($D167="",BX$5="",'상세일정'!AM167="제외"),"",IF($D167=$E167,IF(AND($D167&gt;=BX$5,$D167&lt;BX$5+7),"◆",""),IF(AND($D167&lt;BX$5+7,$E167&gt;BX$5),"■","")))</x:f>
      </x:c>
      <x:c r="BY167" s="7" t="str">
        <x:f>IF(OR($D167="",BY$5="",'상세일정'!AM167="제외"),"",IF($D167=$E167,IF(AND($D167&gt;=BY$5,$D167&lt;BY$5+7),"◆",""),IF(AND($D167&lt;BY$5+7,$E167&gt;BY$5),"■","")))</x:f>
      </x:c>
      <x:c r="BZ167" s="7" t="str">
        <x:f>IF(OR($D167="",BZ$5="",'상세일정'!AM167="제외"),"",IF($D167=$E167,IF(AND($D167&gt;=BZ$5,$D167&lt;BZ$5+7),"◆",""),IF(AND($D167&lt;BZ$5+7,$E167&gt;BZ$5),"■","")))</x:f>
      </x:c>
      <x:c r="CA167" s="7" t="str">
        <x:f>IF(OR($D167="",CA$5="",'상세일정'!AM167="제외"),"",IF($D167=$E167,IF(AND($D167&gt;=CA$5,$D167&lt;CA$5+7),"◆",""),IF(AND($D167&lt;CA$5+7,$E167&gt;CA$5),"■","")))</x:f>
      </x:c>
      <x:c r="CB167" s="7" t="str">
        <x:f>IF(OR($D167="",CB$5="",'상세일정'!AM167="제외"),"",IF($D167=$E167,IF(AND($D167&gt;=CB$5,$D167&lt;CB$5+7),"◆",""),IF(AND($D167&lt;CB$5+7,$E167&gt;CB$5),"■","")))</x:f>
      </x:c>
      <x:c r="CC167" s="7" t="str">
        <x:f>IF(OR($D167="",CC$5="",'상세일정'!AM167="제외"),"",IF($D167=$E167,IF(AND($D167&gt;=CC$5,$D167&lt;CC$5+7),"◆",""),IF(AND($D167&lt;CC$5+7,$E167&gt;CC$5),"■","")))</x:f>
      </x:c>
      <x:c r="CD167" s="7" t="str">
        <x:f>IF(OR($D167="",CD$5="",'상세일정'!AM167="제외"),"",IF($D167=$E167,IF(AND($D167&gt;=CD$5,$D167&lt;CD$5+7),"◆",""),IF(AND($D167&lt;CD$5+7,$E167&gt;CD$5),"■","")))</x:f>
      </x:c>
      <x:c r="CE167" s="7" t="str">
        <x:f>IF(OR($D167="",CE$5="",'상세일정'!AM167="제외"),"",IF($D167=$E167,IF(AND($D167&gt;=CE$5,$D167&lt;CE$5+7),"◆",""),IF(AND($D167&lt;CE$5+7,$E167&gt;CE$5),"■","")))</x:f>
      </x:c>
      <x:c r="CF167" s="7" t="str">
        <x:f>IF(OR($D167="",CF$5="",'상세일정'!AM167="제외"),"",IF($D167=$E167,IF(AND($D167&gt;=CF$5,$D167&lt;CF$5+7),"◆",""),IF(AND($D167&lt;CF$5+7,$E167&gt;CF$5),"■","")))</x:f>
      </x:c>
      <x:c r="CG167" s="7" t="str">
        <x:f>IF(OR($D167="",CG$5="",'상세일정'!AM167="제외"),"",IF($D167=$E167,IF(AND($D167&gt;=CG$5,$D167&lt;CG$5+7),"◆",""),IF(AND($D167&lt;CG$5+7,$E167&gt;CG$5),"■","")))</x:f>
      </x:c>
      <x:c r="CH167" s="7" t="str">
        <x:f>IF(OR($D167="",CH$5="",'상세일정'!AM167="제외"),"",IF($D167=$E167,IF(AND($D167&gt;=CH$5,$D167&lt;CH$5+7),"◆",""),IF(AND($D167&lt;CH$5+7,$E167&gt;CH$5),"■","")))</x:f>
      </x:c>
      <x:c r="CI167" s="7" t="str">
        <x:f>IF(OR($D167="",CI$5="",'상세일정'!AM167="제외"),"",IF($D167=$E167,IF(AND($D167&gt;=CI$5,$D167&lt;CI$5+7),"◆",""),IF(AND($D167&lt;CI$5+7,$E167&gt;CI$5),"■","")))</x:f>
      </x:c>
      <x:c r="CJ167" s="7" t="str">
        <x:f>IF(OR($D167="",CJ$5="",'상세일정'!AM167="제외"),"",IF($D167=$E167,IF(AND($D167&gt;=CJ$5,$D167&lt;CJ$5+7),"◆",""),IF(AND($D167&lt;CJ$5+7,$E167&gt;CJ$5),"■","")))</x:f>
      </x:c>
      <x:c r="CK167" s="7" t="str">
        <x:f>IF(OR($D167="",CK$5="",'상세일정'!AM167="제외"),"",IF($D167=$E167,IF(AND($D167&gt;=CK$5,$D167&lt;CK$5+7),"◆",""),IF(AND($D167&lt;CK$5+7,$E167&gt;CK$5),"■","")))</x:f>
      </x:c>
      <x:c r="CL167" s="7" t="str">
        <x:f>IF(OR($D167="",CL$5="",'상세일정'!AM167="제외"),"",IF($D167=$E167,IF(AND($D167&gt;=CL$5,$D167&lt;CL$5+7),"◆",""),IF(AND($D167&lt;CL$5+7,$E167&gt;CL$5),"■","")))</x:f>
      </x:c>
      <x:c r="CM167" s="7" t="str">
        <x:f>IF(OR($D167="",CM$5="",'상세일정'!AM167="제외"),"",IF($D167=$E167,IF(AND($D167&gt;=CM$5,$D167&lt;CM$5+7),"◆",""),IF(AND($D167&lt;CM$5+7,$E167&gt;CM$5),"■","")))</x:f>
      </x:c>
      <x:c r="CN167" s="7" t="str">
        <x:f>IF(OR($D167="",CN$5="",'상세일정'!AM167="제외"),"",IF($D167=$E167,IF(AND($D167&gt;=CN$5,$D167&lt;CN$5+7),"◆",""),IF(AND($D167&lt;CN$5+7,$E167&gt;CN$5),"■","")))</x:f>
      </x:c>
      <x:c r="CO167" s="7" t="str">
        <x:f>IF(OR($D167="",CO$5="",'상세일정'!AM167="제외"),"",IF($D167=$E167,IF(AND($D167&gt;=CO$5,$D167&lt;CO$5+7),"◆",""),IF(AND($D167&lt;CO$5+7,$E167&gt;CO$5),"■","")))</x:f>
      </x:c>
      <x:c r="CP167" s="7" t="str">
        <x:f>IF(OR($D167="",CP$5="",'상세일정'!AM167="제외"),"",IF($D167=$E167,IF(AND($D167&gt;=CP$5,$D167&lt;CP$5+7),"◆",""),IF(AND($D167&lt;CP$5+7,$E167&gt;CP$5),"■","")))</x:f>
      </x:c>
      <x:c r="CQ167" s="7" t="str">
        <x:f>IF(OR($D167="",CQ$5="",'상세일정'!AM167="제외"),"",IF($D167=$E167,IF(AND($D167&gt;=CQ$5,$D167&lt;CQ$5+7),"◆",""),IF(AND($D167&lt;CQ$5+7,$E167&gt;CQ$5),"■","")))</x:f>
      </x:c>
      <x:c r="CR167" s="7" t="str">
        <x:f>IF(OR($D167="",CR$5="",'상세일정'!AM167="제외"),"",IF($D167=$E167,IF(AND($D167&gt;=CR$5,$D167&lt;CR$5+7),"◆",""),IF(AND($D167&lt;CR$5+7,$E167&gt;CR$5),"■","")))</x:f>
      </x:c>
      <x:c r="CS167" s="7" t="str">
        <x:f>IF(OR($D167="",CS$5="",'상세일정'!AM167="제외"),"",IF($D167=$E167,IF(AND($D167&gt;=CS$5,$D167&lt;CS$5+7),"◆",""),IF(AND($D167&lt;CS$5+7,$E167&gt;CS$5),"■","")))</x:f>
      </x:c>
      <x:c r="CT167" s="7" t="str">
        <x:f>IF(OR($D167="",CT$5="",'상세일정'!AM167="제외"),"",IF($D167=$E167,IF(AND($D167&gt;=CT$5,$D167&lt;CT$5+7),"◆",""),IF(AND($D167&lt;CT$5+7,$E167&gt;CT$5),"■","")))</x:f>
      </x:c>
      <x:c r="CU167" s="7" t="str">
        <x:f>IF(OR($D167="",CU$5="",'상세일정'!AM167="제외"),"",IF($D167=$E167,IF(AND($D167&gt;=CU$5,$D167&lt;CU$5+7),"◆",""),IF(AND($D167&lt;CU$5+7,$E167&gt;CU$5),"■","")))</x:f>
      </x:c>
      <x:c r="CV167" s="7" t="str">
        <x:f>IF(OR($D167="",CV$5="",'상세일정'!AM167="제외"),"",IF($D167=$E167,IF(AND($D167&gt;=CV$5,$D167&lt;CV$5+7),"◆",""),IF(AND($D167&lt;CV$5+7,$E167&gt;CV$5),"■","")))</x:f>
      </x:c>
      <x:c r="CW167" s="7" t="str">
        <x:f>IF(OR($D167="",CW$5="",'상세일정'!AM167="제외"),"",IF($D167=$E167,IF(AND($D167&gt;=CW$5,$D167&lt;CW$5+7),"◆",""),IF(AND($D167&lt;CW$5+7,$E167&gt;CW$5),"■","")))</x:f>
      </x:c>
      <x:c r="CX167" s="7" t="str">
        <x:f>IF(OR($D167="",CX$5="",'상세일정'!AM167="제외"),"",IF($D167=$E167,IF(AND($D167&gt;=CX$5,$D167&lt;CX$5+7),"◆",""),IF(AND($D167&lt;CX$5+7,$E167&gt;CX$5),"■","")))</x:f>
      </x:c>
      <x:c r="CY167" s="7" t="str">
        <x:f>IF(OR($D167="",CY$5="",'상세일정'!AM167="제외"),"",IF($D167=$E167,IF(AND($D167&gt;=CY$5,$D167&lt;CY$5+7),"◆",""),IF(AND($D167&lt;CY$5+7,$E167&gt;CY$5),"■","")))</x:f>
      </x:c>
      <x:c r="CZ167" s="7" t="str">
        <x:f>IF(OR($D167="",CZ$5="",'상세일정'!AM167="제외"),"",IF($D167=$E167,IF(AND($D167&gt;=CZ$5,$D167&lt;CZ$5+7),"◆",""),IF(AND($D167&lt;CZ$5+7,$E167&gt;CZ$5),"■","")))</x:f>
      </x:c>
      <x:c r="DA167" s="7" t="str">
        <x:f>IF(OR($D167="",DA$5="",'상세일정'!AM167="제외"),"",IF($D167=$E167,IF(AND($D167&gt;=DA$5,$D167&lt;DA$5+7),"◆",""),IF(AND($D167&lt;DA$5+7,$E167&gt;DA$5),"■","")))</x:f>
      </x:c>
      <x:c r="DB167" s="7" t="str">
        <x:f>IF(OR($D167="",DB$5="",'상세일정'!AM167="제외"),"",IF($D167=$E167,IF(AND($D167&gt;=DB$5,$D167&lt;DB$5+7),"◆",""),IF(AND($D167&lt;DB$5+7,$E167&gt;DB$5),"■","")))</x:f>
      </x:c>
      <x:c r="DC167" s="7" t="str">
        <x:f>IF(OR($D167="",DC$5="",'상세일정'!AM167="제외"),"",IF($D167=$E167,IF(AND($D167&gt;=DC$5,$D167&lt;DC$5+7),"◆",""),IF(AND($D167&lt;DC$5+7,$E167&gt;DC$5),"■","")))</x:f>
      </x:c>
      <x:c r="DD167" s="7" t="str">
        <x:f>IF(OR($D167="",DD$5="",'상세일정'!AM167="제외"),"",IF($D167=$E167,IF(AND($D167&gt;=DD$5,$D167&lt;DD$5+7),"◆",""),IF(AND($D167&lt;DD$5+7,$E167&gt;DD$5),"■","")))</x:f>
      </x:c>
      <x:c r="DE167" s="7" t="str">
        <x:f>IF(OR($D167="",DE$5="",'상세일정'!AM167="제외"),"",IF($D167=$E167,IF(AND($D167&gt;=DE$5,$D167&lt;DE$5+7),"◆",""),IF(AND($D167&lt;DE$5+7,$E167&gt;DE$5),"■","")))</x:f>
      </x:c>
    </x:row>
    <x:row r="168" ht="34" customHeight="1">
      <x:c r="A168" s="7" t="str">
        <x:v>BW05</x:v>
      </x:c>
      <x:c r="B168" s="7" t="str">
        <x:v>18 건축·방호벽</x:v>
      </x:c>
      <x:c r="C168" s="7" t="str">
        <x:v>외벽판넬·창호·방화구획·방수 시공</x:v>
      </x:c>
      <x:c r="D168" s="10" t="str">
        <x:f>'상세일정'!AJ168</x:f>
      </x:c>
      <x:c r="E168" s="10" t="str">
        <x:f>'상세일정'!AK168</x:f>
      </x:c>
      <x:c r="F168" s="7" t="str">
        <x:f>IF(OR($D168="",F$5="",'상세일정'!AM168="제외"),"",IF($D168=$E168,IF(AND($D168&gt;=F$5,$D168&lt;F$5+7),"◆",""),IF(AND($D168&lt;F$5+7,$E168&gt;F$5),"■","")))</x:f>
      </x:c>
      <x:c r="G168" s="7" t="str">
        <x:f>IF(OR($D168="",G$5="",'상세일정'!AM168="제외"),"",IF($D168=$E168,IF(AND($D168&gt;=G$5,$D168&lt;G$5+7),"◆",""),IF(AND($D168&lt;G$5+7,$E168&gt;G$5),"■","")))</x:f>
      </x:c>
      <x:c r="H168" s="7" t="str">
        <x:f>IF(OR($D168="",H$5="",'상세일정'!AM168="제외"),"",IF($D168=$E168,IF(AND($D168&gt;=H$5,$D168&lt;H$5+7),"◆",""),IF(AND($D168&lt;H$5+7,$E168&gt;H$5),"■","")))</x:f>
      </x:c>
      <x:c r="I168" s="7" t="str">
        <x:f>IF(OR($D168="",I$5="",'상세일정'!AM168="제외"),"",IF($D168=$E168,IF(AND($D168&gt;=I$5,$D168&lt;I$5+7),"◆",""),IF(AND($D168&lt;I$5+7,$E168&gt;I$5),"■","")))</x:f>
      </x:c>
      <x:c r="J168" s="7" t="str">
        <x:f>IF(OR($D168="",J$5="",'상세일정'!AM168="제외"),"",IF($D168=$E168,IF(AND($D168&gt;=J$5,$D168&lt;J$5+7),"◆",""),IF(AND($D168&lt;J$5+7,$E168&gt;J$5),"■","")))</x:f>
      </x:c>
      <x:c r="K168" s="7" t="str">
        <x:f>IF(OR($D168="",K$5="",'상세일정'!AM168="제외"),"",IF($D168=$E168,IF(AND($D168&gt;=K$5,$D168&lt;K$5+7),"◆",""),IF(AND($D168&lt;K$5+7,$E168&gt;K$5),"■","")))</x:f>
      </x:c>
      <x:c r="L168" s="7" t="str">
        <x:f>IF(OR($D168="",L$5="",'상세일정'!AM168="제외"),"",IF($D168=$E168,IF(AND($D168&gt;=L$5,$D168&lt;L$5+7),"◆",""),IF(AND($D168&lt;L$5+7,$E168&gt;L$5),"■","")))</x:f>
      </x:c>
      <x:c r="M168" s="7" t="str">
        <x:f>IF(OR($D168="",M$5="",'상세일정'!AM168="제외"),"",IF($D168=$E168,IF(AND($D168&gt;=M$5,$D168&lt;M$5+7),"◆",""),IF(AND($D168&lt;M$5+7,$E168&gt;M$5),"■","")))</x:f>
      </x:c>
      <x:c r="N168" s="7" t="str">
        <x:f>IF(OR($D168="",N$5="",'상세일정'!AM168="제외"),"",IF($D168=$E168,IF(AND($D168&gt;=N$5,$D168&lt;N$5+7),"◆",""),IF(AND($D168&lt;N$5+7,$E168&gt;N$5),"■","")))</x:f>
      </x:c>
      <x:c r="O168" s="7" t="str">
        <x:f>IF(OR($D168="",O$5="",'상세일정'!AM168="제외"),"",IF($D168=$E168,IF(AND($D168&gt;=O$5,$D168&lt;O$5+7),"◆",""),IF(AND($D168&lt;O$5+7,$E168&gt;O$5),"■","")))</x:f>
      </x:c>
      <x:c r="P168" s="7" t="str">
        <x:f>IF(OR($D168="",P$5="",'상세일정'!AM168="제외"),"",IF($D168=$E168,IF(AND($D168&gt;=P$5,$D168&lt;P$5+7),"◆",""),IF(AND($D168&lt;P$5+7,$E168&gt;P$5),"■","")))</x:f>
      </x:c>
      <x:c r="Q168" s="7" t="str">
        <x:f>IF(OR($D168="",Q$5="",'상세일정'!AM168="제외"),"",IF($D168=$E168,IF(AND($D168&gt;=Q$5,$D168&lt;Q$5+7),"◆",""),IF(AND($D168&lt;Q$5+7,$E168&gt;Q$5),"■","")))</x:f>
      </x:c>
      <x:c r="R168" s="7" t="str">
        <x:f>IF(OR($D168="",R$5="",'상세일정'!AM168="제외"),"",IF($D168=$E168,IF(AND($D168&gt;=R$5,$D168&lt;R$5+7),"◆",""),IF(AND($D168&lt;R$5+7,$E168&gt;R$5),"■","")))</x:f>
      </x:c>
      <x:c r="S168" s="7" t="str">
        <x:f>IF(OR($D168="",S$5="",'상세일정'!AM168="제외"),"",IF($D168=$E168,IF(AND($D168&gt;=S$5,$D168&lt;S$5+7),"◆",""),IF(AND($D168&lt;S$5+7,$E168&gt;S$5),"■","")))</x:f>
      </x:c>
      <x:c r="T168" s="7" t="str">
        <x:f>IF(OR($D168="",T$5="",'상세일정'!AM168="제외"),"",IF($D168=$E168,IF(AND($D168&gt;=T$5,$D168&lt;T$5+7),"◆",""),IF(AND($D168&lt;T$5+7,$E168&gt;T$5),"■","")))</x:f>
      </x:c>
      <x:c r="U168" s="7" t="str">
        <x:f>IF(OR($D168="",U$5="",'상세일정'!AM168="제외"),"",IF($D168=$E168,IF(AND($D168&gt;=U$5,$D168&lt;U$5+7),"◆",""),IF(AND($D168&lt;U$5+7,$E168&gt;U$5),"■","")))</x:f>
      </x:c>
      <x:c r="V168" s="7" t="str">
        <x:f>IF(OR($D168="",V$5="",'상세일정'!AM168="제외"),"",IF($D168=$E168,IF(AND($D168&gt;=V$5,$D168&lt;V$5+7),"◆",""),IF(AND($D168&lt;V$5+7,$E168&gt;V$5),"■","")))</x:f>
      </x:c>
      <x:c r="W168" s="7" t="str">
        <x:f>IF(OR($D168="",W$5="",'상세일정'!AM168="제외"),"",IF($D168=$E168,IF(AND($D168&gt;=W$5,$D168&lt;W$5+7),"◆",""),IF(AND($D168&lt;W$5+7,$E168&gt;W$5),"■","")))</x:f>
      </x:c>
      <x:c r="X168" s="7" t="str">
        <x:f>IF(OR($D168="",X$5="",'상세일정'!AM168="제외"),"",IF($D168=$E168,IF(AND($D168&gt;=X$5,$D168&lt;X$5+7),"◆",""),IF(AND($D168&lt;X$5+7,$E168&gt;X$5),"■","")))</x:f>
      </x:c>
      <x:c r="Y168" s="7" t="str">
        <x:f>IF(OR($D168="",Y$5="",'상세일정'!AM168="제외"),"",IF($D168=$E168,IF(AND($D168&gt;=Y$5,$D168&lt;Y$5+7),"◆",""),IF(AND($D168&lt;Y$5+7,$E168&gt;Y$5),"■","")))</x:f>
      </x:c>
      <x:c r="Z168" s="7" t="str">
        <x:f>IF(OR($D168="",Z$5="",'상세일정'!AM168="제외"),"",IF($D168=$E168,IF(AND($D168&gt;=Z$5,$D168&lt;Z$5+7),"◆",""),IF(AND($D168&lt;Z$5+7,$E168&gt;Z$5),"■","")))</x:f>
      </x:c>
      <x:c r="AA168" s="7" t="str">
        <x:f>IF(OR($D168="",AA$5="",'상세일정'!AM168="제외"),"",IF($D168=$E168,IF(AND($D168&gt;=AA$5,$D168&lt;AA$5+7),"◆",""),IF(AND($D168&lt;AA$5+7,$E168&gt;AA$5),"■","")))</x:f>
      </x:c>
      <x:c r="AB168" s="7" t="str">
        <x:f>IF(OR($D168="",AB$5="",'상세일정'!AM168="제외"),"",IF($D168=$E168,IF(AND($D168&gt;=AB$5,$D168&lt;AB$5+7),"◆",""),IF(AND($D168&lt;AB$5+7,$E168&gt;AB$5),"■","")))</x:f>
      </x:c>
      <x:c r="AC168" s="7" t="str">
        <x:f>IF(OR($D168="",AC$5="",'상세일정'!AM168="제외"),"",IF($D168=$E168,IF(AND($D168&gt;=AC$5,$D168&lt;AC$5+7),"◆",""),IF(AND($D168&lt;AC$5+7,$E168&gt;AC$5),"■","")))</x:f>
      </x:c>
      <x:c r="AD168" s="7" t="str">
        <x:f>IF(OR($D168="",AD$5="",'상세일정'!AM168="제외"),"",IF($D168=$E168,IF(AND($D168&gt;=AD$5,$D168&lt;AD$5+7),"◆",""),IF(AND($D168&lt;AD$5+7,$E168&gt;AD$5),"■","")))</x:f>
      </x:c>
      <x:c r="AE168" s="7" t="str">
        <x:f>IF(OR($D168="",AE$5="",'상세일정'!AM168="제외"),"",IF($D168=$E168,IF(AND($D168&gt;=AE$5,$D168&lt;AE$5+7),"◆",""),IF(AND($D168&lt;AE$5+7,$E168&gt;AE$5),"■","")))</x:f>
      </x:c>
      <x:c r="AF168" s="7" t="str">
        <x:f>IF(OR($D168="",AF$5="",'상세일정'!AM168="제외"),"",IF($D168=$E168,IF(AND($D168&gt;=AF$5,$D168&lt;AF$5+7),"◆",""),IF(AND($D168&lt;AF$5+7,$E168&gt;AF$5),"■","")))</x:f>
      </x:c>
      <x:c r="AG168" s="7" t="str">
        <x:f>IF(OR($D168="",AG$5="",'상세일정'!AM168="제외"),"",IF($D168=$E168,IF(AND($D168&gt;=AG$5,$D168&lt;AG$5+7),"◆",""),IF(AND($D168&lt;AG$5+7,$E168&gt;AG$5),"■","")))</x:f>
      </x:c>
      <x:c r="AH168" s="7" t="str">
        <x:f>IF(OR($D168="",AH$5="",'상세일정'!AM168="제외"),"",IF($D168=$E168,IF(AND($D168&gt;=AH$5,$D168&lt;AH$5+7),"◆",""),IF(AND($D168&lt;AH$5+7,$E168&gt;AH$5),"■","")))</x:f>
      </x:c>
      <x:c r="AI168" s="7" t="str">
        <x:f>IF(OR($D168="",AI$5="",'상세일정'!AM168="제외"),"",IF($D168=$E168,IF(AND($D168&gt;=AI$5,$D168&lt;AI$5+7),"◆",""),IF(AND($D168&lt;AI$5+7,$E168&gt;AI$5),"■","")))</x:f>
      </x:c>
      <x:c r="AJ168" s="7" t="str">
        <x:f>IF(OR($D168="",AJ$5="",'상세일정'!AM168="제외"),"",IF($D168=$E168,IF(AND($D168&gt;=AJ$5,$D168&lt;AJ$5+7),"◆",""),IF(AND($D168&lt;AJ$5+7,$E168&gt;AJ$5),"■","")))</x:f>
      </x:c>
      <x:c r="AK168" s="7" t="str">
        <x:f>IF(OR($D168="",AK$5="",'상세일정'!AM168="제외"),"",IF($D168=$E168,IF(AND($D168&gt;=AK$5,$D168&lt;AK$5+7),"◆",""),IF(AND($D168&lt;AK$5+7,$E168&gt;AK$5),"■","")))</x:f>
      </x:c>
      <x:c r="AL168" s="7" t="str">
        <x:f>IF(OR($D168="",AL$5="",'상세일정'!AM168="제외"),"",IF($D168=$E168,IF(AND($D168&gt;=AL$5,$D168&lt;AL$5+7),"◆",""),IF(AND($D168&lt;AL$5+7,$E168&gt;AL$5),"■","")))</x:f>
      </x:c>
      <x:c r="AM168" s="7" t="str">
        <x:f>IF(OR($D168="",AM$5="",'상세일정'!AM168="제외"),"",IF($D168=$E168,IF(AND($D168&gt;=AM$5,$D168&lt;AM$5+7),"◆",""),IF(AND($D168&lt;AM$5+7,$E168&gt;AM$5),"■","")))</x:f>
      </x:c>
      <x:c r="AN168" s="7" t="str">
        <x:f>IF(OR($D168="",AN$5="",'상세일정'!AM168="제외"),"",IF($D168=$E168,IF(AND($D168&gt;=AN$5,$D168&lt;AN$5+7),"◆",""),IF(AND($D168&lt;AN$5+7,$E168&gt;AN$5),"■","")))</x:f>
      </x:c>
      <x:c r="AO168" s="7" t="str">
        <x:f>IF(OR($D168="",AO$5="",'상세일정'!AM168="제외"),"",IF($D168=$E168,IF(AND($D168&gt;=AO$5,$D168&lt;AO$5+7),"◆",""),IF(AND($D168&lt;AO$5+7,$E168&gt;AO$5),"■","")))</x:f>
      </x:c>
      <x:c r="AP168" s="7" t="str">
        <x:f>IF(OR($D168="",AP$5="",'상세일정'!AM168="제외"),"",IF($D168=$E168,IF(AND($D168&gt;=AP$5,$D168&lt;AP$5+7),"◆",""),IF(AND($D168&lt;AP$5+7,$E168&gt;AP$5),"■","")))</x:f>
      </x:c>
      <x:c r="AQ168" s="7" t="str">
        <x:f>IF(OR($D168="",AQ$5="",'상세일정'!AM168="제외"),"",IF($D168=$E168,IF(AND($D168&gt;=AQ$5,$D168&lt;AQ$5+7),"◆",""),IF(AND($D168&lt;AQ$5+7,$E168&gt;AQ$5),"■","")))</x:f>
      </x:c>
      <x:c r="AR168" s="7" t="str">
        <x:f>IF(OR($D168="",AR$5="",'상세일정'!AM168="제외"),"",IF($D168=$E168,IF(AND($D168&gt;=AR$5,$D168&lt;AR$5+7),"◆",""),IF(AND($D168&lt;AR$5+7,$E168&gt;AR$5),"■","")))</x:f>
      </x:c>
      <x:c r="AS168" s="7" t="str">
        <x:f>IF(OR($D168="",AS$5="",'상세일정'!AM168="제외"),"",IF($D168=$E168,IF(AND($D168&gt;=AS$5,$D168&lt;AS$5+7),"◆",""),IF(AND($D168&lt;AS$5+7,$E168&gt;AS$5),"■","")))</x:f>
      </x:c>
      <x:c r="AT168" s="7" t="str">
        <x:f>IF(OR($D168="",AT$5="",'상세일정'!AM168="제외"),"",IF($D168=$E168,IF(AND($D168&gt;=AT$5,$D168&lt;AT$5+7),"◆",""),IF(AND($D168&lt;AT$5+7,$E168&gt;AT$5),"■","")))</x:f>
      </x:c>
      <x:c r="AU168" s="7" t="str">
        <x:f>IF(OR($D168="",AU$5="",'상세일정'!AM168="제외"),"",IF($D168=$E168,IF(AND($D168&gt;=AU$5,$D168&lt;AU$5+7),"◆",""),IF(AND($D168&lt;AU$5+7,$E168&gt;AU$5),"■","")))</x:f>
      </x:c>
      <x:c r="AV168" s="7" t="str">
        <x:f>IF(OR($D168="",AV$5="",'상세일정'!AM168="제외"),"",IF($D168=$E168,IF(AND($D168&gt;=AV$5,$D168&lt;AV$5+7),"◆",""),IF(AND($D168&lt;AV$5+7,$E168&gt;AV$5),"■","")))</x:f>
      </x:c>
      <x:c r="AW168" s="7" t="str">
        <x:f>IF(OR($D168="",AW$5="",'상세일정'!AM168="제외"),"",IF($D168=$E168,IF(AND($D168&gt;=AW$5,$D168&lt;AW$5+7),"◆",""),IF(AND($D168&lt;AW$5+7,$E168&gt;AW$5),"■","")))</x:f>
      </x:c>
      <x:c r="AX168" s="7" t="str">
        <x:f>IF(OR($D168="",AX$5="",'상세일정'!AM168="제외"),"",IF($D168=$E168,IF(AND($D168&gt;=AX$5,$D168&lt;AX$5+7),"◆",""),IF(AND($D168&lt;AX$5+7,$E168&gt;AX$5),"■","")))</x:f>
      </x:c>
      <x:c r="AY168" s="7" t="str">
        <x:f>IF(OR($D168="",AY$5="",'상세일정'!AM168="제외"),"",IF($D168=$E168,IF(AND($D168&gt;=AY$5,$D168&lt;AY$5+7),"◆",""),IF(AND($D168&lt;AY$5+7,$E168&gt;AY$5),"■","")))</x:f>
      </x:c>
      <x:c r="AZ168" s="7" t="str">
        <x:f>IF(OR($D168="",AZ$5="",'상세일정'!AM168="제외"),"",IF($D168=$E168,IF(AND($D168&gt;=AZ$5,$D168&lt;AZ$5+7),"◆",""),IF(AND($D168&lt;AZ$5+7,$E168&gt;AZ$5),"■","")))</x:f>
      </x:c>
      <x:c r="BA168" s="7" t="str">
        <x:f>IF(OR($D168="",BA$5="",'상세일정'!AM168="제외"),"",IF($D168=$E168,IF(AND($D168&gt;=BA$5,$D168&lt;BA$5+7),"◆",""),IF(AND($D168&lt;BA$5+7,$E168&gt;BA$5),"■","")))</x:f>
      </x:c>
      <x:c r="BB168" s="7" t="str">
        <x:f>IF(OR($D168="",BB$5="",'상세일정'!AM168="제외"),"",IF($D168=$E168,IF(AND($D168&gt;=BB$5,$D168&lt;BB$5+7),"◆",""),IF(AND($D168&lt;BB$5+7,$E168&gt;BB$5),"■","")))</x:f>
      </x:c>
      <x:c r="BC168" s="7" t="str">
        <x:f>IF(OR($D168="",BC$5="",'상세일정'!AM168="제외"),"",IF($D168=$E168,IF(AND($D168&gt;=BC$5,$D168&lt;BC$5+7),"◆",""),IF(AND($D168&lt;BC$5+7,$E168&gt;BC$5),"■","")))</x:f>
      </x:c>
      <x:c r="BD168" s="7" t="str">
        <x:f>IF(OR($D168="",BD$5="",'상세일정'!AM168="제외"),"",IF($D168=$E168,IF(AND($D168&gt;=BD$5,$D168&lt;BD$5+7),"◆",""),IF(AND($D168&lt;BD$5+7,$E168&gt;BD$5),"■","")))</x:f>
      </x:c>
      <x:c r="BE168" s="7" t="str">
        <x:f>IF(OR($D168="",BE$5="",'상세일정'!AM168="제외"),"",IF($D168=$E168,IF(AND($D168&gt;=BE$5,$D168&lt;BE$5+7),"◆",""),IF(AND($D168&lt;BE$5+7,$E168&gt;BE$5),"■","")))</x:f>
      </x:c>
      <x:c r="BF168" s="7" t="str">
        <x:f>IF(OR($D168="",BF$5="",'상세일정'!AM168="제외"),"",IF($D168=$E168,IF(AND($D168&gt;=BF$5,$D168&lt;BF$5+7),"◆",""),IF(AND($D168&lt;BF$5+7,$E168&gt;BF$5),"■","")))</x:f>
      </x:c>
      <x:c r="BG168" s="7" t="str">
        <x:f>IF(OR($D168="",BG$5="",'상세일정'!AM168="제외"),"",IF($D168=$E168,IF(AND($D168&gt;=BG$5,$D168&lt;BG$5+7),"◆",""),IF(AND($D168&lt;BG$5+7,$E168&gt;BG$5),"■","")))</x:f>
      </x:c>
      <x:c r="BH168" s="7" t="str">
        <x:f>IF(OR($D168="",BH$5="",'상세일정'!AM168="제외"),"",IF($D168=$E168,IF(AND($D168&gt;=BH$5,$D168&lt;BH$5+7),"◆",""),IF(AND($D168&lt;BH$5+7,$E168&gt;BH$5),"■","")))</x:f>
      </x:c>
      <x:c r="BI168" s="7" t="str">
        <x:f>IF(OR($D168="",BI$5="",'상세일정'!AM168="제외"),"",IF($D168=$E168,IF(AND($D168&gt;=BI$5,$D168&lt;BI$5+7),"◆",""),IF(AND($D168&lt;BI$5+7,$E168&gt;BI$5),"■","")))</x:f>
      </x:c>
      <x:c r="BJ168" s="7" t="str">
        <x:f>IF(OR($D168="",BJ$5="",'상세일정'!AM168="제외"),"",IF($D168=$E168,IF(AND($D168&gt;=BJ$5,$D168&lt;BJ$5+7),"◆",""),IF(AND($D168&lt;BJ$5+7,$E168&gt;BJ$5),"■","")))</x:f>
      </x:c>
      <x:c r="BK168" s="7" t="str">
        <x:f>IF(OR($D168="",BK$5="",'상세일정'!AM168="제외"),"",IF($D168=$E168,IF(AND($D168&gt;=BK$5,$D168&lt;BK$5+7),"◆",""),IF(AND($D168&lt;BK$5+7,$E168&gt;BK$5),"■","")))</x:f>
      </x:c>
      <x:c r="BL168" s="7" t="str">
        <x:f>IF(OR($D168="",BL$5="",'상세일정'!AM168="제외"),"",IF($D168=$E168,IF(AND($D168&gt;=BL$5,$D168&lt;BL$5+7),"◆",""),IF(AND($D168&lt;BL$5+7,$E168&gt;BL$5),"■","")))</x:f>
      </x:c>
      <x:c r="BM168" s="7" t="str">
        <x:f>IF(OR($D168="",BM$5="",'상세일정'!AM168="제외"),"",IF($D168=$E168,IF(AND($D168&gt;=BM$5,$D168&lt;BM$5+7),"◆",""),IF(AND($D168&lt;BM$5+7,$E168&gt;BM$5),"■","")))</x:f>
      </x:c>
      <x:c r="BN168" s="7" t="str">
        <x:f>IF(OR($D168="",BN$5="",'상세일정'!AM168="제외"),"",IF($D168=$E168,IF(AND($D168&gt;=BN$5,$D168&lt;BN$5+7),"◆",""),IF(AND($D168&lt;BN$5+7,$E168&gt;BN$5),"■","")))</x:f>
      </x:c>
      <x:c r="BO168" s="7" t="str">
        <x:f>IF(OR($D168="",BO$5="",'상세일정'!AM168="제외"),"",IF($D168=$E168,IF(AND($D168&gt;=BO$5,$D168&lt;BO$5+7),"◆",""),IF(AND($D168&lt;BO$5+7,$E168&gt;BO$5),"■","")))</x:f>
      </x:c>
      <x:c r="BP168" s="7" t="str">
        <x:f>IF(OR($D168="",BP$5="",'상세일정'!AM168="제외"),"",IF($D168=$E168,IF(AND($D168&gt;=BP$5,$D168&lt;BP$5+7),"◆",""),IF(AND($D168&lt;BP$5+7,$E168&gt;BP$5),"■","")))</x:f>
      </x:c>
      <x:c r="BQ168" s="7" t="str">
        <x:f>IF(OR($D168="",BQ$5="",'상세일정'!AM168="제외"),"",IF($D168=$E168,IF(AND($D168&gt;=BQ$5,$D168&lt;BQ$5+7),"◆",""),IF(AND($D168&lt;BQ$5+7,$E168&gt;BQ$5),"■","")))</x:f>
      </x:c>
      <x:c r="BR168" s="7" t="str">
        <x:f>IF(OR($D168="",BR$5="",'상세일정'!AM168="제외"),"",IF($D168=$E168,IF(AND($D168&gt;=BR$5,$D168&lt;BR$5+7),"◆",""),IF(AND($D168&lt;BR$5+7,$E168&gt;BR$5),"■","")))</x:f>
      </x:c>
      <x:c r="BS168" s="7" t="str">
        <x:f>IF(OR($D168="",BS$5="",'상세일정'!AM168="제외"),"",IF($D168=$E168,IF(AND($D168&gt;=BS$5,$D168&lt;BS$5+7),"◆",""),IF(AND($D168&lt;BS$5+7,$E168&gt;BS$5),"■","")))</x:f>
      </x:c>
      <x:c r="BT168" s="7" t="str">
        <x:f>IF(OR($D168="",BT$5="",'상세일정'!AM168="제외"),"",IF($D168=$E168,IF(AND($D168&gt;=BT$5,$D168&lt;BT$5+7),"◆",""),IF(AND($D168&lt;BT$5+7,$E168&gt;BT$5),"■","")))</x:f>
      </x:c>
      <x:c r="BU168" s="7" t="str">
        <x:f>IF(OR($D168="",BU$5="",'상세일정'!AM168="제외"),"",IF($D168=$E168,IF(AND($D168&gt;=BU$5,$D168&lt;BU$5+7),"◆",""),IF(AND($D168&lt;BU$5+7,$E168&gt;BU$5),"■","")))</x:f>
      </x:c>
      <x:c r="BV168" s="7" t="str">
        <x:f>IF(OR($D168="",BV$5="",'상세일정'!AM168="제외"),"",IF($D168=$E168,IF(AND($D168&gt;=BV$5,$D168&lt;BV$5+7),"◆",""),IF(AND($D168&lt;BV$5+7,$E168&gt;BV$5),"■","")))</x:f>
      </x:c>
      <x:c r="BW168" s="7" t="str">
        <x:f>IF(OR($D168="",BW$5="",'상세일정'!AM168="제외"),"",IF($D168=$E168,IF(AND($D168&gt;=BW$5,$D168&lt;BW$5+7),"◆",""),IF(AND($D168&lt;BW$5+7,$E168&gt;BW$5),"■","")))</x:f>
      </x:c>
      <x:c r="BX168" s="7" t="str">
        <x:f>IF(OR($D168="",BX$5="",'상세일정'!AM168="제외"),"",IF($D168=$E168,IF(AND($D168&gt;=BX$5,$D168&lt;BX$5+7),"◆",""),IF(AND($D168&lt;BX$5+7,$E168&gt;BX$5),"■","")))</x:f>
      </x:c>
      <x:c r="BY168" s="7" t="str">
        <x:f>IF(OR($D168="",BY$5="",'상세일정'!AM168="제외"),"",IF($D168=$E168,IF(AND($D168&gt;=BY$5,$D168&lt;BY$5+7),"◆",""),IF(AND($D168&lt;BY$5+7,$E168&gt;BY$5),"■","")))</x:f>
      </x:c>
      <x:c r="BZ168" s="7" t="str">
        <x:f>IF(OR($D168="",BZ$5="",'상세일정'!AM168="제외"),"",IF($D168=$E168,IF(AND($D168&gt;=BZ$5,$D168&lt;BZ$5+7),"◆",""),IF(AND($D168&lt;BZ$5+7,$E168&gt;BZ$5),"■","")))</x:f>
      </x:c>
      <x:c r="CA168" s="7" t="str">
        <x:f>IF(OR($D168="",CA$5="",'상세일정'!AM168="제외"),"",IF($D168=$E168,IF(AND($D168&gt;=CA$5,$D168&lt;CA$5+7),"◆",""),IF(AND($D168&lt;CA$5+7,$E168&gt;CA$5),"■","")))</x:f>
      </x:c>
      <x:c r="CB168" s="7" t="str">
        <x:f>IF(OR($D168="",CB$5="",'상세일정'!AM168="제외"),"",IF($D168=$E168,IF(AND($D168&gt;=CB$5,$D168&lt;CB$5+7),"◆",""),IF(AND($D168&lt;CB$5+7,$E168&gt;CB$5),"■","")))</x:f>
      </x:c>
      <x:c r="CC168" s="7" t="str">
        <x:f>IF(OR($D168="",CC$5="",'상세일정'!AM168="제외"),"",IF($D168=$E168,IF(AND($D168&gt;=CC$5,$D168&lt;CC$5+7),"◆",""),IF(AND($D168&lt;CC$5+7,$E168&gt;CC$5),"■","")))</x:f>
      </x:c>
      <x:c r="CD168" s="7" t="str">
        <x:f>IF(OR($D168="",CD$5="",'상세일정'!AM168="제외"),"",IF($D168=$E168,IF(AND($D168&gt;=CD$5,$D168&lt;CD$5+7),"◆",""),IF(AND($D168&lt;CD$5+7,$E168&gt;CD$5),"■","")))</x:f>
      </x:c>
      <x:c r="CE168" s="7" t="str">
        <x:f>IF(OR($D168="",CE$5="",'상세일정'!AM168="제외"),"",IF($D168=$E168,IF(AND($D168&gt;=CE$5,$D168&lt;CE$5+7),"◆",""),IF(AND($D168&lt;CE$5+7,$E168&gt;CE$5),"■","")))</x:f>
      </x:c>
      <x:c r="CF168" s="7" t="str">
        <x:f>IF(OR($D168="",CF$5="",'상세일정'!AM168="제외"),"",IF($D168=$E168,IF(AND($D168&gt;=CF$5,$D168&lt;CF$5+7),"◆",""),IF(AND($D168&lt;CF$5+7,$E168&gt;CF$5),"■","")))</x:f>
      </x:c>
      <x:c r="CG168" s="7" t="str">
        <x:f>IF(OR($D168="",CG$5="",'상세일정'!AM168="제외"),"",IF($D168=$E168,IF(AND($D168&gt;=CG$5,$D168&lt;CG$5+7),"◆",""),IF(AND($D168&lt;CG$5+7,$E168&gt;CG$5),"■","")))</x:f>
      </x:c>
      <x:c r="CH168" s="7" t="str">
        <x:f>IF(OR($D168="",CH$5="",'상세일정'!AM168="제외"),"",IF($D168=$E168,IF(AND($D168&gt;=CH$5,$D168&lt;CH$5+7),"◆",""),IF(AND($D168&lt;CH$5+7,$E168&gt;CH$5),"■","")))</x:f>
      </x:c>
      <x:c r="CI168" s="7" t="str">
        <x:f>IF(OR($D168="",CI$5="",'상세일정'!AM168="제외"),"",IF($D168=$E168,IF(AND($D168&gt;=CI$5,$D168&lt;CI$5+7),"◆",""),IF(AND($D168&lt;CI$5+7,$E168&gt;CI$5),"■","")))</x:f>
      </x:c>
      <x:c r="CJ168" s="7" t="str">
        <x:f>IF(OR($D168="",CJ$5="",'상세일정'!AM168="제외"),"",IF($D168=$E168,IF(AND($D168&gt;=CJ$5,$D168&lt;CJ$5+7),"◆",""),IF(AND($D168&lt;CJ$5+7,$E168&gt;CJ$5),"■","")))</x:f>
      </x:c>
      <x:c r="CK168" s="7" t="str">
        <x:f>IF(OR($D168="",CK$5="",'상세일정'!AM168="제외"),"",IF($D168=$E168,IF(AND($D168&gt;=CK$5,$D168&lt;CK$5+7),"◆",""),IF(AND($D168&lt;CK$5+7,$E168&gt;CK$5),"■","")))</x:f>
      </x:c>
      <x:c r="CL168" s="7" t="str">
        <x:f>IF(OR($D168="",CL$5="",'상세일정'!AM168="제외"),"",IF($D168=$E168,IF(AND($D168&gt;=CL$5,$D168&lt;CL$5+7),"◆",""),IF(AND($D168&lt;CL$5+7,$E168&gt;CL$5),"■","")))</x:f>
      </x:c>
      <x:c r="CM168" s="7" t="str">
        <x:f>IF(OR($D168="",CM$5="",'상세일정'!AM168="제외"),"",IF($D168=$E168,IF(AND($D168&gt;=CM$5,$D168&lt;CM$5+7),"◆",""),IF(AND($D168&lt;CM$5+7,$E168&gt;CM$5),"■","")))</x:f>
      </x:c>
      <x:c r="CN168" s="7" t="str">
        <x:f>IF(OR($D168="",CN$5="",'상세일정'!AM168="제외"),"",IF($D168=$E168,IF(AND($D168&gt;=CN$5,$D168&lt;CN$5+7),"◆",""),IF(AND($D168&lt;CN$5+7,$E168&gt;CN$5),"■","")))</x:f>
      </x:c>
      <x:c r="CO168" s="7" t="str">
        <x:f>IF(OR($D168="",CO$5="",'상세일정'!AM168="제외"),"",IF($D168=$E168,IF(AND($D168&gt;=CO$5,$D168&lt;CO$5+7),"◆",""),IF(AND($D168&lt;CO$5+7,$E168&gt;CO$5),"■","")))</x:f>
      </x:c>
      <x:c r="CP168" s="7" t="str">
        <x:f>IF(OR($D168="",CP$5="",'상세일정'!AM168="제외"),"",IF($D168=$E168,IF(AND($D168&gt;=CP$5,$D168&lt;CP$5+7),"◆",""),IF(AND($D168&lt;CP$5+7,$E168&gt;CP$5),"■","")))</x:f>
      </x:c>
      <x:c r="CQ168" s="7" t="str">
        <x:f>IF(OR($D168="",CQ$5="",'상세일정'!AM168="제외"),"",IF($D168=$E168,IF(AND($D168&gt;=CQ$5,$D168&lt;CQ$5+7),"◆",""),IF(AND($D168&lt;CQ$5+7,$E168&gt;CQ$5),"■","")))</x:f>
      </x:c>
      <x:c r="CR168" s="7" t="str">
        <x:f>IF(OR($D168="",CR$5="",'상세일정'!AM168="제외"),"",IF($D168=$E168,IF(AND($D168&gt;=CR$5,$D168&lt;CR$5+7),"◆",""),IF(AND($D168&lt;CR$5+7,$E168&gt;CR$5),"■","")))</x:f>
      </x:c>
      <x:c r="CS168" s="7" t="str">
        <x:f>IF(OR($D168="",CS$5="",'상세일정'!AM168="제외"),"",IF($D168=$E168,IF(AND($D168&gt;=CS$5,$D168&lt;CS$5+7),"◆",""),IF(AND($D168&lt;CS$5+7,$E168&gt;CS$5),"■","")))</x:f>
      </x:c>
      <x:c r="CT168" s="7" t="str">
        <x:f>IF(OR($D168="",CT$5="",'상세일정'!AM168="제외"),"",IF($D168=$E168,IF(AND($D168&gt;=CT$5,$D168&lt;CT$5+7),"◆",""),IF(AND($D168&lt;CT$5+7,$E168&gt;CT$5),"■","")))</x:f>
      </x:c>
      <x:c r="CU168" s="7" t="str">
        <x:f>IF(OR($D168="",CU$5="",'상세일정'!AM168="제외"),"",IF($D168=$E168,IF(AND($D168&gt;=CU$5,$D168&lt;CU$5+7),"◆",""),IF(AND($D168&lt;CU$5+7,$E168&gt;CU$5),"■","")))</x:f>
      </x:c>
      <x:c r="CV168" s="7" t="str">
        <x:f>IF(OR($D168="",CV$5="",'상세일정'!AM168="제외"),"",IF($D168=$E168,IF(AND($D168&gt;=CV$5,$D168&lt;CV$5+7),"◆",""),IF(AND($D168&lt;CV$5+7,$E168&gt;CV$5),"■","")))</x:f>
      </x:c>
      <x:c r="CW168" s="7" t="str">
        <x:f>IF(OR($D168="",CW$5="",'상세일정'!AM168="제외"),"",IF($D168=$E168,IF(AND($D168&gt;=CW$5,$D168&lt;CW$5+7),"◆",""),IF(AND($D168&lt;CW$5+7,$E168&gt;CW$5),"■","")))</x:f>
      </x:c>
      <x:c r="CX168" s="7" t="str">
        <x:f>IF(OR($D168="",CX$5="",'상세일정'!AM168="제외"),"",IF($D168=$E168,IF(AND($D168&gt;=CX$5,$D168&lt;CX$5+7),"◆",""),IF(AND($D168&lt;CX$5+7,$E168&gt;CX$5),"■","")))</x:f>
      </x:c>
      <x:c r="CY168" s="7" t="str">
        <x:f>IF(OR($D168="",CY$5="",'상세일정'!AM168="제외"),"",IF($D168=$E168,IF(AND($D168&gt;=CY$5,$D168&lt;CY$5+7),"◆",""),IF(AND($D168&lt;CY$5+7,$E168&gt;CY$5),"■","")))</x:f>
      </x:c>
      <x:c r="CZ168" s="7" t="str">
        <x:f>IF(OR($D168="",CZ$5="",'상세일정'!AM168="제외"),"",IF($D168=$E168,IF(AND($D168&gt;=CZ$5,$D168&lt;CZ$5+7),"◆",""),IF(AND($D168&lt;CZ$5+7,$E168&gt;CZ$5),"■","")))</x:f>
      </x:c>
      <x:c r="DA168" s="7" t="str">
        <x:f>IF(OR($D168="",DA$5="",'상세일정'!AM168="제외"),"",IF($D168=$E168,IF(AND($D168&gt;=DA$5,$D168&lt;DA$5+7),"◆",""),IF(AND($D168&lt;DA$5+7,$E168&gt;DA$5),"■","")))</x:f>
      </x:c>
      <x:c r="DB168" s="7" t="str">
        <x:f>IF(OR($D168="",DB$5="",'상세일정'!AM168="제외"),"",IF($D168=$E168,IF(AND($D168&gt;=DB$5,$D168&lt;DB$5+7),"◆",""),IF(AND($D168&lt;DB$5+7,$E168&gt;DB$5),"■","")))</x:f>
      </x:c>
      <x:c r="DC168" s="7" t="str">
        <x:f>IF(OR($D168="",DC$5="",'상세일정'!AM168="제외"),"",IF($D168=$E168,IF(AND($D168&gt;=DC$5,$D168&lt;DC$5+7),"◆",""),IF(AND($D168&lt;DC$5+7,$E168&gt;DC$5),"■","")))</x:f>
      </x:c>
      <x:c r="DD168" s="7" t="str">
        <x:f>IF(OR($D168="",DD$5="",'상세일정'!AM168="제외"),"",IF($D168=$E168,IF(AND($D168&gt;=DD$5,$D168&lt;DD$5+7),"◆",""),IF(AND($D168&lt;DD$5+7,$E168&gt;DD$5),"■","")))</x:f>
      </x:c>
      <x:c r="DE168" s="7" t="str">
        <x:f>IF(OR($D168="",DE$5="",'상세일정'!AM168="제외"),"",IF($D168=$E168,IF(AND($D168&gt;=DE$5,$D168&lt;DE$5+7),"◆",""),IF(AND($D168&lt;DE$5+7,$E168&gt;DE$5),"■","")))</x:f>
      </x:c>
    </x:row>
    <x:row r="169" ht="34" customHeight="1">
      <x:c r="A169" s="7" t="str">
        <x:v>BW06</x:v>
      </x:c>
      <x:c r="B169" s="7" t="str">
        <x:v>18 건축·방호벽</x:v>
      </x:c>
      <x:c r="C169" s="7" t="str">
        <x:v>바닥·도장·환기·마감 및 결함 조치</x:v>
      </x:c>
      <x:c r="D169" s="10" t="str">
        <x:f>'상세일정'!AJ169</x:f>
      </x:c>
      <x:c r="E169" s="10" t="str">
        <x:f>'상세일정'!AK169</x:f>
      </x:c>
      <x:c r="F169" s="7" t="str">
        <x:f>IF(OR($D169="",F$5="",'상세일정'!AM169="제외"),"",IF($D169=$E169,IF(AND($D169&gt;=F$5,$D169&lt;F$5+7),"◆",""),IF(AND($D169&lt;F$5+7,$E169&gt;F$5),"■","")))</x:f>
      </x:c>
      <x:c r="G169" s="7" t="str">
        <x:f>IF(OR($D169="",G$5="",'상세일정'!AM169="제외"),"",IF($D169=$E169,IF(AND($D169&gt;=G$5,$D169&lt;G$5+7),"◆",""),IF(AND($D169&lt;G$5+7,$E169&gt;G$5),"■","")))</x:f>
      </x:c>
      <x:c r="H169" s="7" t="str">
        <x:f>IF(OR($D169="",H$5="",'상세일정'!AM169="제외"),"",IF($D169=$E169,IF(AND($D169&gt;=H$5,$D169&lt;H$5+7),"◆",""),IF(AND($D169&lt;H$5+7,$E169&gt;H$5),"■","")))</x:f>
      </x:c>
      <x:c r="I169" s="7" t="str">
        <x:f>IF(OR($D169="",I$5="",'상세일정'!AM169="제외"),"",IF($D169=$E169,IF(AND($D169&gt;=I$5,$D169&lt;I$5+7),"◆",""),IF(AND($D169&lt;I$5+7,$E169&gt;I$5),"■","")))</x:f>
      </x:c>
      <x:c r="J169" s="7" t="str">
        <x:f>IF(OR($D169="",J$5="",'상세일정'!AM169="제외"),"",IF($D169=$E169,IF(AND($D169&gt;=J$5,$D169&lt;J$5+7),"◆",""),IF(AND($D169&lt;J$5+7,$E169&gt;J$5),"■","")))</x:f>
      </x:c>
      <x:c r="K169" s="7" t="str">
        <x:f>IF(OR($D169="",K$5="",'상세일정'!AM169="제외"),"",IF($D169=$E169,IF(AND($D169&gt;=K$5,$D169&lt;K$5+7),"◆",""),IF(AND($D169&lt;K$5+7,$E169&gt;K$5),"■","")))</x:f>
      </x:c>
      <x:c r="L169" s="7" t="str">
        <x:f>IF(OR($D169="",L$5="",'상세일정'!AM169="제외"),"",IF($D169=$E169,IF(AND($D169&gt;=L$5,$D169&lt;L$5+7),"◆",""),IF(AND($D169&lt;L$5+7,$E169&gt;L$5),"■","")))</x:f>
      </x:c>
      <x:c r="M169" s="7" t="str">
        <x:f>IF(OR($D169="",M$5="",'상세일정'!AM169="제외"),"",IF($D169=$E169,IF(AND($D169&gt;=M$5,$D169&lt;M$5+7),"◆",""),IF(AND($D169&lt;M$5+7,$E169&gt;M$5),"■","")))</x:f>
      </x:c>
      <x:c r="N169" s="7" t="str">
        <x:f>IF(OR($D169="",N$5="",'상세일정'!AM169="제외"),"",IF($D169=$E169,IF(AND($D169&gt;=N$5,$D169&lt;N$5+7),"◆",""),IF(AND($D169&lt;N$5+7,$E169&gt;N$5),"■","")))</x:f>
      </x:c>
      <x:c r="O169" s="7" t="str">
        <x:f>IF(OR($D169="",O$5="",'상세일정'!AM169="제외"),"",IF($D169=$E169,IF(AND($D169&gt;=O$5,$D169&lt;O$5+7),"◆",""),IF(AND($D169&lt;O$5+7,$E169&gt;O$5),"■","")))</x:f>
      </x:c>
      <x:c r="P169" s="7" t="str">
        <x:f>IF(OR($D169="",P$5="",'상세일정'!AM169="제외"),"",IF($D169=$E169,IF(AND($D169&gt;=P$5,$D169&lt;P$5+7),"◆",""),IF(AND($D169&lt;P$5+7,$E169&gt;P$5),"■","")))</x:f>
      </x:c>
      <x:c r="Q169" s="7" t="str">
        <x:f>IF(OR($D169="",Q$5="",'상세일정'!AM169="제외"),"",IF($D169=$E169,IF(AND($D169&gt;=Q$5,$D169&lt;Q$5+7),"◆",""),IF(AND($D169&lt;Q$5+7,$E169&gt;Q$5),"■","")))</x:f>
      </x:c>
      <x:c r="R169" s="7" t="str">
        <x:f>IF(OR($D169="",R$5="",'상세일정'!AM169="제외"),"",IF($D169=$E169,IF(AND($D169&gt;=R$5,$D169&lt;R$5+7),"◆",""),IF(AND($D169&lt;R$5+7,$E169&gt;R$5),"■","")))</x:f>
      </x:c>
      <x:c r="S169" s="7" t="str">
        <x:f>IF(OR($D169="",S$5="",'상세일정'!AM169="제외"),"",IF($D169=$E169,IF(AND($D169&gt;=S$5,$D169&lt;S$5+7),"◆",""),IF(AND($D169&lt;S$5+7,$E169&gt;S$5),"■","")))</x:f>
      </x:c>
      <x:c r="T169" s="7" t="str">
        <x:f>IF(OR($D169="",T$5="",'상세일정'!AM169="제외"),"",IF($D169=$E169,IF(AND($D169&gt;=T$5,$D169&lt;T$5+7),"◆",""),IF(AND($D169&lt;T$5+7,$E169&gt;T$5),"■","")))</x:f>
      </x:c>
      <x:c r="U169" s="7" t="str">
        <x:f>IF(OR($D169="",U$5="",'상세일정'!AM169="제외"),"",IF($D169=$E169,IF(AND($D169&gt;=U$5,$D169&lt;U$5+7),"◆",""),IF(AND($D169&lt;U$5+7,$E169&gt;U$5),"■","")))</x:f>
      </x:c>
      <x:c r="V169" s="7" t="str">
        <x:f>IF(OR($D169="",V$5="",'상세일정'!AM169="제외"),"",IF($D169=$E169,IF(AND($D169&gt;=V$5,$D169&lt;V$5+7),"◆",""),IF(AND($D169&lt;V$5+7,$E169&gt;V$5),"■","")))</x:f>
      </x:c>
      <x:c r="W169" s="7" t="str">
        <x:f>IF(OR($D169="",W$5="",'상세일정'!AM169="제외"),"",IF($D169=$E169,IF(AND($D169&gt;=W$5,$D169&lt;W$5+7),"◆",""),IF(AND($D169&lt;W$5+7,$E169&gt;W$5),"■","")))</x:f>
      </x:c>
      <x:c r="X169" s="7" t="str">
        <x:f>IF(OR($D169="",X$5="",'상세일정'!AM169="제외"),"",IF($D169=$E169,IF(AND($D169&gt;=X$5,$D169&lt;X$5+7),"◆",""),IF(AND($D169&lt;X$5+7,$E169&gt;X$5),"■","")))</x:f>
      </x:c>
      <x:c r="Y169" s="7" t="str">
        <x:f>IF(OR($D169="",Y$5="",'상세일정'!AM169="제외"),"",IF($D169=$E169,IF(AND($D169&gt;=Y$5,$D169&lt;Y$5+7),"◆",""),IF(AND($D169&lt;Y$5+7,$E169&gt;Y$5),"■","")))</x:f>
      </x:c>
      <x:c r="Z169" s="7" t="str">
        <x:f>IF(OR($D169="",Z$5="",'상세일정'!AM169="제외"),"",IF($D169=$E169,IF(AND($D169&gt;=Z$5,$D169&lt;Z$5+7),"◆",""),IF(AND($D169&lt;Z$5+7,$E169&gt;Z$5),"■","")))</x:f>
      </x:c>
      <x:c r="AA169" s="7" t="str">
        <x:f>IF(OR($D169="",AA$5="",'상세일정'!AM169="제외"),"",IF($D169=$E169,IF(AND($D169&gt;=AA$5,$D169&lt;AA$5+7),"◆",""),IF(AND($D169&lt;AA$5+7,$E169&gt;AA$5),"■","")))</x:f>
      </x:c>
      <x:c r="AB169" s="7" t="str">
        <x:f>IF(OR($D169="",AB$5="",'상세일정'!AM169="제외"),"",IF($D169=$E169,IF(AND($D169&gt;=AB$5,$D169&lt;AB$5+7),"◆",""),IF(AND($D169&lt;AB$5+7,$E169&gt;AB$5),"■","")))</x:f>
      </x:c>
      <x:c r="AC169" s="7" t="str">
        <x:f>IF(OR($D169="",AC$5="",'상세일정'!AM169="제외"),"",IF($D169=$E169,IF(AND($D169&gt;=AC$5,$D169&lt;AC$5+7),"◆",""),IF(AND($D169&lt;AC$5+7,$E169&gt;AC$5),"■","")))</x:f>
      </x:c>
      <x:c r="AD169" s="7" t="str">
        <x:f>IF(OR($D169="",AD$5="",'상세일정'!AM169="제외"),"",IF($D169=$E169,IF(AND($D169&gt;=AD$5,$D169&lt;AD$5+7),"◆",""),IF(AND($D169&lt;AD$5+7,$E169&gt;AD$5),"■","")))</x:f>
      </x:c>
      <x:c r="AE169" s="7" t="str">
        <x:f>IF(OR($D169="",AE$5="",'상세일정'!AM169="제외"),"",IF($D169=$E169,IF(AND($D169&gt;=AE$5,$D169&lt;AE$5+7),"◆",""),IF(AND($D169&lt;AE$5+7,$E169&gt;AE$5),"■","")))</x:f>
      </x:c>
      <x:c r="AF169" s="7" t="str">
        <x:f>IF(OR($D169="",AF$5="",'상세일정'!AM169="제외"),"",IF($D169=$E169,IF(AND($D169&gt;=AF$5,$D169&lt;AF$5+7),"◆",""),IF(AND($D169&lt;AF$5+7,$E169&gt;AF$5),"■","")))</x:f>
      </x:c>
      <x:c r="AG169" s="7" t="str">
        <x:f>IF(OR($D169="",AG$5="",'상세일정'!AM169="제외"),"",IF($D169=$E169,IF(AND($D169&gt;=AG$5,$D169&lt;AG$5+7),"◆",""),IF(AND($D169&lt;AG$5+7,$E169&gt;AG$5),"■","")))</x:f>
      </x:c>
      <x:c r="AH169" s="7" t="str">
        <x:f>IF(OR($D169="",AH$5="",'상세일정'!AM169="제외"),"",IF($D169=$E169,IF(AND($D169&gt;=AH$5,$D169&lt;AH$5+7),"◆",""),IF(AND($D169&lt;AH$5+7,$E169&gt;AH$5),"■","")))</x:f>
      </x:c>
      <x:c r="AI169" s="7" t="str">
        <x:f>IF(OR($D169="",AI$5="",'상세일정'!AM169="제외"),"",IF($D169=$E169,IF(AND($D169&gt;=AI$5,$D169&lt;AI$5+7),"◆",""),IF(AND($D169&lt;AI$5+7,$E169&gt;AI$5),"■","")))</x:f>
      </x:c>
      <x:c r="AJ169" s="7" t="str">
        <x:f>IF(OR($D169="",AJ$5="",'상세일정'!AM169="제외"),"",IF($D169=$E169,IF(AND($D169&gt;=AJ$5,$D169&lt;AJ$5+7),"◆",""),IF(AND($D169&lt;AJ$5+7,$E169&gt;AJ$5),"■","")))</x:f>
      </x:c>
      <x:c r="AK169" s="7" t="str">
        <x:f>IF(OR($D169="",AK$5="",'상세일정'!AM169="제외"),"",IF($D169=$E169,IF(AND($D169&gt;=AK$5,$D169&lt;AK$5+7),"◆",""),IF(AND($D169&lt;AK$5+7,$E169&gt;AK$5),"■","")))</x:f>
      </x:c>
      <x:c r="AL169" s="7" t="str">
        <x:f>IF(OR($D169="",AL$5="",'상세일정'!AM169="제외"),"",IF($D169=$E169,IF(AND($D169&gt;=AL$5,$D169&lt;AL$5+7),"◆",""),IF(AND($D169&lt;AL$5+7,$E169&gt;AL$5),"■","")))</x:f>
      </x:c>
      <x:c r="AM169" s="7" t="str">
        <x:f>IF(OR($D169="",AM$5="",'상세일정'!AM169="제외"),"",IF($D169=$E169,IF(AND($D169&gt;=AM$5,$D169&lt;AM$5+7),"◆",""),IF(AND($D169&lt;AM$5+7,$E169&gt;AM$5),"■","")))</x:f>
      </x:c>
      <x:c r="AN169" s="7" t="str">
        <x:f>IF(OR($D169="",AN$5="",'상세일정'!AM169="제외"),"",IF($D169=$E169,IF(AND($D169&gt;=AN$5,$D169&lt;AN$5+7),"◆",""),IF(AND($D169&lt;AN$5+7,$E169&gt;AN$5),"■","")))</x:f>
      </x:c>
      <x:c r="AO169" s="7" t="str">
        <x:f>IF(OR($D169="",AO$5="",'상세일정'!AM169="제외"),"",IF($D169=$E169,IF(AND($D169&gt;=AO$5,$D169&lt;AO$5+7),"◆",""),IF(AND($D169&lt;AO$5+7,$E169&gt;AO$5),"■","")))</x:f>
      </x:c>
      <x:c r="AP169" s="7" t="str">
        <x:f>IF(OR($D169="",AP$5="",'상세일정'!AM169="제외"),"",IF($D169=$E169,IF(AND($D169&gt;=AP$5,$D169&lt;AP$5+7),"◆",""),IF(AND($D169&lt;AP$5+7,$E169&gt;AP$5),"■","")))</x:f>
      </x:c>
      <x:c r="AQ169" s="7" t="str">
        <x:f>IF(OR($D169="",AQ$5="",'상세일정'!AM169="제외"),"",IF($D169=$E169,IF(AND($D169&gt;=AQ$5,$D169&lt;AQ$5+7),"◆",""),IF(AND($D169&lt;AQ$5+7,$E169&gt;AQ$5),"■","")))</x:f>
      </x:c>
      <x:c r="AR169" s="7" t="str">
        <x:f>IF(OR($D169="",AR$5="",'상세일정'!AM169="제외"),"",IF($D169=$E169,IF(AND($D169&gt;=AR$5,$D169&lt;AR$5+7),"◆",""),IF(AND($D169&lt;AR$5+7,$E169&gt;AR$5),"■","")))</x:f>
      </x:c>
      <x:c r="AS169" s="7" t="str">
        <x:f>IF(OR($D169="",AS$5="",'상세일정'!AM169="제외"),"",IF($D169=$E169,IF(AND($D169&gt;=AS$5,$D169&lt;AS$5+7),"◆",""),IF(AND($D169&lt;AS$5+7,$E169&gt;AS$5),"■","")))</x:f>
      </x:c>
      <x:c r="AT169" s="7" t="str">
        <x:f>IF(OR($D169="",AT$5="",'상세일정'!AM169="제외"),"",IF($D169=$E169,IF(AND($D169&gt;=AT$5,$D169&lt;AT$5+7),"◆",""),IF(AND($D169&lt;AT$5+7,$E169&gt;AT$5),"■","")))</x:f>
      </x:c>
      <x:c r="AU169" s="7" t="str">
        <x:f>IF(OR($D169="",AU$5="",'상세일정'!AM169="제외"),"",IF($D169=$E169,IF(AND($D169&gt;=AU$5,$D169&lt;AU$5+7),"◆",""),IF(AND($D169&lt;AU$5+7,$E169&gt;AU$5),"■","")))</x:f>
      </x:c>
      <x:c r="AV169" s="7" t="str">
        <x:f>IF(OR($D169="",AV$5="",'상세일정'!AM169="제외"),"",IF($D169=$E169,IF(AND($D169&gt;=AV$5,$D169&lt;AV$5+7),"◆",""),IF(AND($D169&lt;AV$5+7,$E169&gt;AV$5),"■","")))</x:f>
      </x:c>
      <x:c r="AW169" s="7" t="str">
        <x:f>IF(OR($D169="",AW$5="",'상세일정'!AM169="제외"),"",IF($D169=$E169,IF(AND($D169&gt;=AW$5,$D169&lt;AW$5+7),"◆",""),IF(AND($D169&lt;AW$5+7,$E169&gt;AW$5),"■","")))</x:f>
      </x:c>
      <x:c r="AX169" s="7" t="str">
        <x:f>IF(OR($D169="",AX$5="",'상세일정'!AM169="제외"),"",IF($D169=$E169,IF(AND($D169&gt;=AX$5,$D169&lt;AX$5+7),"◆",""),IF(AND($D169&lt;AX$5+7,$E169&gt;AX$5),"■","")))</x:f>
      </x:c>
      <x:c r="AY169" s="7" t="str">
        <x:f>IF(OR($D169="",AY$5="",'상세일정'!AM169="제외"),"",IF($D169=$E169,IF(AND($D169&gt;=AY$5,$D169&lt;AY$5+7),"◆",""),IF(AND($D169&lt;AY$5+7,$E169&gt;AY$5),"■","")))</x:f>
      </x:c>
      <x:c r="AZ169" s="7" t="str">
        <x:f>IF(OR($D169="",AZ$5="",'상세일정'!AM169="제외"),"",IF($D169=$E169,IF(AND($D169&gt;=AZ$5,$D169&lt;AZ$5+7),"◆",""),IF(AND($D169&lt;AZ$5+7,$E169&gt;AZ$5),"■","")))</x:f>
      </x:c>
      <x:c r="BA169" s="7" t="str">
        <x:f>IF(OR($D169="",BA$5="",'상세일정'!AM169="제외"),"",IF($D169=$E169,IF(AND($D169&gt;=BA$5,$D169&lt;BA$5+7),"◆",""),IF(AND($D169&lt;BA$5+7,$E169&gt;BA$5),"■","")))</x:f>
      </x:c>
      <x:c r="BB169" s="7" t="str">
        <x:f>IF(OR($D169="",BB$5="",'상세일정'!AM169="제외"),"",IF($D169=$E169,IF(AND($D169&gt;=BB$5,$D169&lt;BB$5+7),"◆",""),IF(AND($D169&lt;BB$5+7,$E169&gt;BB$5),"■","")))</x:f>
      </x:c>
      <x:c r="BC169" s="7" t="str">
        <x:f>IF(OR($D169="",BC$5="",'상세일정'!AM169="제외"),"",IF($D169=$E169,IF(AND($D169&gt;=BC$5,$D169&lt;BC$5+7),"◆",""),IF(AND($D169&lt;BC$5+7,$E169&gt;BC$5),"■","")))</x:f>
      </x:c>
      <x:c r="BD169" s="7" t="str">
        <x:f>IF(OR($D169="",BD$5="",'상세일정'!AM169="제외"),"",IF($D169=$E169,IF(AND($D169&gt;=BD$5,$D169&lt;BD$5+7),"◆",""),IF(AND($D169&lt;BD$5+7,$E169&gt;BD$5),"■","")))</x:f>
      </x:c>
      <x:c r="BE169" s="7" t="str">
        <x:f>IF(OR($D169="",BE$5="",'상세일정'!AM169="제외"),"",IF($D169=$E169,IF(AND($D169&gt;=BE$5,$D169&lt;BE$5+7),"◆",""),IF(AND($D169&lt;BE$5+7,$E169&gt;BE$5),"■","")))</x:f>
      </x:c>
      <x:c r="BF169" s="7" t="str">
        <x:f>IF(OR($D169="",BF$5="",'상세일정'!AM169="제외"),"",IF($D169=$E169,IF(AND($D169&gt;=BF$5,$D169&lt;BF$5+7),"◆",""),IF(AND($D169&lt;BF$5+7,$E169&gt;BF$5),"■","")))</x:f>
      </x:c>
      <x:c r="BG169" s="7" t="str">
        <x:f>IF(OR($D169="",BG$5="",'상세일정'!AM169="제외"),"",IF($D169=$E169,IF(AND($D169&gt;=BG$5,$D169&lt;BG$5+7),"◆",""),IF(AND($D169&lt;BG$5+7,$E169&gt;BG$5),"■","")))</x:f>
      </x:c>
      <x:c r="BH169" s="7" t="str">
        <x:f>IF(OR($D169="",BH$5="",'상세일정'!AM169="제외"),"",IF($D169=$E169,IF(AND($D169&gt;=BH$5,$D169&lt;BH$5+7),"◆",""),IF(AND($D169&lt;BH$5+7,$E169&gt;BH$5),"■","")))</x:f>
      </x:c>
      <x:c r="BI169" s="7" t="str">
        <x:f>IF(OR($D169="",BI$5="",'상세일정'!AM169="제외"),"",IF($D169=$E169,IF(AND($D169&gt;=BI$5,$D169&lt;BI$5+7),"◆",""),IF(AND($D169&lt;BI$5+7,$E169&gt;BI$5),"■","")))</x:f>
      </x:c>
      <x:c r="BJ169" s="7" t="str">
        <x:f>IF(OR($D169="",BJ$5="",'상세일정'!AM169="제외"),"",IF($D169=$E169,IF(AND($D169&gt;=BJ$5,$D169&lt;BJ$5+7),"◆",""),IF(AND($D169&lt;BJ$5+7,$E169&gt;BJ$5),"■","")))</x:f>
      </x:c>
      <x:c r="BK169" s="7" t="str">
        <x:f>IF(OR($D169="",BK$5="",'상세일정'!AM169="제외"),"",IF($D169=$E169,IF(AND($D169&gt;=BK$5,$D169&lt;BK$5+7),"◆",""),IF(AND($D169&lt;BK$5+7,$E169&gt;BK$5),"■","")))</x:f>
      </x:c>
      <x:c r="BL169" s="7" t="str">
        <x:f>IF(OR($D169="",BL$5="",'상세일정'!AM169="제외"),"",IF($D169=$E169,IF(AND($D169&gt;=BL$5,$D169&lt;BL$5+7),"◆",""),IF(AND($D169&lt;BL$5+7,$E169&gt;BL$5),"■","")))</x:f>
      </x:c>
      <x:c r="BM169" s="7" t="str">
        <x:f>IF(OR($D169="",BM$5="",'상세일정'!AM169="제외"),"",IF($D169=$E169,IF(AND($D169&gt;=BM$5,$D169&lt;BM$5+7),"◆",""),IF(AND($D169&lt;BM$5+7,$E169&gt;BM$5),"■","")))</x:f>
      </x:c>
      <x:c r="BN169" s="7" t="str">
        <x:f>IF(OR($D169="",BN$5="",'상세일정'!AM169="제외"),"",IF($D169=$E169,IF(AND($D169&gt;=BN$5,$D169&lt;BN$5+7),"◆",""),IF(AND($D169&lt;BN$5+7,$E169&gt;BN$5),"■","")))</x:f>
      </x:c>
      <x:c r="BO169" s="7" t="str">
        <x:f>IF(OR($D169="",BO$5="",'상세일정'!AM169="제외"),"",IF($D169=$E169,IF(AND($D169&gt;=BO$5,$D169&lt;BO$5+7),"◆",""),IF(AND($D169&lt;BO$5+7,$E169&gt;BO$5),"■","")))</x:f>
      </x:c>
      <x:c r="BP169" s="7" t="str">
        <x:f>IF(OR($D169="",BP$5="",'상세일정'!AM169="제외"),"",IF($D169=$E169,IF(AND($D169&gt;=BP$5,$D169&lt;BP$5+7),"◆",""),IF(AND($D169&lt;BP$5+7,$E169&gt;BP$5),"■","")))</x:f>
      </x:c>
      <x:c r="BQ169" s="7" t="str">
        <x:f>IF(OR($D169="",BQ$5="",'상세일정'!AM169="제외"),"",IF($D169=$E169,IF(AND($D169&gt;=BQ$5,$D169&lt;BQ$5+7),"◆",""),IF(AND($D169&lt;BQ$5+7,$E169&gt;BQ$5),"■","")))</x:f>
      </x:c>
      <x:c r="BR169" s="7" t="str">
        <x:f>IF(OR($D169="",BR$5="",'상세일정'!AM169="제외"),"",IF($D169=$E169,IF(AND($D169&gt;=BR$5,$D169&lt;BR$5+7),"◆",""),IF(AND($D169&lt;BR$5+7,$E169&gt;BR$5),"■","")))</x:f>
      </x:c>
      <x:c r="BS169" s="7" t="str">
        <x:f>IF(OR($D169="",BS$5="",'상세일정'!AM169="제외"),"",IF($D169=$E169,IF(AND($D169&gt;=BS$5,$D169&lt;BS$5+7),"◆",""),IF(AND($D169&lt;BS$5+7,$E169&gt;BS$5),"■","")))</x:f>
      </x:c>
      <x:c r="BT169" s="7" t="str">
        <x:f>IF(OR($D169="",BT$5="",'상세일정'!AM169="제외"),"",IF($D169=$E169,IF(AND($D169&gt;=BT$5,$D169&lt;BT$5+7),"◆",""),IF(AND($D169&lt;BT$5+7,$E169&gt;BT$5),"■","")))</x:f>
      </x:c>
      <x:c r="BU169" s="7" t="str">
        <x:f>IF(OR($D169="",BU$5="",'상세일정'!AM169="제외"),"",IF($D169=$E169,IF(AND($D169&gt;=BU$5,$D169&lt;BU$5+7),"◆",""),IF(AND($D169&lt;BU$5+7,$E169&gt;BU$5),"■","")))</x:f>
      </x:c>
      <x:c r="BV169" s="7" t="str">
        <x:f>IF(OR($D169="",BV$5="",'상세일정'!AM169="제외"),"",IF($D169=$E169,IF(AND($D169&gt;=BV$5,$D169&lt;BV$5+7),"◆",""),IF(AND($D169&lt;BV$5+7,$E169&gt;BV$5),"■","")))</x:f>
      </x:c>
      <x:c r="BW169" s="7" t="str">
        <x:f>IF(OR($D169="",BW$5="",'상세일정'!AM169="제외"),"",IF($D169=$E169,IF(AND($D169&gt;=BW$5,$D169&lt;BW$5+7),"◆",""),IF(AND($D169&lt;BW$5+7,$E169&gt;BW$5),"■","")))</x:f>
      </x:c>
      <x:c r="BX169" s="7" t="str">
        <x:f>IF(OR($D169="",BX$5="",'상세일정'!AM169="제외"),"",IF($D169=$E169,IF(AND($D169&gt;=BX$5,$D169&lt;BX$5+7),"◆",""),IF(AND($D169&lt;BX$5+7,$E169&gt;BX$5),"■","")))</x:f>
      </x:c>
      <x:c r="BY169" s="7" t="str">
        <x:f>IF(OR($D169="",BY$5="",'상세일정'!AM169="제외"),"",IF($D169=$E169,IF(AND($D169&gt;=BY$5,$D169&lt;BY$5+7),"◆",""),IF(AND($D169&lt;BY$5+7,$E169&gt;BY$5),"■","")))</x:f>
      </x:c>
      <x:c r="BZ169" s="7" t="str">
        <x:f>IF(OR($D169="",BZ$5="",'상세일정'!AM169="제외"),"",IF($D169=$E169,IF(AND($D169&gt;=BZ$5,$D169&lt;BZ$5+7),"◆",""),IF(AND($D169&lt;BZ$5+7,$E169&gt;BZ$5),"■","")))</x:f>
      </x:c>
      <x:c r="CA169" s="7" t="str">
        <x:f>IF(OR($D169="",CA$5="",'상세일정'!AM169="제외"),"",IF($D169=$E169,IF(AND($D169&gt;=CA$5,$D169&lt;CA$5+7),"◆",""),IF(AND($D169&lt;CA$5+7,$E169&gt;CA$5),"■","")))</x:f>
      </x:c>
      <x:c r="CB169" s="7" t="str">
        <x:f>IF(OR($D169="",CB$5="",'상세일정'!AM169="제외"),"",IF($D169=$E169,IF(AND($D169&gt;=CB$5,$D169&lt;CB$5+7),"◆",""),IF(AND($D169&lt;CB$5+7,$E169&gt;CB$5),"■","")))</x:f>
      </x:c>
      <x:c r="CC169" s="7" t="str">
        <x:f>IF(OR($D169="",CC$5="",'상세일정'!AM169="제외"),"",IF($D169=$E169,IF(AND($D169&gt;=CC$5,$D169&lt;CC$5+7),"◆",""),IF(AND($D169&lt;CC$5+7,$E169&gt;CC$5),"■","")))</x:f>
      </x:c>
      <x:c r="CD169" s="7" t="str">
        <x:f>IF(OR($D169="",CD$5="",'상세일정'!AM169="제외"),"",IF($D169=$E169,IF(AND($D169&gt;=CD$5,$D169&lt;CD$5+7),"◆",""),IF(AND($D169&lt;CD$5+7,$E169&gt;CD$5),"■","")))</x:f>
      </x:c>
      <x:c r="CE169" s="7" t="str">
        <x:f>IF(OR($D169="",CE$5="",'상세일정'!AM169="제외"),"",IF($D169=$E169,IF(AND($D169&gt;=CE$5,$D169&lt;CE$5+7),"◆",""),IF(AND($D169&lt;CE$5+7,$E169&gt;CE$5),"■","")))</x:f>
      </x:c>
      <x:c r="CF169" s="7" t="str">
        <x:f>IF(OR($D169="",CF$5="",'상세일정'!AM169="제외"),"",IF($D169=$E169,IF(AND($D169&gt;=CF$5,$D169&lt;CF$5+7),"◆",""),IF(AND($D169&lt;CF$5+7,$E169&gt;CF$5),"■","")))</x:f>
      </x:c>
      <x:c r="CG169" s="7" t="str">
        <x:f>IF(OR($D169="",CG$5="",'상세일정'!AM169="제외"),"",IF($D169=$E169,IF(AND($D169&gt;=CG$5,$D169&lt;CG$5+7),"◆",""),IF(AND($D169&lt;CG$5+7,$E169&gt;CG$5),"■","")))</x:f>
      </x:c>
      <x:c r="CH169" s="7" t="str">
        <x:f>IF(OR($D169="",CH$5="",'상세일정'!AM169="제외"),"",IF($D169=$E169,IF(AND($D169&gt;=CH$5,$D169&lt;CH$5+7),"◆",""),IF(AND($D169&lt;CH$5+7,$E169&gt;CH$5),"■","")))</x:f>
      </x:c>
      <x:c r="CI169" s="7" t="str">
        <x:f>IF(OR($D169="",CI$5="",'상세일정'!AM169="제외"),"",IF($D169=$E169,IF(AND($D169&gt;=CI$5,$D169&lt;CI$5+7),"◆",""),IF(AND($D169&lt;CI$5+7,$E169&gt;CI$5),"■","")))</x:f>
      </x:c>
      <x:c r="CJ169" s="7" t="str">
        <x:f>IF(OR($D169="",CJ$5="",'상세일정'!AM169="제외"),"",IF($D169=$E169,IF(AND($D169&gt;=CJ$5,$D169&lt;CJ$5+7),"◆",""),IF(AND($D169&lt;CJ$5+7,$E169&gt;CJ$5),"■","")))</x:f>
      </x:c>
      <x:c r="CK169" s="7" t="str">
        <x:f>IF(OR($D169="",CK$5="",'상세일정'!AM169="제외"),"",IF($D169=$E169,IF(AND($D169&gt;=CK$5,$D169&lt;CK$5+7),"◆",""),IF(AND($D169&lt;CK$5+7,$E169&gt;CK$5),"■","")))</x:f>
      </x:c>
      <x:c r="CL169" s="7" t="str">
        <x:f>IF(OR($D169="",CL$5="",'상세일정'!AM169="제외"),"",IF($D169=$E169,IF(AND($D169&gt;=CL$5,$D169&lt;CL$5+7),"◆",""),IF(AND($D169&lt;CL$5+7,$E169&gt;CL$5),"■","")))</x:f>
      </x:c>
      <x:c r="CM169" s="7" t="str">
        <x:f>IF(OR($D169="",CM$5="",'상세일정'!AM169="제외"),"",IF($D169=$E169,IF(AND($D169&gt;=CM$5,$D169&lt;CM$5+7),"◆",""),IF(AND($D169&lt;CM$5+7,$E169&gt;CM$5),"■","")))</x:f>
      </x:c>
      <x:c r="CN169" s="7" t="str">
        <x:f>IF(OR($D169="",CN$5="",'상세일정'!AM169="제외"),"",IF($D169=$E169,IF(AND($D169&gt;=CN$5,$D169&lt;CN$5+7),"◆",""),IF(AND($D169&lt;CN$5+7,$E169&gt;CN$5),"■","")))</x:f>
      </x:c>
      <x:c r="CO169" s="7" t="str">
        <x:f>IF(OR($D169="",CO$5="",'상세일정'!AM169="제외"),"",IF($D169=$E169,IF(AND($D169&gt;=CO$5,$D169&lt;CO$5+7),"◆",""),IF(AND($D169&lt;CO$5+7,$E169&gt;CO$5),"■","")))</x:f>
      </x:c>
      <x:c r="CP169" s="7" t="str">
        <x:f>IF(OR($D169="",CP$5="",'상세일정'!AM169="제외"),"",IF($D169=$E169,IF(AND($D169&gt;=CP$5,$D169&lt;CP$5+7),"◆",""),IF(AND($D169&lt;CP$5+7,$E169&gt;CP$5),"■","")))</x:f>
      </x:c>
      <x:c r="CQ169" s="7" t="str">
        <x:f>IF(OR($D169="",CQ$5="",'상세일정'!AM169="제외"),"",IF($D169=$E169,IF(AND($D169&gt;=CQ$5,$D169&lt;CQ$5+7),"◆",""),IF(AND($D169&lt;CQ$5+7,$E169&gt;CQ$5),"■","")))</x:f>
      </x:c>
      <x:c r="CR169" s="7" t="str">
        <x:f>IF(OR($D169="",CR$5="",'상세일정'!AM169="제외"),"",IF($D169=$E169,IF(AND($D169&gt;=CR$5,$D169&lt;CR$5+7),"◆",""),IF(AND($D169&lt;CR$5+7,$E169&gt;CR$5),"■","")))</x:f>
      </x:c>
      <x:c r="CS169" s="7" t="str">
        <x:f>IF(OR($D169="",CS$5="",'상세일정'!AM169="제외"),"",IF($D169=$E169,IF(AND($D169&gt;=CS$5,$D169&lt;CS$5+7),"◆",""),IF(AND($D169&lt;CS$5+7,$E169&gt;CS$5),"■","")))</x:f>
      </x:c>
      <x:c r="CT169" s="7" t="str">
        <x:f>IF(OR($D169="",CT$5="",'상세일정'!AM169="제외"),"",IF($D169=$E169,IF(AND($D169&gt;=CT$5,$D169&lt;CT$5+7),"◆",""),IF(AND($D169&lt;CT$5+7,$E169&gt;CT$5),"■","")))</x:f>
      </x:c>
      <x:c r="CU169" s="7" t="str">
        <x:f>IF(OR($D169="",CU$5="",'상세일정'!AM169="제외"),"",IF($D169=$E169,IF(AND($D169&gt;=CU$5,$D169&lt;CU$5+7),"◆",""),IF(AND($D169&lt;CU$5+7,$E169&gt;CU$5),"■","")))</x:f>
      </x:c>
      <x:c r="CV169" s="7" t="str">
        <x:f>IF(OR($D169="",CV$5="",'상세일정'!AM169="제외"),"",IF($D169=$E169,IF(AND($D169&gt;=CV$5,$D169&lt;CV$5+7),"◆",""),IF(AND($D169&lt;CV$5+7,$E169&gt;CV$5),"■","")))</x:f>
      </x:c>
      <x:c r="CW169" s="7" t="str">
        <x:f>IF(OR($D169="",CW$5="",'상세일정'!AM169="제외"),"",IF($D169=$E169,IF(AND($D169&gt;=CW$5,$D169&lt;CW$5+7),"◆",""),IF(AND($D169&lt;CW$5+7,$E169&gt;CW$5),"■","")))</x:f>
      </x:c>
      <x:c r="CX169" s="7" t="str">
        <x:f>IF(OR($D169="",CX$5="",'상세일정'!AM169="제외"),"",IF($D169=$E169,IF(AND($D169&gt;=CX$5,$D169&lt;CX$5+7),"◆",""),IF(AND($D169&lt;CX$5+7,$E169&gt;CX$5),"■","")))</x:f>
      </x:c>
      <x:c r="CY169" s="7" t="str">
        <x:f>IF(OR($D169="",CY$5="",'상세일정'!AM169="제외"),"",IF($D169=$E169,IF(AND($D169&gt;=CY$5,$D169&lt;CY$5+7),"◆",""),IF(AND($D169&lt;CY$5+7,$E169&gt;CY$5),"■","")))</x:f>
      </x:c>
      <x:c r="CZ169" s="7" t="str">
        <x:f>IF(OR($D169="",CZ$5="",'상세일정'!AM169="제외"),"",IF($D169=$E169,IF(AND($D169&gt;=CZ$5,$D169&lt;CZ$5+7),"◆",""),IF(AND($D169&lt;CZ$5+7,$E169&gt;CZ$5),"■","")))</x:f>
      </x:c>
      <x:c r="DA169" s="7" t="str">
        <x:f>IF(OR($D169="",DA$5="",'상세일정'!AM169="제외"),"",IF($D169=$E169,IF(AND($D169&gt;=DA$5,$D169&lt;DA$5+7),"◆",""),IF(AND($D169&lt;DA$5+7,$E169&gt;DA$5),"■","")))</x:f>
      </x:c>
      <x:c r="DB169" s="7" t="str">
        <x:f>IF(OR($D169="",DB$5="",'상세일정'!AM169="제외"),"",IF($D169=$E169,IF(AND($D169&gt;=DB$5,$D169&lt;DB$5+7),"◆",""),IF(AND($D169&lt;DB$5+7,$E169&gt;DB$5),"■","")))</x:f>
      </x:c>
      <x:c r="DC169" s="7" t="str">
        <x:f>IF(OR($D169="",DC$5="",'상세일정'!AM169="제외"),"",IF($D169=$E169,IF(AND($D169&gt;=DC$5,$D169&lt;DC$5+7),"◆",""),IF(AND($D169&lt;DC$5+7,$E169&gt;DC$5),"■","")))</x:f>
      </x:c>
      <x:c r="DD169" s="7" t="str">
        <x:f>IF(OR($D169="",DD$5="",'상세일정'!AM169="제외"),"",IF($D169=$E169,IF(AND($D169&gt;=DD$5,$D169&lt;DD$5+7),"◆",""),IF(AND($D169&lt;DD$5+7,$E169&gt;DD$5),"■","")))</x:f>
      </x:c>
      <x:c r="DE169" s="7" t="str">
        <x:f>IF(OR($D169="",DE$5="",'상세일정'!AM169="제외"),"",IF($D169=$E169,IF(AND($D169&gt;=DE$5,$D169&lt;DE$5+7),"◆",""),IF(AND($D169&lt;DE$5+7,$E169&gt;DE$5),"■","")))</x:f>
      </x:c>
    </x:row>
    <x:row r="170" ht="34" customHeight="1">
      <x:c r="A170" s="7" t="str">
        <x:v>UF01</x:v>
      </x:c>
      <x:c r="B170" s="7" t="str">
        <x:v>19 설비기초·전기실</x:v>
      </x:c>
      <x:c r="C170" s="7" t="str">
        <x:v>유틸리티·추출설비 기초/트렌치 철근 시공</x:v>
      </x:c>
      <x:c r="D170" s="10" t="str">
        <x:f>'상세일정'!AJ170</x:f>
      </x:c>
      <x:c r="E170" s="10" t="str">
        <x:f>'상세일정'!AK170</x:f>
      </x:c>
      <x:c r="F170" s="7" t="str">
        <x:f>IF(OR($D170="",F$5="",'상세일정'!AM170="제외"),"",IF($D170=$E170,IF(AND($D170&gt;=F$5,$D170&lt;F$5+7),"◆",""),IF(AND($D170&lt;F$5+7,$E170&gt;F$5),"■","")))</x:f>
      </x:c>
      <x:c r="G170" s="7" t="str">
        <x:f>IF(OR($D170="",G$5="",'상세일정'!AM170="제외"),"",IF($D170=$E170,IF(AND($D170&gt;=G$5,$D170&lt;G$5+7),"◆",""),IF(AND($D170&lt;G$5+7,$E170&gt;G$5),"■","")))</x:f>
      </x:c>
      <x:c r="H170" s="7" t="str">
        <x:f>IF(OR($D170="",H$5="",'상세일정'!AM170="제외"),"",IF($D170=$E170,IF(AND($D170&gt;=H$5,$D170&lt;H$5+7),"◆",""),IF(AND($D170&lt;H$5+7,$E170&gt;H$5),"■","")))</x:f>
      </x:c>
      <x:c r="I170" s="7" t="str">
        <x:f>IF(OR($D170="",I$5="",'상세일정'!AM170="제외"),"",IF($D170=$E170,IF(AND($D170&gt;=I$5,$D170&lt;I$5+7),"◆",""),IF(AND($D170&lt;I$5+7,$E170&gt;I$5),"■","")))</x:f>
      </x:c>
      <x:c r="J170" s="7" t="str">
        <x:f>IF(OR($D170="",J$5="",'상세일정'!AM170="제외"),"",IF($D170=$E170,IF(AND($D170&gt;=J$5,$D170&lt;J$5+7),"◆",""),IF(AND($D170&lt;J$5+7,$E170&gt;J$5),"■","")))</x:f>
      </x:c>
      <x:c r="K170" s="7" t="str">
        <x:f>IF(OR($D170="",K$5="",'상세일정'!AM170="제외"),"",IF($D170=$E170,IF(AND($D170&gt;=K$5,$D170&lt;K$5+7),"◆",""),IF(AND($D170&lt;K$5+7,$E170&gt;K$5),"■","")))</x:f>
      </x:c>
      <x:c r="L170" s="7" t="str">
        <x:f>IF(OR($D170="",L$5="",'상세일정'!AM170="제외"),"",IF($D170=$E170,IF(AND($D170&gt;=L$5,$D170&lt;L$5+7),"◆",""),IF(AND($D170&lt;L$5+7,$E170&gt;L$5),"■","")))</x:f>
      </x:c>
      <x:c r="M170" s="7" t="str">
        <x:f>IF(OR($D170="",M$5="",'상세일정'!AM170="제외"),"",IF($D170=$E170,IF(AND($D170&gt;=M$5,$D170&lt;M$5+7),"◆",""),IF(AND($D170&lt;M$5+7,$E170&gt;M$5),"■","")))</x:f>
      </x:c>
      <x:c r="N170" s="7" t="str">
        <x:f>IF(OR($D170="",N$5="",'상세일정'!AM170="제외"),"",IF($D170=$E170,IF(AND($D170&gt;=N$5,$D170&lt;N$5+7),"◆",""),IF(AND($D170&lt;N$5+7,$E170&gt;N$5),"■","")))</x:f>
      </x:c>
      <x:c r="O170" s="7" t="str">
        <x:f>IF(OR($D170="",O$5="",'상세일정'!AM170="제외"),"",IF($D170=$E170,IF(AND($D170&gt;=O$5,$D170&lt;O$5+7),"◆",""),IF(AND($D170&lt;O$5+7,$E170&gt;O$5),"■","")))</x:f>
      </x:c>
      <x:c r="P170" s="7" t="str">
        <x:f>IF(OR($D170="",P$5="",'상세일정'!AM170="제외"),"",IF($D170=$E170,IF(AND($D170&gt;=P$5,$D170&lt;P$5+7),"◆",""),IF(AND($D170&lt;P$5+7,$E170&gt;P$5),"■","")))</x:f>
      </x:c>
      <x:c r="Q170" s="7" t="str">
        <x:f>IF(OR($D170="",Q$5="",'상세일정'!AM170="제외"),"",IF($D170=$E170,IF(AND($D170&gt;=Q$5,$D170&lt;Q$5+7),"◆",""),IF(AND($D170&lt;Q$5+7,$E170&gt;Q$5),"■","")))</x:f>
      </x:c>
      <x:c r="R170" s="7" t="str">
        <x:f>IF(OR($D170="",R$5="",'상세일정'!AM170="제외"),"",IF($D170=$E170,IF(AND($D170&gt;=R$5,$D170&lt;R$5+7),"◆",""),IF(AND($D170&lt;R$5+7,$E170&gt;R$5),"■","")))</x:f>
      </x:c>
      <x:c r="S170" s="7" t="str">
        <x:f>IF(OR($D170="",S$5="",'상세일정'!AM170="제외"),"",IF($D170=$E170,IF(AND($D170&gt;=S$5,$D170&lt;S$5+7),"◆",""),IF(AND($D170&lt;S$5+7,$E170&gt;S$5),"■","")))</x:f>
      </x:c>
      <x:c r="T170" s="7" t="str">
        <x:f>IF(OR($D170="",T$5="",'상세일정'!AM170="제외"),"",IF($D170=$E170,IF(AND($D170&gt;=T$5,$D170&lt;T$5+7),"◆",""),IF(AND($D170&lt;T$5+7,$E170&gt;T$5),"■","")))</x:f>
      </x:c>
      <x:c r="U170" s="7" t="str">
        <x:f>IF(OR($D170="",U$5="",'상세일정'!AM170="제외"),"",IF($D170=$E170,IF(AND($D170&gt;=U$5,$D170&lt;U$5+7),"◆",""),IF(AND($D170&lt;U$5+7,$E170&gt;U$5),"■","")))</x:f>
      </x:c>
      <x:c r="V170" s="7" t="str">
        <x:f>IF(OR($D170="",V$5="",'상세일정'!AM170="제외"),"",IF($D170=$E170,IF(AND($D170&gt;=V$5,$D170&lt;V$5+7),"◆",""),IF(AND($D170&lt;V$5+7,$E170&gt;V$5),"■","")))</x:f>
      </x:c>
      <x:c r="W170" s="7" t="str">
        <x:f>IF(OR($D170="",W$5="",'상세일정'!AM170="제외"),"",IF($D170=$E170,IF(AND($D170&gt;=W$5,$D170&lt;W$5+7),"◆",""),IF(AND($D170&lt;W$5+7,$E170&gt;W$5),"■","")))</x:f>
      </x:c>
      <x:c r="X170" s="7" t="str">
        <x:f>IF(OR($D170="",X$5="",'상세일정'!AM170="제외"),"",IF($D170=$E170,IF(AND($D170&gt;=X$5,$D170&lt;X$5+7),"◆",""),IF(AND($D170&lt;X$5+7,$E170&gt;X$5),"■","")))</x:f>
      </x:c>
      <x:c r="Y170" s="7" t="str">
        <x:f>IF(OR($D170="",Y$5="",'상세일정'!AM170="제외"),"",IF($D170=$E170,IF(AND($D170&gt;=Y$5,$D170&lt;Y$5+7),"◆",""),IF(AND($D170&lt;Y$5+7,$E170&gt;Y$5),"■","")))</x:f>
      </x:c>
      <x:c r="Z170" s="7" t="str">
        <x:f>IF(OR($D170="",Z$5="",'상세일정'!AM170="제외"),"",IF($D170=$E170,IF(AND($D170&gt;=Z$5,$D170&lt;Z$5+7),"◆",""),IF(AND($D170&lt;Z$5+7,$E170&gt;Z$5),"■","")))</x:f>
      </x:c>
      <x:c r="AA170" s="7" t="str">
        <x:f>IF(OR($D170="",AA$5="",'상세일정'!AM170="제외"),"",IF($D170=$E170,IF(AND($D170&gt;=AA$5,$D170&lt;AA$5+7),"◆",""),IF(AND($D170&lt;AA$5+7,$E170&gt;AA$5),"■","")))</x:f>
      </x:c>
      <x:c r="AB170" s="7" t="str">
        <x:f>IF(OR($D170="",AB$5="",'상세일정'!AM170="제외"),"",IF($D170=$E170,IF(AND($D170&gt;=AB$5,$D170&lt;AB$5+7),"◆",""),IF(AND($D170&lt;AB$5+7,$E170&gt;AB$5),"■","")))</x:f>
      </x:c>
      <x:c r="AC170" s="7" t="str">
        <x:f>IF(OR($D170="",AC$5="",'상세일정'!AM170="제외"),"",IF($D170=$E170,IF(AND($D170&gt;=AC$5,$D170&lt;AC$5+7),"◆",""),IF(AND($D170&lt;AC$5+7,$E170&gt;AC$5),"■","")))</x:f>
      </x:c>
      <x:c r="AD170" s="7" t="str">
        <x:f>IF(OR($D170="",AD$5="",'상세일정'!AM170="제외"),"",IF($D170=$E170,IF(AND($D170&gt;=AD$5,$D170&lt;AD$5+7),"◆",""),IF(AND($D170&lt;AD$5+7,$E170&gt;AD$5),"■","")))</x:f>
      </x:c>
      <x:c r="AE170" s="7" t="str">
        <x:f>IF(OR($D170="",AE$5="",'상세일정'!AM170="제외"),"",IF($D170=$E170,IF(AND($D170&gt;=AE$5,$D170&lt;AE$5+7),"◆",""),IF(AND($D170&lt;AE$5+7,$E170&gt;AE$5),"■","")))</x:f>
      </x:c>
      <x:c r="AF170" s="7" t="str">
        <x:f>IF(OR($D170="",AF$5="",'상세일정'!AM170="제외"),"",IF($D170=$E170,IF(AND($D170&gt;=AF$5,$D170&lt;AF$5+7),"◆",""),IF(AND($D170&lt;AF$5+7,$E170&gt;AF$5),"■","")))</x:f>
      </x:c>
      <x:c r="AG170" s="7" t="str">
        <x:f>IF(OR($D170="",AG$5="",'상세일정'!AM170="제외"),"",IF($D170=$E170,IF(AND($D170&gt;=AG$5,$D170&lt;AG$5+7),"◆",""),IF(AND($D170&lt;AG$5+7,$E170&gt;AG$5),"■","")))</x:f>
      </x:c>
      <x:c r="AH170" s="7" t="str">
        <x:f>IF(OR($D170="",AH$5="",'상세일정'!AM170="제외"),"",IF($D170=$E170,IF(AND($D170&gt;=AH$5,$D170&lt;AH$5+7),"◆",""),IF(AND($D170&lt;AH$5+7,$E170&gt;AH$5),"■","")))</x:f>
      </x:c>
      <x:c r="AI170" s="7" t="str">
        <x:f>IF(OR($D170="",AI$5="",'상세일정'!AM170="제외"),"",IF($D170=$E170,IF(AND($D170&gt;=AI$5,$D170&lt;AI$5+7),"◆",""),IF(AND($D170&lt;AI$5+7,$E170&gt;AI$5),"■","")))</x:f>
      </x:c>
      <x:c r="AJ170" s="7" t="str">
        <x:f>IF(OR($D170="",AJ$5="",'상세일정'!AM170="제외"),"",IF($D170=$E170,IF(AND($D170&gt;=AJ$5,$D170&lt;AJ$5+7),"◆",""),IF(AND($D170&lt;AJ$5+7,$E170&gt;AJ$5),"■","")))</x:f>
      </x:c>
      <x:c r="AK170" s="7" t="str">
        <x:f>IF(OR($D170="",AK$5="",'상세일정'!AM170="제외"),"",IF($D170=$E170,IF(AND($D170&gt;=AK$5,$D170&lt;AK$5+7),"◆",""),IF(AND($D170&lt;AK$5+7,$E170&gt;AK$5),"■","")))</x:f>
      </x:c>
      <x:c r="AL170" s="7" t="str">
        <x:f>IF(OR($D170="",AL$5="",'상세일정'!AM170="제외"),"",IF($D170=$E170,IF(AND($D170&gt;=AL$5,$D170&lt;AL$5+7),"◆",""),IF(AND($D170&lt;AL$5+7,$E170&gt;AL$5),"■","")))</x:f>
      </x:c>
      <x:c r="AM170" s="7" t="str">
        <x:f>IF(OR($D170="",AM$5="",'상세일정'!AM170="제외"),"",IF($D170=$E170,IF(AND($D170&gt;=AM$5,$D170&lt;AM$5+7),"◆",""),IF(AND($D170&lt;AM$5+7,$E170&gt;AM$5),"■","")))</x:f>
      </x:c>
      <x:c r="AN170" s="7" t="str">
        <x:f>IF(OR($D170="",AN$5="",'상세일정'!AM170="제외"),"",IF($D170=$E170,IF(AND($D170&gt;=AN$5,$D170&lt;AN$5+7),"◆",""),IF(AND($D170&lt;AN$5+7,$E170&gt;AN$5),"■","")))</x:f>
      </x:c>
      <x:c r="AO170" s="7" t="str">
        <x:f>IF(OR($D170="",AO$5="",'상세일정'!AM170="제외"),"",IF($D170=$E170,IF(AND($D170&gt;=AO$5,$D170&lt;AO$5+7),"◆",""),IF(AND($D170&lt;AO$5+7,$E170&gt;AO$5),"■","")))</x:f>
      </x:c>
      <x:c r="AP170" s="7" t="str">
        <x:f>IF(OR($D170="",AP$5="",'상세일정'!AM170="제외"),"",IF($D170=$E170,IF(AND($D170&gt;=AP$5,$D170&lt;AP$5+7),"◆",""),IF(AND($D170&lt;AP$5+7,$E170&gt;AP$5),"■","")))</x:f>
      </x:c>
      <x:c r="AQ170" s="7" t="str">
        <x:f>IF(OR($D170="",AQ$5="",'상세일정'!AM170="제외"),"",IF($D170=$E170,IF(AND($D170&gt;=AQ$5,$D170&lt;AQ$5+7),"◆",""),IF(AND($D170&lt;AQ$5+7,$E170&gt;AQ$5),"■","")))</x:f>
      </x:c>
      <x:c r="AR170" s="7" t="str">
        <x:f>IF(OR($D170="",AR$5="",'상세일정'!AM170="제외"),"",IF($D170=$E170,IF(AND($D170&gt;=AR$5,$D170&lt;AR$5+7),"◆",""),IF(AND($D170&lt;AR$5+7,$E170&gt;AR$5),"■","")))</x:f>
      </x:c>
      <x:c r="AS170" s="7" t="str">
        <x:f>IF(OR($D170="",AS$5="",'상세일정'!AM170="제외"),"",IF($D170=$E170,IF(AND($D170&gt;=AS$5,$D170&lt;AS$5+7),"◆",""),IF(AND($D170&lt;AS$5+7,$E170&gt;AS$5),"■","")))</x:f>
      </x:c>
      <x:c r="AT170" s="7" t="str">
        <x:f>IF(OR($D170="",AT$5="",'상세일정'!AM170="제외"),"",IF($D170=$E170,IF(AND($D170&gt;=AT$5,$D170&lt;AT$5+7),"◆",""),IF(AND($D170&lt;AT$5+7,$E170&gt;AT$5),"■","")))</x:f>
      </x:c>
      <x:c r="AU170" s="7" t="str">
        <x:f>IF(OR($D170="",AU$5="",'상세일정'!AM170="제외"),"",IF($D170=$E170,IF(AND($D170&gt;=AU$5,$D170&lt;AU$5+7),"◆",""),IF(AND($D170&lt;AU$5+7,$E170&gt;AU$5),"■","")))</x:f>
      </x:c>
      <x:c r="AV170" s="7" t="str">
        <x:f>IF(OR($D170="",AV$5="",'상세일정'!AM170="제외"),"",IF($D170=$E170,IF(AND($D170&gt;=AV$5,$D170&lt;AV$5+7),"◆",""),IF(AND($D170&lt;AV$5+7,$E170&gt;AV$5),"■","")))</x:f>
      </x:c>
      <x:c r="AW170" s="7" t="str">
        <x:f>IF(OR($D170="",AW$5="",'상세일정'!AM170="제외"),"",IF($D170=$E170,IF(AND($D170&gt;=AW$5,$D170&lt;AW$5+7),"◆",""),IF(AND($D170&lt;AW$5+7,$E170&gt;AW$5),"■","")))</x:f>
      </x:c>
      <x:c r="AX170" s="7" t="str">
        <x:f>IF(OR($D170="",AX$5="",'상세일정'!AM170="제외"),"",IF($D170=$E170,IF(AND($D170&gt;=AX$5,$D170&lt;AX$5+7),"◆",""),IF(AND($D170&lt;AX$5+7,$E170&gt;AX$5),"■","")))</x:f>
      </x:c>
      <x:c r="AY170" s="7" t="str">
        <x:f>IF(OR($D170="",AY$5="",'상세일정'!AM170="제외"),"",IF($D170=$E170,IF(AND($D170&gt;=AY$5,$D170&lt;AY$5+7),"◆",""),IF(AND($D170&lt;AY$5+7,$E170&gt;AY$5),"■","")))</x:f>
      </x:c>
      <x:c r="AZ170" s="7" t="str">
        <x:f>IF(OR($D170="",AZ$5="",'상세일정'!AM170="제외"),"",IF($D170=$E170,IF(AND($D170&gt;=AZ$5,$D170&lt;AZ$5+7),"◆",""),IF(AND($D170&lt;AZ$5+7,$E170&gt;AZ$5),"■","")))</x:f>
      </x:c>
      <x:c r="BA170" s="7" t="str">
        <x:f>IF(OR($D170="",BA$5="",'상세일정'!AM170="제외"),"",IF($D170=$E170,IF(AND($D170&gt;=BA$5,$D170&lt;BA$5+7),"◆",""),IF(AND($D170&lt;BA$5+7,$E170&gt;BA$5),"■","")))</x:f>
      </x:c>
      <x:c r="BB170" s="7" t="str">
        <x:f>IF(OR($D170="",BB$5="",'상세일정'!AM170="제외"),"",IF($D170=$E170,IF(AND($D170&gt;=BB$5,$D170&lt;BB$5+7),"◆",""),IF(AND($D170&lt;BB$5+7,$E170&gt;BB$5),"■","")))</x:f>
      </x:c>
      <x:c r="BC170" s="7" t="str">
        <x:f>IF(OR($D170="",BC$5="",'상세일정'!AM170="제외"),"",IF($D170=$E170,IF(AND($D170&gt;=BC$5,$D170&lt;BC$5+7),"◆",""),IF(AND($D170&lt;BC$5+7,$E170&gt;BC$5),"■","")))</x:f>
      </x:c>
      <x:c r="BD170" s="7" t="str">
        <x:f>IF(OR($D170="",BD$5="",'상세일정'!AM170="제외"),"",IF($D170=$E170,IF(AND($D170&gt;=BD$5,$D170&lt;BD$5+7),"◆",""),IF(AND($D170&lt;BD$5+7,$E170&gt;BD$5),"■","")))</x:f>
      </x:c>
      <x:c r="BE170" s="7" t="str">
        <x:f>IF(OR($D170="",BE$5="",'상세일정'!AM170="제외"),"",IF($D170=$E170,IF(AND($D170&gt;=BE$5,$D170&lt;BE$5+7),"◆",""),IF(AND($D170&lt;BE$5+7,$E170&gt;BE$5),"■","")))</x:f>
      </x:c>
      <x:c r="BF170" s="7" t="str">
        <x:f>IF(OR($D170="",BF$5="",'상세일정'!AM170="제외"),"",IF($D170=$E170,IF(AND($D170&gt;=BF$5,$D170&lt;BF$5+7),"◆",""),IF(AND($D170&lt;BF$5+7,$E170&gt;BF$5),"■","")))</x:f>
      </x:c>
      <x:c r="BG170" s="7" t="str">
        <x:f>IF(OR($D170="",BG$5="",'상세일정'!AM170="제외"),"",IF($D170=$E170,IF(AND($D170&gt;=BG$5,$D170&lt;BG$5+7),"◆",""),IF(AND($D170&lt;BG$5+7,$E170&gt;BG$5),"■","")))</x:f>
      </x:c>
      <x:c r="BH170" s="7" t="str">
        <x:f>IF(OR($D170="",BH$5="",'상세일정'!AM170="제외"),"",IF($D170=$E170,IF(AND($D170&gt;=BH$5,$D170&lt;BH$5+7),"◆",""),IF(AND($D170&lt;BH$5+7,$E170&gt;BH$5),"■","")))</x:f>
      </x:c>
      <x:c r="BI170" s="7" t="str">
        <x:f>IF(OR($D170="",BI$5="",'상세일정'!AM170="제외"),"",IF($D170=$E170,IF(AND($D170&gt;=BI$5,$D170&lt;BI$5+7),"◆",""),IF(AND($D170&lt;BI$5+7,$E170&gt;BI$5),"■","")))</x:f>
      </x:c>
      <x:c r="BJ170" s="7" t="str">
        <x:f>IF(OR($D170="",BJ$5="",'상세일정'!AM170="제외"),"",IF($D170=$E170,IF(AND($D170&gt;=BJ$5,$D170&lt;BJ$5+7),"◆",""),IF(AND($D170&lt;BJ$5+7,$E170&gt;BJ$5),"■","")))</x:f>
      </x:c>
      <x:c r="BK170" s="7" t="str">
        <x:f>IF(OR($D170="",BK$5="",'상세일정'!AM170="제외"),"",IF($D170=$E170,IF(AND($D170&gt;=BK$5,$D170&lt;BK$5+7),"◆",""),IF(AND($D170&lt;BK$5+7,$E170&gt;BK$5),"■","")))</x:f>
      </x:c>
      <x:c r="BL170" s="7" t="str">
        <x:f>IF(OR($D170="",BL$5="",'상세일정'!AM170="제외"),"",IF($D170=$E170,IF(AND($D170&gt;=BL$5,$D170&lt;BL$5+7),"◆",""),IF(AND($D170&lt;BL$5+7,$E170&gt;BL$5),"■","")))</x:f>
      </x:c>
      <x:c r="BM170" s="7" t="str">
        <x:f>IF(OR($D170="",BM$5="",'상세일정'!AM170="제외"),"",IF($D170=$E170,IF(AND($D170&gt;=BM$5,$D170&lt;BM$5+7),"◆",""),IF(AND($D170&lt;BM$5+7,$E170&gt;BM$5),"■","")))</x:f>
      </x:c>
      <x:c r="BN170" s="7" t="str">
        <x:f>IF(OR($D170="",BN$5="",'상세일정'!AM170="제외"),"",IF($D170=$E170,IF(AND($D170&gt;=BN$5,$D170&lt;BN$5+7),"◆",""),IF(AND($D170&lt;BN$5+7,$E170&gt;BN$5),"■","")))</x:f>
      </x:c>
      <x:c r="BO170" s="7" t="str">
        <x:f>IF(OR($D170="",BO$5="",'상세일정'!AM170="제외"),"",IF($D170=$E170,IF(AND($D170&gt;=BO$5,$D170&lt;BO$5+7),"◆",""),IF(AND($D170&lt;BO$5+7,$E170&gt;BO$5),"■","")))</x:f>
      </x:c>
      <x:c r="BP170" s="7" t="str">
        <x:f>IF(OR($D170="",BP$5="",'상세일정'!AM170="제외"),"",IF($D170=$E170,IF(AND($D170&gt;=BP$5,$D170&lt;BP$5+7),"◆",""),IF(AND($D170&lt;BP$5+7,$E170&gt;BP$5),"■","")))</x:f>
      </x:c>
      <x:c r="BQ170" s="7" t="str">
        <x:f>IF(OR($D170="",BQ$5="",'상세일정'!AM170="제외"),"",IF($D170=$E170,IF(AND($D170&gt;=BQ$5,$D170&lt;BQ$5+7),"◆",""),IF(AND($D170&lt;BQ$5+7,$E170&gt;BQ$5),"■","")))</x:f>
      </x:c>
      <x:c r="BR170" s="7" t="str">
        <x:f>IF(OR($D170="",BR$5="",'상세일정'!AM170="제외"),"",IF($D170=$E170,IF(AND($D170&gt;=BR$5,$D170&lt;BR$5+7),"◆",""),IF(AND($D170&lt;BR$5+7,$E170&gt;BR$5),"■","")))</x:f>
      </x:c>
      <x:c r="BS170" s="7" t="str">
        <x:f>IF(OR($D170="",BS$5="",'상세일정'!AM170="제외"),"",IF($D170=$E170,IF(AND($D170&gt;=BS$5,$D170&lt;BS$5+7),"◆",""),IF(AND($D170&lt;BS$5+7,$E170&gt;BS$5),"■","")))</x:f>
      </x:c>
      <x:c r="BT170" s="7" t="str">
        <x:f>IF(OR($D170="",BT$5="",'상세일정'!AM170="제외"),"",IF($D170=$E170,IF(AND($D170&gt;=BT$5,$D170&lt;BT$5+7),"◆",""),IF(AND($D170&lt;BT$5+7,$E170&gt;BT$5),"■","")))</x:f>
      </x:c>
      <x:c r="BU170" s="7" t="str">
        <x:f>IF(OR($D170="",BU$5="",'상세일정'!AM170="제외"),"",IF($D170=$E170,IF(AND($D170&gt;=BU$5,$D170&lt;BU$5+7),"◆",""),IF(AND($D170&lt;BU$5+7,$E170&gt;BU$5),"■","")))</x:f>
      </x:c>
      <x:c r="BV170" s="7" t="str">
        <x:f>IF(OR($D170="",BV$5="",'상세일정'!AM170="제외"),"",IF($D170=$E170,IF(AND($D170&gt;=BV$5,$D170&lt;BV$5+7),"◆",""),IF(AND($D170&lt;BV$5+7,$E170&gt;BV$5),"■","")))</x:f>
      </x:c>
      <x:c r="BW170" s="7" t="str">
        <x:f>IF(OR($D170="",BW$5="",'상세일정'!AM170="제외"),"",IF($D170=$E170,IF(AND($D170&gt;=BW$5,$D170&lt;BW$5+7),"◆",""),IF(AND($D170&lt;BW$5+7,$E170&gt;BW$5),"■","")))</x:f>
      </x:c>
      <x:c r="BX170" s="7" t="str">
        <x:f>IF(OR($D170="",BX$5="",'상세일정'!AM170="제외"),"",IF($D170=$E170,IF(AND($D170&gt;=BX$5,$D170&lt;BX$5+7),"◆",""),IF(AND($D170&lt;BX$5+7,$E170&gt;BX$5),"■","")))</x:f>
      </x:c>
      <x:c r="BY170" s="7" t="str">
        <x:f>IF(OR($D170="",BY$5="",'상세일정'!AM170="제외"),"",IF($D170=$E170,IF(AND($D170&gt;=BY$5,$D170&lt;BY$5+7),"◆",""),IF(AND($D170&lt;BY$5+7,$E170&gt;BY$5),"■","")))</x:f>
      </x:c>
      <x:c r="BZ170" s="7" t="str">
        <x:f>IF(OR($D170="",BZ$5="",'상세일정'!AM170="제외"),"",IF($D170=$E170,IF(AND($D170&gt;=BZ$5,$D170&lt;BZ$5+7),"◆",""),IF(AND($D170&lt;BZ$5+7,$E170&gt;BZ$5),"■","")))</x:f>
      </x:c>
      <x:c r="CA170" s="7" t="str">
        <x:f>IF(OR($D170="",CA$5="",'상세일정'!AM170="제외"),"",IF($D170=$E170,IF(AND($D170&gt;=CA$5,$D170&lt;CA$5+7),"◆",""),IF(AND($D170&lt;CA$5+7,$E170&gt;CA$5),"■","")))</x:f>
      </x:c>
      <x:c r="CB170" s="7" t="str">
        <x:f>IF(OR($D170="",CB$5="",'상세일정'!AM170="제외"),"",IF($D170=$E170,IF(AND($D170&gt;=CB$5,$D170&lt;CB$5+7),"◆",""),IF(AND($D170&lt;CB$5+7,$E170&gt;CB$5),"■","")))</x:f>
      </x:c>
      <x:c r="CC170" s="7" t="str">
        <x:f>IF(OR($D170="",CC$5="",'상세일정'!AM170="제외"),"",IF($D170=$E170,IF(AND($D170&gt;=CC$5,$D170&lt;CC$5+7),"◆",""),IF(AND($D170&lt;CC$5+7,$E170&gt;CC$5),"■","")))</x:f>
      </x:c>
      <x:c r="CD170" s="7" t="str">
        <x:f>IF(OR($D170="",CD$5="",'상세일정'!AM170="제외"),"",IF($D170=$E170,IF(AND($D170&gt;=CD$5,$D170&lt;CD$5+7),"◆",""),IF(AND($D170&lt;CD$5+7,$E170&gt;CD$5),"■","")))</x:f>
      </x:c>
      <x:c r="CE170" s="7" t="str">
        <x:f>IF(OR($D170="",CE$5="",'상세일정'!AM170="제외"),"",IF($D170=$E170,IF(AND($D170&gt;=CE$5,$D170&lt;CE$5+7),"◆",""),IF(AND($D170&lt;CE$5+7,$E170&gt;CE$5),"■","")))</x:f>
      </x:c>
      <x:c r="CF170" s="7" t="str">
        <x:f>IF(OR($D170="",CF$5="",'상세일정'!AM170="제외"),"",IF($D170=$E170,IF(AND($D170&gt;=CF$5,$D170&lt;CF$5+7),"◆",""),IF(AND($D170&lt;CF$5+7,$E170&gt;CF$5),"■","")))</x:f>
      </x:c>
      <x:c r="CG170" s="7" t="str">
        <x:f>IF(OR($D170="",CG$5="",'상세일정'!AM170="제외"),"",IF($D170=$E170,IF(AND($D170&gt;=CG$5,$D170&lt;CG$5+7),"◆",""),IF(AND($D170&lt;CG$5+7,$E170&gt;CG$5),"■","")))</x:f>
      </x:c>
      <x:c r="CH170" s="7" t="str">
        <x:f>IF(OR($D170="",CH$5="",'상세일정'!AM170="제외"),"",IF($D170=$E170,IF(AND($D170&gt;=CH$5,$D170&lt;CH$5+7),"◆",""),IF(AND($D170&lt;CH$5+7,$E170&gt;CH$5),"■","")))</x:f>
      </x:c>
      <x:c r="CI170" s="7" t="str">
        <x:f>IF(OR($D170="",CI$5="",'상세일정'!AM170="제외"),"",IF($D170=$E170,IF(AND($D170&gt;=CI$5,$D170&lt;CI$5+7),"◆",""),IF(AND($D170&lt;CI$5+7,$E170&gt;CI$5),"■","")))</x:f>
      </x:c>
      <x:c r="CJ170" s="7" t="str">
        <x:f>IF(OR($D170="",CJ$5="",'상세일정'!AM170="제외"),"",IF($D170=$E170,IF(AND($D170&gt;=CJ$5,$D170&lt;CJ$5+7),"◆",""),IF(AND($D170&lt;CJ$5+7,$E170&gt;CJ$5),"■","")))</x:f>
      </x:c>
      <x:c r="CK170" s="7" t="str">
        <x:f>IF(OR($D170="",CK$5="",'상세일정'!AM170="제외"),"",IF($D170=$E170,IF(AND($D170&gt;=CK$5,$D170&lt;CK$5+7),"◆",""),IF(AND($D170&lt;CK$5+7,$E170&gt;CK$5),"■","")))</x:f>
      </x:c>
      <x:c r="CL170" s="7" t="str">
        <x:f>IF(OR($D170="",CL$5="",'상세일정'!AM170="제외"),"",IF($D170=$E170,IF(AND($D170&gt;=CL$5,$D170&lt;CL$5+7),"◆",""),IF(AND($D170&lt;CL$5+7,$E170&gt;CL$5),"■","")))</x:f>
      </x:c>
      <x:c r="CM170" s="7" t="str">
        <x:f>IF(OR($D170="",CM$5="",'상세일정'!AM170="제외"),"",IF($D170=$E170,IF(AND($D170&gt;=CM$5,$D170&lt;CM$5+7),"◆",""),IF(AND($D170&lt;CM$5+7,$E170&gt;CM$5),"■","")))</x:f>
      </x:c>
      <x:c r="CN170" s="7" t="str">
        <x:f>IF(OR($D170="",CN$5="",'상세일정'!AM170="제외"),"",IF($D170=$E170,IF(AND($D170&gt;=CN$5,$D170&lt;CN$5+7),"◆",""),IF(AND($D170&lt;CN$5+7,$E170&gt;CN$5),"■","")))</x:f>
      </x:c>
      <x:c r="CO170" s="7" t="str">
        <x:f>IF(OR($D170="",CO$5="",'상세일정'!AM170="제외"),"",IF($D170=$E170,IF(AND($D170&gt;=CO$5,$D170&lt;CO$5+7),"◆",""),IF(AND($D170&lt;CO$5+7,$E170&gt;CO$5),"■","")))</x:f>
      </x:c>
      <x:c r="CP170" s="7" t="str">
        <x:f>IF(OR($D170="",CP$5="",'상세일정'!AM170="제외"),"",IF($D170=$E170,IF(AND($D170&gt;=CP$5,$D170&lt;CP$5+7),"◆",""),IF(AND($D170&lt;CP$5+7,$E170&gt;CP$5),"■","")))</x:f>
      </x:c>
      <x:c r="CQ170" s="7" t="str">
        <x:f>IF(OR($D170="",CQ$5="",'상세일정'!AM170="제외"),"",IF($D170=$E170,IF(AND($D170&gt;=CQ$5,$D170&lt;CQ$5+7),"◆",""),IF(AND($D170&lt;CQ$5+7,$E170&gt;CQ$5),"■","")))</x:f>
      </x:c>
      <x:c r="CR170" s="7" t="str">
        <x:f>IF(OR($D170="",CR$5="",'상세일정'!AM170="제외"),"",IF($D170=$E170,IF(AND($D170&gt;=CR$5,$D170&lt;CR$5+7),"◆",""),IF(AND($D170&lt;CR$5+7,$E170&gt;CR$5),"■","")))</x:f>
      </x:c>
      <x:c r="CS170" s="7" t="str">
        <x:f>IF(OR($D170="",CS$5="",'상세일정'!AM170="제외"),"",IF($D170=$E170,IF(AND($D170&gt;=CS$5,$D170&lt;CS$5+7),"◆",""),IF(AND($D170&lt;CS$5+7,$E170&gt;CS$5),"■","")))</x:f>
      </x:c>
      <x:c r="CT170" s="7" t="str">
        <x:f>IF(OR($D170="",CT$5="",'상세일정'!AM170="제외"),"",IF($D170=$E170,IF(AND($D170&gt;=CT$5,$D170&lt;CT$5+7),"◆",""),IF(AND($D170&lt;CT$5+7,$E170&gt;CT$5),"■","")))</x:f>
      </x:c>
      <x:c r="CU170" s="7" t="str">
        <x:f>IF(OR($D170="",CU$5="",'상세일정'!AM170="제외"),"",IF($D170=$E170,IF(AND($D170&gt;=CU$5,$D170&lt;CU$5+7),"◆",""),IF(AND($D170&lt;CU$5+7,$E170&gt;CU$5),"■","")))</x:f>
      </x:c>
      <x:c r="CV170" s="7" t="str">
        <x:f>IF(OR($D170="",CV$5="",'상세일정'!AM170="제외"),"",IF($D170=$E170,IF(AND($D170&gt;=CV$5,$D170&lt;CV$5+7),"◆",""),IF(AND($D170&lt;CV$5+7,$E170&gt;CV$5),"■","")))</x:f>
      </x:c>
      <x:c r="CW170" s="7" t="str">
        <x:f>IF(OR($D170="",CW$5="",'상세일정'!AM170="제외"),"",IF($D170=$E170,IF(AND($D170&gt;=CW$5,$D170&lt;CW$5+7),"◆",""),IF(AND($D170&lt;CW$5+7,$E170&gt;CW$5),"■","")))</x:f>
      </x:c>
      <x:c r="CX170" s="7" t="str">
        <x:f>IF(OR($D170="",CX$5="",'상세일정'!AM170="제외"),"",IF($D170=$E170,IF(AND($D170&gt;=CX$5,$D170&lt;CX$5+7),"◆",""),IF(AND($D170&lt;CX$5+7,$E170&gt;CX$5),"■","")))</x:f>
      </x:c>
      <x:c r="CY170" s="7" t="str">
        <x:f>IF(OR($D170="",CY$5="",'상세일정'!AM170="제외"),"",IF($D170=$E170,IF(AND($D170&gt;=CY$5,$D170&lt;CY$5+7),"◆",""),IF(AND($D170&lt;CY$5+7,$E170&gt;CY$5),"■","")))</x:f>
      </x:c>
      <x:c r="CZ170" s="7" t="str">
        <x:f>IF(OR($D170="",CZ$5="",'상세일정'!AM170="제외"),"",IF($D170=$E170,IF(AND($D170&gt;=CZ$5,$D170&lt;CZ$5+7),"◆",""),IF(AND($D170&lt;CZ$5+7,$E170&gt;CZ$5),"■","")))</x:f>
      </x:c>
      <x:c r="DA170" s="7" t="str">
        <x:f>IF(OR($D170="",DA$5="",'상세일정'!AM170="제외"),"",IF($D170=$E170,IF(AND($D170&gt;=DA$5,$D170&lt;DA$5+7),"◆",""),IF(AND($D170&lt;DA$5+7,$E170&gt;DA$5),"■","")))</x:f>
      </x:c>
      <x:c r="DB170" s="7" t="str">
        <x:f>IF(OR($D170="",DB$5="",'상세일정'!AM170="제외"),"",IF($D170=$E170,IF(AND($D170&gt;=DB$5,$D170&lt;DB$5+7),"◆",""),IF(AND($D170&lt;DB$5+7,$E170&gt;DB$5),"■","")))</x:f>
      </x:c>
      <x:c r="DC170" s="7" t="str">
        <x:f>IF(OR($D170="",DC$5="",'상세일정'!AM170="제외"),"",IF($D170=$E170,IF(AND($D170&gt;=DC$5,$D170&lt;DC$5+7),"◆",""),IF(AND($D170&lt;DC$5+7,$E170&gt;DC$5),"■","")))</x:f>
      </x:c>
      <x:c r="DD170" s="7" t="str">
        <x:f>IF(OR($D170="",DD$5="",'상세일정'!AM170="제외"),"",IF($D170=$E170,IF(AND($D170&gt;=DD$5,$D170&lt;DD$5+7),"◆",""),IF(AND($D170&lt;DD$5+7,$E170&gt;DD$5),"■","")))</x:f>
      </x:c>
      <x:c r="DE170" s="7" t="str">
        <x:f>IF(OR($D170="",DE$5="",'상세일정'!AM170="제외"),"",IF($D170=$E170,IF(AND($D170&gt;=DE$5,$D170&lt;DE$5+7),"◆",""),IF(AND($D170&lt;DE$5+7,$E170&gt;DE$5),"■","")))</x:f>
      </x:c>
    </x:row>
    <x:row r="171" ht="34" customHeight="1">
      <x:c r="A171" s="7" t="str">
        <x:v>UF02</x:v>
      </x:c>
      <x:c r="B171" s="7" t="str">
        <x:v>19 설비기초·전기실</x:v>
      </x:c>
      <x:c r="C171" s="7" t="str">
        <x:v>기초 검사·타설·양생 및 패드 치수 확인</x:v>
      </x:c>
      <x:c r="D171" s="10" t="str">
        <x:f>'상세일정'!AJ171</x:f>
      </x:c>
      <x:c r="E171" s="10" t="str">
        <x:f>'상세일정'!AK171</x:f>
      </x:c>
      <x:c r="F171" s="7" t="str">
        <x:f>IF(OR($D171="",F$5="",'상세일정'!AM171="제외"),"",IF($D171=$E171,IF(AND($D171&gt;=F$5,$D171&lt;F$5+7),"◆",""),IF(AND($D171&lt;F$5+7,$E171&gt;F$5),"■","")))</x:f>
      </x:c>
      <x:c r="G171" s="7" t="str">
        <x:f>IF(OR($D171="",G$5="",'상세일정'!AM171="제외"),"",IF($D171=$E171,IF(AND($D171&gt;=G$5,$D171&lt;G$5+7),"◆",""),IF(AND($D171&lt;G$5+7,$E171&gt;G$5),"■","")))</x:f>
      </x:c>
      <x:c r="H171" s="7" t="str">
        <x:f>IF(OR($D171="",H$5="",'상세일정'!AM171="제외"),"",IF($D171=$E171,IF(AND($D171&gt;=H$5,$D171&lt;H$5+7),"◆",""),IF(AND($D171&lt;H$5+7,$E171&gt;H$5),"■","")))</x:f>
      </x:c>
      <x:c r="I171" s="7" t="str">
        <x:f>IF(OR($D171="",I$5="",'상세일정'!AM171="제외"),"",IF($D171=$E171,IF(AND($D171&gt;=I$5,$D171&lt;I$5+7),"◆",""),IF(AND($D171&lt;I$5+7,$E171&gt;I$5),"■","")))</x:f>
      </x:c>
      <x:c r="J171" s="7" t="str">
        <x:f>IF(OR($D171="",J$5="",'상세일정'!AM171="제외"),"",IF($D171=$E171,IF(AND($D171&gt;=J$5,$D171&lt;J$5+7),"◆",""),IF(AND($D171&lt;J$5+7,$E171&gt;J$5),"■","")))</x:f>
      </x:c>
      <x:c r="K171" s="7" t="str">
        <x:f>IF(OR($D171="",K$5="",'상세일정'!AM171="제외"),"",IF($D171=$E171,IF(AND($D171&gt;=K$5,$D171&lt;K$5+7),"◆",""),IF(AND($D171&lt;K$5+7,$E171&gt;K$5),"■","")))</x:f>
      </x:c>
      <x:c r="L171" s="7" t="str">
        <x:f>IF(OR($D171="",L$5="",'상세일정'!AM171="제외"),"",IF($D171=$E171,IF(AND($D171&gt;=L$5,$D171&lt;L$5+7),"◆",""),IF(AND($D171&lt;L$5+7,$E171&gt;L$5),"■","")))</x:f>
      </x:c>
      <x:c r="M171" s="7" t="str">
        <x:f>IF(OR($D171="",M$5="",'상세일정'!AM171="제외"),"",IF($D171=$E171,IF(AND($D171&gt;=M$5,$D171&lt;M$5+7),"◆",""),IF(AND($D171&lt;M$5+7,$E171&gt;M$5),"■","")))</x:f>
      </x:c>
      <x:c r="N171" s="7" t="str">
        <x:f>IF(OR($D171="",N$5="",'상세일정'!AM171="제외"),"",IF($D171=$E171,IF(AND($D171&gt;=N$5,$D171&lt;N$5+7),"◆",""),IF(AND($D171&lt;N$5+7,$E171&gt;N$5),"■","")))</x:f>
      </x:c>
      <x:c r="O171" s="7" t="str">
        <x:f>IF(OR($D171="",O$5="",'상세일정'!AM171="제외"),"",IF($D171=$E171,IF(AND($D171&gt;=O$5,$D171&lt;O$5+7),"◆",""),IF(AND($D171&lt;O$5+7,$E171&gt;O$5),"■","")))</x:f>
      </x:c>
      <x:c r="P171" s="7" t="str">
        <x:f>IF(OR($D171="",P$5="",'상세일정'!AM171="제외"),"",IF($D171=$E171,IF(AND($D171&gt;=P$5,$D171&lt;P$5+7),"◆",""),IF(AND($D171&lt;P$5+7,$E171&gt;P$5),"■","")))</x:f>
      </x:c>
      <x:c r="Q171" s="7" t="str">
        <x:f>IF(OR($D171="",Q$5="",'상세일정'!AM171="제외"),"",IF($D171=$E171,IF(AND($D171&gt;=Q$5,$D171&lt;Q$5+7),"◆",""),IF(AND($D171&lt;Q$5+7,$E171&gt;Q$5),"■","")))</x:f>
      </x:c>
      <x:c r="R171" s="7" t="str">
        <x:f>IF(OR($D171="",R$5="",'상세일정'!AM171="제외"),"",IF($D171=$E171,IF(AND($D171&gt;=R$5,$D171&lt;R$5+7),"◆",""),IF(AND($D171&lt;R$5+7,$E171&gt;R$5),"■","")))</x:f>
      </x:c>
      <x:c r="S171" s="7" t="str">
        <x:f>IF(OR($D171="",S$5="",'상세일정'!AM171="제외"),"",IF($D171=$E171,IF(AND($D171&gt;=S$5,$D171&lt;S$5+7),"◆",""),IF(AND($D171&lt;S$5+7,$E171&gt;S$5),"■","")))</x:f>
      </x:c>
      <x:c r="T171" s="7" t="str">
        <x:f>IF(OR($D171="",T$5="",'상세일정'!AM171="제외"),"",IF($D171=$E171,IF(AND($D171&gt;=T$5,$D171&lt;T$5+7),"◆",""),IF(AND($D171&lt;T$5+7,$E171&gt;T$5),"■","")))</x:f>
      </x:c>
      <x:c r="U171" s="7" t="str">
        <x:f>IF(OR($D171="",U$5="",'상세일정'!AM171="제외"),"",IF($D171=$E171,IF(AND($D171&gt;=U$5,$D171&lt;U$5+7),"◆",""),IF(AND($D171&lt;U$5+7,$E171&gt;U$5),"■","")))</x:f>
      </x:c>
      <x:c r="V171" s="7" t="str">
        <x:f>IF(OR($D171="",V$5="",'상세일정'!AM171="제외"),"",IF($D171=$E171,IF(AND($D171&gt;=V$5,$D171&lt;V$5+7),"◆",""),IF(AND($D171&lt;V$5+7,$E171&gt;V$5),"■","")))</x:f>
      </x:c>
      <x:c r="W171" s="7" t="str">
        <x:f>IF(OR($D171="",W$5="",'상세일정'!AM171="제외"),"",IF($D171=$E171,IF(AND($D171&gt;=W$5,$D171&lt;W$5+7),"◆",""),IF(AND($D171&lt;W$5+7,$E171&gt;W$5),"■","")))</x:f>
      </x:c>
      <x:c r="X171" s="7" t="str">
        <x:f>IF(OR($D171="",X$5="",'상세일정'!AM171="제외"),"",IF($D171=$E171,IF(AND($D171&gt;=X$5,$D171&lt;X$5+7),"◆",""),IF(AND($D171&lt;X$5+7,$E171&gt;X$5),"■","")))</x:f>
      </x:c>
      <x:c r="Y171" s="7" t="str">
        <x:f>IF(OR($D171="",Y$5="",'상세일정'!AM171="제외"),"",IF($D171=$E171,IF(AND($D171&gt;=Y$5,$D171&lt;Y$5+7),"◆",""),IF(AND($D171&lt;Y$5+7,$E171&gt;Y$5),"■","")))</x:f>
      </x:c>
      <x:c r="Z171" s="7" t="str">
        <x:f>IF(OR($D171="",Z$5="",'상세일정'!AM171="제외"),"",IF($D171=$E171,IF(AND($D171&gt;=Z$5,$D171&lt;Z$5+7),"◆",""),IF(AND($D171&lt;Z$5+7,$E171&gt;Z$5),"■","")))</x:f>
      </x:c>
      <x:c r="AA171" s="7" t="str">
        <x:f>IF(OR($D171="",AA$5="",'상세일정'!AM171="제외"),"",IF($D171=$E171,IF(AND($D171&gt;=AA$5,$D171&lt;AA$5+7),"◆",""),IF(AND($D171&lt;AA$5+7,$E171&gt;AA$5),"■","")))</x:f>
      </x:c>
      <x:c r="AB171" s="7" t="str">
        <x:f>IF(OR($D171="",AB$5="",'상세일정'!AM171="제외"),"",IF($D171=$E171,IF(AND($D171&gt;=AB$5,$D171&lt;AB$5+7),"◆",""),IF(AND($D171&lt;AB$5+7,$E171&gt;AB$5),"■","")))</x:f>
      </x:c>
      <x:c r="AC171" s="7" t="str">
        <x:f>IF(OR($D171="",AC$5="",'상세일정'!AM171="제외"),"",IF($D171=$E171,IF(AND($D171&gt;=AC$5,$D171&lt;AC$5+7),"◆",""),IF(AND($D171&lt;AC$5+7,$E171&gt;AC$5),"■","")))</x:f>
      </x:c>
      <x:c r="AD171" s="7" t="str">
        <x:f>IF(OR($D171="",AD$5="",'상세일정'!AM171="제외"),"",IF($D171=$E171,IF(AND($D171&gt;=AD$5,$D171&lt;AD$5+7),"◆",""),IF(AND($D171&lt;AD$5+7,$E171&gt;AD$5),"■","")))</x:f>
      </x:c>
      <x:c r="AE171" s="7" t="str">
        <x:f>IF(OR($D171="",AE$5="",'상세일정'!AM171="제외"),"",IF($D171=$E171,IF(AND($D171&gt;=AE$5,$D171&lt;AE$5+7),"◆",""),IF(AND($D171&lt;AE$5+7,$E171&gt;AE$5),"■","")))</x:f>
      </x:c>
      <x:c r="AF171" s="7" t="str">
        <x:f>IF(OR($D171="",AF$5="",'상세일정'!AM171="제외"),"",IF($D171=$E171,IF(AND($D171&gt;=AF$5,$D171&lt;AF$5+7),"◆",""),IF(AND($D171&lt;AF$5+7,$E171&gt;AF$5),"■","")))</x:f>
      </x:c>
      <x:c r="AG171" s="7" t="str">
        <x:f>IF(OR($D171="",AG$5="",'상세일정'!AM171="제외"),"",IF($D171=$E171,IF(AND($D171&gt;=AG$5,$D171&lt;AG$5+7),"◆",""),IF(AND($D171&lt;AG$5+7,$E171&gt;AG$5),"■","")))</x:f>
      </x:c>
      <x:c r="AH171" s="7" t="str">
        <x:f>IF(OR($D171="",AH$5="",'상세일정'!AM171="제외"),"",IF($D171=$E171,IF(AND($D171&gt;=AH$5,$D171&lt;AH$5+7),"◆",""),IF(AND($D171&lt;AH$5+7,$E171&gt;AH$5),"■","")))</x:f>
      </x:c>
      <x:c r="AI171" s="7" t="str">
        <x:f>IF(OR($D171="",AI$5="",'상세일정'!AM171="제외"),"",IF($D171=$E171,IF(AND($D171&gt;=AI$5,$D171&lt;AI$5+7),"◆",""),IF(AND($D171&lt;AI$5+7,$E171&gt;AI$5),"■","")))</x:f>
      </x:c>
      <x:c r="AJ171" s="7" t="str">
        <x:f>IF(OR($D171="",AJ$5="",'상세일정'!AM171="제외"),"",IF($D171=$E171,IF(AND($D171&gt;=AJ$5,$D171&lt;AJ$5+7),"◆",""),IF(AND($D171&lt;AJ$5+7,$E171&gt;AJ$5),"■","")))</x:f>
      </x:c>
      <x:c r="AK171" s="7" t="str">
        <x:f>IF(OR($D171="",AK$5="",'상세일정'!AM171="제외"),"",IF($D171=$E171,IF(AND($D171&gt;=AK$5,$D171&lt;AK$5+7),"◆",""),IF(AND($D171&lt;AK$5+7,$E171&gt;AK$5),"■","")))</x:f>
      </x:c>
      <x:c r="AL171" s="7" t="str">
        <x:f>IF(OR($D171="",AL$5="",'상세일정'!AM171="제외"),"",IF($D171=$E171,IF(AND($D171&gt;=AL$5,$D171&lt;AL$5+7),"◆",""),IF(AND($D171&lt;AL$5+7,$E171&gt;AL$5),"■","")))</x:f>
      </x:c>
      <x:c r="AM171" s="7" t="str">
        <x:f>IF(OR($D171="",AM$5="",'상세일정'!AM171="제외"),"",IF($D171=$E171,IF(AND($D171&gt;=AM$5,$D171&lt;AM$5+7),"◆",""),IF(AND($D171&lt;AM$5+7,$E171&gt;AM$5),"■","")))</x:f>
      </x:c>
      <x:c r="AN171" s="7" t="str">
        <x:f>IF(OR($D171="",AN$5="",'상세일정'!AM171="제외"),"",IF($D171=$E171,IF(AND($D171&gt;=AN$5,$D171&lt;AN$5+7),"◆",""),IF(AND($D171&lt;AN$5+7,$E171&gt;AN$5),"■","")))</x:f>
      </x:c>
      <x:c r="AO171" s="7" t="str">
        <x:f>IF(OR($D171="",AO$5="",'상세일정'!AM171="제외"),"",IF($D171=$E171,IF(AND($D171&gt;=AO$5,$D171&lt;AO$5+7),"◆",""),IF(AND($D171&lt;AO$5+7,$E171&gt;AO$5),"■","")))</x:f>
      </x:c>
      <x:c r="AP171" s="7" t="str">
        <x:f>IF(OR($D171="",AP$5="",'상세일정'!AM171="제외"),"",IF($D171=$E171,IF(AND($D171&gt;=AP$5,$D171&lt;AP$5+7),"◆",""),IF(AND($D171&lt;AP$5+7,$E171&gt;AP$5),"■","")))</x:f>
      </x:c>
      <x:c r="AQ171" s="7" t="str">
        <x:f>IF(OR($D171="",AQ$5="",'상세일정'!AM171="제외"),"",IF($D171=$E171,IF(AND($D171&gt;=AQ$5,$D171&lt;AQ$5+7),"◆",""),IF(AND($D171&lt;AQ$5+7,$E171&gt;AQ$5),"■","")))</x:f>
      </x:c>
      <x:c r="AR171" s="7" t="str">
        <x:f>IF(OR($D171="",AR$5="",'상세일정'!AM171="제외"),"",IF($D171=$E171,IF(AND($D171&gt;=AR$5,$D171&lt;AR$5+7),"◆",""),IF(AND($D171&lt;AR$5+7,$E171&gt;AR$5),"■","")))</x:f>
      </x:c>
      <x:c r="AS171" s="7" t="str">
        <x:f>IF(OR($D171="",AS$5="",'상세일정'!AM171="제외"),"",IF($D171=$E171,IF(AND($D171&gt;=AS$5,$D171&lt;AS$5+7),"◆",""),IF(AND($D171&lt;AS$5+7,$E171&gt;AS$5),"■","")))</x:f>
      </x:c>
      <x:c r="AT171" s="7" t="str">
        <x:f>IF(OR($D171="",AT$5="",'상세일정'!AM171="제외"),"",IF($D171=$E171,IF(AND($D171&gt;=AT$5,$D171&lt;AT$5+7),"◆",""),IF(AND($D171&lt;AT$5+7,$E171&gt;AT$5),"■","")))</x:f>
      </x:c>
      <x:c r="AU171" s="7" t="str">
        <x:f>IF(OR($D171="",AU$5="",'상세일정'!AM171="제외"),"",IF($D171=$E171,IF(AND($D171&gt;=AU$5,$D171&lt;AU$5+7),"◆",""),IF(AND($D171&lt;AU$5+7,$E171&gt;AU$5),"■","")))</x:f>
      </x:c>
      <x:c r="AV171" s="7" t="str">
        <x:f>IF(OR($D171="",AV$5="",'상세일정'!AM171="제외"),"",IF($D171=$E171,IF(AND($D171&gt;=AV$5,$D171&lt;AV$5+7),"◆",""),IF(AND($D171&lt;AV$5+7,$E171&gt;AV$5),"■","")))</x:f>
      </x:c>
      <x:c r="AW171" s="7" t="str">
        <x:f>IF(OR($D171="",AW$5="",'상세일정'!AM171="제외"),"",IF($D171=$E171,IF(AND($D171&gt;=AW$5,$D171&lt;AW$5+7),"◆",""),IF(AND($D171&lt;AW$5+7,$E171&gt;AW$5),"■","")))</x:f>
      </x:c>
      <x:c r="AX171" s="7" t="str">
        <x:f>IF(OR($D171="",AX$5="",'상세일정'!AM171="제외"),"",IF($D171=$E171,IF(AND($D171&gt;=AX$5,$D171&lt;AX$5+7),"◆",""),IF(AND($D171&lt;AX$5+7,$E171&gt;AX$5),"■","")))</x:f>
      </x:c>
      <x:c r="AY171" s="7" t="str">
        <x:f>IF(OR($D171="",AY$5="",'상세일정'!AM171="제외"),"",IF($D171=$E171,IF(AND($D171&gt;=AY$5,$D171&lt;AY$5+7),"◆",""),IF(AND($D171&lt;AY$5+7,$E171&gt;AY$5),"■","")))</x:f>
      </x:c>
      <x:c r="AZ171" s="7" t="str">
        <x:f>IF(OR($D171="",AZ$5="",'상세일정'!AM171="제외"),"",IF($D171=$E171,IF(AND($D171&gt;=AZ$5,$D171&lt;AZ$5+7),"◆",""),IF(AND($D171&lt;AZ$5+7,$E171&gt;AZ$5),"■","")))</x:f>
      </x:c>
      <x:c r="BA171" s="7" t="str">
        <x:f>IF(OR($D171="",BA$5="",'상세일정'!AM171="제외"),"",IF($D171=$E171,IF(AND($D171&gt;=BA$5,$D171&lt;BA$5+7),"◆",""),IF(AND($D171&lt;BA$5+7,$E171&gt;BA$5),"■","")))</x:f>
      </x:c>
      <x:c r="BB171" s="7" t="str">
        <x:f>IF(OR($D171="",BB$5="",'상세일정'!AM171="제외"),"",IF($D171=$E171,IF(AND($D171&gt;=BB$5,$D171&lt;BB$5+7),"◆",""),IF(AND($D171&lt;BB$5+7,$E171&gt;BB$5),"■","")))</x:f>
      </x:c>
      <x:c r="BC171" s="7" t="str">
        <x:f>IF(OR($D171="",BC$5="",'상세일정'!AM171="제외"),"",IF($D171=$E171,IF(AND($D171&gt;=BC$5,$D171&lt;BC$5+7),"◆",""),IF(AND($D171&lt;BC$5+7,$E171&gt;BC$5),"■","")))</x:f>
      </x:c>
      <x:c r="BD171" s="7" t="str">
        <x:f>IF(OR($D171="",BD$5="",'상세일정'!AM171="제외"),"",IF($D171=$E171,IF(AND($D171&gt;=BD$5,$D171&lt;BD$5+7),"◆",""),IF(AND($D171&lt;BD$5+7,$E171&gt;BD$5),"■","")))</x:f>
      </x:c>
      <x:c r="BE171" s="7" t="str">
        <x:f>IF(OR($D171="",BE$5="",'상세일정'!AM171="제외"),"",IF($D171=$E171,IF(AND($D171&gt;=BE$5,$D171&lt;BE$5+7),"◆",""),IF(AND($D171&lt;BE$5+7,$E171&gt;BE$5),"■","")))</x:f>
      </x:c>
      <x:c r="BF171" s="7" t="str">
        <x:f>IF(OR($D171="",BF$5="",'상세일정'!AM171="제외"),"",IF($D171=$E171,IF(AND($D171&gt;=BF$5,$D171&lt;BF$5+7),"◆",""),IF(AND($D171&lt;BF$5+7,$E171&gt;BF$5),"■","")))</x:f>
      </x:c>
      <x:c r="BG171" s="7" t="str">
        <x:f>IF(OR($D171="",BG$5="",'상세일정'!AM171="제외"),"",IF($D171=$E171,IF(AND($D171&gt;=BG$5,$D171&lt;BG$5+7),"◆",""),IF(AND($D171&lt;BG$5+7,$E171&gt;BG$5),"■","")))</x:f>
      </x:c>
      <x:c r="BH171" s="7" t="str">
        <x:f>IF(OR($D171="",BH$5="",'상세일정'!AM171="제외"),"",IF($D171=$E171,IF(AND($D171&gt;=BH$5,$D171&lt;BH$5+7),"◆",""),IF(AND($D171&lt;BH$5+7,$E171&gt;BH$5),"■","")))</x:f>
      </x:c>
      <x:c r="BI171" s="7" t="str">
        <x:f>IF(OR($D171="",BI$5="",'상세일정'!AM171="제외"),"",IF($D171=$E171,IF(AND($D171&gt;=BI$5,$D171&lt;BI$5+7),"◆",""),IF(AND($D171&lt;BI$5+7,$E171&gt;BI$5),"■","")))</x:f>
      </x:c>
      <x:c r="BJ171" s="7" t="str">
        <x:f>IF(OR($D171="",BJ$5="",'상세일정'!AM171="제외"),"",IF($D171=$E171,IF(AND($D171&gt;=BJ$5,$D171&lt;BJ$5+7),"◆",""),IF(AND($D171&lt;BJ$5+7,$E171&gt;BJ$5),"■","")))</x:f>
      </x:c>
      <x:c r="BK171" s="7" t="str">
        <x:f>IF(OR($D171="",BK$5="",'상세일정'!AM171="제외"),"",IF($D171=$E171,IF(AND($D171&gt;=BK$5,$D171&lt;BK$5+7),"◆",""),IF(AND($D171&lt;BK$5+7,$E171&gt;BK$5),"■","")))</x:f>
      </x:c>
      <x:c r="BL171" s="7" t="str">
        <x:f>IF(OR($D171="",BL$5="",'상세일정'!AM171="제외"),"",IF($D171=$E171,IF(AND($D171&gt;=BL$5,$D171&lt;BL$5+7),"◆",""),IF(AND($D171&lt;BL$5+7,$E171&gt;BL$5),"■","")))</x:f>
      </x:c>
      <x:c r="BM171" s="7" t="str">
        <x:f>IF(OR($D171="",BM$5="",'상세일정'!AM171="제외"),"",IF($D171=$E171,IF(AND($D171&gt;=BM$5,$D171&lt;BM$5+7),"◆",""),IF(AND($D171&lt;BM$5+7,$E171&gt;BM$5),"■","")))</x:f>
      </x:c>
      <x:c r="BN171" s="7" t="str">
        <x:f>IF(OR($D171="",BN$5="",'상세일정'!AM171="제외"),"",IF($D171=$E171,IF(AND($D171&gt;=BN$5,$D171&lt;BN$5+7),"◆",""),IF(AND($D171&lt;BN$5+7,$E171&gt;BN$5),"■","")))</x:f>
      </x:c>
      <x:c r="BO171" s="7" t="str">
        <x:f>IF(OR($D171="",BO$5="",'상세일정'!AM171="제외"),"",IF($D171=$E171,IF(AND($D171&gt;=BO$5,$D171&lt;BO$5+7),"◆",""),IF(AND($D171&lt;BO$5+7,$E171&gt;BO$5),"■","")))</x:f>
      </x:c>
      <x:c r="BP171" s="7" t="str">
        <x:f>IF(OR($D171="",BP$5="",'상세일정'!AM171="제외"),"",IF($D171=$E171,IF(AND($D171&gt;=BP$5,$D171&lt;BP$5+7),"◆",""),IF(AND($D171&lt;BP$5+7,$E171&gt;BP$5),"■","")))</x:f>
      </x:c>
      <x:c r="BQ171" s="7" t="str">
        <x:f>IF(OR($D171="",BQ$5="",'상세일정'!AM171="제외"),"",IF($D171=$E171,IF(AND($D171&gt;=BQ$5,$D171&lt;BQ$5+7),"◆",""),IF(AND($D171&lt;BQ$5+7,$E171&gt;BQ$5),"■","")))</x:f>
      </x:c>
      <x:c r="BR171" s="7" t="str">
        <x:f>IF(OR($D171="",BR$5="",'상세일정'!AM171="제외"),"",IF($D171=$E171,IF(AND($D171&gt;=BR$5,$D171&lt;BR$5+7),"◆",""),IF(AND($D171&lt;BR$5+7,$E171&gt;BR$5),"■","")))</x:f>
      </x:c>
      <x:c r="BS171" s="7" t="str">
        <x:f>IF(OR($D171="",BS$5="",'상세일정'!AM171="제외"),"",IF($D171=$E171,IF(AND($D171&gt;=BS$5,$D171&lt;BS$5+7),"◆",""),IF(AND($D171&lt;BS$5+7,$E171&gt;BS$5),"■","")))</x:f>
      </x:c>
      <x:c r="BT171" s="7" t="str">
        <x:f>IF(OR($D171="",BT$5="",'상세일정'!AM171="제외"),"",IF($D171=$E171,IF(AND($D171&gt;=BT$5,$D171&lt;BT$5+7),"◆",""),IF(AND($D171&lt;BT$5+7,$E171&gt;BT$5),"■","")))</x:f>
      </x:c>
      <x:c r="BU171" s="7" t="str">
        <x:f>IF(OR($D171="",BU$5="",'상세일정'!AM171="제외"),"",IF($D171=$E171,IF(AND($D171&gt;=BU$5,$D171&lt;BU$5+7),"◆",""),IF(AND($D171&lt;BU$5+7,$E171&gt;BU$5),"■","")))</x:f>
      </x:c>
      <x:c r="BV171" s="7" t="str">
        <x:f>IF(OR($D171="",BV$5="",'상세일정'!AM171="제외"),"",IF($D171=$E171,IF(AND($D171&gt;=BV$5,$D171&lt;BV$5+7),"◆",""),IF(AND($D171&lt;BV$5+7,$E171&gt;BV$5),"■","")))</x:f>
      </x:c>
      <x:c r="BW171" s="7" t="str">
        <x:f>IF(OR($D171="",BW$5="",'상세일정'!AM171="제외"),"",IF($D171=$E171,IF(AND($D171&gt;=BW$5,$D171&lt;BW$5+7),"◆",""),IF(AND($D171&lt;BW$5+7,$E171&gt;BW$5),"■","")))</x:f>
      </x:c>
      <x:c r="BX171" s="7" t="str">
        <x:f>IF(OR($D171="",BX$5="",'상세일정'!AM171="제외"),"",IF($D171=$E171,IF(AND($D171&gt;=BX$5,$D171&lt;BX$5+7),"◆",""),IF(AND($D171&lt;BX$5+7,$E171&gt;BX$5),"■","")))</x:f>
      </x:c>
      <x:c r="BY171" s="7" t="str">
        <x:f>IF(OR($D171="",BY$5="",'상세일정'!AM171="제외"),"",IF($D171=$E171,IF(AND($D171&gt;=BY$5,$D171&lt;BY$5+7),"◆",""),IF(AND($D171&lt;BY$5+7,$E171&gt;BY$5),"■","")))</x:f>
      </x:c>
      <x:c r="BZ171" s="7" t="str">
        <x:f>IF(OR($D171="",BZ$5="",'상세일정'!AM171="제외"),"",IF($D171=$E171,IF(AND($D171&gt;=BZ$5,$D171&lt;BZ$5+7),"◆",""),IF(AND($D171&lt;BZ$5+7,$E171&gt;BZ$5),"■","")))</x:f>
      </x:c>
      <x:c r="CA171" s="7" t="str">
        <x:f>IF(OR($D171="",CA$5="",'상세일정'!AM171="제외"),"",IF($D171=$E171,IF(AND($D171&gt;=CA$5,$D171&lt;CA$5+7),"◆",""),IF(AND($D171&lt;CA$5+7,$E171&gt;CA$5),"■","")))</x:f>
      </x:c>
      <x:c r="CB171" s="7" t="str">
        <x:f>IF(OR($D171="",CB$5="",'상세일정'!AM171="제외"),"",IF($D171=$E171,IF(AND($D171&gt;=CB$5,$D171&lt;CB$5+7),"◆",""),IF(AND($D171&lt;CB$5+7,$E171&gt;CB$5),"■","")))</x:f>
      </x:c>
      <x:c r="CC171" s="7" t="str">
        <x:f>IF(OR($D171="",CC$5="",'상세일정'!AM171="제외"),"",IF($D171=$E171,IF(AND($D171&gt;=CC$5,$D171&lt;CC$5+7),"◆",""),IF(AND($D171&lt;CC$5+7,$E171&gt;CC$5),"■","")))</x:f>
      </x:c>
      <x:c r="CD171" s="7" t="str">
        <x:f>IF(OR($D171="",CD$5="",'상세일정'!AM171="제외"),"",IF($D171=$E171,IF(AND($D171&gt;=CD$5,$D171&lt;CD$5+7),"◆",""),IF(AND($D171&lt;CD$5+7,$E171&gt;CD$5),"■","")))</x:f>
      </x:c>
      <x:c r="CE171" s="7" t="str">
        <x:f>IF(OR($D171="",CE$5="",'상세일정'!AM171="제외"),"",IF($D171=$E171,IF(AND($D171&gt;=CE$5,$D171&lt;CE$5+7),"◆",""),IF(AND($D171&lt;CE$5+7,$E171&gt;CE$5),"■","")))</x:f>
      </x:c>
      <x:c r="CF171" s="7" t="str">
        <x:f>IF(OR($D171="",CF$5="",'상세일정'!AM171="제외"),"",IF($D171=$E171,IF(AND($D171&gt;=CF$5,$D171&lt;CF$5+7),"◆",""),IF(AND($D171&lt;CF$5+7,$E171&gt;CF$5),"■","")))</x:f>
      </x:c>
      <x:c r="CG171" s="7" t="str">
        <x:f>IF(OR($D171="",CG$5="",'상세일정'!AM171="제외"),"",IF($D171=$E171,IF(AND($D171&gt;=CG$5,$D171&lt;CG$5+7),"◆",""),IF(AND($D171&lt;CG$5+7,$E171&gt;CG$5),"■","")))</x:f>
      </x:c>
      <x:c r="CH171" s="7" t="str">
        <x:f>IF(OR($D171="",CH$5="",'상세일정'!AM171="제외"),"",IF($D171=$E171,IF(AND($D171&gt;=CH$5,$D171&lt;CH$5+7),"◆",""),IF(AND($D171&lt;CH$5+7,$E171&gt;CH$5),"■","")))</x:f>
      </x:c>
      <x:c r="CI171" s="7" t="str">
        <x:f>IF(OR($D171="",CI$5="",'상세일정'!AM171="제외"),"",IF($D171=$E171,IF(AND($D171&gt;=CI$5,$D171&lt;CI$5+7),"◆",""),IF(AND($D171&lt;CI$5+7,$E171&gt;CI$5),"■","")))</x:f>
      </x:c>
      <x:c r="CJ171" s="7" t="str">
        <x:f>IF(OR($D171="",CJ$5="",'상세일정'!AM171="제외"),"",IF($D171=$E171,IF(AND($D171&gt;=CJ$5,$D171&lt;CJ$5+7),"◆",""),IF(AND($D171&lt;CJ$5+7,$E171&gt;CJ$5),"■","")))</x:f>
      </x:c>
      <x:c r="CK171" s="7" t="str">
        <x:f>IF(OR($D171="",CK$5="",'상세일정'!AM171="제외"),"",IF($D171=$E171,IF(AND($D171&gt;=CK$5,$D171&lt;CK$5+7),"◆",""),IF(AND($D171&lt;CK$5+7,$E171&gt;CK$5),"■","")))</x:f>
      </x:c>
      <x:c r="CL171" s="7" t="str">
        <x:f>IF(OR($D171="",CL$5="",'상세일정'!AM171="제외"),"",IF($D171=$E171,IF(AND($D171&gt;=CL$5,$D171&lt;CL$5+7),"◆",""),IF(AND($D171&lt;CL$5+7,$E171&gt;CL$5),"■","")))</x:f>
      </x:c>
      <x:c r="CM171" s="7" t="str">
        <x:f>IF(OR($D171="",CM$5="",'상세일정'!AM171="제외"),"",IF($D171=$E171,IF(AND($D171&gt;=CM$5,$D171&lt;CM$5+7),"◆",""),IF(AND($D171&lt;CM$5+7,$E171&gt;CM$5),"■","")))</x:f>
      </x:c>
      <x:c r="CN171" s="7" t="str">
        <x:f>IF(OR($D171="",CN$5="",'상세일정'!AM171="제외"),"",IF($D171=$E171,IF(AND($D171&gt;=CN$5,$D171&lt;CN$5+7),"◆",""),IF(AND($D171&lt;CN$5+7,$E171&gt;CN$5),"■","")))</x:f>
      </x:c>
      <x:c r="CO171" s="7" t="str">
        <x:f>IF(OR($D171="",CO$5="",'상세일정'!AM171="제외"),"",IF($D171=$E171,IF(AND($D171&gt;=CO$5,$D171&lt;CO$5+7),"◆",""),IF(AND($D171&lt;CO$5+7,$E171&gt;CO$5),"■","")))</x:f>
      </x:c>
      <x:c r="CP171" s="7" t="str">
        <x:f>IF(OR($D171="",CP$5="",'상세일정'!AM171="제외"),"",IF($D171=$E171,IF(AND($D171&gt;=CP$5,$D171&lt;CP$5+7),"◆",""),IF(AND($D171&lt;CP$5+7,$E171&gt;CP$5),"■","")))</x:f>
      </x:c>
      <x:c r="CQ171" s="7" t="str">
        <x:f>IF(OR($D171="",CQ$5="",'상세일정'!AM171="제외"),"",IF($D171=$E171,IF(AND($D171&gt;=CQ$5,$D171&lt;CQ$5+7),"◆",""),IF(AND($D171&lt;CQ$5+7,$E171&gt;CQ$5),"■","")))</x:f>
      </x:c>
      <x:c r="CR171" s="7" t="str">
        <x:f>IF(OR($D171="",CR$5="",'상세일정'!AM171="제외"),"",IF($D171=$E171,IF(AND($D171&gt;=CR$5,$D171&lt;CR$5+7),"◆",""),IF(AND($D171&lt;CR$5+7,$E171&gt;CR$5),"■","")))</x:f>
      </x:c>
      <x:c r="CS171" s="7" t="str">
        <x:f>IF(OR($D171="",CS$5="",'상세일정'!AM171="제외"),"",IF($D171=$E171,IF(AND($D171&gt;=CS$5,$D171&lt;CS$5+7),"◆",""),IF(AND($D171&lt;CS$5+7,$E171&gt;CS$5),"■","")))</x:f>
      </x:c>
      <x:c r="CT171" s="7" t="str">
        <x:f>IF(OR($D171="",CT$5="",'상세일정'!AM171="제외"),"",IF($D171=$E171,IF(AND($D171&gt;=CT$5,$D171&lt;CT$5+7),"◆",""),IF(AND($D171&lt;CT$5+7,$E171&gt;CT$5),"■","")))</x:f>
      </x:c>
      <x:c r="CU171" s="7" t="str">
        <x:f>IF(OR($D171="",CU$5="",'상세일정'!AM171="제외"),"",IF($D171=$E171,IF(AND($D171&gt;=CU$5,$D171&lt;CU$5+7),"◆",""),IF(AND($D171&lt;CU$5+7,$E171&gt;CU$5),"■","")))</x:f>
      </x:c>
      <x:c r="CV171" s="7" t="str">
        <x:f>IF(OR($D171="",CV$5="",'상세일정'!AM171="제외"),"",IF($D171=$E171,IF(AND($D171&gt;=CV$5,$D171&lt;CV$5+7),"◆",""),IF(AND($D171&lt;CV$5+7,$E171&gt;CV$5),"■","")))</x:f>
      </x:c>
      <x:c r="CW171" s="7" t="str">
        <x:f>IF(OR($D171="",CW$5="",'상세일정'!AM171="제외"),"",IF($D171=$E171,IF(AND($D171&gt;=CW$5,$D171&lt;CW$5+7),"◆",""),IF(AND($D171&lt;CW$5+7,$E171&gt;CW$5),"■","")))</x:f>
      </x:c>
      <x:c r="CX171" s="7" t="str">
        <x:f>IF(OR($D171="",CX$5="",'상세일정'!AM171="제외"),"",IF($D171=$E171,IF(AND($D171&gt;=CX$5,$D171&lt;CX$5+7),"◆",""),IF(AND($D171&lt;CX$5+7,$E171&gt;CX$5),"■","")))</x:f>
      </x:c>
      <x:c r="CY171" s="7" t="str">
        <x:f>IF(OR($D171="",CY$5="",'상세일정'!AM171="제외"),"",IF($D171=$E171,IF(AND($D171&gt;=CY$5,$D171&lt;CY$5+7),"◆",""),IF(AND($D171&lt;CY$5+7,$E171&gt;CY$5),"■","")))</x:f>
      </x:c>
      <x:c r="CZ171" s="7" t="str">
        <x:f>IF(OR($D171="",CZ$5="",'상세일정'!AM171="제외"),"",IF($D171=$E171,IF(AND($D171&gt;=CZ$5,$D171&lt;CZ$5+7),"◆",""),IF(AND($D171&lt;CZ$5+7,$E171&gt;CZ$5),"■","")))</x:f>
      </x:c>
      <x:c r="DA171" s="7" t="str">
        <x:f>IF(OR($D171="",DA$5="",'상세일정'!AM171="제외"),"",IF($D171=$E171,IF(AND($D171&gt;=DA$5,$D171&lt;DA$5+7),"◆",""),IF(AND($D171&lt;DA$5+7,$E171&gt;DA$5),"■","")))</x:f>
      </x:c>
      <x:c r="DB171" s="7" t="str">
        <x:f>IF(OR($D171="",DB$5="",'상세일정'!AM171="제외"),"",IF($D171=$E171,IF(AND($D171&gt;=DB$5,$D171&lt;DB$5+7),"◆",""),IF(AND($D171&lt;DB$5+7,$E171&gt;DB$5),"■","")))</x:f>
      </x:c>
      <x:c r="DC171" s="7" t="str">
        <x:f>IF(OR($D171="",DC$5="",'상세일정'!AM171="제외"),"",IF($D171=$E171,IF(AND($D171&gt;=DC$5,$D171&lt;DC$5+7),"◆",""),IF(AND($D171&lt;DC$5+7,$E171&gt;DC$5),"■","")))</x:f>
      </x:c>
      <x:c r="DD171" s="7" t="str">
        <x:f>IF(OR($D171="",DD$5="",'상세일정'!AM171="제외"),"",IF($D171=$E171,IF(AND($D171&gt;=DD$5,$D171&lt;DD$5+7),"◆",""),IF(AND($D171&lt;DD$5+7,$E171&gt;DD$5),"■","")))</x:f>
      </x:c>
      <x:c r="DE171" s="7" t="str">
        <x:f>IF(OR($D171="",DE$5="",'상세일정'!AM171="제외"),"",IF($D171=$E171,IF(AND($D171&gt;=DE$5,$D171&lt;DE$5+7),"◆",""),IF(AND($D171&lt;DE$5+7,$E171&gt;DE$5),"■","")))</x:f>
      </x:c>
    </x:row>
    <x:row r="172" ht="34" customHeight="1">
      <x:c r="A172" s="7" t="str">
        <x:v>UF03</x:v>
      </x:c>
      <x:c r="B172" s="7" t="str">
        <x:v>19 설비기초·전기실</x:v>
      </x:c>
      <x:c r="C172" s="7" t="str">
        <x:v>사무동·전기실 구조체·철골 설치</x:v>
      </x:c>
      <x:c r="D172" s="10" t="str">
        <x:f>'상세일정'!AJ172</x:f>
      </x:c>
      <x:c r="E172" s="10" t="str">
        <x:f>'상세일정'!AK172</x:f>
      </x:c>
      <x:c r="F172" s="7" t="str">
        <x:f>IF(OR($D172="",F$5="",'상세일정'!AM172="제외"),"",IF($D172=$E172,IF(AND($D172&gt;=F$5,$D172&lt;F$5+7),"◆",""),IF(AND($D172&lt;F$5+7,$E172&gt;F$5),"■","")))</x:f>
      </x:c>
      <x:c r="G172" s="7" t="str">
        <x:f>IF(OR($D172="",G$5="",'상세일정'!AM172="제외"),"",IF($D172=$E172,IF(AND($D172&gt;=G$5,$D172&lt;G$5+7),"◆",""),IF(AND($D172&lt;G$5+7,$E172&gt;G$5),"■","")))</x:f>
      </x:c>
      <x:c r="H172" s="7" t="str">
        <x:f>IF(OR($D172="",H$5="",'상세일정'!AM172="제외"),"",IF($D172=$E172,IF(AND($D172&gt;=H$5,$D172&lt;H$5+7),"◆",""),IF(AND($D172&lt;H$5+7,$E172&gt;H$5),"■","")))</x:f>
      </x:c>
      <x:c r="I172" s="7" t="str">
        <x:f>IF(OR($D172="",I$5="",'상세일정'!AM172="제외"),"",IF($D172=$E172,IF(AND($D172&gt;=I$5,$D172&lt;I$5+7),"◆",""),IF(AND($D172&lt;I$5+7,$E172&gt;I$5),"■","")))</x:f>
      </x:c>
      <x:c r="J172" s="7" t="str">
        <x:f>IF(OR($D172="",J$5="",'상세일정'!AM172="제외"),"",IF($D172=$E172,IF(AND($D172&gt;=J$5,$D172&lt;J$5+7),"◆",""),IF(AND($D172&lt;J$5+7,$E172&gt;J$5),"■","")))</x:f>
      </x:c>
      <x:c r="K172" s="7" t="str">
        <x:f>IF(OR($D172="",K$5="",'상세일정'!AM172="제외"),"",IF($D172=$E172,IF(AND($D172&gt;=K$5,$D172&lt;K$5+7),"◆",""),IF(AND($D172&lt;K$5+7,$E172&gt;K$5),"■","")))</x:f>
      </x:c>
      <x:c r="L172" s="7" t="str">
        <x:f>IF(OR($D172="",L$5="",'상세일정'!AM172="제외"),"",IF($D172=$E172,IF(AND($D172&gt;=L$5,$D172&lt;L$5+7),"◆",""),IF(AND($D172&lt;L$5+7,$E172&gt;L$5),"■","")))</x:f>
      </x:c>
      <x:c r="M172" s="7" t="str">
        <x:f>IF(OR($D172="",M$5="",'상세일정'!AM172="제외"),"",IF($D172=$E172,IF(AND($D172&gt;=M$5,$D172&lt;M$5+7),"◆",""),IF(AND($D172&lt;M$5+7,$E172&gt;M$5),"■","")))</x:f>
      </x:c>
      <x:c r="N172" s="7" t="str">
        <x:f>IF(OR($D172="",N$5="",'상세일정'!AM172="제외"),"",IF($D172=$E172,IF(AND($D172&gt;=N$5,$D172&lt;N$5+7),"◆",""),IF(AND($D172&lt;N$5+7,$E172&gt;N$5),"■","")))</x:f>
      </x:c>
      <x:c r="O172" s="7" t="str">
        <x:f>IF(OR($D172="",O$5="",'상세일정'!AM172="제외"),"",IF($D172=$E172,IF(AND($D172&gt;=O$5,$D172&lt;O$5+7),"◆",""),IF(AND($D172&lt;O$5+7,$E172&gt;O$5),"■","")))</x:f>
      </x:c>
      <x:c r="P172" s="7" t="str">
        <x:f>IF(OR($D172="",P$5="",'상세일정'!AM172="제외"),"",IF($D172=$E172,IF(AND($D172&gt;=P$5,$D172&lt;P$5+7),"◆",""),IF(AND($D172&lt;P$5+7,$E172&gt;P$5),"■","")))</x:f>
      </x:c>
      <x:c r="Q172" s="7" t="str">
        <x:f>IF(OR($D172="",Q$5="",'상세일정'!AM172="제외"),"",IF($D172=$E172,IF(AND($D172&gt;=Q$5,$D172&lt;Q$5+7),"◆",""),IF(AND($D172&lt;Q$5+7,$E172&gt;Q$5),"■","")))</x:f>
      </x:c>
      <x:c r="R172" s="7" t="str">
        <x:f>IF(OR($D172="",R$5="",'상세일정'!AM172="제외"),"",IF($D172=$E172,IF(AND($D172&gt;=R$5,$D172&lt;R$5+7),"◆",""),IF(AND($D172&lt;R$5+7,$E172&gt;R$5),"■","")))</x:f>
      </x:c>
      <x:c r="S172" s="7" t="str">
        <x:f>IF(OR($D172="",S$5="",'상세일정'!AM172="제외"),"",IF($D172=$E172,IF(AND($D172&gt;=S$5,$D172&lt;S$5+7),"◆",""),IF(AND($D172&lt;S$5+7,$E172&gt;S$5),"■","")))</x:f>
      </x:c>
      <x:c r="T172" s="7" t="str">
        <x:f>IF(OR($D172="",T$5="",'상세일정'!AM172="제외"),"",IF($D172=$E172,IF(AND($D172&gt;=T$5,$D172&lt;T$5+7),"◆",""),IF(AND($D172&lt;T$5+7,$E172&gt;T$5),"■","")))</x:f>
      </x:c>
      <x:c r="U172" s="7" t="str">
        <x:f>IF(OR($D172="",U$5="",'상세일정'!AM172="제외"),"",IF($D172=$E172,IF(AND($D172&gt;=U$5,$D172&lt;U$5+7),"◆",""),IF(AND($D172&lt;U$5+7,$E172&gt;U$5),"■","")))</x:f>
      </x:c>
      <x:c r="V172" s="7" t="str">
        <x:f>IF(OR($D172="",V$5="",'상세일정'!AM172="제외"),"",IF($D172=$E172,IF(AND($D172&gt;=V$5,$D172&lt;V$5+7),"◆",""),IF(AND($D172&lt;V$5+7,$E172&gt;V$5),"■","")))</x:f>
      </x:c>
      <x:c r="W172" s="7" t="str">
        <x:f>IF(OR($D172="",W$5="",'상세일정'!AM172="제외"),"",IF($D172=$E172,IF(AND($D172&gt;=W$5,$D172&lt;W$5+7),"◆",""),IF(AND($D172&lt;W$5+7,$E172&gt;W$5),"■","")))</x:f>
      </x:c>
      <x:c r="X172" s="7" t="str">
        <x:f>IF(OR($D172="",X$5="",'상세일정'!AM172="제외"),"",IF($D172=$E172,IF(AND($D172&gt;=X$5,$D172&lt;X$5+7),"◆",""),IF(AND($D172&lt;X$5+7,$E172&gt;X$5),"■","")))</x:f>
      </x:c>
      <x:c r="Y172" s="7" t="str">
        <x:f>IF(OR($D172="",Y$5="",'상세일정'!AM172="제외"),"",IF($D172=$E172,IF(AND($D172&gt;=Y$5,$D172&lt;Y$5+7),"◆",""),IF(AND($D172&lt;Y$5+7,$E172&gt;Y$5),"■","")))</x:f>
      </x:c>
      <x:c r="Z172" s="7" t="str">
        <x:f>IF(OR($D172="",Z$5="",'상세일정'!AM172="제외"),"",IF($D172=$E172,IF(AND($D172&gt;=Z$5,$D172&lt;Z$5+7),"◆",""),IF(AND($D172&lt;Z$5+7,$E172&gt;Z$5),"■","")))</x:f>
      </x:c>
      <x:c r="AA172" s="7" t="str">
        <x:f>IF(OR($D172="",AA$5="",'상세일정'!AM172="제외"),"",IF($D172=$E172,IF(AND($D172&gt;=AA$5,$D172&lt;AA$5+7),"◆",""),IF(AND($D172&lt;AA$5+7,$E172&gt;AA$5),"■","")))</x:f>
      </x:c>
      <x:c r="AB172" s="7" t="str">
        <x:f>IF(OR($D172="",AB$5="",'상세일정'!AM172="제외"),"",IF($D172=$E172,IF(AND($D172&gt;=AB$5,$D172&lt;AB$5+7),"◆",""),IF(AND($D172&lt;AB$5+7,$E172&gt;AB$5),"■","")))</x:f>
      </x:c>
      <x:c r="AC172" s="7" t="str">
        <x:f>IF(OR($D172="",AC$5="",'상세일정'!AM172="제외"),"",IF($D172=$E172,IF(AND($D172&gt;=AC$5,$D172&lt;AC$5+7),"◆",""),IF(AND($D172&lt;AC$5+7,$E172&gt;AC$5),"■","")))</x:f>
      </x:c>
      <x:c r="AD172" s="7" t="str">
        <x:f>IF(OR($D172="",AD$5="",'상세일정'!AM172="제외"),"",IF($D172=$E172,IF(AND($D172&gt;=AD$5,$D172&lt;AD$5+7),"◆",""),IF(AND($D172&lt;AD$5+7,$E172&gt;AD$5),"■","")))</x:f>
      </x:c>
      <x:c r="AE172" s="7" t="str">
        <x:f>IF(OR($D172="",AE$5="",'상세일정'!AM172="제외"),"",IF($D172=$E172,IF(AND($D172&gt;=AE$5,$D172&lt;AE$5+7),"◆",""),IF(AND($D172&lt;AE$5+7,$E172&gt;AE$5),"■","")))</x:f>
      </x:c>
      <x:c r="AF172" s="7" t="str">
        <x:f>IF(OR($D172="",AF$5="",'상세일정'!AM172="제외"),"",IF($D172=$E172,IF(AND($D172&gt;=AF$5,$D172&lt;AF$5+7),"◆",""),IF(AND($D172&lt;AF$5+7,$E172&gt;AF$5),"■","")))</x:f>
      </x:c>
      <x:c r="AG172" s="7" t="str">
        <x:f>IF(OR($D172="",AG$5="",'상세일정'!AM172="제외"),"",IF($D172=$E172,IF(AND($D172&gt;=AG$5,$D172&lt;AG$5+7),"◆",""),IF(AND($D172&lt;AG$5+7,$E172&gt;AG$5),"■","")))</x:f>
      </x:c>
      <x:c r="AH172" s="7" t="str">
        <x:f>IF(OR($D172="",AH$5="",'상세일정'!AM172="제외"),"",IF($D172=$E172,IF(AND($D172&gt;=AH$5,$D172&lt;AH$5+7),"◆",""),IF(AND($D172&lt;AH$5+7,$E172&gt;AH$5),"■","")))</x:f>
      </x:c>
      <x:c r="AI172" s="7" t="str">
        <x:f>IF(OR($D172="",AI$5="",'상세일정'!AM172="제외"),"",IF($D172=$E172,IF(AND($D172&gt;=AI$5,$D172&lt;AI$5+7),"◆",""),IF(AND($D172&lt;AI$5+7,$E172&gt;AI$5),"■","")))</x:f>
      </x:c>
      <x:c r="AJ172" s="7" t="str">
        <x:f>IF(OR($D172="",AJ$5="",'상세일정'!AM172="제외"),"",IF($D172=$E172,IF(AND($D172&gt;=AJ$5,$D172&lt;AJ$5+7),"◆",""),IF(AND($D172&lt;AJ$5+7,$E172&gt;AJ$5),"■","")))</x:f>
      </x:c>
      <x:c r="AK172" s="7" t="str">
        <x:f>IF(OR($D172="",AK$5="",'상세일정'!AM172="제외"),"",IF($D172=$E172,IF(AND($D172&gt;=AK$5,$D172&lt;AK$5+7),"◆",""),IF(AND($D172&lt;AK$5+7,$E172&gt;AK$5),"■","")))</x:f>
      </x:c>
      <x:c r="AL172" s="7" t="str">
        <x:f>IF(OR($D172="",AL$5="",'상세일정'!AM172="제외"),"",IF($D172=$E172,IF(AND($D172&gt;=AL$5,$D172&lt;AL$5+7),"◆",""),IF(AND($D172&lt;AL$5+7,$E172&gt;AL$5),"■","")))</x:f>
      </x:c>
      <x:c r="AM172" s="7" t="str">
        <x:f>IF(OR($D172="",AM$5="",'상세일정'!AM172="제외"),"",IF($D172=$E172,IF(AND($D172&gt;=AM$5,$D172&lt;AM$5+7),"◆",""),IF(AND($D172&lt;AM$5+7,$E172&gt;AM$5),"■","")))</x:f>
      </x:c>
      <x:c r="AN172" s="7" t="str">
        <x:f>IF(OR($D172="",AN$5="",'상세일정'!AM172="제외"),"",IF($D172=$E172,IF(AND($D172&gt;=AN$5,$D172&lt;AN$5+7),"◆",""),IF(AND($D172&lt;AN$5+7,$E172&gt;AN$5),"■","")))</x:f>
      </x:c>
      <x:c r="AO172" s="7" t="str">
        <x:f>IF(OR($D172="",AO$5="",'상세일정'!AM172="제외"),"",IF($D172=$E172,IF(AND($D172&gt;=AO$5,$D172&lt;AO$5+7),"◆",""),IF(AND($D172&lt;AO$5+7,$E172&gt;AO$5),"■","")))</x:f>
      </x:c>
      <x:c r="AP172" s="7" t="str">
        <x:f>IF(OR($D172="",AP$5="",'상세일정'!AM172="제외"),"",IF($D172=$E172,IF(AND($D172&gt;=AP$5,$D172&lt;AP$5+7),"◆",""),IF(AND($D172&lt;AP$5+7,$E172&gt;AP$5),"■","")))</x:f>
      </x:c>
      <x:c r="AQ172" s="7" t="str">
        <x:f>IF(OR($D172="",AQ$5="",'상세일정'!AM172="제외"),"",IF($D172=$E172,IF(AND($D172&gt;=AQ$5,$D172&lt;AQ$5+7),"◆",""),IF(AND($D172&lt;AQ$5+7,$E172&gt;AQ$5),"■","")))</x:f>
      </x:c>
      <x:c r="AR172" s="7" t="str">
        <x:f>IF(OR($D172="",AR$5="",'상세일정'!AM172="제외"),"",IF($D172=$E172,IF(AND($D172&gt;=AR$5,$D172&lt;AR$5+7),"◆",""),IF(AND($D172&lt;AR$5+7,$E172&gt;AR$5),"■","")))</x:f>
      </x:c>
      <x:c r="AS172" s="7" t="str">
        <x:f>IF(OR($D172="",AS$5="",'상세일정'!AM172="제외"),"",IF($D172=$E172,IF(AND($D172&gt;=AS$5,$D172&lt;AS$5+7),"◆",""),IF(AND($D172&lt;AS$5+7,$E172&gt;AS$5),"■","")))</x:f>
      </x:c>
      <x:c r="AT172" s="7" t="str">
        <x:f>IF(OR($D172="",AT$5="",'상세일정'!AM172="제외"),"",IF($D172=$E172,IF(AND($D172&gt;=AT$5,$D172&lt;AT$5+7),"◆",""),IF(AND($D172&lt;AT$5+7,$E172&gt;AT$5),"■","")))</x:f>
      </x:c>
      <x:c r="AU172" s="7" t="str">
        <x:f>IF(OR($D172="",AU$5="",'상세일정'!AM172="제외"),"",IF($D172=$E172,IF(AND($D172&gt;=AU$5,$D172&lt;AU$5+7),"◆",""),IF(AND($D172&lt;AU$5+7,$E172&gt;AU$5),"■","")))</x:f>
      </x:c>
      <x:c r="AV172" s="7" t="str">
        <x:f>IF(OR($D172="",AV$5="",'상세일정'!AM172="제외"),"",IF($D172=$E172,IF(AND($D172&gt;=AV$5,$D172&lt;AV$5+7),"◆",""),IF(AND($D172&lt;AV$5+7,$E172&gt;AV$5),"■","")))</x:f>
      </x:c>
      <x:c r="AW172" s="7" t="str">
        <x:f>IF(OR($D172="",AW$5="",'상세일정'!AM172="제외"),"",IF($D172=$E172,IF(AND($D172&gt;=AW$5,$D172&lt;AW$5+7),"◆",""),IF(AND($D172&lt;AW$5+7,$E172&gt;AW$5),"■","")))</x:f>
      </x:c>
      <x:c r="AX172" s="7" t="str">
        <x:f>IF(OR($D172="",AX$5="",'상세일정'!AM172="제외"),"",IF($D172=$E172,IF(AND($D172&gt;=AX$5,$D172&lt;AX$5+7),"◆",""),IF(AND($D172&lt;AX$5+7,$E172&gt;AX$5),"■","")))</x:f>
      </x:c>
      <x:c r="AY172" s="7" t="str">
        <x:f>IF(OR($D172="",AY$5="",'상세일정'!AM172="제외"),"",IF($D172=$E172,IF(AND($D172&gt;=AY$5,$D172&lt;AY$5+7),"◆",""),IF(AND($D172&lt;AY$5+7,$E172&gt;AY$5),"■","")))</x:f>
      </x:c>
      <x:c r="AZ172" s="7" t="str">
        <x:f>IF(OR($D172="",AZ$5="",'상세일정'!AM172="제외"),"",IF($D172=$E172,IF(AND($D172&gt;=AZ$5,$D172&lt;AZ$5+7),"◆",""),IF(AND($D172&lt;AZ$5+7,$E172&gt;AZ$5),"■","")))</x:f>
      </x:c>
      <x:c r="BA172" s="7" t="str">
        <x:f>IF(OR($D172="",BA$5="",'상세일정'!AM172="제외"),"",IF($D172=$E172,IF(AND($D172&gt;=BA$5,$D172&lt;BA$5+7),"◆",""),IF(AND($D172&lt;BA$5+7,$E172&gt;BA$5),"■","")))</x:f>
      </x:c>
      <x:c r="BB172" s="7" t="str">
        <x:f>IF(OR($D172="",BB$5="",'상세일정'!AM172="제외"),"",IF($D172=$E172,IF(AND($D172&gt;=BB$5,$D172&lt;BB$5+7),"◆",""),IF(AND($D172&lt;BB$5+7,$E172&gt;BB$5),"■","")))</x:f>
      </x:c>
      <x:c r="BC172" s="7" t="str">
        <x:f>IF(OR($D172="",BC$5="",'상세일정'!AM172="제외"),"",IF($D172=$E172,IF(AND($D172&gt;=BC$5,$D172&lt;BC$5+7),"◆",""),IF(AND($D172&lt;BC$5+7,$E172&gt;BC$5),"■","")))</x:f>
      </x:c>
      <x:c r="BD172" s="7" t="str">
        <x:f>IF(OR($D172="",BD$5="",'상세일정'!AM172="제외"),"",IF($D172=$E172,IF(AND($D172&gt;=BD$5,$D172&lt;BD$5+7),"◆",""),IF(AND($D172&lt;BD$5+7,$E172&gt;BD$5),"■","")))</x:f>
      </x:c>
      <x:c r="BE172" s="7" t="str">
        <x:f>IF(OR($D172="",BE$5="",'상세일정'!AM172="제외"),"",IF($D172=$E172,IF(AND($D172&gt;=BE$5,$D172&lt;BE$5+7),"◆",""),IF(AND($D172&lt;BE$5+7,$E172&gt;BE$5),"■","")))</x:f>
      </x:c>
      <x:c r="BF172" s="7" t="str">
        <x:f>IF(OR($D172="",BF$5="",'상세일정'!AM172="제외"),"",IF($D172=$E172,IF(AND($D172&gt;=BF$5,$D172&lt;BF$5+7),"◆",""),IF(AND($D172&lt;BF$5+7,$E172&gt;BF$5),"■","")))</x:f>
      </x:c>
      <x:c r="BG172" s="7" t="str">
        <x:f>IF(OR($D172="",BG$5="",'상세일정'!AM172="제외"),"",IF($D172=$E172,IF(AND($D172&gt;=BG$5,$D172&lt;BG$5+7),"◆",""),IF(AND($D172&lt;BG$5+7,$E172&gt;BG$5),"■","")))</x:f>
      </x:c>
      <x:c r="BH172" s="7" t="str">
        <x:f>IF(OR($D172="",BH$5="",'상세일정'!AM172="제외"),"",IF($D172=$E172,IF(AND($D172&gt;=BH$5,$D172&lt;BH$5+7),"◆",""),IF(AND($D172&lt;BH$5+7,$E172&gt;BH$5),"■","")))</x:f>
      </x:c>
      <x:c r="BI172" s="7" t="str">
        <x:f>IF(OR($D172="",BI$5="",'상세일정'!AM172="제외"),"",IF($D172=$E172,IF(AND($D172&gt;=BI$5,$D172&lt;BI$5+7),"◆",""),IF(AND($D172&lt;BI$5+7,$E172&gt;BI$5),"■","")))</x:f>
      </x:c>
      <x:c r="BJ172" s="7" t="str">
        <x:f>IF(OR($D172="",BJ$5="",'상세일정'!AM172="제외"),"",IF($D172=$E172,IF(AND($D172&gt;=BJ$5,$D172&lt;BJ$5+7),"◆",""),IF(AND($D172&lt;BJ$5+7,$E172&gt;BJ$5),"■","")))</x:f>
      </x:c>
      <x:c r="BK172" s="7" t="str">
        <x:f>IF(OR($D172="",BK$5="",'상세일정'!AM172="제외"),"",IF($D172=$E172,IF(AND($D172&gt;=BK$5,$D172&lt;BK$5+7),"◆",""),IF(AND($D172&lt;BK$5+7,$E172&gt;BK$5),"■","")))</x:f>
      </x:c>
      <x:c r="BL172" s="7" t="str">
        <x:f>IF(OR($D172="",BL$5="",'상세일정'!AM172="제외"),"",IF($D172=$E172,IF(AND($D172&gt;=BL$5,$D172&lt;BL$5+7),"◆",""),IF(AND($D172&lt;BL$5+7,$E172&gt;BL$5),"■","")))</x:f>
      </x:c>
      <x:c r="BM172" s="7" t="str">
        <x:f>IF(OR($D172="",BM$5="",'상세일정'!AM172="제외"),"",IF($D172=$E172,IF(AND($D172&gt;=BM$5,$D172&lt;BM$5+7),"◆",""),IF(AND($D172&lt;BM$5+7,$E172&gt;BM$5),"■","")))</x:f>
      </x:c>
      <x:c r="BN172" s="7" t="str">
        <x:f>IF(OR($D172="",BN$5="",'상세일정'!AM172="제외"),"",IF($D172=$E172,IF(AND($D172&gt;=BN$5,$D172&lt;BN$5+7),"◆",""),IF(AND($D172&lt;BN$5+7,$E172&gt;BN$5),"■","")))</x:f>
      </x:c>
      <x:c r="BO172" s="7" t="str">
        <x:f>IF(OR($D172="",BO$5="",'상세일정'!AM172="제외"),"",IF($D172=$E172,IF(AND($D172&gt;=BO$5,$D172&lt;BO$5+7),"◆",""),IF(AND($D172&lt;BO$5+7,$E172&gt;BO$5),"■","")))</x:f>
      </x:c>
      <x:c r="BP172" s="7" t="str">
        <x:f>IF(OR($D172="",BP$5="",'상세일정'!AM172="제외"),"",IF($D172=$E172,IF(AND($D172&gt;=BP$5,$D172&lt;BP$5+7),"◆",""),IF(AND($D172&lt;BP$5+7,$E172&gt;BP$5),"■","")))</x:f>
      </x:c>
      <x:c r="BQ172" s="7" t="str">
        <x:f>IF(OR($D172="",BQ$5="",'상세일정'!AM172="제외"),"",IF($D172=$E172,IF(AND($D172&gt;=BQ$5,$D172&lt;BQ$5+7),"◆",""),IF(AND($D172&lt;BQ$5+7,$E172&gt;BQ$5),"■","")))</x:f>
      </x:c>
      <x:c r="BR172" s="7" t="str">
        <x:f>IF(OR($D172="",BR$5="",'상세일정'!AM172="제외"),"",IF($D172=$E172,IF(AND($D172&gt;=BR$5,$D172&lt;BR$5+7),"◆",""),IF(AND($D172&lt;BR$5+7,$E172&gt;BR$5),"■","")))</x:f>
      </x:c>
      <x:c r="BS172" s="7" t="str">
        <x:f>IF(OR($D172="",BS$5="",'상세일정'!AM172="제외"),"",IF($D172=$E172,IF(AND($D172&gt;=BS$5,$D172&lt;BS$5+7),"◆",""),IF(AND($D172&lt;BS$5+7,$E172&gt;BS$5),"■","")))</x:f>
      </x:c>
      <x:c r="BT172" s="7" t="str">
        <x:f>IF(OR($D172="",BT$5="",'상세일정'!AM172="제외"),"",IF($D172=$E172,IF(AND($D172&gt;=BT$5,$D172&lt;BT$5+7),"◆",""),IF(AND($D172&lt;BT$5+7,$E172&gt;BT$5),"■","")))</x:f>
      </x:c>
      <x:c r="BU172" s="7" t="str">
        <x:f>IF(OR($D172="",BU$5="",'상세일정'!AM172="제외"),"",IF($D172=$E172,IF(AND($D172&gt;=BU$5,$D172&lt;BU$5+7),"◆",""),IF(AND($D172&lt;BU$5+7,$E172&gt;BU$5),"■","")))</x:f>
      </x:c>
      <x:c r="BV172" s="7" t="str">
        <x:f>IF(OR($D172="",BV$5="",'상세일정'!AM172="제외"),"",IF($D172=$E172,IF(AND($D172&gt;=BV$5,$D172&lt;BV$5+7),"◆",""),IF(AND($D172&lt;BV$5+7,$E172&gt;BV$5),"■","")))</x:f>
      </x:c>
      <x:c r="BW172" s="7" t="str">
        <x:f>IF(OR($D172="",BW$5="",'상세일정'!AM172="제외"),"",IF($D172=$E172,IF(AND($D172&gt;=BW$5,$D172&lt;BW$5+7),"◆",""),IF(AND($D172&lt;BW$5+7,$E172&gt;BW$5),"■","")))</x:f>
      </x:c>
      <x:c r="BX172" s="7" t="str">
        <x:f>IF(OR($D172="",BX$5="",'상세일정'!AM172="제외"),"",IF($D172=$E172,IF(AND($D172&gt;=BX$5,$D172&lt;BX$5+7),"◆",""),IF(AND($D172&lt;BX$5+7,$E172&gt;BX$5),"■","")))</x:f>
      </x:c>
      <x:c r="BY172" s="7" t="str">
        <x:f>IF(OR($D172="",BY$5="",'상세일정'!AM172="제외"),"",IF($D172=$E172,IF(AND($D172&gt;=BY$5,$D172&lt;BY$5+7),"◆",""),IF(AND($D172&lt;BY$5+7,$E172&gt;BY$5),"■","")))</x:f>
      </x:c>
      <x:c r="BZ172" s="7" t="str">
        <x:f>IF(OR($D172="",BZ$5="",'상세일정'!AM172="제외"),"",IF($D172=$E172,IF(AND($D172&gt;=BZ$5,$D172&lt;BZ$5+7),"◆",""),IF(AND($D172&lt;BZ$5+7,$E172&gt;BZ$5),"■","")))</x:f>
      </x:c>
      <x:c r="CA172" s="7" t="str">
        <x:f>IF(OR($D172="",CA$5="",'상세일정'!AM172="제외"),"",IF($D172=$E172,IF(AND($D172&gt;=CA$5,$D172&lt;CA$5+7),"◆",""),IF(AND($D172&lt;CA$5+7,$E172&gt;CA$5),"■","")))</x:f>
      </x:c>
      <x:c r="CB172" s="7" t="str">
        <x:f>IF(OR($D172="",CB$5="",'상세일정'!AM172="제외"),"",IF($D172=$E172,IF(AND($D172&gt;=CB$5,$D172&lt;CB$5+7),"◆",""),IF(AND($D172&lt;CB$5+7,$E172&gt;CB$5),"■","")))</x:f>
      </x:c>
      <x:c r="CC172" s="7" t="str">
        <x:f>IF(OR($D172="",CC$5="",'상세일정'!AM172="제외"),"",IF($D172=$E172,IF(AND($D172&gt;=CC$5,$D172&lt;CC$5+7),"◆",""),IF(AND($D172&lt;CC$5+7,$E172&gt;CC$5),"■","")))</x:f>
      </x:c>
      <x:c r="CD172" s="7" t="str">
        <x:f>IF(OR($D172="",CD$5="",'상세일정'!AM172="제외"),"",IF($D172=$E172,IF(AND($D172&gt;=CD$5,$D172&lt;CD$5+7),"◆",""),IF(AND($D172&lt;CD$5+7,$E172&gt;CD$5),"■","")))</x:f>
      </x:c>
      <x:c r="CE172" s="7" t="str">
        <x:f>IF(OR($D172="",CE$5="",'상세일정'!AM172="제외"),"",IF($D172=$E172,IF(AND($D172&gt;=CE$5,$D172&lt;CE$5+7),"◆",""),IF(AND($D172&lt;CE$5+7,$E172&gt;CE$5),"■","")))</x:f>
      </x:c>
      <x:c r="CF172" s="7" t="str">
        <x:f>IF(OR($D172="",CF$5="",'상세일정'!AM172="제외"),"",IF($D172=$E172,IF(AND($D172&gt;=CF$5,$D172&lt;CF$5+7),"◆",""),IF(AND($D172&lt;CF$5+7,$E172&gt;CF$5),"■","")))</x:f>
      </x:c>
      <x:c r="CG172" s="7" t="str">
        <x:f>IF(OR($D172="",CG$5="",'상세일정'!AM172="제외"),"",IF($D172=$E172,IF(AND($D172&gt;=CG$5,$D172&lt;CG$5+7),"◆",""),IF(AND($D172&lt;CG$5+7,$E172&gt;CG$5),"■","")))</x:f>
      </x:c>
      <x:c r="CH172" s="7" t="str">
        <x:f>IF(OR($D172="",CH$5="",'상세일정'!AM172="제외"),"",IF($D172=$E172,IF(AND($D172&gt;=CH$5,$D172&lt;CH$5+7),"◆",""),IF(AND($D172&lt;CH$5+7,$E172&gt;CH$5),"■","")))</x:f>
      </x:c>
      <x:c r="CI172" s="7" t="str">
        <x:f>IF(OR($D172="",CI$5="",'상세일정'!AM172="제외"),"",IF($D172=$E172,IF(AND($D172&gt;=CI$5,$D172&lt;CI$5+7),"◆",""),IF(AND($D172&lt;CI$5+7,$E172&gt;CI$5),"■","")))</x:f>
      </x:c>
      <x:c r="CJ172" s="7" t="str">
        <x:f>IF(OR($D172="",CJ$5="",'상세일정'!AM172="제외"),"",IF($D172=$E172,IF(AND($D172&gt;=CJ$5,$D172&lt;CJ$5+7),"◆",""),IF(AND($D172&lt;CJ$5+7,$E172&gt;CJ$5),"■","")))</x:f>
      </x:c>
      <x:c r="CK172" s="7" t="str">
        <x:f>IF(OR($D172="",CK$5="",'상세일정'!AM172="제외"),"",IF($D172=$E172,IF(AND($D172&gt;=CK$5,$D172&lt;CK$5+7),"◆",""),IF(AND($D172&lt;CK$5+7,$E172&gt;CK$5),"■","")))</x:f>
      </x:c>
      <x:c r="CL172" s="7" t="str">
        <x:f>IF(OR($D172="",CL$5="",'상세일정'!AM172="제외"),"",IF($D172=$E172,IF(AND($D172&gt;=CL$5,$D172&lt;CL$5+7),"◆",""),IF(AND($D172&lt;CL$5+7,$E172&gt;CL$5),"■","")))</x:f>
      </x:c>
      <x:c r="CM172" s="7" t="str">
        <x:f>IF(OR($D172="",CM$5="",'상세일정'!AM172="제외"),"",IF($D172=$E172,IF(AND($D172&gt;=CM$5,$D172&lt;CM$5+7),"◆",""),IF(AND($D172&lt;CM$5+7,$E172&gt;CM$5),"■","")))</x:f>
      </x:c>
      <x:c r="CN172" s="7" t="str">
        <x:f>IF(OR($D172="",CN$5="",'상세일정'!AM172="제외"),"",IF($D172=$E172,IF(AND($D172&gt;=CN$5,$D172&lt;CN$5+7),"◆",""),IF(AND($D172&lt;CN$5+7,$E172&gt;CN$5),"■","")))</x:f>
      </x:c>
      <x:c r="CO172" s="7" t="str">
        <x:f>IF(OR($D172="",CO$5="",'상세일정'!AM172="제외"),"",IF($D172=$E172,IF(AND($D172&gt;=CO$5,$D172&lt;CO$5+7),"◆",""),IF(AND($D172&lt;CO$5+7,$E172&gt;CO$5),"■","")))</x:f>
      </x:c>
      <x:c r="CP172" s="7" t="str">
        <x:f>IF(OR($D172="",CP$5="",'상세일정'!AM172="제외"),"",IF($D172=$E172,IF(AND($D172&gt;=CP$5,$D172&lt;CP$5+7),"◆",""),IF(AND($D172&lt;CP$5+7,$E172&gt;CP$5),"■","")))</x:f>
      </x:c>
      <x:c r="CQ172" s="7" t="str">
        <x:f>IF(OR($D172="",CQ$5="",'상세일정'!AM172="제외"),"",IF($D172=$E172,IF(AND($D172&gt;=CQ$5,$D172&lt;CQ$5+7),"◆",""),IF(AND($D172&lt;CQ$5+7,$E172&gt;CQ$5),"■","")))</x:f>
      </x:c>
      <x:c r="CR172" s="7" t="str">
        <x:f>IF(OR($D172="",CR$5="",'상세일정'!AM172="제외"),"",IF($D172=$E172,IF(AND($D172&gt;=CR$5,$D172&lt;CR$5+7),"◆",""),IF(AND($D172&lt;CR$5+7,$E172&gt;CR$5),"■","")))</x:f>
      </x:c>
      <x:c r="CS172" s="7" t="str">
        <x:f>IF(OR($D172="",CS$5="",'상세일정'!AM172="제외"),"",IF($D172=$E172,IF(AND($D172&gt;=CS$5,$D172&lt;CS$5+7),"◆",""),IF(AND($D172&lt;CS$5+7,$E172&gt;CS$5),"■","")))</x:f>
      </x:c>
      <x:c r="CT172" s="7" t="str">
        <x:f>IF(OR($D172="",CT$5="",'상세일정'!AM172="제외"),"",IF($D172=$E172,IF(AND($D172&gt;=CT$5,$D172&lt;CT$5+7),"◆",""),IF(AND($D172&lt;CT$5+7,$E172&gt;CT$5),"■","")))</x:f>
      </x:c>
      <x:c r="CU172" s="7" t="str">
        <x:f>IF(OR($D172="",CU$5="",'상세일정'!AM172="제외"),"",IF($D172=$E172,IF(AND($D172&gt;=CU$5,$D172&lt;CU$5+7),"◆",""),IF(AND($D172&lt;CU$5+7,$E172&gt;CU$5),"■","")))</x:f>
      </x:c>
      <x:c r="CV172" s="7" t="str">
        <x:f>IF(OR($D172="",CV$5="",'상세일정'!AM172="제외"),"",IF($D172=$E172,IF(AND($D172&gt;=CV$5,$D172&lt;CV$5+7),"◆",""),IF(AND($D172&lt;CV$5+7,$E172&gt;CV$5),"■","")))</x:f>
      </x:c>
      <x:c r="CW172" s="7" t="str">
        <x:f>IF(OR($D172="",CW$5="",'상세일정'!AM172="제외"),"",IF($D172=$E172,IF(AND($D172&gt;=CW$5,$D172&lt;CW$5+7),"◆",""),IF(AND($D172&lt;CW$5+7,$E172&gt;CW$5),"■","")))</x:f>
      </x:c>
      <x:c r="CX172" s="7" t="str">
        <x:f>IF(OR($D172="",CX$5="",'상세일정'!AM172="제외"),"",IF($D172=$E172,IF(AND($D172&gt;=CX$5,$D172&lt;CX$5+7),"◆",""),IF(AND($D172&lt;CX$5+7,$E172&gt;CX$5),"■","")))</x:f>
      </x:c>
      <x:c r="CY172" s="7" t="str">
        <x:f>IF(OR($D172="",CY$5="",'상세일정'!AM172="제외"),"",IF($D172=$E172,IF(AND($D172&gt;=CY$5,$D172&lt;CY$5+7),"◆",""),IF(AND($D172&lt;CY$5+7,$E172&gt;CY$5),"■","")))</x:f>
      </x:c>
      <x:c r="CZ172" s="7" t="str">
        <x:f>IF(OR($D172="",CZ$5="",'상세일정'!AM172="제외"),"",IF($D172=$E172,IF(AND($D172&gt;=CZ$5,$D172&lt;CZ$5+7),"◆",""),IF(AND($D172&lt;CZ$5+7,$E172&gt;CZ$5),"■","")))</x:f>
      </x:c>
      <x:c r="DA172" s="7" t="str">
        <x:f>IF(OR($D172="",DA$5="",'상세일정'!AM172="제외"),"",IF($D172=$E172,IF(AND($D172&gt;=DA$5,$D172&lt;DA$5+7),"◆",""),IF(AND($D172&lt;DA$5+7,$E172&gt;DA$5),"■","")))</x:f>
      </x:c>
      <x:c r="DB172" s="7" t="str">
        <x:f>IF(OR($D172="",DB$5="",'상세일정'!AM172="제외"),"",IF($D172=$E172,IF(AND($D172&gt;=DB$5,$D172&lt;DB$5+7),"◆",""),IF(AND($D172&lt;DB$5+7,$E172&gt;DB$5),"■","")))</x:f>
      </x:c>
      <x:c r="DC172" s="7" t="str">
        <x:f>IF(OR($D172="",DC$5="",'상세일정'!AM172="제외"),"",IF($D172=$E172,IF(AND($D172&gt;=DC$5,$D172&lt;DC$5+7),"◆",""),IF(AND($D172&lt;DC$5+7,$E172&gt;DC$5),"■","")))</x:f>
      </x:c>
      <x:c r="DD172" s="7" t="str">
        <x:f>IF(OR($D172="",DD$5="",'상세일정'!AM172="제외"),"",IF($D172=$E172,IF(AND($D172&gt;=DD$5,$D172&lt;DD$5+7),"◆",""),IF(AND($D172&lt;DD$5+7,$E172&gt;DD$5),"■","")))</x:f>
      </x:c>
      <x:c r="DE172" s="7" t="str">
        <x:f>IF(OR($D172="",DE$5="",'상세일정'!AM172="제외"),"",IF($D172=$E172,IF(AND($D172&gt;=DE$5,$D172&lt;DE$5+7),"◆",""),IF(AND($D172&lt;DE$5+7,$E172&gt;DE$5),"■","")))</x:f>
      </x:c>
    </x:row>
    <x:row r="173" ht="34" customHeight="1">
      <x:c r="A173" s="7" t="str">
        <x:v>UF04</x:v>
      </x:c>
      <x:c r="B173" s="7" t="str">
        <x:v>19 설비기초·전기실</x:v>
      </x:c>
      <x:c r="C173" s="7" t="str">
        <x:v>전기실 지붕·방수·마감·반입구 확보</x:v>
      </x:c>
      <x:c r="D173" s="10" t="str">
        <x:f>'상세일정'!AJ173</x:f>
      </x:c>
      <x:c r="E173" s="10" t="str">
        <x:f>'상세일정'!AK173</x:f>
      </x:c>
      <x:c r="F173" s="7" t="str">
        <x:f>IF(OR($D173="",F$5="",'상세일정'!AM173="제외"),"",IF($D173=$E173,IF(AND($D173&gt;=F$5,$D173&lt;F$5+7),"◆",""),IF(AND($D173&lt;F$5+7,$E173&gt;F$5),"■","")))</x:f>
      </x:c>
      <x:c r="G173" s="7" t="str">
        <x:f>IF(OR($D173="",G$5="",'상세일정'!AM173="제외"),"",IF($D173=$E173,IF(AND($D173&gt;=G$5,$D173&lt;G$5+7),"◆",""),IF(AND($D173&lt;G$5+7,$E173&gt;G$5),"■","")))</x:f>
      </x:c>
      <x:c r="H173" s="7" t="str">
        <x:f>IF(OR($D173="",H$5="",'상세일정'!AM173="제외"),"",IF($D173=$E173,IF(AND($D173&gt;=H$5,$D173&lt;H$5+7),"◆",""),IF(AND($D173&lt;H$5+7,$E173&gt;H$5),"■","")))</x:f>
      </x:c>
      <x:c r="I173" s="7" t="str">
        <x:f>IF(OR($D173="",I$5="",'상세일정'!AM173="제외"),"",IF($D173=$E173,IF(AND($D173&gt;=I$5,$D173&lt;I$5+7),"◆",""),IF(AND($D173&lt;I$5+7,$E173&gt;I$5),"■","")))</x:f>
      </x:c>
      <x:c r="J173" s="7" t="str">
        <x:f>IF(OR($D173="",J$5="",'상세일정'!AM173="제외"),"",IF($D173=$E173,IF(AND($D173&gt;=J$5,$D173&lt;J$5+7),"◆",""),IF(AND($D173&lt;J$5+7,$E173&gt;J$5),"■","")))</x:f>
      </x:c>
      <x:c r="K173" s="7" t="str">
        <x:f>IF(OR($D173="",K$5="",'상세일정'!AM173="제외"),"",IF($D173=$E173,IF(AND($D173&gt;=K$5,$D173&lt;K$5+7),"◆",""),IF(AND($D173&lt;K$5+7,$E173&gt;K$5),"■","")))</x:f>
      </x:c>
      <x:c r="L173" s="7" t="str">
        <x:f>IF(OR($D173="",L$5="",'상세일정'!AM173="제외"),"",IF($D173=$E173,IF(AND($D173&gt;=L$5,$D173&lt;L$5+7),"◆",""),IF(AND($D173&lt;L$5+7,$E173&gt;L$5),"■","")))</x:f>
      </x:c>
      <x:c r="M173" s="7" t="str">
        <x:f>IF(OR($D173="",M$5="",'상세일정'!AM173="제외"),"",IF($D173=$E173,IF(AND($D173&gt;=M$5,$D173&lt;M$5+7),"◆",""),IF(AND($D173&lt;M$5+7,$E173&gt;M$5),"■","")))</x:f>
      </x:c>
      <x:c r="N173" s="7" t="str">
        <x:f>IF(OR($D173="",N$5="",'상세일정'!AM173="제외"),"",IF($D173=$E173,IF(AND($D173&gt;=N$5,$D173&lt;N$5+7),"◆",""),IF(AND($D173&lt;N$5+7,$E173&gt;N$5),"■","")))</x:f>
      </x:c>
      <x:c r="O173" s="7" t="str">
        <x:f>IF(OR($D173="",O$5="",'상세일정'!AM173="제외"),"",IF($D173=$E173,IF(AND($D173&gt;=O$5,$D173&lt;O$5+7),"◆",""),IF(AND($D173&lt;O$5+7,$E173&gt;O$5),"■","")))</x:f>
      </x:c>
      <x:c r="P173" s="7" t="str">
        <x:f>IF(OR($D173="",P$5="",'상세일정'!AM173="제외"),"",IF($D173=$E173,IF(AND($D173&gt;=P$5,$D173&lt;P$5+7),"◆",""),IF(AND($D173&lt;P$5+7,$E173&gt;P$5),"■","")))</x:f>
      </x:c>
      <x:c r="Q173" s="7" t="str">
        <x:f>IF(OR($D173="",Q$5="",'상세일정'!AM173="제외"),"",IF($D173=$E173,IF(AND($D173&gt;=Q$5,$D173&lt;Q$5+7),"◆",""),IF(AND($D173&lt;Q$5+7,$E173&gt;Q$5),"■","")))</x:f>
      </x:c>
      <x:c r="R173" s="7" t="str">
        <x:f>IF(OR($D173="",R$5="",'상세일정'!AM173="제외"),"",IF($D173=$E173,IF(AND($D173&gt;=R$5,$D173&lt;R$5+7),"◆",""),IF(AND($D173&lt;R$5+7,$E173&gt;R$5),"■","")))</x:f>
      </x:c>
      <x:c r="S173" s="7" t="str">
        <x:f>IF(OR($D173="",S$5="",'상세일정'!AM173="제외"),"",IF($D173=$E173,IF(AND($D173&gt;=S$5,$D173&lt;S$5+7),"◆",""),IF(AND($D173&lt;S$5+7,$E173&gt;S$5),"■","")))</x:f>
      </x:c>
      <x:c r="T173" s="7" t="str">
        <x:f>IF(OR($D173="",T$5="",'상세일정'!AM173="제외"),"",IF($D173=$E173,IF(AND($D173&gt;=T$5,$D173&lt;T$5+7),"◆",""),IF(AND($D173&lt;T$5+7,$E173&gt;T$5),"■","")))</x:f>
      </x:c>
      <x:c r="U173" s="7" t="str">
        <x:f>IF(OR($D173="",U$5="",'상세일정'!AM173="제외"),"",IF($D173=$E173,IF(AND($D173&gt;=U$5,$D173&lt;U$5+7),"◆",""),IF(AND($D173&lt;U$5+7,$E173&gt;U$5),"■","")))</x:f>
      </x:c>
      <x:c r="V173" s="7" t="str">
        <x:f>IF(OR($D173="",V$5="",'상세일정'!AM173="제외"),"",IF($D173=$E173,IF(AND($D173&gt;=V$5,$D173&lt;V$5+7),"◆",""),IF(AND($D173&lt;V$5+7,$E173&gt;V$5),"■","")))</x:f>
      </x:c>
      <x:c r="W173" s="7" t="str">
        <x:f>IF(OR($D173="",W$5="",'상세일정'!AM173="제외"),"",IF($D173=$E173,IF(AND($D173&gt;=W$5,$D173&lt;W$5+7),"◆",""),IF(AND($D173&lt;W$5+7,$E173&gt;W$5),"■","")))</x:f>
      </x:c>
      <x:c r="X173" s="7" t="str">
        <x:f>IF(OR($D173="",X$5="",'상세일정'!AM173="제외"),"",IF($D173=$E173,IF(AND($D173&gt;=X$5,$D173&lt;X$5+7),"◆",""),IF(AND($D173&lt;X$5+7,$E173&gt;X$5),"■","")))</x:f>
      </x:c>
      <x:c r="Y173" s="7" t="str">
        <x:f>IF(OR($D173="",Y$5="",'상세일정'!AM173="제외"),"",IF($D173=$E173,IF(AND($D173&gt;=Y$5,$D173&lt;Y$5+7),"◆",""),IF(AND($D173&lt;Y$5+7,$E173&gt;Y$5),"■","")))</x:f>
      </x:c>
      <x:c r="Z173" s="7" t="str">
        <x:f>IF(OR($D173="",Z$5="",'상세일정'!AM173="제외"),"",IF($D173=$E173,IF(AND($D173&gt;=Z$5,$D173&lt;Z$5+7),"◆",""),IF(AND($D173&lt;Z$5+7,$E173&gt;Z$5),"■","")))</x:f>
      </x:c>
      <x:c r="AA173" s="7" t="str">
        <x:f>IF(OR($D173="",AA$5="",'상세일정'!AM173="제외"),"",IF($D173=$E173,IF(AND($D173&gt;=AA$5,$D173&lt;AA$5+7),"◆",""),IF(AND($D173&lt;AA$5+7,$E173&gt;AA$5),"■","")))</x:f>
      </x:c>
      <x:c r="AB173" s="7" t="str">
        <x:f>IF(OR($D173="",AB$5="",'상세일정'!AM173="제외"),"",IF($D173=$E173,IF(AND($D173&gt;=AB$5,$D173&lt;AB$5+7),"◆",""),IF(AND($D173&lt;AB$5+7,$E173&gt;AB$5),"■","")))</x:f>
      </x:c>
      <x:c r="AC173" s="7" t="str">
        <x:f>IF(OR($D173="",AC$5="",'상세일정'!AM173="제외"),"",IF($D173=$E173,IF(AND($D173&gt;=AC$5,$D173&lt;AC$5+7),"◆",""),IF(AND($D173&lt;AC$5+7,$E173&gt;AC$5),"■","")))</x:f>
      </x:c>
      <x:c r="AD173" s="7" t="str">
        <x:f>IF(OR($D173="",AD$5="",'상세일정'!AM173="제외"),"",IF($D173=$E173,IF(AND($D173&gt;=AD$5,$D173&lt;AD$5+7),"◆",""),IF(AND($D173&lt;AD$5+7,$E173&gt;AD$5),"■","")))</x:f>
      </x:c>
      <x:c r="AE173" s="7" t="str">
        <x:f>IF(OR($D173="",AE$5="",'상세일정'!AM173="제외"),"",IF($D173=$E173,IF(AND($D173&gt;=AE$5,$D173&lt;AE$5+7),"◆",""),IF(AND($D173&lt;AE$5+7,$E173&gt;AE$5),"■","")))</x:f>
      </x:c>
      <x:c r="AF173" s="7" t="str">
        <x:f>IF(OR($D173="",AF$5="",'상세일정'!AM173="제외"),"",IF($D173=$E173,IF(AND($D173&gt;=AF$5,$D173&lt;AF$5+7),"◆",""),IF(AND($D173&lt;AF$5+7,$E173&gt;AF$5),"■","")))</x:f>
      </x:c>
      <x:c r="AG173" s="7" t="str">
        <x:f>IF(OR($D173="",AG$5="",'상세일정'!AM173="제외"),"",IF($D173=$E173,IF(AND($D173&gt;=AG$5,$D173&lt;AG$5+7),"◆",""),IF(AND($D173&lt;AG$5+7,$E173&gt;AG$5),"■","")))</x:f>
      </x:c>
      <x:c r="AH173" s="7" t="str">
        <x:f>IF(OR($D173="",AH$5="",'상세일정'!AM173="제외"),"",IF($D173=$E173,IF(AND($D173&gt;=AH$5,$D173&lt;AH$5+7),"◆",""),IF(AND($D173&lt;AH$5+7,$E173&gt;AH$5),"■","")))</x:f>
      </x:c>
      <x:c r="AI173" s="7" t="str">
        <x:f>IF(OR($D173="",AI$5="",'상세일정'!AM173="제외"),"",IF($D173=$E173,IF(AND($D173&gt;=AI$5,$D173&lt;AI$5+7),"◆",""),IF(AND($D173&lt;AI$5+7,$E173&gt;AI$5),"■","")))</x:f>
      </x:c>
      <x:c r="AJ173" s="7" t="str">
        <x:f>IF(OR($D173="",AJ$5="",'상세일정'!AM173="제외"),"",IF($D173=$E173,IF(AND($D173&gt;=AJ$5,$D173&lt;AJ$5+7),"◆",""),IF(AND($D173&lt;AJ$5+7,$E173&gt;AJ$5),"■","")))</x:f>
      </x:c>
      <x:c r="AK173" s="7" t="str">
        <x:f>IF(OR($D173="",AK$5="",'상세일정'!AM173="제외"),"",IF($D173=$E173,IF(AND($D173&gt;=AK$5,$D173&lt;AK$5+7),"◆",""),IF(AND($D173&lt;AK$5+7,$E173&gt;AK$5),"■","")))</x:f>
      </x:c>
      <x:c r="AL173" s="7" t="str">
        <x:f>IF(OR($D173="",AL$5="",'상세일정'!AM173="제외"),"",IF($D173=$E173,IF(AND($D173&gt;=AL$5,$D173&lt;AL$5+7),"◆",""),IF(AND($D173&lt;AL$5+7,$E173&gt;AL$5),"■","")))</x:f>
      </x:c>
      <x:c r="AM173" s="7" t="str">
        <x:f>IF(OR($D173="",AM$5="",'상세일정'!AM173="제외"),"",IF($D173=$E173,IF(AND($D173&gt;=AM$5,$D173&lt;AM$5+7),"◆",""),IF(AND($D173&lt;AM$5+7,$E173&gt;AM$5),"■","")))</x:f>
      </x:c>
      <x:c r="AN173" s="7" t="str">
        <x:f>IF(OR($D173="",AN$5="",'상세일정'!AM173="제외"),"",IF($D173=$E173,IF(AND($D173&gt;=AN$5,$D173&lt;AN$5+7),"◆",""),IF(AND($D173&lt;AN$5+7,$E173&gt;AN$5),"■","")))</x:f>
      </x:c>
      <x:c r="AO173" s="7" t="str">
        <x:f>IF(OR($D173="",AO$5="",'상세일정'!AM173="제외"),"",IF($D173=$E173,IF(AND($D173&gt;=AO$5,$D173&lt;AO$5+7),"◆",""),IF(AND($D173&lt;AO$5+7,$E173&gt;AO$5),"■","")))</x:f>
      </x:c>
      <x:c r="AP173" s="7" t="str">
        <x:f>IF(OR($D173="",AP$5="",'상세일정'!AM173="제외"),"",IF($D173=$E173,IF(AND($D173&gt;=AP$5,$D173&lt;AP$5+7),"◆",""),IF(AND($D173&lt;AP$5+7,$E173&gt;AP$5),"■","")))</x:f>
      </x:c>
      <x:c r="AQ173" s="7" t="str">
        <x:f>IF(OR($D173="",AQ$5="",'상세일정'!AM173="제외"),"",IF($D173=$E173,IF(AND($D173&gt;=AQ$5,$D173&lt;AQ$5+7),"◆",""),IF(AND($D173&lt;AQ$5+7,$E173&gt;AQ$5),"■","")))</x:f>
      </x:c>
      <x:c r="AR173" s="7" t="str">
        <x:f>IF(OR($D173="",AR$5="",'상세일정'!AM173="제외"),"",IF($D173=$E173,IF(AND($D173&gt;=AR$5,$D173&lt;AR$5+7),"◆",""),IF(AND($D173&lt;AR$5+7,$E173&gt;AR$5),"■","")))</x:f>
      </x:c>
      <x:c r="AS173" s="7" t="str">
        <x:f>IF(OR($D173="",AS$5="",'상세일정'!AM173="제외"),"",IF($D173=$E173,IF(AND($D173&gt;=AS$5,$D173&lt;AS$5+7),"◆",""),IF(AND($D173&lt;AS$5+7,$E173&gt;AS$5),"■","")))</x:f>
      </x:c>
      <x:c r="AT173" s="7" t="str">
        <x:f>IF(OR($D173="",AT$5="",'상세일정'!AM173="제외"),"",IF($D173=$E173,IF(AND($D173&gt;=AT$5,$D173&lt;AT$5+7),"◆",""),IF(AND($D173&lt;AT$5+7,$E173&gt;AT$5),"■","")))</x:f>
      </x:c>
      <x:c r="AU173" s="7" t="str">
        <x:f>IF(OR($D173="",AU$5="",'상세일정'!AM173="제외"),"",IF($D173=$E173,IF(AND($D173&gt;=AU$5,$D173&lt;AU$5+7),"◆",""),IF(AND($D173&lt;AU$5+7,$E173&gt;AU$5),"■","")))</x:f>
      </x:c>
      <x:c r="AV173" s="7" t="str">
        <x:f>IF(OR($D173="",AV$5="",'상세일정'!AM173="제외"),"",IF($D173=$E173,IF(AND($D173&gt;=AV$5,$D173&lt;AV$5+7),"◆",""),IF(AND($D173&lt;AV$5+7,$E173&gt;AV$5),"■","")))</x:f>
      </x:c>
      <x:c r="AW173" s="7" t="str">
        <x:f>IF(OR($D173="",AW$5="",'상세일정'!AM173="제외"),"",IF($D173=$E173,IF(AND($D173&gt;=AW$5,$D173&lt;AW$5+7),"◆",""),IF(AND($D173&lt;AW$5+7,$E173&gt;AW$5),"■","")))</x:f>
      </x:c>
      <x:c r="AX173" s="7" t="str">
        <x:f>IF(OR($D173="",AX$5="",'상세일정'!AM173="제외"),"",IF($D173=$E173,IF(AND($D173&gt;=AX$5,$D173&lt;AX$5+7),"◆",""),IF(AND($D173&lt;AX$5+7,$E173&gt;AX$5),"■","")))</x:f>
      </x:c>
      <x:c r="AY173" s="7" t="str">
        <x:f>IF(OR($D173="",AY$5="",'상세일정'!AM173="제외"),"",IF($D173=$E173,IF(AND($D173&gt;=AY$5,$D173&lt;AY$5+7),"◆",""),IF(AND($D173&lt;AY$5+7,$E173&gt;AY$5),"■","")))</x:f>
      </x:c>
      <x:c r="AZ173" s="7" t="str">
        <x:f>IF(OR($D173="",AZ$5="",'상세일정'!AM173="제외"),"",IF($D173=$E173,IF(AND($D173&gt;=AZ$5,$D173&lt;AZ$5+7),"◆",""),IF(AND($D173&lt;AZ$5+7,$E173&gt;AZ$5),"■","")))</x:f>
      </x:c>
      <x:c r="BA173" s="7" t="str">
        <x:f>IF(OR($D173="",BA$5="",'상세일정'!AM173="제외"),"",IF($D173=$E173,IF(AND($D173&gt;=BA$5,$D173&lt;BA$5+7),"◆",""),IF(AND($D173&lt;BA$5+7,$E173&gt;BA$5),"■","")))</x:f>
      </x:c>
      <x:c r="BB173" s="7" t="str">
        <x:f>IF(OR($D173="",BB$5="",'상세일정'!AM173="제외"),"",IF($D173=$E173,IF(AND($D173&gt;=BB$5,$D173&lt;BB$5+7),"◆",""),IF(AND($D173&lt;BB$5+7,$E173&gt;BB$5),"■","")))</x:f>
      </x:c>
      <x:c r="BC173" s="7" t="str">
        <x:f>IF(OR($D173="",BC$5="",'상세일정'!AM173="제외"),"",IF($D173=$E173,IF(AND($D173&gt;=BC$5,$D173&lt;BC$5+7),"◆",""),IF(AND($D173&lt;BC$5+7,$E173&gt;BC$5),"■","")))</x:f>
      </x:c>
      <x:c r="BD173" s="7" t="str">
        <x:f>IF(OR($D173="",BD$5="",'상세일정'!AM173="제외"),"",IF($D173=$E173,IF(AND($D173&gt;=BD$5,$D173&lt;BD$5+7),"◆",""),IF(AND($D173&lt;BD$5+7,$E173&gt;BD$5),"■","")))</x:f>
      </x:c>
      <x:c r="BE173" s="7" t="str">
        <x:f>IF(OR($D173="",BE$5="",'상세일정'!AM173="제외"),"",IF($D173=$E173,IF(AND($D173&gt;=BE$5,$D173&lt;BE$5+7),"◆",""),IF(AND($D173&lt;BE$5+7,$E173&gt;BE$5),"■","")))</x:f>
      </x:c>
      <x:c r="BF173" s="7" t="str">
        <x:f>IF(OR($D173="",BF$5="",'상세일정'!AM173="제외"),"",IF($D173=$E173,IF(AND($D173&gt;=BF$5,$D173&lt;BF$5+7),"◆",""),IF(AND($D173&lt;BF$5+7,$E173&gt;BF$5),"■","")))</x:f>
      </x:c>
      <x:c r="BG173" s="7" t="str">
        <x:f>IF(OR($D173="",BG$5="",'상세일정'!AM173="제외"),"",IF($D173=$E173,IF(AND($D173&gt;=BG$5,$D173&lt;BG$5+7),"◆",""),IF(AND($D173&lt;BG$5+7,$E173&gt;BG$5),"■","")))</x:f>
      </x:c>
      <x:c r="BH173" s="7" t="str">
        <x:f>IF(OR($D173="",BH$5="",'상세일정'!AM173="제외"),"",IF($D173=$E173,IF(AND($D173&gt;=BH$5,$D173&lt;BH$5+7),"◆",""),IF(AND($D173&lt;BH$5+7,$E173&gt;BH$5),"■","")))</x:f>
      </x:c>
      <x:c r="BI173" s="7" t="str">
        <x:f>IF(OR($D173="",BI$5="",'상세일정'!AM173="제외"),"",IF($D173=$E173,IF(AND($D173&gt;=BI$5,$D173&lt;BI$5+7),"◆",""),IF(AND($D173&lt;BI$5+7,$E173&gt;BI$5),"■","")))</x:f>
      </x:c>
      <x:c r="BJ173" s="7" t="str">
        <x:f>IF(OR($D173="",BJ$5="",'상세일정'!AM173="제외"),"",IF($D173=$E173,IF(AND($D173&gt;=BJ$5,$D173&lt;BJ$5+7),"◆",""),IF(AND($D173&lt;BJ$5+7,$E173&gt;BJ$5),"■","")))</x:f>
      </x:c>
      <x:c r="BK173" s="7" t="str">
        <x:f>IF(OR($D173="",BK$5="",'상세일정'!AM173="제외"),"",IF($D173=$E173,IF(AND($D173&gt;=BK$5,$D173&lt;BK$5+7),"◆",""),IF(AND($D173&lt;BK$5+7,$E173&gt;BK$5),"■","")))</x:f>
      </x:c>
      <x:c r="BL173" s="7" t="str">
        <x:f>IF(OR($D173="",BL$5="",'상세일정'!AM173="제외"),"",IF($D173=$E173,IF(AND($D173&gt;=BL$5,$D173&lt;BL$5+7),"◆",""),IF(AND($D173&lt;BL$5+7,$E173&gt;BL$5),"■","")))</x:f>
      </x:c>
      <x:c r="BM173" s="7" t="str">
        <x:f>IF(OR($D173="",BM$5="",'상세일정'!AM173="제외"),"",IF($D173=$E173,IF(AND($D173&gt;=BM$5,$D173&lt;BM$5+7),"◆",""),IF(AND($D173&lt;BM$5+7,$E173&gt;BM$5),"■","")))</x:f>
      </x:c>
      <x:c r="BN173" s="7" t="str">
        <x:f>IF(OR($D173="",BN$5="",'상세일정'!AM173="제외"),"",IF($D173=$E173,IF(AND($D173&gt;=BN$5,$D173&lt;BN$5+7),"◆",""),IF(AND($D173&lt;BN$5+7,$E173&gt;BN$5),"■","")))</x:f>
      </x:c>
      <x:c r="BO173" s="7" t="str">
        <x:f>IF(OR($D173="",BO$5="",'상세일정'!AM173="제외"),"",IF($D173=$E173,IF(AND($D173&gt;=BO$5,$D173&lt;BO$5+7),"◆",""),IF(AND($D173&lt;BO$5+7,$E173&gt;BO$5),"■","")))</x:f>
      </x:c>
      <x:c r="BP173" s="7" t="str">
        <x:f>IF(OR($D173="",BP$5="",'상세일정'!AM173="제외"),"",IF($D173=$E173,IF(AND($D173&gt;=BP$5,$D173&lt;BP$5+7),"◆",""),IF(AND($D173&lt;BP$5+7,$E173&gt;BP$5),"■","")))</x:f>
      </x:c>
      <x:c r="BQ173" s="7" t="str">
        <x:f>IF(OR($D173="",BQ$5="",'상세일정'!AM173="제외"),"",IF($D173=$E173,IF(AND($D173&gt;=BQ$5,$D173&lt;BQ$5+7),"◆",""),IF(AND($D173&lt;BQ$5+7,$E173&gt;BQ$5),"■","")))</x:f>
      </x:c>
      <x:c r="BR173" s="7" t="str">
        <x:f>IF(OR($D173="",BR$5="",'상세일정'!AM173="제외"),"",IF($D173=$E173,IF(AND($D173&gt;=BR$5,$D173&lt;BR$5+7),"◆",""),IF(AND($D173&lt;BR$5+7,$E173&gt;BR$5),"■","")))</x:f>
      </x:c>
      <x:c r="BS173" s="7" t="str">
        <x:f>IF(OR($D173="",BS$5="",'상세일정'!AM173="제외"),"",IF($D173=$E173,IF(AND($D173&gt;=BS$5,$D173&lt;BS$5+7),"◆",""),IF(AND($D173&lt;BS$5+7,$E173&gt;BS$5),"■","")))</x:f>
      </x:c>
      <x:c r="BT173" s="7" t="str">
        <x:f>IF(OR($D173="",BT$5="",'상세일정'!AM173="제외"),"",IF($D173=$E173,IF(AND($D173&gt;=BT$5,$D173&lt;BT$5+7),"◆",""),IF(AND($D173&lt;BT$5+7,$E173&gt;BT$5),"■","")))</x:f>
      </x:c>
      <x:c r="BU173" s="7" t="str">
        <x:f>IF(OR($D173="",BU$5="",'상세일정'!AM173="제외"),"",IF($D173=$E173,IF(AND($D173&gt;=BU$5,$D173&lt;BU$5+7),"◆",""),IF(AND($D173&lt;BU$5+7,$E173&gt;BU$5),"■","")))</x:f>
      </x:c>
      <x:c r="BV173" s="7" t="str">
        <x:f>IF(OR($D173="",BV$5="",'상세일정'!AM173="제외"),"",IF($D173=$E173,IF(AND($D173&gt;=BV$5,$D173&lt;BV$5+7),"◆",""),IF(AND($D173&lt;BV$5+7,$E173&gt;BV$5),"■","")))</x:f>
      </x:c>
      <x:c r="BW173" s="7" t="str">
        <x:f>IF(OR($D173="",BW$5="",'상세일정'!AM173="제외"),"",IF($D173=$E173,IF(AND($D173&gt;=BW$5,$D173&lt;BW$5+7),"◆",""),IF(AND($D173&lt;BW$5+7,$E173&gt;BW$5),"■","")))</x:f>
      </x:c>
      <x:c r="BX173" s="7" t="str">
        <x:f>IF(OR($D173="",BX$5="",'상세일정'!AM173="제외"),"",IF($D173=$E173,IF(AND($D173&gt;=BX$5,$D173&lt;BX$5+7),"◆",""),IF(AND($D173&lt;BX$5+7,$E173&gt;BX$5),"■","")))</x:f>
      </x:c>
      <x:c r="BY173" s="7" t="str">
        <x:f>IF(OR($D173="",BY$5="",'상세일정'!AM173="제외"),"",IF($D173=$E173,IF(AND($D173&gt;=BY$5,$D173&lt;BY$5+7),"◆",""),IF(AND($D173&lt;BY$5+7,$E173&gt;BY$5),"■","")))</x:f>
      </x:c>
      <x:c r="BZ173" s="7" t="str">
        <x:f>IF(OR($D173="",BZ$5="",'상세일정'!AM173="제외"),"",IF($D173=$E173,IF(AND($D173&gt;=BZ$5,$D173&lt;BZ$5+7),"◆",""),IF(AND($D173&lt;BZ$5+7,$E173&gt;BZ$5),"■","")))</x:f>
      </x:c>
      <x:c r="CA173" s="7" t="str">
        <x:f>IF(OR($D173="",CA$5="",'상세일정'!AM173="제외"),"",IF($D173=$E173,IF(AND($D173&gt;=CA$5,$D173&lt;CA$5+7),"◆",""),IF(AND($D173&lt;CA$5+7,$E173&gt;CA$5),"■","")))</x:f>
      </x:c>
      <x:c r="CB173" s="7" t="str">
        <x:f>IF(OR($D173="",CB$5="",'상세일정'!AM173="제외"),"",IF($D173=$E173,IF(AND($D173&gt;=CB$5,$D173&lt;CB$5+7),"◆",""),IF(AND($D173&lt;CB$5+7,$E173&gt;CB$5),"■","")))</x:f>
      </x:c>
      <x:c r="CC173" s="7" t="str">
        <x:f>IF(OR($D173="",CC$5="",'상세일정'!AM173="제외"),"",IF($D173=$E173,IF(AND($D173&gt;=CC$5,$D173&lt;CC$5+7),"◆",""),IF(AND($D173&lt;CC$5+7,$E173&gt;CC$5),"■","")))</x:f>
      </x:c>
      <x:c r="CD173" s="7" t="str">
        <x:f>IF(OR($D173="",CD$5="",'상세일정'!AM173="제외"),"",IF($D173=$E173,IF(AND($D173&gt;=CD$5,$D173&lt;CD$5+7),"◆",""),IF(AND($D173&lt;CD$5+7,$E173&gt;CD$5),"■","")))</x:f>
      </x:c>
      <x:c r="CE173" s="7" t="str">
        <x:f>IF(OR($D173="",CE$5="",'상세일정'!AM173="제외"),"",IF($D173=$E173,IF(AND($D173&gt;=CE$5,$D173&lt;CE$5+7),"◆",""),IF(AND($D173&lt;CE$5+7,$E173&gt;CE$5),"■","")))</x:f>
      </x:c>
      <x:c r="CF173" s="7" t="str">
        <x:f>IF(OR($D173="",CF$5="",'상세일정'!AM173="제외"),"",IF($D173=$E173,IF(AND($D173&gt;=CF$5,$D173&lt;CF$5+7),"◆",""),IF(AND($D173&lt;CF$5+7,$E173&gt;CF$5),"■","")))</x:f>
      </x:c>
      <x:c r="CG173" s="7" t="str">
        <x:f>IF(OR($D173="",CG$5="",'상세일정'!AM173="제외"),"",IF($D173=$E173,IF(AND($D173&gt;=CG$5,$D173&lt;CG$5+7),"◆",""),IF(AND($D173&lt;CG$5+7,$E173&gt;CG$5),"■","")))</x:f>
      </x:c>
      <x:c r="CH173" s="7" t="str">
        <x:f>IF(OR($D173="",CH$5="",'상세일정'!AM173="제외"),"",IF($D173=$E173,IF(AND($D173&gt;=CH$5,$D173&lt;CH$5+7),"◆",""),IF(AND($D173&lt;CH$5+7,$E173&gt;CH$5),"■","")))</x:f>
      </x:c>
      <x:c r="CI173" s="7" t="str">
        <x:f>IF(OR($D173="",CI$5="",'상세일정'!AM173="제외"),"",IF($D173=$E173,IF(AND($D173&gt;=CI$5,$D173&lt;CI$5+7),"◆",""),IF(AND($D173&lt;CI$5+7,$E173&gt;CI$5),"■","")))</x:f>
      </x:c>
      <x:c r="CJ173" s="7" t="str">
        <x:f>IF(OR($D173="",CJ$5="",'상세일정'!AM173="제외"),"",IF($D173=$E173,IF(AND($D173&gt;=CJ$5,$D173&lt;CJ$5+7),"◆",""),IF(AND($D173&lt;CJ$5+7,$E173&gt;CJ$5),"■","")))</x:f>
      </x:c>
      <x:c r="CK173" s="7" t="str">
        <x:f>IF(OR($D173="",CK$5="",'상세일정'!AM173="제외"),"",IF($D173=$E173,IF(AND($D173&gt;=CK$5,$D173&lt;CK$5+7),"◆",""),IF(AND($D173&lt;CK$5+7,$E173&gt;CK$5),"■","")))</x:f>
      </x:c>
      <x:c r="CL173" s="7" t="str">
        <x:f>IF(OR($D173="",CL$5="",'상세일정'!AM173="제외"),"",IF($D173=$E173,IF(AND($D173&gt;=CL$5,$D173&lt;CL$5+7),"◆",""),IF(AND($D173&lt;CL$5+7,$E173&gt;CL$5),"■","")))</x:f>
      </x:c>
      <x:c r="CM173" s="7" t="str">
        <x:f>IF(OR($D173="",CM$5="",'상세일정'!AM173="제외"),"",IF($D173=$E173,IF(AND($D173&gt;=CM$5,$D173&lt;CM$5+7),"◆",""),IF(AND($D173&lt;CM$5+7,$E173&gt;CM$5),"■","")))</x:f>
      </x:c>
      <x:c r="CN173" s="7" t="str">
        <x:f>IF(OR($D173="",CN$5="",'상세일정'!AM173="제외"),"",IF($D173=$E173,IF(AND($D173&gt;=CN$5,$D173&lt;CN$5+7),"◆",""),IF(AND($D173&lt;CN$5+7,$E173&gt;CN$5),"■","")))</x:f>
      </x:c>
      <x:c r="CO173" s="7" t="str">
        <x:f>IF(OR($D173="",CO$5="",'상세일정'!AM173="제외"),"",IF($D173=$E173,IF(AND($D173&gt;=CO$5,$D173&lt;CO$5+7),"◆",""),IF(AND($D173&lt;CO$5+7,$E173&gt;CO$5),"■","")))</x:f>
      </x:c>
      <x:c r="CP173" s="7" t="str">
        <x:f>IF(OR($D173="",CP$5="",'상세일정'!AM173="제외"),"",IF($D173=$E173,IF(AND($D173&gt;=CP$5,$D173&lt;CP$5+7),"◆",""),IF(AND($D173&lt;CP$5+7,$E173&gt;CP$5),"■","")))</x:f>
      </x:c>
      <x:c r="CQ173" s="7" t="str">
        <x:f>IF(OR($D173="",CQ$5="",'상세일정'!AM173="제외"),"",IF($D173=$E173,IF(AND($D173&gt;=CQ$5,$D173&lt;CQ$5+7),"◆",""),IF(AND($D173&lt;CQ$5+7,$E173&gt;CQ$5),"■","")))</x:f>
      </x:c>
      <x:c r="CR173" s="7" t="str">
        <x:f>IF(OR($D173="",CR$5="",'상세일정'!AM173="제외"),"",IF($D173=$E173,IF(AND($D173&gt;=CR$5,$D173&lt;CR$5+7),"◆",""),IF(AND($D173&lt;CR$5+7,$E173&gt;CR$5),"■","")))</x:f>
      </x:c>
      <x:c r="CS173" s="7" t="str">
        <x:f>IF(OR($D173="",CS$5="",'상세일정'!AM173="제외"),"",IF($D173=$E173,IF(AND($D173&gt;=CS$5,$D173&lt;CS$5+7),"◆",""),IF(AND($D173&lt;CS$5+7,$E173&gt;CS$5),"■","")))</x:f>
      </x:c>
      <x:c r="CT173" s="7" t="str">
        <x:f>IF(OR($D173="",CT$5="",'상세일정'!AM173="제외"),"",IF($D173=$E173,IF(AND($D173&gt;=CT$5,$D173&lt;CT$5+7),"◆",""),IF(AND($D173&lt;CT$5+7,$E173&gt;CT$5),"■","")))</x:f>
      </x:c>
      <x:c r="CU173" s="7" t="str">
        <x:f>IF(OR($D173="",CU$5="",'상세일정'!AM173="제외"),"",IF($D173=$E173,IF(AND($D173&gt;=CU$5,$D173&lt;CU$5+7),"◆",""),IF(AND($D173&lt;CU$5+7,$E173&gt;CU$5),"■","")))</x:f>
      </x:c>
      <x:c r="CV173" s="7" t="str">
        <x:f>IF(OR($D173="",CV$5="",'상세일정'!AM173="제외"),"",IF($D173=$E173,IF(AND($D173&gt;=CV$5,$D173&lt;CV$5+7),"◆",""),IF(AND($D173&lt;CV$5+7,$E173&gt;CV$5),"■","")))</x:f>
      </x:c>
      <x:c r="CW173" s="7" t="str">
        <x:f>IF(OR($D173="",CW$5="",'상세일정'!AM173="제외"),"",IF($D173=$E173,IF(AND($D173&gt;=CW$5,$D173&lt;CW$5+7),"◆",""),IF(AND($D173&lt;CW$5+7,$E173&gt;CW$5),"■","")))</x:f>
      </x:c>
      <x:c r="CX173" s="7" t="str">
        <x:f>IF(OR($D173="",CX$5="",'상세일정'!AM173="제외"),"",IF($D173=$E173,IF(AND($D173&gt;=CX$5,$D173&lt;CX$5+7),"◆",""),IF(AND($D173&lt;CX$5+7,$E173&gt;CX$5),"■","")))</x:f>
      </x:c>
      <x:c r="CY173" s="7" t="str">
        <x:f>IF(OR($D173="",CY$5="",'상세일정'!AM173="제외"),"",IF($D173=$E173,IF(AND($D173&gt;=CY$5,$D173&lt;CY$5+7),"◆",""),IF(AND($D173&lt;CY$5+7,$E173&gt;CY$5),"■","")))</x:f>
      </x:c>
      <x:c r="CZ173" s="7" t="str">
        <x:f>IF(OR($D173="",CZ$5="",'상세일정'!AM173="제외"),"",IF($D173=$E173,IF(AND($D173&gt;=CZ$5,$D173&lt;CZ$5+7),"◆",""),IF(AND($D173&lt;CZ$5+7,$E173&gt;CZ$5),"■","")))</x:f>
      </x:c>
      <x:c r="DA173" s="7" t="str">
        <x:f>IF(OR($D173="",DA$5="",'상세일정'!AM173="제외"),"",IF($D173=$E173,IF(AND($D173&gt;=DA$5,$D173&lt;DA$5+7),"◆",""),IF(AND($D173&lt;DA$5+7,$E173&gt;DA$5),"■","")))</x:f>
      </x:c>
      <x:c r="DB173" s="7" t="str">
        <x:f>IF(OR($D173="",DB$5="",'상세일정'!AM173="제외"),"",IF($D173=$E173,IF(AND($D173&gt;=DB$5,$D173&lt;DB$5+7),"◆",""),IF(AND($D173&lt;DB$5+7,$E173&gt;DB$5),"■","")))</x:f>
      </x:c>
      <x:c r="DC173" s="7" t="str">
        <x:f>IF(OR($D173="",DC$5="",'상세일정'!AM173="제외"),"",IF($D173=$E173,IF(AND($D173&gt;=DC$5,$D173&lt;DC$5+7),"◆",""),IF(AND($D173&lt;DC$5+7,$E173&gt;DC$5),"■","")))</x:f>
      </x:c>
      <x:c r="DD173" s="7" t="str">
        <x:f>IF(OR($D173="",DD$5="",'상세일정'!AM173="제외"),"",IF($D173=$E173,IF(AND($D173&gt;=DD$5,$D173&lt;DD$5+7),"◆",""),IF(AND($D173&lt;DD$5+7,$E173&gt;DD$5),"■","")))</x:f>
      </x:c>
      <x:c r="DE173" s="7" t="str">
        <x:f>IF(OR($D173="",DE$5="",'상세일정'!AM173="제외"),"",IF($D173=$E173,IF(AND($D173&gt;=DE$5,$D173&lt;DE$5+7),"◆",""),IF(AND($D173&lt;DE$5+7,$E173&gt;DE$5),"■","")))</x:f>
      </x:c>
    </x:row>
    <x:row r="174" ht="34" customHeight="1">
      <x:c r="A174" s="7" t="str">
        <x:v>UF05</x:v>
      </x:c>
      <x:c r="B174" s="7" t="str">
        <x:v>19 설비기초·전기실</x:v>
      </x:c>
      <x:c r="C174" s="7" t="str">
        <x:v>장비 반입로·기초강도·앵커 최종 확인</x:v>
      </x:c>
      <x:c r="D174" s="10" t="str">
        <x:f>'상세일정'!AJ174</x:f>
      </x:c>
      <x:c r="E174" s="10" t="str">
        <x:f>'상세일정'!AK174</x:f>
      </x:c>
      <x:c r="F174" s="7" t="str">
        <x:f>IF(OR($D174="",F$5="",'상세일정'!AM174="제외"),"",IF($D174=$E174,IF(AND($D174&gt;=F$5,$D174&lt;F$5+7),"◆",""),IF(AND($D174&lt;F$5+7,$E174&gt;F$5),"■","")))</x:f>
      </x:c>
      <x:c r="G174" s="7" t="str">
        <x:f>IF(OR($D174="",G$5="",'상세일정'!AM174="제외"),"",IF($D174=$E174,IF(AND($D174&gt;=G$5,$D174&lt;G$5+7),"◆",""),IF(AND($D174&lt;G$5+7,$E174&gt;G$5),"■","")))</x:f>
      </x:c>
      <x:c r="H174" s="7" t="str">
        <x:f>IF(OR($D174="",H$5="",'상세일정'!AM174="제외"),"",IF($D174=$E174,IF(AND($D174&gt;=H$5,$D174&lt;H$5+7),"◆",""),IF(AND($D174&lt;H$5+7,$E174&gt;H$5),"■","")))</x:f>
      </x:c>
      <x:c r="I174" s="7" t="str">
        <x:f>IF(OR($D174="",I$5="",'상세일정'!AM174="제외"),"",IF($D174=$E174,IF(AND($D174&gt;=I$5,$D174&lt;I$5+7),"◆",""),IF(AND($D174&lt;I$5+7,$E174&gt;I$5),"■","")))</x:f>
      </x:c>
      <x:c r="J174" s="7" t="str">
        <x:f>IF(OR($D174="",J$5="",'상세일정'!AM174="제외"),"",IF($D174=$E174,IF(AND($D174&gt;=J$5,$D174&lt;J$5+7),"◆",""),IF(AND($D174&lt;J$5+7,$E174&gt;J$5),"■","")))</x:f>
      </x:c>
      <x:c r="K174" s="7" t="str">
        <x:f>IF(OR($D174="",K$5="",'상세일정'!AM174="제외"),"",IF($D174=$E174,IF(AND($D174&gt;=K$5,$D174&lt;K$5+7),"◆",""),IF(AND($D174&lt;K$5+7,$E174&gt;K$5),"■","")))</x:f>
      </x:c>
      <x:c r="L174" s="7" t="str">
        <x:f>IF(OR($D174="",L$5="",'상세일정'!AM174="제외"),"",IF($D174=$E174,IF(AND($D174&gt;=L$5,$D174&lt;L$5+7),"◆",""),IF(AND($D174&lt;L$5+7,$E174&gt;L$5),"■","")))</x:f>
      </x:c>
      <x:c r="M174" s="7" t="str">
        <x:f>IF(OR($D174="",M$5="",'상세일정'!AM174="제외"),"",IF($D174=$E174,IF(AND($D174&gt;=M$5,$D174&lt;M$5+7),"◆",""),IF(AND($D174&lt;M$5+7,$E174&gt;M$5),"■","")))</x:f>
      </x:c>
      <x:c r="N174" s="7" t="str">
        <x:f>IF(OR($D174="",N$5="",'상세일정'!AM174="제외"),"",IF($D174=$E174,IF(AND($D174&gt;=N$5,$D174&lt;N$5+7),"◆",""),IF(AND($D174&lt;N$5+7,$E174&gt;N$5),"■","")))</x:f>
      </x:c>
      <x:c r="O174" s="7" t="str">
        <x:f>IF(OR($D174="",O$5="",'상세일정'!AM174="제외"),"",IF($D174=$E174,IF(AND($D174&gt;=O$5,$D174&lt;O$5+7),"◆",""),IF(AND($D174&lt;O$5+7,$E174&gt;O$5),"■","")))</x:f>
      </x:c>
      <x:c r="P174" s="7" t="str">
        <x:f>IF(OR($D174="",P$5="",'상세일정'!AM174="제외"),"",IF($D174=$E174,IF(AND($D174&gt;=P$5,$D174&lt;P$5+7),"◆",""),IF(AND($D174&lt;P$5+7,$E174&gt;P$5),"■","")))</x:f>
      </x:c>
      <x:c r="Q174" s="7" t="str">
        <x:f>IF(OR($D174="",Q$5="",'상세일정'!AM174="제외"),"",IF($D174=$E174,IF(AND($D174&gt;=Q$5,$D174&lt;Q$5+7),"◆",""),IF(AND($D174&lt;Q$5+7,$E174&gt;Q$5),"■","")))</x:f>
      </x:c>
      <x:c r="R174" s="7" t="str">
        <x:f>IF(OR($D174="",R$5="",'상세일정'!AM174="제외"),"",IF($D174=$E174,IF(AND($D174&gt;=R$5,$D174&lt;R$5+7),"◆",""),IF(AND($D174&lt;R$5+7,$E174&gt;R$5),"■","")))</x:f>
      </x:c>
      <x:c r="S174" s="7" t="str">
        <x:f>IF(OR($D174="",S$5="",'상세일정'!AM174="제외"),"",IF($D174=$E174,IF(AND($D174&gt;=S$5,$D174&lt;S$5+7),"◆",""),IF(AND($D174&lt;S$5+7,$E174&gt;S$5),"■","")))</x:f>
      </x:c>
      <x:c r="T174" s="7" t="str">
        <x:f>IF(OR($D174="",T$5="",'상세일정'!AM174="제외"),"",IF($D174=$E174,IF(AND($D174&gt;=T$5,$D174&lt;T$5+7),"◆",""),IF(AND($D174&lt;T$5+7,$E174&gt;T$5),"■","")))</x:f>
      </x:c>
      <x:c r="U174" s="7" t="str">
        <x:f>IF(OR($D174="",U$5="",'상세일정'!AM174="제외"),"",IF($D174=$E174,IF(AND($D174&gt;=U$5,$D174&lt;U$5+7),"◆",""),IF(AND($D174&lt;U$5+7,$E174&gt;U$5),"■","")))</x:f>
      </x:c>
      <x:c r="V174" s="7" t="str">
        <x:f>IF(OR($D174="",V$5="",'상세일정'!AM174="제외"),"",IF($D174=$E174,IF(AND($D174&gt;=V$5,$D174&lt;V$5+7),"◆",""),IF(AND($D174&lt;V$5+7,$E174&gt;V$5),"■","")))</x:f>
      </x:c>
      <x:c r="W174" s="7" t="str">
        <x:f>IF(OR($D174="",W$5="",'상세일정'!AM174="제외"),"",IF($D174=$E174,IF(AND($D174&gt;=W$5,$D174&lt;W$5+7),"◆",""),IF(AND($D174&lt;W$5+7,$E174&gt;W$5),"■","")))</x:f>
      </x:c>
      <x:c r="X174" s="7" t="str">
        <x:f>IF(OR($D174="",X$5="",'상세일정'!AM174="제외"),"",IF($D174=$E174,IF(AND($D174&gt;=X$5,$D174&lt;X$5+7),"◆",""),IF(AND($D174&lt;X$5+7,$E174&gt;X$5),"■","")))</x:f>
      </x:c>
      <x:c r="Y174" s="7" t="str">
        <x:f>IF(OR($D174="",Y$5="",'상세일정'!AM174="제외"),"",IF($D174=$E174,IF(AND($D174&gt;=Y$5,$D174&lt;Y$5+7),"◆",""),IF(AND($D174&lt;Y$5+7,$E174&gt;Y$5),"■","")))</x:f>
      </x:c>
      <x:c r="Z174" s="7" t="str">
        <x:f>IF(OR($D174="",Z$5="",'상세일정'!AM174="제외"),"",IF($D174=$E174,IF(AND($D174&gt;=Z$5,$D174&lt;Z$5+7),"◆",""),IF(AND($D174&lt;Z$5+7,$E174&gt;Z$5),"■","")))</x:f>
      </x:c>
      <x:c r="AA174" s="7" t="str">
        <x:f>IF(OR($D174="",AA$5="",'상세일정'!AM174="제외"),"",IF($D174=$E174,IF(AND($D174&gt;=AA$5,$D174&lt;AA$5+7),"◆",""),IF(AND($D174&lt;AA$5+7,$E174&gt;AA$5),"■","")))</x:f>
      </x:c>
      <x:c r="AB174" s="7" t="str">
        <x:f>IF(OR($D174="",AB$5="",'상세일정'!AM174="제외"),"",IF($D174=$E174,IF(AND($D174&gt;=AB$5,$D174&lt;AB$5+7),"◆",""),IF(AND($D174&lt;AB$5+7,$E174&gt;AB$5),"■","")))</x:f>
      </x:c>
      <x:c r="AC174" s="7" t="str">
        <x:f>IF(OR($D174="",AC$5="",'상세일정'!AM174="제외"),"",IF($D174=$E174,IF(AND($D174&gt;=AC$5,$D174&lt;AC$5+7),"◆",""),IF(AND($D174&lt;AC$5+7,$E174&gt;AC$5),"■","")))</x:f>
      </x:c>
      <x:c r="AD174" s="7" t="str">
        <x:f>IF(OR($D174="",AD$5="",'상세일정'!AM174="제외"),"",IF($D174=$E174,IF(AND($D174&gt;=AD$5,$D174&lt;AD$5+7),"◆",""),IF(AND($D174&lt;AD$5+7,$E174&gt;AD$5),"■","")))</x:f>
      </x:c>
      <x:c r="AE174" s="7" t="str">
        <x:f>IF(OR($D174="",AE$5="",'상세일정'!AM174="제외"),"",IF($D174=$E174,IF(AND($D174&gt;=AE$5,$D174&lt;AE$5+7),"◆",""),IF(AND($D174&lt;AE$5+7,$E174&gt;AE$5),"■","")))</x:f>
      </x:c>
      <x:c r="AF174" s="7" t="str">
        <x:f>IF(OR($D174="",AF$5="",'상세일정'!AM174="제외"),"",IF($D174=$E174,IF(AND($D174&gt;=AF$5,$D174&lt;AF$5+7),"◆",""),IF(AND($D174&lt;AF$5+7,$E174&gt;AF$5),"■","")))</x:f>
      </x:c>
      <x:c r="AG174" s="7" t="str">
        <x:f>IF(OR($D174="",AG$5="",'상세일정'!AM174="제외"),"",IF($D174=$E174,IF(AND($D174&gt;=AG$5,$D174&lt;AG$5+7),"◆",""),IF(AND($D174&lt;AG$5+7,$E174&gt;AG$5),"■","")))</x:f>
      </x:c>
      <x:c r="AH174" s="7" t="str">
        <x:f>IF(OR($D174="",AH$5="",'상세일정'!AM174="제외"),"",IF($D174=$E174,IF(AND($D174&gt;=AH$5,$D174&lt;AH$5+7),"◆",""),IF(AND($D174&lt;AH$5+7,$E174&gt;AH$5),"■","")))</x:f>
      </x:c>
      <x:c r="AI174" s="7" t="str">
        <x:f>IF(OR($D174="",AI$5="",'상세일정'!AM174="제외"),"",IF($D174=$E174,IF(AND($D174&gt;=AI$5,$D174&lt;AI$5+7),"◆",""),IF(AND($D174&lt;AI$5+7,$E174&gt;AI$5),"■","")))</x:f>
      </x:c>
      <x:c r="AJ174" s="7" t="str">
        <x:f>IF(OR($D174="",AJ$5="",'상세일정'!AM174="제외"),"",IF($D174=$E174,IF(AND($D174&gt;=AJ$5,$D174&lt;AJ$5+7),"◆",""),IF(AND($D174&lt;AJ$5+7,$E174&gt;AJ$5),"■","")))</x:f>
      </x:c>
      <x:c r="AK174" s="7" t="str">
        <x:f>IF(OR($D174="",AK$5="",'상세일정'!AM174="제외"),"",IF($D174=$E174,IF(AND($D174&gt;=AK$5,$D174&lt;AK$5+7),"◆",""),IF(AND($D174&lt;AK$5+7,$E174&gt;AK$5),"■","")))</x:f>
      </x:c>
      <x:c r="AL174" s="7" t="str">
        <x:f>IF(OR($D174="",AL$5="",'상세일정'!AM174="제외"),"",IF($D174=$E174,IF(AND($D174&gt;=AL$5,$D174&lt;AL$5+7),"◆",""),IF(AND($D174&lt;AL$5+7,$E174&gt;AL$5),"■","")))</x:f>
      </x:c>
      <x:c r="AM174" s="7" t="str">
        <x:f>IF(OR($D174="",AM$5="",'상세일정'!AM174="제외"),"",IF($D174=$E174,IF(AND($D174&gt;=AM$5,$D174&lt;AM$5+7),"◆",""),IF(AND($D174&lt;AM$5+7,$E174&gt;AM$5),"■","")))</x:f>
      </x:c>
      <x:c r="AN174" s="7" t="str">
        <x:f>IF(OR($D174="",AN$5="",'상세일정'!AM174="제외"),"",IF($D174=$E174,IF(AND($D174&gt;=AN$5,$D174&lt;AN$5+7),"◆",""),IF(AND($D174&lt;AN$5+7,$E174&gt;AN$5),"■","")))</x:f>
      </x:c>
      <x:c r="AO174" s="7" t="str">
        <x:f>IF(OR($D174="",AO$5="",'상세일정'!AM174="제외"),"",IF($D174=$E174,IF(AND($D174&gt;=AO$5,$D174&lt;AO$5+7),"◆",""),IF(AND($D174&lt;AO$5+7,$E174&gt;AO$5),"■","")))</x:f>
      </x:c>
      <x:c r="AP174" s="7" t="str">
        <x:f>IF(OR($D174="",AP$5="",'상세일정'!AM174="제외"),"",IF($D174=$E174,IF(AND($D174&gt;=AP$5,$D174&lt;AP$5+7),"◆",""),IF(AND($D174&lt;AP$5+7,$E174&gt;AP$5),"■","")))</x:f>
      </x:c>
      <x:c r="AQ174" s="7" t="str">
        <x:f>IF(OR($D174="",AQ$5="",'상세일정'!AM174="제외"),"",IF($D174=$E174,IF(AND($D174&gt;=AQ$5,$D174&lt;AQ$5+7),"◆",""),IF(AND($D174&lt;AQ$5+7,$E174&gt;AQ$5),"■","")))</x:f>
      </x:c>
      <x:c r="AR174" s="7" t="str">
        <x:f>IF(OR($D174="",AR$5="",'상세일정'!AM174="제외"),"",IF($D174=$E174,IF(AND($D174&gt;=AR$5,$D174&lt;AR$5+7),"◆",""),IF(AND($D174&lt;AR$5+7,$E174&gt;AR$5),"■","")))</x:f>
      </x:c>
      <x:c r="AS174" s="7" t="str">
        <x:f>IF(OR($D174="",AS$5="",'상세일정'!AM174="제외"),"",IF($D174=$E174,IF(AND($D174&gt;=AS$5,$D174&lt;AS$5+7),"◆",""),IF(AND($D174&lt;AS$5+7,$E174&gt;AS$5),"■","")))</x:f>
      </x:c>
      <x:c r="AT174" s="7" t="str">
        <x:f>IF(OR($D174="",AT$5="",'상세일정'!AM174="제외"),"",IF($D174=$E174,IF(AND($D174&gt;=AT$5,$D174&lt;AT$5+7),"◆",""),IF(AND($D174&lt;AT$5+7,$E174&gt;AT$5),"■","")))</x:f>
      </x:c>
      <x:c r="AU174" s="7" t="str">
        <x:f>IF(OR($D174="",AU$5="",'상세일정'!AM174="제외"),"",IF($D174=$E174,IF(AND($D174&gt;=AU$5,$D174&lt;AU$5+7),"◆",""),IF(AND($D174&lt;AU$5+7,$E174&gt;AU$5),"■","")))</x:f>
      </x:c>
      <x:c r="AV174" s="7" t="str">
        <x:f>IF(OR($D174="",AV$5="",'상세일정'!AM174="제외"),"",IF($D174=$E174,IF(AND($D174&gt;=AV$5,$D174&lt;AV$5+7),"◆",""),IF(AND($D174&lt;AV$5+7,$E174&gt;AV$5),"■","")))</x:f>
      </x:c>
      <x:c r="AW174" s="7" t="str">
        <x:f>IF(OR($D174="",AW$5="",'상세일정'!AM174="제외"),"",IF($D174=$E174,IF(AND($D174&gt;=AW$5,$D174&lt;AW$5+7),"◆",""),IF(AND($D174&lt;AW$5+7,$E174&gt;AW$5),"■","")))</x:f>
      </x:c>
      <x:c r="AX174" s="7" t="str">
        <x:f>IF(OR($D174="",AX$5="",'상세일정'!AM174="제외"),"",IF($D174=$E174,IF(AND($D174&gt;=AX$5,$D174&lt;AX$5+7),"◆",""),IF(AND($D174&lt;AX$5+7,$E174&gt;AX$5),"■","")))</x:f>
      </x:c>
      <x:c r="AY174" s="7" t="str">
        <x:f>IF(OR($D174="",AY$5="",'상세일정'!AM174="제외"),"",IF($D174=$E174,IF(AND($D174&gt;=AY$5,$D174&lt;AY$5+7),"◆",""),IF(AND($D174&lt;AY$5+7,$E174&gt;AY$5),"■","")))</x:f>
      </x:c>
      <x:c r="AZ174" s="7" t="str">
        <x:f>IF(OR($D174="",AZ$5="",'상세일정'!AM174="제외"),"",IF($D174=$E174,IF(AND($D174&gt;=AZ$5,$D174&lt;AZ$5+7),"◆",""),IF(AND($D174&lt;AZ$5+7,$E174&gt;AZ$5),"■","")))</x:f>
      </x:c>
      <x:c r="BA174" s="7" t="str">
        <x:f>IF(OR($D174="",BA$5="",'상세일정'!AM174="제외"),"",IF($D174=$E174,IF(AND($D174&gt;=BA$5,$D174&lt;BA$5+7),"◆",""),IF(AND($D174&lt;BA$5+7,$E174&gt;BA$5),"■","")))</x:f>
      </x:c>
      <x:c r="BB174" s="7" t="str">
        <x:f>IF(OR($D174="",BB$5="",'상세일정'!AM174="제외"),"",IF($D174=$E174,IF(AND($D174&gt;=BB$5,$D174&lt;BB$5+7),"◆",""),IF(AND($D174&lt;BB$5+7,$E174&gt;BB$5),"■","")))</x:f>
      </x:c>
      <x:c r="BC174" s="7" t="str">
        <x:f>IF(OR($D174="",BC$5="",'상세일정'!AM174="제외"),"",IF($D174=$E174,IF(AND($D174&gt;=BC$5,$D174&lt;BC$5+7),"◆",""),IF(AND($D174&lt;BC$5+7,$E174&gt;BC$5),"■","")))</x:f>
      </x:c>
      <x:c r="BD174" s="7" t="str">
        <x:f>IF(OR($D174="",BD$5="",'상세일정'!AM174="제외"),"",IF($D174=$E174,IF(AND($D174&gt;=BD$5,$D174&lt;BD$5+7),"◆",""),IF(AND($D174&lt;BD$5+7,$E174&gt;BD$5),"■","")))</x:f>
      </x:c>
      <x:c r="BE174" s="7" t="str">
        <x:f>IF(OR($D174="",BE$5="",'상세일정'!AM174="제외"),"",IF($D174=$E174,IF(AND($D174&gt;=BE$5,$D174&lt;BE$5+7),"◆",""),IF(AND($D174&lt;BE$5+7,$E174&gt;BE$5),"■","")))</x:f>
      </x:c>
      <x:c r="BF174" s="7" t="str">
        <x:f>IF(OR($D174="",BF$5="",'상세일정'!AM174="제외"),"",IF($D174=$E174,IF(AND($D174&gt;=BF$5,$D174&lt;BF$5+7),"◆",""),IF(AND($D174&lt;BF$5+7,$E174&gt;BF$5),"■","")))</x:f>
      </x:c>
      <x:c r="BG174" s="7" t="str">
        <x:f>IF(OR($D174="",BG$5="",'상세일정'!AM174="제외"),"",IF($D174=$E174,IF(AND($D174&gt;=BG$5,$D174&lt;BG$5+7),"◆",""),IF(AND($D174&lt;BG$5+7,$E174&gt;BG$5),"■","")))</x:f>
      </x:c>
      <x:c r="BH174" s="7" t="str">
        <x:f>IF(OR($D174="",BH$5="",'상세일정'!AM174="제외"),"",IF($D174=$E174,IF(AND($D174&gt;=BH$5,$D174&lt;BH$5+7),"◆",""),IF(AND($D174&lt;BH$5+7,$E174&gt;BH$5),"■","")))</x:f>
      </x:c>
      <x:c r="BI174" s="7" t="str">
        <x:f>IF(OR($D174="",BI$5="",'상세일정'!AM174="제외"),"",IF($D174=$E174,IF(AND($D174&gt;=BI$5,$D174&lt;BI$5+7),"◆",""),IF(AND($D174&lt;BI$5+7,$E174&gt;BI$5),"■","")))</x:f>
      </x:c>
      <x:c r="BJ174" s="7" t="str">
        <x:f>IF(OR($D174="",BJ$5="",'상세일정'!AM174="제외"),"",IF($D174=$E174,IF(AND($D174&gt;=BJ$5,$D174&lt;BJ$5+7),"◆",""),IF(AND($D174&lt;BJ$5+7,$E174&gt;BJ$5),"■","")))</x:f>
      </x:c>
      <x:c r="BK174" s="7" t="str">
        <x:f>IF(OR($D174="",BK$5="",'상세일정'!AM174="제외"),"",IF($D174=$E174,IF(AND($D174&gt;=BK$5,$D174&lt;BK$5+7),"◆",""),IF(AND($D174&lt;BK$5+7,$E174&gt;BK$5),"■","")))</x:f>
      </x:c>
      <x:c r="BL174" s="7" t="str">
        <x:f>IF(OR($D174="",BL$5="",'상세일정'!AM174="제외"),"",IF($D174=$E174,IF(AND($D174&gt;=BL$5,$D174&lt;BL$5+7),"◆",""),IF(AND($D174&lt;BL$5+7,$E174&gt;BL$5),"■","")))</x:f>
      </x:c>
      <x:c r="BM174" s="7" t="str">
        <x:f>IF(OR($D174="",BM$5="",'상세일정'!AM174="제외"),"",IF($D174=$E174,IF(AND($D174&gt;=BM$5,$D174&lt;BM$5+7),"◆",""),IF(AND($D174&lt;BM$5+7,$E174&gt;BM$5),"■","")))</x:f>
      </x:c>
      <x:c r="BN174" s="7" t="str">
        <x:f>IF(OR($D174="",BN$5="",'상세일정'!AM174="제외"),"",IF($D174=$E174,IF(AND($D174&gt;=BN$5,$D174&lt;BN$5+7),"◆",""),IF(AND($D174&lt;BN$5+7,$E174&gt;BN$5),"■","")))</x:f>
      </x:c>
      <x:c r="BO174" s="7" t="str">
        <x:f>IF(OR($D174="",BO$5="",'상세일정'!AM174="제외"),"",IF($D174=$E174,IF(AND($D174&gt;=BO$5,$D174&lt;BO$5+7),"◆",""),IF(AND($D174&lt;BO$5+7,$E174&gt;BO$5),"■","")))</x:f>
      </x:c>
      <x:c r="BP174" s="7" t="str">
        <x:f>IF(OR($D174="",BP$5="",'상세일정'!AM174="제외"),"",IF($D174=$E174,IF(AND($D174&gt;=BP$5,$D174&lt;BP$5+7),"◆",""),IF(AND($D174&lt;BP$5+7,$E174&gt;BP$5),"■","")))</x:f>
      </x:c>
      <x:c r="BQ174" s="7" t="str">
        <x:f>IF(OR($D174="",BQ$5="",'상세일정'!AM174="제외"),"",IF($D174=$E174,IF(AND($D174&gt;=BQ$5,$D174&lt;BQ$5+7),"◆",""),IF(AND($D174&lt;BQ$5+7,$E174&gt;BQ$5),"■","")))</x:f>
      </x:c>
      <x:c r="BR174" s="7" t="str">
        <x:f>IF(OR($D174="",BR$5="",'상세일정'!AM174="제외"),"",IF($D174=$E174,IF(AND($D174&gt;=BR$5,$D174&lt;BR$5+7),"◆",""),IF(AND($D174&lt;BR$5+7,$E174&gt;BR$5),"■","")))</x:f>
      </x:c>
      <x:c r="BS174" s="7" t="str">
        <x:f>IF(OR($D174="",BS$5="",'상세일정'!AM174="제외"),"",IF($D174=$E174,IF(AND($D174&gt;=BS$5,$D174&lt;BS$5+7),"◆",""),IF(AND($D174&lt;BS$5+7,$E174&gt;BS$5),"■","")))</x:f>
      </x:c>
      <x:c r="BT174" s="7" t="str">
        <x:f>IF(OR($D174="",BT$5="",'상세일정'!AM174="제외"),"",IF($D174=$E174,IF(AND($D174&gt;=BT$5,$D174&lt;BT$5+7),"◆",""),IF(AND($D174&lt;BT$5+7,$E174&gt;BT$5),"■","")))</x:f>
      </x:c>
      <x:c r="BU174" s="7" t="str">
        <x:f>IF(OR($D174="",BU$5="",'상세일정'!AM174="제외"),"",IF($D174=$E174,IF(AND($D174&gt;=BU$5,$D174&lt;BU$5+7),"◆",""),IF(AND($D174&lt;BU$5+7,$E174&gt;BU$5),"■","")))</x:f>
      </x:c>
      <x:c r="BV174" s="7" t="str">
        <x:f>IF(OR($D174="",BV$5="",'상세일정'!AM174="제외"),"",IF($D174=$E174,IF(AND($D174&gt;=BV$5,$D174&lt;BV$5+7),"◆",""),IF(AND($D174&lt;BV$5+7,$E174&gt;BV$5),"■","")))</x:f>
      </x:c>
      <x:c r="BW174" s="7" t="str">
        <x:f>IF(OR($D174="",BW$5="",'상세일정'!AM174="제외"),"",IF($D174=$E174,IF(AND($D174&gt;=BW$5,$D174&lt;BW$5+7),"◆",""),IF(AND($D174&lt;BW$5+7,$E174&gt;BW$5),"■","")))</x:f>
      </x:c>
      <x:c r="BX174" s="7" t="str">
        <x:f>IF(OR($D174="",BX$5="",'상세일정'!AM174="제외"),"",IF($D174=$E174,IF(AND($D174&gt;=BX$5,$D174&lt;BX$5+7),"◆",""),IF(AND($D174&lt;BX$5+7,$E174&gt;BX$5),"■","")))</x:f>
      </x:c>
      <x:c r="BY174" s="7" t="str">
        <x:f>IF(OR($D174="",BY$5="",'상세일정'!AM174="제외"),"",IF($D174=$E174,IF(AND($D174&gt;=BY$5,$D174&lt;BY$5+7),"◆",""),IF(AND($D174&lt;BY$5+7,$E174&gt;BY$5),"■","")))</x:f>
      </x:c>
      <x:c r="BZ174" s="7" t="str">
        <x:f>IF(OR($D174="",BZ$5="",'상세일정'!AM174="제외"),"",IF($D174=$E174,IF(AND($D174&gt;=BZ$5,$D174&lt;BZ$5+7),"◆",""),IF(AND($D174&lt;BZ$5+7,$E174&gt;BZ$5),"■","")))</x:f>
      </x:c>
      <x:c r="CA174" s="7" t="str">
        <x:f>IF(OR($D174="",CA$5="",'상세일정'!AM174="제외"),"",IF($D174=$E174,IF(AND($D174&gt;=CA$5,$D174&lt;CA$5+7),"◆",""),IF(AND($D174&lt;CA$5+7,$E174&gt;CA$5),"■","")))</x:f>
      </x:c>
      <x:c r="CB174" s="7" t="str">
        <x:f>IF(OR($D174="",CB$5="",'상세일정'!AM174="제외"),"",IF($D174=$E174,IF(AND($D174&gt;=CB$5,$D174&lt;CB$5+7),"◆",""),IF(AND($D174&lt;CB$5+7,$E174&gt;CB$5),"■","")))</x:f>
      </x:c>
      <x:c r="CC174" s="7" t="str">
        <x:f>IF(OR($D174="",CC$5="",'상세일정'!AM174="제외"),"",IF($D174=$E174,IF(AND($D174&gt;=CC$5,$D174&lt;CC$5+7),"◆",""),IF(AND($D174&lt;CC$5+7,$E174&gt;CC$5),"■","")))</x:f>
      </x:c>
      <x:c r="CD174" s="7" t="str">
        <x:f>IF(OR($D174="",CD$5="",'상세일정'!AM174="제외"),"",IF($D174=$E174,IF(AND($D174&gt;=CD$5,$D174&lt;CD$5+7),"◆",""),IF(AND($D174&lt;CD$5+7,$E174&gt;CD$5),"■","")))</x:f>
      </x:c>
      <x:c r="CE174" s="7" t="str">
        <x:f>IF(OR($D174="",CE$5="",'상세일정'!AM174="제외"),"",IF($D174=$E174,IF(AND($D174&gt;=CE$5,$D174&lt;CE$5+7),"◆",""),IF(AND($D174&lt;CE$5+7,$E174&gt;CE$5),"■","")))</x:f>
      </x:c>
      <x:c r="CF174" s="7" t="str">
        <x:f>IF(OR($D174="",CF$5="",'상세일정'!AM174="제외"),"",IF($D174=$E174,IF(AND($D174&gt;=CF$5,$D174&lt;CF$5+7),"◆",""),IF(AND($D174&lt;CF$5+7,$E174&gt;CF$5),"■","")))</x:f>
      </x:c>
      <x:c r="CG174" s="7" t="str">
        <x:f>IF(OR($D174="",CG$5="",'상세일정'!AM174="제외"),"",IF($D174=$E174,IF(AND($D174&gt;=CG$5,$D174&lt;CG$5+7),"◆",""),IF(AND($D174&lt;CG$5+7,$E174&gt;CG$5),"■","")))</x:f>
      </x:c>
      <x:c r="CH174" s="7" t="str">
        <x:f>IF(OR($D174="",CH$5="",'상세일정'!AM174="제외"),"",IF($D174=$E174,IF(AND($D174&gt;=CH$5,$D174&lt;CH$5+7),"◆",""),IF(AND($D174&lt;CH$5+7,$E174&gt;CH$5),"■","")))</x:f>
      </x:c>
      <x:c r="CI174" s="7" t="str">
        <x:f>IF(OR($D174="",CI$5="",'상세일정'!AM174="제외"),"",IF($D174=$E174,IF(AND($D174&gt;=CI$5,$D174&lt;CI$5+7),"◆",""),IF(AND($D174&lt;CI$5+7,$E174&gt;CI$5),"■","")))</x:f>
      </x:c>
      <x:c r="CJ174" s="7" t="str">
        <x:f>IF(OR($D174="",CJ$5="",'상세일정'!AM174="제외"),"",IF($D174=$E174,IF(AND($D174&gt;=CJ$5,$D174&lt;CJ$5+7),"◆",""),IF(AND($D174&lt;CJ$5+7,$E174&gt;CJ$5),"■","")))</x:f>
      </x:c>
      <x:c r="CK174" s="7" t="str">
        <x:f>IF(OR($D174="",CK$5="",'상세일정'!AM174="제외"),"",IF($D174=$E174,IF(AND($D174&gt;=CK$5,$D174&lt;CK$5+7),"◆",""),IF(AND($D174&lt;CK$5+7,$E174&gt;CK$5),"■","")))</x:f>
      </x:c>
      <x:c r="CL174" s="7" t="str">
        <x:f>IF(OR($D174="",CL$5="",'상세일정'!AM174="제외"),"",IF($D174=$E174,IF(AND($D174&gt;=CL$5,$D174&lt;CL$5+7),"◆",""),IF(AND($D174&lt;CL$5+7,$E174&gt;CL$5),"■","")))</x:f>
      </x:c>
      <x:c r="CM174" s="7" t="str">
        <x:f>IF(OR($D174="",CM$5="",'상세일정'!AM174="제외"),"",IF($D174=$E174,IF(AND($D174&gt;=CM$5,$D174&lt;CM$5+7),"◆",""),IF(AND($D174&lt;CM$5+7,$E174&gt;CM$5),"■","")))</x:f>
      </x:c>
      <x:c r="CN174" s="7" t="str">
        <x:f>IF(OR($D174="",CN$5="",'상세일정'!AM174="제외"),"",IF($D174=$E174,IF(AND($D174&gt;=CN$5,$D174&lt;CN$5+7),"◆",""),IF(AND($D174&lt;CN$5+7,$E174&gt;CN$5),"■","")))</x:f>
      </x:c>
      <x:c r="CO174" s="7" t="str">
        <x:f>IF(OR($D174="",CO$5="",'상세일정'!AM174="제외"),"",IF($D174=$E174,IF(AND($D174&gt;=CO$5,$D174&lt;CO$5+7),"◆",""),IF(AND($D174&lt;CO$5+7,$E174&gt;CO$5),"■","")))</x:f>
      </x:c>
      <x:c r="CP174" s="7" t="str">
        <x:f>IF(OR($D174="",CP$5="",'상세일정'!AM174="제외"),"",IF($D174=$E174,IF(AND($D174&gt;=CP$5,$D174&lt;CP$5+7),"◆",""),IF(AND($D174&lt;CP$5+7,$E174&gt;CP$5),"■","")))</x:f>
      </x:c>
      <x:c r="CQ174" s="7" t="str">
        <x:f>IF(OR($D174="",CQ$5="",'상세일정'!AM174="제외"),"",IF($D174=$E174,IF(AND($D174&gt;=CQ$5,$D174&lt;CQ$5+7),"◆",""),IF(AND($D174&lt;CQ$5+7,$E174&gt;CQ$5),"■","")))</x:f>
      </x:c>
      <x:c r="CR174" s="7" t="str">
        <x:f>IF(OR($D174="",CR$5="",'상세일정'!AM174="제외"),"",IF($D174=$E174,IF(AND($D174&gt;=CR$5,$D174&lt;CR$5+7),"◆",""),IF(AND($D174&lt;CR$5+7,$E174&gt;CR$5),"■","")))</x:f>
      </x:c>
      <x:c r="CS174" s="7" t="str">
        <x:f>IF(OR($D174="",CS$5="",'상세일정'!AM174="제외"),"",IF($D174=$E174,IF(AND($D174&gt;=CS$5,$D174&lt;CS$5+7),"◆",""),IF(AND($D174&lt;CS$5+7,$E174&gt;CS$5),"■","")))</x:f>
      </x:c>
      <x:c r="CT174" s="7" t="str">
        <x:f>IF(OR($D174="",CT$5="",'상세일정'!AM174="제외"),"",IF($D174=$E174,IF(AND($D174&gt;=CT$5,$D174&lt;CT$5+7),"◆",""),IF(AND($D174&lt;CT$5+7,$E174&gt;CT$5),"■","")))</x:f>
      </x:c>
      <x:c r="CU174" s="7" t="str">
        <x:f>IF(OR($D174="",CU$5="",'상세일정'!AM174="제외"),"",IF($D174=$E174,IF(AND($D174&gt;=CU$5,$D174&lt;CU$5+7),"◆",""),IF(AND($D174&lt;CU$5+7,$E174&gt;CU$5),"■","")))</x:f>
      </x:c>
      <x:c r="CV174" s="7" t="str">
        <x:f>IF(OR($D174="",CV$5="",'상세일정'!AM174="제외"),"",IF($D174=$E174,IF(AND($D174&gt;=CV$5,$D174&lt;CV$5+7),"◆",""),IF(AND($D174&lt;CV$5+7,$E174&gt;CV$5),"■","")))</x:f>
      </x:c>
      <x:c r="CW174" s="7" t="str">
        <x:f>IF(OR($D174="",CW$5="",'상세일정'!AM174="제외"),"",IF($D174=$E174,IF(AND($D174&gt;=CW$5,$D174&lt;CW$5+7),"◆",""),IF(AND($D174&lt;CW$5+7,$E174&gt;CW$5),"■","")))</x:f>
      </x:c>
      <x:c r="CX174" s="7" t="str">
        <x:f>IF(OR($D174="",CX$5="",'상세일정'!AM174="제외"),"",IF($D174=$E174,IF(AND($D174&gt;=CX$5,$D174&lt;CX$5+7),"◆",""),IF(AND($D174&lt;CX$5+7,$E174&gt;CX$5),"■","")))</x:f>
      </x:c>
      <x:c r="CY174" s="7" t="str">
        <x:f>IF(OR($D174="",CY$5="",'상세일정'!AM174="제외"),"",IF($D174=$E174,IF(AND($D174&gt;=CY$5,$D174&lt;CY$5+7),"◆",""),IF(AND($D174&lt;CY$5+7,$E174&gt;CY$5),"■","")))</x:f>
      </x:c>
      <x:c r="CZ174" s="7" t="str">
        <x:f>IF(OR($D174="",CZ$5="",'상세일정'!AM174="제외"),"",IF($D174=$E174,IF(AND($D174&gt;=CZ$5,$D174&lt;CZ$5+7),"◆",""),IF(AND($D174&lt;CZ$5+7,$E174&gt;CZ$5),"■","")))</x:f>
      </x:c>
      <x:c r="DA174" s="7" t="str">
        <x:f>IF(OR($D174="",DA$5="",'상세일정'!AM174="제외"),"",IF($D174=$E174,IF(AND($D174&gt;=DA$5,$D174&lt;DA$5+7),"◆",""),IF(AND($D174&lt;DA$5+7,$E174&gt;DA$5),"■","")))</x:f>
      </x:c>
      <x:c r="DB174" s="7" t="str">
        <x:f>IF(OR($D174="",DB$5="",'상세일정'!AM174="제외"),"",IF($D174=$E174,IF(AND($D174&gt;=DB$5,$D174&lt;DB$5+7),"◆",""),IF(AND($D174&lt;DB$5+7,$E174&gt;DB$5),"■","")))</x:f>
      </x:c>
      <x:c r="DC174" s="7" t="str">
        <x:f>IF(OR($D174="",DC$5="",'상세일정'!AM174="제외"),"",IF($D174=$E174,IF(AND($D174&gt;=DC$5,$D174&lt;DC$5+7),"◆",""),IF(AND($D174&lt;DC$5+7,$E174&gt;DC$5),"■","")))</x:f>
      </x:c>
      <x:c r="DD174" s="7" t="str">
        <x:f>IF(OR($D174="",DD$5="",'상세일정'!AM174="제외"),"",IF($D174=$E174,IF(AND($D174&gt;=DD$5,$D174&lt;DD$5+7),"◆",""),IF(AND($D174&lt;DD$5+7,$E174&gt;DD$5),"■","")))</x:f>
      </x:c>
      <x:c r="DE174" s="7" t="str">
        <x:f>IF(OR($D174="",DE$5="",'상세일정'!AM174="제외"),"",IF($D174=$E174,IF(AND($D174&gt;=DE$5,$D174&lt;DE$5+7),"◆",""),IF(AND($D174&lt;DE$5+7,$E174&gt;DE$5),"■","")))</x:f>
      </x:c>
    </x:row>
    <x:row r="175" ht="34" customHeight="1">
      <x:c r="A175" s="7" t="str">
        <x:v>MS03</x:v>
      </x:c>
      <x:c r="B175" s="7" t="str">
        <x:v>19 설비기초·전기실</x:v>
      </x:c>
      <x:c r="C175" s="7" t="str">
        <x:v>기자재 설치 가능 게이트</x:v>
      </x:c>
      <x:c r="D175" s="10" t="str">
        <x:f>'상세일정'!AJ175</x:f>
      </x:c>
      <x:c r="E175" s="10" t="str">
        <x:f>'상세일정'!AK175</x:f>
      </x:c>
      <x:c r="F175" s="7" t="str">
        <x:f>IF(OR($D175="",F$5="",'상세일정'!AM175="제외"),"",IF($D175=$E175,IF(AND($D175&gt;=F$5,$D175&lt;F$5+7),"◆",""),IF(AND($D175&lt;F$5+7,$E175&gt;F$5),"■","")))</x:f>
      </x:c>
      <x:c r="G175" s="7" t="str">
        <x:f>IF(OR($D175="",G$5="",'상세일정'!AM175="제외"),"",IF($D175=$E175,IF(AND($D175&gt;=G$5,$D175&lt;G$5+7),"◆",""),IF(AND($D175&lt;G$5+7,$E175&gt;G$5),"■","")))</x:f>
      </x:c>
      <x:c r="H175" s="7" t="str">
        <x:f>IF(OR($D175="",H$5="",'상세일정'!AM175="제외"),"",IF($D175=$E175,IF(AND($D175&gt;=H$5,$D175&lt;H$5+7),"◆",""),IF(AND($D175&lt;H$5+7,$E175&gt;H$5),"■","")))</x:f>
      </x:c>
      <x:c r="I175" s="7" t="str">
        <x:f>IF(OR($D175="",I$5="",'상세일정'!AM175="제외"),"",IF($D175=$E175,IF(AND($D175&gt;=I$5,$D175&lt;I$5+7),"◆",""),IF(AND($D175&lt;I$5+7,$E175&gt;I$5),"■","")))</x:f>
      </x:c>
      <x:c r="J175" s="7" t="str">
        <x:f>IF(OR($D175="",J$5="",'상세일정'!AM175="제외"),"",IF($D175=$E175,IF(AND($D175&gt;=J$5,$D175&lt;J$5+7),"◆",""),IF(AND($D175&lt;J$5+7,$E175&gt;J$5),"■","")))</x:f>
      </x:c>
      <x:c r="K175" s="7" t="str">
        <x:f>IF(OR($D175="",K$5="",'상세일정'!AM175="제외"),"",IF($D175=$E175,IF(AND($D175&gt;=K$5,$D175&lt;K$5+7),"◆",""),IF(AND($D175&lt;K$5+7,$E175&gt;K$5),"■","")))</x:f>
      </x:c>
      <x:c r="L175" s="7" t="str">
        <x:f>IF(OR($D175="",L$5="",'상세일정'!AM175="제외"),"",IF($D175=$E175,IF(AND($D175&gt;=L$5,$D175&lt;L$5+7),"◆",""),IF(AND($D175&lt;L$5+7,$E175&gt;L$5),"■","")))</x:f>
      </x:c>
      <x:c r="M175" s="7" t="str">
        <x:f>IF(OR($D175="",M$5="",'상세일정'!AM175="제외"),"",IF($D175=$E175,IF(AND($D175&gt;=M$5,$D175&lt;M$5+7),"◆",""),IF(AND($D175&lt;M$5+7,$E175&gt;M$5),"■","")))</x:f>
      </x:c>
      <x:c r="N175" s="7" t="str">
        <x:f>IF(OR($D175="",N$5="",'상세일정'!AM175="제외"),"",IF($D175=$E175,IF(AND($D175&gt;=N$5,$D175&lt;N$5+7),"◆",""),IF(AND($D175&lt;N$5+7,$E175&gt;N$5),"■","")))</x:f>
      </x:c>
      <x:c r="O175" s="7" t="str">
        <x:f>IF(OR($D175="",O$5="",'상세일정'!AM175="제외"),"",IF($D175=$E175,IF(AND($D175&gt;=O$5,$D175&lt;O$5+7),"◆",""),IF(AND($D175&lt;O$5+7,$E175&gt;O$5),"■","")))</x:f>
      </x:c>
      <x:c r="P175" s="7" t="str">
        <x:f>IF(OR($D175="",P$5="",'상세일정'!AM175="제외"),"",IF($D175=$E175,IF(AND($D175&gt;=P$5,$D175&lt;P$5+7),"◆",""),IF(AND($D175&lt;P$5+7,$E175&gt;P$5),"■","")))</x:f>
      </x:c>
      <x:c r="Q175" s="7" t="str">
        <x:f>IF(OR($D175="",Q$5="",'상세일정'!AM175="제외"),"",IF($D175=$E175,IF(AND($D175&gt;=Q$5,$D175&lt;Q$5+7),"◆",""),IF(AND($D175&lt;Q$5+7,$E175&gt;Q$5),"■","")))</x:f>
      </x:c>
      <x:c r="R175" s="7" t="str">
        <x:f>IF(OR($D175="",R$5="",'상세일정'!AM175="제외"),"",IF($D175=$E175,IF(AND($D175&gt;=R$5,$D175&lt;R$5+7),"◆",""),IF(AND($D175&lt;R$5+7,$E175&gt;R$5),"■","")))</x:f>
      </x:c>
      <x:c r="S175" s="7" t="str">
        <x:f>IF(OR($D175="",S$5="",'상세일정'!AM175="제외"),"",IF($D175=$E175,IF(AND($D175&gt;=S$5,$D175&lt;S$5+7),"◆",""),IF(AND($D175&lt;S$5+7,$E175&gt;S$5),"■","")))</x:f>
      </x:c>
      <x:c r="T175" s="7" t="str">
        <x:f>IF(OR($D175="",T$5="",'상세일정'!AM175="제외"),"",IF($D175=$E175,IF(AND($D175&gt;=T$5,$D175&lt;T$5+7),"◆",""),IF(AND($D175&lt;T$5+7,$E175&gt;T$5),"■","")))</x:f>
      </x:c>
      <x:c r="U175" s="7" t="str">
        <x:f>IF(OR($D175="",U$5="",'상세일정'!AM175="제외"),"",IF($D175=$E175,IF(AND($D175&gt;=U$5,$D175&lt;U$5+7),"◆",""),IF(AND($D175&lt;U$5+7,$E175&gt;U$5),"■","")))</x:f>
      </x:c>
      <x:c r="V175" s="7" t="str">
        <x:f>IF(OR($D175="",V$5="",'상세일정'!AM175="제외"),"",IF($D175=$E175,IF(AND($D175&gt;=V$5,$D175&lt;V$5+7),"◆",""),IF(AND($D175&lt;V$5+7,$E175&gt;V$5),"■","")))</x:f>
      </x:c>
      <x:c r="W175" s="7" t="str">
        <x:f>IF(OR($D175="",W$5="",'상세일정'!AM175="제외"),"",IF($D175=$E175,IF(AND($D175&gt;=W$5,$D175&lt;W$5+7),"◆",""),IF(AND($D175&lt;W$5+7,$E175&gt;W$5),"■","")))</x:f>
      </x:c>
      <x:c r="X175" s="7" t="str">
        <x:f>IF(OR($D175="",X$5="",'상세일정'!AM175="제외"),"",IF($D175=$E175,IF(AND($D175&gt;=X$5,$D175&lt;X$5+7),"◆",""),IF(AND($D175&lt;X$5+7,$E175&gt;X$5),"■","")))</x:f>
      </x:c>
      <x:c r="Y175" s="7" t="str">
        <x:f>IF(OR($D175="",Y$5="",'상세일정'!AM175="제외"),"",IF($D175=$E175,IF(AND($D175&gt;=Y$5,$D175&lt;Y$5+7),"◆",""),IF(AND($D175&lt;Y$5+7,$E175&gt;Y$5),"■","")))</x:f>
      </x:c>
      <x:c r="Z175" s="7" t="str">
        <x:f>IF(OR($D175="",Z$5="",'상세일정'!AM175="제외"),"",IF($D175=$E175,IF(AND($D175&gt;=Z$5,$D175&lt;Z$5+7),"◆",""),IF(AND($D175&lt;Z$5+7,$E175&gt;Z$5),"■","")))</x:f>
      </x:c>
      <x:c r="AA175" s="7" t="str">
        <x:f>IF(OR($D175="",AA$5="",'상세일정'!AM175="제외"),"",IF($D175=$E175,IF(AND($D175&gt;=AA$5,$D175&lt;AA$5+7),"◆",""),IF(AND($D175&lt;AA$5+7,$E175&gt;AA$5),"■","")))</x:f>
      </x:c>
      <x:c r="AB175" s="7" t="str">
        <x:f>IF(OR($D175="",AB$5="",'상세일정'!AM175="제외"),"",IF($D175=$E175,IF(AND($D175&gt;=AB$5,$D175&lt;AB$5+7),"◆",""),IF(AND($D175&lt;AB$5+7,$E175&gt;AB$5),"■","")))</x:f>
      </x:c>
      <x:c r="AC175" s="7" t="str">
        <x:f>IF(OR($D175="",AC$5="",'상세일정'!AM175="제외"),"",IF($D175=$E175,IF(AND($D175&gt;=AC$5,$D175&lt;AC$5+7),"◆",""),IF(AND($D175&lt;AC$5+7,$E175&gt;AC$5),"■","")))</x:f>
      </x:c>
      <x:c r="AD175" s="7" t="str">
        <x:f>IF(OR($D175="",AD$5="",'상세일정'!AM175="제외"),"",IF($D175=$E175,IF(AND($D175&gt;=AD$5,$D175&lt;AD$5+7),"◆",""),IF(AND($D175&lt;AD$5+7,$E175&gt;AD$5),"■","")))</x:f>
      </x:c>
      <x:c r="AE175" s="7" t="str">
        <x:f>IF(OR($D175="",AE$5="",'상세일정'!AM175="제외"),"",IF($D175=$E175,IF(AND($D175&gt;=AE$5,$D175&lt;AE$5+7),"◆",""),IF(AND($D175&lt;AE$5+7,$E175&gt;AE$5),"■","")))</x:f>
      </x:c>
      <x:c r="AF175" s="7" t="str">
        <x:f>IF(OR($D175="",AF$5="",'상세일정'!AM175="제외"),"",IF($D175=$E175,IF(AND($D175&gt;=AF$5,$D175&lt;AF$5+7),"◆",""),IF(AND($D175&lt;AF$5+7,$E175&gt;AF$5),"■","")))</x:f>
      </x:c>
      <x:c r="AG175" s="7" t="str">
        <x:f>IF(OR($D175="",AG$5="",'상세일정'!AM175="제외"),"",IF($D175=$E175,IF(AND($D175&gt;=AG$5,$D175&lt;AG$5+7),"◆",""),IF(AND($D175&lt;AG$5+7,$E175&gt;AG$5),"■","")))</x:f>
      </x:c>
      <x:c r="AH175" s="7" t="str">
        <x:f>IF(OR($D175="",AH$5="",'상세일정'!AM175="제외"),"",IF($D175=$E175,IF(AND($D175&gt;=AH$5,$D175&lt;AH$5+7),"◆",""),IF(AND($D175&lt;AH$5+7,$E175&gt;AH$5),"■","")))</x:f>
      </x:c>
      <x:c r="AI175" s="7" t="str">
        <x:f>IF(OR($D175="",AI$5="",'상세일정'!AM175="제외"),"",IF($D175=$E175,IF(AND($D175&gt;=AI$5,$D175&lt;AI$5+7),"◆",""),IF(AND($D175&lt;AI$5+7,$E175&gt;AI$5),"■","")))</x:f>
      </x:c>
      <x:c r="AJ175" s="7" t="str">
        <x:f>IF(OR($D175="",AJ$5="",'상세일정'!AM175="제외"),"",IF($D175=$E175,IF(AND($D175&gt;=AJ$5,$D175&lt;AJ$5+7),"◆",""),IF(AND($D175&lt;AJ$5+7,$E175&gt;AJ$5),"■","")))</x:f>
      </x:c>
      <x:c r="AK175" s="7" t="str">
        <x:f>IF(OR($D175="",AK$5="",'상세일정'!AM175="제외"),"",IF($D175=$E175,IF(AND($D175&gt;=AK$5,$D175&lt;AK$5+7),"◆",""),IF(AND($D175&lt;AK$5+7,$E175&gt;AK$5),"■","")))</x:f>
      </x:c>
      <x:c r="AL175" s="7" t="str">
        <x:f>IF(OR($D175="",AL$5="",'상세일정'!AM175="제외"),"",IF($D175=$E175,IF(AND($D175&gt;=AL$5,$D175&lt;AL$5+7),"◆",""),IF(AND($D175&lt;AL$5+7,$E175&gt;AL$5),"■","")))</x:f>
      </x:c>
      <x:c r="AM175" s="7" t="str">
        <x:f>IF(OR($D175="",AM$5="",'상세일정'!AM175="제외"),"",IF($D175=$E175,IF(AND($D175&gt;=AM$5,$D175&lt;AM$5+7),"◆",""),IF(AND($D175&lt;AM$5+7,$E175&gt;AM$5),"■","")))</x:f>
      </x:c>
      <x:c r="AN175" s="7" t="str">
        <x:f>IF(OR($D175="",AN$5="",'상세일정'!AM175="제외"),"",IF($D175=$E175,IF(AND($D175&gt;=AN$5,$D175&lt;AN$5+7),"◆",""),IF(AND($D175&lt;AN$5+7,$E175&gt;AN$5),"■","")))</x:f>
      </x:c>
      <x:c r="AO175" s="7" t="str">
        <x:f>IF(OR($D175="",AO$5="",'상세일정'!AM175="제외"),"",IF($D175=$E175,IF(AND($D175&gt;=AO$5,$D175&lt;AO$5+7),"◆",""),IF(AND($D175&lt;AO$5+7,$E175&gt;AO$5),"■","")))</x:f>
      </x:c>
      <x:c r="AP175" s="7" t="str">
        <x:f>IF(OR($D175="",AP$5="",'상세일정'!AM175="제외"),"",IF($D175=$E175,IF(AND($D175&gt;=AP$5,$D175&lt;AP$5+7),"◆",""),IF(AND($D175&lt;AP$5+7,$E175&gt;AP$5),"■","")))</x:f>
      </x:c>
      <x:c r="AQ175" s="7" t="str">
        <x:f>IF(OR($D175="",AQ$5="",'상세일정'!AM175="제외"),"",IF($D175=$E175,IF(AND($D175&gt;=AQ$5,$D175&lt;AQ$5+7),"◆",""),IF(AND($D175&lt;AQ$5+7,$E175&gt;AQ$5),"■","")))</x:f>
      </x:c>
      <x:c r="AR175" s="7" t="str">
        <x:f>IF(OR($D175="",AR$5="",'상세일정'!AM175="제외"),"",IF($D175=$E175,IF(AND($D175&gt;=AR$5,$D175&lt;AR$5+7),"◆",""),IF(AND($D175&lt;AR$5+7,$E175&gt;AR$5),"■","")))</x:f>
      </x:c>
      <x:c r="AS175" s="7" t="str">
        <x:f>IF(OR($D175="",AS$5="",'상세일정'!AM175="제외"),"",IF($D175=$E175,IF(AND($D175&gt;=AS$5,$D175&lt;AS$5+7),"◆",""),IF(AND($D175&lt;AS$5+7,$E175&gt;AS$5),"■","")))</x:f>
      </x:c>
      <x:c r="AT175" s="7" t="str">
        <x:f>IF(OR($D175="",AT$5="",'상세일정'!AM175="제외"),"",IF($D175=$E175,IF(AND($D175&gt;=AT$5,$D175&lt;AT$5+7),"◆",""),IF(AND($D175&lt;AT$5+7,$E175&gt;AT$5),"■","")))</x:f>
      </x:c>
      <x:c r="AU175" s="7" t="str">
        <x:f>IF(OR($D175="",AU$5="",'상세일정'!AM175="제외"),"",IF($D175=$E175,IF(AND($D175&gt;=AU$5,$D175&lt;AU$5+7),"◆",""),IF(AND($D175&lt;AU$5+7,$E175&gt;AU$5),"■","")))</x:f>
      </x:c>
      <x:c r="AV175" s="7" t="str">
        <x:f>IF(OR($D175="",AV$5="",'상세일정'!AM175="제외"),"",IF($D175=$E175,IF(AND($D175&gt;=AV$5,$D175&lt;AV$5+7),"◆",""),IF(AND($D175&lt;AV$5+7,$E175&gt;AV$5),"■","")))</x:f>
      </x:c>
      <x:c r="AW175" s="7" t="str">
        <x:f>IF(OR($D175="",AW$5="",'상세일정'!AM175="제외"),"",IF($D175=$E175,IF(AND($D175&gt;=AW$5,$D175&lt;AW$5+7),"◆",""),IF(AND($D175&lt;AW$5+7,$E175&gt;AW$5),"■","")))</x:f>
      </x:c>
      <x:c r="AX175" s="7" t="str">
        <x:f>IF(OR($D175="",AX$5="",'상세일정'!AM175="제외"),"",IF($D175=$E175,IF(AND($D175&gt;=AX$5,$D175&lt;AX$5+7),"◆",""),IF(AND($D175&lt;AX$5+7,$E175&gt;AX$5),"■","")))</x:f>
      </x:c>
      <x:c r="AY175" s="7" t="str">
        <x:f>IF(OR($D175="",AY$5="",'상세일정'!AM175="제외"),"",IF($D175=$E175,IF(AND($D175&gt;=AY$5,$D175&lt;AY$5+7),"◆",""),IF(AND($D175&lt;AY$5+7,$E175&gt;AY$5),"■","")))</x:f>
      </x:c>
      <x:c r="AZ175" s="7" t="str">
        <x:f>IF(OR($D175="",AZ$5="",'상세일정'!AM175="제외"),"",IF($D175=$E175,IF(AND($D175&gt;=AZ$5,$D175&lt;AZ$5+7),"◆",""),IF(AND($D175&lt;AZ$5+7,$E175&gt;AZ$5),"■","")))</x:f>
      </x:c>
      <x:c r="BA175" s="7" t="str">
        <x:f>IF(OR($D175="",BA$5="",'상세일정'!AM175="제외"),"",IF($D175=$E175,IF(AND($D175&gt;=BA$5,$D175&lt;BA$5+7),"◆",""),IF(AND($D175&lt;BA$5+7,$E175&gt;BA$5),"■","")))</x:f>
      </x:c>
      <x:c r="BB175" s="7" t="str">
        <x:f>IF(OR($D175="",BB$5="",'상세일정'!AM175="제외"),"",IF($D175=$E175,IF(AND($D175&gt;=BB$5,$D175&lt;BB$5+7),"◆",""),IF(AND($D175&lt;BB$5+7,$E175&gt;BB$5),"■","")))</x:f>
      </x:c>
      <x:c r="BC175" s="7" t="str">
        <x:f>IF(OR($D175="",BC$5="",'상세일정'!AM175="제외"),"",IF($D175=$E175,IF(AND($D175&gt;=BC$5,$D175&lt;BC$5+7),"◆",""),IF(AND($D175&lt;BC$5+7,$E175&gt;BC$5),"■","")))</x:f>
      </x:c>
      <x:c r="BD175" s="7" t="str">
        <x:f>IF(OR($D175="",BD$5="",'상세일정'!AM175="제외"),"",IF($D175=$E175,IF(AND($D175&gt;=BD$5,$D175&lt;BD$5+7),"◆",""),IF(AND($D175&lt;BD$5+7,$E175&gt;BD$5),"■","")))</x:f>
      </x:c>
      <x:c r="BE175" s="7" t="str">
        <x:f>IF(OR($D175="",BE$5="",'상세일정'!AM175="제외"),"",IF($D175=$E175,IF(AND($D175&gt;=BE$5,$D175&lt;BE$5+7),"◆",""),IF(AND($D175&lt;BE$5+7,$E175&gt;BE$5),"■","")))</x:f>
      </x:c>
      <x:c r="BF175" s="7" t="str">
        <x:f>IF(OR($D175="",BF$5="",'상세일정'!AM175="제외"),"",IF($D175=$E175,IF(AND($D175&gt;=BF$5,$D175&lt;BF$5+7),"◆",""),IF(AND($D175&lt;BF$5+7,$E175&gt;BF$5),"■","")))</x:f>
      </x:c>
      <x:c r="BG175" s="7" t="str">
        <x:f>IF(OR($D175="",BG$5="",'상세일정'!AM175="제외"),"",IF($D175=$E175,IF(AND($D175&gt;=BG$5,$D175&lt;BG$5+7),"◆",""),IF(AND($D175&lt;BG$5+7,$E175&gt;BG$5),"■","")))</x:f>
      </x:c>
      <x:c r="BH175" s="7" t="str">
        <x:f>IF(OR($D175="",BH$5="",'상세일정'!AM175="제외"),"",IF($D175=$E175,IF(AND($D175&gt;=BH$5,$D175&lt;BH$5+7),"◆",""),IF(AND($D175&lt;BH$5+7,$E175&gt;BH$5),"■","")))</x:f>
      </x:c>
      <x:c r="BI175" s="7" t="str">
        <x:f>IF(OR($D175="",BI$5="",'상세일정'!AM175="제외"),"",IF($D175=$E175,IF(AND($D175&gt;=BI$5,$D175&lt;BI$5+7),"◆",""),IF(AND($D175&lt;BI$5+7,$E175&gt;BI$5),"■","")))</x:f>
      </x:c>
      <x:c r="BJ175" s="7" t="str">
        <x:f>IF(OR($D175="",BJ$5="",'상세일정'!AM175="제외"),"",IF($D175=$E175,IF(AND($D175&gt;=BJ$5,$D175&lt;BJ$5+7),"◆",""),IF(AND($D175&lt;BJ$5+7,$E175&gt;BJ$5),"■","")))</x:f>
      </x:c>
      <x:c r="BK175" s="7" t="str">
        <x:f>IF(OR($D175="",BK$5="",'상세일정'!AM175="제외"),"",IF($D175=$E175,IF(AND($D175&gt;=BK$5,$D175&lt;BK$5+7),"◆",""),IF(AND($D175&lt;BK$5+7,$E175&gt;BK$5),"■","")))</x:f>
      </x:c>
      <x:c r="BL175" s="7" t="str">
        <x:f>IF(OR($D175="",BL$5="",'상세일정'!AM175="제외"),"",IF($D175=$E175,IF(AND($D175&gt;=BL$5,$D175&lt;BL$5+7),"◆",""),IF(AND($D175&lt;BL$5+7,$E175&gt;BL$5),"■","")))</x:f>
      </x:c>
      <x:c r="BM175" s="7" t="str">
        <x:f>IF(OR($D175="",BM$5="",'상세일정'!AM175="제외"),"",IF($D175=$E175,IF(AND($D175&gt;=BM$5,$D175&lt;BM$5+7),"◆",""),IF(AND($D175&lt;BM$5+7,$E175&gt;BM$5),"■","")))</x:f>
      </x:c>
      <x:c r="BN175" s="7" t="str">
        <x:f>IF(OR($D175="",BN$5="",'상세일정'!AM175="제외"),"",IF($D175=$E175,IF(AND($D175&gt;=BN$5,$D175&lt;BN$5+7),"◆",""),IF(AND($D175&lt;BN$5+7,$E175&gt;BN$5),"■","")))</x:f>
      </x:c>
      <x:c r="BO175" s="7" t="str">
        <x:f>IF(OR($D175="",BO$5="",'상세일정'!AM175="제외"),"",IF($D175=$E175,IF(AND($D175&gt;=BO$5,$D175&lt;BO$5+7),"◆",""),IF(AND($D175&lt;BO$5+7,$E175&gt;BO$5),"■","")))</x:f>
      </x:c>
      <x:c r="BP175" s="7" t="str">
        <x:f>IF(OR($D175="",BP$5="",'상세일정'!AM175="제외"),"",IF($D175=$E175,IF(AND($D175&gt;=BP$5,$D175&lt;BP$5+7),"◆",""),IF(AND($D175&lt;BP$5+7,$E175&gt;BP$5),"■","")))</x:f>
      </x:c>
      <x:c r="BQ175" s="7" t="str">
        <x:f>IF(OR($D175="",BQ$5="",'상세일정'!AM175="제외"),"",IF($D175=$E175,IF(AND($D175&gt;=BQ$5,$D175&lt;BQ$5+7),"◆",""),IF(AND($D175&lt;BQ$5+7,$E175&gt;BQ$5),"■","")))</x:f>
      </x:c>
      <x:c r="BR175" s="7" t="str">
        <x:f>IF(OR($D175="",BR$5="",'상세일정'!AM175="제외"),"",IF($D175=$E175,IF(AND($D175&gt;=BR$5,$D175&lt;BR$5+7),"◆",""),IF(AND($D175&lt;BR$5+7,$E175&gt;BR$5),"■","")))</x:f>
      </x:c>
      <x:c r="BS175" s="7" t="str">
        <x:f>IF(OR($D175="",BS$5="",'상세일정'!AM175="제외"),"",IF($D175=$E175,IF(AND($D175&gt;=BS$5,$D175&lt;BS$5+7),"◆",""),IF(AND($D175&lt;BS$5+7,$E175&gt;BS$5),"■","")))</x:f>
      </x:c>
      <x:c r="BT175" s="7" t="str">
        <x:f>IF(OR($D175="",BT$5="",'상세일정'!AM175="제외"),"",IF($D175=$E175,IF(AND($D175&gt;=BT$5,$D175&lt;BT$5+7),"◆",""),IF(AND($D175&lt;BT$5+7,$E175&gt;BT$5),"■","")))</x:f>
      </x:c>
      <x:c r="BU175" s="7" t="str">
        <x:f>IF(OR($D175="",BU$5="",'상세일정'!AM175="제외"),"",IF($D175=$E175,IF(AND($D175&gt;=BU$5,$D175&lt;BU$5+7),"◆",""),IF(AND($D175&lt;BU$5+7,$E175&gt;BU$5),"■","")))</x:f>
      </x:c>
      <x:c r="BV175" s="7" t="str">
        <x:f>IF(OR($D175="",BV$5="",'상세일정'!AM175="제외"),"",IF($D175=$E175,IF(AND($D175&gt;=BV$5,$D175&lt;BV$5+7),"◆",""),IF(AND($D175&lt;BV$5+7,$E175&gt;BV$5),"■","")))</x:f>
      </x:c>
      <x:c r="BW175" s="7" t="str">
        <x:f>IF(OR($D175="",BW$5="",'상세일정'!AM175="제외"),"",IF($D175=$E175,IF(AND($D175&gt;=BW$5,$D175&lt;BW$5+7),"◆",""),IF(AND($D175&lt;BW$5+7,$E175&gt;BW$5),"■","")))</x:f>
      </x:c>
      <x:c r="BX175" s="7" t="str">
        <x:f>IF(OR($D175="",BX$5="",'상세일정'!AM175="제외"),"",IF($D175=$E175,IF(AND($D175&gt;=BX$5,$D175&lt;BX$5+7),"◆",""),IF(AND($D175&lt;BX$5+7,$E175&gt;BX$5),"■","")))</x:f>
      </x:c>
      <x:c r="BY175" s="7" t="str">
        <x:f>IF(OR($D175="",BY$5="",'상세일정'!AM175="제외"),"",IF($D175=$E175,IF(AND($D175&gt;=BY$5,$D175&lt;BY$5+7),"◆",""),IF(AND($D175&lt;BY$5+7,$E175&gt;BY$5),"■","")))</x:f>
      </x:c>
      <x:c r="BZ175" s="7" t="str">
        <x:f>IF(OR($D175="",BZ$5="",'상세일정'!AM175="제외"),"",IF($D175=$E175,IF(AND($D175&gt;=BZ$5,$D175&lt;BZ$5+7),"◆",""),IF(AND($D175&lt;BZ$5+7,$E175&gt;BZ$5),"■","")))</x:f>
      </x:c>
      <x:c r="CA175" s="7" t="str">
        <x:f>IF(OR($D175="",CA$5="",'상세일정'!AM175="제외"),"",IF($D175=$E175,IF(AND($D175&gt;=CA$5,$D175&lt;CA$5+7),"◆",""),IF(AND($D175&lt;CA$5+7,$E175&gt;CA$5),"■","")))</x:f>
      </x:c>
      <x:c r="CB175" s="7" t="str">
        <x:f>IF(OR($D175="",CB$5="",'상세일정'!AM175="제외"),"",IF($D175=$E175,IF(AND($D175&gt;=CB$5,$D175&lt;CB$5+7),"◆",""),IF(AND($D175&lt;CB$5+7,$E175&gt;CB$5),"■","")))</x:f>
      </x:c>
      <x:c r="CC175" s="7" t="str">
        <x:f>IF(OR($D175="",CC$5="",'상세일정'!AM175="제외"),"",IF($D175=$E175,IF(AND($D175&gt;=CC$5,$D175&lt;CC$5+7),"◆",""),IF(AND($D175&lt;CC$5+7,$E175&gt;CC$5),"■","")))</x:f>
      </x:c>
      <x:c r="CD175" s="7" t="str">
        <x:f>IF(OR($D175="",CD$5="",'상세일정'!AM175="제외"),"",IF($D175=$E175,IF(AND($D175&gt;=CD$5,$D175&lt;CD$5+7),"◆",""),IF(AND($D175&lt;CD$5+7,$E175&gt;CD$5),"■","")))</x:f>
      </x:c>
      <x:c r="CE175" s="7" t="str">
        <x:f>IF(OR($D175="",CE$5="",'상세일정'!AM175="제외"),"",IF($D175=$E175,IF(AND($D175&gt;=CE$5,$D175&lt;CE$5+7),"◆",""),IF(AND($D175&lt;CE$5+7,$E175&gt;CE$5),"■","")))</x:f>
      </x:c>
      <x:c r="CF175" s="7" t="str">
        <x:f>IF(OR($D175="",CF$5="",'상세일정'!AM175="제외"),"",IF($D175=$E175,IF(AND($D175&gt;=CF$5,$D175&lt;CF$5+7),"◆",""),IF(AND($D175&lt;CF$5+7,$E175&gt;CF$5),"■","")))</x:f>
      </x:c>
      <x:c r="CG175" s="7" t="str">
        <x:f>IF(OR($D175="",CG$5="",'상세일정'!AM175="제외"),"",IF($D175=$E175,IF(AND($D175&gt;=CG$5,$D175&lt;CG$5+7),"◆",""),IF(AND($D175&lt;CG$5+7,$E175&gt;CG$5),"■","")))</x:f>
      </x:c>
      <x:c r="CH175" s="7" t="str">
        <x:f>IF(OR($D175="",CH$5="",'상세일정'!AM175="제외"),"",IF($D175=$E175,IF(AND($D175&gt;=CH$5,$D175&lt;CH$5+7),"◆",""),IF(AND($D175&lt;CH$5+7,$E175&gt;CH$5),"■","")))</x:f>
      </x:c>
      <x:c r="CI175" s="7" t="str">
        <x:f>IF(OR($D175="",CI$5="",'상세일정'!AM175="제외"),"",IF($D175=$E175,IF(AND($D175&gt;=CI$5,$D175&lt;CI$5+7),"◆",""),IF(AND($D175&lt;CI$5+7,$E175&gt;CI$5),"■","")))</x:f>
      </x:c>
      <x:c r="CJ175" s="7" t="str">
        <x:f>IF(OR($D175="",CJ$5="",'상세일정'!AM175="제외"),"",IF($D175=$E175,IF(AND($D175&gt;=CJ$5,$D175&lt;CJ$5+7),"◆",""),IF(AND($D175&lt;CJ$5+7,$E175&gt;CJ$5),"■","")))</x:f>
      </x:c>
      <x:c r="CK175" s="7" t="str">
        <x:f>IF(OR($D175="",CK$5="",'상세일정'!AM175="제외"),"",IF($D175=$E175,IF(AND($D175&gt;=CK$5,$D175&lt;CK$5+7),"◆",""),IF(AND($D175&lt;CK$5+7,$E175&gt;CK$5),"■","")))</x:f>
      </x:c>
      <x:c r="CL175" s="7" t="str">
        <x:f>IF(OR($D175="",CL$5="",'상세일정'!AM175="제외"),"",IF($D175=$E175,IF(AND($D175&gt;=CL$5,$D175&lt;CL$5+7),"◆",""),IF(AND($D175&lt;CL$5+7,$E175&gt;CL$5),"■","")))</x:f>
      </x:c>
      <x:c r="CM175" s="7" t="str">
        <x:f>IF(OR($D175="",CM$5="",'상세일정'!AM175="제외"),"",IF($D175=$E175,IF(AND($D175&gt;=CM$5,$D175&lt;CM$5+7),"◆",""),IF(AND($D175&lt;CM$5+7,$E175&gt;CM$5),"■","")))</x:f>
      </x:c>
      <x:c r="CN175" s="7" t="str">
        <x:f>IF(OR($D175="",CN$5="",'상세일정'!AM175="제외"),"",IF($D175=$E175,IF(AND($D175&gt;=CN$5,$D175&lt;CN$5+7),"◆",""),IF(AND($D175&lt;CN$5+7,$E175&gt;CN$5),"■","")))</x:f>
      </x:c>
      <x:c r="CO175" s="7" t="str">
        <x:f>IF(OR($D175="",CO$5="",'상세일정'!AM175="제외"),"",IF($D175=$E175,IF(AND($D175&gt;=CO$5,$D175&lt;CO$5+7),"◆",""),IF(AND($D175&lt;CO$5+7,$E175&gt;CO$5),"■","")))</x:f>
      </x:c>
      <x:c r="CP175" s="7" t="str">
        <x:f>IF(OR($D175="",CP$5="",'상세일정'!AM175="제외"),"",IF($D175=$E175,IF(AND($D175&gt;=CP$5,$D175&lt;CP$5+7),"◆",""),IF(AND($D175&lt;CP$5+7,$E175&gt;CP$5),"■","")))</x:f>
      </x:c>
      <x:c r="CQ175" s="7" t="str">
        <x:f>IF(OR($D175="",CQ$5="",'상세일정'!AM175="제외"),"",IF($D175=$E175,IF(AND($D175&gt;=CQ$5,$D175&lt;CQ$5+7),"◆",""),IF(AND($D175&lt;CQ$5+7,$E175&gt;CQ$5),"■","")))</x:f>
      </x:c>
      <x:c r="CR175" s="7" t="str">
        <x:f>IF(OR($D175="",CR$5="",'상세일정'!AM175="제외"),"",IF($D175=$E175,IF(AND($D175&gt;=CR$5,$D175&lt;CR$5+7),"◆",""),IF(AND($D175&lt;CR$5+7,$E175&gt;CR$5),"■","")))</x:f>
      </x:c>
      <x:c r="CS175" s="7" t="str">
        <x:f>IF(OR($D175="",CS$5="",'상세일정'!AM175="제외"),"",IF($D175=$E175,IF(AND($D175&gt;=CS$5,$D175&lt;CS$5+7),"◆",""),IF(AND($D175&lt;CS$5+7,$E175&gt;CS$5),"■","")))</x:f>
      </x:c>
      <x:c r="CT175" s="7" t="str">
        <x:f>IF(OR($D175="",CT$5="",'상세일정'!AM175="제외"),"",IF($D175=$E175,IF(AND($D175&gt;=CT$5,$D175&lt;CT$5+7),"◆",""),IF(AND($D175&lt;CT$5+7,$E175&gt;CT$5),"■","")))</x:f>
      </x:c>
      <x:c r="CU175" s="7" t="str">
        <x:f>IF(OR($D175="",CU$5="",'상세일정'!AM175="제외"),"",IF($D175=$E175,IF(AND($D175&gt;=CU$5,$D175&lt;CU$5+7),"◆",""),IF(AND($D175&lt;CU$5+7,$E175&gt;CU$5),"■","")))</x:f>
      </x:c>
      <x:c r="CV175" s="7" t="str">
        <x:f>IF(OR($D175="",CV$5="",'상세일정'!AM175="제외"),"",IF($D175=$E175,IF(AND($D175&gt;=CV$5,$D175&lt;CV$5+7),"◆",""),IF(AND($D175&lt;CV$5+7,$E175&gt;CV$5),"■","")))</x:f>
      </x:c>
      <x:c r="CW175" s="7" t="str">
        <x:f>IF(OR($D175="",CW$5="",'상세일정'!AM175="제외"),"",IF($D175=$E175,IF(AND($D175&gt;=CW$5,$D175&lt;CW$5+7),"◆",""),IF(AND($D175&lt;CW$5+7,$E175&gt;CW$5),"■","")))</x:f>
      </x:c>
      <x:c r="CX175" s="7" t="str">
        <x:f>IF(OR($D175="",CX$5="",'상세일정'!AM175="제외"),"",IF($D175=$E175,IF(AND($D175&gt;=CX$5,$D175&lt;CX$5+7),"◆",""),IF(AND($D175&lt;CX$5+7,$E175&gt;CX$5),"■","")))</x:f>
      </x:c>
      <x:c r="CY175" s="7" t="str">
        <x:f>IF(OR($D175="",CY$5="",'상세일정'!AM175="제외"),"",IF($D175=$E175,IF(AND($D175&gt;=CY$5,$D175&lt;CY$5+7),"◆",""),IF(AND($D175&lt;CY$5+7,$E175&gt;CY$5),"■","")))</x:f>
      </x:c>
      <x:c r="CZ175" s="7" t="str">
        <x:f>IF(OR($D175="",CZ$5="",'상세일정'!AM175="제외"),"",IF($D175=$E175,IF(AND($D175&gt;=CZ$5,$D175&lt;CZ$5+7),"◆",""),IF(AND($D175&lt;CZ$5+7,$E175&gt;CZ$5),"■","")))</x:f>
      </x:c>
      <x:c r="DA175" s="7" t="str">
        <x:f>IF(OR($D175="",DA$5="",'상세일정'!AM175="제외"),"",IF($D175=$E175,IF(AND($D175&gt;=DA$5,$D175&lt;DA$5+7),"◆",""),IF(AND($D175&lt;DA$5+7,$E175&gt;DA$5),"■","")))</x:f>
      </x:c>
      <x:c r="DB175" s="7" t="str">
        <x:f>IF(OR($D175="",DB$5="",'상세일정'!AM175="제외"),"",IF($D175=$E175,IF(AND($D175&gt;=DB$5,$D175&lt;DB$5+7),"◆",""),IF(AND($D175&lt;DB$5+7,$E175&gt;DB$5),"■","")))</x:f>
      </x:c>
      <x:c r="DC175" s="7" t="str">
        <x:f>IF(OR($D175="",DC$5="",'상세일정'!AM175="제외"),"",IF($D175=$E175,IF(AND($D175&gt;=DC$5,$D175&lt;DC$5+7),"◆",""),IF(AND($D175&lt;DC$5+7,$E175&gt;DC$5),"■","")))</x:f>
      </x:c>
      <x:c r="DD175" s="7" t="str">
        <x:f>IF(OR($D175="",DD$5="",'상세일정'!AM175="제외"),"",IF($D175=$E175,IF(AND($D175&gt;=DD$5,$D175&lt;DD$5+7),"◆",""),IF(AND($D175&lt;DD$5+7,$E175&gt;DD$5),"■","")))</x:f>
      </x:c>
      <x:c r="DE175" s="7" t="str">
        <x:f>IF(OR($D175="",DE$5="",'상세일정'!AM175="제외"),"",IF($D175=$E175,IF(AND($D175&gt;=DE$5,$D175&lt;DE$5+7),"◆",""),IF(AND($D175&lt;DE$5+7,$E175&gt;DE$5),"■","")))</x:f>
      </x:c>
    </x:row>
    <x:row r="176" ht="34" customHeight="1">
      <x:c r="A176" s="7" t="str">
        <x:v>DR01</x:v>
      </x:c>
      <x:c r="B176" s="7" t="str">
        <x:v>20 부대토목</x:v>
      </x:c>
      <x:c r="C176" s="7" t="str">
        <x:v>우오수 배관·집수정·빗물받이 시공</x:v>
      </x:c>
      <x:c r="D176" s="10" t="str">
        <x:f>'상세일정'!AJ176</x:f>
      </x:c>
      <x:c r="E176" s="10" t="str">
        <x:f>'상세일정'!AK176</x:f>
      </x:c>
      <x:c r="F176" s="7" t="str">
        <x:f>IF(OR($D176="",F$5="",'상세일정'!AM176="제외"),"",IF($D176=$E176,IF(AND($D176&gt;=F$5,$D176&lt;F$5+7),"◆",""),IF(AND($D176&lt;F$5+7,$E176&gt;F$5),"■","")))</x:f>
      </x:c>
      <x:c r="G176" s="7" t="str">
        <x:f>IF(OR($D176="",G$5="",'상세일정'!AM176="제외"),"",IF($D176=$E176,IF(AND($D176&gt;=G$5,$D176&lt;G$5+7),"◆",""),IF(AND($D176&lt;G$5+7,$E176&gt;G$5),"■","")))</x:f>
      </x:c>
      <x:c r="H176" s="7" t="str">
        <x:f>IF(OR($D176="",H$5="",'상세일정'!AM176="제외"),"",IF($D176=$E176,IF(AND($D176&gt;=H$5,$D176&lt;H$5+7),"◆",""),IF(AND($D176&lt;H$5+7,$E176&gt;H$5),"■","")))</x:f>
      </x:c>
      <x:c r="I176" s="7" t="str">
        <x:f>IF(OR($D176="",I$5="",'상세일정'!AM176="제외"),"",IF($D176=$E176,IF(AND($D176&gt;=I$5,$D176&lt;I$5+7),"◆",""),IF(AND($D176&lt;I$5+7,$E176&gt;I$5),"■","")))</x:f>
      </x:c>
      <x:c r="J176" s="7" t="str">
        <x:f>IF(OR($D176="",J$5="",'상세일정'!AM176="제외"),"",IF($D176=$E176,IF(AND($D176&gt;=J$5,$D176&lt;J$5+7),"◆",""),IF(AND($D176&lt;J$5+7,$E176&gt;J$5),"■","")))</x:f>
      </x:c>
      <x:c r="K176" s="7" t="str">
        <x:f>IF(OR($D176="",K$5="",'상세일정'!AM176="제외"),"",IF($D176=$E176,IF(AND($D176&gt;=K$5,$D176&lt;K$5+7),"◆",""),IF(AND($D176&lt;K$5+7,$E176&gt;K$5),"■","")))</x:f>
      </x:c>
      <x:c r="L176" s="7" t="str">
        <x:f>IF(OR($D176="",L$5="",'상세일정'!AM176="제외"),"",IF($D176=$E176,IF(AND($D176&gt;=L$5,$D176&lt;L$5+7),"◆",""),IF(AND($D176&lt;L$5+7,$E176&gt;L$5),"■","")))</x:f>
      </x:c>
      <x:c r="M176" s="7" t="str">
        <x:f>IF(OR($D176="",M$5="",'상세일정'!AM176="제외"),"",IF($D176=$E176,IF(AND($D176&gt;=M$5,$D176&lt;M$5+7),"◆",""),IF(AND($D176&lt;M$5+7,$E176&gt;M$5),"■","")))</x:f>
      </x:c>
      <x:c r="N176" s="7" t="str">
        <x:f>IF(OR($D176="",N$5="",'상세일정'!AM176="제외"),"",IF($D176=$E176,IF(AND($D176&gt;=N$5,$D176&lt;N$5+7),"◆",""),IF(AND($D176&lt;N$5+7,$E176&gt;N$5),"■","")))</x:f>
      </x:c>
      <x:c r="O176" s="7" t="str">
        <x:f>IF(OR($D176="",O$5="",'상세일정'!AM176="제외"),"",IF($D176=$E176,IF(AND($D176&gt;=O$5,$D176&lt;O$5+7),"◆",""),IF(AND($D176&lt;O$5+7,$E176&gt;O$5),"■","")))</x:f>
      </x:c>
      <x:c r="P176" s="7" t="str">
        <x:f>IF(OR($D176="",P$5="",'상세일정'!AM176="제외"),"",IF($D176=$E176,IF(AND($D176&gt;=P$5,$D176&lt;P$5+7),"◆",""),IF(AND($D176&lt;P$5+7,$E176&gt;P$5),"■","")))</x:f>
      </x:c>
      <x:c r="Q176" s="7" t="str">
        <x:f>IF(OR($D176="",Q$5="",'상세일정'!AM176="제외"),"",IF($D176=$E176,IF(AND($D176&gt;=Q$5,$D176&lt;Q$5+7),"◆",""),IF(AND($D176&lt;Q$5+7,$E176&gt;Q$5),"■","")))</x:f>
      </x:c>
      <x:c r="R176" s="7" t="str">
        <x:f>IF(OR($D176="",R$5="",'상세일정'!AM176="제외"),"",IF($D176=$E176,IF(AND($D176&gt;=R$5,$D176&lt;R$5+7),"◆",""),IF(AND($D176&lt;R$5+7,$E176&gt;R$5),"■","")))</x:f>
      </x:c>
      <x:c r="S176" s="7" t="str">
        <x:f>IF(OR($D176="",S$5="",'상세일정'!AM176="제외"),"",IF($D176=$E176,IF(AND($D176&gt;=S$5,$D176&lt;S$5+7),"◆",""),IF(AND($D176&lt;S$5+7,$E176&gt;S$5),"■","")))</x:f>
      </x:c>
      <x:c r="T176" s="7" t="str">
        <x:f>IF(OR($D176="",T$5="",'상세일정'!AM176="제외"),"",IF($D176=$E176,IF(AND($D176&gt;=T$5,$D176&lt;T$5+7),"◆",""),IF(AND($D176&lt;T$5+7,$E176&gt;T$5),"■","")))</x:f>
      </x:c>
      <x:c r="U176" s="7" t="str">
        <x:f>IF(OR($D176="",U$5="",'상세일정'!AM176="제외"),"",IF($D176=$E176,IF(AND($D176&gt;=U$5,$D176&lt;U$5+7),"◆",""),IF(AND($D176&lt;U$5+7,$E176&gt;U$5),"■","")))</x:f>
      </x:c>
      <x:c r="V176" s="7" t="str">
        <x:f>IF(OR($D176="",V$5="",'상세일정'!AM176="제외"),"",IF($D176=$E176,IF(AND($D176&gt;=V$5,$D176&lt;V$5+7),"◆",""),IF(AND($D176&lt;V$5+7,$E176&gt;V$5),"■","")))</x:f>
      </x:c>
      <x:c r="W176" s="7" t="str">
        <x:f>IF(OR($D176="",W$5="",'상세일정'!AM176="제외"),"",IF($D176=$E176,IF(AND($D176&gt;=W$5,$D176&lt;W$5+7),"◆",""),IF(AND($D176&lt;W$5+7,$E176&gt;W$5),"■","")))</x:f>
      </x:c>
      <x:c r="X176" s="7" t="str">
        <x:f>IF(OR($D176="",X$5="",'상세일정'!AM176="제외"),"",IF($D176=$E176,IF(AND($D176&gt;=X$5,$D176&lt;X$5+7),"◆",""),IF(AND($D176&lt;X$5+7,$E176&gt;X$5),"■","")))</x:f>
      </x:c>
      <x:c r="Y176" s="7" t="str">
        <x:f>IF(OR($D176="",Y$5="",'상세일정'!AM176="제외"),"",IF($D176=$E176,IF(AND($D176&gt;=Y$5,$D176&lt;Y$5+7),"◆",""),IF(AND($D176&lt;Y$5+7,$E176&gt;Y$5),"■","")))</x:f>
      </x:c>
      <x:c r="Z176" s="7" t="str">
        <x:f>IF(OR($D176="",Z$5="",'상세일정'!AM176="제외"),"",IF($D176=$E176,IF(AND($D176&gt;=Z$5,$D176&lt;Z$5+7),"◆",""),IF(AND($D176&lt;Z$5+7,$E176&gt;Z$5),"■","")))</x:f>
      </x:c>
      <x:c r="AA176" s="7" t="str">
        <x:f>IF(OR($D176="",AA$5="",'상세일정'!AM176="제외"),"",IF($D176=$E176,IF(AND($D176&gt;=AA$5,$D176&lt;AA$5+7),"◆",""),IF(AND($D176&lt;AA$5+7,$E176&gt;AA$5),"■","")))</x:f>
      </x:c>
      <x:c r="AB176" s="7" t="str">
        <x:f>IF(OR($D176="",AB$5="",'상세일정'!AM176="제외"),"",IF($D176=$E176,IF(AND($D176&gt;=AB$5,$D176&lt;AB$5+7),"◆",""),IF(AND($D176&lt;AB$5+7,$E176&gt;AB$5),"■","")))</x:f>
      </x:c>
      <x:c r="AC176" s="7" t="str">
        <x:f>IF(OR($D176="",AC$5="",'상세일정'!AM176="제외"),"",IF($D176=$E176,IF(AND($D176&gt;=AC$5,$D176&lt;AC$5+7),"◆",""),IF(AND($D176&lt;AC$5+7,$E176&gt;AC$5),"■","")))</x:f>
      </x:c>
      <x:c r="AD176" s="7" t="str">
        <x:f>IF(OR($D176="",AD$5="",'상세일정'!AM176="제외"),"",IF($D176=$E176,IF(AND($D176&gt;=AD$5,$D176&lt;AD$5+7),"◆",""),IF(AND($D176&lt;AD$5+7,$E176&gt;AD$5),"■","")))</x:f>
      </x:c>
      <x:c r="AE176" s="7" t="str">
        <x:f>IF(OR($D176="",AE$5="",'상세일정'!AM176="제외"),"",IF($D176=$E176,IF(AND($D176&gt;=AE$5,$D176&lt;AE$5+7),"◆",""),IF(AND($D176&lt;AE$5+7,$E176&gt;AE$5),"■","")))</x:f>
      </x:c>
      <x:c r="AF176" s="7" t="str">
        <x:f>IF(OR($D176="",AF$5="",'상세일정'!AM176="제외"),"",IF($D176=$E176,IF(AND($D176&gt;=AF$5,$D176&lt;AF$5+7),"◆",""),IF(AND($D176&lt;AF$5+7,$E176&gt;AF$5),"■","")))</x:f>
      </x:c>
      <x:c r="AG176" s="7" t="str">
        <x:f>IF(OR($D176="",AG$5="",'상세일정'!AM176="제외"),"",IF($D176=$E176,IF(AND($D176&gt;=AG$5,$D176&lt;AG$5+7),"◆",""),IF(AND($D176&lt;AG$5+7,$E176&gt;AG$5),"■","")))</x:f>
      </x:c>
      <x:c r="AH176" s="7" t="str">
        <x:f>IF(OR($D176="",AH$5="",'상세일정'!AM176="제외"),"",IF($D176=$E176,IF(AND($D176&gt;=AH$5,$D176&lt;AH$5+7),"◆",""),IF(AND($D176&lt;AH$5+7,$E176&gt;AH$5),"■","")))</x:f>
      </x:c>
      <x:c r="AI176" s="7" t="str">
        <x:f>IF(OR($D176="",AI$5="",'상세일정'!AM176="제외"),"",IF($D176=$E176,IF(AND($D176&gt;=AI$5,$D176&lt;AI$5+7),"◆",""),IF(AND($D176&lt;AI$5+7,$E176&gt;AI$5),"■","")))</x:f>
      </x:c>
      <x:c r="AJ176" s="7" t="str">
        <x:f>IF(OR($D176="",AJ$5="",'상세일정'!AM176="제외"),"",IF($D176=$E176,IF(AND($D176&gt;=AJ$5,$D176&lt;AJ$5+7),"◆",""),IF(AND($D176&lt;AJ$5+7,$E176&gt;AJ$5),"■","")))</x:f>
      </x:c>
      <x:c r="AK176" s="7" t="str">
        <x:f>IF(OR($D176="",AK$5="",'상세일정'!AM176="제외"),"",IF($D176=$E176,IF(AND($D176&gt;=AK$5,$D176&lt;AK$5+7),"◆",""),IF(AND($D176&lt;AK$5+7,$E176&gt;AK$5),"■","")))</x:f>
      </x:c>
      <x:c r="AL176" s="7" t="str">
        <x:f>IF(OR($D176="",AL$5="",'상세일정'!AM176="제외"),"",IF($D176=$E176,IF(AND($D176&gt;=AL$5,$D176&lt;AL$5+7),"◆",""),IF(AND($D176&lt;AL$5+7,$E176&gt;AL$5),"■","")))</x:f>
      </x:c>
      <x:c r="AM176" s="7" t="str">
        <x:f>IF(OR($D176="",AM$5="",'상세일정'!AM176="제외"),"",IF($D176=$E176,IF(AND($D176&gt;=AM$5,$D176&lt;AM$5+7),"◆",""),IF(AND($D176&lt;AM$5+7,$E176&gt;AM$5),"■","")))</x:f>
      </x:c>
      <x:c r="AN176" s="7" t="str">
        <x:f>IF(OR($D176="",AN$5="",'상세일정'!AM176="제외"),"",IF($D176=$E176,IF(AND($D176&gt;=AN$5,$D176&lt;AN$5+7),"◆",""),IF(AND($D176&lt;AN$5+7,$E176&gt;AN$5),"■","")))</x:f>
      </x:c>
      <x:c r="AO176" s="7" t="str">
        <x:f>IF(OR($D176="",AO$5="",'상세일정'!AM176="제외"),"",IF($D176=$E176,IF(AND($D176&gt;=AO$5,$D176&lt;AO$5+7),"◆",""),IF(AND($D176&lt;AO$5+7,$E176&gt;AO$5),"■","")))</x:f>
      </x:c>
      <x:c r="AP176" s="7" t="str">
        <x:f>IF(OR($D176="",AP$5="",'상세일정'!AM176="제외"),"",IF($D176=$E176,IF(AND($D176&gt;=AP$5,$D176&lt;AP$5+7),"◆",""),IF(AND($D176&lt;AP$5+7,$E176&gt;AP$5),"■","")))</x:f>
      </x:c>
      <x:c r="AQ176" s="7" t="str">
        <x:f>IF(OR($D176="",AQ$5="",'상세일정'!AM176="제외"),"",IF($D176=$E176,IF(AND($D176&gt;=AQ$5,$D176&lt;AQ$5+7),"◆",""),IF(AND($D176&lt;AQ$5+7,$E176&gt;AQ$5),"■","")))</x:f>
      </x:c>
      <x:c r="AR176" s="7" t="str">
        <x:f>IF(OR($D176="",AR$5="",'상세일정'!AM176="제외"),"",IF($D176=$E176,IF(AND($D176&gt;=AR$5,$D176&lt;AR$5+7),"◆",""),IF(AND($D176&lt;AR$5+7,$E176&gt;AR$5),"■","")))</x:f>
      </x:c>
      <x:c r="AS176" s="7" t="str">
        <x:f>IF(OR($D176="",AS$5="",'상세일정'!AM176="제외"),"",IF($D176=$E176,IF(AND($D176&gt;=AS$5,$D176&lt;AS$5+7),"◆",""),IF(AND($D176&lt;AS$5+7,$E176&gt;AS$5),"■","")))</x:f>
      </x:c>
      <x:c r="AT176" s="7" t="str">
        <x:f>IF(OR($D176="",AT$5="",'상세일정'!AM176="제외"),"",IF($D176=$E176,IF(AND($D176&gt;=AT$5,$D176&lt;AT$5+7),"◆",""),IF(AND($D176&lt;AT$5+7,$E176&gt;AT$5),"■","")))</x:f>
      </x:c>
      <x:c r="AU176" s="7" t="str">
        <x:f>IF(OR($D176="",AU$5="",'상세일정'!AM176="제외"),"",IF($D176=$E176,IF(AND($D176&gt;=AU$5,$D176&lt;AU$5+7),"◆",""),IF(AND($D176&lt;AU$5+7,$E176&gt;AU$5),"■","")))</x:f>
      </x:c>
      <x:c r="AV176" s="7" t="str">
        <x:f>IF(OR($D176="",AV$5="",'상세일정'!AM176="제외"),"",IF($D176=$E176,IF(AND($D176&gt;=AV$5,$D176&lt;AV$5+7),"◆",""),IF(AND($D176&lt;AV$5+7,$E176&gt;AV$5),"■","")))</x:f>
      </x:c>
      <x:c r="AW176" s="7" t="str">
        <x:f>IF(OR($D176="",AW$5="",'상세일정'!AM176="제외"),"",IF($D176=$E176,IF(AND($D176&gt;=AW$5,$D176&lt;AW$5+7),"◆",""),IF(AND($D176&lt;AW$5+7,$E176&gt;AW$5),"■","")))</x:f>
      </x:c>
      <x:c r="AX176" s="7" t="str">
        <x:f>IF(OR($D176="",AX$5="",'상세일정'!AM176="제외"),"",IF($D176=$E176,IF(AND($D176&gt;=AX$5,$D176&lt;AX$5+7),"◆",""),IF(AND($D176&lt;AX$5+7,$E176&gt;AX$5),"■","")))</x:f>
      </x:c>
      <x:c r="AY176" s="7" t="str">
        <x:f>IF(OR($D176="",AY$5="",'상세일정'!AM176="제외"),"",IF($D176=$E176,IF(AND($D176&gt;=AY$5,$D176&lt;AY$5+7),"◆",""),IF(AND($D176&lt;AY$5+7,$E176&gt;AY$5),"■","")))</x:f>
      </x:c>
      <x:c r="AZ176" s="7" t="str">
        <x:f>IF(OR($D176="",AZ$5="",'상세일정'!AM176="제외"),"",IF($D176=$E176,IF(AND($D176&gt;=AZ$5,$D176&lt;AZ$5+7),"◆",""),IF(AND($D176&lt;AZ$5+7,$E176&gt;AZ$5),"■","")))</x:f>
      </x:c>
      <x:c r="BA176" s="7" t="str">
        <x:f>IF(OR($D176="",BA$5="",'상세일정'!AM176="제외"),"",IF($D176=$E176,IF(AND($D176&gt;=BA$5,$D176&lt;BA$5+7),"◆",""),IF(AND($D176&lt;BA$5+7,$E176&gt;BA$5),"■","")))</x:f>
      </x:c>
      <x:c r="BB176" s="7" t="str">
        <x:f>IF(OR($D176="",BB$5="",'상세일정'!AM176="제외"),"",IF($D176=$E176,IF(AND($D176&gt;=BB$5,$D176&lt;BB$5+7),"◆",""),IF(AND($D176&lt;BB$5+7,$E176&gt;BB$5),"■","")))</x:f>
      </x:c>
      <x:c r="BC176" s="7" t="str">
        <x:f>IF(OR($D176="",BC$5="",'상세일정'!AM176="제외"),"",IF($D176=$E176,IF(AND($D176&gt;=BC$5,$D176&lt;BC$5+7),"◆",""),IF(AND($D176&lt;BC$5+7,$E176&gt;BC$5),"■","")))</x:f>
      </x:c>
      <x:c r="BD176" s="7" t="str">
        <x:f>IF(OR($D176="",BD$5="",'상세일정'!AM176="제외"),"",IF($D176=$E176,IF(AND($D176&gt;=BD$5,$D176&lt;BD$5+7),"◆",""),IF(AND($D176&lt;BD$5+7,$E176&gt;BD$5),"■","")))</x:f>
      </x:c>
      <x:c r="BE176" s="7" t="str">
        <x:f>IF(OR($D176="",BE$5="",'상세일정'!AM176="제외"),"",IF($D176=$E176,IF(AND($D176&gt;=BE$5,$D176&lt;BE$5+7),"◆",""),IF(AND($D176&lt;BE$5+7,$E176&gt;BE$5),"■","")))</x:f>
      </x:c>
      <x:c r="BF176" s="7" t="str">
        <x:f>IF(OR($D176="",BF$5="",'상세일정'!AM176="제외"),"",IF($D176=$E176,IF(AND($D176&gt;=BF$5,$D176&lt;BF$5+7),"◆",""),IF(AND($D176&lt;BF$5+7,$E176&gt;BF$5),"■","")))</x:f>
      </x:c>
      <x:c r="BG176" s="7" t="str">
        <x:f>IF(OR($D176="",BG$5="",'상세일정'!AM176="제외"),"",IF($D176=$E176,IF(AND($D176&gt;=BG$5,$D176&lt;BG$5+7),"◆",""),IF(AND($D176&lt;BG$5+7,$E176&gt;BG$5),"■","")))</x:f>
      </x:c>
      <x:c r="BH176" s="7" t="str">
        <x:f>IF(OR($D176="",BH$5="",'상세일정'!AM176="제외"),"",IF($D176=$E176,IF(AND($D176&gt;=BH$5,$D176&lt;BH$5+7),"◆",""),IF(AND($D176&lt;BH$5+7,$E176&gt;BH$5),"■","")))</x:f>
      </x:c>
      <x:c r="BI176" s="7" t="str">
        <x:f>IF(OR($D176="",BI$5="",'상세일정'!AM176="제외"),"",IF($D176=$E176,IF(AND($D176&gt;=BI$5,$D176&lt;BI$5+7),"◆",""),IF(AND($D176&lt;BI$5+7,$E176&gt;BI$5),"■","")))</x:f>
      </x:c>
      <x:c r="BJ176" s="7" t="str">
        <x:f>IF(OR($D176="",BJ$5="",'상세일정'!AM176="제외"),"",IF($D176=$E176,IF(AND($D176&gt;=BJ$5,$D176&lt;BJ$5+7),"◆",""),IF(AND($D176&lt;BJ$5+7,$E176&gt;BJ$5),"■","")))</x:f>
      </x:c>
      <x:c r="BK176" s="7" t="str">
        <x:f>IF(OR($D176="",BK$5="",'상세일정'!AM176="제외"),"",IF($D176=$E176,IF(AND($D176&gt;=BK$5,$D176&lt;BK$5+7),"◆",""),IF(AND($D176&lt;BK$5+7,$E176&gt;BK$5),"■","")))</x:f>
      </x:c>
      <x:c r="BL176" s="7" t="str">
        <x:f>IF(OR($D176="",BL$5="",'상세일정'!AM176="제외"),"",IF($D176=$E176,IF(AND($D176&gt;=BL$5,$D176&lt;BL$5+7),"◆",""),IF(AND($D176&lt;BL$5+7,$E176&gt;BL$5),"■","")))</x:f>
      </x:c>
      <x:c r="BM176" s="7" t="str">
        <x:f>IF(OR($D176="",BM$5="",'상세일정'!AM176="제외"),"",IF($D176=$E176,IF(AND($D176&gt;=BM$5,$D176&lt;BM$5+7),"◆",""),IF(AND($D176&lt;BM$5+7,$E176&gt;BM$5),"■","")))</x:f>
      </x:c>
      <x:c r="BN176" s="7" t="str">
        <x:f>IF(OR($D176="",BN$5="",'상세일정'!AM176="제외"),"",IF($D176=$E176,IF(AND($D176&gt;=BN$5,$D176&lt;BN$5+7),"◆",""),IF(AND($D176&lt;BN$5+7,$E176&gt;BN$5),"■","")))</x:f>
      </x:c>
      <x:c r="BO176" s="7" t="str">
        <x:f>IF(OR($D176="",BO$5="",'상세일정'!AM176="제외"),"",IF($D176=$E176,IF(AND($D176&gt;=BO$5,$D176&lt;BO$5+7),"◆",""),IF(AND($D176&lt;BO$5+7,$E176&gt;BO$5),"■","")))</x:f>
      </x:c>
      <x:c r="BP176" s="7" t="str">
        <x:f>IF(OR($D176="",BP$5="",'상세일정'!AM176="제외"),"",IF($D176=$E176,IF(AND($D176&gt;=BP$5,$D176&lt;BP$5+7),"◆",""),IF(AND($D176&lt;BP$5+7,$E176&gt;BP$5),"■","")))</x:f>
      </x:c>
      <x:c r="BQ176" s="7" t="str">
        <x:f>IF(OR($D176="",BQ$5="",'상세일정'!AM176="제외"),"",IF($D176=$E176,IF(AND($D176&gt;=BQ$5,$D176&lt;BQ$5+7),"◆",""),IF(AND($D176&lt;BQ$5+7,$E176&gt;BQ$5),"■","")))</x:f>
      </x:c>
      <x:c r="BR176" s="7" t="str">
        <x:f>IF(OR($D176="",BR$5="",'상세일정'!AM176="제외"),"",IF($D176=$E176,IF(AND($D176&gt;=BR$5,$D176&lt;BR$5+7),"◆",""),IF(AND($D176&lt;BR$5+7,$E176&gt;BR$5),"■","")))</x:f>
      </x:c>
      <x:c r="BS176" s="7" t="str">
        <x:f>IF(OR($D176="",BS$5="",'상세일정'!AM176="제외"),"",IF($D176=$E176,IF(AND($D176&gt;=BS$5,$D176&lt;BS$5+7),"◆",""),IF(AND($D176&lt;BS$5+7,$E176&gt;BS$5),"■","")))</x:f>
      </x:c>
      <x:c r="BT176" s="7" t="str">
        <x:f>IF(OR($D176="",BT$5="",'상세일정'!AM176="제외"),"",IF($D176=$E176,IF(AND($D176&gt;=BT$5,$D176&lt;BT$5+7),"◆",""),IF(AND($D176&lt;BT$5+7,$E176&gt;BT$5),"■","")))</x:f>
      </x:c>
      <x:c r="BU176" s="7" t="str">
        <x:f>IF(OR($D176="",BU$5="",'상세일정'!AM176="제외"),"",IF($D176=$E176,IF(AND($D176&gt;=BU$5,$D176&lt;BU$5+7),"◆",""),IF(AND($D176&lt;BU$5+7,$E176&gt;BU$5),"■","")))</x:f>
      </x:c>
      <x:c r="BV176" s="7" t="str">
        <x:f>IF(OR($D176="",BV$5="",'상세일정'!AM176="제외"),"",IF($D176=$E176,IF(AND($D176&gt;=BV$5,$D176&lt;BV$5+7),"◆",""),IF(AND($D176&lt;BV$5+7,$E176&gt;BV$5),"■","")))</x:f>
      </x:c>
      <x:c r="BW176" s="7" t="str">
        <x:f>IF(OR($D176="",BW$5="",'상세일정'!AM176="제외"),"",IF($D176=$E176,IF(AND($D176&gt;=BW$5,$D176&lt;BW$5+7),"◆",""),IF(AND($D176&lt;BW$5+7,$E176&gt;BW$5),"■","")))</x:f>
      </x:c>
      <x:c r="BX176" s="7" t="str">
        <x:f>IF(OR($D176="",BX$5="",'상세일정'!AM176="제외"),"",IF($D176=$E176,IF(AND($D176&gt;=BX$5,$D176&lt;BX$5+7),"◆",""),IF(AND($D176&lt;BX$5+7,$E176&gt;BX$5),"■","")))</x:f>
      </x:c>
      <x:c r="BY176" s="7" t="str">
        <x:f>IF(OR($D176="",BY$5="",'상세일정'!AM176="제외"),"",IF($D176=$E176,IF(AND($D176&gt;=BY$5,$D176&lt;BY$5+7),"◆",""),IF(AND($D176&lt;BY$5+7,$E176&gt;BY$5),"■","")))</x:f>
      </x:c>
      <x:c r="BZ176" s="7" t="str">
        <x:f>IF(OR($D176="",BZ$5="",'상세일정'!AM176="제외"),"",IF($D176=$E176,IF(AND($D176&gt;=BZ$5,$D176&lt;BZ$5+7),"◆",""),IF(AND($D176&lt;BZ$5+7,$E176&gt;BZ$5),"■","")))</x:f>
      </x:c>
      <x:c r="CA176" s="7" t="str">
        <x:f>IF(OR($D176="",CA$5="",'상세일정'!AM176="제외"),"",IF($D176=$E176,IF(AND($D176&gt;=CA$5,$D176&lt;CA$5+7),"◆",""),IF(AND($D176&lt;CA$5+7,$E176&gt;CA$5),"■","")))</x:f>
      </x:c>
      <x:c r="CB176" s="7" t="str">
        <x:f>IF(OR($D176="",CB$5="",'상세일정'!AM176="제외"),"",IF($D176=$E176,IF(AND($D176&gt;=CB$5,$D176&lt;CB$5+7),"◆",""),IF(AND($D176&lt;CB$5+7,$E176&gt;CB$5),"■","")))</x:f>
      </x:c>
      <x:c r="CC176" s="7" t="str">
        <x:f>IF(OR($D176="",CC$5="",'상세일정'!AM176="제외"),"",IF($D176=$E176,IF(AND($D176&gt;=CC$5,$D176&lt;CC$5+7),"◆",""),IF(AND($D176&lt;CC$5+7,$E176&gt;CC$5),"■","")))</x:f>
      </x:c>
      <x:c r="CD176" s="7" t="str">
        <x:f>IF(OR($D176="",CD$5="",'상세일정'!AM176="제외"),"",IF($D176=$E176,IF(AND($D176&gt;=CD$5,$D176&lt;CD$5+7),"◆",""),IF(AND($D176&lt;CD$5+7,$E176&gt;CD$5),"■","")))</x:f>
      </x:c>
      <x:c r="CE176" s="7" t="str">
        <x:f>IF(OR($D176="",CE$5="",'상세일정'!AM176="제외"),"",IF($D176=$E176,IF(AND($D176&gt;=CE$5,$D176&lt;CE$5+7),"◆",""),IF(AND($D176&lt;CE$5+7,$E176&gt;CE$5),"■","")))</x:f>
      </x:c>
      <x:c r="CF176" s="7" t="str">
        <x:f>IF(OR($D176="",CF$5="",'상세일정'!AM176="제외"),"",IF($D176=$E176,IF(AND($D176&gt;=CF$5,$D176&lt;CF$5+7),"◆",""),IF(AND($D176&lt;CF$5+7,$E176&gt;CF$5),"■","")))</x:f>
      </x:c>
      <x:c r="CG176" s="7" t="str">
        <x:f>IF(OR($D176="",CG$5="",'상세일정'!AM176="제외"),"",IF($D176=$E176,IF(AND($D176&gt;=CG$5,$D176&lt;CG$5+7),"◆",""),IF(AND($D176&lt;CG$5+7,$E176&gt;CG$5),"■","")))</x:f>
      </x:c>
      <x:c r="CH176" s="7" t="str">
        <x:f>IF(OR($D176="",CH$5="",'상세일정'!AM176="제외"),"",IF($D176=$E176,IF(AND($D176&gt;=CH$5,$D176&lt;CH$5+7),"◆",""),IF(AND($D176&lt;CH$5+7,$E176&gt;CH$5),"■","")))</x:f>
      </x:c>
      <x:c r="CI176" s="7" t="str">
        <x:f>IF(OR($D176="",CI$5="",'상세일정'!AM176="제외"),"",IF($D176=$E176,IF(AND($D176&gt;=CI$5,$D176&lt;CI$5+7),"◆",""),IF(AND($D176&lt;CI$5+7,$E176&gt;CI$5),"■","")))</x:f>
      </x:c>
      <x:c r="CJ176" s="7" t="str">
        <x:f>IF(OR($D176="",CJ$5="",'상세일정'!AM176="제외"),"",IF($D176=$E176,IF(AND($D176&gt;=CJ$5,$D176&lt;CJ$5+7),"◆",""),IF(AND($D176&lt;CJ$5+7,$E176&gt;CJ$5),"■","")))</x:f>
      </x:c>
      <x:c r="CK176" s="7" t="str">
        <x:f>IF(OR($D176="",CK$5="",'상세일정'!AM176="제외"),"",IF($D176=$E176,IF(AND($D176&gt;=CK$5,$D176&lt;CK$5+7),"◆",""),IF(AND($D176&lt;CK$5+7,$E176&gt;CK$5),"■","")))</x:f>
      </x:c>
      <x:c r="CL176" s="7" t="str">
        <x:f>IF(OR($D176="",CL$5="",'상세일정'!AM176="제외"),"",IF($D176=$E176,IF(AND($D176&gt;=CL$5,$D176&lt;CL$5+7),"◆",""),IF(AND($D176&lt;CL$5+7,$E176&gt;CL$5),"■","")))</x:f>
      </x:c>
      <x:c r="CM176" s="7" t="str">
        <x:f>IF(OR($D176="",CM$5="",'상세일정'!AM176="제외"),"",IF($D176=$E176,IF(AND($D176&gt;=CM$5,$D176&lt;CM$5+7),"◆",""),IF(AND($D176&lt;CM$5+7,$E176&gt;CM$5),"■","")))</x:f>
      </x:c>
      <x:c r="CN176" s="7" t="str">
        <x:f>IF(OR($D176="",CN$5="",'상세일정'!AM176="제외"),"",IF($D176=$E176,IF(AND($D176&gt;=CN$5,$D176&lt;CN$5+7),"◆",""),IF(AND($D176&lt;CN$5+7,$E176&gt;CN$5),"■","")))</x:f>
      </x:c>
      <x:c r="CO176" s="7" t="str">
        <x:f>IF(OR($D176="",CO$5="",'상세일정'!AM176="제외"),"",IF($D176=$E176,IF(AND($D176&gt;=CO$5,$D176&lt;CO$5+7),"◆",""),IF(AND($D176&lt;CO$5+7,$E176&gt;CO$5),"■","")))</x:f>
      </x:c>
      <x:c r="CP176" s="7" t="str">
        <x:f>IF(OR($D176="",CP$5="",'상세일정'!AM176="제외"),"",IF($D176=$E176,IF(AND($D176&gt;=CP$5,$D176&lt;CP$5+7),"◆",""),IF(AND($D176&lt;CP$5+7,$E176&gt;CP$5),"■","")))</x:f>
      </x:c>
      <x:c r="CQ176" s="7" t="str">
        <x:f>IF(OR($D176="",CQ$5="",'상세일정'!AM176="제외"),"",IF($D176=$E176,IF(AND($D176&gt;=CQ$5,$D176&lt;CQ$5+7),"◆",""),IF(AND($D176&lt;CQ$5+7,$E176&gt;CQ$5),"■","")))</x:f>
      </x:c>
      <x:c r="CR176" s="7" t="str">
        <x:f>IF(OR($D176="",CR$5="",'상세일정'!AM176="제외"),"",IF($D176=$E176,IF(AND($D176&gt;=CR$5,$D176&lt;CR$5+7),"◆",""),IF(AND($D176&lt;CR$5+7,$E176&gt;CR$5),"■","")))</x:f>
      </x:c>
      <x:c r="CS176" s="7" t="str">
        <x:f>IF(OR($D176="",CS$5="",'상세일정'!AM176="제외"),"",IF($D176=$E176,IF(AND($D176&gt;=CS$5,$D176&lt;CS$5+7),"◆",""),IF(AND($D176&lt;CS$5+7,$E176&gt;CS$5),"■","")))</x:f>
      </x:c>
      <x:c r="CT176" s="7" t="str">
        <x:f>IF(OR($D176="",CT$5="",'상세일정'!AM176="제외"),"",IF($D176=$E176,IF(AND($D176&gt;=CT$5,$D176&lt;CT$5+7),"◆",""),IF(AND($D176&lt;CT$5+7,$E176&gt;CT$5),"■","")))</x:f>
      </x:c>
      <x:c r="CU176" s="7" t="str">
        <x:f>IF(OR($D176="",CU$5="",'상세일정'!AM176="제외"),"",IF($D176=$E176,IF(AND($D176&gt;=CU$5,$D176&lt;CU$5+7),"◆",""),IF(AND($D176&lt;CU$5+7,$E176&gt;CU$5),"■","")))</x:f>
      </x:c>
      <x:c r="CV176" s="7" t="str">
        <x:f>IF(OR($D176="",CV$5="",'상세일정'!AM176="제외"),"",IF($D176=$E176,IF(AND($D176&gt;=CV$5,$D176&lt;CV$5+7),"◆",""),IF(AND($D176&lt;CV$5+7,$E176&gt;CV$5),"■","")))</x:f>
      </x:c>
      <x:c r="CW176" s="7" t="str">
        <x:f>IF(OR($D176="",CW$5="",'상세일정'!AM176="제외"),"",IF($D176=$E176,IF(AND($D176&gt;=CW$5,$D176&lt;CW$5+7),"◆",""),IF(AND($D176&lt;CW$5+7,$E176&gt;CW$5),"■","")))</x:f>
      </x:c>
      <x:c r="CX176" s="7" t="str">
        <x:f>IF(OR($D176="",CX$5="",'상세일정'!AM176="제외"),"",IF($D176=$E176,IF(AND($D176&gt;=CX$5,$D176&lt;CX$5+7),"◆",""),IF(AND($D176&lt;CX$5+7,$E176&gt;CX$5),"■","")))</x:f>
      </x:c>
      <x:c r="CY176" s="7" t="str">
        <x:f>IF(OR($D176="",CY$5="",'상세일정'!AM176="제외"),"",IF($D176=$E176,IF(AND($D176&gt;=CY$5,$D176&lt;CY$5+7),"◆",""),IF(AND($D176&lt;CY$5+7,$E176&gt;CY$5),"■","")))</x:f>
      </x:c>
      <x:c r="CZ176" s="7" t="str">
        <x:f>IF(OR($D176="",CZ$5="",'상세일정'!AM176="제외"),"",IF($D176=$E176,IF(AND($D176&gt;=CZ$5,$D176&lt;CZ$5+7),"◆",""),IF(AND($D176&lt;CZ$5+7,$E176&gt;CZ$5),"■","")))</x:f>
      </x:c>
      <x:c r="DA176" s="7" t="str">
        <x:f>IF(OR($D176="",DA$5="",'상세일정'!AM176="제외"),"",IF($D176=$E176,IF(AND($D176&gt;=DA$5,$D176&lt;DA$5+7),"◆",""),IF(AND($D176&lt;DA$5+7,$E176&gt;DA$5),"■","")))</x:f>
      </x:c>
      <x:c r="DB176" s="7" t="str">
        <x:f>IF(OR($D176="",DB$5="",'상세일정'!AM176="제외"),"",IF($D176=$E176,IF(AND($D176&gt;=DB$5,$D176&lt;DB$5+7),"◆",""),IF(AND($D176&lt;DB$5+7,$E176&gt;DB$5),"■","")))</x:f>
      </x:c>
      <x:c r="DC176" s="7" t="str">
        <x:f>IF(OR($D176="",DC$5="",'상세일정'!AM176="제외"),"",IF($D176=$E176,IF(AND($D176&gt;=DC$5,$D176&lt;DC$5+7),"◆",""),IF(AND($D176&lt;DC$5+7,$E176&gt;DC$5),"■","")))</x:f>
      </x:c>
      <x:c r="DD176" s="7" t="str">
        <x:f>IF(OR($D176="",DD$5="",'상세일정'!AM176="제외"),"",IF($D176=$E176,IF(AND($D176&gt;=DD$5,$D176&lt;DD$5+7),"◆",""),IF(AND($D176&lt;DD$5+7,$E176&gt;DD$5),"■","")))</x:f>
      </x:c>
      <x:c r="DE176" s="7" t="str">
        <x:f>IF(OR($D176="",DE$5="",'상세일정'!AM176="제외"),"",IF($D176=$E176,IF(AND($D176&gt;=DE$5,$D176&lt;DE$5+7),"◆",""),IF(AND($D176&lt;DE$5+7,$E176&gt;DE$5),"■","")))</x:f>
      </x:c>
    </x:row>
    <x:row r="177" ht="34" customHeight="1">
      <x:c r="A177" s="7" t="str">
        <x:v>DR02</x:v>
      </x:c>
      <x:c r="B177" s="7" t="str">
        <x:v>20 부대토목</x:v>
      </x:c>
      <x:c r="C177" s="7" t="str">
        <x:v>지하매설물 검사·기록 후 되메우기</x:v>
      </x:c>
      <x:c r="D177" s="10" t="str">
        <x:f>'상세일정'!AJ177</x:f>
      </x:c>
      <x:c r="E177" s="10" t="str">
        <x:f>'상세일정'!AK177</x:f>
      </x:c>
      <x:c r="F177" s="7" t="str">
        <x:f>IF(OR($D177="",F$5="",'상세일정'!AM177="제외"),"",IF($D177=$E177,IF(AND($D177&gt;=F$5,$D177&lt;F$5+7),"◆",""),IF(AND($D177&lt;F$5+7,$E177&gt;F$5),"■","")))</x:f>
      </x:c>
      <x:c r="G177" s="7" t="str">
        <x:f>IF(OR($D177="",G$5="",'상세일정'!AM177="제외"),"",IF($D177=$E177,IF(AND($D177&gt;=G$5,$D177&lt;G$5+7),"◆",""),IF(AND($D177&lt;G$5+7,$E177&gt;G$5),"■","")))</x:f>
      </x:c>
      <x:c r="H177" s="7" t="str">
        <x:f>IF(OR($D177="",H$5="",'상세일정'!AM177="제외"),"",IF($D177=$E177,IF(AND($D177&gt;=H$5,$D177&lt;H$5+7),"◆",""),IF(AND($D177&lt;H$5+7,$E177&gt;H$5),"■","")))</x:f>
      </x:c>
      <x:c r="I177" s="7" t="str">
        <x:f>IF(OR($D177="",I$5="",'상세일정'!AM177="제외"),"",IF($D177=$E177,IF(AND($D177&gt;=I$5,$D177&lt;I$5+7),"◆",""),IF(AND($D177&lt;I$5+7,$E177&gt;I$5),"■","")))</x:f>
      </x:c>
      <x:c r="J177" s="7" t="str">
        <x:f>IF(OR($D177="",J$5="",'상세일정'!AM177="제외"),"",IF($D177=$E177,IF(AND($D177&gt;=J$5,$D177&lt;J$5+7),"◆",""),IF(AND($D177&lt;J$5+7,$E177&gt;J$5),"■","")))</x:f>
      </x:c>
      <x:c r="K177" s="7" t="str">
        <x:f>IF(OR($D177="",K$5="",'상세일정'!AM177="제외"),"",IF($D177=$E177,IF(AND($D177&gt;=K$5,$D177&lt;K$5+7),"◆",""),IF(AND($D177&lt;K$5+7,$E177&gt;K$5),"■","")))</x:f>
      </x:c>
      <x:c r="L177" s="7" t="str">
        <x:f>IF(OR($D177="",L$5="",'상세일정'!AM177="제외"),"",IF($D177=$E177,IF(AND($D177&gt;=L$5,$D177&lt;L$5+7),"◆",""),IF(AND($D177&lt;L$5+7,$E177&gt;L$5),"■","")))</x:f>
      </x:c>
      <x:c r="M177" s="7" t="str">
        <x:f>IF(OR($D177="",M$5="",'상세일정'!AM177="제외"),"",IF($D177=$E177,IF(AND($D177&gt;=M$5,$D177&lt;M$5+7),"◆",""),IF(AND($D177&lt;M$5+7,$E177&gt;M$5),"■","")))</x:f>
      </x:c>
      <x:c r="N177" s="7" t="str">
        <x:f>IF(OR($D177="",N$5="",'상세일정'!AM177="제외"),"",IF($D177=$E177,IF(AND($D177&gt;=N$5,$D177&lt;N$5+7),"◆",""),IF(AND($D177&lt;N$5+7,$E177&gt;N$5),"■","")))</x:f>
      </x:c>
      <x:c r="O177" s="7" t="str">
        <x:f>IF(OR($D177="",O$5="",'상세일정'!AM177="제외"),"",IF($D177=$E177,IF(AND($D177&gt;=O$5,$D177&lt;O$5+7),"◆",""),IF(AND($D177&lt;O$5+7,$E177&gt;O$5),"■","")))</x:f>
      </x:c>
      <x:c r="P177" s="7" t="str">
        <x:f>IF(OR($D177="",P$5="",'상세일정'!AM177="제외"),"",IF($D177=$E177,IF(AND($D177&gt;=P$5,$D177&lt;P$5+7),"◆",""),IF(AND($D177&lt;P$5+7,$E177&gt;P$5),"■","")))</x:f>
      </x:c>
      <x:c r="Q177" s="7" t="str">
        <x:f>IF(OR($D177="",Q$5="",'상세일정'!AM177="제외"),"",IF($D177=$E177,IF(AND($D177&gt;=Q$5,$D177&lt;Q$5+7),"◆",""),IF(AND($D177&lt;Q$5+7,$E177&gt;Q$5),"■","")))</x:f>
      </x:c>
      <x:c r="R177" s="7" t="str">
        <x:f>IF(OR($D177="",R$5="",'상세일정'!AM177="제외"),"",IF($D177=$E177,IF(AND($D177&gt;=R$5,$D177&lt;R$5+7),"◆",""),IF(AND($D177&lt;R$5+7,$E177&gt;R$5),"■","")))</x:f>
      </x:c>
      <x:c r="S177" s="7" t="str">
        <x:f>IF(OR($D177="",S$5="",'상세일정'!AM177="제외"),"",IF($D177=$E177,IF(AND($D177&gt;=S$5,$D177&lt;S$5+7),"◆",""),IF(AND($D177&lt;S$5+7,$E177&gt;S$5),"■","")))</x:f>
      </x:c>
      <x:c r="T177" s="7" t="str">
        <x:f>IF(OR($D177="",T$5="",'상세일정'!AM177="제외"),"",IF($D177=$E177,IF(AND($D177&gt;=T$5,$D177&lt;T$5+7),"◆",""),IF(AND($D177&lt;T$5+7,$E177&gt;T$5),"■","")))</x:f>
      </x:c>
      <x:c r="U177" s="7" t="str">
        <x:f>IF(OR($D177="",U$5="",'상세일정'!AM177="제외"),"",IF($D177=$E177,IF(AND($D177&gt;=U$5,$D177&lt;U$5+7),"◆",""),IF(AND($D177&lt;U$5+7,$E177&gt;U$5),"■","")))</x:f>
      </x:c>
      <x:c r="V177" s="7" t="str">
        <x:f>IF(OR($D177="",V$5="",'상세일정'!AM177="제외"),"",IF($D177=$E177,IF(AND($D177&gt;=V$5,$D177&lt;V$5+7),"◆",""),IF(AND($D177&lt;V$5+7,$E177&gt;V$5),"■","")))</x:f>
      </x:c>
      <x:c r="W177" s="7" t="str">
        <x:f>IF(OR($D177="",W$5="",'상세일정'!AM177="제외"),"",IF($D177=$E177,IF(AND($D177&gt;=W$5,$D177&lt;W$5+7),"◆",""),IF(AND($D177&lt;W$5+7,$E177&gt;W$5),"■","")))</x:f>
      </x:c>
      <x:c r="X177" s="7" t="str">
        <x:f>IF(OR($D177="",X$5="",'상세일정'!AM177="제외"),"",IF($D177=$E177,IF(AND($D177&gt;=X$5,$D177&lt;X$5+7),"◆",""),IF(AND($D177&lt;X$5+7,$E177&gt;X$5),"■","")))</x:f>
      </x:c>
      <x:c r="Y177" s="7" t="str">
        <x:f>IF(OR($D177="",Y$5="",'상세일정'!AM177="제외"),"",IF($D177=$E177,IF(AND($D177&gt;=Y$5,$D177&lt;Y$5+7),"◆",""),IF(AND($D177&lt;Y$5+7,$E177&gt;Y$5),"■","")))</x:f>
      </x:c>
      <x:c r="Z177" s="7" t="str">
        <x:f>IF(OR($D177="",Z$5="",'상세일정'!AM177="제외"),"",IF($D177=$E177,IF(AND($D177&gt;=Z$5,$D177&lt;Z$5+7),"◆",""),IF(AND($D177&lt;Z$5+7,$E177&gt;Z$5),"■","")))</x:f>
      </x:c>
      <x:c r="AA177" s="7" t="str">
        <x:f>IF(OR($D177="",AA$5="",'상세일정'!AM177="제외"),"",IF($D177=$E177,IF(AND($D177&gt;=AA$5,$D177&lt;AA$5+7),"◆",""),IF(AND($D177&lt;AA$5+7,$E177&gt;AA$5),"■","")))</x:f>
      </x:c>
      <x:c r="AB177" s="7" t="str">
        <x:f>IF(OR($D177="",AB$5="",'상세일정'!AM177="제외"),"",IF($D177=$E177,IF(AND($D177&gt;=AB$5,$D177&lt;AB$5+7),"◆",""),IF(AND($D177&lt;AB$5+7,$E177&gt;AB$5),"■","")))</x:f>
      </x:c>
      <x:c r="AC177" s="7" t="str">
        <x:f>IF(OR($D177="",AC$5="",'상세일정'!AM177="제외"),"",IF($D177=$E177,IF(AND($D177&gt;=AC$5,$D177&lt;AC$5+7),"◆",""),IF(AND($D177&lt;AC$5+7,$E177&gt;AC$5),"■","")))</x:f>
      </x:c>
      <x:c r="AD177" s="7" t="str">
        <x:f>IF(OR($D177="",AD$5="",'상세일정'!AM177="제외"),"",IF($D177=$E177,IF(AND($D177&gt;=AD$5,$D177&lt;AD$5+7),"◆",""),IF(AND($D177&lt;AD$5+7,$E177&gt;AD$5),"■","")))</x:f>
      </x:c>
      <x:c r="AE177" s="7" t="str">
        <x:f>IF(OR($D177="",AE$5="",'상세일정'!AM177="제외"),"",IF($D177=$E177,IF(AND($D177&gt;=AE$5,$D177&lt;AE$5+7),"◆",""),IF(AND($D177&lt;AE$5+7,$E177&gt;AE$5),"■","")))</x:f>
      </x:c>
      <x:c r="AF177" s="7" t="str">
        <x:f>IF(OR($D177="",AF$5="",'상세일정'!AM177="제외"),"",IF($D177=$E177,IF(AND($D177&gt;=AF$5,$D177&lt;AF$5+7),"◆",""),IF(AND($D177&lt;AF$5+7,$E177&gt;AF$5),"■","")))</x:f>
      </x:c>
      <x:c r="AG177" s="7" t="str">
        <x:f>IF(OR($D177="",AG$5="",'상세일정'!AM177="제외"),"",IF($D177=$E177,IF(AND($D177&gt;=AG$5,$D177&lt;AG$5+7),"◆",""),IF(AND($D177&lt;AG$5+7,$E177&gt;AG$5),"■","")))</x:f>
      </x:c>
      <x:c r="AH177" s="7" t="str">
        <x:f>IF(OR($D177="",AH$5="",'상세일정'!AM177="제외"),"",IF($D177=$E177,IF(AND($D177&gt;=AH$5,$D177&lt;AH$5+7),"◆",""),IF(AND($D177&lt;AH$5+7,$E177&gt;AH$5),"■","")))</x:f>
      </x:c>
      <x:c r="AI177" s="7" t="str">
        <x:f>IF(OR($D177="",AI$5="",'상세일정'!AM177="제외"),"",IF($D177=$E177,IF(AND($D177&gt;=AI$5,$D177&lt;AI$5+7),"◆",""),IF(AND($D177&lt;AI$5+7,$E177&gt;AI$5),"■","")))</x:f>
      </x:c>
      <x:c r="AJ177" s="7" t="str">
        <x:f>IF(OR($D177="",AJ$5="",'상세일정'!AM177="제외"),"",IF($D177=$E177,IF(AND($D177&gt;=AJ$5,$D177&lt;AJ$5+7),"◆",""),IF(AND($D177&lt;AJ$5+7,$E177&gt;AJ$5),"■","")))</x:f>
      </x:c>
      <x:c r="AK177" s="7" t="str">
        <x:f>IF(OR($D177="",AK$5="",'상세일정'!AM177="제외"),"",IF($D177=$E177,IF(AND($D177&gt;=AK$5,$D177&lt;AK$5+7),"◆",""),IF(AND($D177&lt;AK$5+7,$E177&gt;AK$5),"■","")))</x:f>
      </x:c>
      <x:c r="AL177" s="7" t="str">
        <x:f>IF(OR($D177="",AL$5="",'상세일정'!AM177="제외"),"",IF($D177=$E177,IF(AND($D177&gt;=AL$5,$D177&lt;AL$5+7),"◆",""),IF(AND($D177&lt;AL$5+7,$E177&gt;AL$5),"■","")))</x:f>
      </x:c>
      <x:c r="AM177" s="7" t="str">
        <x:f>IF(OR($D177="",AM$5="",'상세일정'!AM177="제외"),"",IF($D177=$E177,IF(AND($D177&gt;=AM$5,$D177&lt;AM$5+7),"◆",""),IF(AND($D177&lt;AM$5+7,$E177&gt;AM$5),"■","")))</x:f>
      </x:c>
      <x:c r="AN177" s="7" t="str">
        <x:f>IF(OR($D177="",AN$5="",'상세일정'!AM177="제외"),"",IF($D177=$E177,IF(AND($D177&gt;=AN$5,$D177&lt;AN$5+7),"◆",""),IF(AND($D177&lt;AN$5+7,$E177&gt;AN$5),"■","")))</x:f>
      </x:c>
      <x:c r="AO177" s="7" t="str">
        <x:f>IF(OR($D177="",AO$5="",'상세일정'!AM177="제외"),"",IF($D177=$E177,IF(AND($D177&gt;=AO$5,$D177&lt;AO$5+7),"◆",""),IF(AND($D177&lt;AO$5+7,$E177&gt;AO$5),"■","")))</x:f>
      </x:c>
      <x:c r="AP177" s="7" t="str">
        <x:f>IF(OR($D177="",AP$5="",'상세일정'!AM177="제외"),"",IF($D177=$E177,IF(AND($D177&gt;=AP$5,$D177&lt;AP$5+7),"◆",""),IF(AND($D177&lt;AP$5+7,$E177&gt;AP$5),"■","")))</x:f>
      </x:c>
      <x:c r="AQ177" s="7" t="str">
        <x:f>IF(OR($D177="",AQ$5="",'상세일정'!AM177="제외"),"",IF($D177=$E177,IF(AND($D177&gt;=AQ$5,$D177&lt;AQ$5+7),"◆",""),IF(AND($D177&lt;AQ$5+7,$E177&gt;AQ$5),"■","")))</x:f>
      </x:c>
      <x:c r="AR177" s="7" t="str">
        <x:f>IF(OR($D177="",AR$5="",'상세일정'!AM177="제외"),"",IF($D177=$E177,IF(AND($D177&gt;=AR$5,$D177&lt;AR$5+7),"◆",""),IF(AND($D177&lt;AR$5+7,$E177&gt;AR$5),"■","")))</x:f>
      </x:c>
      <x:c r="AS177" s="7" t="str">
        <x:f>IF(OR($D177="",AS$5="",'상세일정'!AM177="제외"),"",IF($D177=$E177,IF(AND($D177&gt;=AS$5,$D177&lt;AS$5+7),"◆",""),IF(AND($D177&lt;AS$5+7,$E177&gt;AS$5),"■","")))</x:f>
      </x:c>
      <x:c r="AT177" s="7" t="str">
        <x:f>IF(OR($D177="",AT$5="",'상세일정'!AM177="제외"),"",IF($D177=$E177,IF(AND($D177&gt;=AT$5,$D177&lt;AT$5+7),"◆",""),IF(AND($D177&lt;AT$5+7,$E177&gt;AT$5),"■","")))</x:f>
      </x:c>
      <x:c r="AU177" s="7" t="str">
        <x:f>IF(OR($D177="",AU$5="",'상세일정'!AM177="제외"),"",IF($D177=$E177,IF(AND($D177&gt;=AU$5,$D177&lt;AU$5+7),"◆",""),IF(AND($D177&lt;AU$5+7,$E177&gt;AU$5),"■","")))</x:f>
      </x:c>
      <x:c r="AV177" s="7" t="str">
        <x:f>IF(OR($D177="",AV$5="",'상세일정'!AM177="제외"),"",IF($D177=$E177,IF(AND($D177&gt;=AV$5,$D177&lt;AV$5+7),"◆",""),IF(AND($D177&lt;AV$5+7,$E177&gt;AV$5),"■","")))</x:f>
      </x:c>
      <x:c r="AW177" s="7" t="str">
        <x:f>IF(OR($D177="",AW$5="",'상세일정'!AM177="제외"),"",IF($D177=$E177,IF(AND($D177&gt;=AW$5,$D177&lt;AW$5+7),"◆",""),IF(AND($D177&lt;AW$5+7,$E177&gt;AW$5),"■","")))</x:f>
      </x:c>
      <x:c r="AX177" s="7" t="str">
        <x:f>IF(OR($D177="",AX$5="",'상세일정'!AM177="제외"),"",IF($D177=$E177,IF(AND($D177&gt;=AX$5,$D177&lt;AX$5+7),"◆",""),IF(AND($D177&lt;AX$5+7,$E177&gt;AX$5),"■","")))</x:f>
      </x:c>
      <x:c r="AY177" s="7" t="str">
        <x:f>IF(OR($D177="",AY$5="",'상세일정'!AM177="제외"),"",IF($D177=$E177,IF(AND($D177&gt;=AY$5,$D177&lt;AY$5+7),"◆",""),IF(AND($D177&lt;AY$5+7,$E177&gt;AY$5),"■","")))</x:f>
      </x:c>
      <x:c r="AZ177" s="7" t="str">
        <x:f>IF(OR($D177="",AZ$5="",'상세일정'!AM177="제외"),"",IF($D177=$E177,IF(AND($D177&gt;=AZ$5,$D177&lt;AZ$5+7),"◆",""),IF(AND($D177&lt;AZ$5+7,$E177&gt;AZ$5),"■","")))</x:f>
      </x:c>
      <x:c r="BA177" s="7" t="str">
        <x:f>IF(OR($D177="",BA$5="",'상세일정'!AM177="제외"),"",IF($D177=$E177,IF(AND($D177&gt;=BA$5,$D177&lt;BA$5+7),"◆",""),IF(AND($D177&lt;BA$5+7,$E177&gt;BA$5),"■","")))</x:f>
      </x:c>
      <x:c r="BB177" s="7" t="str">
        <x:f>IF(OR($D177="",BB$5="",'상세일정'!AM177="제외"),"",IF($D177=$E177,IF(AND($D177&gt;=BB$5,$D177&lt;BB$5+7),"◆",""),IF(AND($D177&lt;BB$5+7,$E177&gt;BB$5),"■","")))</x:f>
      </x:c>
      <x:c r="BC177" s="7" t="str">
        <x:f>IF(OR($D177="",BC$5="",'상세일정'!AM177="제외"),"",IF($D177=$E177,IF(AND($D177&gt;=BC$5,$D177&lt;BC$5+7),"◆",""),IF(AND($D177&lt;BC$5+7,$E177&gt;BC$5),"■","")))</x:f>
      </x:c>
      <x:c r="BD177" s="7" t="str">
        <x:f>IF(OR($D177="",BD$5="",'상세일정'!AM177="제외"),"",IF($D177=$E177,IF(AND($D177&gt;=BD$5,$D177&lt;BD$5+7),"◆",""),IF(AND($D177&lt;BD$5+7,$E177&gt;BD$5),"■","")))</x:f>
      </x:c>
      <x:c r="BE177" s="7" t="str">
        <x:f>IF(OR($D177="",BE$5="",'상세일정'!AM177="제외"),"",IF($D177=$E177,IF(AND($D177&gt;=BE$5,$D177&lt;BE$5+7),"◆",""),IF(AND($D177&lt;BE$5+7,$E177&gt;BE$5),"■","")))</x:f>
      </x:c>
      <x:c r="BF177" s="7" t="str">
        <x:f>IF(OR($D177="",BF$5="",'상세일정'!AM177="제외"),"",IF($D177=$E177,IF(AND($D177&gt;=BF$5,$D177&lt;BF$5+7),"◆",""),IF(AND($D177&lt;BF$5+7,$E177&gt;BF$5),"■","")))</x:f>
      </x:c>
      <x:c r="BG177" s="7" t="str">
        <x:f>IF(OR($D177="",BG$5="",'상세일정'!AM177="제외"),"",IF($D177=$E177,IF(AND($D177&gt;=BG$5,$D177&lt;BG$5+7),"◆",""),IF(AND($D177&lt;BG$5+7,$E177&gt;BG$5),"■","")))</x:f>
      </x:c>
      <x:c r="BH177" s="7" t="str">
        <x:f>IF(OR($D177="",BH$5="",'상세일정'!AM177="제외"),"",IF($D177=$E177,IF(AND($D177&gt;=BH$5,$D177&lt;BH$5+7),"◆",""),IF(AND($D177&lt;BH$5+7,$E177&gt;BH$5),"■","")))</x:f>
      </x:c>
      <x:c r="BI177" s="7" t="str">
        <x:f>IF(OR($D177="",BI$5="",'상세일정'!AM177="제외"),"",IF($D177=$E177,IF(AND($D177&gt;=BI$5,$D177&lt;BI$5+7),"◆",""),IF(AND($D177&lt;BI$5+7,$E177&gt;BI$5),"■","")))</x:f>
      </x:c>
      <x:c r="BJ177" s="7" t="str">
        <x:f>IF(OR($D177="",BJ$5="",'상세일정'!AM177="제외"),"",IF($D177=$E177,IF(AND($D177&gt;=BJ$5,$D177&lt;BJ$5+7),"◆",""),IF(AND($D177&lt;BJ$5+7,$E177&gt;BJ$5),"■","")))</x:f>
      </x:c>
      <x:c r="BK177" s="7" t="str">
        <x:f>IF(OR($D177="",BK$5="",'상세일정'!AM177="제외"),"",IF($D177=$E177,IF(AND($D177&gt;=BK$5,$D177&lt;BK$5+7),"◆",""),IF(AND($D177&lt;BK$5+7,$E177&gt;BK$5),"■","")))</x:f>
      </x:c>
      <x:c r="BL177" s="7" t="str">
        <x:f>IF(OR($D177="",BL$5="",'상세일정'!AM177="제외"),"",IF($D177=$E177,IF(AND($D177&gt;=BL$5,$D177&lt;BL$5+7),"◆",""),IF(AND($D177&lt;BL$5+7,$E177&gt;BL$5),"■","")))</x:f>
      </x:c>
      <x:c r="BM177" s="7" t="str">
        <x:f>IF(OR($D177="",BM$5="",'상세일정'!AM177="제외"),"",IF($D177=$E177,IF(AND($D177&gt;=BM$5,$D177&lt;BM$5+7),"◆",""),IF(AND($D177&lt;BM$5+7,$E177&gt;BM$5),"■","")))</x:f>
      </x:c>
      <x:c r="BN177" s="7" t="str">
        <x:f>IF(OR($D177="",BN$5="",'상세일정'!AM177="제외"),"",IF($D177=$E177,IF(AND($D177&gt;=BN$5,$D177&lt;BN$5+7),"◆",""),IF(AND($D177&lt;BN$5+7,$E177&gt;BN$5),"■","")))</x:f>
      </x:c>
      <x:c r="BO177" s="7" t="str">
        <x:f>IF(OR($D177="",BO$5="",'상세일정'!AM177="제외"),"",IF($D177=$E177,IF(AND($D177&gt;=BO$5,$D177&lt;BO$5+7),"◆",""),IF(AND($D177&lt;BO$5+7,$E177&gt;BO$5),"■","")))</x:f>
      </x:c>
      <x:c r="BP177" s="7" t="str">
        <x:f>IF(OR($D177="",BP$5="",'상세일정'!AM177="제외"),"",IF($D177=$E177,IF(AND($D177&gt;=BP$5,$D177&lt;BP$5+7),"◆",""),IF(AND($D177&lt;BP$5+7,$E177&gt;BP$5),"■","")))</x:f>
      </x:c>
      <x:c r="BQ177" s="7" t="str">
        <x:f>IF(OR($D177="",BQ$5="",'상세일정'!AM177="제외"),"",IF($D177=$E177,IF(AND($D177&gt;=BQ$5,$D177&lt;BQ$5+7),"◆",""),IF(AND($D177&lt;BQ$5+7,$E177&gt;BQ$5),"■","")))</x:f>
      </x:c>
      <x:c r="BR177" s="7" t="str">
        <x:f>IF(OR($D177="",BR$5="",'상세일정'!AM177="제외"),"",IF($D177=$E177,IF(AND($D177&gt;=BR$5,$D177&lt;BR$5+7),"◆",""),IF(AND($D177&lt;BR$5+7,$E177&gt;BR$5),"■","")))</x:f>
      </x:c>
      <x:c r="BS177" s="7" t="str">
        <x:f>IF(OR($D177="",BS$5="",'상세일정'!AM177="제외"),"",IF($D177=$E177,IF(AND($D177&gt;=BS$5,$D177&lt;BS$5+7),"◆",""),IF(AND($D177&lt;BS$5+7,$E177&gt;BS$5),"■","")))</x:f>
      </x:c>
      <x:c r="BT177" s="7" t="str">
        <x:f>IF(OR($D177="",BT$5="",'상세일정'!AM177="제외"),"",IF($D177=$E177,IF(AND($D177&gt;=BT$5,$D177&lt;BT$5+7),"◆",""),IF(AND($D177&lt;BT$5+7,$E177&gt;BT$5),"■","")))</x:f>
      </x:c>
      <x:c r="BU177" s="7" t="str">
        <x:f>IF(OR($D177="",BU$5="",'상세일정'!AM177="제외"),"",IF($D177=$E177,IF(AND($D177&gt;=BU$5,$D177&lt;BU$5+7),"◆",""),IF(AND($D177&lt;BU$5+7,$E177&gt;BU$5),"■","")))</x:f>
      </x:c>
      <x:c r="BV177" s="7" t="str">
        <x:f>IF(OR($D177="",BV$5="",'상세일정'!AM177="제외"),"",IF($D177=$E177,IF(AND($D177&gt;=BV$5,$D177&lt;BV$5+7),"◆",""),IF(AND($D177&lt;BV$5+7,$E177&gt;BV$5),"■","")))</x:f>
      </x:c>
      <x:c r="BW177" s="7" t="str">
        <x:f>IF(OR($D177="",BW$5="",'상세일정'!AM177="제외"),"",IF($D177=$E177,IF(AND($D177&gt;=BW$5,$D177&lt;BW$5+7),"◆",""),IF(AND($D177&lt;BW$5+7,$E177&gt;BW$5),"■","")))</x:f>
      </x:c>
      <x:c r="BX177" s="7" t="str">
        <x:f>IF(OR($D177="",BX$5="",'상세일정'!AM177="제외"),"",IF($D177=$E177,IF(AND($D177&gt;=BX$5,$D177&lt;BX$5+7),"◆",""),IF(AND($D177&lt;BX$5+7,$E177&gt;BX$5),"■","")))</x:f>
      </x:c>
      <x:c r="BY177" s="7" t="str">
        <x:f>IF(OR($D177="",BY$5="",'상세일정'!AM177="제외"),"",IF($D177=$E177,IF(AND($D177&gt;=BY$5,$D177&lt;BY$5+7),"◆",""),IF(AND($D177&lt;BY$5+7,$E177&gt;BY$5),"■","")))</x:f>
      </x:c>
      <x:c r="BZ177" s="7" t="str">
        <x:f>IF(OR($D177="",BZ$5="",'상세일정'!AM177="제외"),"",IF($D177=$E177,IF(AND($D177&gt;=BZ$5,$D177&lt;BZ$5+7),"◆",""),IF(AND($D177&lt;BZ$5+7,$E177&gt;BZ$5),"■","")))</x:f>
      </x:c>
      <x:c r="CA177" s="7" t="str">
        <x:f>IF(OR($D177="",CA$5="",'상세일정'!AM177="제외"),"",IF($D177=$E177,IF(AND($D177&gt;=CA$5,$D177&lt;CA$5+7),"◆",""),IF(AND($D177&lt;CA$5+7,$E177&gt;CA$5),"■","")))</x:f>
      </x:c>
      <x:c r="CB177" s="7" t="str">
        <x:f>IF(OR($D177="",CB$5="",'상세일정'!AM177="제외"),"",IF($D177=$E177,IF(AND($D177&gt;=CB$5,$D177&lt;CB$5+7),"◆",""),IF(AND($D177&lt;CB$5+7,$E177&gt;CB$5),"■","")))</x:f>
      </x:c>
      <x:c r="CC177" s="7" t="str">
        <x:f>IF(OR($D177="",CC$5="",'상세일정'!AM177="제외"),"",IF($D177=$E177,IF(AND($D177&gt;=CC$5,$D177&lt;CC$5+7),"◆",""),IF(AND($D177&lt;CC$5+7,$E177&gt;CC$5),"■","")))</x:f>
      </x:c>
      <x:c r="CD177" s="7" t="str">
        <x:f>IF(OR($D177="",CD$5="",'상세일정'!AM177="제외"),"",IF($D177=$E177,IF(AND($D177&gt;=CD$5,$D177&lt;CD$5+7),"◆",""),IF(AND($D177&lt;CD$5+7,$E177&gt;CD$5),"■","")))</x:f>
      </x:c>
      <x:c r="CE177" s="7" t="str">
        <x:f>IF(OR($D177="",CE$5="",'상세일정'!AM177="제외"),"",IF($D177=$E177,IF(AND($D177&gt;=CE$5,$D177&lt;CE$5+7),"◆",""),IF(AND($D177&lt;CE$5+7,$E177&gt;CE$5),"■","")))</x:f>
      </x:c>
      <x:c r="CF177" s="7" t="str">
        <x:f>IF(OR($D177="",CF$5="",'상세일정'!AM177="제외"),"",IF($D177=$E177,IF(AND($D177&gt;=CF$5,$D177&lt;CF$5+7),"◆",""),IF(AND($D177&lt;CF$5+7,$E177&gt;CF$5),"■","")))</x:f>
      </x:c>
      <x:c r="CG177" s="7" t="str">
        <x:f>IF(OR($D177="",CG$5="",'상세일정'!AM177="제외"),"",IF($D177=$E177,IF(AND($D177&gt;=CG$5,$D177&lt;CG$5+7),"◆",""),IF(AND($D177&lt;CG$5+7,$E177&gt;CG$5),"■","")))</x:f>
      </x:c>
      <x:c r="CH177" s="7" t="str">
        <x:f>IF(OR($D177="",CH$5="",'상세일정'!AM177="제외"),"",IF($D177=$E177,IF(AND($D177&gt;=CH$5,$D177&lt;CH$5+7),"◆",""),IF(AND($D177&lt;CH$5+7,$E177&gt;CH$5),"■","")))</x:f>
      </x:c>
      <x:c r="CI177" s="7" t="str">
        <x:f>IF(OR($D177="",CI$5="",'상세일정'!AM177="제외"),"",IF($D177=$E177,IF(AND($D177&gt;=CI$5,$D177&lt;CI$5+7),"◆",""),IF(AND($D177&lt;CI$5+7,$E177&gt;CI$5),"■","")))</x:f>
      </x:c>
      <x:c r="CJ177" s="7" t="str">
        <x:f>IF(OR($D177="",CJ$5="",'상세일정'!AM177="제외"),"",IF($D177=$E177,IF(AND($D177&gt;=CJ$5,$D177&lt;CJ$5+7),"◆",""),IF(AND($D177&lt;CJ$5+7,$E177&gt;CJ$5),"■","")))</x:f>
      </x:c>
      <x:c r="CK177" s="7" t="str">
        <x:f>IF(OR($D177="",CK$5="",'상세일정'!AM177="제외"),"",IF($D177=$E177,IF(AND($D177&gt;=CK$5,$D177&lt;CK$5+7),"◆",""),IF(AND($D177&lt;CK$5+7,$E177&gt;CK$5),"■","")))</x:f>
      </x:c>
      <x:c r="CL177" s="7" t="str">
        <x:f>IF(OR($D177="",CL$5="",'상세일정'!AM177="제외"),"",IF($D177=$E177,IF(AND($D177&gt;=CL$5,$D177&lt;CL$5+7),"◆",""),IF(AND($D177&lt;CL$5+7,$E177&gt;CL$5),"■","")))</x:f>
      </x:c>
      <x:c r="CM177" s="7" t="str">
        <x:f>IF(OR($D177="",CM$5="",'상세일정'!AM177="제외"),"",IF($D177=$E177,IF(AND($D177&gt;=CM$5,$D177&lt;CM$5+7),"◆",""),IF(AND($D177&lt;CM$5+7,$E177&gt;CM$5),"■","")))</x:f>
      </x:c>
      <x:c r="CN177" s="7" t="str">
        <x:f>IF(OR($D177="",CN$5="",'상세일정'!AM177="제외"),"",IF($D177=$E177,IF(AND($D177&gt;=CN$5,$D177&lt;CN$5+7),"◆",""),IF(AND($D177&lt;CN$5+7,$E177&gt;CN$5),"■","")))</x:f>
      </x:c>
      <x:c r="CO177" s="7" t="str">
        <x:f>IF(OR($D177="",CO$5="",'상세일정'!AM177="제외"),"",IF($D177=$E177,IF(AND($D177&gt;=CO$5,$D177&lt;CO$5+7),"◆",""),IF(AND($D177&lt;CO$5+7,$E177&gt;CO$5),"■","")))</x:f>
      </x:c>
      <x:c r="CP177" s="7" t="str">
        <x:f>IF(OR($D177="",CP$5="",'상세일정'!AM177="제외"),"",IF($D177=$E177,IF(AND($D177&gt;=CP$5,$D177&lt;CP$5+7),"◆",""),IF(AND($D177&lt;CP$5+7,$E177&gt;CP$5),"■","")))</x:f>
      </x:c>
      <x:c r="CQ177" s="7" t="str">
        <x:f>IF(OR($D177="",CQ$5="",'상세일정'!AM177="제외"),"",IF($D177=$E177,IF(AND($D177&gt;=CQ$5,$D177&lt;CQ$5+7),"◆",""),IF(AND($D177&lt;CQ$5+7,$E177&gt;CQ$5),"■","")))</x:f>
      </x:c>
      <x:c r="CR177" s="7" t="str">
        <x:f>IF(OR($D177="",CR$5="",'상세일정'!AM177="제외"),"",IF($D177=$E177,IF(AND($D177&gt;=CR$5,$D177&lt;CR$5+7),"◆",""),IF(AND($D177&lt;CR$5+7,$E177&gt;CR$5),"■","")))</x:f>
      </x:c>
      <x:c r="CS177" s="7" t="str">
        <x:f>IF(OR($D177="",CS$5="",'상세일정'!AM177="제외"),"",IF($D177=$E177,IF(AND($D177&gt;=CS$5,$D177&lt;CS$5+7),"◆",""),IF(AND($D177&lt;CS$5+7,$E177&gt;CS$5),"■","")))</x:f>
      </x:c>
      <x:c r="CT177" s="7" t="str">
        <x:f>IF(OR($D177="",CT$5="",'상세일정'!AM177="제외"),"",IF($D177=$E177,IF(AND($D177&gt;=CT$5,$D177&lt;CT$5+7),"◆",""),IF(AND($D177&lt;CT$5+7,$E177&gt;CT$5),"■","")))</x:f>
      </x:c>
      <x:c r="CU177" s="7" t="str">
        <x:f>IF(OR($D177="",CU$5="",'상세일정'!AM177="제외"),"",IF($D177=$E177,IF(AND($D177&gt;=CU$5,$D177&lt;CU$5+7),"◆",""),IF(AND($D177&lt;CU$5+7,$E177&gt;CU$5),"■","")))</x:f>
      </x:c>
      <x:c r="CV177" s="7" t="str">
        <x:f>IF(OR($D177="",CV$5="",'상세일정'!AM177="제외"),"",IF($D177=$E177,IF(AND($D177&gt;=CV$5,$D177&lt;CV$5+7),"◆",""),IF(AND($D177&lt;CV$5+7,$E177&gt;CV$5),"■","")))</x:f>
      </x:c>
      <x:c r="CW177" s="7" t="str">
        <x:f>IF(OR($D177="",CW$5="",'상세일정'!AM177="제외"),"",IF($D177=$E177,IF(AND($D177&gt;=CW$5,$D177&lt;CW$5+7),"◆",""),IF(AND($D177&lt;CW$5+7,$E177&gt;CW$5),"■","")))</x:f>
      </x:c>
      <x:c r="CX177" s="7" t="str">
        <x:f>IF(OR($D177="",CX$5="",'상세일정'!AM177="제외"),"",IF($D177=$E177,IF(AND($D177&gt;=CX$5,$D177&lt;CX$5+7),"◆",""),IF(AND($D177&lt;CX$5+7,$E177&gt;CX$5),"■","")))</x:f>
      </x:c>
      <x:c r="CY177" s="7" t="str">
        <x:f>IF(OR($D177="",CY$5="",'상세일정'!AM177="제외"),"",IF($D177=$E177,IF(AND($D177&gt;=CY$5,$D177&lt;CY$5+7),"◆",""),IF(AND($D177&lt;CY$5+7,$E177&gt;CY$5),"■","")))</x:f>
      </x:c>
      <x:c r="CZ177" s="7" t="str">
        <x:f>IF(OR($D177="",CZ$5="",'상세일정'!AM177="제외"),"",IF($D177=$E177,IF(AND($D177&gt;=CZ$5,$D177&lt;CZ$5+7),"◆",""),IF(AND($D177&lt;CZ$5+7,$E177&gt;CZ$5),"■","")))</x:f>
      </x:c>
      <x:c r="DA177" s="7" t="str">
        <x:f>IF(OR($D177="",DA$5="",'상세일정'!AM177="제외"),"",IF($D177=$E177,IF(AND($D177&gt;=DA$5,$D177&lt;DA$5+7),"◆",""),IF(AND($D177&lt;DA$5+7,$E177&gt;DA$5),"■","")))</x:f>
      </x:c>
      <x:c r="DB177" s="7" t="str">
        <x:f>IF(OR($D177="",DB$5="",'상세일정'!AM177="제외"),"",IF($D177=$E177,IF(AND($D177&gt;=DB$5,$D177&lt;DB$5+7),"◆",""),IF(AND($D177&lt;DB$5+7,$E177&gt;DB$5),"■","")))</x:f>
      </x:c>
      <x:c r="DC177" s="7" t="str">
        <x:f>IF(OR($D177="",DC$5="",'상세일정'!AM177="제외"),"",IF($D177=$E177,IF(AND($D177&gt;=DC$5,$D177&lt;DC$5+7),"◆",""),IF(AND($D177&lt;DC$5+7,$E177&gt;DC$5),"■","")))</x:f>
      </x:c>
      <x:c r="DD177" s="7" t="str">
        <x:f>IF(OR($D177="",DD$5="",'상세일정'!AM177="제외"),"",IF($D177=$E177,IF(AND($D177&gt;=DD$5,$D177&lt;DD$5+7),"◆",""),IF(AND($D177&lt;DD$5+7,$E177&gt;DD$5),"■","")))</x:f>
      </x:c>
      <x:c r="DE177" s="7" t="str">
        <x:f>IF(OR($D177="",DE$5="",'상세일정'!AM177="제외"),"",IF($D177=$E177,IF(AND($D177&gt;=DE$5,$D177&lt;DE$5+7),"◆",""),IF(AND($D177&lt;DE$5+7,$E177&gt;DE$5),"■","")))</x:f>
      </x:c>
    </x:row>
    <x:row r="178" ht="34" customHeight="1">
      <x:c r="A178" s="7" t="str">
        <x:v>DR03</x:v>
      </x:c>
      <x:c r="B178" s="7" t="str">
        <x:v>20 부대토목</x:v>
      </x:c>
      <x:c r="C178" s="7" t="str">
        <x:v>경계석·보조기층·포장·차선도색</x:v>
      </x:c>
      <x:c r="D178" s="10" t="str">
        <x:f>'상세일정'!AJ178</x:f>
      </x:c>
      <x:c r="E178" s="10" t="str">
        <x:f>'상세일정'!AK178</x:f>
      </x:c>
      <x:c r="F178" s="7" t="str">
        <x:f>IF(OR($D178="",F$5="",'상세일정'!AM178="제외"),"",IF($D178=$E178,IF(AND($D178&gt;=F$5,$D178&lt;F$5+7),"◆",""),IF(AND($D178&lt;F$5+7,$E178&gt;F$5),"■","")))</x:f>
      </x:c>
      <x:c r="G178" s="7" t="str">
        <x:f>IF(OR($D178="",G$5="",'상세일정'!AM178="제외"),"",IF($D178=$E178,IF(AND($D178&gt;=G$5,$D178&lt;G$5+7),"◆",""),IF(AND($D178&lt;G$5+7,$E178&gt;G$5),"■","")))</x:f>
      </x:c>
      <x:c r="H178" s="7" t="str">
        <x:f>IF(OR($D178="",H$5="",'상세일정'!AM178="제외"),"",IF($D178=$E178,IF(AND($D178&gt;=H$5,$D178&lt;H$5+7),"◆",""),IF(AND($D178&lt;H$5+7,$E178&gt;H$5),"■","")))</x:f>
      </x:c>
      <x:c r="I178" s="7" t="str">
        <x:f>IF(OR($D178="",I$5="",'상세일정'!AM178="제외"),"",IF($D178=$E178,IF(AND($D178&gt;=I$5,$D178&lt;I$5+7),"◆",""),IF(AND($D178&lt;I$5+7,$E178&gt;I$5),"■","")))</x:f>
      </x:c>
      <x:c r="J178" s="7" t="str">
        <x:f>IF(OR($D178="",J$5="",'상세일정'!AM178="제외"),"",IF($D178=$E178,IF(AND($D178&gt;=J$5,$D178&lt;J$5+7),"◆",""),IF(AND($D178&lt;J$5+7,$E178&gt;J$5),"■","")))</x:f>
      </x:c>
      <x:c r="K178" s="7" t="str">
        <x:f>IF(OR($D178="",K$5="",'상세일정'!AM178="제외"),"",IF($D178=$E178,IF(AND($D178&gt;=K$5,$D178&lt;K$5+7),"◆",""),IF(AND($D178&lt;K$5+7,$E178&gt;K$5),"■","")))</x:f>
      </x:c>
      <x:c r="L178" s="7" t="str">
        <x:f>IF(OR($D178="",L$5="",'상세일정'!AM178="제외"),"",IF($D178=$E178,IF(AND($D178&gt;=L$5,$D178&lt;L$5+7),"◆",""),IF(AND($D178&lt;L$5+7,$E178&gt;L$5),"■","")))</x:f>
      </x:c>
      <x:c r="M178" s="7" t="str">
        <x:f>IF(OR($D178="",M$5="",'상세일정'!AM178="제외"),"",IF($D178=$E178,IF(AND($D178&gt;=M$5,$D178&lt;M$5+7),"◆",""),IF(AND($D178&lt;M$5+7,$E178&gt;M$5),"■","")))</x:f>
      </x:c>
      <x:c r="N178" s="7" t="str">
        <x:f>IF(OR($D178="",N$5="",'상세일정'!AM178="제외"),"",IF($D178=$E178,IF(AND($D178&gt;=N$5,$D178&lt;N$5+7),"◆",""),IF(AND($D178&lt;N$5+7,$E178&gt;N$5),"■","")))</x:f>
      </x:c>
      <x:c r="O178" s="7" t="str">
        <x:f>IF(OR($D178="",O$5="",'상세일정'!AM178="제외"),"",IF($D178=$E178,IF(AND($D178&gt;=O$5,$D178&lt;O$5+7),"◆",""),IF(AND($D178&lt;O$5+7,$E178&gt;O$5),"■","")))</x:f>
      </x:c>
      <x:c r="P178" s="7" t="str">
        <x:f>IF(OR($D178="",P$5="",'상세일정'!AM178="제외"),"",IF($D178=$E178,IF(AND($D178&gt;=P$5,$D178&lt;P$5+7),"◆",""),IF(AND($D178&lt;P$5+7,$E178&gt;P$5),"■","")))</x:f>
      </x:c>
      <x:c r="Q178" s="7" t="str">
        <x:f>IF(OR($D178="",Q$5="",'상세일정'!AM178="제외"),"",IF($D178=$E178,IF(AND($D178&gt;=Q$5,$D178&lt;Q$5+7),"◆",""),IF(AND($D178&lt;Q$5+7,$E178&gt;Q$5),"■","")))</x:f>
      </x:c>
      <x:c r="R178" s="7" t="str">
        <x:f>IF(OR($D178="",R$5="",'상세일정'!AM178="제외"),"",IF($D178=$E178,IF(AND($D178&gt;=R$5,$D178&lt;R$5+7),"◆",""),IF(AND($D178&lt;R$5+7,$E178&gt;R$5),"■","")))</x:f>
      </x:c>
      <x:c r="S178" s="7" t="str">
        <x:f>IF(OR($D178="",S$5="",'상세일정'!AM178="제외"),"",IF($D178=$E178,IF(AND($D178&gt;=S$5,$D178&lt;S$5+7),"◆",""),IF(AND($D178&lt;S$5+7,$E178&gt;S$5),"■","")))</x:f>
      </x:c>
      <x:c r="T178" s="7" t="str">
        <x:f>IF(OR($D178="",T$5="",'상세일정'!AM178="제외"),"",IF($D178=$E178,IF(AND($D178&gt;=T$5,$D178&lt;T$5+7),"◆",""),IF(AND($D178&lt;T$5+7,$E178&gt;T$5),"■","")))</x:f>
      </x:c>
      <x:c r="U178" s="7" t="str">
        <x:f>IF(OR($D178="",U$5="",'상세일정'!AM178="제외"),"",IF($D178=$E178,IF(AND($D178&gt;=U$5,$D178&lt;U$5+7),"◆",""),IF(AND($D178&lt;U$5+7,$E178&gt;U$5),"■","")))</x:f>
      </x:c>
      <x:c r="V178" s="7" t="str">
        <x:f>IF(OR($D178="",V$5="",'상세일정'!AM178="제외"),"",IF($D178=$E178,IF(AND($D178&gt;=V$5,$D178&lt;V$5+7),"◆",""),IF(AND($D178&lt;V$5+7,$E178&gt;V$5),"■","")))</x:f>
      </x:c>
      <x:c r="W178" s="7" t="str">
        <x:f>IF(OR($D178="",W$5="",'상세일정'!AM178="제외"),"",IF($D178=$E178,IF(AND($D178&gt;=W$5,$D178&lt;W$5+7),"◆",""),IF(AND($D178&lt;W$5+7,$E178&gt;W$5),"■","")))</x:f>
      </x:c>
      <x:c r="X178" s="7" t="str">
        <x:f>IF(OR($D178="",X$5="",'상세일정'!AM178="제외"),"",IF($D178=$E178,IF(AND($D178&gt;=X$5,$D178&lt;X$5+7),"◆",""),IF(AND($D178&lt;X$5+7,$E178&gt;X$5),"■","")))</x:f>
      </x:c>
      <x:c r="Y178" s="7" t="str">
        <x:f>IF(OR($D178="",Y$5="",'상세일정'!AM178="제외"),"",IF($D178=$E178,IF(AND($D178&gt;=Y$5,$D178&lt;Y$5+7),"◆",""),IF(AND($D178&lt;Y$5+7,$E178&gt;Y$5),"■","")))</x:f>
      </x:c>
      <x:c r="Z178" s="7" t="str">
        <x:f>IF(OR($D178="",Z$5="",'상세일정'!AM178="제외"),"",IF($D178=$E178,IF(AND($D178&gt;=Z$5,$D178&lt;Z$5+7),"◆",""),IF(AND($D178&lt;Z$5+7,$E178&gt;Z$5),"■","")))</x:f>
      </x:c>
      <x:c r="AA178" s="7" t="str">
        <x:f>IF(OR($D178="",AA$5="",'상세일정'!AM178="제외"),"",IF($D178=$E178,IF(AND($D178&gt;=AA$5,$D178&lt;AA$5+7),"◆",""),IF(AND($D178&lt;AA$5+7,$E178&gt;AA$5),"■","")))</x:f>
      </x:c>
      <x:c r="AB178" s="7" t="str">
        <x:f>IF(OR($D178="",AB$5="",'상세일정'!AM178="제외"),"",IF($D178=$E178,IF(AND($D178&gt;=AB$5,$D178&lt;AB$5+7),"◆",""),IF(AND($D178&lt;AB$5+7,$E178&gt;AB$5),"■","")))</x:f>
      </x:c>
      <x:c r="AC178" s="7" t="str">
        <x:f>IF(OR($D178="",AC$5="",'상세일정'!AM178="제외"),"",IF($D178=$E178,IF(AND($D178&gt;=AC$5,$D178&lt;AC$5+7),"◆",""),IF(AND($D178&lt;AC$5+7,$E178&gt;AC$5),"■","")))</x:f>
      </x:c>
      <x:c r="AD178" s="7" t="str">
        <x:f>IF(OR($D178="",AD$5="",'상세일정'!AM178="제외"),"",IF($D178=$E178,IF(AND($D178&gt;=AD$5,$D178&lt;AD$5+7),"◆",""),IF(AND($D178&lt;AD$5+7,$E178&gt;AD$5),"■","")))</x:f>
      </x:c>
      <x:c r="AE178" s="7" t="str">
        <x:f>IF(OR($D178="",AE$5="",'상세일정'!AM178="제외"),"",IF($D178=$E178,IF(AND($D178&gt;=AE$5,$D178&lt;AE$5+7),"◆",""),IF(AND($D178&lt;AE$5+7,$E178&gt;AE$5),"■","")))</x:f>
      </x:c>
      <x:c r="AF178" s="7" t="str">
        <x:f>IF(OR($D178="",AF$5="",'상세일정'!AM178="제외"),"",IF($D178=$E178,IF(AND($D178&gt;=AF$5,$D178&lt;AF$5+7),"◆",""),IF(AND($D178&lt;AF$5+7,$E178&gt;AF$5),"■","")))</x:f>
      </x:c>
      <x:c r="AG178" s="7" t="str">
        <x:f>IF(OR($D178="",AG$5="",'상세일정'!AM178="제외"),"",IF($D178=$E178,IF(AND($D178&gt;=AG$5,$D178&lt;AG$5+7),"◆",""),IF(AND($D178&lt;AG$5+7,$E178&gt;AG$5),"■","")))</x:f>
      </x:c>
      <x:c r="AH178" s="7" t="str">
        <x:f>IF(OR($D178="",AH$5="",'상세일정'!AM178="제외"),"",IF($D178=$E178,IF(AND($D178&gt;=AH$5,$D178&lt;AH$5+7),"◆",""),IF(AND($D178&lt;AH$5+7,$E178&gt;AH$5),"■","")))</x:f>
      </x:c>
      <x:c r="AI178" s="7" t="str">
        <x:f>IF(OR($D178="",AI$5="",'상세일정'!AM178="제외"),"",IF($D178=$E178,IF(AND($D178&gt;=AI$5,$D178&lt;AI$5+7),"◆",""),IF(AND($D178&lt;AI$5+7,$E178&gt;AI$5),"■","")))</x:f>
      </x:c>
      <x:c r="AJ178" s="7" t="str">
        <x:f>IF(OR($D178="",AJ$5="",'상세일정'!AM178="제외"),"",IF($D178=$E178,IF(AND($D178&gt;=AJ$5,$D178&lt;AJ$5+7),"◆",""),IF(AND($D178&lt;AJ$5+7,$E178&gt;AJ$5),"■","")))</x:f>
      </x:c>
      <x:c r="AK178" s="7" t="str">
        <x:f>IF(OR($D178="",AK$5="",'상세일정'!AM178="제외"),"",IF($D178=$E178,IF(AND($D178&gt;=AK$5,$D178&lt;AK$5+7),"◆",""),IF(AND($D178&lt;AK$5+7,$E178&gt;AK$5),"■","")))</x:f>
      </x:c>
      <x:c r="AL178" s="7" t="str">
        <x:f>IF(OR($D178="",AL$5="",'상세일정'!AM178="제외"),"",IF($D178=$E178,IF(AND($D178&gt;=AL$5,$D178&lt;AL$5+7),"◆",""),IF(AND($D178&lt;AL$5+7,$E178&gt;AL$5),"■","")))</x:f>
      </x:c>
      <x:c r="AM178" s="7" t="str">
        <x:f>IF(OR($D178="",AM$5="",'상세일정'!AM178="제외"),"",IF($D178=$E178,IF(AND($D178&gt;=AM$5,$D178&lt;AM$5+7),"◆",""),IF(AND($D178&lt;AM$5+7,$E178&gt;AM$5),"■","")))</x:f>
      </x:c>
      <x:c r="AN178" s="7" t="str">
        <x:f>IF(OR($D178="",AN$5="",'상세일정'!AM178="제외"),"",IF($D178=$E178,IF(AND($D178&gt;=AN$5,$D178&lt;AN$5+7),"◆",""),IF(AND($D178&lt;AN$5+7,$E178&gt;AN$5),"■","")))</x:f>
      </x:c>
      <x:c r="AO178" s="7" t="str">
        <x:f>IF(OR($D178="",AO$5="",'상세일정'!AM178="제외"),"",IF($D178=$E178,IF(AND($D178&gt;=AO$5,$D178&lt;AO$5+7),"◆",""),IF(AND($D178&lt;AO$5+7,$E178&gt;AO$5),"■","")))</x:f>
      </x:c>
      <x:c r="AP178" s="7" t="str">
        <x:f>IF(OR($D178="",AP$5="",'상세일정'!AM178="제외"),"",IF($D178=$E178,IF(AND($D178&gt;=AP$5,$D178&lt;AP$5+7),"◆",""),IF(AND($D178&lt;AP$5+7,$E178&gt;AP$5),"■","")))</x:f>
      </x:c>
      <x:c r="AQ178" s="7" t="str">
        <x:f>IF(OR($D178="",AQ$5="",'상세일정'!AM178="제외"),"",IF($D178=$E178,IF(AND($D178&gt;=AQ$5,$D178&lt;AQ$5+7),"◆",""),IF(AND($D178&lt;AQ$5+7,$E178&gt;AQ$5),"■","")))</x:f>
      </x:c>
      <x:c r="AR178" s="7" t="str">
        <x:f>IF(OR($D178="",AR$5="",'상세일정'!AM178="제외"),"",IF($D178=$E178,IF(AND($D178&gt;=AR$5,$D178&lt;AR$5+7),"◆",""),IF(AND($D178&lt;AR$5+7,$E178&gt;AR$5),"■","")))</x:f>
      </x:c>
      <x:c r="AS178" s="7" t="str">
        <x:f>IF(OR($D178="",AS$5="",'상세일정'!AM178="제외"),"",IF($D178=$E178,IF(AND($D178&gt;=AS$5,$D178&lt;AS$5+7),"◆",""),IF(AND($D178&lt;AS$5+7,$E178&gt;AS$5),"■","")))</x:f>
      </x:c>
      <x:c r="AT178" s="7" t="str">
        <x:f>IF(OR($D178="",AT$5="",'상세일정'!AM178="제외"),"",IF($D178=$E178,IF(AND($D178&gt;=AT$5,$D178&lt;AT$5+7),"◆",""),IF(AND($D178&lt;AT$5+7,$E178&gt;AT$5),"■","")))</x:f>
      </x:c>
      <x:c r="AU178" s="7" t="str">
        <x:f>IF(OR($D178="",AU$5="",'상세일정'!AM178="제외"),"",IF($D178=$E178,IF(AND($D178&gt;=AU$5,$D178&lt;AU$5+7),"◆",""),IF(AND($D178&lt;AU$5+7,$E178&gt;AU$5),"■","")))</x:f>
      </x:c>
      <x:c r="AV178" s="7" t="str">
        <x:f>IF(OR($D178="",AV$5="",'상세일정'!AM178="제외"),"",IF($D178=$E178,IF(AND($D178&gt;=AV$5,$D178&lt;AV$5+7),"◆",""),IF(AND($D178&lt;AV$5+7,$E178&gt;AV$5),"■","")))</x:f>
      </x:c>
      <x:c r="AW178" s="7" t="str">
        <x:f>IF(OR($D178="",AW$5="",'상세일정'!AM178="제외"),"",IF($D178=$E178,IF(AND($D178&gt;=AW$5,$D178&lt;AW$5+7),"◆",""),IF(AND($D178&lt;AW$5+7,$E178&gt;AW$5),"■","")))</x:f>
      </x:c>
      <x:c r="AX178" s="7" t="str">
        <x:f>IF(OR($D178="",AX$5="",'상세일정'!AM178="제외"),"",IF($D178=$E178,IF(AND($D178&gt;=AX$5,$D178&lt;AX$5+7),"◆",""),IF(AND($D178&lt;AX$5+7,$E178&gt;AX$5),"■","")))</x:f>
      </x:c>
      <x:c r="AY178" s="7" t="str">
        <x:f>IF(OR($D178="",AY$5="",'상세일정'!AM178="제외"),"",IF($D178=$E178,IF(AND($D178&gt;=AY$5,$D178&lt;AY$5+7),"◆",""),IF(AND($D178&lt;AY$5+7,$E178&gt;AY$5),"■","")))</x:f>
      </x:c>
      <x:c r="AZ178" s="7" t="str">
        <x:f>IF(OR($D178="",AZ$5="",'상세일정'!AM178="제외"),"",IF($D178=$E178,IF(AND($D178&gt;=AZ$5,$D178&lt;AZ$5+7),"◆",""),IF(AND($D178&lt;AZ$5+7,$E178&gt;AZ$5),"■","")))</x:f>
      </x:c>
      <x:c r="BA178" s="7" t="str">
        <x:f>IF(OR($D178="",BA$5="",'상세일정'!AM178="제외"),"",IF($D178=$E178,IF(AND($D178&gt;=BA$5,$D178&lt;BA$5+7),"◆",""),IF(AND($D178&lt;BA$5+7,$E178&gt;BA$5),"■","")))</x:f>
      </x:c>
      <x:c r="BB178" s="7" t="str">
        <x:f>IF(OR($D178="",BB$5="",'상세일정'!AM178="제외"),"",IF($D178=$E178,IF(AND($D178&gt;=BB$5,$D178&lt;BB$5+7),"◆",""),IF(AND($D178&lt;BB$5+7,$E178&gt;BB$5),"■","")))</x:f>
      </x:c>
      <x:c r="BC178" s="7" t="str">
        <x:f>IF(OR($D178="",BC$5="",'상세일정'!AM178="제외"),"",IF($D178=$E178,IF(AND($D178&gt;=BC$5,$D178&lt;BC$5+7),"◆",""),IF(AND($D178&lt;BC$5+7,$E178&gt;BC$5),"■","")))</x:f>
      </x:c>
      <x:c r="BD178" s="7" t="str">
        <x:f>IF(OR($D178="",BD$5="",'상세일정'!AM178="제외"),"",IF($D178=$E178,IF(AND($D178&gt;=BD$5,$D178&lt;BD$5+7),"◆",""),IF(AND($D178&lt;BD$5+7,$E178&gt;BD$5),"■","")))</x:f>
      </x:c>
      <x:c r="BE178" s="7" t="str">
        <x:f>IF(OR($D178="",BE$5="",'상세일정'!AM178="제외"),"",IF($D178=$E178,IF(AND($D178&gt;=BE$5,$D178&lt;BE$5+7),"◆",""),IF(AND($D178&lt;BE$5+7,$E178&gt;BE$5),"■","")))</x:f>
      </x:c>
      <x:c r="BF178" s="7" t="str">
        <x:f>IF(OR($D178="",BF$5="",'상세일정'!AM178="제외"),"",IF($D178=$E178,IF(AND($D178&gt;=BF$5,$D178&lt;BF$5+7),"◆",""),IF(AND($D178&lt;BF$5+7,$E178&gt;BF$5),"■","")))</x:f>
      </x:c>
      <x:c r="BG178" s="7" t="str">
        <x:f>IF(OR($D178="",BG$5="",'상세일정'!AM178="제외"),"",IF($D178=$E178,IF(AND($D178&gt;=BG$5,$D178&lt;BG$5+7),"◆",""),IF(AND($D178&lt;BG$5+7,$E178&gt;BG$5),"■","")))</x:f>
      </x:c>
      <x:c r="BH178" s="7" t="str">
        <x:f>IF(OR($D178="",BH$5="",'상세일정'!AM178="제외"),"",IF($D178=$E178,IF(AND($D178&gt;=BH$5,$D178&lt;BH$5+7),"◆",""),IF(AND($D178&lt;BH$5+7,$E178&gt;BH$5),"■","")))</x:f>
      </x:c>
      <x:c r="BI178" s="7" t="str">
        <x:f>IF(OR($D178="",BI$5="",'상세일정'!AM178="제외"),"",IF($D178=$E178,IF(AND($D178&gt;=BI$5,$D178&lt;BI$5+7),"◆",""),IF(AND($D178&lt;BI$5+7,$E178&gt;BI$5),"■","")))</x:f>
      </x:c>
      <x:c r="BJ178" s="7" t="str">
        <x:f>IF(OR($D178="",BJ$5="",'상세일정'!AM178="제외"),"",IF($D178=$E178,IF(AND($D178&gt;=BJ$5,$D178&lt;BJ$5+7),"◆",""),IF(AND($D178&lt;BJ$5+7,$E178&gt;BJ$5),"■","")))</x:f>
      </x:c>
      <x:c r="BK178" s="7" t="str">
        <x:f>IF(OR($D178="",BK$5="",'상세일정'!AM178="제외"),"",IF($D178=$E178,IF(AND($D178&gt;=BK$5,$D178&lt;BK$5+7),"◆",""),IF(AND($D178&lt;BK$5+7,$E178&gt;BK$5),"■","")))</x:f>
      </x:c>
      <x:c r="BL178" s="7" t="str">
        <x:f>IF(OR($D178="",BL$5="",'상세일정'!AM178="제외"),"",IF($D178=$E178,IF(AND($D178&gt;=BL$5,$D178&lt;BL$5+7),"◆",""),IF(AND($D178&lt;BL$5+7,$E178&gt;BL$5),"■","")))</x:f>
      </x:c>
      <x:c r="BM178" s="7" t="str">
        <x:f>IF(OR($D178="",BM$5="",'상세일정'!AM178="제외"),"",IF($D178=$E178,IF(AND($D178&gt;=BM$5,$D178&lt;BM$5+7),"◆",""),IF(AND($D178&lt;BM$5+7,$E178&gt;BM$5),"■","")))</x:f>
      </x:c>
      <x:c r="BN178" s="7" t="str">
        <x:f>IF(OR($D178="",BN$5="",'상세일정'!AM178="제외"),"",IF($D178=$E178,IF(AND($D178&gt;=BN$5,$D178&lt;BN$5+7),"◆",""),IF(AND($D178&lt;BN$5+7,$E178&gt;BN$5),"■","")))</x:f>
      </x:c>
      <x:c r="BO178" s="7" t="str">
        <x:f>IF(OR($D178="",BO$5="",'상세일정'!AM178="제외"),"",IF($D178=$E178,IF(AND($D178&gt;=BO$5,$D178&lt;BO$5+7),"◆",""),IF(AND($D178&lt;BO$5+7,$E178&gt;BO$5),"■","")))</x:f>
      </x:c>
      <x:c r="BP178" s="7" t="str">
        <x:f>IF(OR($D178="",BP$5="",'상세일정'!AM178="제외"),"",IF($D178=$E178,IF(AND($D178&gt;=BP$5,$D178&lt;BP$5+7),"◆",""),IF(AND($D178&lt;BP$5+7,$E178&gt;BP$5),"■","")))</x:f>
      </x:c>
      <x:c r="BQ178" s="7" t="str">
        <x:f>IF(OR($D178="",BQ$5="",'상세일정'!AM178="제외"),"",IF($D178=$E178,IF(AND($D178&gt;=BQ$5,$D178&lt;BQ$5+7),"◆",""),IF(AND($D178&lt;BQ$5+7,$E178&gt;BQ$5),"■","")))</x:f>
      </x:c>
      <x:c r="BR178" s="7" t="str">
        <x:f>IF(OR($D178="",BR$5="",'상세일정'!AM178="제외"),"",IF($D178=$E178,IF(AND($D178&gt;=BR$5,$D178&lt;BR$5+7),"◆",""),IF(AND($D178&lt;BR$5+7,$E178&gt;BR$5),"■","")))</x:f>
      </x:c>
      <x:c r="BS178" s="7" t="str">
        <x:f>IF(OR($D178="",BS$5="",'상세일정'!AM178="제외"),"",IF($D178=$E178,IF(AND($D178&gt;=BS$5,$D178&lt;BS$5+7),"◆",""),IF(AND($D178&lt;BS$5+7,$E178&gt;BS$5),"■","")))</x:f>
      </x:c>
      <x:c r="BT178" s="7" t="str">
        <x:f>IF(OR($D178="",BT$5="",'상세일정'!AM178="제외"),"",IF($D178=$E178,IF(AND($D178&gt;=BT$5,$D178&lt;BT$5+7),"◆",""),IF(AND($D178&lt;BT$5+7,$E178&gt;BT$5),"■","")))</x:f>
      </x:c>
      <x:c r="BU178" s="7" t="str">
        <x:f>IF(OR($D178="",BU$5="",'상세일정'!AM178="제외"),"",IF($D178=$E178,IF(AND($D178&gt;=BU$5,$D178&lt;BU$5+7),"◆",""),IF(AND($D178&lt;BU$5+7,$E178&gt;BU$5),"■","")))</x:f>
      </x:c>
      <x:c r="BV178" s="7" t="str">
        <x:f>IF(OR($D178="",BV$5="",'상세일정'!AM178="제외"),"",IF($D178=$E178,IF(AND($D178&gt;=BV$5,$D178&lt;BV$5+7),"◆",""),IF(AND($D178&lt;BV$5+7,$E178&gt;BV$5),"■","")))</x:f>
      </x:c>
      <x:c r="BW178" s="7" t="str">
        <x:f>IF(OR($D178="",BW$5="",'상세일정'!AM178="제외"),"",IF($D178=$E178,IF(AND($D178&gt;=BW$5,$D178&lt;BW$5+7),"◆",""),IF(AND($D178&lt;BW$5+7,$E178&gt;BW$5),"■","")))</x:f>
      </x:c>
      <x:c r="BX178" s="7" t="str">
        <x:f>IF(OR($D178="",BX$5="",'상세일정'!AM178="제외"),"",IF($D178=$E178,IF(AND($D178&gt;=BX$5,$D178&lt;BX$5+7),"◆",""),IF(AND($D178&lt;BX$5+7,$E178&gt;BX$5),"■","")))</x:f>
      </x:c>
      <x:c r="BY178" s="7" t="str">
        <x:f>IF(OR($D178="",BY$5="",'상세일정'!AM178="제외"),"",IF($D178=$E178,IF(AND($D178&gt;=BY$5,$D178&lt;BY$5+7),"◆",""),IF(AND($D178&lt;BY$5+7,$E178&gt;BY$5),"■","")))</x:f>
      </x:c>
      <x:c r="BZ178" s="7" t="str">
        <x:f>IF(OR($D178="",BZ$5="",'상세일정'!AM178="제외"),"",IF($D178=$E178,IF(AND($D178&gt;=BZ$5,$D178&lt;BZ$5+7),"◆",""),IF(AND($D178&lt;BZ$5+7,$E178&gt;BZ$5),"■","")))</x:f>
      </x:c>
      <x:c r="CA178" s="7" t="str">
        <x:f>IF(OR($D178="",CA$5="",'상세일정'!AM178="제외"),"",IF($D178=$E178,IF(AND($D178&gt;=CA$5,$D178&lt;CA$5+7),"◆",""),IF(AND($D178&lt;CA$5+7,$E178&gt;CA$5),"■","")))</x:f>
      </x:c>
      <x:c r="CB178" s="7" t="str">
        <x:f>IF(OR($D178="",CB$5="",'상세일정'!AM178="제외"),"",IF($D178=$E178,IF(AND($D178&gt;=CB$5,$D178&lt;CB$5+7),"◆",""),IF(AND($D178&lt;CB$5+7,$E178&gt;CB$5),"■","")))</x:f>
      </x:c>
      <x:c r="CC178" s="7" t="str">
        <x:f>IF(OR($D178="",CC$5="",'상세일정'!AM178="제외"),"",IF($D178=$E178,IF(AND($D178&gt;=CC$5,$D178&lt;CC$5+7),"◆",""),IF(AND($D178&lt;CC$5+7,$E178&gt;CC$5),"■","")))</x:f>
      </x:c>
      <x:c r="CD178" s="7" t="str">
        <x:f>IF(OR($D178="",CD$5="",'상세일정'!AM178="제외"),"",IF($D178=$E178,IF(AND($D178&gt;=CD$5,$D178&lt;CD$5+7),"◆",""),IF(AND($D178&lt;CD$5+7,$E178&gt;CD$5),"■","")))</x:f>
      </x:c>
      <x:c r="CE178" s="7" t="str">
        <x:f>IF(OR($D178="",CE$5="",'상세일정'!AM178="제외"),"",IF($D178=$E178,IF(AND($D178&gt;=CE$5,$D178&lt;CE$5+7),"◆",""),IF(AND($D178&lt;CE$5+7,$E178&gt;CE$5),"■","")))</x:f>
      </x:c>
      <x:c r="CF178" s="7" t="str">
        <x:f>IF(OR($D178="",CF$5="",'상세일정'!AM178="제외"),"",IF($D178=$E178,IF(AND($D178&gt;=CF$5,$D178&lt;CF$5+7),"◆",""),IF(AND($D178&lt;CF$5+7,$E178&gt;CF$5),"■","")))</x:f>
      </x:c>
      <x:c r="CG178" s="7" t="str">
        <x:f>IF(OR($D178="",CG$5="",'상세일정'!AM178="제외"),"",IF($D178=$E178,IF(AND($D178&gt;=CG$5,$D178&lt;CG$5+7),"◆",""),IF(AND($D178&lt;CG$5+7,$E178&gt;CG$5),"■","")))</x:f>
      </x:c>
      <x:c r="CH178" s="7" t="str">
        <x:f>IF(OR($D178="",CH$5="",'상세일정'!AM178="제외"),"",IF($D178=$E178,IF(AND($D178&gt;=CH$5,$D178&lt;CH$5+7),"◆",""),IF(AND($D178&lt;CH$5+7,$E178&gt;CH$5),"■","")))</x:f>
      </x:c>
      <x:c r="CI178" s="7" t="str">
        <x:f>IF(OR($D178="",CI$5="",'상세일정'!AM178="제외"),"",IF($D178=$E178,IF(AND($D178&gt;=CI$5,$D178&lt;CI$5+7),"◆",""),IF(AND($D178&lt;CI$5+7,$E178&gt;CI$5),"■","")))</x:f>
      </x:c>
      <x:c r="CJ178" s="7" t="str">
        <x:f>IF(OR($D178="",CJ$5="",'상세일정'!AM178="제외"),"",IF($D178=$E178,IF(AND($D178&gt;=CJ$5,$D178&lt;CJ$5+7),"◆",""),IF(AND($D178&lt;CJ$5+7,$E178&gt;CJ$5),"■","")))</x:f>
      </x:c>
      <x:c r="CK178" s="7" t="str">
        <x:f>IF(OR($D178="",CK$5="",'상세일정'!AM178="제외"),"",IF($D178=$E178,IF(AND($D178&gt;=CK$5,$D178&lt;CK$5+7),"◆",""),IF(AND($D178&lt;CK$5+7,$E178&gt;CK$5),"■","")))</x:f>
      </x:c>
      <x:c r="CL178" s="7" t="str">
        <x:f>IF(OR($D178="",CL$5="",'상세일정'!AM178="제외"),"",IF($D178=$E178,IF(AND($D178&gt;=CL$5,$D178&lt;CL$5+7),"◆",""),IF(AND($D178&lt;CL$5+7,$E178&gt;CL$5),"■","")))</x:f>
      </x:c>
      <x:c r="CM178" s="7" t="str">
        <x:f>IF(OR($D178="",CM$5="",'상세일정'!AM178="제외"),"",IF($D178=$E178,IF(AND($D178&gt;=CM$5,$D178&lt;CM$5+7),"◆",""),IF(AND($D178&lt;CM$5+7,$E178&gt;CM$5),"■","")))</x:f>
      </x:c>
      <x:c r="CN178" s="7" t="str">
        <x:f>IF(OR($D178="",CN$5="",'상세일정'!AM178="제외"),"",IF($D178=$E178,IF(AND($D178&gt;=CN$5,$D178&lt;CN$5+7),"◆",""),IF(AND($D178&lt;CN$5+7,$E178&gt;CN$5),"■","")))</x:f>
      </x:c>
      <x:c r="CO178" s="7" t="str">
        <x:f>IF(OR($D178="",CO$5="",'상세일정'!AM178="제외"),"",IF($D178=$E178,IF(AND($D178&gt;=CO$5,$D178&lt;CO$5+7),"◆",""),IF(AND($D178&lt;CO$5+7,$E178&gt;CO$5),"■","")))</x:f>
      </x:c>
      <x:c r="CP178" s="7" t="str">
        <x:f>IF(OR($D178="",CP$5="",'상세일정'!AM178="제외"),"",IF($D178=$E178,IF(AND($D178&gt;=CP$5,$D178&lt;CP$5+7),"◆",""),IF(AND($D178&lt;CP$5+7,$E178&gt;CP$5),"■","")))</x:f>
      </x:c>
      <x:c r="CQ178" s="7" t="str">
        <x:f>IF(OR($D178="",CQ$5="",'상세일정'!AM178="제외"),"",IF($D178=$E178,IF(AND($D178&gt;=CQ$5,$D178&lt;CQ$5+7),"◆",""),IF(AND($D178&lt;CQ$5+7,$E178&gt;CQ$5),"■","")))</x:f>
      </x:c>
      <x:c r="CR178" s="7" t="str">
        <x:f>IF(OR($D178="",CR$5="",'상세일정'!AM178="제외"),"",IF($D178=$E178,IF(AND($D178&gt;=CR$5,$D178&lt;CR$5+7),"◆",""),IF(AND($D178&lt;CR$5+7,$E178&gt;CR$5),"■","")))</x:f>
      </x:c>
      <x:c r="CS178" s="7" t="str">
        <x:f>IF(OR($D178="",CS$5="",'상세일정'!AM178="제외"),"",IF($D178=$E178,IF(AND($D178&gt;=CS$5,$D178&lt;CS$5+7),"◆",""),IF(AND($D178&lt;CS$5+7,$E178&gt;CS$5),"■","")))</x:f>
      </x:c>
      <x:c r="CT178" s="7" t="str">
        <x:f>IF(OR($D178="",CT$5="",'상세일정'!AM178="제외"),"",IF($D178=$E178,IF(AND($D178&gt;=CT$5,$D178&lt;CT$5+7),"◆",""),IF(AND($D178&lt;CT$5+7,$E178&gt;CT$5),"■","")))</x:f>
      </x:c>
      <x:c r="CU178" s="7" t="str">
        <x:f>IF(OR($D178="",CU$5="",'상세일정'!AM178="제외"),"",IF($D178=$E178,IF(AND($D178&gt;=CU$5,$D178&lt;CU$5+7),"◆",""),IF(AND($D178&lt;CU$5+7,$E178&gt;CU$5),"■","")))</x:f>
      </x:c>
      <x:c r="CV178" s="7" t="str">
        <x:f>IF(OR($D178="",CV$5="",'상세일정'!AM178="제외"),"",IF($D178=$E178,IF(AND($D178&gt;=CV$5,$D178&lt;CV$5+7),"◆",""),IF(AND($D178&lt;CV$5+7,$E178&gt;CV$5),"■","")))</x:f>
      </x:c>
      <x:c r="CW178" s="7" t="str">
        <x:f>IF(OR($D178="",CW$5="",'상세일정'!AM178="제외"),"",IF($D178=$E178,IF(AND($D178&gt;=CW$5,$D178&lt;CW$5+7),"◆",""),IF(AND($D178&lt;CW$5+7,$E178&gt;CW$5),"■","")))</x:f>
      </x:c>
      <x:c r="CX178" s="7" t="str">
        <x:f>IF(OR($D178="",CX$5="",'상세일정'!AM178="제외"),"",IF($D178=$E178,IF(AND($D178&gt;=CX$5,$D178&lt;CX$5+7),"◆",""),IF(AND($D178&lt;CX$5+7,$E178&gt;CX$5),"■","")))</x:f>
      </x:c>
      <x:c r="CY178" s="7" t="str">
        <x:f>IF(OR($D178="",CY$5="",'상세일정'!AM178="제외"),"",IF($D178=$E178,IF(AND($D178&gt;=CY$5,$D178&lt;CY$5+7),"◆",""),IF(AND($D178&lt;CY$5+7,$E178&gt;CY$5),"■","")))</x:f>
      </x:c>
      <x:c r="CZ178" s="7" t="str">
        <x:f>IF(OR($D178="",CZ$5="",'상세일정'!AM178="제외"),"",IF($D178=$E178,IF(AND($D178&gt;=CZ$5,$D178&lt;CZ$5+7),"◆",""),IF(AND($D178&lt;CZ$5+7,$E178&gt;CZ$5),"■","")))</x:f>
      </x:c>
      <x:c r="DA178" s="7" t="str">
        <x:f>IF(OR($D178="",DA$5="",'상세일정'!AM178="제외"),"",IF($D178=$E178,IF(AND($D178&gt;=DA$5,$D178&lt;DA$5+7),"◆",""),IF(AND($D178&lt;DA$5+7,$E178&gt;DA$5),"■","")))</x:f>
      </x:c>
      <x:c r="DB178" s="7" t="str">
        <x:f>IF(OR($D178="",DB$5="",'상세일정'!AM178="제외"),"",IF($D178=$E178,IF(AND($D178&gt;=DB$5,$D178&lt;DB$5+7),"◆",""),IF(AND($D178&lt;DB$5+7,$E178&gt;DB$5),"■","")))</x:f>
      </x:c>
      <x:c r="DC178" s="7" t="str">
        <x:f>IF(OR($D178="",DC$5="",'상세일정'!AM178="제외"),"",IF($D178=$E178,IF(AND($D178&gt;=DC$5,$D178&lt;DC$5+7),"◆",""),IF(AND($D178&lt;DC$5+7,$E178&gt;DC$5),"■","")))</x:f>
      </x:c>
      <x:c r="DD178" s="7" t="str">
        <x:f>IF(OR($D178="",DD$5="",'상세일정'!AM178="제외"),"",IF($D178=$E178,IF(AND($D178&gt;=DD$5,$D178&lt;DD$5+7),"◆",""),IF(AND($D178&lt;DD$5+7,$E178&gt;DD$5),"■","")))</x:f>
      </x:c>
      <x:c r="DE178" s="7" t="str">
        <x:f>IF(OR($D178="",DE$5="",'상세일정'!AM178="제외"),"",IF($D178=$E178,IF(AND($D178&gt;=DE$5,$D178&lt;DE$5+7),"◆",""),IF(AND($D178&lt;DE$5+7,$E178&gt;DE$5),"■","")))</x:f>
      </x:c>
    </x:row>
    <x:row r="179" ht="34" customHeight="1">
      <x:c r="A179" s="7" t="str">
        <x:v>DR04</x:v>
      </x:c>
      <x:c r="B179" s="7" t="str">
        <x:v>20 부대토목</x:v>
      </x:c>
      <x:c r="C179" s="7" t="str">
        <x:v>휀스·출입통제·표지·현장정리</x:v>
      </x:c>
      <x:c r="D179" s="10" t="str">
        <x:f>'상세일정'!AJ179</x:f>
      </x:c>
      <x:c r="E179" s="10" t="str">
        <x:f>'상세일정'!AK179</x:f>
      </x:c>
      <x:c r="F179" s="7" t="str">
        <x:f>IF(OR($D179="",F$5="",'상세일정'!AM179="제외"),"",IF($D179=$E179,IF(AND($D179&gt;=F$5,$D179&lt;F$5+7),"◆",""),IF(AND($D179&lt;F$5+7,$E179&gt;F$5),"■","")))</x:f>
      </x:c>
      <x:c r="G179" s="7" t="str">
        <x:f>IF(OR($D179="",G$5="",'상세일정'!AM179="제외"),"",IF($D179=$E179,IF(AND($D179&gt;=G$5,$D179&lt;G$5+7),"◆",""),IF(AND($D179&lt;G$5+7,$E179&gt;G$5),"■","")))</x:f>
      </x:c>
      <x:c r="H179" s="7" t="str">
        <x:f>IF(OR($D179="",H$5="",'상세일정'!AM179="제외"),"",IF($D179=$E179,IF(AND($D179&gt;=H$5,$D179&lt;H$5+7),"◆",""),IF(AND($D179&lt;H$5+7,$E179&gt;H$5),"■","")))</x:f>
      </x:c>
      <x:c r="I179" s="7" t="str">
        <x:f>IF(OR($D179="",I$5="",'상세일정'!AM179="제외"),"",IF($D179=$E179,IF(AND($D179&gt;=I$5,$D179&lt;I$5+7),"◆",""),IF(AND($D179&lt;I$5+7,$E179&gt;I$5),"■","")))</x:f>
      </x:c>
      <x:c r="J179" s="7" t="str">
        <x:f>IF(OR($D179="",J$5="",'상세일정'!AM179="제외"),"",IF($D179=$E179,IF(AND($D179&gt;=J$5,$D179&lt;J$5+7),"◆",""),IF(AND($D179&lt;J$5+7,$E179&gt;J$5),"■","")))</x:f>
      </x:c>
      <x:c r="K179" s="7" t="str">
        <x:f>IF(OR($D179="",K$5="",'상세일정'!AM179="제외"),"",IF($D179=$E179,IF(AND($D179&gt;=K$5,$D179&lt;K$5+7),"◆",""),IF(AND($D179&lt;K$5+7,$E179&gt;K$5),"■","")))</x:f>
      </x:c>
      <x:c r="L179" s="7" t="str">
        <x:f>IF(OR($D179="",L$5="",'상세일정'!AM179="제외"),"",IF($D179=$E179,IF(AND($D179&gt;=L$5,$D179&lt;L$5+7),"◆",""),IF(AND($D179&lt;L$5+7,$E179&gt;L$5),"■","")))</x:f>
      </x:c>
      <x:c r="M179" s="7" t="str">
        <x:f>IF(OR($D179="",M$5="",'상세일정'!AM179="제외"),"",IF($D179=$E179,IF(AND($D179&gt;=M$5,$D179&lt;M$5+7),"◆",""),IF(AND($D179&lt;M$5+7,$E179&gt;M$5),"■","")))</x:f>
      </x:c>
      <x:c r="N179" s="7" t="str">
        <x:f>IF(OR($D179="",N$5="",'상세일정'!AM179="제외"),"",IF($D179=$E179,IF(AND($D179&gt;=N$5,$D179&lt;N$5+7),"◆",""),IF(AND($D179&lt;N$5+7,$E179&gt;N$5),"■","")))</x:f>
      </x:c>
      <x:c r="O179" s="7" t="str">
        <x:f>IF(OR($D179="",O$5="",'상세일정'!AM179="제외"),"",IF($D179=$E179,IF(AND($D179&gt;=O$5,$D179&lt;O$5+7),"◆",""),IF(AND($D179&lt;O$5+7,$E179&gt;O$5),"■","")))</x:f>
      </x:c>
      <x:c r="P179" s="7" t="str">
        <x:f>IF(OR($D179="",P$5="",'상세일정'!AM179="제외"),"",IF($D179=$E179,IF(AND($D179&gt;=P$5,$D179&lt;P$5+7),"◆",""),IF(AND($D179&lt;P$5+7,$E179&gt;P$5),"■","")))</x:f>
      </x:c>
      <x:c r="Q179" s="7" t="str">
        <x:f>IF(OR($D179="",Q$5="",'상세일정'!AM179="제외"),"",IF($D179=$E179,IF(AND($D179&gt;=Q$5,$D179&lt;Q$5+7),"◆",""),IF(AND($D179&lt;Q$5+7,$E179&gt;Q$5),"■","")))</x:f>
      </x:c>
      <x:c r="R179" s="7" t="str">
        <x:f>IF(OR($D179="",R$5="",'상세일정'!AM179="제외"),"",IF($D179=$E179,IF(AND($D179&gt;=R$5,$D179&lt;R$5+7),"◆",""),IF(AND($D179&lt;R$5+7,$E179&gt;R$5),"■","")))</x:f>
      </x:c>
      <x:c r="S179" s="7" t="str">
        <x:f>IF(OR($D179="",S$5="",'상세일정'!AM179="제외"),"",IF($D179=$E179,IF(AND($D179&gt;=S$5,$D179&lt;S$5+7),"◆",""),IF(AND($D179&lt;S$5+7,$E179&gt;S$5),"■","")))</x:f>
      </x:c>
      <x:c r="T179" s="7" t="str">
        <x:f>IF(OR($D179="",T$5="",'상세일정'!AM179="제외"),"",IF($D179=$E179,IF(AND($D179&gt;=T$5,$D179&lt;T$5+7),"◆",""),IF(AND($D179&lt;T$5+7,$E179&gt;T$5),"■","")))</x:f>
      </x:c>
      <x:c r="U179" s="7" t="str">
        <x:f>IF(OR($D179="",U$5="",'상세일정'!AM179="제외"),"",IF($D179=$E179,IF(AND($D179&gt;=U$5,$D179&lt;U$5+7),"◆",""),IF(AND($D179&lt;U$5+7,$E179&gt;U$5),"■","")))</x:f>
      </x:c>
      <x:c r="V179" s="7" t="str">
        <x:f>IF(OR($D179="",V$5="",'상세일정'!AM179="제외"),"",IF($D179=$E179,IF(AND($D179&gt;=V$5,$D179&lt;V$5+7),"◆",""),IF(AND($D179&lt;V$5+7,$E179&gt;V$5),"■","")))</x:f>
      </x:c>
      <x:c r="W179" s="7" t="str">
        <x:f>IF(OR($D179="",W$5="",'상세일정'!AM179="제외"),"",IF($D179=$E179,IF(AND($D179&gt;=W$5,$D179&lt;W$5+7),"◆",""),IF(AND($D179&lt;W$5+7,$E179&gt;W$5),"■","")))</x:f>
      </x:c>
      <x:c r="X179" s="7" t="str">
        <x:f>IF(OR($D179="",X$5="",'상세일정'!AM179="제외"),"",IF($D179=$E179,IF(AND($D179&gt;=X$5,$D179&lt;X$5+7),"◆",""),IF(AND($D179&lt;X$5+7,$E179&gt;X$5),"■","")))</x:f>
      </x:c>
      <x:c r="Y179" s="7" t="str">
        <x:f>IF(OR($D179="",Y$5="",'상세일정'!AM179="제외"),"",IF($D179=$E179,IF(AND($D179&gt;=Y$5,$D179&lt;Y$5+7),"◆",""),IF(AND($D179&lt;Y$5+7,$E179&gt;Y$5),"■","")))</x:f>
      </x:c>
      <x:c r="Z179" s="7" t="str">
        <x:f>IF(OR($D179="",Z$5="",'상세일정'!AM179="제외"),"",IF($D179=$E179,IF(AND($D179&gt;=Z$5,$D179&lt;Z$5+7),"◆",""),IF(AND($D179&lt;Z$5+7,$E179&gt;Z$5),"■","")))</x:f>
      </x:c>
      <x:c r="AA179" s="7" t="str">
        <x:f>IF(OR($D179="",AA$5="",'상세일정'!AM179="제외"),"",IF($D179=$E179,IF(AND($D179&gt;=AA$5,$D179&lt;AA$5+7),"◆",""),IF(AND($D179&lt;AA$5+7,$E179&gt;AA$5),"■","")))</x:f>
      </x:c>
      <x:c r="AB179" s="7" t="str">
        <x:f>IF(OR($D179="",AB$5="",'상세일정'!AM179="제외"),"",IF($D179=$E179,IF(AND($D179&gt;=AB$5,$D179&lt;AB$5+7),"◆",""),IF(AND($D179&lt;AB$5+7,$E179&gt;AB$5),"■","")))</x:f>
      </x:c>
      <x:c r="AC179" s="7" t="str">
        <x:f>IF(OR($D179="",AC$5="",'상세일정'!AM179="제외"),"",IF($D179=$E179,IF(AND($D179&gt;=AC$5,$D179&lt;AC$5+7),"◆",""),IF(AND($D179&lt;AC$5+7,$E179&gt;AC$5),"■","")))</x:f>
      </x:c>
      <x:c r="AD179" s="7" t="str">
        <x:f>IF(OR($D179="",AD$5="",'상세일정'!AM179="제외"),"",IF($D179=$E179,IF(AND($D179&gt;=AD$5,$D179&lt;AD$5+7),"◆",""),IF(AND($D179&lt;AD$5+7,$E179&gt;AD$5),"■","")))</x:f>
      </x:c>
      <x:c r="AE179" s="7" t="str">
        <x:f>IF(OR($D179="",AE$5="",'상세일정'!AM179="제외"),"",IF($D179=$E179,IF(AND($D179&gt;=AE$5,$D179&lt;AE$5+7),"◆",""),IF(AND($D179&lt;AE$5+7,$E179&gt;AE$5),"■","")))</x:f>
      </x:c>
      <x:c r="AF179" s="7" t="str">
        <x:f>IF(OR($D179="",AF$5="",'상세일정'!AM179="제외"),"",IF($D179=$E179,IF(AND($D179&gt;=AF$5,$D179&lt;AF$5+7),"◆",""),IF(AND($D179&lt;AF$5+7,$E179&gt;AF$5),"■","")))</x:f>
      </x:c>
      <x:c r="AG179" s="7" t="str">
        <x:f>IF(OR($D179="",AG$5="",'상세일정'!AM179="제외"),"",IF($D179=$E179,IF(AND($D179&gt;=AG$5,$D179&lt;AG$5+7),"◆",""),IF(AND($D179&lt;AG$5+7,$E179&gt;AG$5),"■","")))</x:f>
      </x:c>
      <x:c r="AH179" s="7" t="str">
        <x:f>IF(OR($D179="",AH$5="",'상세일정'!AM179="제외"),"",IF($D179=$E179,IF(AND($D179&gt;=AH$5,$D179&lt;AH$5+7),"◆",""),IF(AND($D179&lt;AH$5+7,$E179&gt;AH$5),"■","")))</x:f>
      </x:c>
      <x:c r="AI179" s="7" t="str">
        <x:f>IF(OR($D179="",AI$5="",'상세일정'!AM179="제외"),"",IF($D179=$E179,IF(AND($D179&gt;=AI$5,$D179&lt;AI$5+7),"◆",""),IF(AND($D179&lt;AI$5+7,$E179&gt;AI$5),"■","")))</x:f>
      </x:c>
      <x:c r="AJ179" s="7" t="str">
        <x:f>IF(OR($D179="",AJ$5="",'상세일정'!AM179="제외"),"",IF($D179=$E179,IF(AND($D179&gt;=AJ$5,$D179&lt;AJ$5+7),"◆",""),IF(AND($D179&lt;AJ$5+7,$E179&gt;AJ$5),"■","")))</x:f>
      </x:c>
      <x:c r="AK179" s="7" t="str">
        <x:f>IF(OR($D179="",AK$5="",'상세일정'!AM179="제외"),"",IF($D179=$E179,IF(AND($D179&gt;=AK$5,$D179&lt;AK$5+7),"◆",""),IF(AND($D179&lt;AK$5+7,$E179&gt;AK$5),"■","")))</x:f>
      </x:c>
      <x:c r="AL179" s="7" t="str">
        <x:f>IF(OR($D179="",AL$5="",'상세일정'!AM179="제외"),"",IF($D179=$E179,IF(AND($D179&gt;=AL$5,$D179&lt;AL$5+7),"◆",""),IF(AND($D179&lt;AL$5+7,$E179&gt;AL$5),"■","")))</x:f>
      </x:c>
      <x:c r="AM179" s="7" t="str">
        <x:f>IF(OR($D179="",AM$5="",'상세일정'!AM179="제외"),"",IF($D179=$E179,IF(AND($D179&gt;=AM$5,$D179&lt;AM$5+7),"◆",""),IF(AND($D179&lt;AM$5+7,$E179&gt;AM$5),"■","")))</x:f>
      </x:c>
      <x:c r="AN179" s="7" t="str">
        <x:f>IF(OR($D179="",AN$5="",'상세일정'!AM179="제외"),"",IF($D179=$E179,IF(AND($D179&gt;=AN$5,$D179&lt;AN$5+7),"◆",""),IF(AND($D179&lt;AN$5+7,$E179&gt;AN$5),"■","")))</x:f>
      </x:c>
      <x:c r="AO179" s="7" t="str">
        <x:f>IF(OR($D179="",AO$5="",'상세일정'!AM179="제외"),"",IF($D179=$E179,IF(AND($D179&gt;=AO$5,$D179&lt;AO$5+7),"◆",""),IF(AND($D179&lt;AO$5+7,$E179&gt;AO$5),"■","")))</x:f>
      </x:c>
      <x:c r="AP179" s="7" t="str">
        <x:f>IF(OR($D179="",AP$5="",'상세일정'!AM179="제외"),"",IF($D179=$E179,IF(AND($D179&gt;=AP$5,$D179&lt;AP$5+7),"◆",""),IF(AND($D179&lt;AP$5+7,$E179&gt;AP$5),"■","")))</x:f>
      </x:c>
      <x:c r="AQ179" s="7" t="str">
        <x:f>IF(OR($D179="",AQ$5="",'상세일정'!AM179="제외"),"",IF($D179=$E179,IF(AND($D179&gt;=AQ$5,$D179&lt;AQ$5+7),"◆",""),IF(AND($D179&lt;AQ$5+7,$E179&gt;AQ$5),"■","")))</x:f>
      </x:c>
      <x:c r="AR179" s="7" t="str">
        <x:f>IF(OR($D179="",AR$5="",'상세일정'!AM179="제외"),"",IF($D179=$E179,IF(AND($D179&gt;=AR$5,$D179&lt;AR$5+7),"◆",""),IF(AND($D179&lt;AR$5+7,$E179&gt;AR$5),"■","")))</x:f>
      </x:c>
      <x:c r="AS179" s="7" t="str">
        <x:f>IF(OR($D179="",AS$5="",'상세일정'!AM179="제외"),"",IF($D179=$E179,IF(AND($D179&gt;=AS$5,$D179&lt;AS$5+7),"◆",""),IF(AND($D179&lt;AS$5+7,$E179&gt;AS$5),"■","")))</x:f>
      </x:c>
      <x:c r="AT179" s="7" t="str">
        <x:f>IF(OR($D179="",AT$5="",'상세일정'!AM179="제외"),"",IF($D179=$E179,IF(AND($D179&gt;=AT$5,$D179&lt;AT$5+7),"◆",""),IF(AND($D179&lt;AT$5+7,$E179&gt;AT$5),"■","")))</x:f>
      </x:c>
      <x:c r="AU179" s="7" t="str">
        <x:f>IF(OR($D179="",AU$5="",'상세일정'!AM179="제외"),"",IF($D179=$E179,IF(AND($D179&gt;=AU$5,$D179&lt;AU$5+7),"◆",""),IF(AND($D179&lt;AU$5+7,$E179&gt;AU$5),"■","")))</x:f>
      </x:c>
      <x:c r="AV179" s="7" t="str">
        <x:f>IF(OR($D179="",AV$5="",'상세일정'!AM179="제외"),"",IF($D179=$E179,IF(AND($D179&gt;=AV$5,$D179&lt;AV$5+7),"◆",""),IF(AND($D179&lt;AV$5+7,$E179&gt;AV$5),"■","")))</x:f>
      </x:c>
      <x:c r="AW179" s="7" t="str">
        <x:f>IF(OR($D179="",AW$5="",'상세일정'!AM179="제외"),"",IF($D179=$E179,IF(AND($D179&gt;=AW$5,$D179&lt;AW$5+7),"◆",""),IF(AND($D179&lt;AW$5+7,$E179&gt;AW$5),"■","")))</x:f>
      </x:c>
      <x:c r="AX179" s="7" t="str">
        <x:f>IF(OR($D179="",AX$5="",'상세일정'!AM179="제외"),"",IF($D179=$E179,IF(AND($D179&gt;=AX$5,$D179&lt;AX$5+7),"◆",""),IF(AND($D179&lt;AX$5+7,$E179&gt;AX$5),"■","")))</x:f>
      </x:c>
      <x:c r="AY179" s="7" t="str">
        <x:f>IF(OR($D179="",AY$5="",'상세일정'!AM179="제외"),"",IF($D179=$E179,IF(AND($D179&gt;=AY$5,$D179&lt;AY$5+7),"◆",""),IF(AND($D179&lt;AY$5+7,$E179&gt;AY$5),"■","")))</x:f>
      </x:c>
      <x:c r="AZ179" s="7" t="str">
        <x:f>IF(OR($D179="",AZ$5="",'상세일정'!AM179="제외"),"",IF($D179=$E179,IF(AND($D179&gt;=AZ$5,$D179&lt;AZ$5+7),"◆",""),IF(AND($D179&lt;AZ$5+7,$E179&gt;AZ$5),"■","")))</x:f>
      </x:c>
      <x:c r="BA179" s="7" t="str">
        <x:f>IF(OR($D179="",BA$5="",'상세일정'!AM179="제외"),"",IF($D179=$E179,IF(AND($D179&gt;=BA$5,$D179&lt;BA$5+7),"◆",""),IF(AND($D179&lt;BA$5+7,$E179&gt;BA$5),"■","")))</x:f>
      </x:c>
      <x:c r="BB179" s="7" t="str">
        <x:f>IF(OR($D179="",BB$5="",'상세일정'!AM179="제외"),"",IF($D179=$E179,IF(AND($D179&gt;=BB$5,$D179&lt;BB$5+7),"◆",""),IF(AND($D179&lt;BB$5+7,$E179&gt;BB$5),"■","")))</x:f>
      </x:c>
      <x:c r="BC179" s="7" t="str">
        <x:f>IF(OR($D179="",BC$5="",'상세일정'!AM179="제외"),"",IF($D179=$E179,IF(AND($D179&gt;=BC$5,$D179&lt;BC$5+7),"◆",""),IF(AND($D179&lt;BC$5+7,$E179&gt;BC$5),"■","")))</x:f>
      </x:c>
      <x:c r="BD179" s="7" t="str">
        <x:f>IF(OR($D179="",BD$5="",'상세일정'!AM179="제외"),"",IF($D179=$E179,IF(AND($D179&gt;=BD$5,$D179&lt;BD$5+7),"◆",""),IF(AND($D179&lt;BD$5+7,$E179&gt;BD$5),"■","")))</x:f>
      </x:c>
      <x:c r="BE179" s="7" t="str">
        <x:f>IF(OR($D179="",BE$5="",'상세일정'!AM179="제외"),"",IF($D179=$E179,IF(AND($D179&gt;=BE$5,$D179&lt;BE$5+7),"◆",""),IF(AND($D179&lt;BE$5+7,$E179&gt;BE$5),"■","")))</x:f>
      </x:c>
      <x:c r="BF179" s="7" t="str">
        <x:f>IF(OR($D179="",BF$5="",'상세일정'!AM179="제외"),"",IF($D179=$E179,IF(AND($D179&gt;=BF$5,$D179&lt;BF$5+7),"◆",""),IF(AND($D179&lt;BF$5+7,$E179&gt;BF$5),"■","")))</x:f>
      </x:c>
      <x:c r="BG179" s="7" t="str">
        <x:f>IF(OR($D179="",BG$5="",'상세일정'!AM179="제외"),"",IF($D179=$E179,IF(AND($D179&gt;=BG$5,$D179&lt;BG$5+7),"◆",""),IF(AND($D179&lt;BG$5+7,$E179&gt;BG$5),"■","")))</x:f>
      </x:c>
      <x:c r="BH179" s="7" t="str">
        <x:f>IF(OR($D179="",BH$5="",'상세일정'!AM179="제외"),"",IF($D179=$E179,IF(AND($D179&gt;=BH$5,$D179&lt;BH$5+7),"◆",""),IF(AND($D179&lt;BH$5+7,$E179&gt;BH$5),"■","")))</x:f>
      </x:c>
      <x:c r="BI179" s="7" t="str">
        <x:f>IF(OR($D179="",BI$5="",'상세일정'!AM179="제외"),"",IF($D179=$E179,IF(AND($D179&gt;=BI$5,$D179&lt;BI$5+7),"◆",""),IF(AND($D179&lt;BI$5+7,$E179&gt;BI$5),"■","")))</x:f>
      </x:c>
      <x:c r="BJ179" s="7" t="str">
        <x:f>IF(OR($D179="",BJ$5="",'상세일정'!AM179="제외"),"",IF($D179=$E179,IF(AND($D179&gt;=BJ$5,$D179&lt;BJ$5+7),"◆",""),IF(AND($D179&lt;BJ$5+7,$E179&gt;BJ$5),"■","")))</x:f>
      </x:c>
      <x:c r="BK179" s="7" t="str">
        <x:f>IF(OR($D179="",BK$5="",'상세일정'!AM179="제외"),"",IF($D179=$E179,IF(AND($D179&gt;=BK$5,$D179&lt;BK$5+7),"◆",""),IF(AND($D179&lt;BK$5+7,$E179&gt;BK$5),"■","")))</x:f>
      </x:c>
      <x:c r="BL179" s="7" t="str">
        <x:f>IF(OR($D179="",BL$5="",'상세일정'!AM179="제외"),"",IF($D179=$E179,IF(AND($D179&gt;=BL$5,$D179&lt;BL$5+7),"◆",""),IF(AND($D179&lt;BL$5+7,$E179&gt;BL$5),"■","")))</x:f>
      </x:c>
      <x:c r="BM179" s="7" t="str">
        <x:f>IF(OR($D179="",BM$5="",'상세일정'!AM179="제외"),"",IF($D179=$E179,IF(AND($D179&gt;=BM$5,$D179&lt;BM$5+7),"◆",""),IF(AND($D179&lt;BM$5+7,$E179&gt;BM$5),"■","")))</x:f>
      </x:c>
      <x:c r="BN179" s="7" t="str">
        <x:f>IF(OR($D179="",BN$5="",'상세일정'!AM179="제외"),"",IF($D179=$E179,IF(AND($D179&gt;=BN$5,$D179&lt;BN$5+7),"◆",""),IF(AND($D179&lt;BN$5+7,$E179&gt;BN$5),"■","")))</x:f>
      </x:c>
      <x:c r="BO179" s="7" t="str">
        <x:f>IF(OR($D179="",BO$5="",'상세일정'!AM179="제외"),"",IF($D179=$E179,IF(AND($D179&gt;=BO$5,$D179&lt;BO$5+7),"◆",""),IF(AND($D179&lt;BO$5+7,$E179&gt;BO$5),"■","")))</x:f>
      </x:c>
      <x:c r="BP179" s="7" t="str">
        <x:f>IF(OR($D179="",BP$5="",'상세일정'!AM179="제외"),"",IF($D179=$E179,IF(AND($D179&gt;=BP$5,$D179&lt;BP$5+7),"◆",""),IF(AND($D179&lt;BP$5+7,$E179&gt;BP$5),"■","")))</x:f>
      </x:c>
      <x:c r="BQ179" s="7" t="str">
        <x:f>IF(OR($D179="",BQ$5="",'상세일정'!AM179="제외"),"",IF($D179=$E179,IF(AND($D179&gt;=BQ$5,$D179&lt;BQ$5+7),"◆",""),IF(AND($D179&lt;BQ$5+7,$E179&gt;BQ$5),"■","")))</x:f>
      </x:c>
      <x:c r="BR179" s="7" t="str">
        <x:f>IF(OR($D179="",BR$5="",'상세일정'!AM179="제외"),"",IF($D179=$E179,IF(AND($D179&gt;=BR$5,$D179&lt;BR$5+7),"◆",""),IF(AND($D179&lt;BR$5+7,$E179&gt;BR$5),"■","")))</x:f>
      </x:c>
      <x:c r="BS179" s="7" t="str">
        <x:f>IF(OR($D179="",BS$5="",'상세일정'!AM179="제외"),"",IF($D179=$E179,IF(AND($D179&gt;=BS$5,$D179&lt;BS$5+7),"◆",""),IF(AND($D179&lt;BS$5+7,$E179&gt;BS$5),"■","")))</x:f>
      </x:c>
      <x:c r="BT179" s="7" t="str">
        <x:f>IF(OR($D179="",BT$5="",'상세일정'!AM179="제외"),"",IF($D179=$E179,IF(AND($D179&gt;=BT$5,$D179&lt;BT$5+7),"◆",""),IF(AND($D179&lt;BT$5+7,$E179&gt;BT$5),"■","")))</x:f>
      </x:c>
      <x:c r="BU179" s="7" t="str">
        <x:f>IF(OR($D179="",BU$5="",'상세일정'!AM179="제외"),"",IF($D179=$E179,IF(AND($D179&gt;=BU$5,$D179&lt;BU$5+7),"◆",""),IF(AND($D179&lt;BU$5+7,$E179&gt;BU$5),"■","")))</x:f>
      </x:c>
      <x:c r="BV179" s="7" t="str">
        <x:f>IF(OR($D179="",BV$5="",'상세일정'!AM179="제외"),"",IF($D179=$E179,IF(AND($D179&gt;=BV$5,$D179&lt;BV$5+7),"◆",""),IF(AND($D179&lt;BV$5+7,$E179&gt;BV$5),"■","")))</x:f>
      </x:c>
      <x:c r="BW179" s="7" t="str">
        <x:f>IF(OR($D179="",BW$5="",'상세일정'!AM179="제외"),"",IF($D179=$E179,IF(AND($D179&gt;=BW$5,$D179&lt;BW$5+7),"◆",""),IF(AND($D179&lt;BW$5+7,$E179&gt;BW$5),"■","")))</x:f>
      </x:c>
      <x:c r="BX179" s="7" t="str">
        <x:f>IF(OR($D179="",BX$5="",'상세일정'!AM179="제외"),"",IF($D179=$E179,IF(AND($D179&gt;=BX$5,$D179&lt;BX$5+7),"◆",""),IF(AND($D179&lt;BX$5+7,$E179&gt;BX$5),"■","")))</x:f>
      </x:c>
      <x:c r="BY179" s="7" t="str">
        <x:f>IF(OR($D179="",BY$5="",'상세일정'!AM179="제외"),"",IF($D179=$E179,IF(AND($D179&gt;=BY$5,$D179&lt;BY$5+7),"◆",""),IF(AND($D179&lt;BY$5+7,$E179&gt;BY$5),"■","")))</x:f>
      </x:c>
      <x:c r="BZ179" s="7" t="str">
        <x:f>IF(OR($D179="",BZ$5="",'상세일정'!AM179="제외"),"",IF($D179=$E179,IF(AND($D179&gt;=BZ$5,$D179&lt;BZ$5+7),"◆",""),IF(AND($D179&lt;BZ$5+7,$E179&gt;BZ$5),"■","")))</x:f>
      </x:c>
      <x:c r="CA179" s="7" t="str">
        <x:f>IF(OR($D179="",CA$5="",'상세일정'!AM179="제외"),"",IF($D179=$E179,IF(AND($D179&gt;=CA$5,$D179&lt;CA$5+7),"◆",""),IF(AND($D179&lt;CA$5+7,$E179&gt;CA$5),"■","")))</x:f>
      </x:c>
      <x:c r="CB179" s="7" t="str">
        <x:f>IF(OR($D179="",CB$5="",'상세일정'!AM179="제외"),"",IF($D179=$E179,IF(AND($D179&gt;=CB$5,$D179&lt;CB$5+7),"◆",""),IF(AND($D179&lt;CB$5+7,$E179&gt;CB$5),"■","")))</x:f>
      </x:c>
      <x:c r="CC179" s="7" t="str">
        <x:f>IF(OR($D179="",CC$5="",'상세일정'!AM179="제외"),"",IF($D179=$E179,IF(AND($D179&gt;=CC$5,$D179&lt;CC$5+7),"◆",""),IF(AND($D179&lt;CC$5+7,$E179&gt;CC$5),"■","")))</x:f>
      </x:c>
      <x:c r="CD179" s="7" t="str">
        <x:f>IF(OR($D179="",CD$5="",'상세일정'!AM179="제외"),"",IF($D179=$E179,IF(AND($D179&gt;=CD$5,$D179&lt;CD$5+7),"◆",""),IF(AND($D179&lt;CD$5+7,$E179&gt;CD$5),"■","")))</x:f>
      </x:c>
      <x:c r="CE179" s="7" t="str">
        <x:f>IF(OR($D179="",CE$5="",'상세일정'!AM179="제외"),"",IF($D179=$E179,IF(AND($D179&gt;=CE$5,$D179&lt;CE$5+7),"◆",""),IF(AND($D179&lt;CE$5+7,$E179&gt;CE$5),"■","")))</x:f>
      </x:c>
      <x:c r="CF179" s="7" t="str">
        <x:f>IF(OR($D179="",CF$5="",'상세일정'!AM179="제외"),"",IF($D179=$E179,IF(AND($D179&gt;=CF$5,$D179&lt;CF$5+7),"◆",""),IF(AND($D179&lt;CF$5+7,$E179&gt;CF$5),"■","")))</x:f>
      </x:c>
      <x:c r="CG179" s="7" t="str">
        <x:f>IF(OR($D179="",CG$5="",'상세일정'!AM179="제외"),"",IF($D179=$E179,IF(AND($D179&gt;=CG$5,$D179&lt;CG$5+7),"◆",""),IF(AND($D179&lt;CG$5+7,$E179&gt;CG$5),"■","")))</x:f>
      </x:c>
      <x:c r="CH179" s="7" t="str">
        <x:f>IF(OR($D179="",CH$5="",'상세일정'!AM179="제외"),"",IF($D179=$E179,IF(AND($D179&gt;=CH$5,$D179&lt;CH$5+7),"◆",""),IF(AND($D179&lt;CH$5+7,$E179&gt;CH$5),"■","")))</x:f>
      </x:c>
      <x:c r="CI179" s="7" t="str">
        <x:f>IF(OR($D179="",CI$5="",'상세일정'!AM179="제외"),"",IF($D179=$E179,IF(AND($D179&gt;=CI$5,$D179&lt;CI$5+7),"◆",""),IF(AND($D179&lt;CI$5+7,$E179&gt;CI$5),"■","")))</x:f>
      </x:c>
      <x:c r="CJ179" s="7" t="str">
        <x:f>IF(OR($D179="",CJ$5="",'상세일정'!AM179="제외"),"",IF($D179=$E179,IF(AND($D179&gt;=CJ$5,$D179&lt;CJ$5+7),"◆",""),IF(AND($D179&lt;CJ$5+7,$E179&gt;CJ$5),"■","")))</x:f>
      </x:c>
      <x:c r="CK179" s="7" t="str">
        <x:f>IF(OR($D179="",CK$5="",'상세일정'!AM179="제외"),"",IF($D179=$E179,IF(AND($D179&gt;=CK$5,$D179&lt;CK$5+7),"◆",""),IF(AND($D179&lt;CK$5+7,$E179&gt;CK$5),"■","")))</x:f>
      </x:c>
      <x:c r="CL179" s="7" t="str">
        <x:f>IF(OR($D179="",CL$5="",'상세일정'!AM179="제외"),"",IF($D179=$E179,IF(AND($D179&gt;=CL$5,$D179&lt;CL$5+7),"◆",""),IF(AND($D179&lt;CL$5+7,$E179&gt;CL$5),"■","")))</x:f>
      </x:c>
      <x:c r="CM179" s="7" t="str">
        <x:f>IF(OR($D179="",CM$5="",'상세일정'!AM179="제외"),"",IF($D179=$E179,IF(AND($D179&gt;=CM$5,$D179&lt;CM$5+7),"◆",""),IF(AND($D179&lt;CM$5+7,$E179&gt;CM$5),"■","")))</x:f>
      </x:c>
      <x:c r="CN179" s="7" t="str">
        <x:f>IF(OR($D179="",CN$5="",'상세일정'!AM179="제외"),"",IF($D179=$E179,IF(AND($D179&gt;=CN$5,$D179&lt;CN$5+7),"◆",""),IF(AND($D179&lt;CN$5+7,$E179&gt;CN$5),"■","")))</x:f>
      </x:c>
      <x:c r="CO179" s="7" t="str">
        <x:f>IF(OR($D179="",CO$5="",'상세일정'!AM179="제외"),"",IF($D179=$E179,IF(AND($D179&gt;=CO$5,$D179&lt;CO$5+7),"◆",""),IF(AND($D179&lt;CO$5+7,$E179&gt;CO$5),"■","")))</x:f>
      </x:c>
      <x:c r="CP179" s="7" t="str">
        <x:f>IF(OR($D179="",CP$5="",'상세일정'!AM179="제외"),"",IF($D179=$E179,IF(AND($D179&gt;=CP$5,$D179&lt;CP$5+7),"◆",""),IF(AND($D179&lt;CP$5+7,$E179&gt;CP$5),"■","")))</x:f>
      </x:c>
      <x:c r="CQ179" s="7" t="str">
        <x:f>IF(OR($D179="",CQ$5="",'상세일정'!AM179="제외"),"",IF($D179=$E179,IF(AND($D179&gt;=CQ$5,$D179&lt;CQ$5+7),"◆",""),IF(AND($D179&lt;CQ$5+7,$E179&gt;CQ$5),"■","")))</x:f>
      </x:c>
      <x:c r="CR179" s="7" t="str">
        <x:f>IF(OR($D179="",CR$5="",'상세일정'!AM179="제외"),"",IF($D179=$E179,IF(AND($D179&gt;=CR$5,$D179&lt;CR$5+7),"◆",""),IF(AND($D179&lt;CR$5+7,$E179&gt;CR$5),"■","")))</x:f>
      </x:c>
      <x:c r="CS179" s="7" t="str">
        <x:f>IF(OR($D179="",CS$5="",'상세일정'!AM179="제외"),"",IF($D179=$E179,IF(AND($D179&gt;=CS$5,$D179&lt;CS$5+7),"◆",""),IF(AND($D179&lt;CS$5+7,$E179&gt;CS$5),"■","")))</x:f>
      </x:c>
      <x:c r="CT179" s="7" t="str">
        <x:f>IF(OR($D179="",CT$5="",'상세일정'!AM179="제외"),"",IF($D179=$E179,IF(AND($D179&gt;=CT$5,$D179&lt;CT$5+7),"◆",""),IF(AND($D179&lt;CT$5+7,$E179&gt;CT$5),"■","")))</x:f>
      </x:c>
      <x:c r="CU179" s="7" t="str">
        <x:f>IF(OR($D179="",CU$5="",'상세일정'!AM179="제외"),"",IF($D179=$E179,IF(AND($D179&gt;=CU$5,$D179&lt;CU$5+7),"◆",""),IF(AND($D179&lt;CU$5+7,$E179&gt;CU$5),"■","")))</x:f>
      </x:c>
      <x:c r="CV179" s="7" t="str">
        <x:f>IF(OR($D179="",CV$5="",'상세일정'!AM179="제외"),"",IF($D179=$E179,IF(AND($D179&gt;=CV$5,$D179&lt;CV$5+7),"◆",""),IF(AND($D179&lt;CV$5+7,$E179&gt;CV$5),"■","")))</x:f>
      </x:c>
      <x:c r="CW179" s="7" t="str">
        <x:f>IF(OR($D179="",CW$5="",'상세일정'!AM179="제외"),"",IF($D179=$E179,IF(AND($D179&gt;=CW$5,$D179&lt;CW$5+7),"◆",""),IF(AND($D179&lt;CW$5+7,$E179&gt;CW$5),"■","")))</x:f>
      </x:c>
      <x:c r="CX179" s="7" t="str">
        <x:f>IF(OR($D179="",CX$5="",'상세일정'!AM179="제외"),"",IF($D179=$E179,IF(AND($D179&gt;=CX$5,$D179&lt;CX$5+7),"◆",""),IF(AND($D179&lt;CX$5+7,$E179&gt;CX$5),"■","")))</x:f>
      </x:c>
      <x:c r="CY179" s="7" t="str">
        <x:f>IF(OR($D179="",CY$5="",'상세일정'!AM179="제외"),"",IF($D179=$E179,IF(AND($D179&gt;=CY$5,$D179&lt;CY$5+7),"◆",""),IF(AND($D179&lt;CY$5+7,$E179&gt;CY$5),"■","")))</x:f>
      </x:c>
      <x:c r="CZ179" s="7" t="str">
        <x:f>IF(OR($D179="",CZ$5="",'상세일정'!AM179="제외"),"",IF($D179=$E179,IF(AND($D179&gt;=CZ$5,$D179&lt;CZ$5+7),"◆",""),IF(AND($D179&lt;CZ$5+7,$E179&gt;CZ$5),"■","")))</x:f>
      </x:c>
      <x:c r="DA179" s="7" t="str">
        <x:f>IF(OR($D179="",DA$5="",'상세일정'!AM179="제외"),"",IF($D179=$E179,IF(AND($D179&gt;=DA$5,$D179&lt;DA$5+7),"◆",""),IF(AND($D179&lt;DA$5+7,$E179&gt;DA$5),"■","")))</x:f>
      </x:c>
      <x:c r="DB179" s="7" t="str">
        <x:f>IF(OR($D179="",DB$5="",'상세일정'!AM179="제외"),"",IF($D179=$E179,IF(AND($D179&gt;=DB$5,$D179&lt;DB$5+7),"◆",""),IF(AND($D179&lt;DB$5+7,$E179&gt;DB$5),"■","")))</x:f>
      </x:c>
      <x:c r="DC179" s="7" t="str">
        <x:f>IF(OR($D179="",DC$5="",'상세일정'!AM179="제외"),"",IF($D179=$E179,IF(AND($D179&gt;=DC$5,$D179&lt;DC$5+7),"◆",""),IF(AND($D179&lt;DC$5+7,$E179&gt;DC$5),"■","")))</x:f>
      </x:c>
      <x:c r="DD179" s="7" t="str">
        <x:f>IF(OR($D179="",DD$5="",'상세일정'!AM179="제외"),"",IF($D179=$E179,IF(AND($D179&gt;=DD$5,$D179&lt;DD$5+7),"◆",""),IF(AND($D179&lt;DD$5+7,$E179&gt;DD$5),"■","")))</x:f>
      </x:c>
      <x:c r="DE179" s="7" t="str">
        <x:f>IF(OR($D179="",DE$5="",'상세일정'!AM179="제외"),"",IF($D179=$E179,IF(AND($D179&gt;=DE$5,$D179&lt;DE$5+7),"◆",""),IF(AND($D179&lt;DE$5+7,$E179&gt;DE$5),"■","")))</x:f>
      </x:c>
    </x:row>
    <x:row r="180" ht="34" customHeight="1">
      <x:c r="A180" s="7" t="str">
        <x:v>INPR01</x:v>
      </x:c>
      <x:c r="B180" s="7" t="str">
        <x:v>21 설비 설치</x:v>
      </x:c>
      <x:c r="C180" s="7" t="str">
        <x:v>주공정 패키지 A 반입·양중·고정·정렬</x:v>
      </x:c>
      <x:c r="D180" s="10" t="str">
        <x:f>'상세일정'!AJ180</x:f>
      </x:c>
      <x:c r="E180" s="10" t="str">
        <x:f>'상세일정'!AK180</x:f>
      </x:c>
      <x:c r="F180" s="7" t="str">
        <x:f>IF(OR($D180="",F$5="",'상세일정'!AM180="제외"),"",IF($D180=$E180,IF(AND($D180&gt;=F$5,$D180&lt;F$5+7),"◆",""),IF(AND($D180&lt;F$5+7,$E180&gt;F$5),"■","")))</x:f>
      </x:c>
      <x:c r="G180" s="7" t="str">
        <x:f>IF(OR($D180="",G$5="",'상세일정'!AM180="제외"),"",IF($D180=$E180,IF(AND($D180&gt;=G$5,$D180&lt;G$5+7),"◆",""),IF(AND($D180&lt;G$5+7,$E180&gt;G$5),"■","")))</x:f>
      </x:c>
      <x:c r="H180" s="7" t="str">
        <x:f>IF(OR($D180="",H$5="",'상세일정'!AM180="제외"),"",IF($D180=$E180,IF(AND($D180&gt;=H$5,$D180&lt;H$5+7),"◆",""),IF(AND($D180&lt;H$5+7,$E180&gt;H$5),"■","")))</x:f>
      </x:c>
      <x:c r="I180" s="7" t="str">
        <x:f>IF(OR($D180="",I$5="",'상세일정'!AM180="제외"),"",IF($D180=$E180,IF(AND($D180&gt;=I$5,$D180&lt;I$5+7),"◆",""),IF(AND($D180&lt;I$5+7,$E180&gt;I$5),"■","")))</x:f>
      </x:c>
      <x:c r="J180" s="7" t="str">
        <x:f>IF(OR($D180="",J$5="",'상세일정'!AM180="제외"),"",IF($D180=$E180,IF(AND($D180&gt;=J$5,$D180&lt;J$5+7),"◆",""),IF(AND($D180&lt;J$5+7,$E180&gt;J$5),"■","")))</x:f>
      </x:c>
      <x:c r="K180" s="7" t="str">
        <x:f>IF(OR($D180="",K$5="",'상세일정'!AM180="제외"),"",IF($D180=$E180,IF(AND($D180&gt;=K$5,$D180&lt;K$5+7),"◆",""),IF(AND($D180&lt;K$5+7,$E180&gt;K$5),"■","")))</x:f>
      </x:c>
      <x:c r="L180" s="7" t="str">
        <x:f>IF(OR($D180="",L$5="",'상세일정'!AM180="제외"),"",IF($D180=$E180,IF(AND($D180&gt;=L$5,$D180&lt;L$5+7),"◆",""),IF(AND($D180&lt;L$5+7,$E180&gt;L$5),"■","")))</x:f>
      </x:c>
      <x:c r="M180" s="7" t="str">
        <x:f>IF(OR($D180="",M$5="",'상세일정'!AM180="제외"),"",IF($D180=$E180,IF(AND($D180&gt;=M$5,$D180&lt;M$5+7),"◆",""),IF(AND($D180&lt;M$5+7,$E180&gt;M$5),"■","")))</x:f>
      </x:c>
      <x:c r="N180" s="7" t="str">
        <x:f>IF(OR($D180="",N$5="",'상세일정'!AM180="제외"),"",IF($D180=$E180,IF(AND($D180&gt;=N$5,$D180&lt;N$5+7),"◆",""),IF(AND($D180&lt;N$5+7,$E180&gt;N$5),"■","")))</x:f>
      </x:c>
      <x:c r="O180" s="7" t="str">
        <x:f>IF(OR($D180="",O$5="",'상세일정'!AM180="제외"),"",IF($D180=$E180,IF(AND($D180&gt;=O$5,$D180&lt;O$5+7),"◆",""),IF(AND($D180&lt;O$5+7,$E180&gt;O$5),"■","")))</x:f>
      </x:c>
      <x:c r="P180" s="7" t="str">
        <x:f>IF(OR($D180="",P$5="",'상세일정'!AM180="제외"),"",IF($D180=$E180,IF(AND($D180&gt;=P$5,$D180&lt;P$5+7),"◆",""),IF(AND($D180&lt;P$5+7,$E180&gt;P$5),"■","")))</x:f>
      </x:c>
      <x:c r="Q180" s="7" t="str">
        <x:f>IF(OR($D180="",Q$5="",'상세일정'!AM180="제외"),"",IF($D180=$E180,IF(AND($D180&gt;=Q$5,$D180&lt;Q$5+7),"◆",""),IF(AND($D180&lt;Q$5+7,$E180&gt;Q$5),"■","")))</x:f>
      </x:c>
      <x:c r="R180" s="7" t="str">
        <x:f>IF(OR($D180="",R$5="",'상세일정'!AM180="제외"),"",IF($D180=$E180,IF(AND($D180&gt;=R$5,$D180&lt;R$5+7),"◆",""),IF(AND($D180&lt;R$5+7,$E180&gt;R$5),"■","")))</x:f>
      </x:c>
      <x:c r="S180" s="7" t="str">
        <x:f>IF(OR($D180="",S$5="",'상세일정'!AM180="제외"),"",IF($D180=$E180,IF(AND($D180&gt;=S$5,$D180&lt;S$5+7),"◆",""),IF(AND($D180&lt;S$5+7,$E180&gt;S$5),"■","")))</x:f>
      </x:c>
      <x:c r="T180" s="7" t="str">
        <x:f>IF(OR($D180="",T$5="",'상세일정'!AM180="제외"),"",IF($D180=$E180,IF(AND($D180&gt;=T$5,$D180&lt;T$5+7),"◆",""),IF(AND($D180&lt;T$5+7,$E180&gt;T$5),"■","")))</x:f>
      </x:c>
      <x:c r="U180" s="7" t="str">
        <x:f>IF(OR($D180="",U$5="",'상세일정'!AM180="제외"),"",IF($D180=$E180,IF(AND($D180&gt;=U$5,$D180&lt;U$5+7),"◆",""),IF(AND($D180&lt;U$5+7,$E180&gt;U$5),"■","")))</x:f>
      </x:c>
      <x:c r="V180" s="7" t="str">
        <x:f>IF(OR($D180="",V$5="",'상세일정'!AM180="제외"),"",IF($D180=$E180,IF(AND($D180&gt;=V$5,$D180&lt;V$5+7),"◆",""),IF(AND($D180&lt;V$5+7,$E180&gt;V$5),"■","")))</x:f>
      </x:c>
      <x:c r="W180" s="7" t="str">
        <x:f>IF(OR($D180="",W$5="",'상세일정'!AM180="제외"),"",IF($D180=$E180,IF(AND($D180&gt;=W$5,$D180&lt;W$5+7),"◆",""),IF(AND($D180&lt;W$5+7,$E180&gt;W$5),"■","")))</x:f>
      </x:c>
      <x:c r="X180" s="7" t="str">
        <x:f>IF(OR($D180="",X$5="",'상세일정'!AM180="제외"),"",IF($D180=$E180,IF(AND($D180&gt;=X$5,$D180&lt;X$5+7),"◆",""),IF(AND($D180&lt;X$5+7,$E180&gt;X$5),"■","")))</x:f>
      </x:c>
      <x:c r="Y180" s="7" t="str">
        <x:f>IF(OR($D180="",Y$5="",'상세일정'!AM180="제외"),"",IF($D180=$E180,IF(AND($D180&gt;=Y$5,$D180&lt;Y$5+7),"◆",""),IF(AND($D180&lt;Y$5+7,$E180&gt;Y$5),"■","")))</x:f>
      </x:c>
      <x:c r="Z180" s="7" t="str">
        <x:f>IF(OR($D180="",Z$5="",'상세일정'!AM180="제외"),"",IF($D180=$E180,IF(AND($D180&gt;=Z$5,$D180&lt;Z$5+7),"◆",""),IF(AND($D180&lt;Z$5+7,$E180&gt;Z$5),"■","")))</x:f>
      </x:c>
      <x:c r="AA180" s="7" t="str">
        <x:f>IF(OR($D180="",AA$5="",'상세일정'!AM180="제외"),"",IF($D180=$E180,IF(AND($D180&gt;=AA$5,$D180&lt;AA$5+7),"◆",""),IF(AND($D180&lt;AA$5+7,$E180&gt;AA$5),"■","")))</x:f>
      </x:c>
      <x:c r="AB180" s="7" t="str">
        <x:f>IF(OR($D180="",AB$5="",'상세일정'!AM180="제외"),"",IF($D180=$E180,IF(AND($D180&gt;=AB$5,$D180&lt;AB$5+7),"◆",""),IF(AND($D180&lt;AB$5+7,$E180&gt;AB$5),"■","")))</x:f>
      </x:c>
      <x:c r="AC180" s="7" t="str">
        <x:f>IF(OR($D180="",AC$5="",'상세일정'!AM180="제외"),"",IF($D180=$E180,IF(AND($D180&gt;=AC$5,$D180&lt;AC$5+7),"◆",""),IF(AND($D180&lt;AC$5+7,$E180&gt;AC$5),"■","")))</x:f>
      </x:c>
      <x:c r="AD180" s="7" t="str">
        <x:f>IF(OR($D180="",AD$5="",'상세일정'!AM180="제외"),"",IF($D180=$E180,IF(AND($D180&gt;=AD$5,$D180&lt;AD$5+7),"◆",""),IF(AND($D180&lt;AD$5+7,$E180&gt;AD$5),"■","")))</x:f>
      </x:c>
      <x:c r="AE180" s="7" t="str">
        <x:f>IF(OR($D180="",AE$5="",'상세일정'!AM180="제외"),"",IF($D180=$E180,IF(AND($D180&gt;=AE$5,$D180&lt;AE$5+7),"◆",""),IF(AND($D180&lt;AE$5+7,$E180&gt;AE$5),"■","")))</x:f>
      </x:c>
      <x:c r="AF180" s="7" t="str">
        <x:f>IF(OR($D180="",AF$5="",'상세일정'!AM180="제외"),"",IF($D180=$E180,IF(AND($D180&gt;=AF$5,$D180&lt;AF$5+7),"◆",""),IF(AND($D180&lt;AF$5+7,$E180&gt;AF$5),"■","")))</x:f>
      </x:c>
      <x:c r="AG180" s="7" t="str">
        <x:f>IF(OR($D180="",AG$5="",'상세일정'!AM180="제외"),"",IF($D180=$E180,IF(AND($D180&gt;=AG$5,$D180&lt;AG$5+7),"◆",""),IF(AND($D180&lt;AG$5+7,$E180&gt;AG$5),"■","")))</x:f>
      </x:c>
      <x:c r="AH180" s="7" t="str">
        <x:f>IF(OR($D180="",AH$5="",'상세일정'!AM180="제외"),"",IF($D180=$E180,IF(AND($D180&gt;=AH$5,$D180&lt;AH$5+7),"◆",""),IF(AND($D180&lt;AH$5+7,$E180&gt;AH$5),"■","")))</x:f>
      </x:c>
      <x:c r="AI180" s="7" t="str">
        <x:f>IF(OR($D180="",AI$5="",'상세일정'!AM180="제외"),"",IF($D180=$E180,IF(AND($D180&gt;=AI$5,$D180&lt;AI$5+7),"◆",""),IF(AND($D180&lt;AI$5+7,$E180&gt;AI$5),"■","")))</x:f>
      </x:c>
      <x:c r="AJ180" s="7" t="str">
        <x:f>IF(OR($D180="",AJ$5="",'상세일정'!AM180="제외"),"",IF($D180=$E180,IF(AND($D180&gt;=AJ$5,$D180&lt;AJ$5+7),"◆",""),IF(AND($D180&lt;AJ$5+7,$E180&gt;AJ$5),"■","")))</x:f>
      </x:c>
      <x:c r="AK180" s="7" t="str">
        <x:f>IF(OR($D180="",AK$5="",'상세일정'!AM180="제외"),"",IF($D180=$E180,IF(AND($D180&gt;=AK$5,$D180&lt;AK$5+7),"◆",""),IF(AND($D180&lt;AK$5+7,$E180&gt;AK$5),"■","")))</x:f>
      </x:c>
      <x:c r="AL180" s="7" t="str">
        <x:f>IF(OR($D180="",AL$5="",'상세일정'!AM180="제외"),"",IF($D180=$E180,IF(AND($D180&gt;=AL$5,$D180&lt;AL$5+7),"◆",""),IF(AND($D180&lt;AL$5+7,$E180&gt;AL$5),"■","")))</x:f>
      </x:c>
      <x:c r="AM180" s="7" t="str">
        <x:f>IF(OR($D180="",AM$5="",'상세일정'!AM180="제외"),"",IF($D180=$E180,IF(AND($D180&gt;=AM$5,$D180&lt;AM$5+7),"◆",""),IF(AND($D180&lt;AM$5+7,$E180&gt;AM$5),"■","")))</x:f>
      </x:c>
      <x:c r="AN180" s="7" t="str">
        <x:f>IF(OR($D180="",AN$5="",'상세일정'!AM180="제외"),"",IF($D180=$E180,IF(AND($D180&gt;=AN$5,$D180&lt;AN$5+7),"◆",""),IF(AND($D180&lt;AN$5+7,$E180&gt;AN$5),"■","")))</x:f>
      </x:c>
      <x:c r="AO180" s="7" t="str">
        <x:f>IF(OR($D180="",AO$5="",'상세일정'!AM180="제외"),"",IF($D180=$E180,IF(AND($D180&gt;=AO$5,$D180&lt;AO$5+7),"◆",""),IF(AND($D180&lt;AO$5+7,$E180&gt;AO$5),"■","")))</x:f>
      </x:c>
      <x:c r="AP180" s="7" t="str">
        <x:f>IF(OR($D180="",AP$5="",'상세일정'!AM180="제외"),"",IF($D180=$E180,IF(AND($D180&gt;=AP$5,$D180&lt;AP$5+7),"◆",""),IF(AND($D180&lt;AP$5+7,$E180&gt;AP$5),"■","")))</x:f>
      </x:c>
      <x:c r="AQ180" s="7" t="str">
        <x:f>IF(OR($D180="",AQ$5="",'상세일정'!AM180="제외"),"",IF($D180=$E180,IF(AND($D180&gt;=AQ$5,$D180&lt;AQ$5+7),"◆",""),IF(AND($D180&lt;AQ$5+7,$E180&gt;AQ$5),"■","")))</x:f>
      </x:c>
      <x:c r="AR180" s="7" t="str">
        <x:f>IF(OR($D180="",AR$5="",'상세일정'!AM180="제외"),"",IF($D180=$E180,IF(AND($D180&gt;=AR$5,$D180&lt;AR$5+7),"◆",""),IF(AND($D180&lt;AR$5+7,$E180&gt;AR$5),"■","")))</x:f>
      </x:c>
      <x:c r="AS180" s="7" t="str">
        <x:f>IF(OR($D180="",AS$5="",'상세일정'!AM180="제외"),"",IF($D180=$E180,IF(AND($D180&gt;=AS$5,$D180&lt;AS$5+7),"◆",""),IF(AND($D180&lt;AS$5+7,$E180&gt;AS$5),"■","")))</x:f>
      </x:c>
      <x:c r="AT180" s="7" t="str">
        <x:f>IF(OR($D180="",AT$5="",'상세일정'!AM180="제외"),"",IF($D180=$E180,IF(AND($D180&gt;=AT$5,$D180&lt;AT$5+7),"◆",""),IF(AND($D180&lt;AT$5+7,$E180&gt;AT$5),"■","")))</x:f>
      </x:c>
      <x:c r="AU180" s="7" t="str">
        <x:f>IF(OR($D180="",AU$5="",'상세일정'!AM180="제외"),"",IF($D180=$E180,IF(AND($D180&gt;=AU$5,$D180&lt;AU$5+7),"◆",""),IF(AND($D180&lt;AU$5+7,$E180&gt;AU$5),"■","")))</x:f>
      </x:c>
      <x:c r="AV180" s="7" t="str">
        <x:f>IF(OR($D180="",AV$5="",'상세일정'!AM180="제외"),"",IF($D180=$E180,IF(AND($D180&gt;=AV$5,$D180&lt;AV$5+7),"◆",""),IF(AND($D180&lt;AV$5+7,$E180&gt;AV$5),"■","")))</x:f>
      </x:c>
      <x:c r="AW180" s="7" t="str">
        <x:f>IF(OR($D180="",AW$5="",'상세일정'!AM180="제외"),"",IF($D180=$E180,IF(AND($D180&gt;=AW$5,$D180&lt;AW$5+7),"◆",""),IF(AND($D180&lt;AW$5+7,$E180&gt;AW$5),"■","")))</x:f>
      </x:c>
      <x:c r="AX180" s="7" t="str">
        <x:f>IF(OR($D180="",AX$5="",'상세일정'!AM180="제외"),"",IF($D180=$E180,IF(AND($D180&gt;=AX$5,$D180&lt;AX$5+7),"◆",""),IF(AND($D180&lt;AX$5+7,$E180&gt;AX$5),"■","")))</x:f>
      </x:c>
      <x:c r="AY180" s="7" t="str">
        <x:f>IF(OR($D180="",AY$5="",'상세일정'!AM180="제외"),"",IF($D180=$E180,IF(AND($D180&gt;=AY$5,$D180&lt;AY$5+7),"◆",""),IF(AND($D180&lt;AY$5+7,$E180&gt;AY$5),"■","")))</x:f>
      </x:c>
      <x:c r="AZ180" s="7" t="str">
        <x:f>IF(OR($D180="",AZ$5="",'상세일정'!AM180="제외"),"",IF($D180=$E180,IF(AND($D180&gt;=AZ$5,$D180&lt;AZ$5+7),"◆",""),IF(AND($D180&lt;AZ$5+7,$E180&gt;AZ$5),"■","")))</x:f>
      </x:c>
      <x:c r="BA180" s="7" t="str">
        <x:f>IF(OR($D180="",BA$5="",'상세일정'!AM180="제외"),"",IF($D180=$E180,IF(AND($D180&gt;=BA$5,$D180&lt;BA$5+7),"◆",""),IF(AND($D180&lt;BA$5+7,$E180&gt;BA$5),"■","")))</x:f>
      </x:c>
      <x:c r="BB180" s="7" t="str">
        <x:f>IF(OR($D180="",BB$5="",'상세일정'!AM180="제외"),"",IF($D180=$E180,IF(AND($D180&gt;=BB$5,$D180&lt;BB$5+7),"◆",""),IF(AND($D180&lt;BB$5+7,$E180&gt;BB$5),"■","")))</x:f>
      </x:c>
      <x:c r="BC180" s="7" t="str">
        <x:f>IF(OR($D180="",BC$5="",'상세일정'!AM180="제외"),"",IF($D180=$E180,IF(AND($D180&gt;=BC$5,$D180&lt;BC$5+7),"◆",""),IF(AND($D180&lt;BC$5+7,$E180&gt;BC$5),"■","")))</x:f>
      </x:c>
      <x:c r="BD180" s="7" t="str">
        <x:f>IF(OR($D180="",BD$5="",'상세일정'!AM180="제외"),"",IF($D180=$E180,IF(AND($D180&gt;=BD$5,$D180&lt;BD$5+7),"◆",""),IF(AND($D180&lt;BD$5+7,$E180&gt;BD$5),"■","")))</x:f>
      </x:c>
      <x:c r="BE180" s="7" t="str">
        <x:f>IF(OR($D180="",BE$5="",'상세일정'!AM180="제외"),"",IF($D180=$E180,IF(AND($D180&gt;=BE$5,$D180&lt;BE$5+7),"◆",""),IF(AND($D180&lt;BE$5+7,$E180&gt;BE$5),"■","")))</x:f>
      </x:c>
      <x:c r="BF180" s="7" t="str">
        <x:f>IF(OR($D180="",BF$5="",'상세일정'!AM180="제외"),"",IF($D180=$E180,IF(AND($D180&gt;=BF$5,$D180&lt;BF$5+7),"◆",""),IF(AND($D180&lt;BF$5+7,$E180&gt;BF$5),"■","")))</x:f>
      </x:c>
      <x:c r="BG180" s="7" t="str">
        <x:f>IF(OR($D180="",BG$5="",'상세일정'!AM180="제외"),"",IF($D180=$E180,IF(AND($D180&gt;=BG$5,$D180&lt;BG$5+7),"◆",""),IF(AND($D180&lt;BG$5+7,$E180&gt;BG$5),"■","")))</x:f>
      </x:c>
      <x:c r="BH180" s="7" t="str">
        <x:f>IF(OR($D180="",BH$5="",'상세일정'!AM180="제외"),"",IF($D180=$E180,IF(AND($D180&gt;=BH$5,$D180&lt;BH$5+7),"◆",""),IF(AND($D180&lt;BH$5+7,$E180&gt;BH$5),"■","")))</x:f>
      </x:c>
      <x:c r="BI180" s="7" t="str">
        <x:f>IF(OR($D180="",BI$5="",'상세일정'!AM180="제외"),"",IF($D180=$E180,IF(AND($D180&gt;=BI$5,$D180&lt;BI$5+7),"◆",""),IF(AND($D180&lt;BI$5+7,$E180&gt;BI$5),"■","")))</x:f>
      </x:c>
      <x:c r="BJ180" s="7" t="str">
        <x:f>IF(OR($D180="",BJ$5="",'상세일정'!AM180="제외"),"",IF($D180=$E180,IF(AND($D180&gt;=BJ$5,$D180&lt;BJ$5+7),"◆",""),IF(AND($D180&lt;BJ$5+7,$E180&gt;BJ$5),"■","")))</x:f>
      </x:c>
      <x:c r="BK180" s="7" t="str">
        <x:f>IF(OR($D180="",BK$5="",'상세일정'!AM180="제외"),"",IF($D180=$E180,IF(AND($D180&gt;=BK$5,$D180&lt;BK$5+7),"◆",""),IF(AND($D180&lt;BK$5+7,$E180&gt;BK$5),"■","")))</x:f>
      </x:c>
      <x:c r="BL180" s="7" t="str">
        <x:f>IF(OR($D180="",BL$5="",'상세일정'!AM180="제외"),"",IF($D180=$E180,IF(AND($D180&gt;=BL$5,$D180&lt;BL$5+7),"◆",""),IF(AND($D180&lt;BL$5+7,$E180&gt;BL$5),"■","")))</x:f>
      </x:c>
      <x:c r="BM180" s="7" t="str">
        <x:f>IF(OR($D180="",BM$5="",'상세일정'!AM180="제외"),"",IF($D180=$E180,IF(AND($D180&gt;=BM$5,$D180&lt;BM$5+7),"◆",""),IF(AND($D180&lt;BM$5+7,$E180&gt;BM$5),"■","")))</x:f>
      </x:c>
      <x:c r="BN180" s="7" t="str">
        <x:f>IF(OR($D180="",BN$5="",'상세일정'!AM180="제외"),"",IF($D180=$E180,IF(AND($D180&gt;=BN$5,$D180&lt;BN$5+7),"◆",""),IF(AND($D180&lt;BN$5+7,$E180&gt;BN$5),"■","")))</x:f>
      </x:c>
      <x:c r="BO180" s="7" t="str">
        <x:f>IF(OR($D180="",BO$5="",'상세일정'!AM180="제외"),"",IF($D180=$E180,IF(AND($D180&gt;=BO$5,$D180&lt;BO$5+7),"◆",""),IF(AND($D180&lt;BO$5+7,$E180&gt;BO$5),"■","")))</x:f>
      </x:c>
      <x:c r="BP180" s="7" t="str">
        <x:f>IF(OR($D180="",BP$5="",'상세일정'!AM180="제외"),"",IF($D180=$E180,IF(AND($D180&gt;=BP$5,$D180&lt;BP$5+7),"◆",""),IF(AND($D180&lt;BP$5+7,$E180&gt;BP$5),"■","")))</x:f>
      </x:c>
      <x:c r="BQ180" s="7" t="str">
        <x:f>IF(OR($D180="",BQ$5="",'상세일정'!AM180="제외"),"",IF($D180=$E180,IF(AND($D180&gt;=BQ$5,$D180&lt;BQ$5+7),"◆",""),IF(AND($D180&lt;BQ$5+7,$E180&gt;BQ$5),"■","")))</x:f>
      </x:c>
      <x:c r="BR180" s="7" t="str">
        <x:f>IF(OR($D180="",BR$5="",'상세일정'!AM180="제외"),"",IF($D180=$E180,IF(AND($D180&gt;=BR$5,$D180&lt;BR$5+7),"◆",""),IF(AND($D180&lt;BR$5+7,$E180&gt;BR$5),"■","")))</x:f>
      </x:c>
      <x:c r="BS180" s="7" t="str">
        <x:f>IF(OR($D180="",BS$5="",'상세일정'!AM180="제외"),"",IF($D180=$E180,IF(AND($D180&gt;=BS$5,$D180&lt;BS$5+7),"◆",""),IF(AND($D180&lt;BS$5+7,$E180&gt;BS$5),"■","")))</x:f>
      </x:c>
      <x:c r="BT180" s="7" t="str">
        <x:f>IF(OR($D180="",BT$5="",'상세일정'!AM180="제외"),"",IF($D180=$E180,IF(AND($D180&gt;=BT$5,$D180&lt;BT$5+7),"◆",""),IF(AND($D180&lt;BT$5+7,$E180&gt;BT$5),"■","")))</x:f>
      </x:c>
      <x:c r="BU180" s="7" t="str">
        <x:f>IF(OR($D180="",BU$5="",'상세일정'!AM180="제외"),"",IF($D180=$E180,IF(AND($D180&gt;=BU$5,$D180&lt;BU$5+7),"◆",""),IF(AND($D180&lt;BU$5+7,$E180&gt;BU$5),"■","")))</x:f>
      </x:c>
      <x:c r="BV180" s="7" t="str">
        <x:f>IF(OR($D180="",BV$5="",'상세일정'!AM180="제외"),"",IF($D180=$E180,IF(AND($D180&gt;=BV$5,$D180&lt;BV$5+7),"◆",""),IF(AND($D180&lt;BV$5+7,$E180&gt;BV$5),"■","")))</x:f>
      </x:c>
      <x:c r="BW180" s="7" t="str">
        <x:f>IF(OR($D180="",BW$5="",'상세일정'!AM180="제외"),"",IF($D180=$E180,IF(AND($D180&gt;=BW$5,$D180&lt;BW$5+7),"◆",""),IF(AND($D180&lt;BW$5+7,$E180&gt;BW$5),"■","")))</x:f>
      </x:c>
      <x:c r="BX180" s="7" t="str">
        <x:f>IF(OR($D180="",BX$5="",'상세일정'!AM180="제외"),"",IF($D180=$E180,IF(AND($D180&gt;=BX$5,$D180&lt;BX$5+7),"◆",""),IF(AND($D180&lt;BX$5+7,$E180&gt;BX$5),"■","")))</x:f>
      </x:c>
      <x:c r="BY180" s="7" t="str">
        <x:f>IF(OR($D180="",BY$5="",'상세일정'!AM180="제외"),"",IF($D180=$E180,IF(AND($D180&gt;=BY$5,$D180&lt;BY$5+7),"◆",""),IF(AND($D180&lt;BY$5+7,$E180&gt;BY$5),"■","")))</x:f>
      </x:c>
      <x:c r="BZ180" s="7" t="str">
        <x:f>IF(OR($D180="",BZ$5="",'상세일정'!AM180="제외"),"",IF($D180=$E180,IF(AND($D180&gt;=BZ$5,$D180&lt;BZ$5+7),"◆",""),IF(AND($D180&lt;BZ$5+7,$E180&gt;BZ$5),"■","")))</x:f>
      </x:c>
      <x:c r="CA180" s="7" t="str">
        <x:f>IF(OR($D180="",CA$5="",'상세일정'!AM180="제외"),"",IF($D180=$E180,IF(AND($D180&gt;=CA$5,$D180&lt;CA$5+7),"◆",""),IF(AND($D180&lt;CA$5+7,$E180&gt;CA$5),"■","")))</x:f>
      </x:c>
      <x:c r="CB180" s="7" t="str">
        <x:f>IF(OR($D180="",CB$5="",'상세일정'!AM180="제외"),"",IF($D180=$E180,IF(AND($D180&gt;=CB$5,$D180&lt;CB$5+7),"◆",""),IF(AND($D180&lt;CB$5+7,$E180&gt;CB$5),"■","")))</x:f>
      </x:c>
      <x:c r="CC180" s="7" t="str">
        <x:f>IF(OR($D180="",CC$5="",'상세일정'!AM180="제외"),"",IF($D180=$E180,IF(AND($D180&gt;=CC$5,$D180&lt;CC$5+7),"◆",""),IF(AND($D180&lt;CC$5+7,$E180&gt;CC$5),"■","")))</x:f>
      </x:c>
      <x:c r="CD180" s="7" t="str">
        <x:f>IF(OR($D180="",CD$5="",'상세일정'!AM180="제외"),"",IF($D180=$E180,IF(AND($D180&gt;=CD$5,$D180&lt;CD$5+7),"◆",""),IF(AND($D180&lt;CD$5+7,$E180&gt;CD$5),"■","")))</x:f>
      </x:c>
      <x:c r="CE180" s="7" t="str">
        <x:f>IF(OR($D180="",CE$5="",'상세일정'!AM180="제외"),"",IF($D180=$E180,IF(AND($D180&gt;=CE$5,$D180&lt;CE$5+7),"◆",""),IF(AND($D180&lt;CE$5+7,$E180&gt;CE$5),"■","")))</x:f>
      </x:c>
      <x:c r="CF180" s="7" t="str">
        <x:f>IF(OR($D180="",CF$5="",'상세일정'!AM180="제외"),"",IF($D180=$E180,IF(AND($D180&gt;=CF$5,$D180&lt;CF$5+7),"◆",""),IF(AND($D180&lt;CF$5+7,$E180&gt;CF$5),"■","")))</x:f>
      </x:c>
      <x:c r="CG180" s="7" t="str">
        <x:f>IF(OR($D180="",CG$5="",'상세일정'!AM180="제외"),"",IF($D180=$E180,IF(AND($D180&gt;=CG$5,$D180&lt;CG$5+7),"◆",""),IF(AND($D180&lt;CG$5+7,$E180&gt;CG$5),"■","")))</x:f>
      </x:c>
      <x:c r="CH180" s="7" t="str">
        <x:f>IF(OR($D180="",CH$5="",'상세일정'!AM180="제외"),"",IF($D180=$E180,IF(AND($D180&gt;=CH$5,$D180&lt;CH$5+7),"◆",""),IF(AND($D180&lt;CH$5+7,$E180&gt;CH$5),"■","")))</x:f>
      </x:c>
      <x:c r="CI180" s="7" t="str">
        <x:f>IF(OR($D180="",CI$5="",'상세일정'!AM180="제외"),"",IF($D180=$E180,IF(AND($D180&gt;=CI$5,$D180&lt;CI$5+7),"◆",""),IF(AND($D180&lt;CI$5+7,$E180&gt;CI$5),"■","")))</x:f>
      </x:c>
      <x:c r="CJ180" s="7" t="str">
        <x:f>IF(OR($D180="",CJ$5="",'상세일정'!AM180="제외"),"",IF($D180=$E180,IF(AND($D180&gt;=CJ$5,$D180&lt;CJ$5+7),"◆",""),IF(AND($D180&lt;CJ$5+7,$E180&gt;CJ$5),"■","")))</x:f>
      </x:c>
      <x:c r="CK180" s="7" t="str">
        <x:f>IF(OR($D180="",CK$5="",'상세일정'!AM180="제외"),"",IF($D180=$E180,IF(AND($D180&gt;=CK$5,$D180&lt;CK$5+7),"◆",""),IF(AND($D180&lt;CK$5+7,$E180&gt;CK$5),"■","")))</x:f>
      </x:c>
      <x:c r="CL180" s="7" t="str">
        <x:f>IF(OR($D180="",CL$5="",'상세일정'!AM180="제외"),"",IF($D180=$E180,IF(AND($D180&gt;=CL$5,$D180&lt;CL$5+7),"◆",""),IF(AND($D180&lt;CL$5+7,$E180&gt;CL$5),"■","")))</x:f>
      </x:c>
      <x:c r="CM180" s="7" t="str">
        <x:f>IF(OR($D180="",CM$5="",'상세일정'!AM180="제외"),"",IF($D180=$E180,IF(AND($D180&gt;=CM$5,$D180&lt;CM$5+7),"◆",""),IF(AND($D180&lt;CM$5+7,$E180&gt;CM$5),"■","")))</x:f>
      </x:c>
      <x:c r="CN180" s="7" t="str">
        <x:f>IF(OR($D180="",CN$5="",'상세일정'!AM180="제외"),"",IF($D180=$E180,IF(AND($D180&gt;=CN$5,$D180&lt;CN$5+7),"◆",""),IF(AND($D180&lt;CN$5+7,$E180&gt;CN$5),"■","")))</x:f>
      </x:c>
      <x:c r="CO180" s="7" t="str">
        <x:f>IF(OR($D180="",CO$5="",'상세일정'!AM180="제외"),"",IF($D180=$E180,IF(AND($D180&gt;=CO$5,$D180&lt;CO$5+7),"◆",""),IF(AND($D180&lt;CO$5+7,$E180&gt;CO$5),"■","")))</x:f>
      </x:c>
      <x:c r="CP180" s="7" t="str">
        <x:f>IF(OR($D180="",CP$5="",'상세일정'!AM180="제외"),"",IF($D180=$E180,IF(AND($D180&gt;=CP$5,$D180&lt;CP$5+7),"◆",""),IF(AND($D180&lt;CP$5+7,$E180&gt;CP$5),"■","")))</x:f>
      </x:c>
      <x:c r="CQ180" s="7" t="str">
        <x:f>IF(OR($D180="",CQ$5="",'상세일정'!AM180="제외"),"",IF($D180=$E180,IF(AND($D180&gt;=CQ$5,$D180&lt;CQ$5+7),"◆",""),IF(AND($D180&lt;CQ$5+7,$E180&gt;CQ$5),"■","")))</x:f>
      </x:c>
      <x:c r="CR180" s="7" t="str">
        <x:f>IF(OR($D180="",CR$5="",'상세일정'!AM180="제외"),"",IF($D180=$E180,IF(AND($D180&gt;=CR$5,$D180&lt;CR$5+7),"◆",""),IF(AND($D180&lt;CR$5+7,$E180&gt;CR$5),"■","")))</x:f>
      </x:c>
      <x:c r="CS180" s="7" t="str">
        <x:f>IF(OR($D180="",CS$5="",'상세일정'!AM180="제외"),"",IF($D180=$E180,IF(AND($D180&gt;=CS$5,$D180&lt;CS$5+7),"◆",""),IF(AND($D180&lt;CS$5+7,$E180&gt;CS$5),"■","")))</x:f>
      </x:c>
      <x:c r="CT180" s="7" t="str">
        <x:f>IF(OR($D180="",CT$5="",'상세일정'!AM180="제외"),"",IF($D180=$E180,IF(AND($D180&gt;=CT$5,$D180&lt;CT$5+7),"◆",""),IF(AND($D180&lt;CT$5+7,$E180&gt;CT$5),"■","")))</x:f>
      </x:c>
      <x:c r="CU180" s="7" t="str">
        <x:f>IF(OR($D180="",CU$5="",'상세일정'!AM180="제외"),"",IF($D180=$E180,IF(AND($D180&gt;=CU$5,$D180&lt;CU$5+7),"◆",""),IF(AND($D180&lt;CU$5+7,$E180&gt;CU$5),"■","")))</x:f>
      </x:c>
      <x:c r="CV180" s="7" t="str">
        <x:f>IF(OR($D180="",CV$5="",'상세일정'!AM180="제외"),"",IF($D180=$E180,IF(AND($D180&gt;=CV$5,$D180&lt;CV$5+7),"◆",""),IF(AND($D180&lt;CV$5+7,$E180&gt;CV$5),"■","")))</x:f>
      </x:c>
      <x:c r="CW180" s="7" t="str">
        <x:f>IF(OR($D180="",CW$5="",'상세일정'!AM180="제외"),"",IF($D180=$E180,IF(AND($D180&gt;=CW$5,$D180&lt;CW$5+7),"◆",""),IF(AND($D180&lt;CW$5+7,$E180&gt;CW$5),"■","")))</x:f>
      </x:c>
      <x:c r="CX180" s="7" t="str">
        <x:f>IF(OR($D180="",CX$5="",'상세일정'!AM180="제외"),"",IF($D180=$E180,IF(AND($D180&gt;=CX$5,$D180&lt;CX$5+7),"◆",""),IF(AND($D180&lt;CX$5+7,$E180&gt;CX$5),"■","")))</x:f>
      </x:c>
      <x:c r="CY180" s="7" t="str">
        <x:f>IF(OR($D180="",CY$5="",'상세일정'!AM180="제외"),"",IF($D180=$E180,IF(AND($D180&gt;=CY$5,$D180&lt;CY$5+7),"◆",""),IF(AND($D180&lt;CY$5+7,$E180&gt;CY$5),"■","")))</x:f>
      </x:c>
      <x:c r="CZ180" s="7" t="str">
        <x:f>IF(OR($D180="",CZ$5="",'상세일정'!AM180="제외"),"",IF($D180=$E180,IF(AND($D180&gt;=CZ$5,$D180&lt;CZ$5+7),"◆",""),IF(AND($D180&lt;CZ$5+7,$E180&gt;CZ$5),"■","")))</x:f>
      </x:c>
      <x:c r="DA180" s="7" t="str">
        <x:f>IF(OR($D180="",DA$5="",'상세일정'!AM180="제외"),"",IF($D180=$E180,IF(AND($D180&gt;=DA$5,$D180&lt;DA$5+7),"◆",""),IF(AND($D180&lt;DA$5+7,$E180&gt;DA$5),"■","")))</x:f>
      </x:c>
      <x:c r="DB180" s="7" t="str">
        <x:f>IF(OR($D180="",DB$5="",'상세일정'!AM180="제외"),"",IF($D180=$E180,IF(AND($D180&gt;=DB$5,$D180&lt;DB$5+7),"◆",""),IF(AND($D180&lt;DB$5+7,$E180&gt;DB$5),"■","")))</x:f>
      </x:c>
      <x:c r="DC180" s="7" t="str">
        <x:f>IF(OR($D180="",DC$5="",'상세일정'!AM180="제외"),"",IF($D180=$E180,IF(AND($D180&gt;=DC$5,$D180&lt;DC$5+7),"◆",""),IF(AND($D180&lt;DC$5+7,$E180&gt;DC$5),"■","")))</x:f>
      </x:c>
      <x:c r="DD180" s="7" t="str">
        <x:f>IF(OR($D180="",DD$5="",'상세일정'!AM180="제외"),"",IF($D180=$E180,IF(AND($D180&gt;=DD$5,$D180&lt;DD$5+7),"◆",""),IF(AND($D180&lt;DD$5+7,$E180&gt;DD$5),"■","")))</x:f>
      </x:c>
      <x:c r="DE180" s="7" t="str">
        <x:f>IF(OR($D180="",DE$5="",'상세일정'!AM180="제외"),"",IF($D180=$E180,IF(AND($D180&gt;=DE$5,$D180&lt;DE$5+7),"◆",""),IF(AND($D180&lt;DE$5+7,$E180&gt;DE$5),"■","")))</x:f>
      </x:c>
    </x:row>
    <x:row r="181" ht="34" customHeight="1">
      <x:c r="A181" s="7" t="str">
        <x:v>INPR02</x:v>
      </x:c>
      <x:c r="B181" s="7" t="str">
        <x:v>21 설비 설치</x:v>
      </x:c>
      <x:c r="C181" s="7" t="str">
        <x:v>주공정 패키지 A 설치검수·현장 SAT 준비</x:v>
      </x:c>
      <x:c r="D181" s="10" t="str">
        <x:f>'상세일정'!AJ181</x:f>
      </x:c>
      <x:c r="E181" s="10" t="str">
        <x:f>'상세일정'!AK181</x:f>
      </x:c>
      <x:c r="F181" s="7" t="str">
        <x:f>IF(OR($D181="",F$5="",'상세일정'!AM181="제외"),"",IF($D181=$E181,IF(AND($D181&gt;=F$5,$D181&lt;F$5+7),"◆",""),IF(AND($D181&lt;F$5+7,$E181&gt;F$5),"■","")))</x:f>
      </x:c>
      <x:c r="G181" s="7" t="str">
        <x:f>IF(OR($D181="",G$5="",'상세일정'!AM181="제외"),"",IF($D181=$E181,IF(AND($D181&gt;=G$5,$D181&lt;G$5+7),"◆",""),IF(AND($D181&lt;G$5+7,$E181&gt;G$5),"■","")))</x:f>
      </x:c>
      <x:c r="H181" s="7" t="str">
        <x:f>IF(OR($D181="",H$5="",'상세일정'!AM181="제외"),"",IF($D181=$E181,IF(AND($D181&gt;=H$5,$D181&lt;H$5+7),"◆",""),IF(AND($D181&lt;H$5+7,$E181&gt;H$5),"■","")))</x:f>
      </x:c>
      <x:c r="I181" s="7" t="str">
        <x:f>IF(OR($D181="",I$5="",'상세일정'!AM181="제외"),"",IF($D181=$E181,IF(AND($D181&gt;=I$5,$D181&lt;I$5+7),"◆",""),IF(AND($D181&lt;I$5+7,$E181&gt;I$5),"■","")))</x:f>
      </x:c>
      <x:c r="J181" s="7" t="str">
        <x:f>IF(OR($D181="",J$5="",'상세일정'!AM181="제외"),"",IF($D181=$E181,IF(AND($D181&gt;=J$5,$D181&lt;J$5+7),"◆",""),IF(AND($D181&lt;J$5+7,$E181&gt;J$5),"■","")))</x:f>
      </x:c>
      <x:c r="K181" s="7" t="str">
        <x:f>IF(OR($D181="",K$5="",'상세일정'!AM181="제외"),"",IF($D181=$E181,IF(AND($D181&gt;=K$5,$D181&lt;K$5+7),"◆",""),IF(AND($D181&lt;K$5+7,$E181&gt;K$5),"■","")))</x:f>
      </x:c>
      <x:c r="L181" s="7" t="str">
        <x:f>IF(OR($D181="",L$5="",'상세일정'!AM181="제외"),"",IF($D181=$E181,IF(AND($D181&gt;=L$5,$D181&lt;L$5+7),"◆",""),IF(AND($D181&lt;L$5+7,$E181&gt;L$5),"■","")))</x:f>
      </x:c>
      <x:c r="M181" s="7" t="str">
        <x:f>IF(OR($D181="",M$5="",'상세일정'!AM181="제외"),"",IF($D181=$E181,IF(AND($D181&gt;=M$5,$D181&lt;M$5+7),"◆",""),IF(AND($D181&lt;M$5+7,$E181&gt;M$5),"■","")))</x:f>
      </x:c>
      <x:c r="N181" s="7" t="str">
        <x:f>IF(OR($D181="",N$5="",'상세일정'!AM181="제외"),"",IF($D181=$E181,IF(AND($D181&gt;=N$5,$D181&lt;N$5+7),"◆",""),IF(AND($D181&lt;N$5+7,$E181&gt;N$5),"■","")))</x:f>
      </x:c>
      <x:c r="O181" s="7" t="str">
        <x:f>IF(OR($D181="",O$5="",'상세일정'!AM181="제외"),"",IF($D181=$E181,IF(AND($D181&gt;=O$5,$D181&lt;O$5+7),"◆",""),IF(AND($D181&lt;O$5+7,$E181&gt;O$5),"■","")))</x:f>
      </x:c>
      <x:c r="P181" s="7" t="str">
        <x:f>IF(OR($D181="",P$5="",'상세일정'!AM181="제외"),"",IF($D181=$E181,IF(AND($D181&gt;=P$5,$D181&lt;P$5+7),"◆",""),IF(AND($D181&lt;P$5+7,$E181&gt;P$5),"■","")))</x:f>
      </x:c>
      <x:c r="Q181" s="7" t="str">
        <x:f>IF(OR($D181="",Q$5="",'상세일정'!AM181="제외"),"",IF($D181=$E181,IF(AND($D181&gt;=Q$5,$D181&lt;Q$5+7),"◆",""),IF(AND($D181&lt;Q$5+7,$E181&gt;Q$5),"■","")))</x:f>
      </x:c>
      <x:c r="R181" s="7" t="str">
        <x:f>IF(OR($D181="",R$5="",'상세일정'!AM181="제외"),"",IF($D181=$E181,IF(AND($D181&gt;=R$5,$D181&lt;R$5+7),"◆",""),IF(AND($D181&lt;R$5+7,$E181&gt;R$5),"■","")))</x:f>
      </x:c>
      <x:c r="S181" s="7" t="str">
        <x:f>IF(OR($D181="",S$5="",'상세일정'!AM181="제외"),"",IF($D181=$E181,IF(AND($D181&gt;=S$5,$D181&lt;S$5+7),"◆",""),IF(AND($D181&lt;S$5+7,$E181&gt;S$5),"■","")))</x:f>
      </x:c>
      <x:c r="T181" s="7" t="str">
        <x:f>IF(OR($D181="",T$5="",'상세일정'!AM181="제외"),"",IF($D181=$E181,IF(AND($D181&gt;=T$5,$D181&lt;T$5+7),"◆",""),IF(AND($D181&lt;T$5+7,$E181&gt;T$5),"■","")))</x:f>
      </x:c>
      <x:c r="U181" s="7" t="str">
        <x:f>IF(OR($D181="",U$5="",'상세일정'!AM181="제외"),"",IF($D181=$E181,IF(AND($D181&gt;=U$5,$D181&lt;U$5+7),"◆",""),IF(AND($D181&lt;U$5+7,$E181&gt;U$5),"■","")))</x:f>
      </x:c>
      <x:c r="V181" s="7" t="str">
        <x:f>IF(OR($D181="",V$5="",'상세일정'!AM181="제외"),"",IF($D181=$E181,IF(AND($D181&gt;=V$5,$D181&lt;V$5+7),"◆",""),IF(AND($D181&lt;V$5+7,$E181&gt;V$5),"■","")))</x:f>
      </x:c>
      <x:c r="W181" s="7" t="str">
        <x:f>IF(OR($D181="",W$5="",'상세일정'!AM181="제외"),"",IF($D181=$E181,IF(AND($D181&gt;=W$5,$D181&lt;W$5+7),"◆",""),IF(AND($D181&lt;W$5+7,$E181&gt;W$5),"■","")))</x:f>
      </x:c>
      <x:c r="X181" s="7" t="str">
        <x:f>IF(OR($D181="",X$5="",'상세일정'!AM181="제외"),"",IF($D181=$E181,IF(AND($D181&gt;=X$5,$D181&lt;X$5+7),"◆",""),IF(AND($D181&lt;X$5+7,$E181&gt;X$5),"■","")))</x:f>
      </x:c>
      <x:c r="Y181" s="7" t="str">
        <x:f>IF(OR($D181="",Y$5="",'상세일정'!AM181="제외"),"",IF($D181=$E181,IF(AND($D181&gt;=Y$5,$D181&lt;Y$5+7),"◆",""),IF(AND($D181&lt;Y$5+7,$E181&gt;Y$5),"■","")))</x:f>
      </x:c>
      <x:c r="Z181" s="7" t="str">
        <x:f>IF(OR($D181="",Z$5="",'상세일정'!AM181="제외"),"",IF($D181=$E181,IF(AND($D181&gt;=Z$5,$D181&lt;Z$5+7),"◆",""),IF(AND($D181&lt;Z$5+7,$E181&gt;Z$5),"■","")))</x:f>
      </x:c>
      <x:c r="AA181" s="7" t="str">
        <x:f>IF(OR($D181="",AA$5="",'상세일정'!AM181="제외"),"",IF($D181=$E181,IF(AND($D181&gt;=AA$5,$D181&lt;AA$5+7),"◆",""),IF(AND($D181&lt;AA$5+7,$E181&gt;AA$5),"■","")))</x:f>
      </x:c>
      <x:c r="AB181" s="7" t="str">
        <x:f>IF(OR($D181="",AB$5="",'상세일정'!AM181="제외"),"",IF($D181=$E181,IF(AND($D181&gt;=AB$5,$D181&lt;AB$5+7),"◆",""),IF(AND($D181&lt;AB$5+7,$E181&gt;AB$5),"■","")))</x:f>
      </x:c>
      <x:c r="AC181" s="7" t="str">
        <x:f>IF(OR($D181="",AC$5="",'상세일정'!AM181="제외"),"",IF($D181=$E181,IF(AND($D181&gt;=AC$5,$D181&lt;AC$5+7),"◆",""),IF(AND($D181&lt;AC$5+7,$E181&gt;AC$5),"■","")))</x:f>
      </x:c>
      <x:c r="AD181" s="7" t="str">
        <x:f>IF(OR($D181="",AD$5="",'상세일정'!AM181="제외"),"",IF($D181=$E181,IF(AND($D181&gt;=AD$5,$D181&lt;AD$5+7),"◆",""),IF(AND($D181&lt;AD$5+7,$E181&gt;AD$5),"■","")))</x:f>
      </x:c>
      <x:c r="AE181" s="7" t="str">
        <x:f>IF(OR($D181="",AE$5="",'상세일정'!AM181="제외"),"",IF($D181=$E181,IF(AND($D181&gt;=AE$5,$D181&lt;AE$5+7),"◆",""),IF(AND($D181&lt;AE$5+7,$E181&gt;AE$5),"■","")))</x:f>
      </x:c>
      <x:c r="AF181" s="7" t="str">
        <x:f>IF(OR($D181="",AF$5="",'상세일정'!AM181="제외"),"",IF($D181=$E181,IF(AND($D181&gt;=AF$5,$D181&lt;AF$5+7),"◆",""),IF(AND($D181&lt;AF$5+7,$E181&gt;AF$5),"■","")))</x:f>
      </x:c>
      <x:c r="AG181" s="7" t="str">
        <x:f>IF(OR($D181="",AG$5="",'상세일정'!AM181="제외"),"",IF($D181=$E181,IF(AND($D181&gt;=AG$5,$D181&lt;AG$5+7),"◆",""),IF(AND($D181&lt;AG$5+7,$E181&gt;AG$5),"■","")))</x:f>
      </x:c>
      <x:c r="AH181" s="7" t="str">
        <x:f>IF(OR($D181="",AH$5="",'상세일정'!AM181="제외"),"",IF($D181=$E181,IF(AND($D181&gt;=AH$5,$D181&lt;AH$5+7),"◆",""),IF(AND($D181&lt;AH$5+7,$E181&gt;AH$5),"■","")))</x:f>
      </x:c>
      <x:c r="AI181" s="7" t="str">
        <x:f>IF(OR($D181="",AI$5="",'상세일정'!AM181="제외"),"",IF($D181=$E181,IF(AND($D181&gt;=AI$5,$D181&lt;AI$5+7),"◆",""),IF(AND($D181&lt;AI$5+7,$E181&gt;AI$5),"■","")))</x:f>
      </x:c>
      <x:c r="AJ181" s="7" t="str">
        <x:f>IF(OR($D181="",AJ$5="",'상세일정'!AM181="제외"),"",IF($D181=$E181,IF(AND($D181&gt;=AJ$5,$D181&lt;AJ$5+7),"◆",""),IF(AND($D181&lt;AJ$5+7,$E181&gt;AJ$5),"■","")))</x:f>
      </x:c>
      <x:c r="AK181" s="7" t="str">
        <x:f>IF(OR($D181="",AK$5="",'상세일정'!AM181="제외"),"",IF($D181=$E181,IF(AND($D181&gt;=AK$5,$D181&lt;AK$5+7),"◆",""),IF(AND($D181&lt;AK$5+7,$E181&gt;AK$5),"■","")))</x:f>
      </x:c>
      <x:c r="AL181" s="7" t="str">
        <x:f>IF(OR($D181="",AL$5="",'상세일정'!AM181="제외"),"",IF($D181=$E181,IF(AND($D181&gt;=AL$5,$D181&lt;AL$5+7),"◆",""),IF(AND($D181&lt;AL$5+7,$E181&gt;AL$5),"■","")))</x:f>
      </x:c>
      <x:c r="AM181" s="7" t="str">
        <x:f>IF(OR($D181="",AM$5="",'상세일정'!AM181="제외"),"",IF($D181=$E181,IF(AND($D181&gt;=AM$5,$D181&lt;AM$5+7),"◆",""),IF(AND($D181&lt;AM$5+7,$E181&gt;AM$5),"■","")))</x:f>
      </x:c>
      <x:c r="AN181" s="7" t="str">
        <x:f>IF(OR($D181="",AN$5="",'상세일정'!AM181="제외"),"",IF($D181=$E181,IF(AND($D181&gt;=AN$5,$D181&lt;AN$5+7),"◆",""),IF(AND($D181&lt;AN$5+7,$E181&gt;AN$5),"■","")))</x:f>
      </x:c>
      <x:c r="AO181" s="7" t="str">
        <x:f>IF(OR($D181="",AO$5="",'상세일정'!AM181="제외"),"",IF($D181=$E181,IF(AND($D181&gt;=AO$5,$D181&lt;AO$5+7),"◆",""),IF(AND($D181&lt;AO$5+7,$E181&gt;AO$5),"■","")))</x:f>
      </x:c>
      <x:c r="AP181" s="7" t="str">
        <x:f>IF(OR($D181="",AP$5="",'상세일정'!AM181="제외"),"",IF($D181=$E181,IF(AND($D181&gt;=AP$5,$D181&lt;AP$5+7),"◆",""),IF(AND($D181&lt;AP$5+7,$E181&gt;AP$5),"■","")))</x:f>
      </x:c>
      <x:c r="AQ181" s="7" t="str">
        <x:f>IF(OR($D181="",AQ$5="",'상세일정'!AM181="제외"),"",IF($D181=$E181,IF(AND($D181&gt;=AQ$5,$D181&lt;AQ$5+7),"◆",""),IF(AND($D181&lt;AQ$5+7,$E181&gt;AQ$5),"■","")))</x:f>
      </x:c>
      <x:c r="AR181" s="7" t="str">
        <x:f>IF(OR($D181="",AR$5="",'상세일정'!AM181="제외"),"",IF($D181=$E181,IF(AND($D181&gt;=AR$5,$D181&lt;AR$5+7),"◆",""),IF(AND($D181&lt;AR$5+7,$E181&gt;AR$5),"■","")))</x:f>
      </x:c>
      <x:c r="AS181" s="7" t="str">
        <x:f>IF(OR($D181="",AS$5="",'상세일정'!AM181="제외"),"",IF($D181=$E181,IF(AND($D181&gt;=AS$5,$D181&lt;AS$5+7),"◆",""),IF(AND($D181&lt;AS$5+7,$E181&gt;AS$5),"■","")))</x:f>
      </x:c>
      <x:c r="AT181" s="7" t="str">
        <x:f>IF(OR($D181="",AT$5="",'상세일정'!AM181="제외"),"",IF($D181=$E181,IF(AND($D181&gt;=AT$5,$D181&lt;AT$5+7),"◆",""),IF(AND($D181&lt;AT$5+7,$E181&gt;AT$5),"■","")))</x:f>
      </x:c>
      <x:c r="AU181" s="7" t="str">
        <x:f>IF(OR($D181="",AU$5="",'상세일정'!AM181="제외"),"",IF($D181=$E181,IF(AND($D181&gt;=AU$5,$D181&lt;AU$5+7),"◆",""),IF(AND($D181&lt;AU$5+7,$E181&gt;AU$5),"■","")))</x:f>
      </x:c>
      <x:c r="AV181" s="7" t="str">
        <x:f>IF(OR($D181="",AV$5="",'상세일정'!AM181="제외"),"",IF($D181=$E181,IF(AND($D181&gt;=AV$5,$D181&lt;AV$5+7),"◆",""),IF(AND($D181&lt;AV$5+7,$E181&gt;AV$5),"■","")))</x:f>
      </x:c>
      <x:c r="AW181" s="7" t="str">
        <x:f>IF(OR($D181="",AW$5="",'상세일정'!AM181="제외"),"",IF($D181=$E181,IF(AND($D181&gt;=AW$5,$D181&lt;AW$5+7),"◆",""),IF(AND($D181&lt;AW$5+7,$E181&gt;AW$5),"■","")))</x:f>
      </x:c>
      <x:c r="AX181" s="7" t="str">
        <x:f>IF(OR($D181="",AX$5="",'상세일정'!AM181="제외"),"",IF($D181=$E181,IF(AND($D181&gt;=AX$5,$D181&lt;AX$5+7),"◆",""),IF(AND($D181&lt;AX$5+7,$E181&gt;AX$5),"■","")))</x:f>
      </x:c>
      <x:c r="AY181" s="7" t="str">
        <x:f>IF(OR($D181="",AY$5="",'상세일정'!AM181="제외"),"",IF($D181=$E181,IF(AND($D181&gt;=AY$5,$D181&lt;AY$5+7),"◆",""),IF(AND($D181&lt;AY$5+7,$E181&gt;AY$5),"■","")))</x:f>
      </x:c>
      <x:c r="AZ181" s="7" t="str">
        <x:f>IF(OR($D181="",AZ$5="",'상세일정'!AM181="제외"),"",IF($D181=$E181,IF(AND($D181&gt;=AZ$5,$D181&lt;AZ$5+7),"◆",""),IF(AND($D181&lt;AZ$5+7,$E181&gt;AZ$5),"■","")))</x:f>
      </x:c>
      <x:c r="BA181" s="7" t="str">
        <x:f>IF(OR($D181="",BA$5="",'상세일정'!AM181="제외"),"",IF($D181=$E181,IF(AND($D181&gt;=BA$5,$D181&lt;BA$5+7),"◆",""),IF(AND($D181&lt;BA$5+7,$E181&gt;BA$5),"■","")))</x:f>
      </x:c>
      <x:c r="BB181" s="7" t="str">
        <x:f>IF(OR($D181="",BB$5="",'상세일정'!AM181="제외"),"",IF($D181=$E181,IF(AND($D181&gt;=BB$5,$D181&lt;BB$5+7),"◆",""),IF(AND($D181&lt;BB$5+7,$E181&gt;BB$5),"■","")))</x:f>
      </x:c>
      <x:c r="BC181" s="7" t="str">
        <x:f>IF(OR($D181="",BC$5="",'상세일정'!AM181="제외"),"",IF($D181=$E181,IF(AND($D181&gt;=BC$5,$D181&lt;BC$5+7),"◆",""),IF(AND($D181&lt;BC$5+7,$E181&gt;BC$5),"■","")))</x:f>
      </x:c>
      <x:c r="BD181" s="7" t="str">
        <x:f>IF(OR($D181="",BD$5="",'상세일정'!AM181="제외"),"",IF($D181=$E181,IF(AND($D181&gt;=BD$5,$D181&lt;BD$5+7),"◆",""),IF(AND($D181&lt;BD$5+7,$E181&gt;BD$5),"■","")))</x:f>
      </x:c>
      <x:c r="BE181" s="7" t="str">
        <x:f>IF(OR($D181="",BE$5="",'상세일정'!AM181="제외"),"",IF($D181=$E181,IF(AND($D181&gt;=BE$5,$D181&lt;BE$5+7),"◆",""),IF(AND($D181&lt;BE$5+7,$E181&gt;BE$5),"■","")))</x:f>
      </x:c>
      <x:c r="BF181" s="7" t="str">
        <x:f>IF(OR($D181="",BF$5="",'상세일정'!AM181="제외"),"",IF($D181=$E181,IF(AND($D181&gt;=BF$5,$D181&lt;BF$5+7),"◆",""),IF(AND($D181&lt;BF$5+7,$E181&gt;BF$5),"■","")))</x:f>
      </x:c>
      <x:c r="BG181" s="7" t="str">
        <x:f>IF(OR($D181="",BG$5="",'상세일정'!AM181="제외"),"",IF($D181=$E181,IF(AND($D181&gt;=BG$5,$D181&lt;BG$5+7),"◆",""),IF(AND($D181&lt;BG$5+7,$E181&gt;BG$5),"■","")))</x:f>
      </x:c>
      <x:c r="BH181" s="7" t="str">
        <x:f>IF(OR($D181="",BH$5="",'상세일정'!AM181="제외"),"",IF($D181=$E181,IF(AND($D181&gt;=BH$5,$D181&lt;BH$5+7),"◆",""),IF(AND($D181&lt;BH$5+7,$E181&gt;BH$5),"■","")))</x:f>
      </x:c>
      <x:c r="BI181" s="7" t="str">
        <x:f>IF(OR($D181="",BI$5="",'상세일정'!AM181="제외"),"",IF($D181=$E181,IF(AND($D181&gt;=BI$5,$D181&lt;BI$5+7),"◆",""),IF(AND($D181&lt;BI$5+7,$E181&gt;BI$5),"■","")))</x:f>
      </x:c>
      <x:c r="BJ181" s="7" t="str">
        <x:f>IF(OR($D181="",BJ$5="",'상세일정'!AM181="제외"),"",IF($D181=$E181,IF(AND($D181&gt;=BJ$5,$D181&lt;BJ$5+7),"◆",""),IF(AND($D181&lt;BJ$5+7,$E181&gt;BJ$5),"■","")))</x:f>
      </x:c>
      <x:c r="BK181" s="7" t="str">
        <x:f>IF(OR($D181="",BK$5="",'상세일정'!AM181="제외"),"",IF($D181=$E181,IF(AND($D181&gt;=BK$5,$D181&lt;BK$5+7),"◆",""),IF(AND($D181&lt;BK$5+7,$E181&gt;BK$5),"■","")))</x:f>
      </x:c>
      <x:c r="BL181" s="7" t="str">
        <x:f>IF(OR($D181="",BL$5="",'상세일정'!AM181="제외"),"",IF($D181=$E181,IF(AND($D181&gt;=BL$5,$D181&lt;BL$5+7),"◆",""),IF(AND($D181&lt;BL$5+7,$E181&gt;BL$5),"■","")))</x:f>
      </x:c>
      <x:c r="BM181" s="7" t="str">
        <x:f>IF(OR($D181="",BM$5="",'상세일정'!AM181="제외"),"",IF($D181=$E181,IF(AND($D181&gt;=BM$5,$D181&lt;BM$5+7),"◆",""),IF(AND($D181&lt;BM$5+7,$E181&gt;BM$5),"■","")))</x:f>
      </x:c>
      <x:c r="BN181" s="7" t="str">
        <x:f>IF(OR($D181="",BN$5="",'상세일정'!AM181="제외"),"",IF($D181=$E181,IF(AND($D181&gt;=BN$5,$D181&lt;BN$5+7),"◆",""),IF(AND($D181&lt;BN$5+7,$E181&gt;BN$5),"■","")))</x:f>
      </x:c>
      <x:c r="BO181" s="7" t="str">
        <x:f>IF(OR($D181="",BO$5="",'상세일정'!AM181="제외"),"",IF($D181=$E181,IF(AND($D181&gt;=BO$5,$D181&lt;BO$5+7),"◆",""),IF(AND($D181&lt;BO$5+7,$E181&gt;BO$5),"■","")))</x:f>
      </x:c>
      <x:c r="BP181" s="7" t="str">
        <x:f>IF(OR($D181="",BP$5="",'상세일정'!AM181="제외"),"",IF($D181=$E181,IF(AND($D181&gt;=BP$5,$D181&lt;BP$5+7),"◆",""),IF(AND($D181&lt;BP$5+7,$E181&gt;BP$5),"■","")))</x:f>
      </x:c>
      <x:c r="BQ181" s="7" t="str">
        <x:f>IF(OR($D181="",BQ$5="",'상세일정'!AM181="제외"),"",IF($D181=$E181,IF(AND($D181&gt;=BQ$5,$D181&lt;BQ$5+7),"◆",""),IF(AND($D181&lt;BQ$5+7,$E181&gt;BQ$5),"■","")))</x:f>
      </x:c>
      <x:c r="BR181" s="7" t="str">
        <x:f>IF(OR($D181="",BR$5="",'상세일정'!AM181="제외"),"",IF($D181=$E181,IF(AND($D181&gt;=BR$5,$D181&lt;BR$5+7),"◆",""),IF(AND($D181&lt;BR$5+7,$E181&gt;BR$5),"■","")))</x:f>
      </x:c>
      <x:c r="BS181" s="7" t="str">
        <x:f>IF(OR($D181="",BS$5="",'상세일정'!AM181="제외"),"",IF($D181=$E181,IF(AND($D181&gt;=BS$5,$D181&lt;BS$5+7),"◆",""),IF(AND($D181&lt;BS$5+7,$E181&gt;BS$5),"■","")))</x:f>
      </x:c>
      <x:c r="BT181" s="7" t="str">
        <x:f>IF(OR($D181="",BT$5="",'상세일정'!AM181="제외"),"",IF($D181=$E181,IF(AND($D181&gt;=BT$5,$D181&lt;BT$5+7),"◆",""),IF(AND($D181&lt;BT$5+7,$E181&gt;BT$5),"■","")))</x:f>
      </x:c>
      <x:c r="BU181" s="7" t="str">
        <x:f>IF(OR($D181="",BU$5="",'상세일정'!AM181="제외"),"",IF($D181=$E181,IF(AND($D181&gt;=BU$5,$D181&lt;BU$5+7),"◆",""),IF(AND($D181&lt;BU$5+7,$E181&gt;BU$5),"■","")))</x:f>
      </x:c>
      <x:c r="BV181" s="7" t="str">
        <x:f>IF(OR($D181="",BV$5="",'상세일정'!AM181="제외"),"",IF($D181=$E181,IF(AND($D181&gt;=BV$5,$D181&lt;BV$5+7),"◆",""),IF(AND($D181&lt;BV$5+7,$E181&gt;BV$5),"■","")))</x:f>
      </x:c>
      <x:c r="BW181" s="7" t="str">
        <x:f>IF(OR($D181="",BW$5="",'상세일정'!AM181="제외"),"",IF($D181=$E181,IF(AND($D181&gt;=BW$5,$D181&lt;BW$5+7),"◆",""),IF(AND($D181&lt;BW$5+7,$E181&gt;BW$5),"■","")))</x:f>
      </x:c>
      <x:c r="BX181" s="7" t="str">
        <x:f>IF(OR($D181="",BX$5="",'상세일정'!AM181="제외"),"",IF($D181=$E181,IF(AND($D181&gt;=BX$5,$D181&lt;BX$5+7),"◆",""),IF(AND($D181&lt;BX$5+7,$E181&gt;BX$5),"■","")))</x:f>
      </x:c>
      <x:c r="BY181" s="7" t="str">
        <x:f>IF(OR($D181="",BY$5="",'상세일정'!AM181="제외"),"",IF($D181=$E181,IF(AND($D181&gt;=BY$5,$D181&lt;BY$5+7),"◆",""),IF(AND($D181&lt;BY$5+7,$E181&gt;BY$5),"■","")))</x:f>
      </x:c>
      <x:c r="BZ181" s="7" t="str">
        <x:f>IF(OR($D181="",BZ$5="",'상세일정'!AM181="제외"),"",IF($D181=$E181,IF(AND($D181&gt;=BZ$5,$D181&lt;BZ$5+7),"◆",""),IF(AND($D181&lt;BZ$5+7,$E181&gt;BZ$5),"■","")))</x:f>
      </x:c>
      <x:c r="CA181" s="7" t="str">
        <x:f>IF(OR($D181="",CA$5="",'상세일정'!AM181="제외"),"",IF($D181=$E181,IF(AND($D181&gt;=CA$5,$D181&lt;CA$5+7),"◆",""),IF(AND($D181&lt;CA$5+7,$E181&gt;CA$5),"■","")))</x:f>
      </x:c>
      <x:c r="CB181" s="7" t="str">
        <x:f>IF(OR($D181="",CB$5="",'상세일정'!AM181="제외"),"",IF($D181=$E181,IF(AND($D181&gt;=CB$5,$D181&lt;CB$5+7),"◆",""),IF(AND($D181&lt;CB$5+7,$E181&gt;CB$5),"■","")))</x:f>
      </x:c>
      <x:c r="CC181" s="7" t="str">
        <x:f>IF(OR($D181="",CC$5="",'상세일정'!AM181="제외"),"",IF($D181=$E181,IF(AND($D181&gt;=CC$5,$D181&lt;CC$5+7),"◆",""),IF(AND($D181&lt;CC$5+7,$E181&gt;CC$5),"■","")))</x:f>
      </x:c>
      <x:c r="CD181" s="7" t="str">
        <x:f>IF(OR($D181="",CD$5="",'상세일정'!AM181="제외"),"",IF($D181=$E181,IF(AND($D181&gt;=CD$5,$D181&lt;CD$5+7),"◆",""),IF(AND($D181&lt;CD$5+7,$E181&gt;CD$5),"■","")))</x:f>
      </x:c>
      <x:c r="CE181" s="7" t="str">
        <x:f>IF(OR($D181="",CE$5="",'상세일정'!AM181="제외"),"",IF($D181=$E181,IF(AND($D181&gt;=CE$5,$D181&lt;CE$5+7),"◆",""),IF(AND($D181&lt;CE$5+7,$E181&gt;CE$5),"■","")))</x:f>
      </x:c>
      <x:c r="CF181" s="7" t="str">
        <x:f>IF(OR($D181="",CF$5="",'상세일정'!AM181="제외"),"",IF($D181=$E181,IF(AND($D181&gt;=CF$5,$D181&lt;CF$5+7),"◆",""),IF(AND($D181&lt;CF$5+7,$E181&gt;CF$5),"■","")))</x:f>
      </x:c>
      <x:c r="CG181" s="7" t="str">
        <x:f>IF(OR($D181="",CG$5="",'상세일정'!AM181="제외"),"",IF($D181=$E181,IF(AND($D181&gt;=CG$5,$D181&lt;CG$5+7),"◆",""),IF(AND($D181&lt;CG$5+7,$E181&gt;CG$5),"■","")))</x:f>
      </x:c>
      <x:c r="CH181" s="7" t="str">
        <x:f>IF(OR($D181="",CH$5="",'상세일정'!AM181="제외"),"",IF($D181=$E181,IF(AND($D181&gt;=CH$5,$D181&lt;CH$5+7),"◆",""),IF(AND($D181&lt;CH$5+7,$E181&gt;CH$5),"■","")))</x:f>
      </x:c>
      <x:c r="CI181" s="7" t="str">
        <x:f>IF(OR($D181="",CI$5="",'상세일정'!AM181="제외"),"",IF($D181=$E181,IF(AND($D181&gt;=CI$5,$D181&lt;CI$5+7),"◆",""),IF(AND($D181&lt;CI$5+7,$E181&gt;CI$5),"■","")))</x:f>
      </x:c>
      <x:c r="CJ181" s="7" t="str">
        <x:f>IF(OR($D181="",CJ$5="",'상세일정'!AM181="제외"),"",IF($D181=$E181,IF(AND($D181&gt;=CJ$5,$D181&lt;CJ$5+7),"◆",""),IF(AND($D181&lt;CJ$5+7,$E181&gt;CJ$5),"■","")))</x:f>
      </x:c>
      <x:c r="CK181" s="7" t="str">
        <x:f>IF(OR($D181="",CK$5="",'상세일정'!AM181="제외"),"",IF($D181=$E181,IF(AND($D181&gt;=CK$5,$D181&lt;CK$5+7),"◆",""),IF(AND($D181&lt;CK$5+7,$E181&gt;CK$5),"■","")))</x:f>
      </x:c>
      <x:c r="CL181" s="7" t="str">
        <x:f>IF(OR($D181="",CL$5="",'상세일정'!AM181="제외"),"",IF($D181=$E181,IF(AND($D181&gt;=CL$5,$D181&lt;CL$5+7),"◆",""),IF(AND($D181&lt;CL$5+7,$E181&gt;CL$5),"■","")))</x:f>
      </x:c>
      <x:c r="CM181" s="7" t="str">
        <x:f>IF(OR($D181="",CM$5="",'상세일정'!AM181="제외"),"",IF($D181=$E181,IF(AND($D181&gt;=CM$5,$D181&lt;CM$5+7),"◆",""),IF(AND($D181&lt;CM$5+7,$E181&gt;CM$5),"■","")))</x:f>
      </x:c>
      <x:c r="CN181" s="7" t="str">
        <x:f>IF(OR($D181="",CN$5="",'상세일정'!AM181="제외"),"",IF($D181=$E181,IF(AND($D181&gt;=CN$5,$D181&lt;CN$5+7),"◆",""),IF(AND($D181&lt;CN$5+7,$E181&gt;CN$5),"■","")))</x:f>
      </x:c>
      <x:c r="CO181" s="7" t="str">
        <x:f>IF(OR($D181="",CO$5="",'상세일정'!AM181="제외"),"",IF($D181=$E181,IF(AND($D181&gt;=CO$5,$D181&lt;CO$5+7),"◆",""),IF(AND($D181&lt;CO$5+7,$E181&gt;CO$5),"■","")))</x:f>
      </x:c>
      <x:c r="CP181" s="7" t="str">
        <x:f>IF(OR($D181="",CP$5="",'상세일정'!AM181="제외"),"",IF($D181=$E181,IF(AND($D181&gt;=CP$5,$D181&lt;CP$5+7),"◆",""),IF(AND($D181&lt;CP$5+7,$E181&gt;CP$5),"■","")))</x:f>
      </x:c>
      <x:c r="CQ181" s="7" t="str">
        <x:f>IF(OR($D181="",CQ$5="",'상세일정'!AM181="제외"),"",IF($D181=$E181,IF(AND($D181&gt;=CQ$5,$D181&lt;CQ$5+7),"◆",""),IF(AND($D181&lt;CQ$5+7,$E181&gt;CQ$5),"■","")))</x:f>
      </x:c>
      <x:c r="CR181" s="7" t="str">
        <x:f>IF(OR($D181="",CR$5="",'상세일정'!AM181="제외"),"",IF($D181=$E181,IF(AND($D181&gt;=CR$5,$D181&lt;CR$5+7),"◆",""),IF(AND($D181&lt;CR$5+7,$E181&gt;CR$5),"■","")))</x:f>
      </x:c>
      <x:c r="CS181" s="7" t="str">
        <x:f>IF(OR($D181="",CS$5="",'상세일정'!AM181="제외"),"",IF($D181=$E181,IF(AND($D181&gt;=CS$5,$D181&lt;CS$5+7),"◆",""),IF(AND($D181&lt;CS$5+7,$E181&gt;CS$5),"■","")))</x:f>
      </x:c>
      <x:c r="CT181" s="7" t="str">
        <x:f>IF(OR($D181="",CT$5="",'상세일정'!AM181="제외"),"",IF($D181=$E181,IF(AND($D181&gt;=CT$5,$D181&lt;CT$5+7),"◆",""),IF(AND($D181&lt;CT$5+7,$E181&gt;CT$5),"■","")))</x:f>
      </x:c>
      <x:c r="CU181" s="7" t="str">
        <x:f>IF(OR($D181="",CU$5="",'상세일정'!AM181="제외"),"",IF($D181=$E181,IF(AND($D181&gt;=CU$5,$D181&lt;CU$5+7),"◆",""),IF(AND($D181&lt;CU$5+7,$E181&gt;CU$5),"■","")))</x:f>
      </x:c>
      <x:c r="CV181" s="7" t="str">
        <x:f>IF(OR($D181="",CV$5="",'상세일정'!AM181="제외"),"",IF($D181=$E181,IF(AND($D181&gt;=CV$5,$D181&lt;CV$5+7),"◆",""),IF(AND($D181&lt;CV$5+7,$E181&gt;CV$5),"■","")))</x:f>
      </x:c>
      <x:c r="CW181" s="7" t="str">
        <x:f>IF(OR($D181="",CW$5="",'상세일정'!AM181="제외"),"",IF($D181=$E181,IF(AND($D181&gt;=CW$5,$D181&lt;CW$5+7),"◆",""),IF(AND($D181&lt;CW$5+7,$E181&gt;CW$5),"■","")))</x:f>
      </x:c>
      <x:c r="CX181" s="7" t="str">
        <x:f>IF(OR($D181="",CX$5="",'상세일정'!AM181="제외"),"",IF($D181=$E181,IF(AND($D181&gt;=CX$5,$D181&lt;CX$5+7),"◆",""),IF(AND($D181&lt;CX$5+7,$E181&gt;CX$5),"■","")))</x:f>
      </x:c>
      <x:c r="CY181" s="7" t="str">
        <x:f>IF(OR($D181="",CY$5="",'상세일정'!AM181="제외"),"",IF($D181=$E181,IF(AND($D181&gt;=CY$5,$D181&lt;CY$5+7),"◆",""),IF(AND($D181&lt;CY$5+7,$E181&gt;CY$5),"■","")))</x:f>
      </x:c>
      <x:c r="CZ181" s="7" t="str">
        <x:f>IF(OR($D181="",CZ$5="",'상세일정'!AM181="제외"),"",IF($D181=$E181,IF(AND($D181&gt;=CZ$5,$D181&lt;CZ$5+7),"◆",""),IF(AND($D181&lt;CZ$5+7,$E181&gt;CZ$5),"■","")))</x:f>
      </x:c>
      <x:c r="DA181" s="7" t="str">
        <x:f>IF(OR($D181="",DA$5="",'상세일정'!AM181="제외"),"",IF($D181=$E181,IF(AND($D181&gt;=DA$5,$D181&lt;DA$5+7),"◆",""),IF(AND($D181&lt;DA$5+7,$E181&gt;DA$5),"■","")))</x:f>
      </x:c>
      <x:c r="DB181" s="7" t="str">
        <x:f>IF(OR($D181="",DB$5="",'상세일정'!AM181="제외"),"",IF($D181=$E181,IF(AND($D181&gt;=DB$5,$D181&lt;DB$5+7),"◆",""),IF(AND($D181&lt;DB$5+7,$E181&gt;DB$5),"■","")))</x:f>
      </x:c>
      <x:c r="DC181" s="7" t="str">
        <x:f>IF(OR($D181="",DC$5="",'상세일정'!AM181="제외"),"",IF($D181=$E181,IF(AND($D181&gt;=DC$5,$D181&lt;DC$5+7),"◆",""),IF(AND($D181&lt;DC$5+7,$E181&gt;DC$5),"■","")))</x:f>
      </x:c>
      <x:c r="DD181" s="7" t="str">
        <x:f>IF(OR($D181="",DD$5="",'상세일정'!AM181="제외"),"",IF($D181=$E181,IF(AND($D181&gt;=DD$5,$D181&lt;DD$5+7),"◆",""),IF(AND($D181&lt;DD$5+7,$E181&gt;DD$5),"■","")))</x:f>
      </x:c>
      <x:c r="DE181" s="7" t="str">
        <x:f>IF(OR($D181="",DE$5="",'상세일정'!AM181="제외"),"",IF($D181=$E181,IF(AND($D181&gt;=DE$5,$D181&lt;DE$5+7),"◆",""),IF(AND($D181&lt;DE$5+7,$E181&gt;DE$5),"■","")))</x:f>
      </x:c>
    </x:row>
    <x:row r="182" ht="34" customHeight="1">
      <x:c r="A182" s="7" t="str">
        <x:v>INBG01</x:v>
      </x:c>
      <x:c r="B182" s="7" t="str">
        <x:v>21 설비 설치</x:v>
      </x:c>
      <x:c r="C182" s="7" t="str">
        <x:v>전처리 패키지 B 반입·양중·고정·정렬</x:v>
      </x:c>
      <x:c r="D182" s="10" t="str">
        <x:f>'상세일정'!AJ182</x:f>
      </x:c>
      <x:c r="E182" s="10" t="str">
        <x:f>'상세일정'!AK182</x:f>
      </x:c>
      <x:c r="F182" s="7" t="str">
        <x:f>IF(OR($D182="",F$5="",'상세일정'!AM182="제외"),"",IF($D182=$E182,IF(AND($D182&gt;=F$5,$D182&lt;F$5+7),"◆",""),IF(AND($D182&lt;F$5+7,$E182&gt;F$5),"■","")))</x:f>
      </x:c>
      <x:c r="G182" s="7" t="str">
        <x:f>IF(OR($D182="",G$5="",'상세일정'!AM182="제외"),"",IF($D182=$E182,IF(AND($D182&gt;=G$5,$D182&lt;G$5+7),"◆",""),IF(AND($D182&lt;G$5+7,$E182&gt;G$5),"■","")))</x:f>
      </x:c>
      <x:c r="H182" s="7" t="str">
        <x:f>IF(OR($D182="",H$5="",'상세일정'!AM182="제외"),"",IF($D182=$E182,IF(AND($D182&gt;=H$5,$D182&lt;H$5+7),"◆",""),IF(AND($D182&lt;H$5+7,$E182&gt;H$5),"■","")))</x:f>
      </x:c>
      <x:c r="I182" s="7" t="str">
        <x:f>IF(OR($D182="",I$5="",'상세일정'!AM182="제외"),"",IF($D182=$E182,IF(AND($D182&gt;=I$5,$D182&lt;I$5+7),"◆",""),IF(AND($D182&lt;I$5+7,$E182&gt;I$5),"■","")))</x:f>
      </x:c>
      <x:c r="J182" s="7" t="str">
        <x:f>IF(OR($D182="",J$5="",'상세일정'!AM182="제외"),"",IF($D182=$E182,IF(AND($D182&gt;=J$5,$D182&lt;J$5+7),"◆",""),IF(AND($D182&lt;J$5+7,$E182&gt;J$5),"■","")))</x:f>
      </x:c>
      <x:c r="K182" s="7" t="str">
        <x:f>IF(OR($D182="",K$5="",'상세일정'!AM182="제외"),"",IF($D182=$E182,IF(AND($D182&gt;=K$5,$D182&lt;K$5+7),"◆",""),IF(AND($D182&lt;K$5+7,$E182&gt;K$5),"■","")))</x:f>
      </x:c>
      <x:c r="L182" s="7" t="str">
        <x:f>IF(OR($D182="",L$5="",'상세일정'!AM182="제외"),"",IF($D182=$E182,IF(AND($D182&gt;=L$5,$D182&lt;L$5+7),"◆",""),IF(AND($D182&lt;L$5+7,$E182&gt;L$5),"■","")))</x:f>
      </x:c>
      <x:c r="M182" s="7" t="str">
        <x:f>IF(OR($D182="",M$5="",'상세일정'!AM182="제외"),"",IF($D182=$E182,IF(AND($D182&gt;=M$5,$D182&lt;M$5+7),"◆",""),IF(AND($D182&lt;M$5+7,$E182&gt;M$5),"■","")))</x:f>
      </x:c>
      <x:c r="N182" s="7" t="str">
        <x:f>IF(OR($D182="",N$5="",'상세일정'!AM182="제외"),"",IF($D182=$E182,IF(AND($D182&gt;=N$5,$D182&lt;N$5+7),"◆",""),IF(AND($D182&lt;N$5+7,$E182&gt;N$5),"■","")))</x:f>
      </x:c>
      <x:c r="O182" s="7" t="str">
        <x:f>IF(OR($D182="",O$5="",'상세일정'!AM182="제외"),"",IF($D182=$E182,IF(AND($D182&gt;=O$5,$D182&lt;O$5+7),"◆",""),IF(AND($D182&lt;O$5+7,$E182&gt;O$5),"■","")))</x:f>
      </x:c>
      <x:c r="P182" s="7" t="str">
        <x:f>IF(OR($D182="",P$5="",'상세일정'!AM182="제외"),"",IF($D182=$E182,IF(AND($D182&gt;=P$5,$D182&lt;P$5+7),"◆",""),IF(AND($D182&lt;P$5+7,$E182&gt;P$5),"■","")))</x:f>
      </x:c>
      <x:c r="Q182" s="7" t="str">
        <x:f>IF(OR($D182="",Q$5="",'상세일정'!AM182="제외"),"",IF($D182=$E182,IF(AND($D182&gt;=Q$5,$D182&lt;Q$5+7),"◆",""),IF(AND($D182&lt;Q$5+7,$E182&gt;Q$5),"■","")))</x:f>
      </x:c>
      <x:c r="R182" s="7" t="str">
        <x:f>IF(OR($D182="",R$5="",'상세일정'!AM182="제외"),"",IF($D182=$E182,IF(AND($D182&gt;=R$5,$D182&lt;R$5+7),"◆",""),IF(AND($D182&lt;R$5+7,$E182&gt;R$5),"■","")))</x:f>
      </x:c>
      <x:c r="S182" s="7" t="str">
        <x:f>IF(OR($D182="",S$5="",'상세일정'!AM182="제외"),"",IF($D182=$E182,IF(AND($D182&gt;=S$5,$D182&lt;S$5+7),"◆",""),IF(AND($D182&lt;S$5+7,$E182&gt;S$5),"■","")))</x:f>
      </x:c>
      <x:c r="T182" s="7" t="str">
        <x:f>IF(OR($D182="",T$5="",'상세일정'!AM182="제외"),"",IF($D182=$E182,IF(AND($D182&gt;=T$5,$D182&lt;T$5+7),"◆",""),IF(AND($D182&lt;T$5+7,$E182&gt;T$5),"■","")))</x:f>
      </x:c>
      <x:c r="U182" s="7" t="str">
        <x:f>IF(OR($D182="",U$5="",'상세일정'!AM182="제외"),"",IF($D182=$E182,IF(AND($D182&gt;=U$5,$D182&lt;U$5+7),"◆",""),IF(AND($D182&lt;U$5+7,$E182&gt;U$5),"■","")))</x:f>
      </x:c>
      <x:c r="V182" s="7" t="str">
        <x:f>IF(OR($D182="",V$5="",'상세일정'!AM182="제외"),"",IF($D182=$E182,IF(AND($D182&gt;=V$5,$D182&lt;V$5+7),"◆",""),IF(AND($D182&lt;V$5+7,$E182&gt;V$5),"■","")))</x:f>
      </x:c>
      <x:c r="W182" s="7" t="str">
        <x:f>IF(OR($D182="",W$5="",'상세일정'!AM182="제외"),"",IF($D182=$E182,IF(AND($D182&gt;=W$5,$D182&lt;W$5+7),"◆",""),IF(AND($D182&lt;W$5+7,$E182&gt;W$5),"■","")))</x:f>
      </x:c>
      <x:c r="X182" s="7" t="str">
        <x:f>IF(OR($D182="",X$5="",'상세일정'!AM182="제외"),"",IF($D182=$E182,IF(AND($D182&gt;=X$5,$D182&lt;X$5+7),"◆",""),IF(AND($D182&lt;X$5+7,$E182&gt;X$5),"■","")))</x:f>
      </x:c>
      <x:c r="Y182" s="7" t="str">
        <x:f>IF(OR($D182="",Y$5="",'상세일정'!AM182="제외"),"",IF($D182=$E182,IF(AND($D182&gt;=Y$5,$D182&lt;Y$5+7),"◆",""),IF(AND($D182&lt;Y$5+7,$E182&gt;Y$5),"■","")))</x:f>
      </x:c>
      <x:c r="Z182" s="7" t="str">
        <x:f>IF(OR($D182="",Z$5="",'상세일정'!AM182="제외"),"",IF($D182=$E182,IF(AND($D182&gt;=Z$5,$D182&lt;Z$5+7),"◆",""),IF(AND($D182&lt;Z$5+7,$E182&gt;Z$5),"■","")))</x:f>
      </x:c>
      <x:c r="AA182" s="7" t="str">
        <x:f>IF(OR($D182="",AA$5="",'상세일정'!AM182="제외"),"",IF($D182=$E182,IF(AND($D182&gt;=AA$5,$D182&lt;AA$5+7),"◆",""),IF(AND($D182&lt;AA$5+7,$E182&gt;AA$5),"■","")))</x:f>
      </x:c>
      <x:c r="AB182" s="7" t="str">
        <x:f>IF(OR($D182="",AB$5="",'상세일정'!AM182="제외"),"",IF($D182=$E182,IF(AND($D182&gt;=AB$5,$D182&lt;AB$5+7),"◆",""),IF(AND($D182&lt;AB$5+7,$E182&gt;AB$5),"■","")))</x:f>
      </x:c>
      <x:c r="AC182" s="7" t="str">
        <x:f>IF(OR($D182="",AC$5="",'상세일정'!AM182="제외"),"",IF($D182=$E182,IF(AND($D182&gt;=AC$5,$D182&lt;AC$5+7),"◆",""),IF(AND($D182&lt;AC$5+7,$E182&gt;AC$5),"■","")))</x:f>
      </x:c>
      <x:c r="AD182" s="7" t="str">
        <x:f>IF(OR($D182="",AD$5="",'상세일정'!AM182="제외"),"",IF($D182=$E182,IF(AND($D182&gt;=AD$5,$D182&lt;AD$5+7),"◆",""),IF(AND($D182&lt;AD$5+7,$E182&gt;AD$5),"■","")))</x:f>
      </x:c>
      <x:c r="AE182" s="7" t="str">
        <x:f>IF(OR($D182="",AE$5="",'상세일정'!AM182="제외"),"",IF($D182=$E182,IF(AND($D182&gt;=AE$5,$D182&lt;AE$5+7),"◆",""),IF(AND($D182&lt;AE$5+7,$E182&gt;AE$5),"■","")))</x:f>
      </x:c>
      <x:c r="AF182" s="7" t="str">
        <x:f>IF(OR($D182="",AF$5="",'상세일정'!AM182="제외"),"",IF($D182=$E182,IF(AND($D182&gt;=AF$5,$D182&lt;AF$5+7),"◆",""),IF(AND($D182&lt;AF$5+7,$E182&gt;AF$5),"■","")))</x:f>
      </x:c>
      <x:c r="AG182" s="7" t="str">
        <x:f>IF(OR($D182="",AG$5="",'상세일정'!AM182="제외"),"",IF($D182=$E182,IF(AND($D182&gt;=AG$5,$D182&lt;AG$5+7),"◆",""),IF(AND($D182&lt;AG$5+7,$E182&gt;AG$5),"■","")))</x:f>
      </x:c>
      <x:c r="AH182" s="7" t="str">
        <x:f>IF(OR($D182="",AH$5="",'상세일정'!AM182="제외"),"",IF($D182=$E182,IF(AND($D182&gt;=AH$5,$D182&lt;AH$5+7),"◆",""),IF(AND($D182&lt;AH$5+7,$E182&gt;AH$5),"■","")))</x:f>
      </x:c>
      <x:c r="AI182" s="7" t="str">
        <x:f>IF(OR($D182="",AI$5="",'상세일정'!AM182="제외"),"",IF($D182=$E182,IF(AND($D182&gt;=AI$5,$D182&lt;AI$5+7),"◆",""),IF(AND($D182&lt;AI$5+7,$E182&gt;AI$5),"■","")))</x:f>
      </x:c>
      <x:c r="AJ182" s="7" t="str">
        <x:f>IF(OR($D182="",AJ$5="",'상세일정'!AM182="제외"),"",IF($D182=$E182,IF(AND($D182&gt;=AJ$5,$D182&lt;AJ$5+7),"◆",""),IF(AND($D182&lt;AJ$5+7,$E182&gt;AJ$5),"■","")))</x:f>
      </x:c>
      <x:c r="AK182" s="7" t="str">
        <x:f>IF(OR($D182="",AK$5="",'상세일정'!AM182="제외"),"",IF($D182=$E182,IF(AND($D182&gt;=AK$5,$D182&lt;AK$5+7),"◆",""),IF(AND($D182&lt;AK$5+7,$E182&gt;AK$5),"■","")))</x:f>
      </x:c>
      <x:c r="AL182" s="7" t="str">
        <x:f>IF(OR($D182="",AL$5="",'상세일정'!AM182="제외"),"",IF($D182=$E182,IF(AND($D182&gt;=AL$5,$D182&lt;AL$5+7),"◆",""),IF(AND($D182&lt;AL$5+7,$E182&gt;AL$5),"■","")))</x:f>
      </x:c>
      <x:c r="AM182" s="7" t="str">
        <x:f>IF(OR($D182="",AM$5="",'상세일정'!AM182="제외"),"",IF($D182=$E182,IF(AND($D182&gt;=AM$5,$D182&lt;AM$5+7),"◆",""),IF(AND($D182&lt;AM$5+7,$E182&gt;AM$5),"■","")))</x:f>
      </x:c>
      <x:c r="AN182" s="7" t="str">
        <x:f>IF(OR($D182="",AN$5="",'상세일정'!AM182="제외"),"",IF($D182=$E182,IF(AND($D182&gt;=AN$5,$D182&lt;AN$5+7),"◆",""),IF(AND($D182&lt;AN$5+7,$E182&gt;AN$5),"■","")))</x:f>
      </x:c>
      <x:c r="AO182" s="7" t="str">
        <x:f>IF(OR($D182="",AO$5="",'상세일정'!AM182="제외"),"",IF($D182=$E182,IF(AND($D182&gt;=AO$5,$D182&lt;AO$5+7),"◆",""),IF(AND($D182&lt;AO$5+7,$E182&gt;AO$5),"■","")))</x:f>
      </x:c>
      <x:c r="AP182" s="7" t="str">
        <x:f>IF(OR($D182="",AP$5="",'상세일정'!AM182="제외"),"",IF($D182=$E182,IF(AND($D182&gt;=AP$5,$D182&lt;AP$5+7),"◆",""),IF(AND($D182&lt;AP$5+7,$E182&gt;AP$5),"■","")))</x:f>
      </x:c>
      <x:c r="AQ182" s="7" t="str">
        <x:f>IF(OR($D182="",AQ$5="",'상세일정'!AM182="제외"),"",IF($D182=$E182,IF(AND($D182&gt;=AQ$5,$D182&lt;AQ$5+7),"◆",""),IF(AND($D182&lt;AQ$5+7,$E182&gt;AQ$5),"■","")))</x:f>
      </x:c>
      <x:c r="AR182" s="7" t="str">
        <x:f>IF(OR($D182="",AR$5="",'상세일정'!AM182="제외"),"",IF($D182=$E182,IF(AND($D182&gt;=AR$5,$D182&lt;AR$5+7),"◆",""),IF(AND($D182&lt;AR$5+7,$E182&gt;AR$5),"■","")))</x:f>
      </x:c>
      <x:c r="AS182" s="7" t="str">
        <x:f>IF(OR($D182="",AS$5="",'상세일정'!AM182="제외"),"",IF($D182=$E182,IF(AND($D182&gt;=AS$5,$D182&lt;AS$5+7),"◆",""),IF(AND($D182&lt;AS$5+7,$E182&gt;AS$5),"■","")))</x:f>
      </x:c>
      <x:c r="AT182" s="7" t="str">
        <x:f>IF(OR($D182="",AT$5="",'상세일정'!AM182="제외"),"",IF($D182=$E182,IF(AND($D182&gt;=AT$5,$D182&lt;AT$5+7),"◆",""),IF(AND($D182&lt;AT$5+7,$E182&gt;AT$5),"■","")))</x:f>
      </x:c>
      <x:c r="AU182" s="7" t="str">
        <x:f>IF(OR($D182="",AU$5="",'상세일정'!AM182="제외"),"",IF($D182=$E182,IF(AND($D182&gt;=AU$5,$D182&lt;AU$5+7),"◆",""),IF(AND($D182&lt;AU$5+7,$E182&gt;AU$5),"■","")))</x:f>
      </x:c>
      <x:c r="AV182" s="7" t="str">
        <x:f>IF(OR($D182="",AV$5="",'상세일정'!AM182="제외"),"",IF($D182=$E182,IF(AND($D182&gt;=AV$5,$D182&lt;AV$5+7),"◆",""),IF(AND($D182&lt;AV$5+7,$E182&gt;AV$5),"■","")))</x:f>
      </x:c>
      <x:c r="AW182" s="7" t="str">
        <x:f>IF(OR($D182="",AW$5="",'상세일정'!AM182="제외"),"",IF($D182=$E182,IF(AND($D182&gt;=AW$5,$D182&lt;AW$5+7),"◆",""),IF(AND($D182&lt;AW$5+7,$E182&gt;AW$5),"■","")))</x:f>
      </x:c>
      <x:c r="AX182" s="7" t="str">
        <x:f>IF(OR($D182="",AX$5="",'상세일정'!AM182="제외"),"",IF($D182=$E182,IF(AND($D182&gt;=AX$5,$D182&lt;AX$5+7),"◆",""),IF(AND($D182&lt;AX$5+7,$E182&gt;AX$5),"■","")))</x:f>
      </x:c>
      <x:c r="AY182" s="7" t="str">
        <x:f>IF(OR($D182="",AY$5="",'상세일정'!AM182="제외"),"",IF($D182=$E182,IF(AND($D182&gt;=AY$5,$D182&lt;AY$5+7),"◆",""),IF(AND($D182&lt;AY$5+7,$E182&gt;AY$5),"■","")))</x:f>
      </x:c>
      <x:c r="AZ182" s="7" t="str">
        <x:f>IF(OR($D182="",AZ$5="",'상세일정'!AM182="제외"),"",IF($D182=$E182,IF(AND($D182&gt;=AZ$5,$D182&lt;AZ$5+7),"◆",""),IF(AND($D182&lt;AZ$5+7,$E182&gt;AZ$5),"■","")))</x:f>
      </x:c>
      <x:c r="BA182" s="7" t="str">
        <x:f>IF(OR($D182="",BA$5="",'상세일정'!AM182="제외"),"",IF($D182=$E182,IF(AND($D182&gt;=BA$5,$D182&lt;BA$5+7),"◆",""),IF(AND($D182&lt;BA$5+7,$E182&gt;BA$5),"■","")))</x:f>
      </x:c>
      <x:c r="BB182" s="7" t="str">
        <x:f>IF(OR($D182="",BB$5="",'상세일정'!AM182="제외"),"",IF($D182=$E182,IF(AND($D182&gt;=BB$5,$D182&lt;BB$5+7),"◆",""),IF(AND($D182&lt;BB$5+7,$E182&gt;BB$5),"■","")))</x:f>
      </x:c>
      <x:c r="BC182" s="7" t="str">
        <x:f>IF(OR($D182="",BC$5="",'상세일정'!AM182="제외"),"",IF($D182=$E182,IF(AND($D182&gt;=BC$5,$D182&lt;BC$5+7),"◆",""),IF(AND($D182&lt;BC$5+7,$E182&gt;BC$5),"■","")))</x:f>
      </x:c>
      <x:c r="BD182" s="7" t="str">
        <x:f>IF(OR($D182="",BD$5="",'상세일정'!AM182="제외"),"",IF($D182=$E182,IF(AND($D182&gt;=BD$5,$D182&lt;BD$5+7),"◆",""),IF(AND($D182&lt;BD$5+7,$E182&gt;BD$5),"■","")))</x:f>
      </x:c>
      <x:c r="BE182" s="7" t="str">
        <x:f>IF(OR($D182="",BE$5="",'상세일정'!AM182="제외"),"",IF($D182=$E182,IF(AND($D182&gt;=BE$5,$D182&lt;BE$5+7),"◆",""),IF(AND($D182&lt;BE$5+7,$E182&gt;BE$5),"■","")))</x:f>
      </x:c>
      <x:c r="BF182" s="7" t="str">
        <x:f>IF(OR($D182="",BF$5="",'상세일정'!AM182="제외"),"",IF($D182=$E182,IF(AND($D182&gt;=BF$5,$D182&lt;BF$5+7),"◆",""),IF(AND($D182&lt;BF$5+7,$E182&gt;BF$5),"■","")))</x:f>
      </x:c>
      <x:c r="BG182" s="7" t="str">
        <x:f>IF(OR($D182="",BG$5="",'상세일정'!AM182="제외"),"",IF($D182=$E182,IF(AND($D182&gt;=BG$5,$D182&lt;BG$5+7),"◆",""),IF(AND($D182&lt;BG$5+7,$E182&gt;BG$5),"■","")))</x:f>
      </x:c>
      <x:c r="BH182" s="7" t="str">
        <x:f>IF(OR($D182="",BH$5="",'상세일정'!AM182="제외"),"",IF($D182=$E182,IF(AND($D182&gt;=BH$5,$D182&lt;BH$5+7),"◆",""),IF(AND($D182&lt;BH$5+7,$E182&gt;BH$5),"■","")))</x:f>
      </x:c>
      <x:c r="BI182" s="7" t="str">
        <x:f>IF(OR($D182="",BI$5="",'상세일정'!AM182="제외"),"",IF($D182=$E182,IF(AND($D182&gt;=BI$5,$D182&lt;BI$5+7),"◆",""),IF(AND($D182&lt;BI$5+7,$E182&gt;BI$5),"■","")))</x:f>
      </x:c>
      <x:c r="BJ182" s="7" t="str">
        <x:f>IF(OR($D182="",BJ$5="",'상세일정'!AM182="제외"),"",IF($D182=$E182,IF(AND($D182&gt;=BJ$5,$D182&lt;BJ$5+7),"◆",""),IF(AND($D182&lt;BJ$5+7,$E182&gt;BJ$5),"■","")))</x:f>
      </x:c>
      <x:c r="BK182" s="7" t="str">
        <x:f>IF(OR($D182="",BK$5="",'상세일정'!AM182="제외"),"",IF($D182=$E182,IF(AND($D182&gt;=BK$5,$D182&lt;BK$5+7),"◆",""),IF(AND($D182&lt;BK$5+7,$E182&gt;BK$5),"■","")))</x:f>
      </x:c>
      <x:c r="BL182" s="7" t="str">
        <x:f>IF(OR($D182="",BL$5="",'상세일정'!AM182="제외"),"",IF($D182=$E182,IF(AND($D182&gt;=BL$5,$D182&lt;BL$5+7),"◆",""),IF(AND($D182&lt;BL$5+7,$E182&gt;BL$5),"■","")))</x:f>
      </x:c>
      <x:c r="BM182" s="7" t="str">
        <x:f>IF(OR($D182="",BM$5="",'상세일정'!AM182="제외"),"",IF($D182=$E182,IF(AND($D182&gt;=BM$5,$D182&lt;BM$5+7),"◆",""),IF(AND($D182&lt;BM$5+7,$E182&gt;BM$5),"■","")))</x:f>
      </x:c>
      <x:c r="BN182" s="7" t="str">
        <x:f>IF(OR($D182="",BN$5="",'상세일정'!AM182="제외"),"",IF($D182=$E182,IF(AND($D182&gt;=BN$5,$D182&lt;BN$5+7),"◆",""),IF(AND($D182&lt;BN$5+7,$E182&gt;BN$5),"■","")))</x:f>
      </x:c>
      <x:c r="BO182" s="7" t="str">
        <x:f>IF(OR($D182="",BO$5="",'상세일정'!AM182="제외"),"",IF($D182=$E182,IF(AND($D182&gt;=BO$5,$D182&lt;BO$5+7),"◆",""),IF(AND($D182&lt;BO$5+7,$E182&gt;BO$5),"■","")))</x:f>
      </x:c>
      <x:c r="BP182" s="7" t="str">
        <x:f>IF(OR($D182="",BP$5="",'상세일정'!AM182="제외"),"",IF($D182=$E182,IF(AND($D182&gt;=BP$5,$D182&lt;BP$5+7),"◆",""),IF(AND($D182&lt;BP$5+7,$E182&gt;BP$5),"■","")))</x:f>
      </x:c>
      <x:c r="BQ182" s="7" t="str">
        <x:f>IF(OR($D182="",BQ$5="",'상세일정'!AM182="제외"),"",IF($D182=$E182,IF(AND($D182&gt;=BQ$5,$D182&lt;BQ$5+7),"◆",""),IF(AND($D182&lt;BQ$5+7,$E182&gt;BQ$5),"■","")))</x:f>
      </x:c>
      <x:c r="BR182" s="7" t="str">
        <x:f>IF(OR($D182="",BR$5="",'상세일정'!AM182="제외"),"",IF($D182=$E182,IF(AND($D182&gt;=BR$5,$D182&lt;BR$5+7),"◆",""),IF(AND($D182&lt;BR$5+7,$E182&gt;BR$5),"■","")))</x:f>
      </x:c>
      <x:c r="BS182" s="7" t="str">
        <x:f>IF(OR($D182="",BS$5="",'상세일정'!AM182="제외"),"",IF($D182=$E182,IF(AND($D182&gt;=BS$5,$D182&lt;BS$5+7),"◆",""),IF(AND($D182&lt;BS$5+7,$E182&gt;BS$5),"■","")))</x:f>
      </x:c>
      <x:c r="BT182" s="7" t="str">
        <x:f>IF(OR($D182="",BT$5="",'상세일정'!AM182="제외"),"",IF($D182=$E182,IF(AND($D182&gt;=BT$5,$D182&lt;BT$5+7),"◆",""),IF(AND($D182&lt;BT$5+7,$E182&gt;BT$5),"■","")))</x:f>
      </x:c>
      <x:c r="BU182" s="7" t="str">
        <x:f>IF(OR($D182="",BU$5="",'상세일정'!AM182="제외"),"",IF($D182=$E182,IF(AND($D182&gt;=BU$5,$D182&lt;BU$5+7),"◆",""),IF(AND($D182&lt;BU$5+7,$E182&gt;BU$5),"■","")))</x:f>
      </x:c>
      <x:c r="BV182" s="7" t="str">
        <x:f>IF(OR($D182="",BV$5="",'상세일정'!AM182="제외"),"",IF($D182=$E182,IF(AND($D182&gt;=BV$5,$D182&lt;BV$5+7),"◆",""),IF(AND($D182&lt;BV$5+7,$E182&gt;BV$5),"■","")))</x:f>
      </x:c>
      <x:c r="BW182" s="7" t="str">
        <x:f>IF(OR($D182="",BW$5="",'상세일정'!AM182="제외"),"",IF($D182=$E182,IF(AND($D182&gt;=BW$5,$D182&lt;BW$5+7),"◆",""),IF(AND($D182&lt;BW$5+7,$E182&gt;BW$5),"■","")))</x:f>
      </x:c>
      <x:c r="BX182" s="7" t="str">
        <x:f>IF(OR($D182="",BX$5="",'상세일정'!AM182="제외"),"",IF($D182=$E182,IF(AND($D182&gt;=BX$5,$D182&lt;BX$5+7),"◆",""),IF(AND($D182&lt;BX$5+7,$E182&gt;BX$5),"■","")))</x:f>
      </x:c>
      <x:c r="BY182" s="7" t="str">
        <x:f>IF(OR($D182="",BY$5="",'상세일정'!AM182="제외"),"",IF($D182=$E182,IF(AND($D182&gt;=BY$5,$D182&lt;BY$5+7),"◆",""),IF(AND($D182&lt;BY$5+7,$E182&gt;BY$5),"■","")))</x:f>
      </x:c>
      <x:c r="BZ182" s="7" t="str">
        <x:f>IF(OR($D182="",BZ$5="",'상세일정'!AM182="제외"),"",IF($D182=$E182,IF(AND($D182&gt;=BZ$5,$D182&lt;BZ$5+7),"◆",""),IF(AND($D182&lt;BZ$5+7,$E182&gt;BZ$5),"■","")))</x:f>
      </x:c>
      <x:c r="CA182" s="7" t="str">
        <x:f>IF(OR($D182="",CA$5="",'상세일정'!AM182="제외"),"",IF($D182=$E182,IF(AND($D182&gt;=CA$5,$D182&lt;CA$5+7),"◆",""),IF(AND($D182&lt;CA$5+7,$E182&gt;CA$5),"■","")))</x:f>
      </x:c>
      <x:c r="CB182" s="7" t="str">
        <x:f>IF(OR($D182="",CB$5="",'상세일정'!AM182="제외"),"",IF($D182=$E182,IF(AND($D182&gt;=CB$5,$D182&lt;CB$5+7),"◆",""),IF(AND($D182&lt;CB$5+7,$E182&gt;CB$5),"■","")))</x:f>
      </x:c>
      <x:c r="CC182" s="7" t="str">
        <x:f>IF(OR($D182="",CC$5="",'상세일정'!AM182="제외"),"",IF($D182=$E182,IF(AND($D182&gt;=CC$5,$D182&lt;CC$5+7),"◆",""),IF(AND($D182&lt;CC$5+7,$E182&gt;CC$5),"■","")))</x:f>
      </x:c>
      <x:c r="CD182" s="7" t="str">
        <x:f>IF(OR($D182="",CD$5="",'상세일정'!AM182="제외"),"",IF($D182=$E182,IF(AND($D182&gt;=CD$5,$D182&lt;CD$5+7),"◆",""),IF(AND($D182&lt;CD$5+7,$E182&gt;CD$5),"■","")))</x:f>
      </x:c>
      <x:c r="CE182" s="7" t="str">
        <x:f>IF(OR($D182="",CE$5="",'상세일정'!AM182="제외"),"",IF($D182=$E182,IF(AND($D182&gt;=CE$5,$D182&lt;CE$5+7),"◆",""),IF(AND($D182&lt;CE$5+7,$E182&gt;CE$5),"■","")))</x:f>
      </x:c>
      <x:c r="CF182" s="7" t="str">
        <x:f>IF(OR($D182="",CF$5="",'상세일정'!AM182="제외"),"",IF($D182=$E182,IF(AND($D182&gt;=CF$5,$D182&lt;CF$5+7),"◆",""),IF(AND($D182&lt;CF$5+7,$E182&gt;CF$5),"■","")))</x:f>
      </x:c>
      <x:c r="CG182" s="7" t="str">
        <x:f>IF(OR($D182="",CG$5="",'상세일정'!AM182="제외"),"",IF($D182=$E182,IF(AND($D182&gt;=CG$5,$D182&lt;CG$5+7),"◆",""),IF(AND($D182&lt;CG$5+7,$E182&gt;CG$5),"■","")))</x:f>
      </x:c>
      <x:c r="CH182" s="7" t="str">
        <x:f>IF(OR($D182="",CH$5="",'상세일정'!AM182="제외"),"",IF($D182=$E182,IF(AND($D182&gt;=CH$5,$D182&lt;CH$5+7),"◆",""),IF(AND($D182&lt;CH$5+7,$E182&gt;CH$5),"■","")))</x:f>
      </x:c>
      <x:c r="CI182" s="7" t="str">
        <x:f>IF(OR($D182="",CI$5="",'상세일정'!AM182="제외"),"",IF($D182=$E182,IF(AND($D182&gt;=CI$5,$D182&lt;CI$5+7),"◆",""),IF(AND($D182&lt;CI$5+7,$E182&gt;CI$5),"■","")))</x:f>
      </x:c>
      <x:c r="CJ182" s="7" t="str">
        <x:f>IF(OR($D182="",CJ$5="",'상세일정'!AM182="제외"),"",IF($D182=$E182,IF(AND($D182&gt;=CJ$5,$D182&lt;CJ$5+7),"◆",""),IF(AND($D182&lt;CJ$5+7,$E182&gt;CJ$5),"■","")))</x:f>
      </x:c>
      <x:c r="CK182" s="7" t="str">
        <x:f>IF(OR($D182="",CK$5="",'상세일정'!AM182="제외"),"",IF($D182=$E182,IF(AND($D182&gt;=CK$5,$D182&lt;CK$5+7),"◆",""),IF(AND($D182&lt;CK$5+7,$E182&gt;CK$5),"■","")))</x:f>
      </x:c>
      <x:c r="CL182" s="7" t="str">
        <x:f>IF(OR($D182="",CL$5="",'상세일정'!AM182="제외"),"",IF($D182=$E182,IF(AND($D182&gt;=CL$5,$D182&lt;CL$5+7),"◆",""),IF(AND($D182&lt;CL$5+7,$E182&gt;CL$5),"■","")))</x:f>
      </x:c>
      <x:c r="CM182" s="7" t="str">
        <x:f>IF(OR($D182="",CM$5="",'상세일정'!AM182="제외"),"",IF($D182=$E182,IF(AND($D182&gt;=CM$5,$D182&lt;CM$5+7),"◆",""),IF(AND($D182&lt;CM$5+7,$E182&gt;CM$5),"■","")))</x:f>
      </x:c>
      <x:c r="CN182" s="7" t="str">
        <x:f>IF(OR($D182="",CN$5="",'상세일정'!AM182="제외"),"",IF($D182=$E182,IF(AND($D182&gt;=CN$5,$D182&lt;CN$5+7),"◆",""),IF(AND($D182&lt;CN$5+7,$E182&gt;CN$5),"■","")))</x:f>
      </x:c>
      <x:c r="CO182" s="7" t="str">
        <x:f>IF(OR($D182="",CO$5="",'상세일정'!AM182="제외"),"",IF($D182=$E182,IF(AND($D182&gt;=CO$5,$D182&lt;CO$5+7),"◆",""),IF(AND($D182&lt;CO$5+7,$E182&gt;CO$5),"■","")))</x:f>
      </x:c>
      <x:c r="CP182" s="7" t="str">
        <x:f>IF(OR($D182="",CP$5="",'상세일정'!AM182="제외"),"",IF($D182=$E182,IF(AND($D182&gt;=CP$5,$D182&lt;CP$5+7),"◆",""),IF(AND($D182&lt;CP$5+7,$E182&gt;CP$5),"■","")))</x:f>
      </x:c>
      <x:c r="CQ182" s="7" t="str">
        <x:f>IF(OR($D182="",CQ$5="",'상세일정'!AM182="제외"),"",IF($D182=$E182,IF(AND($D182&gt;=CQ$5,$D182&lt;CQ$5+7),"◆",""),IF(AND($D182&lt;CQ$5+7,$E182&gt;CQ$5),"■","")))</x:f>
      </x:c>
      <x:c r="CR182" s="7" t="str">
        <x:f>IF(OR($D182="",CR$5="",'상세일정'!AM182="제외"),"",IF($D182=$E182,IF(AND($D182&gt;=CR$5,$D182&lt;CR$5+7),"◆",""),IF(AND($D182&lt;CR$5+7,$E182&gt;CR$5),"■","")))</x:f>
      </x:c>
      <x:c r="CS182" s="7" t="str">
        <x:f>IF(OR($D182="",CS$5="",'상세일정'!AM182="제외"),"",IF($D182=$E182,IF(AND($D182&gt;=CS$5,$D182&lt;CS$5+7),"◆",""),IF(AND($D182&lt;CS$5+7,$E182&gt;CS$5),"■","")))</x:f>
      </x:c>
      <x:c r="CT182" s="7" t="str">
        <x:f>IF(OR($D182="",CT$5="",'상세일정'!AM182="제외"),"",IF($D182=$E182,IF(AND($D182&gt;=CT$5,$D182&lt;CT$5+7),"◆",""),IF(AND($D182&lt;CT$5+7,$E182&gt;CT$5),"■","")))</x:f>
      </x:c>
      <x:c r="CU182" s="7" t="str">
        <x:f>IF(OR($D182="",CU$5="",'상세일정'!AM182="제외"),"",IF($D182=$E182,IF(AND($D182&gt;=CU$5,$D182&lt;CU$5+7),"◆",""),IF(AND($D182&lt;CU$5+7,$E182&gt;CU$5),"■","")))</x:f>
      </x:c>
      <x:c r="CV182" s="7" t="str">
        <x:f>IF(OR($D182="",CV$5="",'상세일정'!AM182="제외"),"",IF($D182=$E182,IF(AND($D182&gt;=CV$5,$D182&lt;CV$5+7),"◆",""),IF(AND($D182&lt;CV$5+7,$E182&gt;CV$5),"■","")))</x:f>
      </x:c>
      <x:c r="CW182" s="7" t="str">
        <x:f>IF(OR($D182="",CW$5="",'상세일정'!AM182="제외"),"",IF($D182=$E182,IF(AND($D182&gt;=CW$5,$D182&lt;CW$5+7),"◆",""),IF(AND($D182&lt;CW$5+7,$E182&gt;CW$5),"■","")))</x:f>
      </x:c>
      <x:c r="CX182" s="7" t="str">
        <x:f>IF(OR($D182="",CX$5="",'상세일정'!AM182="제외"),"",IF($D182=$E182,IF(AND($D182&gt;=CX$5,$D182&lt;CX$5+7),"◆",""),IF(AND($D182&lt;CX$5+7,$E182&gt;CX$5),"■","")))</x:f>
      </x:c>
      <x:c r="CY182" s="7" t="str">
        <x:f>IF(OR($D182="",CY$5="",'상세일정'!AM182="제외"),"",IF($D182=$E182,IF(AND($D182&gt;=CY$5,$D182&lt;CY$5+7),"◆",""),IF(AND($D182&lt;CY$5+7,$E182&gt;CY$5),"■","")))</x:f>
      </x:c>
      <x:c r="CZ182" s="7" t="str">
        <x:f>IF(OR($D182="",CZ$5="",'상세일정'!AM182="제외"),"",IF($D182=$E182,IF(AND($D182&gt;=CZ$5,$D182&lt;CZ$5+7),"◆",""),IF(AND($D182&lt;CZ$5+7,$E182&gt;CZ$5),"■","")))</x:f>
      </x:c>
      <x:c r="DA182" s="7" t="str">
        <x:f>IF(OR($D182="",DA$5="",'상세일정'!AM182="제외"),"",IF($D182=$E182,IF(AND($D182&gt;=DA$5,$D182&lt;DA$5+7),"◆",""),IF(AND($D182&lt;DA$5+7,$E182&gt;DA$5),"■","")))</x:f>
      </x:c>
      <x:c r="DB182" s="7" t="str">
        <x:f>IF(OR($D182="",DB$5="",'상세일정'!AM182="제외"),"",IF($D182=$E182,IF(AND($D182&gt;=DB$5,$D182&lt;DB$5+7),"◆",""),IF(AND($D182&lt;DB$5+7,$E182&gt;DB$5),"■","")))</x:f>
      </x:c>
      <x:c r="DC182" s="7" t="str">
        <x:f>IF(OR($D182="",DC$5="",'상세일정'!AM182="제외"),"",IF($D182=$E182,IF(AND($D182&gt;=DC$5,$D182&lt;DC$5+7),"◆",""),IF(AND($D182&lt;DC$5+7,$E182&gt;DC$5),"■","")))</x:f>
      </x:c>
      <x:c r="DD182" s="7" t="str">
        <x:f>IF(OR($D182="",DD$5="",'상세일정'!AM182="제외"),"",IF($D182=$E182,IF(AND($D182&gt;=DD$5,$D182&lt;DD$5+7),"◆",""),IF(AND($D182&lt;DD$5+7,$E182&gt;DD$5),"■","")))</x:f>
      </x:c>
      <x:c r="DE182" s="7" t="str">
        <x:f>IF(OR($D182="",DE$5="",'상세일정'!AM182="제외"),"",IF($D182=$E182,IF(AND($D182&gt;=DE$5,$D182&lt;DE$5+7),"◆",""),IF(AND($D182&lt;DE$5+7,$E182&gt;DE$5),"■","")))</x:f>
      </x:c>
    </x:row>
    <x:row r="183" ht="34" customHeight="1">
      <x:c r="A183" s="7" t="str">
        <x:v>INBG02</x:v>
      </x:c>
      <x:c r="B183" s="7" t="str">
        <x:v>21 설비 설치</x:v>
      </x:c>
      <x:c r="C183" s="7" t="str">
        <x:v>전처리 패키지 B 설치검수·현장 SAT 준비</x:v>
      </x:c>
      <x:c r="D183" s="10" t="str">
        <x:f>'상세일정'!AJ183</x:f>
      </x:c>
      <x:c r="E183" s="10" t="str">
        <x:f>'상세일정'!AK183</x:f>
      </x:c>
      <x:c r="F183" s="7" t="str">
        <x:f>IF(OR($D183="",F$5="",'상세일정'!AM183="제외"),"",IF($D183=$E183,IF(AND($D183&gt;=F$5,$D183&lt;F$5+7),"◆",""),IF(AND($D183&lt;F$5+7,$E183&gt;F$5),"■","")))</x:f>
      </x:c>
      <x:c r="G183" s="7" t="str">
        <x:f>IF(OR($D183="",G$5="",'상세일정'!AM183="제외"),"",IF($D183=$E183,IF(AND($D183&gt;=G$5,$D183&lt;G$5+7),"◆",""),IF(AND($D183&lt;G$5+7,$E183&gt;G$5),"■","")))</x:f>
      </x:c>
      <x:c r="H183" s="7" t="str">
        <x:f>IF(OR($D183="",H$5="",'상세일정'!AM183="제외"),"",IF($D183=$E183,IF(AND($D183&gt;=H$5,$D183&lt;H$5+7),"◆",""),IF(AND($D183&lt;H$5+7,$E183&gt;H$5),"■","")))</x:f>
      </x:c>
      <x:c r="I183" s="7" t="str">
        <x:f>IF(OR($D183="",I$5="",'상세일정'!AM183="제외"),"",IF($D183=$E183,IF(AND($D183&gt;=I$5,$D183&lt;I$5+7),"◆",""),IF(AND($D183&lt;I$5+7,$E183&gt;I$5),"■","")))</x:f>
      </x:c>
      <x:c r="J183" s="7" t="str">
        <x:f>IF(OR($D183="",J$5="",'상세일정'!AM183="제외"),"",IF($D183=$E183,IF(AND($D183&gt;=J$5,$D183&lt;J$5+7),"◆",""),IF(AND($D183&lt;J$5+7,$E183&gt;J$5),"■","")))</x:f>
      </x:c>
      <x:c r="K183" s="7" t="str">
        <x:f>IF(OR($D183="",K$5="",'상세일정'!AM183="제외"),"",IF($D183=$E183,IF(AND($D183&gt;=K$5,$D183&lt;K$5+7),"◆",""),IF(AND($D183&lt;K$5+7,$E183&gt;K$5),"■","")))</x:f>
      </x:c>
      <x:c r="L183" s="7" t="str">
        <x:f>IF(OR($D183="",L$5="",'상세일정'!AM183="제외"),"",IF($D183=$E183,IF(AND($D183&gt;=L$5,$D183&lt;L$5+7),"◆",""),IF(AND($D183&lt;L$5+7,$E183&gt;L$5),"■","")))</x:f>
      </x:c>
      <x:c r="M183" s="7" t="str">
        <x:f>IF(OR($D183="",M$5="",'상세일정'!AM183="제외"),"",IF($D183=$E183,IF(AND($D183&gt;=M$5,$D183&lt;M$5+7),"◆",""),IF(AND($D183&lt;M$5+7,$E183&gt;M$5),"■","")))</x:f>
      </x:c>
      <x:c r="N183" s="7" t="str">
        <x:f>IF(OR($D183="",N$5="",'상세일정'!AM183="제외"),"",IF($D183=$E183,IF(AND($D183&gt;=N$5,$D183&lt;N$5+7),"◆",""),IF(AND($D183&lt;N$5+7,$E183&gt;N$5),"■","")))</x:f>
      </x:c>
      <x:c r="O183" s="7" t="str">
        <x:f>IF(OR($D183="",O$5="",'상세일정'!AM183="제외"),"",IF($D183=$E183,IF(AND($D183&gt;=O$5,$D183&lt;O$5+7),"◆",""),IF(AND($D183&lt;O$5+7,$E183&gt;O$5),"■","")))</x:f>
      </x:c>
      <x:c r="P183" s="7" t="str">
        <x:f>IF(OR($D183="",P$5="",'상세일정'!AM183="제외"),"",IF($D183=$E183,IF(AND($D183&gt;=P$5,$D183&lt;P$5+7),"◆",""),IF(AND($D183&lt;P$5+7,$E183&gt;P$5),"■","")))</x:f>
      </x:c>
      <x:c r="Q183" s="7" t="str">
        <x:f>IF(OR($D183="",Q$5="",'상세일정'!AM183="제외"),"",IF($D183=$E183,IF(AND($D183&gt;=Q$5,$D183&lt;Q$5+7),"◆",""),IF(AND($D183&lt;Q$5+7,$E183&gt;Q$5),"■","")))</x:f>
      </x:c>
      <x:c r="R183" s="7" t="str">
        <x:f>IF(OR($D183="",R$5="",'상세일정'!AM183="제외"),"",IF($D183=$E183,IF(AND($D183&gt;=R$5,$D183&lt;R$5+7),"◆",""),IF(AND($D183&lt;R$5+7,$E183&gt;R$5),"■","")))</x:f>
      </x:c>
      <x:c r="S183" s="7" t="str">
        <x:f>IF(OR($D183="",S$5="",'상세일정'!AM183="제외"),"",IF($D183=$E183,IF(AND($D183&gt;=S$5,$D183&lt;S$5+7),"◆",""),IF(AND($D183&lt;S$5+7,$E183&gt;S$5),"■","")))</x:f>
      </x:c>
      <x:c r="T183" s="7" t="str">
        <x:f>IF(OR($D183="",T$5="",'상세일정'!AM183="제외"),"",IF($D183=$E183,IF(AND($D183&gt;=T$5,$D183&lt;T$5+7),"◆",""),IF(AND($D183&lt;T$5+7,$E183&gt;T$5),"■","")))</x:f>
      </x:c>
      <x:c r="U183" s="7" t="str">
        <x:f>IF(OR($D183="",U$5="",'상세일정'!AM183="제외"),"",IF($D183=$E183,IF(AND($D183&gt;=U$5,$D183&lt;U$5+7),"◆",""),IF(AND($D183&lt;U$5+7,$E183&gt;U$5),"■","")))</x:f>
      </x:c>
      <x:c r="V183" s="7" t="str">
        <x:f>IF(OR($D183="",V$5="",'상세일정'!AM183="제외"),"",IF($D183=$E183,IF(AND($D183&gt;=V$5,$D183&lt;V$5+7),"◆",""),IF(AND($D183&lt;V$5+7,$E183&gt;V$5),"■","")))</x:f>
      </x:c>
      <x:c r="W183" s="7" t="str">
        <x:f>IF(OR($D183="",W$5="",'상세일정'!AM183="제외"),"",IF($D183=$E183,IF(AND($D183&gt;=W$5,$D183&lt;W$5+7),"◆",""),IF(AND($D183&lt;W$5+7,$E183&gt;W$5),"■","")))</x:f>
      </x:c>
      <x:c r="X183" s="7" t="str">
        <x:f>IF(OR($D183="",X$5="",'상세일정'!AM183="제외"),"",IF($D183=$E183,IF(AND($D183&gt;=X$5,$D183&lt;X$5+7),"◆",""),IF(AND($D183&lt;X$5+7,$E183&gt;X$5),"■","")))</x:f>
      </x:c>
      <x:c r="Y183" s="7" t="str">
        <x:f>IF(OR($D183="",Y$5="",'상세일정'!AM183="제외"),"",IF($D183=$E183,IF(AND($D183&gt;=Y$5,$D183&lt;Y$5+7),"◆",""),IF(AND($D183&lt;Y$5+7,$E183&gt;Y$5),"■","")))</x:f>
      </x:c>
      <x:c r="Z183" s="7" t="str">
        <x:f>IF(OR($D183="",Z$5="",'상세일정'!AM183="제외"),"",IF($D183=$E183,IF(AND($D183&gt;=Z$5,$D183&lt;Z$5+7),"◆",""),IF(AND($D183&lt;Z$5+7,$E183&gt;Z$5),"■","")))</x:f>
      </x:c>
      <x:c r="AA183" s="7" t="str">
        <x:f>IF(OR($D183="",AA$5="",'상세일정'!AM183="제외"),"",IF($D183=$E183,IF(AND($D183&gt;=AA$5,$D183&lt;AA$5+7),"◆",""),IF(AND($D183&lt;AA$5+7,$E183&gt;AA$5),"■","")))</x:f>
      </x:c>
      <x:c r="AB183" s="7" t="str">
        <x:f>IF(OR($D183="",AB$5="",'상세일정'!AM183="제외"),"",IF($D183=$E183,IF(AND($D183&gt;=AB$5,$D183&lt;AB$5+7),"◆",""),IF(AND($D183&lt;AB$5+7,$E183&gt;AB$5),"■","")))</x:f>
      </x:c>
      <x:c r="AC183" s="7" t="str">
        <x:f>IF(OR($D183="",AC$5="",'상세일정'!AM183="제외"),"",IF($D183=$E183,IF(AND($D183&gt;=AC$5,$D183&lt;AC$5+7),"◆",""),IF(AND($D183&lt;AC$5+7,$E183&gt;AC$5),"■","")))</x:f>
      </x:c>
      <x:c r="AD183" s="7" t="str">
        <x:f>IF(OR($D183="",AD$5="",'상세일정'!AM183="제외"),"",IF($D183=$E183,IF(AND($D183&gt;=AD$5,$D183&lt;AD$5+7),"◆",""),IF(AND($D183&lt;AD$5+7,$E183&gt;AD$5),"■","")))</x:f>
      </x:c>
      <x:c r="AE183" s="7" t="str">
        <x:f>IF(OR($D183="",AE$5="",'상세일정'!AM183="제외"),"",IF($D183=$E183,IF(AND($D183&gt;=AE$5,$D183&lt;AE$5+7),"◆",""),IF(AND($D183&lt;AE$5+7,$E183&gt;AE$5),"■","")))</x:f>
      </x:c>
      <x:c r="AF183" s="7" t="str">
        <x:f>IF(OR($D183="",AF$5="",'상세일정'!AM183="제외"),"",IF($D183=$E183,IF(AND($D183&gt;=AF$5,$D183&lt;AF$5+7),"◆",""),IF(AND($D183&lt;AF$5+7,$E183&gt;AF$5),"■","")))</x:f>
      </x:c>
      <x:c r="AG183" s="7" t="str">
        <x:f>IF(OR($D183="",AG$5="",'상세일정'!AM183="제외"),"",IF($D183=$E183,IF(AND($D183&gt;=AG$5,$D183&lt;AG$5+7),"◆",""),IF(AND($D183&lt;AG$5+7,$E183&gt;AG$5),"■","")))</x:f>
      </x:c>
      <x:c r="AH183" s="7" t="str">
        <x:f>IF(OR($D183="",AH$5="",'상세일정'!AM183="제외"),"",IF($D183=$E183,IF(AND($D183&gt;=AH$5,$D183&lt;AH$5+7),"◆",""),IF(AND($D183&lt;AH$5+7,$E183&gt;AH$5),"■","")))</x:f>
      </x:c>
      <x:c r="AI183" s="7" t="str">
        <x:f>IF(OR($D183="",AI$5="",'상세일정'!AM183="제외"),"",IF($D183=$E183,IF(AND($D183&gt;=AI$5,$D183&lt;AI$5+7),"◆",""),IF(AND($D183&lt;AI$5+7,$E183&gt;AI$5),"■","")))</x:f>
      </x:c>
      <x:c r="AJ183" s="7" t="str">
        <x:f>IF(OR($D183="",AJ$5="",'상세일정'!AM183="제외"),"",IF($D183=$E183,IF(AND($D183&gt;=AJ$5,$D183&lt;AJ$5+7),"◆",""),IF(AND($D183&lt;AJ$5+7,$E183&gt;AJ$5),"■","")))</x:f>
      </x:c>
      <x:c r="AK183" s="7" t="str">
        <x:f>IF(OR($D183="",AK$5="",'상세일정'!AM183="제외"),"",IF($D183=$E183,IF(AND($D183&gt;=AK$5,$D183&lt;AK$5+7),"◆",""),IF(AND($D183&lt;AK$5+7,$E183&gt;AK$5),"■","")))</x:f>
      </x:c>
      <x:c r="AL183" s="7" t="str">
        <x:f>IF(OR($D183="",AL$5="",'상세일정'!AM183="제외"),"",IF($D183=$E183,IF(AND($D183&gt;=AL$5,$D183&lt;AL$5+7),"◆",""),IF(AND($D183&lt;AL$5+7,$E183&gt;AL$5),"■","")))</x:f>
      </x:c>
      <x:c r="AM183" s="7" t="str">
        <x:f>IF(OR($D183="",AM$5="",'상세일정'!AM183="제외"),"",IF($D183=$E183,IF(AND($D183&gt;=AM$5,$D183&lt;AM$5+7),"◆",""),IF(AND($D183&lt;AM$5+7,$E183&gt;AM$5),"■","")))</x:f>
      </x:c>
      <x:c r="AN183" s="7" t="str">
        <x:f>IF(OR($D183="",AN$5="",'상세일정'!AM183="제외"),"",IF($D183=$E183,IF(AND($D183&gt;=AN$5,$D183&lt;AN$5+7),"◆",""),IF(AND($D183&lt;AN$5+7,$E183&gt;AN$5),"■","")))</x:f>
      </x:c>
      <x:c r="AO183" s="7" t="str">
        <x:f>IF(OR($D183="",AO$5="",'상세일정'!AM183="제외"),"",IF($D183=$E183,IF(AND($D183&gt;=AO$5,$D183&lt;AO$5+7),"◆",""),IF(AND($D183&lt;AO$5+7,$E183&gt;AO$5),"■","")))</x:f>
      </x:c>
      <x:c r="AP183" s="7" t="str">
        <x:f>IF(OR($D183="",AP$5="",'상세일정'!AM183="제외"),"",IF($D183=$E183,IF(AND($D183&gt;=AP$5,$D183&lt;AP$5+7),"◆",""),IF(AND($D183&lt;AP$5+7,$E183&gt;AP$5),"■","")))</x:f>
      </x:c>
      <x:c r="AQ183" s="7" t="str">
        <x:f>IF(OR($D183="",AQ$5="",'상세일정'!AM183="제외"),"",IF($D183=$E183,IF(AND($D183&gt;=AQ$5,$D183&lt;AQ$5+7),"◆",""),IF(AND($D183&lt;AQ$5+7,$E183&gt;AQ$5),"■","")))</x:f>
      </x:c>
      <x:c r="AR183" s="7" t="str">
        <x:f>IF(OR($D183="",AR$5="",'상세일정'!AM183="제외"),"",IF($D183=$E183,IF(AND($D183&gt;=AR$5,$D183&lt;AR$5+7),"◆",""),IF(AND($D183&lt;AR$5+7,$E183&gt;AR$5),"■","")))</x:f>
      </x:c>
      <x:c r="AS183" s="7" t="str">
        <x:f>IF(OR($D183="",AS$5="",'상세일정'!AM183="제외"),"",IF($D183=$E183,IF(AND($D183&gt;=AS$5,$D183&lt;AS$5+7),"◆",""),IF(AND($D183&lt;AS$5+7,$E183&gt;AS$5),"■","")))</x:f>
      </x:c>
      <x:c r="AT183" s="7" t="str">
        <x:f>IF(OR($D183="",AT$5="",'상세일정'!AM183="제외"),"",IF($D183=$E183,IF(AND($D183&gt;=AT$5,$D183&lt;AT$5+7),"◆",""),IF(AND($D183&lt;AT$5+7,$E183&gt;AT$5),"■","")))</x:f>
      </x:c>
      <x:c r="AU183" s="7" t="str">
        <x:f>IF(OR($D183="",AU$5="",'상세일정'!AM183="제외"),"",IF($D183=$E183,IF(AND($D183&gt;=AU$5,$D183&lt;AU$5+7),"◆",""),IF(AND($D183&lt;AU$5+7,$E183&gt;AU$5),"■","")))</x:f>
      </x:c>
      <x:c r="AV183" s="7" t="str">
        <x:f>IF(OR($D183="",AV$5="",'상세일정'!AM183="제외"),"",IF($D183=$E183,IF(AND($D183&gt;=AV$5,$D183&lt;AV$5+7),"◆",""),IF(AND($D183&lt;AV$5+7,$E183&gt;AV$5),"■","")))</x:f>
      </x:c>
      <x:c r="AW183" s="7" t="str">
        <x:f>IF(OR($D183="",AW$5="",'상세일정'!AM183="제외"),"",IF($D183=$E183,IF(AND($D183&gt;=AW$5,$D183&lt;AW$5+7),"◆",""),IF(AND($D183&lt;AW$5+7,$E183&gt;AW$5),"■","")))</x:f>
      </x:c>
      <x:c r="AX183" s="7" t="str">
        <x:f>IF(OR($D183="",AX$5="",'상세일정'!AM183="제외"),"",IF($D183=$E183,IF(AND($D183&gt;=AX$5,$D183&lt;AX$5+7),"◆",""),IF(AND($D183&lt;AX$5+7,$E183&gt;AX$5),"■","")))</x:f>
      </x:c>
      <x:c r="AY183" s="7" t="str">
        <x:f>IF(OR($D183="",AY$5="",'상세일정'!AM183="제외"),"",IF($D183=$E183,IF(AND($D183&gt;=AY$5,$D183&lt;AY$5+7),"◆",""),IF(AND($D183&lt;AY$5+7,$E183&gt;AY$5),"■","")))</x:f>
      </x:c>
      <x:c r="AZ183" s="7" t="str">
        <x:f>IF(OR($D183="",AZ$5="",'상세일정'!AM183="제외"),"",IF($D183=$E183,IF(AND($D183&gt;=AZ$5,$D183&lt;AZ$5+7),"◆",""),IF(AND($D183&lt;AZ$5+7,$E183&gt;AZ$5),"■","")))</x:f>
      </x:c>
      <x:c r="BA183" s="7" t="str">
        <x:f>IF(OR($D183="",BA$5="",'상세일정'!AM183="제외"),"",IF($D183=$E183,IF(AND($D183&gt;=BA$5,$D183&lt;BA$5+7),"◆",""),IF(AND($D183&lt;BA$5+7,$E183&gt;BA$5),"■","")))</x:f>
      </x:c>
      <x:c r="BB183" s="7" t="str">
        <x:f>IF(OR($D183="",BB$5="",'상세일정'!AM183="제외"),"",IF($D183=$E183,IF(AND($D183&gt;=BB$5,$D183&lt;BB$5+7),"◆",""),IF(AND($D183&lt;BB$5+7,$E183&gt;BB$5),"■","")))</x:f>
      </x:c>
      <x:c r="BC183" s="7" t="str">
        <x:f>IF(OR($D183="",BC$5="",'상세일정'!AM183="제외"),"",IF($D183=$E183,IF(AND($D183&gt;=BC$5,$D183&lt;BC$5+7),"◆",""),IF(AND($D183&lt;BC$5+7,$E183&gt;BC$5),"■","")))</x:f>
      </x:c>
      <x:c r="BD183" s="7" t="str">
        <x:f>IF(OR($D183="",BD$5="",'상세일정'!AM183="제외"),"",IF($D183=$E183,IF(AND($D183&gt;=BD$5,$D183&lt;BD$5+7),"◆",""),IF(AND($D183&lt;BD$5+7,$E183&gt;BD$5),"■","")))</x:f>
      </x:c>
      <x:c r="BE183" s="7" t="str">
        <x:f>IF(OR($D183="",BE$5="",'상세일정'!AM183="제외"),"",IF($D183=$E183,IF(AND($D183&gt;=BE$5,$D183&lt;BE$5+7),"◆",""),IF(AND($D183&lt;BE$5+7,$E183&gt;BE$5),"■","")))</x:f>
      </x:c>
      <x:c r="BF183" s="7" t="str">
        <x:f>IF(OR($D183="",BF$5="",'상세일정'!AM183="제외"),"",IF($D183=$E183,IF(AND($D183&gt;=BF$5,$D183&lt;BF$5+7),"◆",""),IF(AND($D183&lt;BF$5+7,$E183&gt;BF$5),"■","")))</x:f>
      </x:c>
      <x:c r="BG183" s="7" t="str">
        <x:f>IF(OR($D183="",BG$5="",'상세일정'!AM183="제외"),"",IF($D183=$E183,IF(AND($D183&gt;=BG$5,$D183&lt;BG$5+7),"◆",""),IF(AND($D183&lt;BG$5+7,$E183&gt;BG$5),"■","")))</x:f>
      </x:c>
      <x:c r="BH183" s="7" t="str">
        <x:f>IF(OR($D183="",BH$5="",'상세일정'!AM183="제외"),"",IF($D183=$E183,IF(AND($D183&gt;=BH$5,$D183&lt;BH$5+7),"◆",""),IF(AND($D183&lt;BH$5+7,$E183&gt;BH$5),"■","")))</x:f>
      </x:c>
      <x:c r="BI183" s="7" t="str">
        <x:f>IF(OR($D183="",BI$5="",'상세일정'!AM183="제외"),"",IF($D183=$E183,IF(AND($D183&gt;=BI$5,$D183&lt;BI$5+7),"◆",""),IF(AND($D183&lt;BI$5+7,$E183&gt;BI$5),"■","")))</x:f>
      </x:c>
      <x:c r="BJ183" s="7" t="str">
        <x:f>IF(OR($D183="",BJ$5="",'상세일정'!AM183="제외"),"",IF($D183=$E183,IF(AND($D183&gt;=BJ$5,$D183&lt;BJ$5+7),"◆",""),IF(AND($D183&lt;BJ$5+7,$E183&gt;BJ$5),"■","")))</x:f>
      </x:c>
      <x:c r="BK183" s="7" t="str">
        <x:f>IF(OR($D183="",BK$5="",'상세일정'!AM183="제외"),"",IF($D183=$E183,IF(AND($D183&gt;=BK$5,$D183&lt;BK$5+7),"◆",""),IF(AND($D183&lt;BK$5+7,$E183&gt;BK$5),"■","")))</x:f>
      </x:c>
      <x:c r="BL183" s="7" t="str">
        <x:f>IF(OR($D183="",BL$5="",'상세일정'!AM183="제외"),"",IF($D183=$E183,IF(AND($D183&gt;=BL$5,$D183&lt;BL$5+7),"◆",""),IF(AND($D183&lt;BL$5+7,$E183&gt;BL$5),"■","")))</x:f>
      </x:c>
      <x:c r="BM183" s="7" t="str">
        <x:f>IF(OR($D183="",BM$5="",'상세일정'!AM183="제외"),"",IF($D183=$E183,IF(AND($D183&gt;=BM$5,$D183&lt;BM$5+7),"◆",""),IF(AND($D183&lt;BM$5+7,$E183&gt;BM$5),"■","")))</x:f>
      </x:c>
      <x:c r="BN183" s="7" t="str">
        <x:f>IF(OR($D183="",BN$5="",'상세일정'!AM183="제외"),"",IF($D183=$E183,IF(AND($D183&gt;=BN$5,$D183&lt;BN$5+7),"◆",""),IF(AND($D183&lt;BN$5+7,$E183&gt;BN$5),"■","")))</x:f>
      </x:c>
      <x:c r="BO183" s="7" t="str">
        <x:f>IF(OR($D183="",BO$5="",'상세일정'!AM183="제외"),"",IF($D183=$E183,IF(AND($D183&gt;=BO$5,$D183&lt;BO$5+7),"◆",""),IF(AND($D183&lt;BO$5+7,$E183&gt;BO$5),"■","")))</x:f>
      </x:c>
      <x:c r="BP183" s="7" t="str">
        <x:f>IF(OR($D183="",BP$5="",'상세일정'!AM183="제외"),"",IF($D183=$E183,IF(AND($D183&gt;=BP$5,$D183&lt;BP$5+7),"◆",""),IF(AND($D183&lt;BP$5+7,$E183&gt;BP$5),"■","")))</x:f>
      </x:c>
      <x:c r="BQ183" s="7" t="str">
        <x:f>IF(OR($D183="",BQ$5="",'상세일정'!AM183="제외"),"",IF($D183=$E183,IF(AND($D183&gt;=BQ$5,$D183&lt;BQ$5+7),"◆",""),IF(AND($D183&lt;BQ$5+7,$E183&gt;BQ$5),"■","")))</x:f>
      </x:c>
      <x:c r="BR183" s="7" t="str">
        <x:f>IF(OR($D183="",BR$5="",'상세일정'!AM183="제외"),"",IF($D183=$E183,IF(AND($D183&gt;=BR$5,$D183&lt;BR$5+7),"◆",""),IF(AND($D183&lt;BR$5+7,$E183&gt;BR$5),"■","")))</x:f>
      </x:c>
      <x:c r="BS183" s="7" t="str">
        <x:f>IF(OR($D183="",BS$5="",'상세일정'!AM183="제외"),"",IF($D183=$E183,IF(AND($D183&gt;=BS$5,$D183&lt;BS$5+7),"◆",""),IF(AND($D183&lt;BS$5+7,$E183&gt;BS$5),"■","")))</x:f>
      </x:c>
      <x:c r="BT183" s="7" t="str">
        <x:f>IF(OR($D183="",BT$5="",'상세일정'!AM183="제외"),"",IF($D183=$E183,IF(AND($D183&gt;=BT$5,$D183&lt;BT$5+7),"◆",""),IF(AND($D183&lt;BT$5+7,$E183&gt;BT$5),"■","")))</x:f>
      </x:c>
      <x:c r="BU183" s="7" t="str">
        <x:f>IF(OR($D183="",BU$5="",'상세일정'!AM183="제외"),"",IF($D183=$E183,IF(AND($D183&gt;=BU$5,$D183&lt;BU$5+7),"◆",""),IF(AND($D183&lt;BU$5+7,$E183&gt;BU$5),"■","")))</x:f>
      </x:c>
      <x:c r="BV183" s="7" t="str">
        <x:f>IF(OR($D183="",BV$5="",'상세일정'!AM183="제외"),"",IF($D183=$E183,IF(AND($D183&gt;=BV$5,$D183&lt;BV$5+7),"◆",""),IF(AND($D183&lt;BV$5+7,$E183&gt;BV$5),"■","")))</x:f>
      </x:c>
      <x:c r="BW183" s="7" t="str">
        <x:f>IF(OR($D183="",BW$5="",'상세일정'!AM183="제외"),"",IF($D183=$E183,IF(AND($D183&gt;=BW$5,$D183&lt;BW$5+7),"◆",""),IF(AND($D183&lt;BW$5+7,$E183&gt;BW$5),"■","")))</x:f>
      </x:c>
      <x:c r="BX183" s="7" t="str">
        <x:f>IF(OR($D183="",BX$5="",'상세일정'!AM183="제외"),"",IF($D183=$E183,IF(AND($D183&gt;=BX$5,$D183&lt;BX$5+7),"◆",""),IF(AND($D183&lt;BX$5+7,$E183&gt;BX$5),"■","")))</x:f>
      </x:c>
      <x:c r="BY183" s="7" t="str">
        <x:f>IF(OR($D183="",BY$5="",'상세일정'!AM183="제외"),"",IF($D183=$E183,IF(AND($D183&gt;=BY$5,$D183&lt;BY$5+7),"◆",""),IF(AND($D183&lt;BY$5+7,$E183&gt;BY$5),"■","")))</x:f>
      </x:c>
      <x:c r="BZ183" s="7" t="str">
        <x:f>IF(OR($D183="",BZ$5="",'상세일정'!AM183="제외"),"",IF($D183=$E183,IF(AND($D183&gt;=BZ$5,$D183&lt;BZ$5+7),"◆",""),IF(AND($D183&lt;BZ$5+7,$E183&gt;BZ$5),"■","")))</x:f>
      </x:c>
      <x:c r="CA183" s="7" t="str">
        <x:f>IF(OR($D183="",CA$5="",'상세일정'!AM183="제외"),"",IF($D183=$E183,IF(AND($D183&gt;=CA$5,$D183&lt;CA$5+7),"◆",""),IF(AND($D183&lt;CA$5+7,$E183&gt;CA$5),"■","")))</x:f>
      </x:c>
      <x:c r="CB183" s="7" t="str">
        <x:f>IF(OR($D183="",CB$5="",'상세일정'!AM183="제외"),"",IF($D183=$E183,IF(AND($D183&gt;=CB$5,$D183&lt;CB$5+7),"◆",""),IF(AND($D183&lt;CB$5+7,$E183&gt;CB$5),"■","")))</x:f>
      </x:c>
      <x:c r="CC183" s="7" t="str">
        <x:f>IF(OR($D183="",CC$5="",'상세일정'!AM183="제외"),"",IF($D183=$E183,IF(AND($D183&gt;=CC$5,$D183&lt;CC$5+7),"◆",""),IF(AND($D183&lt;CC$5+7,$E183&gt;CC$5),"■","")))</x:f>
      </x:c>
      <x:c r="CD183" s="7" t="str">
        <x:f>IF(OR($D183="",CD$5="",'상세일정'!AM183="제외"),"",IF($D183=$E183,IF(AND($D183&gt;=CD$5,$D183&lt;CD$5+7),"◆",""),IF(AND($D183&lt;CD$5+7,$E183&gt;CD$5),"■","")))</x:f>
      </x:c>
      <x:c r="CE183" s="7" t="str">
        <x:f>IF(OR($D183="",CE$5="",'상세일정'!AM183="제외"),"",IF($D183=$E183,IF(AND($D183&gt;=CE$5,$D183&lt;CE$5+7),"◆",""),IF(AND($D183&lt;CE$5+7,$E183&gt;CE$5),"■","")))</x:f>
      </x:c>
      <x:c r="CF183" s="7" t="str">
        <x:f>IF(OR($D183="",CF$5="",'상세일정'!AM183="제외"),"",IF($D183=$E183,IF(AND($D183&gt;=CF$5,$D183&lt;CF$5+7),"◆",""),IF(AND($D183&lt;CF$5+7,$E183&gt;CF$5),"■","")))</x:f>
      </x:c>
      <x:c r="CG183" s="7" t="str">
        <x:f>IF(OR($D183="",CG$5="",'상세일정'!AM183="제외"),"",IF($D183=$E183,IF(AND($D183&gt;=CG$5,$D183&lt;CG$5+7),"◆",""),IF(AND($D183&lt;CG$5+7,$E183&gt;CG$5),"■","")))</x:f>
      </x:c>
      <x:c r="CH183" s="7" t="str">
        <x:f>IF(OR($D183="",CH$5="",'상세일정'!AM183="제외"),"",IF($D183=$E183,IF(AND($D183&gt;=CH$5,$D183&lt;CH$5+7),"◆",""),IF(AND($D183&lt;CH$5+7,$E183&gt;CH$5),"■","")))</x:f>
      </x:c>
      <x:c r="CI183" s="7" t="str">
        <x:f>IF(OR($D183="",CI$5="",'상세일정'!AM183="제외"),"",IF($D183=$E183,IF(AND($D183&gt;=CI$5,$D183&lt;CI$5+7),"◆",""),IF(AND($D183&lt;CI$5+7,$E183&gt;CI$5),"■","")))</x:f>
      </x:c>
      <x:c r="CJ183" s="7" t="str">
        <x:f>IF(OR($D183="",CJ$5="",'상세일정'!AM183="제외"),"",IF($D183=$E183,IF(AND($D183&gt;=CJ$5,$D183&lt;CJ$5+7),"◆",""),IF(AND($D183&lt;CJ$5+7,$E183&gt;CJ$5),"■","")))</x:f>
      </x:c>
      <x:c r="CK183" s="7" t="str">
        <x:f>IF(OR($D183="",CK$5="",'상세일정'!AM183="제외"),"",IF($D183=$E183,IF(AND($D183&gt;=CK$5,$D183&lt;CK$5+7),"◆",""),IF(AND($D183&lt;CK$5+7,$E183&gt;CK$5),"■","")))</x:f>
      </x:c>
      <x:c r="CL183" s="7" t="str">
        <x:f>IF(OR($D183="",CL$5="",'상세일정'!AM183="제외"),"",IF($D183=$E183,IF(AND($D183&gt;=CL$5,$D183&lt;CL$5+7),"◆",""),IF(AND($D183&lt;CL$5+7,$E183&gt;CL$5),"■","")))</x:f>
      </x:c>
      <x:c r="CM183" s="7" t="str">
        <x:f>IF(OR($D183="",CM$5="",'상세일정'!AM183="제외"),"",IF($D183=$E183,IF(AND($D183&gt;=CM$5,$D183&lt;CM$5+7),"◆",""),IF(AND($D183&lt;CM$5+7,$E183&gt;CM$5),"■","")))</x:f>
      </x:c>
      <x:c r="CN183" s="7" t="str">
        <x:f>IF(OR($D183="",CN$5="",'상세일정'!AM183="제외"),"",IF($D183=$E183,IF(AND($D183&gt;=CN$5,$D183&lt;CN$5+7),"◆",""),IF(AND($D183&lt;CN$5+7,$E183&gt;CN$5),"■","")))</x:f>
      </x:c>
      <x:c r="CO183" s="7" t="str">
        <x:f>IF(OR($D183="",CO$5="",'상세일정'!AM183="제외"),"",IF($D183=$E183,IF(AND($D183&gt;=CO$5,$D183&lt;CO$5+7),"◆",""),IF(AND($D183&lt;CO$5+7,$E183&gt;CO$5),"■","")))</x:f>
      </x:c>
      <x:c r="CP183" s="7" t="str">
        <x:f>IF(OR($D183="",CP$5="",'상세일정'!AM183="제외"),"",IF($D183=$E183,IF(AND($D183&gt;=CP$5,$D183&lt;CP$5+7),"◆",""),IF(AND($D183&lt;CP$5+7,$E183&gt;CP$5),"■","")))</x:f>
      </x:c>
      <x:c r="CQ183" s="7" t="str">
        <x:f>IF(OR($D183="",CQ$5="",'상세일정'!AM183="제외"),"",IF($D183=$E183,IF(AND($D183&gt;=CQ$5,$D183&lt;CQ$5+7),"◆",""),IF(AND($D183&lt;CQ$5+7,$E183&gt;CQ$5),"■","")))</x:f>
      </x:c>
      <x:c r="CR183" s="7" t="str">
        <x:f>IF(OR($D183="",CR$5="",'상세일정'!AM183="제외"),"",IF($D183=$E183,IF(AND($D183&gt;=CR$5,$D183&lt;CR$5+7),"◆",""),IF(AND($D183&lt;CR$5+7,$E183&gt;CR$5),"■","")))</x:f>
      </x:c>
      <x:c r="CS183" s="7" t="str">
        <x:f>IF(OR($D183="",CS$5="",'상세일정'!AM183="제외"),"",IF($D183=$E183,IF(AND($D183&gt;=CS$5,$D183&lt;CS$5+7),"◆",""),IF(AND($D183&lt;CS$5+7,$E183&gt;CS$5),"■","")))</x:f>
      </x:c>
      <x:c r="CT183" s="7" t="str">
        <x:f>IF(OR($D183="",CT$5="",'상세일정'!AM183="제외"),"",IF($D183=$E183,IF(AND($D183&gt;=CT$5,$D183&lt;CT$5+7),"◆",""),IF(AND($D183&lt;CT$5+7,$E183&gt;CT$5),"■","")))</x:f>
      </x:c>
      <x:c r="CU183" s="7" t="str">
        <x:f>IF(OR($D183="",CU$5="",'상세일정'!AM183="제외"),"",IF($D183=$E183,IF(AND($D183&gt;=CU$5,$D183&lt;CU$5+7),"◆",""),IF(AND($D183&lt;CU$5+7,$E183&gt;CU$5),"■","")))</x:f>
      </x:c>
      <x:c r="CV183" s="7" t="str">
        <x:f>IF(OR($D183="",CV$5="",'상세일정'!AM183="제외"),"",IF($D183=$E183,IF(AND($D183&gt;=CV$5,$D183&lt;CV$5+7),"◆",""),IF(AND($D183&lt;CV$5+7,$E183&gt;CV$5),"■","")))</x:f>
      </x:c>
      <x:c r="CW183" s="7" t="str">
        <x:f>IF(OR($D183="",CW$5="",'상세일정'!AM183="제외"),"",IF($D183=$E183,IF(AND($D183&gt;=CW$5,$D183&lt;CW$5+7),"◆",""),IF(AND($D183&lt;CW$5+7,$E183&gt;CW$5),"■","")))</x:f>
      </x:c>
      <x:c r="CX183" s="7" t="str">
        <x:f>IF(OR($D183="",CX$5="",'상세일정'!AM183="제외"),"",IF($D183=$E183,IF(AND($D183&gt;=CX$5,$D183&lt;CX$5+7),"◆",""),IF(AND($D183&lt;CX$5+7,$E183&gt;CX$5),"■","")))</x:f>
      </x:c>
      <x:c r="CY183" s="7" t="str">
        <x:f>IF(OR($D183="",CY$5="",'상세일정'!AM183="제외"),"",IF($D183=$E183,IF(AND($D183&gt;=CY$5,$D183&lt;CY$5+7),"◆",""),IF(AND($D183&lt;CY$5+7,$E183&gt;CY$5),"■","")))</x:f>
      </x:c>
      <x:c r="CZ183" s="7" t="str">
        <x:f>IF(OR($D183="",CZ$5="",'상세일정'!AM183="제외"),"",IF($D183=$E183,IF(AND($D183&gt;=CZ$5,$D183&lt;CZ$5+7),"◆",""),IF(AND($D183&lt;CZ$5+7,$E183&gt;CZ$5),"■","")))</x:f>
      </x:c>
      <x:c r="DA183" s="7" t="str">
        <x:f>IF(OR($D183="",DA$5="",'상세일정'!AM183="제외"),"",IF($D183=$E183,IF(AND($D183&gt;=DA$5,$D183&lt;DA$5+7),"◆",""),IF(AND($D183&lt;DA$5+7,$E183&gt;DA$5),"■","")))</x:f>
      </x:c>
      <x:c r="DB183" s="7" t="str">
        <x:f>IF(OR($D183="",DB$5="",'상세일정'!AM183="제외"),"",IF($D183=$E183,IF(AND($D183&gt;=DB$5,$D183&lt;DB$5+7),"◆",""),IF(AND($D183&lt;DB$5+7,$E183&gt;DB$5),"■","")))</x:f>
      </x:c>
      <x:c r="DC183" s="7" t="str">
        <x:f>IF(OR($D183="",DC$5="",'상세일정'!AM183="제외"),"",IF($D183=$E183,IF(AND($D183&gt;=DC$5,$D183&lt;DC$5+7),"◆",""),IF(AND($D183&lt;DC$5+7,$E183&gt;DC$5),"■","")))</x:f>
      </x:c>
      <x:c r="DD183" s="7" t="str">
        <x:f>IF(OR($D183="",DD$5="",'상세일정'!AM183="제외"),"",IF($D183=$E183,IF(AND($D183&gt;=DD$5,$D183&lt;DD$5+7),"◆",""),IF(AND($D183&lt;DD$5+7,$E183&gt;DD$5),"■","")))</x:f>
      </x:c>
      <x:c r="DE183" s="7" t="str">
        <x:f>IF(OR($D183="",DE$5="",'상세일정'!AM183="제외"),"",IF($D183=$E183,IF(AND($D183&gt;=DE$5,$D183&lt;DE$5+7),"◆",""),IF(AND($D183&lt;DE$5+7,$E183&gt;DE$5),"■","")))</x:f>
      </x:c>
    </x:row>
    <x:row r="184" ht="34" customHeight="1">
      <x:c r="A184" s="7" t="str">
        <x:v>INCP01</x:v>
      </x:c>
      <x:c r="B184" s="7" t="str">
        <x:v>21 설비 설치</x:v>
      </x:c>
      <x:c r="C184" s="7" t="str">
        <x:v>압축기 반입·양중·고정·정렬</x:v>
      </x:c>
      <x:c r="D184" s="10" t="str">
        <x:f>'상세일정'!AJ184</x:f>
      </x:c>
      <x:c r="E184" s="10" t="str">
        <x:f>'상세일정'!AK184</x:f>
      </x:c>
      <x:c r="F184" s="7" t="str">
        <x:f>IF(OR($D184="",F$5="",'상세일정'!AM184="제외"),"",IF($D184=$E184,IF(AND($D184&gt;=F$5,$D184&lt;F$5+7),"◆",""),IF(AND($D184&lt;F$5+7,$E184&gt;F$5),"■","")))</x:f>
      </x:c>
      <x:c r="G184" s="7" t="str">
        <x:f>IF(OR($D184="",G$5="",'상세일정'!AM184="제외"),"",IF($D184=$E184,IF(AND($D184&gt;=G$5,$D184&lt;G$5+7),"◆",""),IF(AND($D184&lt;G$5+7,$E184&gt;G$5),"■","")))</x:f>
      </x:c>
      <x:c r="H184" s="7" t="str">
        <x:f>IF(OR($D184="",H$5="",'상세일정'!AM184="제외"),"",IF($D184=$E184,IF(AND($D184&gt;=H$5,$D184&lt;H$5+7),"◆",""),IF(AND($D184&lt;H$5+7,$E184&gt;H$5),"■","")))</x:f>
      </x:c>
      <x:c r="I184" s="7" t="str">
        <x:f>IF(OR($D184="",I$5="",'상세일정'!AM184="제외"),"",IF($D184=$E184,IF(AND($D184&gt;=I$5,$D184&lt;I$5+7),"◆",""),IF(AND($D184&lt;I$5+7,$E184&gt;I$5),"■","")))</x:f>
      </x:c>
      <x:c r="J184" s="7" t="str">
        <x:f>IF(OR($D184="",J$5="",'상세일정'!AM184="제외"),"",IF($D184=$E184,IF(AND($D184&gt;=J$5,$D184&lt;J$5+7),"◆",""),IF(AND($D184&lt;J$5+7,$E184&gt;J$5),"■","")))</x:f>
      </x:c>
      <x:c r="K184" s="7" t="str">
        <x:f>IF(OR($D184="",K$5="",'상세일정'!AM184="제외"),"",IF($D184=$E184,IF(AND($D184&gt;=K$5,$D184&lt;K$5+7),"◆",""),IF(AND($D184&lt;K$5+7,$E184&gt;K$5),"■","")))</x:f>
      </x:c>
      <x:c r="L184" s="7" t="str">
        <x:f>IF(OR($D184="",L$5="",'상세일정'!AM184="제외"),"",IF($D184=$E184,IF(AND($D184&gt;=L$5,$D184&lt;L$5+7),"◆",""),IF(AND($D184&lt;L$5+7,$E184&gt;L$5),"■","")))</x:f>
      </x:c>
      <x:c r="M184" s="7" t="str">
        <x:f>IF(OR($D184="",M$5="",'상세일정'!AM184="제외"),"",IF($D184=$E184,IF(AND($D184&gt;=M$5,$D184&lt;M$5+7),"◆",""),IF(AND($D184&lt;M$5+7,$E184&gt;M$5),"■","")))</x:f>
      </x:c>
      <x:c r="N184" s="7" t="str">
        <x:f>IF(OR($D184="",N$5="",'상세일정'!AM184="제외"),"",IF($D184=$E184,IF(AND($D184&gt;=N$5,$D184&lt;N$5+7),"◆",""),IF(AND($D184&lt;N$5+7,$E184&gt;N$5),"■","")))</x:f>
      </x:c>
      <x:c r="O184" s="7" t="str">
        <x:f>IF(OR($D184="",O$5="",'상세일정'!AM184="제외"),"",IF($D184=$E184,IF(AND($D184&gt;=O$5,$D184&lt;O$5+7),"◆",""),IF(AND($D184&lt;O$5+7,$E184&gt;O$5),"■","")))</x:f>
      </x:c>
      <x:c r="P184" s="7" t="str">
        <x:f>IF(OR($D184="",P$5="",'상세일정'!AM184="제외"),"",IF($D184=$E184,IF(AND($D184&gt;=P$5,$D184&lt;P$5+7),"◆",""),IF(AND($D184&lt;P$5+7,$E184&gt;P$5),"■","")))</x:f>
      </x:c>
      <x:c r="Q184" s="7" t="str">
        <x:f>IF(OR($D184="",Q$5="",'상세일정'!AM184="제외"),"",IF($D184=$E184,IF(AND($D184&gt;=Q$5,$D184&lt;Q$5+7),"◆",""),IF(AND($D184&lt;Q$5+7,$E184&gt;Q$5),"■","")))</x:f>
      </x:c>
      <x:c r="R184" s="7" t="str">
        <x:f>IF(OR($D184="",R$5="",'상세일정'!AM184="제외"),"",IF($D184=$E184,IF(AND($D184&gt;=R$5,$D184&lt;R$5+7),"◆",""),IF(AND($D184&lt;R$5+7,$E184&gt;R$5),"■","")))</x:f>
      </x:c>
      <x:c r="S184" s="7" t="str">
        <x:f>IF(OR($D184="",S$5="",'상세일정'!AM184="제외"),"",IF($D184=$E184,IF(AND($D184&gt;=S$5,$D184&lt;S$5+7),"◆",""),IF(AND($D184&lt;S$5+7,$E184&gt;S$5),"■","")))</x:f>
      </x:c>
      <x:c r="T184" s="7" t="str">
        <x:f>IF(OR($D184="",T$5="",'상세일정'!AM184="제외"),"",IF($D184=$E184,IF(AND($D184&gt;=T$5,$D184&lt;T$5+7),"◆",""),IF(AND($D184&lt;T$5+7,$E184&gt;T$5),"■","")))</x:f>
      </x:c>
      <x:c r="U184" s="7" t="str">
        <x:f>IF(OR($D184="",U$5="",'상세일정'!AM184="제외"),"",IF($D184=$E184,IF(AND($D184&gt;=U$5,$D184&lt;U$5+7),"◆",""),IF(AND($D184&lt;U$5+7,$E184&gt;U$5),"■","")))</x:f>
      </x:c>
      <x:c r="V184" s="7" t="str">
        <x:f>IF(OR($D184="",V$5="",'상세일정'!AM184="제외"),"",IF($D184=$E184,IF(AND($D184&gt;=V$5,$D184&lt;V$5+7),"◆",""),IF(AND($D184&lt;V$5+7,$E184&gt;V$5),"■","")))</x:f>
      </x:c>
      <x:c r="W184" s="7" t="str">
        <x:f>IF(OR($D184="",W$5="",'상세일정'!AM184="제외"),"",IF($D184=$E184,IF(AND($D184&gt;=W$5,$D184&lt;W$5+7),"◆",""),IF(AND($D184&lt;W$5+7,$E184&gt;W$5),"■","")))</x:f>
      </x:c>
      <x:c r="X184" s="7" t="str">
        <x:f>IF(OR($D184="",X$5="",'상세일정'!AM184="제외"),"",IF($D184=$E184,IF(AND($D184&gt;=X$5,$D184&lt;X$5+7),"◆",""),IF(AND($D184&lt;X$5+7,$E184&gt;X$5),"■","")))</x:f>
      </x:c>
      <x:c r="Y184" s="7" t="str">
        <x:f>IF(OR($D184="",Y$5="",'상세일정'!AM184="제외"),"",IF($D184=$E184,IF(AND($D184&gt;=Y$5,$D184&lt;Y$5+7),"◆",""),IF(AND($D184&lt;Y$5+7,$E184&gt;Y$5),"■","")))</x:f>
      </x:c>
      <x:c r="Z184" s="7" t="str">
        <x:f>IF(OR($D184="",Z$5="",'상세일정'!AM184="제외"),"",IF($D184=$E184,IF(AND($D184&gt;=Z$5,$D184&lt;Z$5+7),"◆",""),IF(AND($D184&lt;Z$5+7,$E184&gt;Z$5),"■","")))</x:f>
      </x:c>
      <x:c r="AA184" s="7" t="str">
        <x:f>IF(OR($D184="",AA$5="",'상세일정'!AM184="제외"),"",IF($D184=$E184,IF(AND($D184&gt;=AA$5,$D184&lt;AA$5+7),"◆",""),IF(AND($D184&lt;AA$5+7,$E184&gt;AA$5),"■","")))</x:f>
      </x:c>
      <x:c r="AB184" s="7" t="str">
        <x:f>IF(OR($D184="",AB$5="",'상세일정'!AM184="제외"),"",IF($D184=$E184,IF(AND($D184&gt;=AB$5,$D184&lt;AB$5+7),"◆",""),IF(AND($D184&lt;AB$5+7,$E184&gt;AB$5),"■","")))</x:f>
      </x:c>
      <x:c r="AC184" s="7" t="str">
        <x:f>IF(OR($D184="",AC$5="",'상세일정'!AM184="제외"),"",IF($D184=$E184,IF(AND($D184&gt;=AC$5,$D184&lt;AC$5+7),"◆",""),IF(AND($D184&lt;AC$5+7,$E184&gt;AC$5),"■","")))</x:f>
      </x:c>
      <x:c r="AD184" s="7" t="str">
        <x:f>IF(OR($D184="",AD$5="",'상세일정'!AM184="제외"),"",IF($D184=$E184,IF(AND($D184&gt;=AD$5,$D184&lt;AD$5+7),"◆",""),IF(AND($D184&lt;AD$5+7,$E184&gt;AD$5),"■","")))</x:f>
      </x:c>
      <x:c r="AE184" s="7" t="str">
        <x:f>IF(OR($D184="",AE$5="",'상세일정'!AM184="제외"),"",IF($D184=$E184,IF(AND($D184&gt;=AE$5,$D184&lt;AE$5+7),"◆",""),IF(AND($D184&lt;AE$5+7,$E184&gt;AE$5),"■","")))</x:f>
      </x:c>
      <x:c r="AF184" s="7" t="str">
        <x:f>IF(OR($D184="",AF$5="",'상세일정'!AM184="제외"),"",IF($D184=$E184,IF(AND($D184&gt;=AF$5,$D184&lt;AF$5+7),"◆",""),IF(AND($D184&lt;AF$5+7,$E184&gt;AF$5),"■","")))</x:f>
      </x:c>
      <x:c r="AG184" s="7" t="str">
        <x:f>IF(OR($D184="",AG$5="",'상세일정'!AM184="제외"),"",IF($D184=$E184,IF(AND($D184&gt;=AG$5,$D184&lt;AG$5+7),"◆",""),IF(AND($D184&lt;AG$5+7,$E184&gt;AG$5),"■","")))</x:f>
      </x:c>
      <x:c r="AH184" s="7" t="str">
        <x:f>IF(OR($D184="",AH$5="",'상세일정'!AM184="제외"),"",IF($D184=$E184,IF(AND($D184&gt;=AH$5,$D184&lt;AH$5+7),"◆",""),IF(AND($D184&lt;AH$5+7,$E184&gt;AH$5),"■","")))</x:f>
      </x:c>
      <x:c r="AI184" s="7" t="str">
        <x:f>IF(OR($D184="",AI$5="",'상세일정'!AM184="제외"),"",IF($D184=$E184,IF(AND($D184&gt;=AI$5,$D184&lt;AI$5+7),"◆",""),IF(AND($D184&lt;AI$5+7,$E184&gt;AI$5),"■","")))</x:f>
      </x:c>
      <x:c r="AJ184" s="7" t="str">
        <x:f>IF(OR($D184="",AJ$5="",'상세일정'!AM184="제외"),"",IF($D184=$E184,IF(AND($D184&gt;=AJ$5,$D184&lt;AJ$5+7),"◆",""),IF(AND($D184&lt;AJ$5+7,$E184&gt;AJ$5),"■","")))</x:f>
      </x:c>
      <x:c r="AK184" s="7" t="str">
        <x:f>IF(OR($D184="",AK$5="",'상세일정'!AM184="제외"),"",IF($D184=$E184,IF(AND($D184&gt;=AK$5,$D184&lt;AK$5+7),"◆",""),IF(AND($D184&lt;AK$5+7,$E184&gt;AK$5),"■","")))</x:f>
      </x:c>
      <x:c r="AL184" s="7" t="str">
        <x:f>IF(OR($D184="",AL$5="",'상세일정'!AM184="제외"),"",IF($D184=$E184,IF(AND($D184&gt;=AL$5,$D184&lt;AL$5+7),"◆",""),IF(AND($D184&lt;AL$5+7,$E184&gt;AL$5),"■","")))</x:f>
      </x:c>
      <x:c r="AM184" s="7" t="str">
        <x:f>IF(OR($D184="",AM$5="",'상세일정'!AM184="제외"),"",IF($D184=$E184,IF(AND($D184&gt;=AM$5,$D184&lt;AM$5+7),"◆",""),IF(AND($D184&lt;AM$5+7,$E184&gt;AM$5),"■","")))</x:f>
      </x:c>
      <x:c r="AN184" s="7" t="str">
        <x:f>IF(OR($D184="",AN$5="",'상세일정'!AM184="제외"),"",IF($D184=$E184,IF(AND($D184&gt;=AN$5,$D184&lt;AN$5+7),"◆",""),IF(AND($D184&lt;AN$5+7,$E184&gt;AN$5),"■","")))</x:f>
      </x:c>
      <x:c r="AO184" s="7" t="str">
        <x:f>IF(OR($D184="",AO$5="",'상세일정'!AM184="제외"),"",IF($D184=$E184,IF(AND($D184&gt;=AO$5,$D184&lt;AO$5+7),"◆",""),IF(AND($D184&lt;AO$5+7,$E184&gt;AO$5),"■","")))</x:f>
      </x:c>
      <x:c r="AP184" s="7" t="str">
        <x:f>IF(OR($D184="",AP$5="",'상세일정'!AM184="제외"),"",IF($D184=$E184,IF(AND($D184&gt;=AP$5,$D184&lt;AP$5+7),"◆",""),IF(AND($D184&lt;AP$5+7,$E184&gt;AP$5),"■","")))</x:f>
      </x:c>
      <x:c r="AQ184" s="7" t="str">
        <x:f>IF(OR($D184="",AQ$5="",'상세일정'!AM184="제외"),"",IF($D184=$E184,IF(AND($D184&gt;=AQ$5,$D184&lt;AQ$5+7),"◆",""),IF(AND($D184&lt;AQ$5+7,$E184&gt;AQ$5),"■","")))</x:f>
      </x:c>
      <x:c r="AR184" s="7" t="str">
        <x:f>IF(OR($D184="",AR$5="",'상세일정'!AM184="제외"),"",IF($D184=$E184,IF(AND($D184&gt;=AR$5,$D184&lt;AR$5+7),"◆",""),IF(AND($D184&lt;AR$5+7,$E184&gt;AR$5),"■","")))</x:f>
      </x:c>
      <x:c r="AS184" s="7" t="str">
        <x:f>IF(OR($D184="",AS$5="",'상세일정'!AM184="제외"),"",IF($D184=$E184,IF(AND($D184&gt;=AS$5,$D184&lt;AS$5+7),"◆",""),IF(AND($D184&lt;AS$5+7,$E184&gt;AS$5),"■","")))</x:f>
      </x:c>
      <x:c r="AT184" s="7" t="str">
        <x:f>IF(OR($D184="",AT$5="",'상세일정'!AM184="제외"),"",IF($D184=$E184,IF(AND($D184&gt;=AT$5,$D184&lt;AT$5+7),"◆",""),IF(AND($D184&lt;AT$5+7,$E184&gt;AT$5),"■","")))</x:f>
      </x:c>
      <x:c r="AU184" s="7" t="str">
        <x:f>IF(OR($D184="",AU$5="",'상세일정'!AM184="제외"),"",IF($D184=$E184,IF(AND($D184&gt;=AU$5,$D184&lt;AU$5+7),"◆",""),IF(AND($D184&lt;AU$5+7,$E184&gt;AU$5),"■","")))</x:f>
      </x:c>
      <x:c r="AV184" s="7" t="str">
        <x:f>IF(OR($D184="",AV$5="",'상세일정'!AM184="제외"),"",IF($D184=$E184,IF(AND($D184&gt;=AV$5,$D184&lt;AV$5+7),"◆",""),IF(AND($D184&lt;AV$5+7,$E184&gt;AV$5),"■","")))</x:f>
      </x:c>
      <x:c r="AW184" s="7" t="str">
        <x:f>IF(OR($D184="",AW$5="",'상세일정'!AM184="제외"),"",IF($D184=$E184,IF(AND($D184&gt;=AW$5,$D184&lt;AW$5+7),"◆",""),IF(AND($D184&lt;AW$5+7,$E184&gt;AW$5),"■","")))</x:f>
      </x:c>
      <x:c r="AX184" s="7" t="str">
        <x:f>IF(OR($D184="",AX$5="",'상세일정'!AM184="제외"),"",IF($D184=$E184,IF(AND($D184&gt;=AX$5,$D184&lt;AX$5+7),"◆",""),IF(AND($D184&lt;AX$5+7,$E184&gt;AX$5),"■","")))</x:f>
      </x:c>
      <x:c r="AY184" s="7" t="str">
        <x:f>IF(OR($D184="",AY$5="",'상세일정'!AM184="제외"),"",IF($D184=$E184,IF(AND($D184&gt;=AY$5,$D184&lt;AY$5+7),"◆",""),IF(AND($D184&lt;AY$5+7,$E184&gt;AY$5),"■","")))</x:f>
      </x:c>
      <x:c r="AZ184" s="7" t="str">
        <x:f>IF(OR($D184="",AZ$5="",'상세일정'!AM184="제외"),"",IF($D184=$E184,IF(AND($D184&gt;=AZ$5,$D184&lt;AZ$5+7),"◆",""),IF(AND($D184&lt;AZ$5+7,$E184&gt;AZ$5),"■","")))</x:f>
      </x:c>
      <x:c r="BA184" s="7" t="str">
        <x:f>IF(OR($D184="",BA$5="",'상세일정'!AM184="제외"),"",IF($D184=$E184,IF(AND($D184&gt;=BA$5,$D184&lt;BA$5+7),"◆",""),IF(AND($D184&lt;BA$5+7,$E184&gt;BA$5),"■","")))</x:f>
      </x:c>
      <x:c r="BB184" s="7" t="str">
        <x:f>IF(OR($D184="",BB$5="",'상세일정'!AM184="제외"),"",IF($D184=$E184,IF(AND($D184&gt;=BB$5,$D184&lt;BB$5+7),"◆",""),IF(AND($D184&lt;BB$5+7,$E184&gt;BB$5),"■","")))</x:f>
      </x:c>
      <x:c r="BC184" s="7" t="str">
        <x:f>IF(OR($D184="",BC$5="",'상세일정'!AM184="제외"),"",IF($D184=$E184,IF(AND($D184&gt;=BC$5,$D184&lt;BC$5+7),"◆",""),IF(AND($D184&lt;BC$5+7,$E184&gt;BC$5),"■","")))</x:f>
      </x:c>
      <x:c r="BD184" s="7" t="str">
        <x:f>IF(OR($D184="",BD$5="",'상세일정'!AM184="제외"),"",IF($D184=$E184,IF(AND($D184&gt;=BD$5,$D184&lt;BD$5+7),"◆",""),IF(AND($D184&lt;BD$5+7,$E184&gt;BD$5),"■","")))</x:f>
      </x:c>
      <x:c r="BE184" s="7" t="str">
        <x:f>IF(OR($D184="",BE$5="",'상세일정'!AM184="제외"),"",IF($D184=$E184,IF(AND($D184&gt;=BE$5,$D184&lt;BE$5+7),"◆",""),IF(AND($D184&lt;BE$5+7,$E184&gt;BE$5),"■","")))</x:f>
      </x:c>
      <x:c r="BF184" s="7" t="str">
        <x:f>IF(OR($D184="",BF$5="",'상세일정'!AM184="제외"),"",IF($D184=$E184,IF(AND($D184&gt;=BF$5,$D184&lt;BF$5+7),"◆",""),IF(AND($D184&lt;BF$5+7,$E184&gt;BF$5),"■","")))</x:f>
      </x:c>
      <x:c r="BG184" s="7" t="str">
        <x:f>IF(OR($D184="",BG$5="",'상세일정'!AM184="제외"),"",IF($D184=$E184,IF(AND($D184&gt;=BG$5,$D184&lt;BG$5+7),"◆",""),IF(AND($D184&lt;BG$5+7,$E184&gt;BG$5),"■","")))</x:f>
      </x:c>
      <x:c r="BH184" s="7" t="str">
        <x:f>IF(OR($D184="",BH$5="",'상세일정'!AM184="제외"),"",IF($D184=$E184,IF(AND($D184&gt;=BH$5,$D184&lt;BH$5+7),"◆",""),IF(AND($D184&lt;BH$5+7,$E184&gt;BH$5),"■","")))</x:f>
      </x:c>
      <x:c r="BI184" s="7" t="str">
        <x:f>IF(OR($D184="",BI$5="",'상세일정'!AM184="제외"),"",IF($D184=$E184,IF(AND($D184&gt;=BI$5,$D184&lt;BI$5+7),"◆",""),IF(AND($D184&lt;BI$5+7,$E184&gt;BI$5),"■","")))</x:f>
      </x:c>
      <x:c r="BJ184" s="7" t="str">
        <x:f>IF(OR($D184="",BJ$5="",'상세일정'!AM184="제외"),"",IF($D184=$E184,IF(AND($D184&gt;=BJ$5,$D184&lt;BJ$5+7),"◆",""),IF(AND($D184&lt;BJ$5+7,$E184&gt;BJ$5),"■","")))</x:f>
      </x:c>
      <x:c r="BK184" s="7" t="str">
        <x:f>IF(OR($D184="",BK$5="",'상세일정'!AM184="제외"),"",IF($D184=$E184,IF(AND($D184&gt;=BK$5,$D184&lt;BK$5+7),"◆",""),IF(AND($D184&lt;BK$5+7,$E184&gt;BK$5),"■","")))</x:f>
      </x:c>
      <x:c r="BL184" s="7" t="str">
        <x:f>IF(OR($D184="",BL$5="",'상세일정'!AM184="제외"),"",IF($D184=$E184,IF(AND($D184&gt;=BL$5,$D184&lt;BL$5+7),"◆",""),IF(AND($D184&lt;BL$5+7,$E184&gt;BL$5),"■","")))</x:f>
      </x:c>
      <x:c r="BM184" s="7" t="str">
        <x:f>IF(OR($D184="",BM$5="",'상세일정'!AM184="제외"),"",IF($D184=$E184,IF(AND($D184&gt;=BM$5,$D184&lt;BM$5+7),"◆",""),IF(AND($D184&lt;BM$5+7,$E184&gt;BM$5),"■","")))</x:f>
      </x:c>
      <x:c r="BN184" s="7" t="str">
        <x:f>IF(OR($D184="",BN$5="",'상세일정'!AM184="제외"),"",IF($D184=$E184,IF(AND($D184&gt;=BN$5,$D184&lt;BN$5+7),"◆",""),IF(AND($D184&lt;BN$5+7,$E184&gt;BN$5),"■","")))</x:f>
      </x:c>
      <x:c r="BO184" s="7" t="str">
        <x:f>IF(OR($D184="",BO$5="",'상세일정'!AM184="제외"),"",IF($D184=$E184,IF(AND($D184&gt;=BO$5,$D184&lt;BO$5+7),"◆",""),IF(AND($D184&lt;BO$5+7,$E184&gt;BO$5),"■","")))</x:f>
      </x:c>
      <x:c r="BP184" s="7" t="str">
        <x:f>IF(OR($D184="",BP$5="",'상세일정'!AM184="제외"),"",IF($D184=$E184,IF(AND($D184&gt;=BP$5,$D184&lt;BP$5+7),"◆",""),IF(AND($D184&lt;BP$5+7,$E184&gt;BP$5),"■","")))</x:f>
      </x:c>
      <x:c r="BQ184" s="7" t="str">
        <x:f>IF(OR($D184="",BQ$5="",'상세일정'!AM184="제외"),"",IF($D184=$E184,IF(AND($D184&gt;=BQ$5,$D184&lt;BQ$5+7),"◆",""),IF(AND($D184&lt;BQ$5+7,$E184&gt;BQ$5),"■","")))</x:f>
      </x:c>
      <x:c r="BR184" s="7" t="str">
        <x:f>IF(OR($D184="",BR$5="",'상세일정'!AM184="제외"),"",IF($D184=$E184,IF(AND($D184&gt;=BR$5,$D184&lt;BR$5+7),"◆",""),IF(AND($D184&lt;BR$5+7,$E184&gt;BR$5),"■","")))</x:f>
      </x:c>
      <x:c r="BS184" s="7" t="str">
        <x:f>IF(OR($D184="",BS$5="",'상세일정'!AM184="제외"),"",IF($D184=$E184,IF(AND($D184&gt;=BS$5,$D184&lt;BS$5+7),"◆",""),IF(AND($D184&lt;BS$5+7,$E184&gt;BS$5),"■","")))</x:f>
      </x:c>
      <x:c r="BT184" s="7" t="str">
        <x:f>IF(OR($D184="",BT$5="",'상세일정'!AM184="제외"),"",IF($D184=$E184,IF(AND($D184&gt;=BT$5,$D184&lt;BT$5+7),"◆",""),IF(AND($D184&lt;BT$5+7,$E184&gt;BT$5),"■","")))</x:f>
      </x:c>
      <x:c r="BU184" s="7" t="str">
        <x:f>IF(OR($D184="",BU$5="",'상세일정'!AM184="제외"),"",IF($D184=$E184,IF(AND($D184&gt;=BU$5,$D184&lt;BU$5+7),"◆",""),IF(AND($D184&lt;BU$5+7,$E184&gt;BU$5),"■","")))</x:f>
      </x:c>
      <x:c r="BV184" s="7" t="str">
        <x:f>IF(OR($D184="",BV$5="",'상세일정'!AM184="제외"),"",IF($D184=$E184,IF(AND($D184&gt;=BV$5,$D184&lt;BV$5+7),"◆",""),IF(AND($D184&lt;BV$5+7,$E184&gt;BV$5),"■","")))</x:f>
      </x:c>
      <x:c r="BW184" s="7" t="str">
        <x:f>IF(OR($D184="",BW$5="",'상세일정'!AM184="제외"),"",IF($D184=$E184,IF(AND($D184&gt;=BW$5,$D184&lt;BW$5+7),"◆",""),IF(AND($D184&lt;BW$5+7,$E184&gt;BW$5),"■","")))</x:f>
      </x:c>
      <x:c r="BX184" s="7" t="str">
        <x:f>IF(OR($D184="",BX$5="",'상세일정'!AM184="제외"),"",IF($D184=$E184,IF(AND($D184&gt;=BX$5,$D184&lt;BX$5+7),"◆",""),IF(AND($D184&lt;BX$5+7,$E184&gt;BX$5),"■","")))</x:f>
      </x:c>
      <x:c r="BY184" s="7" t="str">
        <x:f>IF(OR($D184="",BY$5="",'상세일정'!AM184="제외"),"",IF($D184=$E184,IF(AND($D184&gt;=BY$5,$D184&lt;BY$5+7),"◆",""),IF(AND($D184&lt;BY$5+7,$E184&gt;BY$5),"■","")))</x:f>
      </x:c>
      <x:c r="BZ184" s="7" t="str">
        <x:f>IF(OR($D184="",BZ$5="",'상세일정'!AM184="제외"),"",IF($D184=$E184,IF(AND($D184&gt;=BZ$5,$D184&lt;BZ$5+7),"◆",""),IF(AND($D184&lt;BZ$5+7,$E184&gt;BZ$5),"■","")))</x:f>
      </x:c>
      <x:c r="CA184" s="7" t="str">
        <x:f>IF(OR($D184="",CA$5="",'상세일정'!AM184="제외"),"",IF($D184=$E184,IF(AND($D184&gt;=CA$5,$D184&lt;CA$5+7),"◆",""),IF(AND($D184&lt;CA$5+7,$E184&gt;CA$5),"■","")))</x:f>
      </x:c>
      <x:c r="CB184" s="7" t="str">
        <x:f>IF(OR($D184="",CB$5="",'상세일정'!AM184="제외"),"",IF($D184=$E184,IF(AND($D184&gt;=CB$5,$D184&lt;CB$5+7),"◆",""),IF(AND($D184&lt;CB$5+7,$E184&gt;CB$5),"■","")))</x:f>
      </x:c>
      <x:c r="CC184" s="7" t="str">
        <x:f>IF(OR($D184="",CC$5="",'상세일정'!AM184="제외"),"",IF($D184=$E184,IF(AND($D184&gt;=CC$5,$D184&lt;CC$5+7),"◆",""),IF(AND($D184&lt;CC$5+7,$E184&gt;CC$5),"■","")))</x:f>
      </x:c>
      <x:c r="CD184" s="7" t="str">
        <x:f>IF(OR($D184="",CD$5="",'상세일정'!AM184="제외"),"",IF($D184=$E184,IF(AND($D184&gt;=CD$5,$D184&lt;CD$5+7),"◆",""),IF(AND($D184&lt;CD$5+7,$E184&gt;CD$5),"■","")))</x:f>
      </x:c>
      <x:c r="CE184" s="7" t="str">
        <x:f>IF(OR($D184="",CE$5="",'상세일정'!AM184="제외"),"",IF($D184=$E184,IF(AND($D184&gt;=CE$5,$D184&lt;CE$5+7),"◆",""),IF(AND($D184&lt;CE$5+7,$E184&gt;CE$5),"■","")))</x:f>
      </x:c>
      <x:c r="CF184" s="7" t="str">
        <x:f>IF(OR($D184="",CF$5="",'상세일정'!AM184="제외"),"",IF($D184=$E184,IF(AND($D184&gt;=CF$5,$D184&lt;CF$5+7),"◆",""),IF(AND($D184&lt;CF$5+7,$E184&gt;CF$5),"■","")))</x:f>
      </x:c>
      <x:c r="CG184" s="7" t="str">
        <x:f>IF(OR($D184="",CG$5="",'상세일정'!AM184="제외"),"",IF($D184=$E184,IF(AND($D184&gt;=CG$5,$D184&lt;CG$5+7),"◆",""),IF(AND($D184&lt;CG$5+7,$E184&gt;CG$5),"■","")))</x:f>
      </x:c>
      <x:c r="CH184" s="7" t="str">
        <x:f>IF(OR($D184="",CH$5="",'상세일정'!AM184="제외"),"",IF($D184=$E184,IF(AND($D184&gt;=CH$5,$D184&lt;CH$5+7),"◆",""),IF(AND($D184&lt;CH$5+7,$E184&gt;CH$5),"■","")))</x:f>
      </x:c>
      <x:c r="CI184" s="7" t="str">
        <x:f>IF(OR($D184="",CI$5="",'상세일정'!AM184="제외"),"",IF($D184=$E184,IF(AND($D184&gt;=CI$5,$D184&lt;CI$5+7),"◆",""),IF(AND($D184&lt;CI$5+7,$E184&gt;CI$5),"■","")))</x:f>
      </x:c>
      <x:c r="CJ184" s="7" t="str">
        <x:f>IF(OR($D184="",CJ$5="",'상세일정'!AM184="제외"),"",IF($D184=$E184,IF(AND($D184&gt;=CJ$5,$D184&lt;CJ$5+7),"◆",""),IF(AND($D184&lt;CJ$5+7,$E184&gt;CJ$5),"■","")))</x:f>
      </x:c>
      <x:c r="CK184" s="7" t="str">
        <x:f>IF(OR($D184="",CK$5="",'상세일정'!AM184="제외"),"",IF($D184=$E184,IF(AND($D184&gt;=CK$5,$D184&lt;CK$5+7),"◆",""),IF(AND($D184&lt;CK$5+7,$E184&gt;CK$5),"■","")))</x:f>
      </x:c>
      <x:c r="CL184" s="7" t="str">
        <x:f>IF(OR($D184="",CL$5="",'상세일정'!AM184="제외"),"",IF($D184=$E184,IF(AND($D184&gt;=CL$5,$D184&lt;CL$5+7),"◆",""),IF(AND($D184&lt;CL$5+7,$E184&gt;CL$5),"■","")))</x:f>
      </x:c>
      <x:c r="CM184" s="7" t="str">
        <x:f>IF(OR($D184="",CM$5="",'상세일정'!AM184="제외"),"",IF($D184=$E184,IF(AND($D184&gt;=CM$5,$D184&lt;CM$5+7),"◆",""),IF(AND($D184&lt;CM$5+7,$E184&gt;CM$5),"■","")))</x:f>
      </x:c>
      <x:c r="CN184" s="7" t="str">
        <x:f>IF(OR($D184="",CN$5="",'상세일정'!AM184="제외"),"",IF($D184=$E184,IF(AND($D184&gt;=CN$5,$D184&lt;CN$5+7),"◆",""),IF(AND($D184&lt;CN$5+7,$E184&gt;CN$5),"■","")))</x:f>
      </x:c>
      <x:c r="CO184" s="7" t="str">
        <x:f>IF(OR($D184="",CO$5="",'상세일정'!AM184="제외"),"",IF($D184=$E184,IF(AND($D184&gt;=CO$5,$D184&lt;CO$5+7),"◆",""),IF(AND($D184&lt;CO$5+7,$E184&gt;CO$5),"■","")))</x:f>
      </x:c>
      <x:c r="CP184" s="7" t="str">
        <x:f>IF(OR($D184="",CP$5="",'상세일정'!AM184="제외"),"",IF($D184=$E184,IF(AND($D184&gt;=CP$5,$D184&lt;CP$5+7),"◆",""),IF(AND($D184&lt;CP$5+7,$E184&gt;CP$5),"■","")))</x:f>
      </x:c>
      <x:c r="CQ184" s="7" t="str">
        <x:f>IF(OR($D184="",CQ$5="",'상세일정'!AM184="제외"),"",IF($D184=$E184,IF(AND($D184&gt;=CQ$5,$D184&lt;CQ$5+7),"◆",""),IF(AND($D184&lt;CQ$5+7,$E184&gt;CQ$5),"■","")))</x:f>
      </x:c>
      <x:c r="CR184" s="7" t="str">
        <x:f>IF(OR($D184="",CR$5="",'상세일정'!AM184="제외"),"",IF($D184=$E184,IF(AND($D184&gt;=CR$5,$D184&lt;CR$5+7),"◆",""),IF(AND($D184&lt;CR$5+7,$E184&gt;CR$5),"■","")))</x:f>
      </x:c>
      <x:c r="CS184" s="7" t="str">
        <x:f>IF(OR($D184="",CS$5="",'상세일정'!AM184="제외"),"",IF($D184=$E184,IF(AND($D184&gt;=CS$5,$D184&lt;CS$5+7),"◆",""),IF(AND($D184&lt;CS$5+7,$E184&gt;CS$5),"■","")))</x:f>
      </x:c>
      <x:c r="CT184" s="7" t="str">
        <x:f>IF(OR($D184="",CT$5="",'상세일정'!AM184="제외"),"",IF($D184=$E184,IF(AND($D184&gt;=CT$5,$D184&lt;CT$5+7),"◆",""),IF(AND($D184&lt;CT$5+7,$E184&gt;CT$5),"■","")))</x:f>
      </x:c>
      <x:c r="CU184" s="7" t="str">
        <x:f>IF(OR($D184="",CU$5="",'상세일정'!AM184="제외"),"",IF($D184=$E184,IF(AND($D184&gt;=CU$5,$D184&lt;CU$5+7),"◆",""),IF(AND($D184&lt;CU$5+7,$E184&gt;CU$5),"■","")))</x:f>
      </x:c>
      <x:c r="CV184" s="7" t="str">
        <x:f>IF(OR($D184="",CV$5="",'상세일정'!AM184="제외"),"",IF($D184=$E184,IF(AND($D184&gt;=CV$5,$D184&lt;CV$5+7),"◆",""),IF(AND($D184&lt;CV$5+7,$E184&gt;CV$5),"■","")))</x:f>
      </x:c>
      <x:c r="CW184" s="7" t="str">
        <x:f>IF(OR($D184="",CW$5="",'상세일정'!AM184="제외"),"",IF($D184=$E184,IF(AND($D184&gt;=CW$5,$D184&lt;CW$5+7),"◆",""),IF(AND($D184&lt;CW$5+7,$E184&gt;CW$5),"■","")))</x:f>
      </x:c>
      <x:c r="CX184" s="7" t="str">
        <x:f>IF(OR($D184="",CX$5="",'상세일정'!AM184="제외"),"",IF($D184=$E184,IF(AND($D184&gt;=CX$5,$D184&lt;CX$5+7),"◆",""),IF(AND($D184&lt;CX$5+7,$E184&gt;CX$5),"■","")))</x:f>
      </x:c>
      <x:c r="CY184" s="7" t="str">
        <x:f>IF(OR($D184="",CY$5="",'상세일정'!AM184="제외"),"",IF($D184=$E184,IF(AND($D184&gt;=CY$5,$D184&lt;CY$5+7),"◆",""),IF(AND($D184&lt;CY$5+7,$E184&gt;CY$5),"■","")))</x:f>
      </x:c>
      <x:c r="CZ184" s="7" t="str">
        <x:f>IF(OR($D184="",CZ$5="",'상세일정'!AM184="제외"),"",IF($D184=$E184,IF(AND($D184&gt;=CZ$5,$D184&lt;CZ$5+7),"◆",""),IF(AND($D184&lt;CZ$5+7,$E184&gt;CZ$5),"■","")))</x:f>
      </x:c>
      <x:c r="DA184" s="7" t="str">
        <x:f>IF(OR($D184="",DA$5="",'상세일정'!AM184="제외"),"",IF($D184=$E184,IF(AND($D184&gt;=DA$5,$D184&lt;DA$5+7),"◆",""),IF(AND($D184&lt;DA$5+7,$E184&gt;DA$5),"■","")))</x:f>
      </x:c>
      <x:c r="DB184" s="7" t="str">
        <x:f>IF(OR($D184="",DB$5="",'상세일정'!AM184="제외"),"",IF($D184=$E184,IF(AND($D184&gt;=DB$5,$D184&lt;DB$5+7),"◆",""),IF(AND($D184&lt;DB$5+7,$E184&gt;DB$5),"■","")))</x:f>
      </x:c>
      <x:c r="DC184" s="7" t="str">
        <x:f>IF(OR($D184="",DC$5="",'상세일정'!AM184="제외"),"",IF($D184=$E184,IF(AND($D184&gt;=DC$5,$D184&lt;DC$5+7),"◆",""),IF(AND($D184&lt;DC$5+7,$E184&gt;DC$5),"■","")))</x:f>
      </x:c>
      <x:c r="DD184" s="7" t="str">
        <x:f>IF(OR($D184="",DD$5="",'상세일정'!AM184="제외"),"",IF($D184=$E184,IF(AND($D184&gt;=DD$5,$D184&lt;DD$5+7),"◆",""),IF(AND($D184&lt;DD$5+7,$E184&gt;DD$5),"■","")))</x:f>
      </x:c>
      <x:c r="DE184" s="7" t="str">
        <x:f>IF(OR($D184="",DE$5="",'상세일정'!AM184="제외"),"",IF($D184=$E184,IF(AND($D184&gt;=DE$5,$D184&lt;DE$5+7),"◆",""),IF(AND($D184&lt;DE$5+7,$E184&gt;DE$5),"■","")))</x:f>
      </x:c>
    </x:row>
    <x:row r="185" ht="34" customHeight="1">
      <x:c r="A185" s="7" t="str">
        <x:v>INCP02</x:v>
      </x:c>
      <x:c r="B185" s="7" t="str">
        <x:v>21 설비 설치</x:v>
      </x:c>
      <x:c r="C185" s="7" t="str">
        <x:v>압축기 설치검수·현장 SAT 준비</x:v>
      </x:c>
      <x:c r="D185" s="10" t="str">
        <x:f>'상세일정'!AJ185</x:f>
      </x:c>
      <x:c r="E185" s="10" t="str">
        <x:f>'상세일정'!AK185</x:f>
      </x:c>
      <x:c r="F185" s="7" t="str">
        <x:f>IF(OR($D185="",F$5="",'상세일정'!AM185="제외"),"",IF($D185=$E185,IF(AND($D185&gt;=F$5,$D185&lt;F$5+7),"◆",""),IF(AND($D185&lt;F$5+7,$E185&gt;F$5),"■","")))</x:f>
      </x:c>
      <x:c r="G185" s="7" t="str">
        <x:f>IF(OR($D185="",G$5="",'상세일정'!AM185="제외"),"",IF($D185=$E185,IF(AND($D185&gt;=G$5,$D185&lt;G$5+7),"◆",""),IF(AND($D185&lt;G$5+7,$E185&gt;G$5),"■","")))</x:f>
      </x:c>
      <x:c r="H185" s="7" t="str">
        <x:f>IF(OR($D185="",H$5="",'상세일정'!AM185="제외"),"",IF($D185=$E185,IF(AND($D185&gt;=H$5,$D185&lt;H$5+7),"◆",""),IF(AND($D185&lt;H$5+7,$E185&gt;H$5),"■","")))</x:f>
      </x:c>
      <x:c r="I185" s="7" t="str">
        <x:f>IF(OR($D185="",I$5="",'상세일정'!AM185="제외"),"",IF($D185=$E185,IF(AND($D185&gt;=I$5,$D185&lt;I$5+7),"◆",""),IF(AND($D185&lt;I$5+7,$E185&gt;I$5),"■","")))</x:f>
      </x:c>
      <x:c r="J185" s="7" t="str">
        <x:f>IF(OR($D185="",J$5="",'상세일정'!AM185="제외"),"",IF($D185=$E185,IF(AND($D185&gt;=J$5,$D185&lt;J$5+7),"◆",""),IF(AND($D185&lt;J$5+7,$E185&gt;J$5),"■","")))</x:f>
      </x:c>
      <x:c r="K185" s="7" t="str">
        <x:f>IF(OR($D185="",K$5="",'상세일정'!AM185="제외"),"",IF($D185=$E185,IF(AND($D185&gt;=K$5,$D185&lt;K$5+7),"◆",""),IF(AND($D185&lt;K$5+7,$E185&gt;K$5),"■","")))</x:f>
      </x:c>
      <x:c r="L185" s="7" t="str">
        <x:f>IF(OR($D185="",L$5="",'상세일정'!AM185="제외"),"",IF($D185=$E185,IF(AND($D185&gt;=L$5,$D185&lt;L$5+7),"◆",""),IF(AND($D185&lt;L$5+7,$E185&gt;L$5),"■","")))</x:f>
      </x:c>
      <x:c r="M185" s="7" t="str">
        <x:f>IF(OR($D185="",M$5="",'상세일정'!AM185="제외"),"",IF($D185=$E185,IF(AND($D185&gt;=M$5,$D185&lt;M$5+7),"◆",""),IF(AND($D185&lt;M$5+7,$E185&gt;M$5),"■","")))</x:f>
      </x:c>
      <x:c r="N185" s="7" t="str">
        <x:f>IF(OR($D185="",N$5="",'상세일정'!AM185="제외"),"",IF($D185=$E185,IF(AND($D185&gt;=N$5,$D185&lt;N$5+7),"◆",""),IF(AND($D185&lt;N$5+7,$E185&gt;N$5),"■","")))</x:f>
      </x:c>
      <x:c r="O185" s="7" t="str">
        <x:f>IF(OR($D185="",O$5="",'상세일정'!AM185="제외"),"",IF($D185=$E185,IF(AND($D185&gt;=O$5,$D185&lt;O$5+7),"◆",""),IF(AND($D185&lt;O$5+7,$E185&gt;O$5),"■","")))</x:f>
      </x:c>
      <x:c r="P185" s="7" t="str">
        <x:f>IF(OR($D185="",P$5="",'상세일정'!AM185="제외"),"",IF($D185=$E185,IF(AND($D185&gt;=P$5,$D185&lt;P$5+7),"◆",""),IF(AND($D185&lt;P$5+7,$E185&gt;P$5),"■","")))</x:f>
      </x:c>
      <x:c r="Q185" s="7" t="str">
        <x:f>IF(OR($D185="",Q$5="",'상세일정'!AM185="제외"),"",IF($D185=$E185,IF(AND($D185&gt;=Q$5,$D185&lt;Q$5+7),"◆",""),IF(AND($D185&lt;Q$5+7,$E185&gt;Q$5),"■","")))</x:f>
      </x:c>
      <x:c r="R185" s="7" t="str">
        <x:f>IF(OR($D185="",R$5="",'상세일정'!AM185="제외"),"",IF($D185=$E185,IF(AND($D185&gt;=R$5,$D185&lt;R$5+7),"◆",""),IF(AND($D185&lt;R$5+7,$E185&gt;R$5),"■","")))</x:f>
      </x:c>
      <x:c r="S185" s="7" t="str">
        <x:f>IF(OR($D185="",S$5="",'상세일정'!AM185="제외"),"",IF($D185=$E185,IF(AND($D185&gt;=S$5,$D185&lt;S$5+7),"◆",""),IF(AND($D185&lt;S$5+7,$E185&gt;S$5),"■","")))</x:f>
      </x:c>
      <x:c r="T185" s="7" t="str">
        <x:f>IF(OR($D185="",T$5="",'상세일정'!AM185="제외"),"",IF($D185=$E185,IF(AND($D185&gt;=T$5,$D185&lt;T$5+7),"◆",""),IF(AND($D185&lt;T$5+7,$E185&gt;T$5),"■","")))</x:f>
      </x:c>
      <x:c r="U185" s="7" t="str">
        <x:f>IF(OR($D185="",U$5="",'상세일정'!AM185="제외"),"",IF($D185=$E185,IF(AND($D185&gt;=U$5,$D185&lt;U$5+7),"◆",""),IF(AND($D185&lt;U$5+7,$E185&gt;U$5),"■","")))</x:f>
      </x:c>
      <x:c r="V185" s="7" t="str">
        <x:f>IF(OR($D185="",V$5="",'상세일정'!AM185="제외"),"",IF($D185=$E185,IF(AND($D185&gt;=V$5,$D185&lt;V$5+7),"◆",""),IF(AND($D185&lt;V$5+7,$E185&gt;V$5),"■","")))</x:f>
      </x:c>
      <x:c r="W185" s="7" t="str">
        <x:f>IF(OR($D185="",W$5="",'상세일정'!AM185="제외"),"",IF($D185=$E185,IF(AND($D185&gt;=W$5,$D185&lt;W$5+7),"◆",""),IF(AND($D185&lt;W$5+7,$E185&gt;W$5),"■","")))</x:f>
      </x:c>
      <x:c r="X185" s="7" t="str">
        <x:f>IF(OR($D185="",X$5="",'상세일정'!AM185="제외"),"",IF($D185=$E185,IF(AND($D185&gt;=X$5,$D185&lt;X$5+7),"◆",""),IF(AND($D185&lt;X$5+7,$E185&gt;X$5),"■","")))</x:f>
      </x:c>
      <x:c r="Y185" s="7" t="str">
        <x:f>IF(OR($D185="",Y$5="",'상세일정'!AM185="제외"),"",IF($D185=$E185,IF(AND($D185&gt;=Y$5,$D185&lt;Y$5+7),"◆",""),IF(AND($D185&lt;Y$5+7,$E185&gt;Y$5),"■","")))</x:f>
      </x:c>
      <x:c r="Z185" s="7" t="str">
        <x:f>IF(OR($D185="",Z$5="",'상세일정'!AM185="제외"),"",IF($D185=$E185,IF(AND($D185&gt;=Z$5,$D185&lt;Z$5+7),"◆",""),IF(AND($D185&lt;Z$5+7,$E185&gt;Z$5),"■","")))</x:f>
      </x:c>
      <x:c r="AA185" s="7" t="str">
        <x:f>IF(OR($D185="",AA$5="",'상세일정'!AM185="제외"),"",IF($D185=$E185,IF(AND($D185&gt;=AA$5,$D185&lt;AA$5+7),"◆",""),IF(AND($D185&lt;AA$5+7,$E185&gt;AA$5),"■","")))</x:f>
      </x:c>
      <x:c r="AB185" s="7" t="str">
        <x:f>IF(OR($D185="",AB$5="",'상세일정'!AM185="제외"),"",IF($D185=$E185,IF(AND($D185&gt;=AB$5,$D185&lt;AB$5+7),"◆",""),IF(AND($D185&lt;AB$5+7,$E185&gt;AB$5),"■","")))</x:f>
      </x:c>
      <x:c r="AC185" s="7" t="str">
        <x:f>IF(OR($D185="",AC$5="",'상세일정'!AM185="제외"),"",IF($D185=$E185,IF(AND($D185&gt;=AC$5,$D185&lt;AC$5+7),"◆",""),IF(AND($D185&lt;AC$5+7,$E185&gt;AC$5),"■","")))</x:f>
      </x:c>
      <x:c r="AD185" s="7" t="str">
        <x:f>IF(OR($D185="",AD$5="",'상세일정'!AM185="제외"),"",IF($D185=$E185,IF(AND($D185&gt;=AD$5,$D185&lt;AD$5+7),"◆",""),IF(AND($D185&lt;AD$5+7,$E185&gt;AD$5),"■","")))</x:f>
      </x:c>
      <x:c r="AE185" s="7" t="str">
        <x:f>IF(OR($D185="",AE$5="",'상세일정'!AM185="제외"),"",IF($D185=$E185,IF(AND($D185&gt;=AE$5,$D185&lt;AE$5+7),"◆",""),IF(AND($D185&lt;AE$5+7,$E185&gt;AE$5),"■","")))</x:f>
      </x:c>
      <x:c r="AF185" s="7" t="str">
        <x:f>IF(OR($D185="",AF$5="",'상세일정'!AM185="제외"),"",IF($D185=$E185,IF(AND($D185&gt;=AF$5,$D185&lt;AF$5+7),"◆",""),IF(AND($D185&lt;AF$5+7,$E185&gt;AF$5),"■","")))</x:f>
      </x:c>
      <x:c r="AG185" s="7" t="str">
        <x:f>IF(OR($D185="",AG$5="",'상세일정'!AM185="제외"),"",IF($D185=$E185,IF(AND($D185&gt;=AG$5,$D185&lt;AG$5+7),"◆",""),IF(AND($D185&lt;AG$5+7,$E185&gt;AG$5),"■","")))</x:f>
      </x:c>
      <x:c r="AH185" s="7" t="str">
        <x:f>IF(OR($D185="",AH$5="",'상세일정'!AM185="제외"),"",IF($D185=$E185,IF(AND($D185&gt;=AH$5,$D185&lt;AH$5+7),"◆",""),IF(AND($D185&lt;AH$5+7,$E185&gt;AH$5),"■","")))</x:f>
      </x:c>
      <x:c r="AI185" s="7" t="str">
        <x:f>IF(OR($D185="",AI$5="",'상세일정'!AM185="제외"),"",IF($D185=$E185,IF(AND($D185&gt;=AI$5,$D185&lt;AI$5+7),"◆",""),IF(AND($D185&lt;AI$5+7,$E185&gt;AI$5),"■","")))</x:f>
      </x:c>
      <x:c r="AJ185" s="7" t="str">
        <x:f>IF(OR($D185="",AJ$5="",'상세일정'!AM185="제외"),"",IF($D185=$E185,IF(AND($D185&gt;=AJ$5,$D185&lt;AJ$5+7),"◆",""),IF(AND($D185&lt;AJ$5+7,$E185&gt;AJ$5),"■","")))</x:f>
      </x:c>
      <x:c r="AK185" s="7" t="str">
        <x:f>IF(OR($D185="",AK$5="",'상세일정'!AM185="제외"),"",IF($D185=$E185,IF(AND($D185&gt;=AK$5,$D185&lt;AK$5+7),"◆",""),IF(AND($D185&lt;AK$5+7,$E185&gt;AK$5),"■","")))</x:f>
      </x:c>
      <x:c r="AL185" s="7" t="str">
        <x:f>IF(OR($D185="",AL$5="",'상세일정'!AM185="제외"),"",IF($D185=$E185,IF(AND($D185&gt;=AL$5,$D185&lt;AL$5+7),"◆",""),IF(AND($D185&lt;AL$5+7,$E185&gt;AL$5),"■","")))</x:f>
      </x:c>
      <x:c r="AM185" s="7" t="str">
        <x:f>IF(OR($D185="",AM$5="",'상세일정'!AM185="제외"),"",IF($D185=$E185,IF(AND($D185&gt;=AM$5,$D185&lt;AM$5+7),"◆",""),IF(AND($D185&lt;AM$5+7,$E185&gt;AM$5),"■","")))</x:f>
      </x:c>
      <x:c r="AN185" s="7" t="str">
        <x:f>IF(OR($D185="",AN$5="",'상세일정'!AM185="제외"),"",IF($D185=$E185,IF(AND($D185&gt;=AN$5,$D185&lt;AN$5+7),"◆",""),IF(AND($D185&lt;AN$5+7,$E185&gt;AN$5),"■","")))</x:f>
      </x:c>
      <x:c r="AO185" s="7" t="str">
        <x:f>IF(OR($D185="",AO$5="",'상세일정'!AM185="제외"),"",IF($D185=$E185,IF(AND($D185&gt;=AO$5,$D185&lt;AO$5+7),"◆",""),IF(AND($D185&lt;AO$5+7,$E185&gt;AO$5),"■","")))</x:f>
      </x:c>
      <x:c r="AP185" s="7" t="str">
        <x:f>IF(OR($D185="",AP$5="",'상세일정'!AM185="제외"),"",IF($D185=$E185,IF(AND($D185&gt;=AP$5,$D185&lt;AP$5+7),"◆",""),IF(AND($D185&lt;AP$5+7,$E185&gt;AP$5),"■","")))</x:f>
      </x:c>
      <x:c r="AQ185" s="7" t="str">
        <x:f>IF(OR($D185="",AQ$5="",'상세일정'!AM185="제외"),"",IF($D185=$E185,IF(AND($D185&gt;=AQ$5,$D185&lt;AQ$5+7),"◆",""),IF(AND($D185&lt;AQ$5+7,$E185&gt;AQ$5),"■","")))</x:f>
      </x:c>
      <x:c r="AR185" s="7" t="str">
        <x:f>IF(OR($D185="",AR$5="",'상세일정'!AM185="제외"),"",IF($D185=$E185,IF(AND($D185&gt;=AR$5,$D185&lt;AR$5+7),"◆",""),IF(AND($D185&lt;AR$5+7,$E185&gt;AR$5),"■","")))</x:f>
      </x:c>
      <x:c r="AS185" s="7" t="str">
        <x:f>IF(OR($D185="",AS$5="",'상세일정'!AM185="제외"),"",IF($D185=$E185,IF(AND($D185&gt;=AS$5,$D185&lt;AS$5+7),"◆",""),IF(AND($D185&lt;AS$5+7,$E185&gt;AS$5),"■","")))</x:f>
      </x:c>
      <x:c r="AT185" s="7" t="str">
        <x:f>IF(OR($D185="",AT$5="",'상세일정'!AM185="제외"),"",IF($D185=$E185,IF(AND($D185&gt;=AT$5,$D185&lt;AT$5+7),"◆",""),IF(AND($D185&lt;AT$5+7,$E185&gt;AT$5),"■","")))</x:f>
      </x:c>
      <x:c r="AU185" s="7" t="str">
        <x:f>IF(OR($D185="",AU$5="",'상세일정'!AM185="제외"),"",IF($D185=$E185,IF(AND($D185&gt;=AU$5,$D185&lt;AU$5+7),"◆",""),IF(AND($D185&lt;AU$5+7,$E185&gt;AU$5),"■","")))</x:f>
      </x:c>
      <x:c r="AV185" s="7" t="str">
        <x:f>IF(OR($D185="",AV$5="",'상세일정'!AM185="제외"),"",IF($D185=$E185,IF(AND($D185&gt;=AV$5,$D185&lt;AV$5+7),"◆",""),IF(AND($D185&lt;AV$5+7,$E185&gt;AV$5),"■","")))</x:f>
      </x:c>
      <x:c r="AW185" s="7" t="str">
        <x:f>IF(OR($D185="",AW$5="",'상세일정'!AM185="제외"),"",IF($D185=$E185,IF(AND($D185&gt;=AW$5,$D185&lt;AW$5+7),"◆",""),IF(AND($D185&lt;AW$5+7,$E185&gt;AW$5),"■","")))</x:f>
      </x:c>
      <x:c r="AX185" s="7" t="str">
        <x:f>IF(OR($D185="",AX$5="",'상세일정'!AM185="제외"),"",IF($D185=$E185,IF(AND($D185&gt;=AX$5,$D185&lt;AX$5+7),"◆",""),IF(AND($D185&lt;AX$5+7,$E185&gt;AX$5),"■","")))</x:f>
      </x:c>
      <x:c r="AY185" s="7" t="str">
        <x:f>IF(OR($D185="",AY$5="",'상세일정'!AM185="제외"),"",IF($D185=$E185,IF(AND($D185&gt;=AY$5,$D185&lt;AY$5+7),"◆",""),IF(AND($D185&lt;AY$5+7,$E185&gt;AY$5),"■","")))</x:f>
      </x:c>
      <x:c r="AZ185" s="7" t="str">
        <x:f>IF(OR($D185="",AZ$5="",'상세일정'!AM185="제외"),"",IF($D185=$E185,IF(AND($D185&gt;=AZ$5,$D185&lt;AZ$5+7),"◆",""),IF(AND($D185&lt;AZ$5+7,$E185&gt;AZ$5),"■","")))</x:f>
      </x:c>
      <x:c r="BA185" s="7" t="str">
        <x:f>IF(OR($D185="",BA$5="",'상세일정'!AM185="제외"),"",IF($D185=$E185,IF(AND($D185&gt;=BA$5,$D185&lt;BA$5+7),"◆",""),IF(AND($D185&lt;BA$5+7,$E185&gt;BA$5),"■","")))</x:f>
      </x:c>
      <x:c r="BB185" s="7" t="str">
        <x:f>IF(OR($D185="",BB$5="",'상세일정'!AM185="제외"),"",IF($D185=$E185,IF(AND($D185&gt;=BB$5,$D185&lt;BB$5+7),"◆",""),IF(AND($D185&lt;BB$5+7,$E185&gt;BB$5),"■","")))</x:f>
      </x:c>
      <x:c r="BC185" s="7" t="str">
        <x:f>IF(OR($D185="",BC$5="",'상세일정'!AM185="제외"),"",IF($D185=$E185,IF(AND($D185&gt;=BC$5,$D185&lt;BC$5+7),"◆",""),IF(AND($D185&lt;BC$5+7,$E185&gt;BC$5),"■","")))</x:f>
      </x:c>
      <x:c r="BD185" s="7" t="str">
        <x:f>IF(OR($D185="",BD$5="",'상세일정'!AM185="제외"),"",IF($D185=$E185,IF(AND($D185&gt;=BD$5,$D185&lt;BD$5+7),"◆",""),IF(AND($D185&lt;BD$5+7,$E185&gt;BD$5),"■","")))</x:f>
      </x:c>
      <x:c r="BE185" s="7" t="str">
        <x:f>IF(OR($D185="",BE$5="",'상세일정'!AM185="제외"),"",IF($D185=$E185,IF(AND($D185&gt;=BE$5,$D185&lt;BE$5+7),"◆",""),IF(AND($D185&lt;BE$5+7,$E185&gt;BE$5),"■","")))</x:f>
      </x:c>
      <x:c r="BF185" s="7" t="str">
        <x:f>IF(OR($D185="",BF$5="",'상세일정'!AM185="제외"),"",IF($D185=$E185,IF(AND($D185&gt;=BF$5,$D185&lt;BF$5+7),"◆",""),IF(AND($D185&lt;BF$5+7,$E185&gt;BF$5),"■","")))</x:f>
      </x:c>
      <x:c r="BG185" s="7" t="str">
        <x:f>IF(OR($D185="",BG$5="",'상세일정'!AM185="제외"),"",IF($D185=$E185,IF(AND($D185&gt;=BG$5,$D185&lt;BG$5+7),"◆",""),IF(AND($D185&lt;BG$5+7,$E185&gt;BG$5),"■","")))</x:f>
      </x:c>
      <x:c r="BH185" s="7" t="str">
        <x:f>IF(OR($D185="",BH$5="",'상세일정'!AM185="제외"),"",IF($D185=$E185,IF(AND($D185&gt;=BH$5,$D185&lt;BH$5+7),"◆",""),IF(AND($D185&lt;BH$5+7,$E185&gt;BH$5),"■","")))</x:f>
      </x:c>
      <x:c r="BI185" s="7" t="str">
        <x:f>IF(OR($D185="",BI$5="",'상세일정'!AM185="제외"),"",IF($D185=$E185,IF(AND($D185&gt;=BI$5,$D185&lt;BI$5+7),"◆",""),IF(AND($D185&lt;BI$5+7,$E185&gt;BI$5),"■","")))</x:f>
      </x:c>
      <x:c r="BJ185" s="7" t="str">
        <x:f>IF(OR($D185="",BJ$5="",'상세일정'!AM185="제외"),"",IF($D185=$E185,IF(AND($D185&gt;=BJ$5,$D185&lt;BJ$5+7),"◆",""),IF(AND($D185&lt;BJ$5+7,$E185&gt;BJ$5),"■","")))</x:f>
      </x:c>
      <x:c r="BK185" s="7" t="str">
        <x:f>IF(OR($D185="",BK$5="",'상세일정'!AM185="제외"),"",IF($D185=$E185,IF(AND($D185&gt;=BK$5,$D185&lt;BK$5+7),"◆",""),IF(AND($D185&lt;BK$5+7,$E185&gt;BK$5),"■","")))</x:f>
      </x:c>
      <x:c r="BL185" s="7" t="str">
        <x:f>IF(OR($D185="",BL$5="",'상세일정'!AM185="제외"),"",IF($D185=$E185,IF(AND($D185&gt;=BL$5,$D185&lt;BL$5+7),"◆",""),IF(AND($D185&lt;BL$5+7,$E185&gt;BL$5),"■","")))</x:f>
      </x:c>
      <x:c r="BM185" s="7" t="str">
        <x:f>IF(OR($D185="",BM$5="",'상세일정'!AM185="제외"),"",IF($D185=$E185,IF(AND($D185&gt;=BM$5,$D185&lt;BM$5+7),"◆",""),IF(AND($D185&lt;BM$5+7,$E185&gt;BM$5),"■","")))</x:f>
      </x:c>
      <x:c r="BN185" s="7" t="str">
        <x:f>IF(OR($D185="",BN$5="",'상세일정'!AM185="제외"),"",IF($D185=$E185,IF(AND($D185&gt;=BN$5,$D185&lt;BN$5+7),"◆",""),IF(AND($D185&lt;BN$5+7,$E185&gt;BN$5),"■","")))</x:f>
      </x:c>
      <x:c r="BO185" s="7" t="str">
        <x:f>IF(OR($D185="",BO$5="",'상세일정'!AM185="제외"),"",IF($D185=$E185,IF(AND($D185&gt;=BO$5,$D185&lt;BO$5+7),"◆",""),IF(AND($D185&lt;BO$5+7,$E185&gt;BO$5),"■","")))</x:f>
      </x:c>
      <x:c r="BP185" s="7" t="str">
        <x:f>IF(OR($D185="",BP$5="",'상세일정'!AM185="제외"),"",IF($D185=$E185,IF(AND($D185&gt;=BP$5,$D185&lt;BP$5+7),"◆",""),IF(AND($D185&lt;BP$5+7,$E185&gt;BP$5),"■","")))</x:f>
      </x:c>
      <x:c r="BQ185" s="7" t="str">
        <x:f>IF(OR($D185="",BQ$5="",'상세일정'!AM185="제외"),"",IF($D185=$E185,IF(AND($D185&gt;=BQ$5,$D185&lt;BQ$5+7),"◆",""),IF(AND($D185&lt;BQ$5+7,$E185&gt;BQ$5),"■","")))</x:f>
      </x:c>
      <x:c r="BR185" s="7" t="str">
        <x:f>IF(OR($D185="",BR$5="",'상세일정'!AM185="제외"),"",IF($D185=$E185,IF(AND($D185&gt;=BR$5,$D185&lt;BR$5+7),"◆",""),IF(AND($D185&lt;BR$5+7,$E185&gt;BR$5),"■","")))</x:f>
      </x:c>
      <x:c r="BS185" s="7" t="str">
        <x:f>IF(OR($D185="",BS$5="",'상세일정'!AM185="제외"),"",IF($D185=$E185,IF(AND($D185&gt;=BS$5,$D185&lt;BS$5+7),"◆",""),IF(AND($D185&lt;BS$5+7,$E185&gt;BS$5),"■","")))</x:f>
      </x:c>
      <x:c r="BT185" s="7" t="str">
        <x:f>IF(OR($D185="",BT$5="",'상세일정'!AM185="제외"),"",IF($D185=$E185,IF(AND($D185&gt;=BT$5,$D185&lt;BT$5+7),"◆",""),IF(AND($D185&lt;BT$5+7,$E185&gt;BT$5),"■","")))</x:f>
      </x:c>
      <x:c r="BU185" s="7" t="str">
        <x:f>IF(OR($D185="",BU$5="",'상세일정'!AM185="제외"),"",IF($D185=$E185,IF(AND($D185&gt;=BU$5,$D185&lt;BU$5+7),"◆",""),IF(AND($D185&lt;BU$5+7,$E185&gt;BU$5),"■","")))</x:f>
      </x:c>
      <x:c r="BV185" s="7" t="str">
        <x:f>IF(OR($D185="",BV$5="",'상세일정'!AM185="제외"),"",IF($D185=$E185,IF(AND($D185&gt;=BV$5,$D185&lt;BV$5+7),"◆",""),IF(AND($D185&lt;BV$5+7,$E185&gt;BV$5),"■","")))</x:f>
      </x:c>
      <x:c r="BW185" s="7" t="str">
        <x:f>IF(OR($D185="",BW$5="",'상세일정'!AM185="제외"),"",IF($D185=$E185,IF(AND($D185&gt;=BW$5,$D185&lt;BW$5+7),"◆",""),IF(AND($D185&lt;BW$5+7,$E185&gt;BW$5),"■","")))</x:f>
      </x:c>
      <x:c r="BX185" s="7" t="str">
        <x:f>IF(OR($D185="",BX$5="",'상세일정'!AM185="제외"),"",IF($D185=$E185,IF(AND($D185&gt;=BX$5,$D185&lt;BX$5+7),"◆",""),IF(AND($D185&lt;BX$5+7,$E185&gt;BX$5),"■","")))</x:f>
      </x:c>
      <x:c r="BY185" s="7" t="str">
        <x:f>IF(OR($D185="",BY$5="",'상세일정'!AM185="제외"),"",IF($D185=$E185,IF(AND($D185&gt;=BY$5,$D185&lt;BY$5+7),"◆",""),IF(AND($D185&lt;BY$5+7,$E185&gt;BY$5),"■","")))</x:f>
      </x:c>
      <x:c r="BZ185" s="7" t="str">
        <x:f>IF(OR($D185="",BZ$5="",'상세일정'!AM185="제외"),"",IF($D185=$E185,IF(AND($D185&gt;=BZ$5,$D185&lt;BZ$5+7),"◆",""),IF(AND($D185&lt;BZ$5+7,$E185&gt;BZ$5),"■","")))</x:f>
      </x:c>
      <x:c r="CA185" s="7" t="str">
        <x:f>IF(OR($D185="",CA$5="",'상세일정'!AM185="제외"),"",IF($D185=$E185,IF(AND($D185&gt;=CA$5,$D185&lt;CA$5+7),"◆",""),IF(AND($D185&lt;CA$5+7,$E185&gt;CA$5),"■","")))</x:f>
      </x:c>
      <x:c r="CB185" s="7" t="str">
        <x:f>IF(OR($D185="",CB$5="",'상세일정'!AM185="제외"),"",IF($D185=$E185,IF(AND($D185&gt;=CB$5,$D185&lt;CB$5+7),"◆",""),IF(AND($D185&lt;CB$5+7,$E185&gt;CB$5),"■","")))</x:f>
      </x:c>
      <x:c r="CC185" s="7" t="str">
        <x:f>IF(OR($D185="",CC$5="",'상세일정'!AM185="제외"),"",IF($D185=$E185,IF(AND($D185&gt;=CC$5,$D185&lt;CC$5+7),"◆",""),IF(AND($D185&lt;CC$5+7,$E185&gt;CC$5),"■","")))</x:f>
      </x:c>
      <x:c r="CD185" s="7" t="str">
        <x:f>IF(OR($D185="",CD$5="",'상세일정'!AM185="제외"),"",IF($D185=$E185,IF(AND($D185&gt;=CD$5,$D185&lt;CD$5+7),"◆",""),IF(AND($D185&lt;CD$5+7,$E185&gt;CD$5),"■","")))</x:f>
      </x:c>
      <x:c r="CE185" s="7" t="str">
        <x:f>IF(OR($D185="",CE$5="",'상세일정'!AM185="제외"),"",IF($D185=$E185,IF(AND($D185&gt;=CE$5,$D185&lt;CE$5+7),"◆",""),IF(AND($D185&lt;CE$5+7,$E185&gt;CE$5),"■","")))</x:f>
      </x:c>
      <x:c r="CF185" s="7" t="str">
        <x:f>IF(OR($D185="",CF$5="",'상세일정'!AM185="제외"),"",IF($D185=$E185,IF(AND($D185&gt;=CF$5,$D185&lt;CF$5+7),"◆",""),IF(AND($D185&lt;CF$5+7,$E185&gt;CF$5),"■","")))</x:f>
      </x:c>
      <x:c r="CG185" s="7" t="str">
        <x:f>IF(OR($D185="",CG$5="",'상세일정'!AM185="제외"),"",IF($D185=$E185,IF(AND($D185&gt;=CG$5,$D185&lt;CG$5+7),"◆",""),IF(AND($D185&lt;CG$5+7,$E185&gt;CG$5),"■","")))</x:f>
      </x:c>
      <x:c r="CH185" s="7" t="str">
        <x:f>IF(OR($D185="",CH$5="",'상세일정'!AM185="제외"),"",IF($D185=$E185,IF(AND($D185&gt;=CH$5,$D185&lt;CH$5+7),"◆",""),IF(AND($D185&lt;CH$5+7,$E185&gt;CH$5),"■","")))</x:f>
      </x:c>
      <x:c r="CI185" s="7" t="str">
        <x:f>IF(OR($D185="",CI$5="",'상세일정'!AM185="제외"),"",IF($D185=$E185,IF(AND($D185&gt;=CI$5,$D185&lt;CI$5+7),"◆",""),IF(AND($D185&lt;CI$5+7,$E185&gt;CI$5),"■","")))</x:f>
      </x:c>
      <x:c r="CJ185" s="7" t="str">
        <x:f>IF(OR($D185="",CJ$5="",'상세일정'!AM185="제외"),"",IF($D185=$E185,IF(AND($D185&gt;=CJ$5,$D185&lt;CJ$5+7),"◆",""),IF(AND($D185&lt;CJ$5+7,$E185&gt;CJ$5),"■","")))</x:f>
      </x:c>
      <x:c r="CK185" s="7" t="str">
        <x:f>IF(OR($D185="",CK$5="",'상세일정'!AM185="제외"),"",IF($D185=$E185,IF(AND($D185&gt;=CK$5,$D185&lt;CK$5+7),"◆",""),IF(AND($D185&lt;CK$5+7,$E185&gt;CK$5),"■","")))</x:f>
      </x:c>
      <x:c r="CL185" s="7" t="str">
        <x:f>IF(OR($D185="",CL$5="",'상세일정'!AM185="제외"),"",IF($D185=$E185,IF(AND($D185&gt;=CL$5,$D185&lt;CL$5+7),"◆",""),IF(AND($D185&lt;CL$5+7,$E185&gt;CL$5),"■","")))</x:f>
      </x:c>
      <x:c r="CM185" s="7" t="str">
        <x:f>IF(OR($D185="",CM$5="",'상세일정'!AM185="제외"),"",IF($D185=$E185,IF(AND($D185&gt;=CM$5,$D185&lt;CM$5+7),"◆",""),IF(AND($D185&lt;CM$5+7,$E185&gt;CM$5),"■","")))</x:f>
      </x:c>
      <x:c r="CN185" s="7" t="str">
        <x:f>IF(OR($D185="",CN$5="",'상세일정'!AM185="제외"),"",IF($D185=$E185,IF(AND($D185&gt;=CN$5,$D185&lt;CN$5+7),"◆",""),IF(AND($D185&lt;CN$5+7,$E185&gt;CN$5),"■","")))</x:f>
      </x:c>
      <x:c r="CO185" s="7" t="str">
        <x:f>IF(OR($D185="",CO$5="",'상세일정'!AM185="제외"),"",IF($D185=$E185,IF(AND($D185&gt;=CO$5,$D185&lt;CO$5+7),"◆",""),IF(AND($D185&lt;CO$5+7,$E185&gt;CO$5),"■","")))</x:f>
      </x:c>
      <x:c r="CP185" s="7" t="str">
        <x:f>IF(OR($D185="",CP$5="",'상세일정'!AM185="제외"),"",IF($D185=$E185,IF(AND($D185&gt;=CP$5,$D185&lt;CP$5+7),"◆",""),IF(AND($D185&lt;CP$5+7,$E185&gt;CP$5),"■","")))</x:f>
      </x:c>
      <x:c r="CQ185" s="7" t="str">
        <x:f>IF(OR($D185="",CQ$5="",'상세일정'!AM185="제외"),"",IF($D185=$E185,IF(AND($D185&gt;=CQ$5,$D185&lt;CQ$5+7),"◆",""),IF(AND($D185&lt;CQ$5+7,$E185&gt;CQ$5),"■","")))</x:f>
      </x:c>
      <x:c r="CR185" s="7" t="str">
        <x:f>IF(OR($D185="",CR$5="",'상세일정'!AM185="제외"),"",IF($D185=$E185,IF(AND($D185&gt;=CR$5,$D185&lt;CR$5+7),"◆",""),IF(AND($D185&lt;CR$5+7,$E185&gt;CR$5),"■","")))</x:f>
      </x:c>
      <x:c r="CS185" s="7" t="str">
        <x:f>IF(OR($D185="",CS$5="",'상세일정'!AM185="제외"),"",IF($D185=$E185,IF(AND($D185&gt;=CS$5,$D185&lt;CS$5+7),"◆",""),IF(AND($D185&lt;CS$5+7,$E185&gt;CS$5),"■","")))</x:f>
      </x:c>
      <x:c r="CT185" s="7" t="str">
        <x:f>IF(OR($D185="",CT$5="",'상세일정'!AM185="제외"),"",IF($D185=$E185,IF(AND($D185&gt;=CT$5,$D185&lt;CT$5+7),"◆",""),IF(AND($D185&lt;CT$5+7,$E185&gt;CT$5),"■","")))</x:f>
      </x:c>
      <x:c r="CU185" s="7" t="str">
        <x:f>IF(OR($D185="",CU$5="",'상세일정'!AM185="제외"),"",IF($D185=$E185,IF(AND($D185&gt;=CU$5,$D185&lt;CU$5+7),"◆",""),IF(AND($D185&lt;CU$5+7,$E185&gt;CU$5),"■","")))</x:f>
      </x:c>
      <x:c r="CV185" s="7" t="str">
        <x:f>IF(OR($D185="",CV$5="",'상세일정'!AM185="제외"),"",IF($D185=$E185,IF(AND($D185&gt;=CV$5,$D185&lt;CV$5+7),"◆",""),IF(AND($D185&lt;CV$5+7,$E185&gt;CV$5),"■","")))</x:f>
      </x:c>
      <x:c r="CW185" s="7" t="str">
        <x:f>IF(OR($D185="",CW$5="",'상세일정'!AM185="제외"),"",IF($D185=$E185,IF(AND($D185&gt;=CW$5,$D185&lt;CW$5+7),"◆",""),IF(AND($D185&lt;CW$5+7,$E185&gt;CW$5),"■","")))</x:f>
      </x:c>
      <x:c r="CX185" s="7" t="str">
        <x:f>IF(OR($D185="",CX$5="",'상세일정'!AM185="제외"),"",IF($D185=$E185,IF(AND($D185&gt;=CX$5,$D185&lt;CX$5+7),"◆",""),IF(AND($D185&lt;CX$5+7,$E185&gt;CX$5),"■","")))</x:f>
      </x:c>
      <x:c r="CY185" s="7" t="str">
        <x:f>IF(OR($D185="",CY$5="",'상세일정'!AM185="제외"),"",IF($D185=$E185,IF(AND($D185&gt;=CY$5,$D185&lt;CY$5+7),"◆",""),IF(AND($D185&lt;CY$5+7,$E185&gt;CY$5),"■","")))</x:f>
      </x:c>
      <x:c r="CZ185" s="7" t="str">
        <x:f>IF(OR($D185="",CZ$5="",'상세일정'!AM185="제외"),"",IF($D185=$E185,IF(AND($D185&gt;=CZ$5,$D185&lt;CZ$5+7),"◆",""),IF(AND($D185&lt;CZ$5+7,$E185&gt;CZ$5),"■","")))</x:f>
      </x:c>
      <x:c r="DA185" s="7" t="str">
        <x:f>IF(OR($D185="",DA$5="",'상세일정'!AM185="제외"),"",IF($D185=$E185,IF(AND($D185&gt;=DA$5,$D185&lt;DA$5+7),"◆",""),IF(AND($D185&lt;DA$5+7,$E185&gt;DA$5),"■","")))</x:f>
      </x:c>
      <x:c r="DB185" s="7" t="str">
        <x:f>IF(OR($D185="",DB$5="",'상세일정'!AM185="제외"),"",IF($D185=$E185,IF(AND($D185&gt;=DB$5,$D185&lt;DB$5+7),"◆",""),IF(AND($D185&lt;DB$5+7,$E185&gt;DB$5),"■","")))</x:f>
      </x:c>
      <x:c r="DC185" s="7" t="str">
        <x:f>IF(OR($D185="",DC$5="",'상세일정'!AM185="제외"),"",IF($D185=$E185,IF(AND($D185&gt;=DC$5,$D185&lt;DC$5+7),"◆",""),IF(AND($D185&lt;DC$5+7,$E185&gt;DC$5),"■","")))</x:f>
      </x:c>
      <x:c r="DD185" s="7" t="str">
        <x:f>IF(OR($D185="",DD$5="",'상세일정'!AM185="제외"),"",IF($D185=$E185,IF(AND($D185&gt;=DD$5,$D185&lt;DD$5+7),"◆",""),IF(AND($D185&lt;DD$5+7,$E185&gt;DD$5),"■","")))</x:f>
      </x:c>
      <x:c r="DE185" s="7" t="str">
        <x:f>IF(OR($D185="",DE$5="",'상세일정'!AM185="제외"),"",IF($D185=$E185,IF(AND($D185&gt;=DE$5,$D185&lt;DE$5+7),"◆",""),IF(AND($D185&lt;DE$5+7,$E185&gt;DE$5),"■","")))</x:f>
      </x:c>
    </x:row>
    <x:row r="186" ht="34" customHeight="1">
      <x:c r="A186" s="7" t="str">
        <x:v>INTK01</x:v>
      </x:c>
      <x:c r="B186" s="7" t="str">
        <x:v>21 설비 설치</x:v>
      </x:c>
      <x:c r="C186" s="7" t="str">
        <x:v>저장용기·버퍼탱크 반입·양중·고정·정렬</x:v>
      </x:c>
      <x:c r="D186" s="10" t="str">
        <x:f>'상세일정'!AJ186</x:f>
      </x:c>
      <x:c r="E186" s="10" t="str">
        <x:f>'상세일정'!AK186</x:f>
      </x:c>
      <x:c r="F186" s="7" t="str">
        <x:f>IF(OR($D186="",F$5="",'상세일정'!AM186="제외"),"",IF($D186=$E186,IF(AND($D186&gt;=F$5,$D186&lt;F$5+7),"◆",""),IF(AND($D186&lt;F$5+7,$E186&gt;F$5),"■","")))</x:f>
      </x:c>
      <x:c r="G186" s="7" t="str">
        <x:f>IF(OR($D186="",G$5="",'상세일정'!AM186="제외"),"",IF($D186=$E186,IF(AND($D186&gt;=G$5,$D186&lt;G$5+7),"◆",""),IF(AND($D186&lt;G$5+7,$E186&gt;G$5),"■","")))</x:f>
      </x:c>
      <x:c r="H186" s="7" t="str">
        <x:f>IF(OR($D186="",H$5="",'상세일정'!AM186="제외"),"",IF($D186=$E186,IF(AND($D186&gt;=H$5,$D186&lt;H$5+7),"◆",""),IF(AND($D186&lt;H$5+7,$E186&gt;H$5),"■","")))</x:f>
      </x:c>
      <x:c r="I186" s="7" t="str">
        <x:f>IF(OR($D186="",I$5="",'상세일정'!AM186="제외"),"",IF($D186=$E186,IF(AND($D186&gt;=I$5,$D186&lt;I$5+7),"◆",""),IF(AND($D186&lt;I$5+7,$E186&gt;I$5),"■","")))</x:f>
      </x:c>
      <x:c r="J186" s="7" t="str">
        <x:f>IF(OR($D186="",J$5="",'상세일정'!AM186="제외"),"",IF($D186=$E186,IF(AND($D186&gt;=J$5,$D186&lt;J$5+7),"◆",""),IF(AND($D186&lt;J$5+7,$E186&gt;J$5),"■","")))</x:f>
      </x:c>
      <x:c r="K186" s="7" t="str">
        <x:f>IF(OR($D186="",K$5="",'상세일정'!AM186="제외"),"",IF($D186=$E186,IF(AND($D186&gt;=K$5,$D186&lt;K$5+7),"◆",""),IF(AND($D186&lt;K$5+7,$E186&gt;K$5),"■","")))</x:f>
      </x:c>
      <x:c r="L186" s="7" t="str">
        <x:f>IF(OR($D186="",L$5="",'상세일정'!AM186="제외"),"",IF($D186=$E186,IF(AND($D186&gt;=L$5,$D186&lt;L$5+7),"◆",""),IF(AND($D186&lt;L$5+7,$E186&gt;L$5),"■","")))</x:f>
      </x:c>
      <x:c r="M186" s="7" t="str">
        <x:f>IF(OR($D186="",M$5="",'상세일정'!AM186="제외"),"",IF($D186=$E186,IF(AND($D186&gt;=M$5,$D186&lt;M$5+7),"◆",""),IF(AND($D186&lt;M$5+7,$E186&gt;M$5),"■","")))</x:f>
      </x:c>
      <x:c r="N186" s="7" t="str">
        <x:f>IF(OR($D186="",N$5="",'상세일정'!AM186="제외"),"",IF($D186=$E186,IF(AND($D186&gt;=N$5,$D186&lt;N$5+7),"◆",""),IF(AND($D186&lt;N$5+7,$E186&gt;N$5),"■","")))</x:f>
      </x:c>
      <x:c r="O186" s="7" t="str">
        <x:f>IF(OR($D186="",O$5="",'상세일정'!AM186="제외"),"",IF($D186=$E186,IF(AND($D186&gt;=O$5,$D186&lt;O$5+7),"◆",""),IF(AND($D186&lt;O$5+7,$E186&gt;O$5),"■","")))</x:f>
      </x:c>
      <x:c r="P186" s="7" t="str">
        <x:f>IF(OR($D186="",P$5="",'상세일정'!AM186="제외"),"",IF($D186=$E186,IF(AND($D186&gt;=P$5,$D186&lt;P$5+7),"◆",""),IF(AND($D186&lt;P$5+7,$E186&gt;P$5),"■","")))</x:f>
      </x:c>
      <x:c r="Q186" s="7" t="str">
        <x:f>IF(OR($D186="",Q$5="",'상세일정'!AM186="제외"),"",IF($D186=$E186,IF(AND($D186&gt;=Q$5,$D186&lt;Q$5+7),"◆",""),IF(AND($D186&lt;Q$5+7,$E186&gt;Q$5),"■","")))</x:f>
      </x:c>
      <x:c r="R186" s="7" t="str">
        <x:f>IF(OR($D186="",R$5="",'상세일정'!AM186="제외"),"",IF($D186=$E186,IF(AND($D186&gt;=R$5,$D186&lt;R$5+7),"◆",""),IF(AND($D186&lt;R$5+7,$E186&gt;R$5),"■","")))</x:f>
      </x:c>
      <x:c r="S186" s="7" t="str">
        <x:f>IF(OR($D186="",S$5="",'상세일정'!AM186="제외"),"",IF($D186=$E186,IF(AND($D186&gt;=S$5,$D186&lt;S$5+7),"◆",""),IF(AND($D186&lt;S$5+7,$E186&gt;S$5),"■","")))</x:f>
      </x:c>
      <x:c r="T186" s="7" t="str">
        <x:f>IF(OR($D186="",T$5="",'상세일정'!AM186="제외"),"",IF($D186=$E186,IF(AND($D186&gt;=T$5,$D186&lt;T$5+7),"◆",""),IF(AND($D186&lt;T$5+7,$E186&gt;T$5),"■","")))</x:f>
      </x:c>
      <x:c r="U186" s="7" t="str">
        <x:f>IF(OR($D186="",U$5="",'상세일정'!AM186="제외"),"",IF($D186=$E186,IF(AND($D186&gt;=U$5,$D186&lt;U$5+7),"◆",""),IF(AND($D186&lt;U$5+7,$E186&gt;U$5),"■","")))</x:f>
      </x:c>
      <x:c r="V186" s="7" t="str">
        <x:f>IF(OR($D186="",V$5="",'상세일정'!AM186="제외"),"",IF($D186=$E186,IF(AND($D186&gt;=V$5,$D186&lt;V$5+7),"◆",""),IF(AND($D186&lt;V$5+7,$E186&gt;V$5),"■","")))</x:f>
      </x:c>
      <x:c r="W186" s="7" t="str">
        <x:f>IF(OR($D186="",W$5="",'상세일정'!AM186="제외"),"",IF($D186=$E186,IF(AND($D186&gt;=W$5,$D186&lt;W$5+7),"◆",""),IF(AND($D186&lt;W$5+7,$E186&gt;W$5),"■","")))</x:f>
      </x:c>
      <x:c r="X186" s="7" t="str">
        <x:f>IF(OR($D186="",X$5="",'상세일정'!AM186="제외"),"",IF($D186=$E186,IF(AND($D186&gt;=X$5,$D186&lt;X$5+7),"◆",""),IF(AND($D186&lt;X$5+7,$E186&gt;X$5),"■","")))</x:f>
      </x:c>
      <x:c r="Y186" s="7" t="str">
        <x:f>IF(OR($D186="",Y$5="",'상세일정'!AM186="제외"),"",IF($D186=$E186,IF(AND($D186&gt;=Y$5,$D186&lt;Y$5+7),"◆",""),IF(AND($D186&lt;Y$5+7,$E186&gt;Y$5),"■","")))</x:f>
      </x:c>
      <x:c r="Z186" s="7" t="str">
        <x:f>IF(OR($D186="",Z$5="",'상세일정'!AM186="제외"),"",IF($D186=$E186,IF(AND($D186&gt;=Z$5,$D186&lt;Z$5+7),"◆",""),IF(AND($D186&lt;Z$5+7,$E186&gt;Z$5),"■","")))</x:f>
      </x:c>
      <x:c r="AA186" s="7" t="str">
        <x:f>IF(OR($D186="",AA$5="",'상세일정'!AM186="제외"),"",IF($D186=$E186,IF(AND($D186&gt;=AA$5,$D186&lt;AA$5+7),"◆",""),IF(AND($D186&lt;AA$5+7,$E186&gt;AA$5),"■","")))</x:f>
      </x:c>
      <x:c r="AB186" s="7" t="str">
        <x:f>IF(OR($D186="",AB$5="",'상세일정'!AM186="제외"),"",IF($D186=$E186,IF(AND($D186&gt;=AB$5,$D186&lt;AB$5+7),"◆",""),IF(AND($D186&lt;AB$5+7,$E186&gt;AB$5),"■","")))</x:f>
      </x:c>
      <x:c r="AC186" s="7" t="str">
        <x:f>IF(OR($D186="",AC$5="",'상세일정'!AM186="제외"),"",IF($D186=$E186,IF(AND($D186&gt;=AC$5,$D186&lt;AC$5+7),"◆",""),IF(AND($D186&lt;AC$5+7,$E186&gt;AC$5),"■","")))</x:f>
      </x:c>
      <x:c r="AD186" s="7" t="str">
        <x:f>IF(OR($D186="",AD$5="",'상세일정'!AM186="제외"),"",IF($D186=$E186,IF(AND($D186&gt;=AD$5,$D186&lt;AD$5+7),"◆",""),IF(AND($D186&lt;AD$5+7,$E186&gt;AD$5),"■","")))</x:f>
      </x:c>
      <x:c r="AE186" s="7" t="str">
        <x:f>IF(OR($D186="",AE$5="",'상세일정'!AM186="제외"),"",IF($D186=$E186,IF(AND($D186&gt;=AE$5,$D186&lt;AE$5+7),"◆",""),IF(AND($D186&lt;AE$5+7,$E186&gt;AE$5),"■","")))</x:f>
      </x:c>
      <x:c r="AF186" s="7" t="str">
        <x:f>IF(OR($D186="",AF$5="",'상세일정'!AM186="제외"),"",IF($D186=$E186,IF(AND($D186&gt;=AF$5,$D186&lt;AF$5+7),"◆",""),IF(AND($D186&lt;AF$5+7,$E186&gt;AF$5),"■","")))</x:f>
      </x:c>
      <x:c r="AG186" s="7" t="str">
        <x:f>IF(OR($D186="",AG$5="",'상세일정'!AM186="제외"),"",IF($D186=$E186,IF(AND($D186&gt;=AG$5,$D186&lt;AG$5+7),"◆",""),IF(AND($D186&lt;AG$5+7,$E186&gt;AG$5),"■","")))</x:f>
      </x:c>
      <x:c r="AH186" s="7" t="str">
        <x:f>IF(OR($D186="",AH$5="",'상세일정'!AM186="제외"),"",IF($D186=$E186,IF(AND($D186&gt;=AH$5,$D186&lt;AH$5+7),"◆",""),IF(AND($D186&lt;AH$5+7,$E186&gt;AH$5),"■","")))</x:f>
      </x:c>
      <x:c r="AI186" s="7" t="str">
        <x:f>IF(OR($D186="",AI$5="",'상세일정'!AM186="제외"),"",IF($D186=$E186,IF(AND($D186&gt;=AI$5,$D186&lt;AI$5+7),"◆",""),IF(AND($D186&lt;AI$5+7,$E186&gt;AI$5),"■","")))</x:f>
      </x:c>
      <x:c r="AJ186" s="7" t="str">
        <x:f>IF(OR($D186="",AJ$5="",'상세일정'!AM186="제외"),"",IF($D186=$E186,IF(AND($D186&gt;=AJ$5,$D186&lt;AJ$5+7),"◆",""),IF(AND($D186&lt;AJ$5+7,$E186&gt;AJ$5),"■","")))</x:f>
      </x:c>
      <x:c r="AK186" s="7" t="str">
        <x:f>IF(OR($D186="",AK$5="",'상세일정'!AM186="제외"),"",IF($D186=$E186,IF(AND($D186&gt;=AK$5,$D186&lt;AK$5+7),"◆",""),IF(AND($D186&lt;AK$5+7,$E186&gt;AK$5),"■","")))</x:f>
      </x:c>
      <x:c r="AL186" s="7" t="str">
        <x:f>IF(OR($D186="",AL$5="",'상세일정'!AM186="제외"),"",IF($D186=$E186,IF(AND($D186&gt;=AL$5,$D186&lt;AL$5+7),"◆",""),IF(AND($D186&lt;AL$5+7,$E186&gt;AL$5),"■","")))</x:f>
      </x:c>
      <x:c r="AM186" s="7" t="str">
        <x:f>IF(OR($D186="",AM$5="",'상세일정'!AM186="제외"),"",IF($D186=$E186,IF(AND($D186&gt;=AM$5,$D186&lt;AM$5+7),"◆",""),IF(AND($D186&lt;AM$5+7,$E186&gt;AM$5),"■","")))</x:f>
      </x:c>
      <x:c r="AN186" s="7" t="str">
        <x:f>IF(OR($D186="",AN$5="",'상세일정'!AM186="제외"),"",IF($D186=$E186,IF(AND($D186&gt;=AN$5,$D186&lt;AN$5+7),"◆",""),IF(AND($D186&lt;AN$5+7,$E186&gt;AN$5),"■","")))</x:f>
      </x:c>
      <x:c r="AO186" s="7" t="str">
        <x:f>IF(OR($D186="",AO$5="",'상세일정'!AM186="제외"),"",IF($D186=$E186,IF(AND($D186&gt;=AO$5,$D186&lt;AO$5+7),"◆",""),IF(AND($D186&lt;AO$5+7,$E186&gt;AO$5),"■","")))</x:f>
      </x:c>
      <x:c r="AP186" s="7" t="str">
        <x:f>IF(OR($D186="",AP$5="",'상세일정'!AM186="제외"),"",IF($D186=$E186,IF(AND($D186&gt;=AP$5,$D186&lt;AP$5+7),"◆",""),IF(AND($D186&lt;AP$5+7,$E186&gt;AP$5),"■","")))</x:f>
      </x:c>
      <x:c r="AQ186" s="7" t="str">
        <x:f>IF(OR($D186="",AQ$5="",'상세일정'!AM186="제외"),"",IF($D186=$E186,IF(AND($D186&gt;=AQ$5,$D186&lt;AQ$5+7),"◆",""),IF(AND($D186&lt;AQ$5+7,$E186&gt;AQ$5),"■","")))</x:f>
      </x:c>
      <x:c r="AR186" s="7" t="str">
        <x:f>IF(OR($D186="",AR$5="",'상세일정'!AM186="제외"),"",IF($D186=$E186,IF(AND($D186&gt;=AR$5,$D186&lt;AR$5+7),"◆",""),IF(AND($D186&lt;AR$5+7,$E186&gt;AR$5),"■","")))</x:f>
      </x:c>
      <x:c r="AS186" s="7" t="str">
        <x:f>IF(OR($D186="",AS$5="",'상세일정'!AM186="제외"),"",IF($D186=$E186,IF(AND($D186&gt;=AS$5,$D186&lt;AS$5+7),"◆",""),IF(AND($D186&lt;AS$5+7,$E186&gt;AS$5),"■","")))</x:f>
      </x:c>
      <x:c r="AT186" s="7" t="str">
        <x:f>IF(OR($D186="",AT$5="",'상세일정'!AM186="제외"),"",IF($D186=$E186,IF(AND($D186&gt;=AT$5,$D186&lt;AT$5+7),"◆",""),IF(AND($D186&lt;AT$5+7,$E186&gt;AT$5),"■","")))</x:f>
      </x:c>
      <x:c r="AU186" s="7" t="str">
        <x:f>IF(OR($D186="",AU$5="",'상세일정'!AM186="제외"),"",IF($D186=$E186,IF(AND($D186&gt;=AU$5,$D186&lt;AU$5+7),"◆",""),IF(AND($D186&lt;AU$5+7,$E186&gt;AU$5),"■","")))</x:f>
      </x:c>
      <x:c r="AV186" s="7" t="str">
        <x:f>IF(OR($D186="",AV$5="",'상세일정'!AM186="제외"),"",IF($D186=$E186,IF(AND($D186&gt;=AV$5,$D186&lt;AV$5+7),"◆",""),IF(AND($D186&lt;AV$5+7,$E186&gt;AV$5),"■","")))</x:f>
      </x:c>
      <x:c r="AW186" s="7" t="str">
        <x:f>IF(OR($D186="",AW$5="",'상세일정'!AM186="제외"),"",IF($D186=$E186,IF(AND($D186&gt;=AW$5,$D186&lt;AW$5+7),"◆",""),IF(AND($D186&lt;AW$5+7,$E186&gt;AW$5),"■","")))</x:f>
      </x:c>
      <x:c r="AX186" s="7" t="str">
        <x:f>IF(OR($D186="",AX$5="",'상세일정'!AM186="제외"),"",IF($D186=$E186,IF(AND($D186&gt;=AX$5,$D186&lt;AX$5+7),"◆",""),IF(AND($D186&lt;AX$5+7,$E186&gt;AX$5),"■","")))</x:f>
      </x:c>
      <x:c r="AY186" s="7" t="str">
        <x:f>IF(OR($D186="",AY$5="",'상세일정'!AM186="제외"),"",IF($D186=$E186,IF(AND($D186&gt;=AY$5,$D186&lt;AY$5+7),"◆",""),IF(AND($D186&lt;AY$5+7,$E186&gt;AY$5),"■","")))</x:f>
      </x:c>
      <x:c r="AZ186" s="7" t="str">
        <x:f>IF(OR($D186="",AZ$5="",'상세일정'!AM186="제외"),"",IF($D186=$E186,IF(AND($D186&gt;=AZ$5,$D186&lt;AZ$5+7),"◆",""),IF(AND($D186&lt;AZ$5+7,$E186&gt;AZ$5),"■","")))</x:f>
      </x:c>
      <x:c r="BA186" s="7" t="str">
        <x:f>IF(OR($D186="",BA$5="",'상세일정'!AM186="제외"),"",IF($D186=$E186,IF(AND($D186&gt;=BA$5,$D186&lt;BA$5+7),"◆",""),IF(AND($D186&lt;BA$5+7,$E186&gt;BA$5),"■","")))</x:f>
      </x:c>
      <x:c r="BB186" s="7" t="str">
        <x:f>IF(OR($D186="",BB$5="",'상세일정'!AM186="제외"),"",IF($D186=$E186,IF(AND($D186&gt;=BB$5,$D186&lt;BB$5+7),"◆",""),IF(AND($D186&lt;BB$5+7,$E186&gt;BB$5),"■","")))</x:f>
      </x:c>
      <x:c r="BC186" s="7" t="str">
        <x:f>IF(OR($D186="",BC$5="",'상세일정'!AM186="제외"),"",IF($D186=$E186,IF(AND($D186&gt;=BC$5,$D186&lt;BC$5+7),"◆",""),IF(AND($D186&lt;BC$5+7,$E186&gt;BC$5),"■","")))</x:f>
      </x:c>
      <x:c r="BD186" s="7" t="str">
        <x:f>IF(OR($D186="",BD$5="",'상세일정'!AM186="제외"),"",IF($D186=$E186,IF(AND($D186&gt;=BD$5,$D186&lt;BD$5+7),"◆",""),IF(AND($D186&lt;BD$5+7,$E186&gt;BD$5),"■","")))</x:f>
      </x:c>
      <x:c r="BE186" s="7" t="str">
        <x:f>IF(OR($D186="",BE$5="",'상세일정'!AM186="제외"),"",IF($D186=$E186,IF(AND($D186&gt;=BE$5,$D186&lt;BE$5+7),"◆",""),IF(AND($D186&lt;BE$5+7,$E186&gt;BE$5),"■","")))</x:f>
      </x:c>
      <x:c r="BF186" s="7" t="str">
        <x:f>IF(OR($D186="",BF$5="",'상세일정'!AM186="제외"),"",IF($D186=$E186,IF(AND($D186&gt;=BF$5,$D186&lt;BF$5+7),"◆",""),IF(AND($D186&lt;BF$5+7,$E186&gt;BF$5),"■","")))</x:f>
      </x:c>
      <x:c r="BG186" s="7" t="str">
        <x:f>IF(OR($D186="",BG$5="",'상세일정'!AM186="제외"),"",IF($D186=$E186,IF(AND($D186&gt;=BG$5,$D186&lt;BG$5+7),"◆",""),IF(AND($D186&lt;BG$5+7,$E186&gt;BG$5),"■","")))</x:f>
      </x:c>
      <x:c r="BH186" s="7" t="str">
        <x:f>IF(OR($D186="",BH$5="",'상세일정'!AM186="제외"),"",IF($D186=$E186,IF(AND($D186&gt;=BH$5,$D186&lt;BH$5+7),"◆",""),IF(AND($D186&lt;BH$5+7,$E186&gt;BH$5),"■","")))</x:f>
      </x:c>
      <x:c r="BI186" s="7" t="str">
        <x:f>IF(OR($D186="",BI$5="",'상세일정'!AM186="제외"),"",IF($D186=$E186,IF(AND($D186&gt;=BI$5,$D186&lt;BI$5+7),"◆",""),IF(AND($D186&lt;BI$5+7,$E186&gt;BI$5),"■","")))</x:f>
      </x:c>
      <x:c r="BJ186" s="7" t="str">
        <x:f>IF(OR($D186="",BJ$5="",'상세일정'!AM186="제외"),"",IF($D186=$E186,IF(AND($D186&gt;=BJ$5,$D186&lt;BJ$5+7),"◆",""),IF(AND($D186&lt;BJ$5+7,$E186&gt;BJ$5),"■","")))</x:f>
      </x:c>
      <x:c r="BK186" s="7" t="str">
        <x:f>IF(OR($D186="",BK$5="",'상세일정'!AM186="제외"),"",IF($D186=$E186,IF(AND($D186&gt;=BK$5,$D186&lt;BK$5+7),"◆",""),IF(AND($D186&lt;BK$5+7,$E186&gt;BK$5),"■","")))</x:f>
      </x:c>
      <x:c r="BL186" s="7" t="str">
        <x:f>IF(OR($D186="",BL$5="",'상세일정'!AM186="제외"),"",IF($D186=$E186,IF(AND($D186&gt;=BL$5,$D186&lt;BL$5+7),"◆",""),IF(AND($D186&lt;BL$5+7,$E186&gt;BL$5),"■","")))</x:f>
      </x:c>
      <x:c r="BM186" s="7" t="str">
        <x:f>IF(OR($D186="",BM$5="",'상세일정'!AM186="제외"),"",IF($D186=$E186,IF(AND($D186&gt;=BM$5,$D186&lt;BM$5+7),"◆",""),IF(AND($D186&lt;BM$5+7,$E186&gt;BM$5),"■","")))</x:f>
      </x:c>
      <x:c r="BN186" s="7" t="str">
        <x:f>IF(OR($D186="",BN$5="",'상세일정'!AM186="제외"),"",IF($D186=$E186,IF(AND($D186&gt;=BN$5,$D186&lt;BN$5+7),"◆",""),IF(AND($D186&lt;BN$5+7,$E186&gt;BN$5),"■","")))</x:f>
      </x:c>
      <x:c r="BO186" s="7" t="str">
        <x:f>IF(OR($D186="",BO$5="",'상세일정'!AM186="제외"),"",IF($D186=$E186,IF(AND($D186&gt;=BO$5,$D186&lt;BO$5+7),"◆",""),IF(AND($D186&lt;BO$5+7,$E186&gt;BO$5),"■","")))</x:f>
      </x:c>
      <x:c r="BP186" s="7" t="str">
        <x:f>IF(OR($D186="",BP$5="",'상세일정'!AM186="제외"),"",IF($D186=$E186,IF(AND($D186&gt;=BP$5,$D186&lt;BP$5+7),"◆",""),IF(AND($D186&lt;BP$5+7,$E186&gt;BP$5),"■","")))</x:f>
      </x:c>
      <x:c r="BQ186" s="7" t="str">
        <x:f>IF(OR($D186="",BQ$5="",'상세일정'!AM186="제외"),"",IF($D186=$E186,IF(AND($D186&gt;=BQ$5,$D186&lt;BQ$5+7),"◆",""),IF(AND($D186&lt;BQ$5+7,$E186&gt;BQ$5),"■","")))</x:f>
      </x:c>
      <x:c r="BR186" s="7" t="str">
        <x:f>IF(OR($D186="",BR$5="",'상세일정'!AM186="제외"),"",IF($D186=$E186,IF(AND($D186&gt;=BR$5,$D186&lt;BR$5+7),"◆",""),IF(AND($D186&lt;BR$5+7,$E186&gt;BR$5),"■","")))</x:f>
      </x:c>
      <x:c r="BS186" s="7" t="str">
        <x:f>IF(OR($D186="",BS$5="",'상세일정'!AM186="제외"),"",IF($D186=$E186,IF(AND($D186&gt;=BS$5,$D186&lt;BS$5+7),"◆",""),IF(AND($D186&lt;BS$5+7,$E186&gt;BS$5),"■","")))</x:f>
      </x:c>
      <x:c r="BT186" s="7" t="str">
        <x:f>IF(OR($D186="",BT$5="",'상세일정'!AM186="제외"),"",IF($D186=$E186,IF(AND($D186&gt;=BT$5,$D186&lt;BT$5+7),"◆",""),IF(AND($D186&lt;BT$5+7,$E186&gt;BT$5),"■","")))</x:f>
      </x:c>
      <x:c r="BU186" s="7" t="str">
        <x:f>IF(OR($D186="",BU$5="",'상세일정'!AM186="제외"),"",IF($D186=$E186,IF(AND($D186&gt;=BU$5,$D186&lt;BU$5+7),"◆",""),IF(AND($D186&lt;BU$5+7,$E186&gt;BU$5),"■","")))</x:f>
      </x:c>
      <x:c r="BV186" s="7" t="str">
        <x:f>IF(OR($D186="",BV$5="",'상세일정'!AM186="제외"),"",IF($D186=$E186,IF(AND($D186&gt;=BV$5,$D186&lt;BV$5+7),"◆",""),IF(AND($D186&lt;BV$5+7,$E186&gt;BV$5),"■","")))</x:f>
      </x:c>
      <x:c r="BW186" s="7" t="str">
        <x:f>IF(OR($D186="",BW$5="",'상세일정'!AM186="제외"),"",IF($D186=$E186,IF(AND($D186&gt;=BW$5,$D186&lt;BW$5+7),"◆",""),IF(AND($D186&lt;BW$5+7,$E186&gt;BW$5),"■","")))</x:f>
      </x:c>
      <x:c r="BX186" s="7" t="str">
        <x:f>IF(OR($D186="",BX$5="",'상세일정'!AM186="제외"),"",IF($D186=$E186,IF(AND($D186&gt;=BX$5,$D186&lt;BX$5+7),"◆",""),IF(AND($D186&lt;BX$5+7,$E186&gt;BX$5),"■","")))</x:f>
      </x:c>
      <x:c r="BY186" s="7" t="str">
        <x:f>IF(OR($D186="",BY$5="",'상세일정'!AM186="제외"),"",IF($D186=$E186,IF(AND($D186&gt;=BY$5,$D186&lt;BY$5+7),"◆",""),IF(AND($D186&lt;BY$5+7,$E186&gt;BY$5),"■","")))</x:f>
      </x:c>
      <x:c r="BZ186" s="7" t="str">
        <x:f>IF(OR($D186="",BZ$5="",'상세일정'!AM186="제외"),"",IF($D186=$E186,IF(AND($D186&gt;=BZ$5,$D186&lt;BZ$5+7),"◆",""),IF(AND($D186&lt;BZ$5+7,$E186&gt;BZ$5),"■","")))</x:f>
      </x:c>
      <x:c r="CA186" s="7" t="str">
        <x:f>IF(OR($D186="",CA$5="",'상세일정'!AM186="제외"),"",IF($D186=$E186,IF(AND($D186&gt;=CA$5,$D186&lt;CA$5+7),"◆",""),IF(AND($D186&lt;CA$5+7,$E186&gt;CA$5),"■","")))</x:f>
      </x:c>
      <x:c r="CB186" s="7" t="str">
        <x:f>IF(OR($D186="",CB$5="",'상세일정'!AM186="제외"),"",IF($D186=$E186,IF(AND($D186&gt;=CB$5,$D186&lt;CB$5+7),"◆",""),IF(AND($D186&lt;CB$5+7,$E186&gt;CB$5),"■","")))</x:f>
      </x:c>
      <x:c r="CC186" s="7" t="str">
        <x:f>IF(OR($D186="",CC$5="",'상세일정'!AM186="제외"),"",IF($D186=$E186,IF(AND($D186&gt;=CC$5,$D186&lt;CC$5+7),"◆",""),IF(AND($D186&lt;CC$5+7,$E186&gt;CC$5),"■","")))</x:f>
      </x:c>
      <x:c r="CD186" s="7" t="str">
        <x:f>IF(OR($D186="",CD$5="",'상세일정'!AM186="제외"),"",IF($D186=$E186,IF(AND($D186&gt;=CD$5,$D186&lt;CD$5+7),"◆",""),IF(AND($D186&lt;CD$5+7,$E186&gt;CD$5),"■","")))</x:f>
      </x:c>
      <x:c r="CE186" s="7" t="str">
        <x:f>IF(OR($D186="",CE$5="",'상세일정'!AM186="제외"),"",IF($D186=$E186,IF(AND($D186&gt;=CE$5,$D186&lt;CE$5+7),"◆",""),IF(AND($D186&lt;CE$5+7,$E186&gt;CE$5),"■","")))</x:f>
      </x:c>
      <x:c r="CF186" s="7" t="str">
        <x:f>IF(OR($D186="",CF$5="",'상세일정'!AM186="제외"),"",IF($D186=$E186,IF(AND($D186&gt;=CF$5,$D186&lt;CF$5+7),"◆",""),IF(AND($D186&lt;CF$5+7,$E186&gt;CF$5),"■","")))</x:f>
      </x:c>
      <x:c r="CG186" s="7" t="str">
        <x:f>IF(OR($D186="",CG$5="",'상세일정'!AM186="제외"),"",IF($D186=$E186,IF(AND($D186&gt;=CG$5,$D186&lt;CG$5+7),"◆",""),IF(AND($D186&lt;CG$5+7,$E186&gt;CG$5),"■","")))</x:f>
      </x:c>
      <x:c r="CH186" s="7" t="str">
        <x:f>IF(OR($D186="",CH$5="",'상세일정'!AM186="제외"),"",IF($D186=$E186,IF(AND($D186&gt;=CH$5,$D186&lt;CH$5+7),"◆",""),IF(AND($D186&lt;CH$5+7,$E186&gt;CH$5),"■","")))</x:f>
      </x:c>
      <x:c r="CI186" s="7" t="str">
        <x:f>IF(OR($D186="",CI$5="",'상세일정'!AM186="제외"),"",IF($D186=$E186,IF(AND($D186&gt;=CI$5,$D186&lt;CI$5+7),"◆",""),IF(AND($D186&lt;CI$5+7,$E186&gt;CI$5),"■","")))</x:f>
      </x:c>
      <x:c r="CJ186" s="7" t="str">
        <x:f>IF(OR($D186="",CJ$5="",'상세일정'!AM186="제외"),"",IF($D186=$E186,IF(AND($D186&gt;=CJ$5,$D186&lt;CJ$5+7),"◆",""),IF(AND($D186&lt;CJ$5+7,$E186&gt;CJ$5),"■","")))</x:f>
      </x:c>
      <x:c r="CK186" s="7" t="str">
        <x:f>IF(OR($D186="",CK$5="",'상세일정'!AM186="제외"),"",IF($D186=$E186,IF(AND($D186&gt;=CK$5,$D186&lt;CK$5+7),"◆",""),IF(AND($D186&lt;CK$5+7,$E186&gt;CK$5),"■","")))</x:f>
      </x:c>
      <x:c r="CL186" s="7" t="str">
        <x:f>IF(OR($D186="",CL$5="",'상세일정'!AM186="제외"),"",IF($D186=$E186,IF(AND($D186&gt;=CL$5,$D186&lt;CL$5+7),"◆",""),IF(AND($D186&lt;CL$5+7,$E186&gt;CL$5),"■","")))</x:f>
      </x:c>
      <x:c r="CM186" s="7" t="str">
        <x:f>IF(OR($D186="",CM$5="",'상세일정'!AM186="제외"),"",IF($D186=$E186,IF(AND($D186&gt;=CM$5,$D186&lt;CM$5+7),"◆",""),IF(AND($D186&lt;CM$5+7,$E186&gt;CM$5),"■","")))</x:f>
      </x:c>
      <x:c r="CN186" s="7" t="str">
        <x:f>IF(OR($D186="",CN$5="",'상세일정'!AM186="제외"),"",IF($D186=$E186,IF(AND($D186&gt;=CN$5,$D186&lt;CN$5+7),"◆",""),IF(AND($D186&lt;CN$5+7,$E186&gt;CN$5),"■","")))</x:f>
      </x:c>
      <x:c r="CO186" s="7" t="str">
        <x:f>IF(OR($D186="",CO$5="",'상세일정'!AM186="제외"),"",IF($D186=$E186,IF(AND($D186&gt;=CO$5,$D186&lt;CO$5+7),"◆",""),IF(AND($D186&lt;CO$5+7,$E186&gt;CO$5),"■","")))</x:f>
      </x:c>
      <x:c r="CP186" s="7" t="str">
        <x:f>IF(OR($D186="",CP$5="",'상세일정'!AM186="제외"),"",IF($D186=$E186,IF(AND($D186&gt;=CP$5,$D186&lt;CP$5+7),"◆",""),IF(AND($D186&lt;CP$5+7,$E186&gt;CP$5),"■","")))</x:f>
      </x:c>
      <x:c r="CQ186" s="7" t="str">
        <x:f>IF(OR($D186="",CQ$5="",'상세일정'!AM186="제외"),"",IF($D186=$E186,IF(AND($D186&gt;=CQ$5,$D186&lt;CQ$5+7),"◆",""),IF(AND($D186&lt;CQ$5+7,$E186&gt;CQ$5),"■","")))</x:f>
      </x:c>
      <x:c r="CR186" s="7" t="str">
        <x:f>IF(OR($D186="",CR$5="",'상세일정'!AM186="제외"),"",IF($D186=$E186,IF(AND($D186&gt;=CR$5,$D186&lt;CR$5+7),"◆",""),IF(AND($D186&lt;CR$5+7,$E186&gt;CR$5),"■","")))</x:f>
      </x:c>
      <x:c r="CS186" s="7" t="str">
        <x:f>IF(OR($D186="",CS$5="",'상세일정'!AM186="제외"),"",IF($D186=$E186,IF(AND($D186&gt;=CS$5,$D186&lt;CS$5+7),"◆",""),IF(AND($D186&lt;CS$5+7,$E186&gt;CS$5),"■","")))</x:f>
      </x:c>
      <x:c r="CT186" s="7" t="str">
        <x:f>IF(OR($D186="",CT$5="",'상세일정'!AM186="제외"),"",IF($D186=$E186,IF(AND($D186&gt;=CT$5,$D186&lt;CT$5+7),"◆",""),IF(AND($D186&lt;CT$5+7,$E186&gt;CT$5),"■","")))</x:f>
      </x:c>
      <x:c r="CU186" s="7" t="str">
        <x:f>IF(OR($D186="",CU$5="",'상세일정'!AM186="제외"),"",IF($D186=$E186,IF(AND($D186&gt;=CU$5,$D186&lt;CU$5+7),"◆",""),IF(AND($D186&lt;CU$5+7,$E186&gt;CU$5),"■","")))</x:f>
      </x:c>
      <x:c r="CV186" s="7" t="str">
        <x:f>IF(OR($D186="",CV$5="",'상세일정'!AM186="제외"),"",IF($D186=$E186,IF(AND($D186&gt;=CV$5,$D186&lt;CV$5+7),"◆",""),IF(AND($D186&lt;CV$5+7,$E186&gt;CV$5),"■","")))</x:f>
      </x:c>
      <x:c r="CW186" s="7" t="str">
        <x:f>IF(OR($D186="",CW$5="",'상세일정'!AM186="제외"),"",IF($D186=$E186,IF(AND($D186&gt;=CW$5,$D186&lt;CW$5+7),"◆",""),IF(AND($D186&lt;CW$5+7,$E186&gt;CW$5),"■","")))</x:f>
      </x:c>
      <x:c r="CX186" s="7" t="str">
        <x:f>IF(OR($D186="",CX$5="",'상세일정'!AM186="제외"),"",IF($D186=$E186,IF(AND($D186&gt;=CX$5,$D186&lt;CX$5+7),"◆",""),IF(AND($D186&lt;CX$5+7,$E186&gt;CX$5),"■","")))</x:f>
      </x:c>
      <x:c r="CY186" s="7" t="str">
        <x:f>IF(OR($D186="",CY$5="",'상세일정'!AM186="제외"),"",IF($D186=$E186,IF(AND($D186&gt;=CY$5,$D186&lt;CY$5+7),"◆",""),IF(AND($D186&lt;CY$5+7,$E186&gt;CY$5),"■","")))</x:f>
      </x:c>
      <x:c r="CZ186" s="7" t="str">
        <x:f>IF(OR($D186="",CZ$5="",'상세일정'!AM186="제외"),"",IF($D186=$E186,IF(AND($D186&gt;=CZ$5,$D186&lt;CZ$5+7),"◆",""),IF(AND($D186&lt;CZ$5+7,$E186&gt;CZ$5),"■","")))</x:f>
      </x:c>
      <x:c r="DA186" s="7" t="str">
        <x:f>IF(OR($D186="",DA$5="",'상세일정'!AM186="제외"),"",IF($D186=$E186,IF(AND($D186&gt;=DA$5,$D186&lt;DA$5+7),"◆",""),IF(AND($D186&lt;DA$5+7,$E186&gt;DA$5),"■","")))</x:f>
      </x:c>
      <x:c r="DB186" s="7" t="str">
        <x:f>IF(OR($D186="",DB$5="",'상세일정'!AM186="제외"),"",IF($D186=$E186,IF(AND($D186&gt;=DB$5,$D186&lt;DB$5+7),"◆",""),IF(AND($D186&lt;DB$5+7,$E186&gt;DB$5),"■","")))</x:f>
      </x:c>
      <x:c r="DC186" s="7" t="str">
        <x:f>IF(OR($D186="",DC$5="",'상세일정'!AM186="제외"),"",IF($D186=$E186,IF(AND($D186&gt;=DC$5,$D186&lt;DC$5+7),"◆",""),IF(AND($D186&lt;DC$5+7,$E186&gt;DC$5),"■","")))</x:f>
      </x:c>
      <x:c r="DD186" s="7" t="str">
        <x:f>IF(OR($D186="",DD$5="",'상세일정'!AM186="제외"),"",IF($D186=$E186,IF(AND($D186&gt;=DD$5,$D186&lt;DD$5+7),"◆",""),IF(AND($D186&lt;DD$5+7,$E186&gt;DD$5),"■","")))</x:f>
      </x:c>
      <x:c r="DE186" s="7" t="str">
        <x:f>IF(OR($D186="",DE$5="",'상세일정'!AM186="제외"),"",IF($D186=$E186,IF(AND($D186&gt;=DE$5,$D186&lt;DE$5+7),"◆",""),IF(AND($D186&lt;DE$5+7,$E186&gt;DE$5),"■","")))</x:f>
      </x:c>
    </x:row>
    <x:row r="187" ht="34" customHeight="1">
      <x:c r="A187" s="7" t="str">
        <x:v>INTK02</x:v>
      </x:c>
      <x:c r="B187" s="7" t="str">
        <x:v>21 설비 설치</x:v>
      </x:c>
      <x:c r="C187" s="7" t="str">
        <x:v>저장용기·버퍼탱크 설치검수·현장 SAT 준비</x:v>
      </x:c>
      <x:c r="D187" s="10" t="str">
        <x:f>'상세일정'!AJ187</x:f>
      </x:c>
      <x:c r="E187" s="10" t="str">
        <x:f>'상세일정'!AK187</x:f>
      </x:c>
      <x:c r="F187" s="7" t="str">
        <x:f>IF(OR($D187="",F$5="",'상세일정'!AM187="제외"),"",IF($D187=$E187,IF(AND($D187&gt;=F$5,$D187&lt;F$5+7),"◆",""),IF(AND($D187&lt;F$5+7,$E187&gt;F$5),"■","")))</x:f>
      </x:c>
      <x:c r="G187" s="7" t="str">
        <x:f>IF(OR($D187="",G$5="",'상세일정'!AM187="제외"),"",IF($D187=$E187,IF(AND($D187&gt;=G$5,$D187&lt;G$5+7),"◆",""),IF(AND($D187&lt;G$5+7,$E187&gt;G$5),"■","")))</x:f>
      </x:c>
      <x:c r="H187" s="7" t="str">
        <x:f>IF(OR($D187="",H$5="",'상세일정'!AM187="제외"),"",IF($D187=$E187,IF(AND($D187&gt;=H$5,$D187&lt;H$5+7),"◆",""),IF(AND($D187&lt;H$5+7,$E187&gt;H$5),"■","")))</x:f>
      </x:c>
      <x:c r="I187" s="7" t="str">
        <x:f>IF(OR($D187="",I$5="",'상세일정'!AM187="제외"),"",IF($D187=$E187,IF(AND($D187&gt;=I$5,$D187&lt;I$5+7),"◆",""),IF(AND($D187&lt;I$5+7,$E187&gt;I$5),"■","")))</x:f>
      </x:c>
      <x:c r="J187" s="7" t="str">
        <x:f>IF(OR($D187="",J$5="",'상세일정'!AM187="제외"),"",IF($D187=$E187,IF(AND($D187&gt;=J$5,$D187&lt;J$5+7),"◆",""),IF(AND($D187&lt;J$5+7,$E187&gt;J$5),"■","")))</x:f>
      </x:c>
      <x:c r="K187" s="7" t="str">
        <x:f>IF(OR($D187="",K$5="",'상세일정'!AM187="제외"),"",IF($D187=$E187,IF(AND($D187&gt;=K$5,$D187&lt;K$5+7),"◆",""),IF(AND($D187&lt;K$5+7,$E187&gt;K$5),"■","")))</x:f>
      </x:c>
      <x:c r="L187" s="7" t="str">
        <x:f>IF(OR($D187="",L$5="",'상세일정'!AM187="제외"),"",IF($D187=$E187,IF(AND($D187&gt;=L$5,$D187&lt;L$5+7),"◆",""),IF(AND($D187&lt;L$5+7,$E187&gt;L$5),"■","")))</x:f>
      </x:c>
      <x:c r="M187" s="7" t="str">
        <x:f>IF(OR($D187="",M$5="",'상세일정'!AM187="제외"),"",IF($D187=$E187,IF(AND($D187&gt;=M$5,$D187&lt;M$5+7),"◆",""),IF(AND($D187&lt;M$5+7,$E187&gt;M$5),"■","")))</x:f>
      </x:c>
      <x:c r="N187" s="7" t="str">
        <x:f>IF(OR($D187="",N$5="",'상세일정'!AM187="제외"),"",IF($D187=$E187,IF(AND($D187&gt;=N$5,$D187&lt;N$5+7),"◆",""),IF(AND($D187&lt;N$5+7,$E187&gt;N$5),"■","")))</x:f>
      </x:c>
      <x:c r="O187" s="7" t="str">
        <x:f>IF(OR($D187="",O$5="",'상세일정'!AM187="제외"),"",IF($D187=$E187,IF(AND($D187&gt;=O$5,$D187&lt;O$5+7),"◆",""),IF(AND($D187&lt;O$5+7,$E187&gt;O$5),"■","")))</x:f>
      </x:c>
      <x:c r="P187" s="7" t="str">
        <x:f>IF(OR($D187="",P$5="",'상세일정'!AM187="제외"),"",IF($D187=$E187,IF(AND($D187&gt;=P$5,$D187&lt;P$5+7),"◆",""),IF(AND($D187&lt;P$5+7,$E187&gt;P$5),"■","")))</x:f>
      </x:c>
      <x:c r="Q187" s="7" t="str">
        <x:f>IF(OR($D187="",Q$5="",'상세일정'!AM187="제외"),"",IF($D187=$E187,IF(AND($D187&gt;=Q$5,$D187&lt;Q$5+7),"◆",""),IF(AND($D187&lt;Q$5+7,$E187&gt;Q$5),"■","")))</x:f>
      </x:c>
      <x:c r="R187" s="7" t="str">
        <x:f>IF(OR($D187="",R$5="",'상세일정'!AM187="제외"),"",IF($D187=$E187,IF(AND($D187&gt;=R$5,$D187&lt;R$5+7),"◆",""),IF(AND($D187&lt;R$5+7,$E187&gt;R$5),"■","")))</x:f>
      </x:c>
      <x:c r="S187" s="7" t="str">
        <x:f>IF(OR($D187="",S$5="",'상세일정'!AM187="제외"),"",IF($D187=$E187,IF(AND($D187&gt;=S$5,$D187&lt;S$5+7),"◆",""),IF(AND($D187&lt;S$5+7,$E187&gt;S$5),"■","")))</x:f>
      </x:c>
      <x:c r="T187" s="7" t="str">
        <x:f>IF(OR($D187="",T$5="",'상세일정'!AM187="제외"),"",IF($D187=$E187,IF(AND($D187&gt;=T$5,$D187&lt;T$5+7),"◆",""),IF(AND($D187&lt;T$5+7,$E187&gt;T$5),"■","")))</x:f>
      </x:c>
      <x:c r="U187" s="7" t="str">
        <x:f>IF(OR($D187="",U$5="",'상세일정'!AM187="제외"),"",IF($D187=$E187,IF(AND($D187&gt;=U$5,$D187&lt;U$5+7),"◆",""),IF(AND($D187&lt;U$5+7,$E187&gt;U$5),"■","")))</x:f>
      </x:c>
      <x:c r="V187" s="7" t="str">
        <x:f>IF(OR($D187="",V$5="",'상세일정'!AM187="제외"),"",IF($D187=$E187,IF(AND($D187&gt;=V$5,$D187&lt;V$5+7),"◆",""),IF(AND($D187&lt;V$5+7,$E187&gt;V$5),"■","")))</x:f>
      </x:c>
      <x:c r="W187" s="7" t="str">
        <x:f>IF(OR($D187="",W$5="",'상세일정'!AM187="제외"),"",IF($D187=$E187,IF(AND($D187&gt;=W$5,$D187&lt;W$5+7),"◆",""),IF(AND($D187&lt;W$5+7,$E187&gt;W$5),"■","")))</x:f>
      </x:c>
      <x:c r="X187" s="7" t="str">
        <x:f>IF(OR($D187="",X$5="",'상세일정'!AM187="제외"),"",IF($D187=$E187,IF(AND($D187&gt;=X$5,$D187&lt;X$5+7),"◆",""),IF(AND($D187&lt;X$5+7,$E187&gt;X$5),"■","")))</x:f>
      </x:c>
      <x:c r="Y187" s="7" t="str">
        <x:f>IF(OR($D187="",Y$5="",'상세일정'!AM187="제외"),"",IF($D187=$E187,IF(AND($D187&gt;=Y$5,$D187&lt;Y$5+7),"◆",""),IF(AND($D187&lt;Y$5+7,$E187&gt;Y$5),"■","")))</x:f>
      </x:c>
      <x:c r="Z187" s="7" t="str">
        <x:f>IF(OR($D187="",Z$5="",'상세일정'!AM187="제외"),"",IF($D187=$E187,IF(AND($D187&gt;=Z$5,$D187&lt;Z$5+7),"◆",""),IF(AND($D187&lt;Z$5+7,$E187&gt;Z$5),"■","")))</x:f>
      </x:c>
      <x:c r="AA187" s="7" t="str">
        <x:f>IF(OR($D187="",AA$5="",'상세일정'!AM187="제외"),"",IF($D187=$E187,IF(AND($D187&gt;=AA$5,$D187&lt;AA$5+7),"◆",""),IF(AND($D187&lt;AA$5+7,$E187&gt;AA$5),"■","")))</x:f>
      </x:c>
      <x:c r="AB187" s="7" t="str">
        <x:f>IF(OR($D187="",AB$5="",'상세일정'!AM187="제외"),"",IF($D187=$E187,IF(AND($D187&gt;=AB$5,$D187&lt;AB$5+7),"◆",""),IF(AND($D187&lt;AB$5+7,$E187&gt;AB$5),"■","")))</x:f>
      </x:c>
      <x:c r="AC187" s="7" t="str">
        <x:f>IF(OR($D187="",AC$5="",'상세일정'!AM187="제외"),"",IF($D187=$E187,IF(AND($D187&gt;=AC$5,$D187&lt;AC$5+7),"◆",""),IF(AND($D187&lt;AC$5+7,$E187&gt;AC$5),"■","")))</x:f>
      </x:c>
      <x:c r="AD187" s="7" t="str">
        <x:f>IF(OR($D187="",AD$5="",'상세일정'!AM187="제외"),"",IF($D187=$E187,IF(AND($D187&gt;=AD$5,$D187&lt;AD$5+7),"◆",""),IF(AND($D187&lt;AD$5+7,$E187&gt;AD$5),"■","")))</x:f>
      </x:c>
      <x:c r="AE187" s="7" t="str">
        <x:f>IF(OR($D187="",AE$5="",'상세일정'!AM187="제외"),"",IF($D187=$E187,IF(AND($D187&gt;=AE$5,$D187&lt;AE$5+7),"◆",""),IF(AND($D187&lt;AE$5+7,$E187&gt;AE$5),"■","")))</x:f>
      </x:c>
      <x:c r="AF187" s="7" t="str">
        <x:f>IF(OR($D187="",AF$5="",'상세일정'!AM187="제외"),"",IF($D187=$E187,IF(AND($D187&gt;=AF$5,$D187&lt;AF$5+7),"◆",""),IF(AND($D187&lt;AF$5+7,$E187&gt;AF$5),"■","")))</x:f>
      </x:c>
      <x:c r="AG187" s="7" t="str">
        <x:f>IF(OR($D187="",AG$5="",'상세일정'!AM187="제외"),"",IF($D187=$E187,IF(AND($D187&gt;=AG$5,$D187&lt;AG$5+7),"◆",""),IF(AND($D187&lt;AG$5+7,$E187&gt;AG$5),"■","")))</x:f>
      </x:c>
      <x:c r="AH187" s="7" t="str">
        <x:f>IF(OR($D187="",AH$5="",'상세일정'!AM187="제외"),"",IF($D187=$E187,IF(AND($D187&gt;=AH$5,$D187&lt;AH$5+7),"◆",""),IF(AND($D187&lt;AH$5+7,$E187&gt;AH$5),"■","")))</x:f>
      </x:c>
      <x:c r="AI187" s="7" t="str">
        <x:f>IF(OR($D187="",AI$5="",'상세일정'!AM187="제외"),"",IF($D187=$E187,IF(AND($D187&gt;=AI$5,$D187&lt;AI$5+7),"◆",""),IF(AND($D187&lt;AI$5+7,$E187&gt;AI$5),"■","")))</x:f>
      </x:c>
      <x:c r="AJ187" s="7" t="str">
        <x:f>IF(OR($D187="",AJ$5="",'상세일정'!AM187="제외"),"",IF($D187=$E187,IF(AND($D187&gt;=AJ$5,$D187&lt;AJ$5+7),"◆",""),IF(AND($D187&lt;AJ$5+7,$E187&gt;AJ$5),"■","")))</x:f>
      </x:c>
      <x:c r="AK187" s="7" t="str">
        <x:f>IF(OR($D187="",AK$5="",'상세일정'!AM187="제외"),"",IF($D187=$E187,IF(AND($D187&gt;=AK$5,$D187&lt;AK$5+7),"◆",""),IF(AND($D187&lt;AK$5+7,$E187&gt;AK$5),"■","")))</x:f>
      </x:c>
      <x:c r="AL187" s="7" t="str">
        <x:f>IF(OR($D187="",AL$5="",'상세일정'!AM187="제외"),"",IF($D187=$E187,IF(AND($D187&gt;=AL$5,$D187&lt;AL$5+7),"◆",""),IF(AND($D187&lt;AL$5+7,$E187&gt;AL$5),"■","")))</x:f>
      </x:c>
      <x:c r="AM187" s="7" t="str">
        <x:f>IF(OR($D187="",AM$5="",'상세일정'!AM187="제외"),"",IF($D187=$E187,IF(AND($D187&gt;=AM$5,$D187&lt;AM$5+7),"◆",""),IF(AND($D187&lt;AM$5+7,$E187&gt;AM$5),"■","")))</x:f>
      </x:c>
      <x:c r="AN187" s="7" t="str">
        <x:f>IF(OR($D187="",AN$5="",'상세일정'!AM187="제외"),"",IF($D187=$E187,IF(AND($D187&gt;=AN$5,$D187&lt;AN$5+7),"◆",""),IF(AND($D187&lt;AN$5+7,$E187&gt;AN$5),"■","")))</x:f>
      </x:c>
      <x:c r="AO187" s="7" t="str">
        <x:f>IF(OR($D187="",AO$5="",'상세일정'!AM187="제외"),"",IF($D187=$E187,IF(AND($D187&gt;=AO$5,$D187&lt;AO$5+7),"◆",""),IF(AND($D187&lt;AO$5+7,$E187&gt;AO$5),"■","")))</x:f>
      </x:c>
      <x:c r="AP187" s="7" t="str">
        <x:f>IF(OR($D187="",AP$5="",'상세일정'!AM187="제외"),"",IF($D187=$E187,IF(AND($D187&gt;=AP$5,$D187&lt;AP$5+7),"◆",""),IF(AND($D187&lt;AP$5+7,$E187&gt;AP$5),"■","")))</x:f>
      </x:c>
      <x:c r="AQ187" s="7" t="str">
        <x:f>IF(OR($D187="",AQ$5="",'상세일정'!AM187="제외"),"",IF($D187=$E187,IF(AND($D187&gt;=AQ$5,$D187&lt;AQ$5+7),"◆",""),IF(AND($D187&lt;AQ$5+7,$E187&gt;AQ$5),"■","")))</x:f>
      </x:c>
      <x:c r="AR187" s="7" t="str">
        <x:f>IF(OR($D187="",AR$5="",'상세일정'!AM187="제외"),"",IF($D187=$E187,IF(AND($D187&gt;=AR$5,$D187&lt;AR$5+7),"◆",""),IF(AND($D187&lt;AR$5+7,$E187&gt;AR$5),"■","")))</x:f>
      </x:c>
      <x:c r="AS187" s="7" t="str">
        <x:f>IF(OR($D187="",AS$5="",'상세일정'!AM187="제외"),"",IF($D187=$E187,IF(AND($D187&gt;=AS$5,$D187&lt;AS$5+7),"◆",""),IF(AND($D187&lt;AS$5+7,$E187&gt;AS$5),"■","")))</x:f>
      </x:c>
      <x:c r="AT187" s="7" t="str">
        <x:f>IF(OR($D187="",AT$5="",'상세일정'!AM187="제외"),"",IF($D187=$E187,IF(AND($D187&gt;=AT$5,$D187&lt;AT$5+7),"◆",""),IF(AND($D187&lt;AT$5+7,$E187&gt;AT$5),"■","")))</x:f>
      </x:c>
      <x:c r="AU187" s="7" t="str">
        <x:f>IF(OR($D187="",AU$5="",'상세일정'!AM187="제외"),"",IF($D187=$E187,IF(AND($D187&gt;=AU$5,$D187&lt;AU$5+7),"◆",""),IF(AND($D187&lt;AU$5+7,$E187&gt;AU$5),"■","")))</x:f>
      </x:c>
      <x:c r="AV187" s="7" t="str">
        <x:f>IF(OR($D187="",AV$5="",'상세일정'!AM187="제외"),"",IF($D187=$E187,IF(AND($D187&gt;=AV$5,$D187&lt;AV$5+7),"◆",""),IF(AND($D187&lt;AV$5+7,$E187&gt;AV$5),"■","")))</x:f>
      </x:c>
      <x:c r="AW187" s="7" t="str">
        <x:f>IF(OR($D187="",AW$5="",'상세일정'!AM187="제외"),"",IF($D187=$E187,IF(AND($D187&gt;=AW$5,$D187&lt;AW$5+7),"◆",""),IF(AND($D187&lt;AW$5+7,$E187&gt;AW$5),"■","")))</x:f>
      </x:c>
      <x:c r="AX187" s="7" t="str">
        <x:f>IF(OR($D187="",AX$5="",'상세일정'!AM187="제외"),"",IF($D187=$E187,IF(AND($D187&gt;=AX$5,$D187&lt;AX$5+7),"◆",""),IF(AND($D187&lt;AX$5+7,$E187&gt;AX$5),"■","")))</x:f>
      </x:c>
      <x:c r="AY187" s="7" t="str">
        <x:f>IF(OR($D187="",AY$5="",'상세일정'!AM187="제외"),"",IF($D187=$E187,IF(AND($D187&gt;=AY$5,$D187&lt;AY$5+7),"◆",""),IF(AND($D187&lt;AY$5+7,$E187&gt;AY$5),"■","")))</x:f>
      </x:c>
      <x:c r="AZ187" s="7" t="str">
        <x:f>IF(OR($D187="",AZ$5="",'상세일정'!AM187="제외"),"",IF($D187=$E187,IF(AND($D187&gt;=AZ$5,$D187&lt;AZ$5+7),"◆",""),IF(AND($D187&lt;AZ$5+7,$E187&gt;AZ$5),"■","")))</x:f>
      </x:c>
      <x:c r="BA187" s="7" t="str">
        <x:f>IF(OR($D187="",BA$5="",'상세일정'!AM187="제외"),"",IF($D187=$E187,IF(AND($D187&gt;=BA$5,$D187&lt;BA$5+7),"◆",""),IF(AND($D187&lt;BA$5+7,$E187&gt;BA$5),"■","")))</x:f>
      </x:c>
      <x:c r="BB187" s="7" t="str">
        <x:f>IF(OR($D187="",BB$5="",'상세일정'!AM187="제외"),"",IF($D187=$E187,IF(AND($D187&gt;=BB$5,$D187&lt;BB$5+7),"◆",""),IF(AND($D187&lt;BB$5+7,$E187&gt;BB$5),"■","")))</x:f>
      </x:c>
      <x:c r="BC187" s="7" t="str">
        <x:f>IF(OR($D187="",BC$5="",'상세일정'!AM187="제외"),"",IF($D187=$E187,IF(AND($D187&gt;=BC$5,$D187&lt;BC$5+7),"◆",""),IF(AND($D187&lt;BC$5+7,$E187&gt;BC$5),"■","")))</x:f>
      </x:c>
      <x:c r="BD187" s="7" t="str">
        <x:f>IF(OR($D187="",BD$5="",'상세일정'!AM187="제외"),"",IF($D187=$E187,IF(AND($D187&gt;=BD$5,$D187&lt;BD$5+7),"◆",""),IF(AND($D187&lt;BD$5+7,$E187&gt;BD$5),"■","")))</x:f>
      </x:c>
      <x:c r="BE187" s="7" t="str">
        <x:f>IF(OR($D187="",BE$5="",'상세일정'!AM187="제외"),"",IF($D187=$E187,IF(AND($D187&gt;=BE$5,$D187&lt;BE$5+7),"◆",""),IF(AND($D187&lt;BE$5+7,$E187&gt;BE$5),"■","")))</x:f>
      </x:c>
      <x:c r="BF187" s="7" t="str">
        <x:f>IF(OR($D187="",BF$5="",'상세일정'!AM187="제외"),"",IF($D187=$E187,IF(AND($D187&gt;=BF$5,$D187&lt;BF$5+7),"◆",""),IF(AND($D187&lt;BF$5+7,$E187&gt;BF$5),"■","")))</x:f>
      </x:c>
      <x:c r="BG187" s="7" t="str">
        <x:f>IF(OR($D187="",BG$5="",'상세일정'!AM187="제외"),"",IF($D187=$E187,IF(AND($D187&gt;=BG$5,$D187&lt;BG$5+7),"◆",""),IF(AND($D187&lt;BG$5+7,$E187&gt;BG$5),"■","")))</x:f>
      </x:c>
      <x:c r="BH187" s="7" t="str">
        <x:f>IF(OR($D187="",BH$5="",'상세일정'!AM187="제외"),"",IF($D187=$E187,IF(AND($D187&gt;=BH$5,$D187&lt;BH$5+7),"◆",""),IF(AND($D187&lt;BH$5+7,$E187&gt;BH$5),"■","")))</x:f>
      </x:c>
      <x:c r="BI187" s="7" t="str">
        <x:f>IF(OR($D187="",BI$5="",'상세일정'!AM187="제외"),"",IF($D187=$E187,IF(AND($D187&gt;=BI$5,$D187&lt;BI$5+7),"◆",""),IF(AND($D187&lt;BI$5+7,$E187&gt;BI$5),"■","")))</x:f>
      </x:c>
      <x:c r="BJ187" s="7" t="str">
        <x:f>IF(OR($D187="",BJ$5="",'상세일정'!AM187="제외"),"",IF($D187=$E187,IF(AND($D187&gt;=BJ$5,$D187&lt;BJ$5+7),"◆",""),IF(AND($D187&lt;BJ$5+7,$E187&gt;BJ$5),"■","")))</x:f>
      </x:c>
      <x:c r="BK187" s="7" t="str">
        <x:f>IF(OR($D187="",BK$5="",'상세일정'!AM187="제외"),"",IF($D187=$E187,IF(AND($D187&gt;=BK$5,$D187&lt;BK$5+7),"◆",""),IF(AND($D187&lt;BK$5+7,$E187&gt;BK$5),"■","")))</x:f>
      </x:c>
      <x:c r="BL187" s="7" t="str">
        <x:f>IF(OR($D187="",BL$5="",'상세일정'!AM187="제외"),"",IF($D187=$E187,IF(AND($D187&gt;=BL$5,$D187&lt;BL$5+7),"◆",""),IF(AND($D187&lt;BL$5+7,$E187&gt;BL$5),"■","")))</x:f>
      </x:c>
      <x:c r="BM187" s="7" t="str">
        <x:f>IF(OR($D187="",BM$5="",'상세일정'!AM187="제외"),"",IF($D187=$E187,IF(AND($D187&gt;=BM$5,$D187&lt;BM$5+7),"◆",""),IF(AND($D187&lt;BM$5+7,$E187&gt;BM$5),"■","")))</x:f>
      </x:c>
      <x:c r="BN187" s="7" t="str">
        <x:f>IF(OR($D187="",BN$5="",'상세일정'!AM187="제외"),"",IF($D187=$E187,IF(AND($D187&gt;=BN$5,$D187&lt;BN$5+7),"◆",""),IF(AND($D187&lt;BN$5+7,$E187&gt;BN$5),"■","")))</x:f>
      </x:c>
      <x:c r="BO187" s="7" t="str">
        <x:f>IF(OR($D187="",BO$5="",'상세일정'!AM187="제외"),"",IF($D187=$E187,IF(AND($D187&gt;=BO$5,$D187&lt;BO$5+7),"◆",""),IF(AND($D187&lt;BO$5+7,$E187&gt;BO$5),"■","")))</x:f>
      </x:c>
      <x:c r="BP187" s="7" t="str">
        <x:f>IF(OR($D187="",BP$5="",'상세일정'!AM187="제외"),"",IF($D187=$E187,IF(AND($D187&gt;=BP$5,$D187&lt;BP$5+7),"◆",""),IF(AND($D187&lt;BP$5+7,$E187&gt;BP$5),"■","")))</x:f>
      </x:c>
      <x:c r="BQ187" s="7" t="str">
        <x:f>IF(OR($D187="",BQ$5="",'상세일정'!AM187="제외"),"",IF($D187=$E187,IF(AND($D187&gt;=BQ$5,$D187&lt;BQ$5+7),"◆",""),IF(AND($D187&lt;BQ$5+7,$E187&gt;BQ$5),"■","")))</x:f>
      </x:c>
      <x:c r="BR187" s="7" t="str">
        <x:f>IF(OR($D187="",BR$5="",'상세일정'!AM187="제외"),"",IF($D187=$E187,IF(AND($D187&gt;=BR$5,$D187&lt;BR$5+7),"◆",""),IF(AND($D187&lt;BR$5+7,$E187&gt;BR$5),"■","")))</x:f>
      </x:c>
      <x:c r="BS187" s="7" t="str">
        <x:f>IF(OR($D187="",BS$5="",'상세일정'!AM187="제외"),"",IF($D187=$E187,IF(AND($D187&gt;=BS$5,$D187&lt;BS$5+7),"◆",""),IF(AND($D187&lt;BS$5+7,$E187&gt;BS$5),"■","")))</x:f>
      </x:c>
      <x:c r="BT187" s="7" t="str">
        <x:f>IF(OR($D187="",BT$5="",'상세일정'!AM187="제외"),"",IF($D187=$E187,IF(AND($D187&gt;=BT$5,$D187&lt;BT$5+7),"◆",""),IF(AND($D187&lt;BT$5+7,$E187&gt;BT$5),"■","")))</x:f>
      </x:c>
      <x:c r="BU187" s="7" t="str">
        <x:f>IF(OR($D187="",BU$5="",'상세일정'!AM187="제외"),"",IF($D187=$E187,IF(AND($D187&gt;=BU$5,$D187&lt;BU$5+7),"◆",""),IF(AND($D187&lt;BU$5+7,$E187&gt;BU$5),"■","")))</x:f>
      </x:c>
      <x:c r="BV187" s="7" t="str">
        <x:f>IF(OR($D187="",BV$5="",'상세일정'!AM187="제외"),"",IF($D187=$E187,IF(AND($D187&gt;=BV$5,$D187&lt;BV$5+7),"◆",""),IF(AND($D187&lt;BV$5+7,$E187&gt;BV$5),"■","")))</x:f>
      </x:c>
      <x:c r="BW187" s="7" t="str">
        <x:f>IF(OR($D187="",BW$5="",'상세일정'!AM187="제외"),"",IF($D187=$E187,IF(AND($D187&gt;=BW$5,$D187&lt;BW$5+7),"◆",""),IF(AND($D187&lt;BW$5+7,$E187&gt;BW$5),"■","")))</x:f>
      </x:c>
      <x:c r="BX187" s="7" t="str">
        <x:f>IF(OR($D187="",BX$5="",'상세일정'!AM187="제외"),"",IF($D187=$E187,IF(AND($D187&gt;=BX$5,$D187&lt;BX$5+7),"◆",""),IF(AND($D187&lt;BX$5+7,$E187&gt;BX$5),"■","")))</x:f>
      </x:c>
      <x:c r="BY187" s="7" t="str">
        <x:f>IF(OR($D187="",BY$5="",'상세일정'!AM187="제외"),"",IF($D187=$E187,IF(AND($D187&gt;=BY$5,$D187&lt;BY$5+7),"◆",""),IF(AND($D187&lt;BY$5+7,$E187&gt;BY$5),"■","")))</x:f>
      </x:c>
      <x:c r="BZ187" s="7" t="str">
        <x:f>IF(OR($D187="",BZ$5="",'상세일정'!AM187="제외"),"",IF($D187=$E187,IF(AND($D187&gt;=BZ$5,$D187&lt;BZ$5+7),"◆",""),IF(AND($D187&lt;BZ$5+7,$E187&gt;BZ$5),"■","")))</x:f>
      </x:c>
      <x:c r="CA187" s="7" t="str">
        <x:f>IF(OR($D187="",CA$5="",'상세일정'!AM187="제외"),"",IF($D187=$E187,IF(AND($D187&gt;=CA$5,$D187&lt;CA$5+7),"◆",""),IF(AND($D187&lt;CA$5+7,$E187&gt;CA$5),"■","")))</x:f>
      </x:c>
      <x:c r="CB187" s="7" t="str">
        <x:f>IF(OR($D187="",CB$5="",'상세일정'!AM187="제외"),"",IF($D187=$E187,IF(AND($D187&gt;=CB$5,$D187&lt;CB$5+7),"◆",""),IF(AND($D187&lt;CB$5+7,$E187&gt;CB$5),"■","")))</x:f>
      </x:c>
      <x:c r="CC187" s="7" t="str">
        <x:f>IF(OR($D187="",CC$5="",'상세일정'!AM187="제외"),"",IF($D187=$E187,IF(AND($D187&gt;=CC$5,$D187&lt;CC$5+7),"◆",""),IF(AND($D187&lt;CC$5+7,$E187&gt;CC$5),"■","")))</x:f>
      </x:c>
      <x:c r="CD187" s="7" t="str">
        <x:f>IF(OR($D187="",CD$5="",'상세일정'!AM187="제외"),"",IF($D187=$E187,IF(AND($D187&gt;=CD$5,$D187&lt;CD$5+7),"◆",""),IF(AND($D187&lt;CD$5+7,$E187&gt;CD$5),"■","")))</x:f>
      </x:c>
      <x:c r="CE187" s="7" t="str">
        <x:f>IF(OR($D187="",CE$5="",'상세일정'!AM187="제외"),"",IF($D187=$E187,IF(AND($D187&gt;=CE$5,$D187&lt;CE$5+7),"◆",""),IF(AND($D187&lt;CE$5+7,$E187&gt;CE$5),"■","")))</x:f>
      </x:c>
      <x:c r="CF187" s="7" t="str">
        <x:f>IF(OR($D187="",CF$5="",'상세일정'!AM187="제외"),"",IF($D187=$E187,IF(AND($D187&gt;=CF$5,$D187&lt;CF$5+7),"◆",""),IF(AND($D187&lt;CF$5+7,$E187&gt;CF$5),"■","")))</x:f>
      </x:c>
      <x:c r="CG187" s="7" t="str">
        <x:f>IF(OR($D187="",CG$5="",'상세일정'!AM187="제외"),"",IF($D187=$E187,IF(AND($D187&gt;=CG$5,$D187&lt;CG$5+7),"◆",""),IF(AND($D187&lt;CG$5+7,$E187&gt;CG$5),"■","")))</x:f>
      </x:c>
      <x:c r="CH187" s="7" t="str">
        <x:f>IF(OR($D187="",CH$5="",'상세일정'!AM187="제외"),"",IF($D187=$E187,IF(AND($D187&gt;=CH$5,$D187&lt;CH$5+7),"◆",""),IF(AND($D187&lt;CH$5+7,$E187&gt;CH$5),"■","")))</x:f>
      </x:c>
      <x:c r="CI187" s="7" t="str">
        <x:f>IF(OR($D187="",CI$5="",'상세일정'!AM187="제외"),"",IF($D187=$E187,IF(AND($D187&gt;=CI$5,$D187&lt;CI$5+7),"◆",""),IF(AND($D187&lt;CI$5+7,$E187&gt;CI$5),"■","")))</x:f>
      </x:c>
      <x:c r="CJ187" s="7" t="str">
        <x:f>IF(OR($D187="",CJ$5="",'상세일정'!AM187="제외"),"",IF($D187=$E187,IF(AND($D187&gt;=CJ$5,$D187&lt;CJ$5+7),"◆",""),IF(AND($D187&lt;CJ$5+7,$E187&gt;CJ$5),"■","")))</x:f>
      </x:c>
      <x:c r="CK187" s="7" t="str">
        <x:f>IF(OR($D187="",CK$5="",'상세일정'!AM187="제외"),"",IF($D187=$E187,IF(AND($D187&gt;=CK$5,$D187&lt;CK$5+7),"◆",""),IF(AND($D187&lt;CK$5+7,$E187&gt;CK$5),"■","")))</x:f>
      </x:c>
      <x:c r="CL187" s="7" t="str">
        <x:f>IF(OR($D187="",CL$5="",'상세일정'!AM187="제외"),"",IF($D187=$E187,IF(AND($D187&gt;=CL$5,$D187&lt;CL$5+7),"◆",""),IF(AND($D187&lt;CL$5+7,$E187&gt;CL$5),"■","")))</x:f>
      </x:c>
      <x:c r="CM187" s="7" t="str">
        <x:f>IF(OR($D187="",CM$5="",'상세일정'!AM187="제외"),"",IF($D187=$E187,IF(AND($D187&gt;=CM$5,$D187&lt;CM$5+7),"◆",""),IF(AND($D187&lt;CM$5+7,$E187&gt;CM$5),"■","")))</x:f>
      </x:c>
      <x:c r="CN187" s="7" t="str">
        <x:f>IF(OR($D187="",CN$5="",'상세일정'!AM187="제외"),"",IF($D187=$E187,IF(AND($D187&gt;=CN$5,$D187&lt;CN$5+7),"◆",""),IF(AND($D187&lt;CN$5+7,$E187&gt;CN$5),"■","")))</x:f>
      </x:c>
      <x:c r="CO187" s="7" t="str">
        <x:f>IF(OR($D187="",CO$5="",'상세일정'!AM187="제외"),"",IF($D187=$E187,IF(AND($D187&gt;=CO$5,$D187&lt;CO$5+7),"◆",""),IF(AND($D187&lt;CO$5+7,$E187&gt;CO$5),"■","")))</x:f>
      </x:c>
      <x:c r="CP187" s="7" t="str">
        <x:f>IF(OR($D187="",CP$5="",'상세일정'!AM187="제외"),"",IF($D187=$E187,IF(AND($D187&gt;=CP$5,$D187&lt;CP$5+7),"◆",""),IF(AND($D187&lt;CP$5+7,$E187&gt;CP$5),"■","")))</x:f>
      </x:c>
      <x:c r="CQ187" s="7" t="str">
        <x:f>IF(OR($D187="",CQ$5="",'상세일정'!AM187="제외"),"",IF($D187=$E187,IF(AND($D187&gt;=CQ$5,$D187&lt;CQ$5+7),"◆",""),IF(AND($D187&lt;CQ$5+7,$E187&gt;CQ$5),"■","")))</x:f>
      </x:c>
      <x:c r="CR187" s="7" t="str">
        <x:f>IF(OR($D187="",CR$5="",'상세일정'!AM187="제외"),"",IF($D187=$E187,IF(AND($D187&gt;=CR$5,$D187&lt;CR$5+7),"◆",""),IF(AND($D187&lt;CR$5+7,$E187&gt;CR$5),"■","")))</x:f>
      </x:c>
      <x:c r="CS187" s="7" t="str">
        <x:f>IF(OR($D187="",CS$5="",'상세일정'!AM187="제외"),"",IF($D187=$E187,IF(AND($D187&gt;=CS$5,$D187&lt;CS$5+7),"◆",""),IF(AND($D187&lt;CS$5+7,$E187&gt;CS$5),"■","")))</x:f>
      </x:c>
      <x:c r="CT187" s="7" t="str">
        <x:f>IF(OR($D187="",CT$5="",'상세일정'!AM187="제외"),"",IF($D187=$E187,IF(AND($D187&gt;=CT$5,$D187&lt;CT$5+7),"◆",""),IF(AND($D187&lt;CT$5+7,$E187&gt;CT$5),"■","")))</x:f>
      </x:c>
      <x:c r="CU187" s="7" t="str">
        <x:f>IF(OR($D187="",CU$5="",'상세일정'!AM187="제외"),"",IF($D187=$E187,IF(AND($D187&gt;=CU$5,$D187&lt;CU$5+7),"◆",""),IF(AND($D187&lt;CU$5+7,$E187&gt;CU$5),"■","")))</x:f>
      </x:c>
      <x:c r="CV187" s="7" t="str">
        <x:f>IF(OR($D187="",CV$5="",'상세일정'!AM187="제외"),"",IF($D187=$E187,IF(AND($D187&gt;=CV$5,$D187&lt;CV$5+7),"◆",""),IF(AND($D187&lt;CV$5+7,$E187&gt;CV$5),"■","")))</x:f>
      </x:c>
      <x:c r="CW187" s="7" t="str">
        <x:f>IF(OR($D187="",CW$5="",'상세일정'!AM187="제외"),"",IF($D187=$E187,IF(AND($D187&gt;=CW$5,$D187&lt;CW$5+7),"◆",""),IF(AND($D187&lt;CW$5+7,$E187&gt;CW$5),"■","")))</x:f>
      </x:c>
      <x:c r="CX187" s="7" t="str">
        <x:f>IF(OR($D187="",CX$5="",'상세일정'!AM187="제외"),"",IF($D187=$E187,IF(AND($D187&gt;=CX$5,$D187&lt;CX$5+7),"◆",""),IF(AND($D187&lt;CX$5+7,$E187&gt;CX$5),"■","")))</x:f>
      </x:c>
      <x:c r="CY187" s="7" t="str">
        <x:f>IF(OR($D187="",CY$5="",'상세일정'!AM187="제외"),"",IF($D187=$E187,IF(AND($D187&gt;=CY$5,$D187&lt;CY$5+7),"◆",""),IF(AND($D187&lt;CY$5+7,$E187&gt;CY$5),"■","")))</x:f>
      </x:c>
      <x:c r="CZ187" s="7" t="str">
        <x:f>IF(OR($D187="",CZ$5="",'상세일정'!AM187="제외"),"",IF($D187=$E187,IF(AND($D187&gt;=CZ$5,$D187&lt;CZ$5+7),"◆",""),IF(AND($D187&lt;CZ$5+7,$E187&gt;CZ$5),"■","")))</x:f>
      </x:c>
      <x:c r="DA187" s="7" t="str">
        <x:f>IF(OR($D187="",DA$5="",'상세일정'!AM187="제외"),"",IF($D187=$E187,IF(AND($D187&gt;=DA$5,$D187&lt;DA$5+7),"◆",""),IF(AND($D187&lt;DA$5+7,$E187&gt;DA$5),"■","")))</x:f>
      </x:c>
      <x:c r="DB187" s="7" t="str">
        <x:f>IF(OR($D187="",DB$5="",'상세일정'!AM187="제외"),"",IF($D187=$E187,IF(AND($D187&gt;=DB$5,$D187&lt;DB$5+7),"◆",""),IF(AND($D187&lt;DB$5+7,$E187&gt;DB$5),"■","")))</x:f>
      </x:c>
      <x:c r="DC187" s="7" t="str">
        <x:f>IF(OR($D187="",DC$5="",'상세일정'!AM187="제외"),"",IF($D187=$E187,IF(AND($D187&gt;=DC$5,$D187&lt;DC$5+7),"◆",""),IF(AND($D187&lt;DC$5+7,$E187&gt;DC$5),"■","")))</x:f>
      </x:c>
      <x:c r="DD187" s="7" t="str">
        <x:f>IF(OR($D187="",DD$5="",'상세일정'!AM187="제외"),"",IF($D187=$E187,IF(AND($D187&gt;=DD$5,$D187&lt;DD$5+7),"◆",""),IF(AND($D187&lt;DD$5+7,$E187&gt;DD$5),"■","")))</x:f>
      </x:c>
      <x:c r="DE187" s="7" t="str">
        <x:f>IF(OR($D187="",DE$5="",'상세일정'!AM187="제외"),"",IF($D187=$E187,IF(AND($D187&gt;=DE$5,$D187&lt;DE$5+7),"◆",""),IF(AND($D187&lt;DE$5+7,$E187&gt;DE$5),"■","")))</x:f>
      </x:c>
    </x:row>
    <x:row r="188" ht="34" customHeight="1">
      <x:c r="A188" s="7" t="str">
        <x:v>INAN01</x:v>
      </x:c>
      <x:c r="B188" s="7" t="str">
        <x:v>21 설비 설치</x:v>
      </x:c>
      <x:c r="C188" s="7" t="str">
        <x:v>제품분석기·Sampling system 반입·양중·고정·정렬</x:v>
      </x:c>
      <x:c r="D188" s="10" t="str">
        <x:f>'상세일정'!AJ188</x:f>
      </x:c>
      <x:c r="E188" s="10" t="str">
        <x:f>'상세일정'!AK188</x:f>
      </x:c>
      <x:c r="F188" s="7" t="str">
        <x:f>IF(OR($D188="",F$5="",'상세일정'!AM188="제외"),"",IF($D188=$E188,IF(AND($D188&gt;=F$5,$D188&lt;F$5+7),"◆",""),IF(AND($D188&lt;F$5+7,$E188&gt;F$5),"■","")))</x:f>
      </x:c>
      <x:c r="G188" s="7" t="str">
        <x:f>IF(OR($D188="",G$5="",'상세일정'!AM188="제외"),"",IF($D188=$E188,IF(AND($D188&gt;=G$5,$D188&lt;G$5+7),"◆",""),IF(AND($D188&lt;G$5+7,$E188&gt;G$5),"■","")))</x:f>
      </x:c>
      <x:c r="H188" s="7" t="str">
        <x:f>IF(OR($D188="",H$5="",'상세일정'!AM188="제외"),"",IF($D188=$E188,IF(AND($D188&gt;=H$5,$D188&lt;H$5+7),"◆",""),IF(AND($D188&lt;H$5+7,$E188&gt;H$5),"■","")))</x:f>
      </x:c>
      <x:c r="I188" s="7" t="str">
        <x:f>IF(OR($D188="",I$5="",'상세일정'!AM188="제외"),"",IF($D188=$E188,IF(AND($D188&gt;=I$5,$D188&lt;I$5+7),"◆",""),IF(AND($D188&lt;I$5+7,$E188&gt;I$5),"■","")))</x:f>
      </x:c>
      <x:c r="J188" s="7" t="str">
        <x:f>IF(OR($D188="",J$5="",'상세일정'!AM188="제외"),"",IF($D188=$E188,IF(AND($D188&gt;=J$5,$D188&lt;J$5+7),"◆",""),IF(AND($D188&lt;J$5+7,$E188&gt;J$5),"■","")))</x:f>
      </x:c>
      <x:c r="K188" s="7" t="str">
        <x:f>IF(OR($D188="",K$5="",'상세일정'!AM188="제외"),"",IF($D188=$E188,IF(AND($D188&gt;=K$5,$D188&lt;K$5+7),"◆",""),IF(AND($D188&lt;K$5+7,$E188&gt;K$5),"■","")))</x:f>
      </x:c>
      <x:c r="L188" s="7" t="str">
        <x:f>IF(OR($D188="",L$5="",'상세일정'!AM188="제외"),"",IF($D188=$E188,IF(AND($D188&gt;=L$5,$D188&lt;L$5+7),"◆",""),IF(AND($D188&lt;L$5+7,$E188&gt;L$5),"■","")))</x:f>
      </x:c>
      <x:c r="M188" s="7" t="str">
        <x:f>IF(OR($D188="",M$5="",'상세일정'!AM188="제외"),"",IF($D188=$E188,IF(AND($D188&gt;=M$5,$D188&lt;M$5+7),"◆",""),IF(AND($D188&lt;M$5+7,$E188&gt;M$5),"■","")))</x:f>
      </x:c>
      <x:c r="N188" s="7" t="str">
        <x:f>IF(OR($D188="",N$5="",'상세일정'!AM188="제외"),"",IF($D188=$E188,IF(AND($D188&gt;=N$5,$D188&lt;N$5+7),"◆",""),IF(AND($D188&lt;N$5+7,$E188&gt;N$5),"■","")))</x:f>
      </x:c>
      <x:c r="O188" s="7" t="str">
        <x:f>IF(OR($D188="",O$5="",'상세일정'!AM188="제외"),"",IF($D188=$E188,IF(AND($D188&gt;=O$5,$D188&lt;O$5+7),"◆",""),IF(AND($D188&lt;O$5+7,$E188&gt;O$5),"■","")))</x:f>
      </x:c>
      <x:c r="P188" s="7" t="str">
        <x:f>IF(OR($D188="",P$5="",'상세일정'!AM188="제외"),"",IF($D188=$E188,IF(AND($D188&gt;=P$5,$D188&lt;P$5+7),"◆",""),IF(AND($D188&lt;P$5+7,$E188&gt;P$5),"■","")))</x:f>
      </x:c>
      <x:c r="Q188" s="7" t="str">
        <x:f>IF(OR($D188="",Q$5="",'상세일정'!AM188="제외"),"",IF($D188=$E188,IF(AND($D188&gt;=Q$5,$D188&lt;Q$5+7),"◆",""),IF(AND($D188&lt;Q$5+7,$E188&gt;Q$5),"■","")))</x:f>
      </x:c>
      <x:c r="R188" s="7" t="str">
        <x:f>IF(OR($D188="",R$5="",'상세일정'!AM188="제외"),"",IF($D188=$E188,IF(AND($D188&gt;=R$5,$D188&lt;R$5+7),"◆",""),IF(AND($D188&lt;R$5+7,$E188&gt;R$5),"■","")))</x:f>
      </x:c>
      <x:c r="S188" s="7" t="str">
        <x:f>IF(OR($D188="",S$5="",'상세일정'!AM188="제외"),"",IF($D188=$E188,IF(AND($D188&gt;=S$5,$D188&lt;S$5+7),"◆",""),IF(AND($D188&lt;S$5+7,$E188&gt;S$5),"■","")))</x:f>
      </x:c>
      <x:c r="T188" s="7" t="str">
        <x:f>IF(OR($D188="",T$5="",'상세일정'!AM188="제외"),"",IF($D188=$E188,IF(AND($D188&gt;=T$5,$D188&lt;T$5+7),"◆",""),IF(AND($D188&lt;T$5+7,$E188&gt;T$5),"■","")))</x:f>
      </x:c>
      <x:c r="U188" s="7" t="str">
        <x:f>IF(OR($D188="",U$5="",'상세일정'!AM188="제외"),"",IF($D188=$E188,IF(AND($D188&gt;=U$5,$D188&lt;U$5+7),"◆",""),IF(AND($D188&lt;U$5+7,$E188&gt;U$5),"■","")))</x:f>
      </x:c>
      <x:c r="V188" s="7" t="str">
        <x:f>IF(OR($D188="",V$5="",'상세일정'!AM188="제외"),"",IF($D188=$E188,IF(AND($D188&gt;=V$5,$D188&lt;V$5+7),"◆",""),IF(AND($D188&lt;V$5+7,$E188&gt;V$5),"■","")))</x:f>
      </x:c>
      <x:c r="W188" s="7" t="str">
        <x:f>IF(OR($D188="",W$5="",'상세일정'!AM188="제외"),"",IF($D188=$E188,IF(AND($D188&gt;=W$5,$D188&lt;W$5+7),"◆",""),IF(AND($D188&lt;W$5+7,$E188&gt;W$5),"■","")))</x:f>
      </x:c>
      <x:c r="X188" s="7" t="str">
        <x:f>IF(OR($D188="",X$5="",'상세일정'!AM188="제외"),"",IF($D188=$E188,IF(AND($D188&gt;=X$5,$D188&lt;X$5+7),"◆",""),IF(AND($D188&lt;X$5+7,$E188&gt;X$5),"■","")))</x:f>
      </x:c>
      <x:c r="Y188" s="7" t="str">
        <x:f>IF(OR($D188="",Y$5="",'상세일정'!AM188="제외"),"",IF($D188=$E188,IF(AND($D188&gt;=Y$5,$D188&lt;Y$5+7),"◆",""),IF(AND($D188&lt;Y$5+7,$E188&gt;Y$5),"■","")))</x:f>
      </x:c>
      <x:c r="Z188" s="7" t="str">
        <x:f>IF(OR($D188="",Z$5="",'상세일정'!AM188="제외"),"",IF($D188=$E188,IF(AND($D188&gt;=Z$5,$D188&lt;Z$5+7),"◆",""),IF(AND($D188&lt;Z$5+7,$E188&gt;Z$5),"■","")))</x:f>
      </x:c>
      <x:c r="AA188" s="7" t="str">
        <x:f>IF(OR($D188="",AA$5="",'상세일정'!AM188="제외"),"",IF($D188=$E188,IF(AND($D188&gt;=AA$5,$D188&lt;AA$5+7),"◆",""),IF(AND($D188&lt;AA$5+7,$E188&gt;AA$5),"■","")))</x:f>
      </x:c>
      <x:c r="AB188" s="7" t="str">
        <x:f>IF(OR($D188="",AB$5="",'상세일정'!AM188="제외"),"",IF($D188=$E188,IF(AND($D188&gt;=AB$5,$D188&lt;AB$5+7),"◆",""),IF(AND($D188&lt;AB$5+7,$E188&gt;AB$5),"■","")))</x:f>
      </x:c>
      <x:c r="AC188" s="7" t="str">
        <x:f>IF(OR($D188="",AC$5="",'상세일정'!AM188="제외"),"",IF($D188=$E188,IF(AND($D188&gt;=AC$5,$D188&lt;AC$5+7),"◆",""),IF(AND($D188&lt;AC$5+7,$E188&gt;AC$5),"■","")))</x:f>
      </x:c>
      <x:c r="AD188" s="7" t="str">
        <x:f>IF(OR($D188="",AD$5="",'상세일정'!AM188="제외"),"",IF($D188=$E188,IF(AND($D188&gt;=AD$5,$D188&lt;AD$5+7),"◆",""),IF(AND($D188&lt;AD$5+7,$E188&gt;AD$5),"■","")))</x:f>
      </x:c>
      <x:c r="AE188" s="7" t="str">
        <x:f>IF(OR($D188="",AE$5="",'상세일정'!AM188="제외"),"",IF($D188=$E188,IF(AND($D188&gt;=AE$5,$D188&lt;AE$5+7),"◆",""),IF(AND($D188&lt;AE$5+7,$E188&gt;AE$5),"■","")))</x:f>
      </x:c>
      <x:c r="AF188" s="7" t="str">
        <x:f>IF(OR($D188="",AF$5="",'상세일정'!AM188="제외"),"",IF($D188=$E188,IF(AND($D188&gt;=AF$5,$D188&lt;AF$5+7),"◆",""),IF(AND($D188&lt;AF$5+7,$E188&gt;AF$5),"■","")))</x:f>
      </x:c>
      <x:c r="AG188" s="7" t="str">
        <x:f>IF(OR($D188="",AG$5="",'상세일정'!AM188="제외"),"",IF($D188=$E188,IF(AND($D188&gt;=AG$5,$D188&lt;AG$5+7),"◆",""),IF(AND($D188&lt;AG$5+7,$E188&gt;AG$5),"■","")))</x:f>
      </x:c>
      <x:c r="AH188" s="7" t="str">
        <x:f>IF(OR($D188="",AH$5="",'상세일정'!AM188="제외"),"",IF($D188=$E188,IF(AND($D188&gt;=AH$5,$D188&lt;AH$5+7),"◆",""),IF(AND($D188&lt;AH$5+7,$E188&gt;AH$5),"■","")))</x:f>
      </x:c>
      <x:c r="AI188" s="7" t="str">
        <x:f>IF(OR($D188="",AI$5="",'상세일정'!AM188="제외"),"",IF($D188=$E188,IF(AND($D188&gt;=AI$5,$D188&lt;AI$5+7),"◆",""),IF(AND($D188&lt;AI$5+7,$E188&gt;AI$5),"■","")))</x:f>
      </x:c>
      <x:c r="AJ188" s="7" t="str">
        <x:f>IF(OR($D188="",AJ$5="",'상세일정'!AM188="제외"),"",IF($D188=$E188,IF(AND($D188&gt;=AJ$5,$D188&lt;AJ$5+7),"◆",""),IF(AND($D188&lt;AJ$5+7,$E188&gt;AJ$5),"■","")))</x:f>
      </x:c>
      <x:c r="AK188" s="7" t="str">
        <x:f>IF(OR($D188="",AK$5="",'상세일정'!AM188="제외"),"",IF($D188=$E188,IF(AND($D188&gt;=AK$5,$D188&lt;AK$5+7),"◆",""),IF(AND($D188&lt;AK$5+7,$E188&gt;AK$5),"■","")))</x:f>
      </x:c>
      <x:c r="AL188" s="7" t="str">
        <x:f>IF(OR($D188="",AL$5="",'상세일정'!AM188="제외"),"",IF($D188=$E188,IF(AND($D188&gt;=AL$5,$D188&lt;AL$5+7),"◆",""),IF(AND($D188&lt;AL$5+7,$E188&gt;AL$5),"■","")))</x:f>
      </x:c>
      <x:c r="AM188" s="7" t="str">
        <x:f>IF(OR($D188="",AM$5="",'상세일정'!AM188="제외"),"",IF($D188=$E188,IF(AND($D188&gt;=AM$5,$D188&lt;AM$5+7),"◆",""),IF(AND($D188&lt;AM$5+7,$E188&gt;AM$5),"■","")))</x:f>
      </x:c>
      <x:c r="AN188" s="7" t="str">
        <x:f>IF(OR($D188="",AN$5="",'상세일정'!AM188="제외"),"",IF($D188=$E188,IF(AND($D188&gt;=AN$5,$D188&lt;AN$5+7),"◆",""),IF(AND($D188&lt;AN$5+7,$E188&gt;AN$5),"■","")))</x:f>
      </x:c>
      <x:c r="AO188" s="7" t="str">
        <x:f>IF(OR($D188="",AO$5="",'상세일정'!AM188="제외"),"",IF($D188=$E188,IF(AND($D188&gt;=AO$5,$D188&lt;AO$5+7),"◆",""),IF(AND($D188&lt;AO$5+7,$E188&gt;AO$5),"■","")))</x:f>
      </x:c>
      <x:c r="AP188" s="7" t="str">
        <x:f>IF(OR($D188="",AP$5="",'상세일정'!AM188="제외"),"",IF($D188=$E188,IF(AND($D188&gt;=AP$5,$D188&lt;AP$5+7),"◆",""),IF(AND($D188&lt;AP$5+7,$E188&gt;AP$5),"■","")))</x:f>
      </x:c>
      <x:c r="AQ188" s="7" t="str">
        <x:f>IF(OR($D188="",AQ$5="",'상세일정'!AM188="제외"),"",IF($D188=$E188,IF(AND($D188&gt;=AQ$5,$D188&lt;AQ$5+7),"◆",""),IF(AND($D188&lt;AQ$5+7,$E188&gt;AQ$5),"■","")))</x:f>
      </x:c>
      <x:c r="AR188" s="7" t="str">
        <x:f>IF(OR($D188="",AR$5="",'상세일정'!AM188="제외"),"",IF($D188=$E188,IF(AND($D188&gt;=AR$5,$D188&lt;AR$5+7),"◆",""),IF(AND($D188&lt;AR$5+7,$E188&gt;AR$5),"■","")))</x:f>
      </x:c>
      <x:c r="AS188" s="7" t="str">
        <x:f>IF(OR($D188="",AS$5="",'상세일정'!AM188="제외"),"",IF($D188=$E188,IF(AND($D188&gt;=AS$5,$D188&lt;AS$5+7),"◆",""),IF(AND($D188&lt;AS$5+7,$E188&gt;AS$5),"■","")))</x:f>
      </x:c>
      <x:c r="AT188" s="7" t="str">
        <x:f>IF(OR($D188="",AT$5="",'상세일정'!AM188="제외"),"",IF($D188=$E188,IF(AND($D188&gt;=AT$5,$D188&lt;AT$5+7),"◆",""),IF(AND($D188&lt;AT$5+7,$E188&gt;AT$5),"■","")))</x:f>
      </x:c>
      <x:c r="AU188" s="7" t="str">
        <x:f>IF(OR($D188="",AU$5="",'상세일정'!AM188="제외"),"",IF($D188=$E188,IF(AND($D188&gt;=AU$5,$D188&lt;AU$5+7),"◆",""),IF(AND($D188&lt;AU$5+7,$E188&gt;AU$5),"■","")))</x:f>
      </x:c>
      <x:c r="AV188" s="7" t="str">
        <x:f>IF(OR($D188="",AV$5="",'상세일정'!AM188="제외"),"",IF($D188=$E188,IF(AND($D188&gt;=AV$5,$D188&lt;AV$5+7),"◆",""),IF(AND($D188&lt;AV$5+7,$E188&gt;AV$5),"■","")))</x:f>
      </x:c>
      <x:c r="AW188" s="7" t="str">
        <x:f>IF(OR($D188="",AW$5="",'상세일정'!AM188="제외"),"",IF($D188=$E188,IF(AND($D188&gt;=AW$5,$D188&lt;AW$5+7),"◆",""),IF(AND($D188&lt;AW$5+7,$E188&gt;AW$5),"■","")))</x:f>
      </x:c>
      <x:c r="AX188" s="7" t="str">
        <x:f>IF(OR($D188="",AX$5="",'상세일정'!AM188="제외"),"",IF($D188=$E188,IF(AND($D188&gt;=AX$5,$D188&lt;AX$5+7),"◆",""),IF(AND($D188&lt;AX$5+7,$E188&gt;AX$5),"■","")))</x:f>
      </x:c>
      <x:c r="AY188" s="7" t="str">
        <x:f>IF(OR($D188="",AY$5="",'상세일정'!AM188="제외"),"",IF($D188=$E188,IF(AND($D188&gt;=AY$5,$D188&lt;AY$5+7),"◆",""),IF(AND($D188&lt;AY$5+7,$E188&gt;AY$5),"■","")))</x:f>
      </x:c>
      <x:c r="AZ188" s="7" t="str">
        <x:f>IF(OR($D188="",AZ$5="",'상세일정'!AM188="제외"),"",IF($D188=$E188,IF(AND($D188&gt;=AZ$5,$D188&lt;AZ$5+7),"◆",""),IF(AND($D188&lt;AZ$5+7,$E188&gt;AZ$5),"■","")))</x:f>
      </x:c>
      <x:c r="BA188" s="7" t="str">
        <x:f>IF(OR($D188="",BA$5="",'상세일정'!AM188="제외"),"",IF($D188=$E188,IF(AND($D188&gt;=BA$5,$D188&lt;BA$5+7),"◆",""),IF(AND($D188&lt;BA$5+7,$E188&gt;BA$5),"■","")))</x:f>
      </x:c>
      <x:c r="BB188" s="7" t="str">
        <x:f>IF(OR($D188="",BB$5="",'상세일정'!AM188="제외"),"",IF($D188=$E188,IF(AND($D188&gt;=BB$5,$D188&lt;BB$5+7),"◆",""),IF(AND($D188&lt;BB$5+7,$E188&gt;BB$5),"■","")))</x:f>
      </x:c>
      <x:c r="BC188" s="7" t="str">
        <x:f>IF(OR($D188="",BC$5="",'상세일정'!AM188="제외"),"",IF($D188=$E188,IF(AND($D188&gt;=BC$5,$D188&lt;BC$5+7),"◆",""),IF(AND($D188&lt;BC$5+7,$E188&gt;BC$5),"■","")))</x:f>
      </x:c>
      <x:c r="BD188" s="7" t="str">
        <x:f>IF(OR($D188="",BD$5="",'상세일정'!AM188="제외"),"",IF($D188=$E188,IF(AND($D188&gt;=BD$5,$D188&lt;BD$5+7),"◆",""),IF(AND($D188&lt;BD$5+7,$E188&gt;BD$5),"■","")))</x:f>
      </x:c>
      <x:c r="BE188" s="7" t="str">
        <x:f>IF(OR($D188="",BE$5="",'상세일정'!AM188="제외"),"",IF($D188=$E188,IF(AND($D188&gt;=BE$5,$D188&lt;BE$5+7),"◆",""),IF(AND($D188&lt;BE$5+7,$E188&gt;BE$5),"■","")))</x:f>
      </x:c>
      <x:c r="BF188" s="7" t="str">
        <x:f>IF(OR($D188="",BF$5="",'상세일정'!AM188="제외"),"",IF($D188=$E188,IF(AND($D188&gt;=BF$5,$D188&lt;BF$5+7),"◆",""),IF(AND($D188&lt;BF$5+7,$E188&gt;BF$5),"■","")))</x:f>
      </x:c>
      <x:c r="BG188" s="7" t="str">
        <x:f>IF(OR($D188="",BG$5="",'상세일정'!AM188="제외"),"",IF($D188=$E188,IF(AND($D188&gt;=BG$5,$D188&lt;BG$5+7),"◆",""),IF(AND($D188&lt;BG$5+7,$E188&gt;BG$5),"■","")))</x:f>
      </x:c>
      <x:c r="BH188" s="7" t="str">
        <x:f>IF(OR($D188="",BH$5="",'상세일정'!AM188="제외"),"",IF($D188=$E188,IF(AND($D188&gt;=BH$5,$D188&lt;BH$5+7),"◆",""),IF(AND($D188&lt;BH$5+7,$E188&gt;BH$5),"■","")))</x:f>
      </x:c>
      <x:c r="BI188" s="7" t="str">
        <x:f>IF(OR($D188="",BI$5="",'상세일정'!AM188="제외"),"",IF($D188=$E188,IF(AND($D188&gt;=BI$5,$D188&lt;BI$5+7),"◆",""),IF(AND($D188&lt;BI$5+7,$E188&gt;BI$5),"■","")))</x:f>
      </x:c>
      <x:c r="BJ188" s="7" t="str">
        <x:f>IF(OR($D188="",BJ$5="",'상세일정'!AM188="제외"),"",IF($D188=$E188,IF(AND($D188&gt;=BJ$5,$D188&lt;BJ$5+7),"◆",""),IF(AND($D188&lt;BJ$5+7,$E188&gt;BJ$5),"■","")))</x:f>
      </x:c>
      <x:c r="BK188" s="7" t="str">
        <x:f>IF(OR($D188="",BK$5="",'상세일정'!AM188="제외"),"",IF($D188=$E188,IF(AND($D188&gt;=BK$5,$D188&lt;BK$5+7),"◆",""),IF(AND($D188&lt;BK$5+7,$E188&gt;BK$5),"■","")))</x:f>
      </x:c>
      <x:c r="BL188" s="7" t="str">
        <x:f>IF(OR($D188="",BL$5="",'상세일정'!AM188="제외"),"",IF($D188=$E188,IF(AND($D188&gt;=BL$5,$D188&lt;BL$5+7),"◆",""),IF(AND($D188&lt;BL$5+7,$E188&gt;BL$5),"■","")))</x:f>
      </x:c>
      <x:c r="BM188" s="7" t="str">
        <x:f>IF(OR($D188="",BM$5="",'상세일정'!AM188="제외"),"",IF($D188=$E188,IF(AND($D188&gt;=BM$5,$D188&lt;BM$5+7),"◆",""),IF(AND($D188&lt;BM$5+7,$E188&gt;BM$5),"■","")))</x:f>
      </x:c>
      <x:c r="BN188" s="7" t="str">
        <x:f>IF(OR($D188="",BN$5="",'상세일정'!AM188="제외"),"",IF($D188=$E188,IF(AND($D188&gt;=BN$5,$D188&lt;BN$5+7),"◆",""),IF(AND($D188&lt;BN$5+7,$E188&gt;BN$5),"■","")))</x:f>
      </x:c>
      <x:c r="BO188" s="7" t="str">
        <x:f>IF(OR($D188="",BO$5="",'상세일정'!AM188="제외"),"",IF($D188=$E188,IF(AND($D188&gt;=BO$5,$D188&lt;BO$5+7),"◆",""),IF(AND($D188&lt;BO$5+7,$E188&gt;BO$5),"■","")))</x:f>
      </x:c>
      <x:c r="BP188" s="7" t="str">
        <x:f>IF(OR($D188="",BP$5="",'상세일정'!AM188="제외"),"",IF($D188=$E188,IF(AND($D188&gt;=BP$5,$D188&lt;BP$5+7),"◆",""),IF(AND($D188&lt;BP$5+7,$E188&gt;BP$5),"■","")))</x:f>
      </x:c>
      <x:c r="BQ188" s="7" t="str">
        <x:f>IF(OR($D188="",BQ$5="",'상세일정'!AM188="제외"),"",IF($D188=$E188,IF(AND($D188&gt;=BQ$5,$D188&lt;BQ$5+7),"◆",""),IF(AND($D188&lt;BQ$5+7,$E188&gt;BQ$5),"■","")))</x:f>
      </x:c>
      <x:c r="BR188" s="7" t="str">
        <x:f>IF(OR($D188="",BR$5="",'상세일정'!AM188="제외"),"",IF($D188=$E188,IF(AND($D188&gt;=BR$5,$D188&lt;BR$5+7),"◆",""),IF(AND($D188&lt;BR$5+7,$E188&gt;BR$5),"■","")))</x:f>
      </x:c>
      <x:c r="BS188" s="7" t="str">
        <x:f>IF(OR($D188="",BS$5="",'상세일정'!AM188="제외"),"",IF($D188=$E188,IF(AND($D188&gt;=BS$5,$D188&lt;BS$5+7),"◆",""),IF(AND($D188&lt;BS$5+7,$E188&gt;BS$5),"■","")))</x:f>
      </x:c>
      <x:c r="BT188" s="7" t="str">
        <x:f>IF(OR($D188="",BT$5="",'상세일정'!AM188="제외"),"",IF($D188=$E188,IF(AND($D188&gt;=BT$5,$D188&lt;BT$5+7),"◆",""),IF(AND($D188&lt;BT$5+7,$E188&gt;BT$5),"■","")))</x:f>
      </x:c>
      <x:c r="BU188" s="7" t="str">
        <x:f>IF(OR($D188="",BU$5="",'상세일정'!AM188="제외"),"",IF($D188=$E188,IF(AND($D188&gt;=BU$5,$D188&lt;BU$5+7),"◆",""),IF(AND($D188&lt;BU$5+7,$E188&gt;BU$5),"■","")))</x:f>
      </x:c>
      <x:c r="BV188" s="7" t="str">
        <x:f>IF(OR($D188="",BV$5="",'상세일정'!AM188="제외"),"",IF($D188=$E188,IF(AND($D188&gt;=BV$5,$D188&lt;BV$5+7),"◆",""),IF(AND($D188&lt;BV$5+7,$E188&gt;BV$5),"■","")))</x:f>
      </x:c>
      <x:c r="BW188" s="7" t="str">
        <x:f>IF(OR($D188="",BW$5="",'상세일정'!AM188="제외"),"",IF($D188=$E188,IF(AND($D188&gt;=BW$5,$D188&lt;BW$5+7),"◆",""),IF(AND($D188&lt;BW$5+7,$E188&gt;BW$5),"■","")))</x:f>
      </x:c>
      <x:c r="BX188" s="7" t="str">
        <x:f>IF(OR($D188="",BX$5="",'상세일정'!AM188="제외"),"",IF($D188=$E188,IF(AND($D188&gt;=BX$5,$D188&lt;BX$5+7),"◆",""),IF(AND($D188&lt;BX$5+7,$E188&gt;BX$5),"■","")))</x:f>
      </x:c>
      <x:c r="BY188" s="7" t="str">
        <x:f>IF(OR($D188="",BY$5="",'상세일정'!AM188="제외"),"",IF($D188=$E188,IF(AND($D188&gt;=BY$5,$D188&lt;BY$5+7),"◆",""),IF(AND($D188&lt;BY$5+7,$E188&gt;BY$5),"■","")))</x:f>
      </x:c>
      <x:c r="BZ188" s="7" t="str">
        <x:f>IF(OR($D188="",BZ$5="",'상세일정'!AM188="제외"),"",IF($D188=$E188,IF(AND($D188&gt;=BZ$5,$D188&lt;BZ$5+7),"◆",""),IF(AND($D188&lt;BZ$5+7,$E188&gt;BZ$5),"■","")))</x:f>
      </x:c>
      <x:c r="CA188" s="7" t="str">
        <x:f>IF(OR($D188="",CA$5="",'상세일정'!AM188="제외"),"",IF($D188=$E188,IF(AND($D188&gt;=CA$5,$D188&lt;CA$5+7),"◆",""),IF(AND($D188&lt;CA$5+7,$E188&gt;CA$5),"■","")))</x:f>
      </x:c>
      <x:c r="CB188" s="7" t="str">
        <x:f>IF(OR($D188="",CB$5="",'상세일정'!AM188="제외"),"",IF($D188=$E188,IF(AND($D188&gt;=CB$5,$D188&lt;CB$5+7),"◆",""),IF(AND($D188&lt;CB$5+7,$E188&gt;CB$5),"■","")))</x:f>
      </x:c>
      <x:c r="CC188" s="7" t="str">
        <x:f>IF(OR($D188="",CC$5="",'상세일정'!AM188="제외"),"",IF($D188=$E188,IF(AND($D188&gt;=CC$5,$D188&lt;CC$5+7),"◆",""),IF(AND($D188&lt;CC$5+7,$E188&gt;CC$5),"■","")))</x:f>
      </x:c>
      <x:c r="CD188" s="7" t="str">
        <x:f>IF(OR($D188="",CD$5="",'상세일정'!AM188="제외"),"",IF($D188=$E188,IF(AND($D188&gt;=CD$5,$D188&lt;CD$5+7),"◆",""),IF(AND($D188&lt;CD$5+7,$E188&gt;CD$5),"■","")))</x:f>
      </x:c>
      <x:c r="CE188" s="7" t="str">
        <x:f>IF(OR($D188="",CE$5="",'상세일정'!AM188="제외"),"",IF($D188=$E188,IF(AND($D188&gt;=CE$5,$D188&lt;CE$5+7),"◆",""),IF(AND($D188&lt;CE$5+7,$E188&gt;CE$5),"■","")))</x:f>
      </x:c>
      <x:c r="CF188" s="7" t="str">
        <x:f>IF(OR($D188="",CF$5="",'상세일정'!AM188="제외"),"",IF($D188=$E188,IF(AND($D188&gt;=CF$5,$D188&lt;CF$5+7),"◆",""),IF(AND($D188&lt;CF$5+7,$E188&gt;CF$5),"■","")))</x:f>
      </x:c>
      <x:c r="CG188" s="7" t="str">
        <x:f>IF(OR($D188="",CG$5="",'상세일정'!AM188="제외"),"",IF($D188=$E188,IF(AND($D188&gt;=CG$5,$D188&lt;CG$5+7),"◆",""),IF(AND($D188&lt;CG$5+7,$E188&gt;CG$5),"■","")))</x:f>
      </x:c>
      <x:c r="CH188" s="7" t="str">
        <x:f>IF(OR($D188="",CH$5="",'상세일정'!AM188="제외"),"",IF($D188=$E188,IF(AND($D188&gt;=CH$5,$D188&lt;CH$5+7),"◆",""),IF(AND($D188&lt;CH$5+7,$E188&gt;CH$5),"■","")))</x:f>
      </x:c>
      <x:c r="CI188" s="7" t="str">
        <x:f>IF(OR($D188="",CI$5="",'상세일정'!AM188="제외"),"",IF($D188=$E188,IF(AND($D188&gt;=CI$5,$D188&lt;CI$5+7),"◆",""),IF(AND($D188&lt;CI$5+7,$E188&gt;CI$5),"■","")))</x:f>
      </x:c>
      <x:c r="CJ188" s="7" t="str">
        <x:f>IF(OR($D188="",CJ$5="",'상세일정'!AM188="제외"),"",IF($D188=$E188,IF(AND($D188&gt;=CJ$5,$D188&lt;CJ$5+7),"◆",""),IF(AND($D188&lt;CJ$5+7,$E188&gt;CJ$5),"■","")))</x:f>
      </x:c>
      <x:c r="CK188" s="7" t="str">
        <x:f>IF(OR($D188="",CK$5="",'상세일정'!AM188="제외"),"",IF($D188=$E188,IF(AND($D188&gt;=CK$5,$D188&lt;CK$5+7),"◆",""),IF(AND($D188&lt;CK$5+7,$E188&gt;CK$5),"■","")))</x:f>
      </x:c>
      <x:c r="CL188" s="7" t="str">
        <x:f>IF(OR($D188="",CL$5="",'상세일정'!AM188="제외"),"",IF($D188=$E188,IF(AND($D188&gt;=CL$5,$D188&lt;CL$5+7),"◆",""),IF(AND($D188&lt;CL$5+7,$E188&gt;CL$5),"■","")))</x:f>
      </x:c>
      <x:c r="CM188" s="7" t="str">
        <x:f>IF(OR($D188="",CM$5="",'상세일정'!AM188="제외"),"",IF($D188=$E188,IF(AND($D188&gt;=CM$5,$D188&lt;CM$5+7),"◆",""),IF(AND($D188&lt;CM$5+7,$E188&gt;CM$5),"■","")))</x:f>
      </x:c>
      <x:c r="CN188" s="7" t="str">
        <x:f>IF(OR($D188="",CN$5="",'상세일정'!AM188="제외"),"",IF($D188=$E188,IF(AND($D188&gt;=CN$5,$D188&lt;CN$5+7),"◆",""),IF(AND($D188&lt;CN$5+7,$E188&gt;CN$5),"■","")))</x:f>
      </x:c>
      <x:c r="CO188" s="7" t="str">
        <x:f>IF(OR($D188="",CO$5="",'상세일정'!AM188="제외"),"",IF($D188=$E188,IF(AND($D188&gt;=CO$5,$D188&lt;CO$5+7),"◆",""),IF(AND($D188&lt;CO$5+7,$E188&gt;CO$5),"■","")))</x:f>
      </x:c>
      <x:c r="CP188" s="7" t="str">
        <x:f>IF(OR($D188="",CP$5="",'상세일정'!AM188="제외"),"",IF($D188=$E188,IF(AND($D188&gt;=CP$5,$D188&lt;CP$5+7),"◆",""),IF(AND($D188&lt;CP$5+7,$E188&gt;CP$5),"■","")))</x:f>
      </x:c>
      <x:c r="CQ188" s="7" t="str">
        <x:f>IF(OR($D188="",CQ$5="",'상세일정'!AM188="제외"),"",IF($D188=$E188,IF(AND($D188&gt;=CQ$5,$D188&lt;CQ$5+7),"◆",""),IF(AND($D188&lt;CQ$5+7,$E188&gt;CQ$5),"■","")))</x:f>
      </x:c>
      <x:c r="CR188" s="7" t="str">
        <x:f>IF(OR($D188="",CR$5="",'상세일정'!AM188="제외"),"",IF($D188=$E188,IF(AND($D188&gt;=CR$5,$D188&lt;CR$5+7),"◆",""),IF(AND($D188&lt;CR$5+7,$E188&gt;CR$5),"■","")))</x:f>
      </x:c>
      <x:c r="CS188" s="7" t="str">
        <x:f>IF(OR($D188="",CS$5="",'상세일정'!AM188="제외"),"",IF($D188=$E188,IF(AND($D188&gt;=CS$5,$D188&lt;CS$5+7),"◆",""),IF(AND($D188&lt;CS$5+7,$E188&gt;CS$5),"■","")))</x:f>
      </x:c>
      <x:c r="CT188" s="7" t="str">
        <x:f>IF(OR($D188="",CT$5="",'상세일정'!AM188="제외"),"",IF($D188=$E188,IF(AND($D188&gt;=CT$5,$D188&lt;CT$5+7),"◆",""),IF(AND($D188&lt;CT$5+7,$E188&gt;CT$5),"■","")))</x:f>
      </x:c>
      <x:c r="CU188" s="7" t="str">
        <x:f>IF(OR($D188="",CU$5="",'상세일정'!AM188="제외"),"",IF($D188=$E188,IF(AND($D188&gt;=CU$5,$D188&lt;CU$5+7),"◆",""),IF(AND($D188&lt;CU$5+7,$E188&gt;CU$5),"■","")))</x:f>
      </x:c>
      <x:c r="CV188" s="7" t="str">
        <x:f>IF(OR($D188="",CV$5="",'상세일정'!AM188="제외"),"",IF($D188=$E188,IF(AND($D188&gt;=CV$5,$D188&lt;CV$5+7),"◆",""),IF(AND($D188&lt;CV$5+7,$E188&gt;CV$5),"■","")))</x:f>
      </x:c>
      <x:c r="CW188" s="7" t="str">
        <x:f>IF(OR($D188="",CW$5="",'상세일정'!AM188="제외"),"",IF($D188=$E188,IF(AND($D188&gt;=CW$5,$D188&lt;CW$5+7),"◆",""),IF(AND($D188&lt;CW$5+7,$E188&gt;CW$5),"■","")))</x:f>
      </x:c>
      <x:c r="CX188" s="7" t="str">
        <x:f>IF(OR($D188="",CX$5="",'상세일정'!AM188="제외"),"",IF($D188=$E188,IF(AND($D188&gt;=CX$5,$D188&lt;CX$5+7),"◆",""),IF(AND($D188&lt;CX$5+7,$E188&gt;CX$5),"■","")))</x:f>
      </x:c>
      <x:c r="CY188" s="7" t="str">
        <x:f>IF(OR($D188="",CY$5="",'상세일정'!AM188="제외"),"",IF($D188=$E188,IF(AND($D188&gt;=CY$5,$D188&lt;CY$5+7),"◆",""),IF(AND($D188&lt;CY$5+7,$E188&gt;CY$5),"■","")))</x:f>
      </x:c>
      <x:c r="CZ188" s="7" t="str">
        <x:f>IF(OR($D188="",CZ$5="",'상세일정'!AM188="제외"),"",IF($D188=$E188,IF(AND($D188&gt;=CZ$5,$D188&lt;CZ$5+7),"◆",""),IF(AND($D188&lt;CZ$5+7,$E188&gt;CZ$5),"■","")))</x:f>
      </x:c>
      <x:c r="DA188" s="7" t="str">
        <x:f>IF(OR($D188="",DA$5="",'상세일정'!AM188="제외"),"",IF($D188=$E188,IF(AND($D188&gt;=DA$5,$D188&lt;DA$5+7),"◆",""),IF(AND($D188&lt;DA$5+7,$E188&gt;DA$5),"■","")))</x:f>
      </x:c>
      <x:c r="DB188" s="7" t="str">
        <x:f>IF(OR($D188="",DB$5="",'상세일정'!AM188="제외"),"",IF($D188=$E188,IF(AND($D188&gt;=DB$5,$D188&lt;DB$5+7),"◆",""),IF(AND($D188&lt;DB$5+7,$E188&gt;DB$5),"■","")))</x:f>
      </x:c>
      <x:c r="DC188" s="7" t="str">
        <x:f>IF(OR($D188="",DC$5="",'상세일정'!AM188="제외"),"",IF($D188=$E188,IF(AND($D188&gt;=DC$5,$D188&lt;DC$5+7),"◆",""),IF(AND($D188&lt;DC$5+7,$E188&gt;DC$5),"■","")))</x:f>
      </x:c>
      <x:c r="DD188" s="7" t="str">
        <x:f>IF(OR($D188="",DD$5="",'상세일정'!AM188="제외"),"",IF($D188=$E188,IF(AND($D188&gt;=DD$5,$D188&lt;DD$5+7),"◆",""),IF(AND($D188&lt;DD$5+7,$E188&gt;DD$5),"■","")))</x:f>
      </x:c>
      <x:c r="DE188" s="7" t="str">
        <x:f>IF(OR($D188="",DE$5="",'상세일정'!AM188="제외"),"",IF($D188=$E188,IF(AND($D188&gt;=DE$5,$D188&lt;DE$5+7),"◆",""),IF(AND($D188&lt;DE$5+7,$E188&gt;DE$5),"■","")))</x:f>
      </x:c>
    </x:row>
    <x:row r="189" ht="34" customHeight="1">
      <x:c r="A189" s="7" t="str">
        <x:v>INAN02</x:v>
      </x:c>
      <x:c r="B189" s="7" t="str">
        <x:v>21 설비 설치</x:v>
      </x:c>
      <x:c r="C189" s="7" t="str">
        <x:v>제품분석기·Sampling system 설치검수·현장 SAT 준비</x:v>
      </x:c>
      <x:c r="D189" s="10" t="str">
        <x:f>'상세일정'!AJ189</x:f>
      </x:c>
      <x:c r="E189" s="10" t="str">
        <x:f>'상세일정'!AK189</x:f>
      </x:c>
      <x:c r="F189" s="7" t="str">
        <x:f>IF(OR($D189="",F$5="",'상세일정'!AM189="제외"),"",IF($D189=$E189,IF(AND($D189&gt;=F$5,$D189&lt;F$5+7),"◆",""),IF(AND($D189&lt;F$5+7,$E189&gt;F$5),"■","")))</x:f>
      </x:c>
      <x:c r="G189" s="7" t="str">
        <x:f>IF(OR($D189="",G$5="",'상세일정'!AM189="제외"),"",IF($D189=$E189,IF(AND($D189&gt;=G$5,$D189&lt;G$5+7),"◆",""),IF(AND($D189&lt;G$5+7,$E189&gt;G$5),"■","")))</x:f>
      </x:c>
      <x:c r="H189" s="7" t="str">
        <x:f>IF(OR($D189="",H$5="",'상세일정'!AM189="제외"),"",IF($D189=$E189,IF(AND($D189&gt;=H$5,$D189&lt;H$5+7),"◆",""),IF(AND($D189&lt;H$5+7,$E189&gt;H$5),"■","")))</x:f>
      </x:c>
      <x:c r="I189" s="7" t="str">
        <x:f>IF(OR($D189="",I$5="",'상세일정'!AM189="제외"),"",IF($D189=$E189,IF(AND($D189&gt;=I$5,$D189&lt;I$5+7),"◆",""),IF(AND($D189&lt;I$5+7,$E189&gt;I$5),"■","")))</x:f>
      </x:c>
      <x:c r="J189" s="7" t="str">
        <x:f>IF(OR($D189="",J$5="",'상세일정'!AM189="제외"),"",IF($D189=$E189,IF(AND($D189&gt;=J$5,$D189&lt;J$5+7),"◆",""),IF(AND($D189&lt;J$5+7,$E189&gt;J$5),"■","")))</x:f>
      </x:c>
      <x:c r="K189" s="7" t="str">
        <x:f>IF(OR($D189="",K$5="",'상세일정'!AM189="제외"),"",IF($D189=$E189,IF(AND($D189&gt;=K$5,$D189&lt;K$5+7),"◆",""),IF(AND($D189&lt;K$5+7,$E189&gt;K$5),"■","")))</x:f>
      </x:c>
      <x:c r="L189" s="7" t="str">
        <x:f>IF(OR($D189="",L$5="",'상세일정'!AM189="제외"),"",IF($D189=$E189,IF(AND($D189&gt;=L$5,$D189&lt;L$5+7),"◆",""),IF(AND($D189&lt;L$5+7,$E189&gt;L$5),"■","")))</x:f>
      </x:c>
      <x:c r="M189" s="7" t="str">
        <x:f>IF(OR($D189="",M$5="",'상세일정'!AM189="제외"),"",IF($D189=$E189,IF(AND($D189&gt;=M$5,$D189&lt;M$5+7),"◆",""),IF(AND($D189&lt;M$5+7,$E189&gt;M$5),"■","")))</x:f>
      </x:c>
      <x:c r="N189" s="7" t="str">
        <x:f>IF(OR($D189="",N$5="",'상세일정'!AM189="제외"),"",IF($D189=$E189,IF(AND($D189&gt;=N$5,$D189&lt;N$5+7),"◆",""),IF(AND($D189&lt;N$5+7,$E189&gt;N$5),"■","")))</x:f>
      </x:c>
      <x:c r="O189" s="7" t="str">
        <x:f>IF(OR($D189="",O$5="",'상세일정'!AM189="제외"),"",IF($D189=$E189,IF(AND($D189&gt;=O$5,$D189&lt;O$5+7),"◆",""),IF(AND($D189&lt;O$5+7,$E189&gt;O$5),"■","")))</x:f>
      </x:c>
      <x:c r="P189" s="7" t="str">
        <x:f>IF(OR($D189="",P$5="",'상세일정'!AM189="제외"),"",IF($D189=$E189,IF(AND($D189&gt;=P$5,$D189&lt;P$5+7),"◆",""),IF(AND($D189&lt;P$5+7,$E189&gt;P$5),"■","")))</x:f>
      </x:c>
      <x:c r="Q189" s="7" t="str">
        <x:f>IF(OR($D189="",Q$5="",'상세일정'!AM189="제외"),"",IF($D189=$E189,IF(AND($D189&gt;=Q$5,$D189&lt;Q$5+7),"◆",""),IF(AND($D189&lt;Q$5+7,$E189&gt;Q$5),"■","")))</x:f>
      </x:c>
      <x:c r="R189" s="7" t="str">
        <x:f>IF(OR($D189="",R$5="",'상세일정'!AM189="제외"),"",IF($D189=$E189,IF(AND($D189&gt;=R$5,$D189&lt;R$5+7),"◆",""),IF(AND($D189&lt;R$5+7,$E189&gt;R$5),"■","")))</x:f>
      </x:c>
      <x:c r="S189" s="7" t="str">
        <x:f>IF(OR($D189="",S$5="",'상세일정'!AM189="제외"),"",IF($D189=$E189,IF(AND($D189&gt;=S$5,$D189&lt;S$5+7),"◆",""),IF(AND($D189&lt;S$5+7,$E189&gt;S$5),"■","")))</x:f>
      </x:c>
      <x:c r="T189" s="7" t="str">
        <x:f>IF(OR($D189="",T$5="",'상세일정'!AM189="제외"),"",IF($D189=$E189,IF(AND($D189&gt;=T$5,$D189&lt;T$5+7),"◆",""),IF(AND($D189&lt;T$5+7,$E189&gt;T$5),"■","")))</x:f>
      </x:c>
      <x:c r="U189" s="7" t="str">
        <x:f>IF(OR($D189="",U$5="",'상세일정'!AM189="제외"),"",IF($D189=$E189,IF(AND($D189&gt;=U$5,$D189&lt;U$5+7),"◆",""),IF(AND($D189&lt;U$5+7,$E189&gt;U$5),"■","")))</x:f>
      </x:c>
      <x:c r="V189" s="7" t="str">
        <x:f>IF(OR($D189="",V$5="",'상세일정'!AM189="제외"),"",IF($D189=$E189,IF(AND($D189&gt;=V$5,$D189&lt;V$5+7),"◆",""),IF(AND($D189&lt;V$5+7,$E189&gt;V$5),"■","")))</x:f>
      </x:c>
      <x:c r="W189" s="7" t="str">
        <x:f>IF(OR($D189="",W$5="",'상세일정'!AM189="제외"),"",IF($D189=$E189,IF(AND($D189&gt;=W$5,$D189&lt;W$5+7),"◆",""),IF(AND($D189&lt;W$5+7,$E189&gt;W$5),"■","")))</x:f>
      </x:c>
      <x:c r="X189" s="7" t="str">
        <x:f>IF(OR($D189="",X$5="",'상세일정'!AM189="제외"),"",IF($D189=$E189,IF(AND($D189&gt;=X$5,$D189&lt;X$5+7),"◆",""),IF(AND($D189&lt;X$5+7,$E189&gt;X$5),"■","")))</x:f>
      </x:c>
      <x:c r="Y189" s="7" t="str">
        <x:f>IF(OR($D189="",Y$5="",'상세일정'!AM189="제외"),"",IF($D189=$E189,IF(AND($D189&gt;=Y$5,$D189&lt;Y$5+7),"◆",""),IF(AND($D189&lt;Y$5+7,$E189&gt;Y$5),"■","")))</x:f>
      </x:c>
      <x:c r="Z189" s="7" t="str">
        <x:f>IF(OR($D189="",Z$5="",'상세일정'!AM189="제외"),"",IF($D189=$E189,IF(AND($D189&gt;=Z$5,$D189&lt;Z$5+7),"◆",""),IF(AND($D189&lt;Z$5+7,$E189&gt;Z$5),"■","")))</x:f>
      </x:c>
      <x:c r="AA189" s="7" t="str">
        <x:f>IF(OR($D189="",AA$5="",'상세일정'!AM189="제외"),"",IF($D189=$E189,IF(AND($D189&gt;=AA$5,$D189&lt;AA$5+7),"◆",""),IF(AND($D189&lt;AA$5+7,$E189&gt;AA$5),"■","")))</x:f>
      </x:c>
      <x:c r="AB189" s="7" t="str">
        <x:f>IF(OR($D189="",AB$5="",'상세일정'!AM189="제외"),"",IF($D189=$E189,IF(AND($D189&gt;=AB$5,$D189&lt;AB$5+7),"◆",""),IF(AND($D189&lt;AB$5+7,$E189&gt;AB$5),"■","")))</x:f>
      </x:c>
      <x:c r="AC189" s="7" t="str">
        <x:f>IF(OR($D189="",AC$5="",'상세일정'!AM189="제외"),"",IF($D189=$E189,IF(AND($D189&gt;=AC$5,$D189&lt;AC$5+7),"◆",""),IF(AND($D189&lt;AC$5+7,$E189&gt;AC$5),"■","")))</x:f>
      </x:c>
      <x:c r="AD189" s="7" t="str">
        <x:f>IF(OR($D189="",AD$5="",'상세일정'!AM189="제외"),"",IF($D189=$E189,IF(AND($D189&gt;=AD$5,$D189&lt;AD$5+7),"◆",""),IF(AND($D189&lt;AD$5+7,$E189&gt;AD$5),"■","")))</x:f>
      </x:c>
      <x:c r="AE189" s="7" t="str">
        <x:f>IF(OR($D189="",AE$5="",'상세일정'!AM189="제외"),"",IF($D189=$E189,IF(AND($D189&gt;=AE$5,$D189&lt;AE$5+7),"◆",""),IF(AND($D189&lt;AE$5+7,$E189&gt;AE$5),"■","")))</x:f>
      </x:c>
      <x:c r="AF189" s="7" t="str">
        <x:f>IF(OR($D189="",AF$5="",'상세일정'!AM189="제외"),"",IF($D189=$E189,IF(AND($D189&gt;=AF$5,$D189&lt;AF$5+7),"◆",""),IF(AND($D189&lt;AF$5+7,$E189&gt;AF$5),"■","")))</x:f>
      </x:c>
      <x:c r="AG189" s="7" t="str">
        <x:f>IF(OR($D189="",AG$5="",'상세일정'!AM189="제외"),"",IF($D189=$E189,IF(AND($D189&gt;=AG$5,$D189&lt;AG$5+7),"◆",""),IF(AND($D189&lt;AG$5+7,$E189&gt;AG$5),"■","")))</x:f>
      </x:c>
      <x:c r="AH189" s="7" t="str">
        <x:f>IF(OR($D189="",AH$5="",'상세일정'!AM189="제외"),"",IF($D189=$E189,IF(AND($D189&gt;=AH$5,$D189&lt;AH$5+7),"◆",""),IF(AND($D189&lt;AH$5+7,$E189&gt;AH$5),"■","")))</x:f>
      </x:c>
      <x:c r="AI189" s="7" t="str">
        <x:f>IF(OR($D189="",AI$5="",'상세일정'!AM189="제외"),"",IF($D189=$E189,IF(AND($D189&gt;=AI$5,$D189&lt;AI$5+7),"◆",""),IF(AND($D189&lt;AI$5+7,$E189&gt;AI$5),"■","")))</x:f>
      </x:c>
      <x:c r="AJ189" s="7" t="str">
        <x:f>IF(OR($D189="",AJ$5="",'상세일정'!AM189="제외"),"",IF($D189=$E189,IF(AND($D189&gt;=AJ$5,$D189&lt;AJ$5+7),"◆",""),IF(AND($D189&lt;AJ$5+7,$E189&gt;AJ$5),"■","")))</x:f>
      </x:c>
      <x:c r="AK189" s="7" t="str">
        <x:f>IF(OR($D189="",AK$5="",'상세일정'!AM189="제외"),"",IF($D189=$E189,IF(AND($D189&gt;=AK$5,$D189&lt;AK$5+7),"◆",""),IF(AND($D189&lt;AK$5+7,$E189&gt;AK$5),"■","")))</x:f>
      </x:c>
      <x:c r="AL189" s="7" t="str">
        <x:f>IF(OR($D189="",AL$5="",'상세일정'!AM189="제외"),"",IF($D189=$E189,IF(AND($D189&gt;=AL$5,$D189&lt;AL$5+7),"◆",""),IF(AND($D189&lt;AL$5+7,$E189&gt;AL$5),"■","")))</x:f>
      </x:c>
      <x:c r="AM189" s="7" t="str">
        <x:f>IF(OR($D189="",AM$5="",'상세일정'!AM189="제외"),"",IF($D189=$E189,IF(AND($D189&gt;=AM$5,$D189&lt;AM$5+7),"◆",""),IF(AND($D189&lt;AM$5+7,$E189&gt;AM$5),"■","")))</x:f>
      </x:c>
      <x:c r="AN189" s="7" t="str">
        <x:f>IF(OR($D189="",AN$5="",'상세일정'!AM189="제외"),"",IF($D189=$E189,IF(AND($D189&gt;=AN$5,$D189&lt;AN$5+7),"◆",""),IF(AND($D189&lt;AN$5+7,$E189&gt;AN$5),"■","")))</x:f>
      </x:c>
      <x:c r="AO189" s="7" t="str">
        <x:f>IF(OR($D189="",AO$5="",'상세일정'!AM189="제외"),"",IF($D189=$E189,IF(AND($D189&gt;=AO$5,$D189&lt;AO$5+7),"◆",""),IF(AND($D189&lt;AO$5+7,$E189&gt;AO$5),"■","")))</x:f>
      </x:c>
      <x:c r="AP189" s="7" t="str">
        <x:f>IF(OR($D189="",AP$5="",'상세일정'!AM189="제외"),"",IF($D189=$E189,IF(AND($D189&gt;=AP$5,$D189&lt;AP$5+7),"◆",""),IF(AND($D189&lt;AP$5+7,$E189&gt;AP$5),"■","")))</x:f>
      </x:c>
      <x:c r="AQ189" s="7" t="str">
        <x:f>IF(OR($D189="",AQ$5="",'상세일정'!AM189="제외"),"",IF($D189=$E189,IF(AND($D189&gt;=AQ$5,$D189&lt;AQ$5+7),"◆",""),IF(AND($D189&lt;AQ$5+7,$E189&gt;AQ$5),"■","")))</x:f>
      </x:c>
      <x:c r="AR189" s="7" t="str">
        <x:f>IF(OR($D189="",AR$5="",'상세일정'!AM189="제외"),"",IF($D189=$E189,IF(AND($D189&gt;=AR$5,$D189&lt;AR$5+7),"◆",""),IF(AND($D189&lt;AR$5+7,$E189&gt;AR$5),"■","")))</x:f>
      </x:c>
      <x:c r="AS189" s="7" t="str">
        <x:f>IF(OR($D189="",AS$5="",'상세일정'!AM189="제외"),"",IF($D189=$E189,IF(AND($D189&gt;=AS$5,$D189&lt;AS$5+7),"◆",""),IF(AND($D189&lt;AS$5+7,$E189&gt;AS$5),"■","")))</x:f>
      </x:c>
      <x:c r="AT189" s="7" t="str">
        <x:f>IF(OR($D189="",AT$5="",'상세일정'!AM189="제외"),"",IF($D189=$E189,IF(AND($D189&gt;=AT$5,$D189&lt;AT$5+7),"◆",""),IF(AND($D189&lt;AT$5+7,$E189&gt;AT$5),"■","")))</x:f>
      </x:c>
      <x:c r="AU189" s="7" t="str">
        <x:f>IF(OR($D189="",AU$5="",'상세일정'!AM189="제외"),"",IF($D189=$E189,IF(AND($D189&gt;=AU$5,$D189&lt;AU$5+7),"◆",""),IF(AND($D189&lt;AU$5+7,$E189&gt;AU$5),"■","")))</x:f>
      </x:c>
      <x:c r="AV189" s="7" t="str">
        <x:f>IF(OR($D189="",AV$5="",'상세일정'!AM189="제외"),"",IF($D189=$E189,IF(AND($D189&gt;=AV$5,$D189&lt;AV$5+7),"◆",""),IF(AND($D189&lt;AV$5+7,$E189&gt;AV$5),"■","")))</x:f>
      </x:c>
      <x:c r="AW189" s="7" t="str">
        <x:f>IF(OR($D189="",AW$5="",'상세일정'!AM189="제외"),"",IF($D189=$E189,IF(AND($D189&gt;=AW$5,$D189&lt;AW$5+7),"◆",""),IF(AND($D189&lt;AW$5+7,$E189&gt;AW$5),"■","")))</x:f>
      </x:c>
      <x:c r="AX189" s="7" t="str">
        <x:f>IF(OR($D189="",AX$5="",'상세일정'!AM189="제외"),"",IF($D189=$E189,IF(AND($D189&gt;=AX$5,$D189&lt;AX$5+7),"◆",""),IF(AND($D189&lt;AX$5+7,$E189&gt;AX$5),"■","")))</x:f>
      </x:c>
      <x:c r="AY189" s="7" t="str">
        <x:f>IF(OR($D189="",AY$5="",'상세일정'!AM189="제외"),"",IF($D189=$E189,IF(AND($D189&gt;=AY$5,$D189&lt;AY$5+7),"◆",""),IF(AND($D189&lt;AY$5+7,$E189&gt;AY$5),"■","")))</x:f>
      </x:c>
      <x:c r="AZ189" s="7" t="str">
        <x:f>IF(OR($D189="",AZ$5="",'상세일정'!AM189="제외"),"",IF($D189=$E189,IF(AND($D189&gt;=AZ$5,$D189&lt;AZ$5+7),"◆",""),IF(AND($D189&lt;AZ$5+7,$E189&gt;AZ$5),"■","")))</x:f>
      </x:c>
      <x:c r="BA189" s="7" t="str">
        <x:f>IF(OR($D189="",BA$5="",'상세일정'!AM189="제외"),"",IF($D189=$E189,IF(AND($D189&gt;=BA$5,$D189&lt;BA$5+7),"◆",""),IF(AND($D189&lt;BA$5+7,$E189&gt;BA$5),"■","")))</x:f>
      </x:c>
      <x:c r="BB189" s="7" t="str">
        <x:f>IF(OR($D189="",BB$5="",'상세일정'!AM189="제외"),"",IF($D189=$E189,IF(AND($D189&gt;=BB$5,$D189&lt;BB$5+7),"◆",""),IF(AND($D189&lt;BB$5+7,$E189&gt;BB$5),"■","")))</x:f>
      </x:c>
      <x:c r="BC189" s="7" t="str">
        <x:f>IF(OR($D189="",BC$5="",'상세일정'!AM189="제외"),"",IF($D189=$E189,IF(AND($D189&gt;=BC$5,$D189&lt;BC$5+7),"◆",""),IF(AND($D189&lt;BC$5+7,$E189&gt;BC$5),"■","")))</x:f>
      </x:c>
      <x:c r="BD189" s="7" t="str">
        <x:f>IF(OR($D189="",BD$5="",'상세일정'!AM189="제외"),"",IF($D189=$E189,IF(AND($D189&gt;=BD$5,$D189&lt;BD$5+7),"◆",""),IF(AND($D189&lt;BD$5+7,$E189&gt;BD$5),"■","")))</x:f>
      </x:c>
      <x:c r="BE189" s="7" t="str">
        <x:f>IF(OR($D189="",BE$5="",'상세일정'!AM189="제외"),"",IF($D189=$E189,IF(AND($D189&gt;=BE$5,$D189&lt;BE$5+7),"◆",""),IF(AND($D189&lt;BE$5+7,$E189&gt;BE$5),"■","")))</x:f>
      </x:c>
      <x:c r="BF189" s="7" t="str">
        <x:f>IF(OR($D189="",BF$5="",'상세일정'!AM189="제외"),"",IF($D189=$E189,IF(AND($D189&gt;=BF$5,$D189&lt;BF$5+7),"◆",""),IF(AND($D189&lt;BF$5+7,$E189&gt;BF$5),"■","")))</x:f>
      </x:c>
      <x:c r="BG189" s="7" t="str">
        <x:f>IF(OR($D189="",BG$5="",'상세일정'!AM189="제외"),"",IF($D189=$E189,IF(AND($D189&gt;=BG$5,$D189&lt;BG$5+7),"◆",""),IF(AND($D189&lt;BG$5+7,$E189&gt;BG$5),"■","")))</x:f>
      </x:c>
      <x:c r="BH189" s="7" t="str">
        <x:f>IF(OR($D189="",BH$5="",'상세일정'!AM189="제외"),"",IF($D189=$E189,IF(AND($D189&gt;=BH$5,$D189&lt;BH$5+7),"◆",""),IF(AND($D189&lt;BH$5+7,$E189&gt;BH$5),"■","")))</x:f>
      </x:c>
      <x:c r="BI189" s="7" t="str">
        <x:f>IF(OR($D189="",BI$5="",'상세일정'!AM189="제외"),"",IF($D189=$E189,IF(AND($D189&gt;=BI$5,$D189&lt;BI$5+7),"◆",""),IF(AND($D189&lt;BI$5+7,$E189&gt;BI$5),"■","")))</x:f>
      </x:c>
      <x:c r="BJ189" s="7" t="str">
        <x:f>IF(OR($D189="",BJ$5="",'상세일정'!AM189="제외"),"",IF($D189=$E189,IF(AND($D189&gt;=BJ$5,$D189&lt;BJ$5+7),"◆",""),IF(AND($D189&lt;BJ$5+7,$E189&gt;BJ$5),"■","")))</x:f>
      </x:c>
      <x:c r="BK189" s="7" t="str">
        <x:f>IF(OR($D189="",BK$5="",'상세일정'!AM189="제외"),"",IF($D189=$E189,IF(AND($D189&gt;=BK$5,$D189&lt;BK$5+7),"◆",""),IF(AND($D189&lt;BK$5+7,$E189&gt;BK$5),"■","")))</x:f>
      </x:c>
      <x:c r="BL189" s="7" t="str">
        <x:f>IF(OR($D189="",BL$5="",'상세일정'!AM189="제외"),"",IF($D189=$E189,IF(AND($D189&gt;=BL$5,$D189&lt;BL$5+7),"◆",""),IF(AND($D189&lt;BL$5+7,$E189&gt;BL$5),"■","")))</x:f>
      </x:c>
      <x:c r="BM189" s="7" t="str">
        <x:f>IF(OR($D189="",BM$5="",'상세일정'!AM189="제외"),"",IF($D189=$E189,IF(AND($D189&gt;=BM$5,$D189&lt;BM$5+7),"◆",""),IF(AND($D189&lt;BM$5+7,$E189&gt;BM$5),"■","")))</x:f>
      </x:c>
      <x:c r="BN189" s="7" t="str">
        <x:f>IF(OR($D189="",BN$5="",'상세일정'!AM189="제외"),"",IF($D189=$E189,IF(AND($D189&gt;=BN$5,$D189&lt;BN$5+7),"◆",""),IF(AND($D189&lt;BN$5+7,$E189&gt;BN$5),"■","")))</x:f>
      </x:c>
      <x:c r="BO189" s="7" t="str">
        <x:f>IF(OR($D189="",BO$5="",'상세일정'!AM189="제외"),"",IF($D189=$E189,IF(AND($D189&gt;=BO$5,$D189&lt;BO$5+7),"◆",""),IF(AND($D189&lt;BO$5+7,$E189&gt;BO$5),"■","")))</x:f>
      </x:c>
      <x:c r="BP189" s="7" t="str">
        <x:f>IF(OR($D189="",BP$5="",'상세일정'!AM189="제외"),"",IF($D189=$E189,IF(AND($D189&gt;=BP$5,$D189&lt;BP$5+7),"◆",""),IF(AND($D189&lt;BP$5+7,$E189&gt;BP$5),"■","")))</x:f>
      </x:c>
      <x:c r="BQ189" s="7" t="str">
        <x:f>IF(OR($D189="",BQ$5="",'상세일정'!AM189="제외"),"",IF($D189=$E189,IF(AND($D189&gt;=BQ$5,$D189&lt;BQ$5+7),"◆",""),IF(AND($D189&lt;BQ$5+7,$E189&gt;BQ$5),"■","")))</x:f>
      </x:c>
      <x:c r="BR189" s="7" t="str">
        <x:f>IF(OR($D189="",BR$5="",'상세일정'!AM189="제외"),"",IF($D189=$E189,IF(AND($D189&gt;=BR$5,$D189&lt;BR$5+7),"◆",""),IF(AND($D189&lt;BR$5+7,$E189&gt;BR$5),"■","")))</x:f>
      </x:c>
      <x:c r="BS189" s="7" t="str">
        <x:f>IF(OR($D189="",BS$5="",'상세일정'!AM189="제외"),"",IF($D189=$E189,IF(AND($D189&gt;=BS$5,$D189&lt;BS$5+7),"◆",""),IF(AND($D189&lt;BS$5+7,$E189&gt;BS$5),"■","")))</x:f>
      </x:c>
      <x:c r="BT189" s="7" t="str">
        <x:f>IF(OR($D189="",BT$5="",'상세일정'!AM189="제외"),"",IF($D189=$E189,IF(AND($D189&gt;=BT$5,$D189&lt;BT$5+7),"◆",""),IF(AND($D189&lt;BT$5+7,$E189&gt;BT$5),"■","")))</x:f>
      </x:c>
      <x:c r="BU189" s="7" t="str">
        <x:f>IF(OR($D189="",BU$5="",'상세일정'!AM189="제외"),"",IF($D189=$E189,IF(AND($D189&gt;=BU$5,$D189&lt;BU$5+7),"◆",""),IF(AND($D189&lt;BU$5+7,$E189&gt;BU$5),"■","")))</x:f>
      </x:c>
      <x:c r="BV189" s="7" t="str">
        <x:f>IF(OR($D189="",BV$5="",'상세일정'!AM189="제외"),"",IF($D189=$E189,IF(AND($D189&gt;=BV$5,$D189&lt;BV$5+7),"◆",""),IF(AND($D189&lt;BV$5+7,$E189&gt;BV$5),"■","")))</x:f>
      </x:c>
      <x:c r="BW189" s="7" t="str">
        <x:f>IF(OR($D189="",BW$5="",'상세일정'!AM189="제외"),"",IF($D189=$E189,IF(AND($D189&gt;=BW$5,$D189&lt;BW$5+7),"◆",""),IF(AND($D189&lt;BW$5+7,$E189&gt;BW$5),"■","")))</x:f>
      </x:c>
      <x:c r="BX189" s="7" t="str">
        <x:f>IF(OR($D189="",BX$5="",'상세일정'!AM189="제외"),"",IF($D189=$E189,IF(AND($D189&gt;=BX$5,$D189&lt;BX$5+7),"◆",""),IF(AND($D189&lt;BX$5+7,$E189&gt;BX$5),"■","")))</x:f>
      </x:c>
      <x:c r="BY189" s="7" t="str">
        <x:f>IF(OR($D189="",BY$5="",'상세일정'!AM189="제외"),"",IF($D189=$E189,IF(AND($D189&gt;=BY$5,$D189&lt;BY$5+7),"◆",""),IF(AND($D189&lt;BY$5+7,$E189&gt;BY$5),"■","")))</x:f>
      </x:c>
      <x:c r="BZ189" s="7" t="str">
        <x:f>IF(OR($D189="",BZ$5="",'상세일정'!AM189="제외"),"",IF($D189=$E189,IF(AND($D189&gt;=BZ$5,$D189&lt;BZ$5+7),"◆",""),IF(AND($D189&lt;BZ$5+7,$E189&gt;BZ$5),"■","")))</x:f>
      </x:c>
      <x:c r="CA189" s="7" t="str">
        <x:f>IF(OR($D189="",CA$5="",'상세일정'!AM189="제외"),"",IF($D189=$E189,IF(AND($D189&gt;=CA$5,$D189&lt;CA$5+7),"◆",""),IF(AND($D189&lt;CA$5+7,$E189&gt;CA$5),"■","")))</x:f>
      </x:c>
      <x:c r="CB189" s="7" t="str">
        <x:f>IF(OR($D189="",CB$5="",'상세일정'!AM189="제외"),"",IF($D189=$E189,IF(AND($D189&gt;=CB$5,$D189&lt;CB$5+7),"◆",""),IF(AND($D189&lt;CB$5+7,$E189&gt;CB$5),"■","")))</x:f>
      </x:c>
      <x:c r="CC189" s="7" t="str">
        <x:f>IF(OR($D189="",CC$5="",'상세일정'!AM189="제외"),"",IF($D189=$E189,IF(AND($D189&gt;=CC$5,$D189&lt;CC$5+7),"◆",""),IF(AND($D189&lt;CC$5+7,$E189&gt;CC$5),"■","")))</x:f>
      </x:c>
      <x:c r="CD189" s="7" t="str">
        <x:f>IF(OR($D189="",CD$5="",'상세일정'!AM189="제외"),"",IF($D189=$E189,IF(AND($D189&gt;=CD$5,$D189&lt;CD$5+7),"◆",""),IF(AND($D189&lt;CD$5+7,$E189&gt;CD$5),"■","")))</x:f>
      </x:c>
      <x:c r="CE189" s="7" t="str">
        <x:f>IF(OR($D189="",CE$5="",'상세일정'!AM189="제외"),"",IF($D189=$E189,IF(AND($D189&gt;=CE$5,$D189&lt;CE$5+7),"◆",""),IF(AND($D189&lt;CE$5+7,$E189&gt;CE$5),"■","")))</x:f>
      </x:c>
      <x:c r="CF189" s="7" t="str">
        <x:f>IF(OR($D189="",CF$5="",'상세일정'!AM189="제외"),"",IF($D189=$E189,IF(AND($D189&gt;=CF$5,$D189&lt;CF$5+7),"◆",""),IF(AND($D189&lt;CF$5+7,$E189&gt;CF$5),"■","")))</x:f>
      </x:c>
      <x:c r="CG189" s="7" t="str">
        <x:f>IF(OR($D189="",CG$5="",'상세일정'!AM189="제외"),"",IF($D189=$E189,IF(AND($D189&gt;=CG$5,$D189&lt;CG$5+7),"◆",""),IF(AND($D189&lt;CG$5+7,$E189&gt;CG$5),"■","")))</x:f>
      </x:c>
      <x:c r="CH189" s="7" t="str">
        <x:f>IF(OR($D189="",CH$5="",'상세일정'!AM189="제외"),"",IF($D189=$E189,IF(AND($D189&gt;=CH$5,$D189&lt;CH$5+7),"◆",""),IF(AND($D189&lt;CH$5+7,$E189&gt;CH$5),"■","")))</x:f>
      </x:c>
      <x:c r="CI189" s="7" t="str">
        <x:f>IF(OR($D189="",CI$5="",'상세일정'!AM189="제외"),"",IF($D189=$E189,IF(AND($D189&gt;=CI$5,$D189&lt;CI$5+7),"◆",""),IF(AND($D189&lt;CI$5+7,$E189&gt;CI$5),"■","")))</x:f>
      </x:c>
      <x:c r="CJ189" s="7" t="str">
        <x:f>IF(OR($D189="",CJ$5="",'상세일정'!AM189="제외"),"",IF($D189=$E189,IF(AND($D189&gt;=CJ$5,$D189&lt;CJ$5+7),"◆",""),IF(AND($D189&lt;CJ$5+7,$E189&gt;CJ$5),"■","")))</x:f>
      </x:c>
      <x:c r="CK189" s="7" t="str">
        <x:f>IF(OR($D189="",CK$5="",'상세일정'!AM189="제외"),"",IF($D189=$E189,IF(AND($D189&gt;=CK$5,$D189&lt;CK$5+7),"◆",""),IF(AND($D189&lt;CK$5+7,$E189&gt;CK$5),"■","")))</x:f>
      </x:c>
      <x:c r="CL189" s="7" t="str">
        <x:f>IF(OR($D189="",CL$5="",'상세일정'!AM189="제외"),"",IF($D189=$E189,IF(AND($D189&gt;=CL$5,$D189&lt;CL$5+7),"◆",""),IF(AND($D189&lt;CL$5+7,$E189&gt;CL$5),"■","")))</x:f>
      </x:c>
      <x:c r="CM189" s="7" t="str">
        <x:f>IF(OR($D189="",CM$5="",'상세일정'!AM189="제외"),"",IF($D189=$E189,IF(AND($D189&gt;=CM$5,$D189&lt;CM$5+7),"◆",""),IF(AND($D189&lt;CM$5+7,$E189&gt;CM$5),"■","")))</x:f>
      </x:c>
      <x:c r="CN189" s="7" t="str">
        <x:f>IF(OR($D189="",CN$5="",'상세일정'!AM189="제외"),"",IF($D189=$E189,IF(AND($D189&gt;=CN$5,$D189&lt;CN$5+7),"◆",""),IF(AND($D189&lt;CN$5+7,$E189&gt;CN$5),"■","")))</x:f>
      </x:c>
      <x:c r="CO189" s="7" t="str">
        <x:f>IF(OR($D189="",CO$5="",'상세일정'!AM189="제외"),"",IF($D189=$E189,IF(AND($D189&gt;=CO$5,$D189&lt;CO$5+7),"◆",""),IF(AND($D189&lt;CO$5+7,$E189&gt;CO$5),"■","")))</x:f>
      </x:c>
      <x:c r="CP189" s="7" t="str">
        <x:f>IF(OR($D189="",CP$5="",'상세일정'!AM189="제외"),"",IF($D189=$E189,IF(AND($D189&gt;=CP$5,$D189&lt;CP$5+7),"◆",""),IF(AND($D189&lt;CP$5+7,$E189&gt;CP$5),"■","")))</x:f>
      </x:c>
      <x:c r="CQ189" s="7" t="str">
        <x:f>IF(OR($D189="",CQ$5="",'상세일정'!AM189="제외"),"",IF($D189=$E189,IF(AND($D189&gt;=CQ$5,$D189&lt;CQ$5+7),"◆",""),IF(AND($D189&lt;CQ$5+7,$E189&gt;CQ$5),"■","")))</x:f>
      </x:c>
      <x:c r="CR189" s="7" t="str">
        <x:f>IF(OR($D189="",CR$5="",'상세일정'!AM189="제외"),"",IF($D189=$E189,IF(AND($D189&gt;=CR$5,$D189&lt;CR$5+7),"◆",""),IF(AND($D189&lt;CR$5+7,$E189&gt;CR$5),"■","")))</x:f>
      </x:c>
      <x:c r="CS189" s="7" t="str">
        <x:f>IF(OR($D189="",CS$5="",'상세일정'!AM189="제외"),"",IF($D189=$E189,IF(AND($D189&gt;=CS$5,$D189&lt;CS$5+7),"◆",""),IF(AND($D189&lt;CS$5+7,$E189&gt;CS$5),"■","")))</x:f>
      </x:c>
      <x:c r="CT189" s="7" t="str">
        <x:f>IF(OR($D189="",CT$5="",'상세일정'!AM189="제외"),"",IF($D189=$E189,IF(AND($D189&gt;=CT$5,$D189&lt;CT$5+7),"◆",""),IF(AND($D189&lt;CT$5+7,$E189&gt;CT$5),"■","")))</x:f>
      </x:c>
      <x:c r="CU189" s="7" t="str">
        <x:f>IF(OR($D189="",CU$5="",'상세일정'!AM189="제외"),"",IF($D189=$E189,IF(AND($D189&gt;=CU$5,$D189&lt;CU$5+7),"◆",""),IF(AND($D189&lt;CU$5+7,$E189&gt;CU$5),"■","")))</x:f>
      </x:c>
      <x:c r="CV189" s="7" t="str">
        <x:f>IF(OR($D189="",CV$5="",'상세일정'!AM189="제외"),"",IF($D189=$E189,IF(AND($D189&gt;=CV$5,$D189&lt;CV$5+7),"◆",""),IF(AND($D189&lt;CV$5+7,$E189&gt;CV$5),"■","")))</x:f>
      </x:c>
      <x:c r="CW189" s="7" t="str">
        <x:f>IF(OR($D189="",CW$5="",'상세일정'!AM189="제외"),"",IF($D189=$E189,IF(AND($D189&gt;=CW$5,$D189&lt;CW$5+7),"◆",""),IF(AND($D189&lt;CW$5+7,$E189&gt;CW$5),"■","")))</x:f>
      </x:c>
      <x:c r="CX189" s="7" t="str">
        <x:f>IF(OR($D189="",CX$5="",'상세일정'!AM189="제외"),"",IF($D189=$E189,IF(AND($D189&gt;=CX$5,$D189&lt;CX$5+7),"◆",""),IF(AND($D189&lt;CX$5+7,$E189&gt;CX$5),"■","")))</x:f>
      </x:c>
      <x:c r="CY189" s="7" t="str">
        <x:f>IF(OR($D189="",CY$5="",'상세일정'!AM189="제외"),"",IF($D189=$E189,IF(AND($D189&gt;=CY$5,$D189&lt;CY$5+7),"◆",""),IF(AND($D189&lt;CY$5+7,$E189&gt;CY$5),"■","")))</x:f>
      </x:c>
      <x:c r="CZ189" s="7" t="str">
        <x:f>IF(OR($D189="",CZ$5="",'상세일정'!AM189="제외"),"",IF($D189=$E189,IF(AND($D189&gt;=CZ$5,$D189&lt;CZ$5+7),"◆",""),IF(AND($D189&lt;CZ$5+7,$E189&gt;CZ$5),"■","")))</x:f>
      </x:c>
      <x:c r="DA189" s="7" t="str">
        <x:f>IF(OR($D189="",DA$5="",'상세일정'!AM189="제외"),"",IF($D189=$E189,IF(AND($D189&gt;=DA$5,$D189&lt;DA$5+7),"◆",""),IF(AND($D189&lt;DA$5+7,$E189&gt;DA$5),"■","")))</x:f>
      </x:c>
      <x:c r="DB189" s="7" t="str">
        <x:f>IF(OR($D189="",DB$5="",'상세일정'!AM189="제외"),"",IF($D189=$E189,IF(AND($D189&gt;=DB$5,$D189&lt;DB$5+7),"◆",""),IF(AND($D189&lt;DB$5+7,$E189&gt;DB$5),"■","")))</x:f>
      </x:c>
      <x:c r="DC189" s="7" t="str">
        <x:f>IF(OR($D189="",DC$5="",'상세일정'!AM189="제외"),"",IF($D189=$E189,IF(AND($D189&gt;=DC$5,$D189&lt;DC$5+7),"◆",""),IF(AND($D189&lt;DC$5+7,$E189&gt;DC$5),"■","")))</x:f>
      </x:c>
      <x:c r="DD189" s="7" t="str">
        <x:f>IF(OR($D189="",DD$5="",'상세일정'!AM189="제외"),"",IF($D189=$E189,IF(AND($D189&gt;=DD$5,$D189&lt;DD$5+7),"◆",""),IF(AND($D189&lt;DD$5+7,$E189&gt;DD$5),"■","")))</x:f>
      </x:c>
      <x:c r="DE189" s="7" t="str">
        <x:f>IF(OR($D189="",DE$5="",'상세일정'!AM189="제외"),"",IF($D189=$E189,IF(AND($D189&gt;=DE$5,$D189&lt;DE$5+7),"◆",""),IF(AND($D189&lt;DE$5+7,$E189&gt;DE$5),"■","")))</x:f>
      </x:c>
    </x:row>
    <x:row r="190" ht="34" customHeight="1">
      <x:c r="A190" s="7" t="str">
        <x:v>INUT01</x:v>
      </x:c>
      <x:c r="B190" s="7" t="str">
        <x:v>21 설비 설치</x:v>
      </x:c>
      <x:c r="C190" s="7" t="str">
        <x:v>IA·냉각타워·데미워터 반입·양중·고정·정렬</x:v>
      </x:c>
      <x:c r="D190" s="10" t="str">
        <x:f>'상세일정'!AJ190</x:f>
      </x:c>
      <x:c r="E190" s="10" t="str">
        <x:f>'상세일정'!AK190</x:f>
      </x:c>
      <x:c r="F190" s="7" t="str">
        <x:f>IF(OR($D190="",F$5="",'상세일정'!AM190="제외"),"",IF($D190=$E190,IF(AND($D190&gt;=F$5,$D190&lt;F$5+7),"◆",""),IF(AND($D190&lt;F$5+7,$E190&gt;F$5),"■","")))</x:f>
      </x:c>
      <x:c r="G190" s="7" t="str">
        <x:f>IF(OR($D190="",G$5="",'상세일정'!AM190="제외"),"",IF($D190=$E190,IF(AND($D190&gt;=G$5,$D190&lt;G$5+7),"◆",""),IF(AND($D190&lt;G$5+7,$E190&gt;G$5),"■","")))</x:f>
      </x:c>
      <x:c r="H190" s="7" t="str">
        <x:f>IF(OR($D190="",H$5="",'상세일정'!AM190="제외"),"",IF($D190=$E190,IF(AND($D190&gt;=H$5,$D190&lt;H$5+7),"◆",""),IF(AND($D190&lt;H$5+7,$E190&gt;H$5),"■","")))</x:f>
      </x:c>
      <x:c r="I190" s="7" t="str">
        <x:f>IF(OR($D190="",I$5="",'상세일정'!AM190="제외"),"",IF($D190=$E190,IF(AND($D190&gt;=I$5,$D190&lt;I$5+7),"◆",""),IF(AND($D190&lt;I$5+7,$E190&gt;I$5),"■","")))</x:f>
      </x:c>
      <x:c r="J190" s="7" t="str">
        <x:f>IF(OR($D190="",J$5="",'상세일정'!AM190="제외"),"",IF($D190=$E190,IF(AND($D190&gt;=J$5,$D190&lt;J$5+7),"◆",""),IF(AND($D190&lt;J$5+7,$E190&gt;J$5),"■","")))</x:f>
      </x:c>
      <x:c r="K190" s="7" t="str">
        <x:f>IF(OR($D190="",K$5="",'상세일정'!AM190="제외"),"",IF($D190=$E190,IF(AND($D190&gt;=K$5,$D190&lt;K$5+7),"◆",""),IF(AND($D190&lt;K$5+7,$E190&gt;K$5),"■","")))</x:f>
      </x:c>
      <x:c r="L190" s="7" t="str">
        <x:f>IF(OR($D190="",L$5="",'상세일정'!AM190="제외"),"",IF($D190=$E190,IF(AND($D190&gt;=L$5,$D190&lt;L$5+7),"◆",""),IF(AND($D190&lt;L$5+7,$E190&gt;L$5),"■","")))</x:f>
      </x:c>
      <x:c r="M190" s="7" t="str">
        <x:f>IF(OR($D190="",M$5="",'상세일정'!AM190="제외"),"",IF($D190=$E190,IF(AND($D190&gt;=M$5,$D190&lt;M$5+7),"◆",""),IF(AND($D190&lt;M$5+7,$E190&gt;M$5),"■","")))</x:f>
      </x:c>
      <x:c r="N190" s="7" t="str">
        <x:f>IF(OR($D190="",N$5="",'상세일정'!AM190="제외"),"",IF($D190=$E190,IF(AND($D190&gt;=N$5,$D190&lt;N$5+7),"◆",""),IF(AND($D190&lt;N$5+7,$E190&gt;N$5),"■","")))</x:f>
      </x:c>
      <x:c r="O190" s="7" t="str">
        <x:f>IF(OR($D190="",O$5="",'상세일정'!AM190="제외"),"",IF($D190=$E190,IF(AND($D190&gt;=O$5,$D190&lt;O$5+7),"◆",""),IF(AND($D190&lt;O$5+7,$E190&gt;O$5),"■","")))</x:f>
      </x:c>
      <x:c r="P190" s="7" t="str">
        <x:f>IF(OR($D190="",P$5="",'상세일정'!AM190="제외"),"",IF($D190=$E190,IF(AND($D190&gt;=P$5,$D190&lt;P$5+7),"◆",""),IF(AND($D190&lt;P$5+7,$E190&gt;P$5),"■","")))</x:f>
      </x:c>
      <x:c r="Q190" s="7" t="str">
        <x:f>IF(OR($D190="",Q$5="",'상세일정'!AM190="제외"),"",IF($D190=$E190,IF(AND($D190&gt;=Q$5,$D190&lt;Q$5+7),"◆",""),IF(AND($D190&lt;Q$5+7,$E190&gt;Q$5),"■","")))</x:f>
      </x:c>
      <x:c r="R190" s="7" t="str">
        <x:f>IF(OR($D190="",R$5="",'상세일정'!AM190="제외"),"",IF($D190=$E190,IF(AND($D190&gt;=R$5,$D190&lt;R$5+7),"◆",""),IF(AND($D190&lt;R$5+7,$E190&gt;R$5),"■","")))</x:f>
      </x:c>
      <x:c r="S190" s="7" t="str">
        <x:f>IF(OR($D190="",S$5="",'상세일정'!AM190="제외"),"",IF($D190=$E190,IF(AND($D190&gt;=S$5,$D190&lt;S$5+7),"◆",""),IF(AND($D190&lt;S$5+7,$E190&gt;S$5),"■","")))</x:f>
      </x:c>
      <x:c r="T190" s="7" t="str">
        <x:f>IF(OR($D190="",T$5="",'상세일정'!AM190="제외"),"",IF($D190=$E190,IF(AND($D190&gt;=T$5,$D190&lt;T$5+7),"◆",""),IF(AND($D190&lt;T$5+7,$E190&gt;T$5),"■","")))</x:f>
      </x:c>
      <x:c r="U190" s="7" t="str">
        <x:f>IF(OR($D190="",U$5="",'상세일정'!AM190="제외"),"",IF($D190=$E190,IF(AND($D190&gt;=U$5,$D190&lt;U$5+7),"◆",""),IF(AND($D190&lt;U$5+7,$E190&gt;U$5),"■","")))</x:f>
      </x:c>
      <x:c r="V190" s="7" t="str">
        <x:f>IF(OR($D190="",V$5="",'상세일정'!AM190="제외"),"",IF($D190=$E190,IF(AND($D190&gt;=V$5,$D190&lt;V$5+7),"◆",""),IF(AND($D190&lt;V$5+7,$E190&gt;V$5),"■","")))</x:f>
      </x:c>
      <x:c r="W190" s="7" t="str">
        <x:f>IF(OR($D190="",W$5="",'상세일정'!AM190="제외"),"",IF($D190=$E190,IF(AND($D190&gt;=W$5,$D190&lt;W$5+7),"◆",""),IF(AND($D190&lt;W$5+7,$E190&gt;W$5),"■","")))</x:f>
      </x:c>
      <x:c r="X190" s="7" t="str">
        <x:f>IF(OR($D190="",X$5="",'상세일정'!AM190="제외"),"",IF($D190=$E190,IF(AND($D190&gt;=X$5,$D190&lt;X$5+7),"◆",""),IF(AND($D190&lt;X$5+7,$E190&gt;X$5),"■","")))</x:f>
      </x:c>
      <x:c r="Y190" s="7" t="str">
        <x:f>IF(OR($D190="",Y$5="",'상세일정'!AM190="제외"),"",IF($D190=$E190,IF(AND($D190&gt;=Y$5,$D190&lt;Y$5+7),"◆",""),IF(AND($D190&lt;Y$5+7,$E190&gt;Y$5),"■","")))</x:f>
      </x:c>
      <x:c r="Z190" s="7" t="str">
        <x:f>IF(OR($D190="",Z$5="",'상세일정'!AM190="제외"),"",IF($D190=$E190,IF(AND($D190&gt;=Z$5,$D190&lt;Z$5+7),"◆",""),IF(AND($D190&lt;Z$5+7,$E190&gt;Z$5),"■","")))</x:f>
      </x:c>
      <x:c r="AA190" s="7" t="str">
        <x:f>IF(OR($D190="",AA$5="",'상세일정'!AM190="제외"),"",IF($D190=$E190,IF(AND($D190&gt;=AA$5,$D190&lt;AA$5+7),"◆",""),IF(AND($D190&lt;AA$5+7,$E190&gt;AA$5),"■","")))</x:f>
      </x:c>
      <x:c r="AB190" s="7" t="str">
        <x:f>IF(OR($D190="",AB$5="",'상세일정'!AM190="제외"),"",IF($D190=$E190,IF(AND($D190&gt;=AB$5,$D190&lt;AB$5+7),"◆",""),IF(AND($D190&lt;AB$5+7,$E190&gt;AB$5),"■","")))</x:f>
      </x:c>
      <x:c r="AC190" s="7" t="str">
        <x:f>IF(OR($D190="",AC$5="",'상세일정'!AM190="제외"),"",IF($D190=$E190,IF(AND($D190&gt;=AC$5,$D190&lt;AC$5+7),"◆",""),IF(AND($D190&lt;AC$5+7,$E190&gt;AC$5),"■","")))</x:f>
      </x:c>
      <x:c r="AD190" s="7" t="str">
        <x:f>IF(OR($D190="",AD$5="",'상세일정'!AM190="제외"),"",IF($D190=$E190,IF(AND($D190&gt;=AD$5,$D190&lt;AD$5+7),"◆",""),IF(AND($D190&lt;AD$5+7,$E190&gt;AD$5),"■","")))</x:f>
      </x:c>
      <x:c r="AE190" s="7" t="str">
        <x:f>IF(OR($D190="",AE$5="",'상세일정'!AM190="제외"),"",IF($D190=$E190,IF(AND($D190&gt;=AE$5,$D190&lt;AE$5+7),"◆",""),IF(AND($D190&lt;AE$5+7,$E190&gt;AE$5),"■","")))</x:f>
      </x:c>
      <x:c r="AF190" s="7" t="str">
        <x:f>IF(OR($D190="",AF$5="",'상세일정'!AM190="제외"),"",IF($D190=$E190,IF(AND($D190&gt;=AF$5,$D190&lt;AF$5+7),"◆",""),IF(AND($D190&lt;AF$5+7,$E190&gt;AF$5),"■","")))</x:f>
      </x:c>
      <x:c r="AG190" s="7" t="str">
        <x:f>IF(OR($D190="",AG$5="",'상세일정'!AM190="제외"),"",IF($D190=$E190,IF(AND($D190&gt;=AG$5,$D190&lt;AG$5+7),"◆",""),IF(AND($D190&lt;AG$5+7,$E190&gt;AG$5),"■","")))</x:f>
      </x:c>
      <x:c r="AH190" s="7" t="str">
        <x:f>IF(OR($D190="",AH$5="",'상세일정'!AM190="제외"),"",IF($D190=$E190,IF(AND($D190&gt;=AH$5,$D190&lt;AH$5+7),"◆",""),IF(AND($D190&lt;AH$5+7,$E190&gt;AH$5),"■","")))</x:f>
      </x:c>
      <x:c r="AI190" s="7" t="str">
        <x:f>IF(OR($D190="",AI$5="",'상세일정'!AM190="제외"),"",IF($D190=$E190,IF(AND($D190&gt;=AI$5,$D190&lt;AI$5+7),"◆",""),IF(AND($D190&lt;AI$5+7,$E190&gt;AI$5),"■","")))</x:f>
      </x:c>
      <x:c r="AJ190" s="7" t="str">
        <x:f>IF(OR($D190="",AJ$5="",'상세일정'!AM190="제외"),"",IF($D190=$E190,IF(AND($D190&gt;=AJ$5,$D190&lt;AJ$5+7),"◆",""),IF(AND($D190&lt;AJ$5+7,$E190&gt;AJ$5),"■","")))</x:f>
      </x:c>
      <x:c r="AK190" s="7" t="str">
        <x:f>IF(OR($D190="",AK$5="",'상세일정'!AM190="제외"),"",IF($D190=$E190,IF(AND($D190&gt;=AK$5,$D190&lt;AK$5+7),"◆",""),IF(AND($D190&lt;AK$5+7,$E190&gt;AK$5),"■","")))</x:f>
      </x:c>
      <x:c r="AL190" s="7" t="str">
        <x:f>IF(OR($D190="",AL$5="",'상세일정'!AM190="제외"),"",IF($D190=$E190,IF(AND($D190&gt;=AL$5,$D190&lt;AL$5+7),"◆",""),IF(AND($D190&lt;AL$5+7,$E190&gt;AL$5),"■","")))</x:f>
      </x:c>
      <x:c r="AM190" s="7" t="str">
        <x:f>IF(OR($D190="",AM$5="",'상세일정'!AM190="제외"),"",IF($D190=$E190,IF(AND($D190&gt;=AM$5,$D190&lt;AM$5+7),"◆",""),IF(AND($D190&lt;AM$5+7,$E190&gt;AM$5),"■","")))</x:f>
      </x:c>
      <x:c r="AN190" s="7" t="str">
        <x:f>IF(OR($D190="",AN$5="",'상세일정'!AM190="제외"),"",IF($D190=$E190,IF(AND($D190&gt;=AN$5,$D190&lt;AN$5+7),"◆",""),IF(AND($D190&lt;AN$5+7,$E190&gt;AN$5),"■","")))</x:f>
      </x:c>
      <x:c r="AO190" s="7" t="str">
        <x:f>IF(OR($D190="",AO$5="",'상세일정'!AM190="제외"),"",IF($D190=$E190,IF(AND($D190&gt;=AO$5,$D190&lt;AO$5+7),"◆",""),IF(AND($D190&lt;AO$5+7,$E190&gt;AO$5),"■","")))</x:f>
      </x:c>
      <x:c r="AP190" s="7" t="str">
        <x:f>IF(OR($D190="",AP$5="",'상세일정'!AM190="제외"),"",IF($D190=$E190,IF(AND($D190&gt;=AP$5,$D190&lt;AP$5+7),"◆",""),IF(AND($D190&lt;AP$5+7,$E190&gt;AP$5),"■","")))</x:f>
      </x:c>
      <x:c r="AQ190" s="7" t="str">
        <x:f>IF(OR($D190="",AQ$5="",'상세일정'!AM190="제외"),"",IF($D190=$E190,IF(AND($D190&gt;=AQ$5,$D190&lt;AQ$5+7),"◆",""),IF(AND($D190&lt;AQ$5+7,$E190&gt;AQ$5),"■","")))</x:f>
      </x:c>
      <x:c r="AR190" s="7" t="str">
        <x:f>IF(OR($D190="",AR$5="",'상세일정'!AM190="제외"),"",IF($D190=$E190,IF(AND($D190&gt;=AR$5,$D190&lt;AR$5+7),"◆",""),IF(AND($D190&lt;AR$5+7,$E190&gt;AR$5),"■","")))</x:f>
      </x:c>
      <x:c r="AS190" s="7" t="str">
        <x:f>IF(OR($D190="",AS$5="",'상세일정'!AM190="제외"),"",IF($D190=$E190,IF(AND($D190&gt;=AS$5,$D190&lt;AS$5+7),"◆",""),IF(AND($D190&lt;AS$5+7,$E190&gt;AS$5),"■","")))</x:f>
      </x:c>
      <x:c r="AT190" s="7" t="str">
        <x:f>IF(OR($D190="",AT$5="",'상세일정'!AM190="제외"),"",IF($D190=$E190,IF(AND($D190&gt;=AT$5,$D190&lt;AT$5+7),"◆",""),IF(AND($D190&lt;AT$5+7,$E190&gt;AT$5),"■","")))</x:f>
      </x:c>
      <x:c r="AU190" s="7" t="str">
        <x:f>IF(OR($D190="",AU$5="",'상세일정'!AM190="제외"),"",IF($D190=$E190,IF(AND($D190&gt;=AU$5,$D190&lt;AU$5+7),"◆",""),IF(AND($D190&lt;AU$5+7,$E190&gt;AU$5),"■","")))</x:f>
      </x:c>
      <x:c r="AV190" s="7" t="str">
        <x:f>IF(OR($D190="",AV$5="",'상세일정'!AM190="제외"),"",IF($D190=$E190,IF(AND($D190&gt;=AV$5,$D190&lt;AV$5+7),"◆",""),IF(AND($D190&lt;AV$5+7,$E190&gt;AV$5),"■","")))</x:f>
      </x:c>
      <x:c r="AW190" s="7" t="str">
        <x:f>IF(OR($D190="",AW$5="",'상세일정'!AM190="제외"),"",IF($D190=$E190,IF(AND($D190&gt;=AW$5,$D190&lt;AW$5+7),"◆",""),IF(AND($D190&lt;AW$5+7,$E190&gt;AW$5),"■","")))</x:f>
      </x:c>
      <x:c r="AX190" s="7" t="str">
        <x:f>IF(OR($D190="",AX$5="",'상세일정'!AM190="제외"),"",IF($D190=$E190,IF(AND($D190&gt;=AX$5,$D190&lt;AX$5+7),"◆",""),IF(AND($D190&lt;AX$5+7,$E190&gt;AX$5),"■","")))</x:f>
      </x:c>
      <x:c r="AY190" s="7" t="str">
        <x:f>IF(OR($D190="",AY$5="",'상세일정'!AM190="제외"),"",IF($D190=$E190,IF(AND($D190&gt;=AY$5,$D190&lt;AY$5+7),"◆",""),IF(AND($D190&lt;AY$5+7,$E190&gt;AY$5),"■","")))</x:f>
      </x:c>
      <x:c r="AZ190" s="7" t="str">
        <x:f>IF(OR($D190="",AZ$5="",'상세일정'!AM190="제외"),"",IF($D190=$E190,IF(AND($D190&gt;=AZ$5,$D190&lt;AZ$5+7),"◆",""),IF(AND($D190&lt;AZ$5+7,$E190&gt;AZ$5),"■","")))</x:f>
      </x:c>
      <x:c r="BA190" s="7" t="str">
        <x:f>IF(OR($D190="",BA$5="",'상세일정'!AM190="제외"),"",IF($D190=$E190,IF(AND($D190&gt;=BA$5,$D190&lt;BA$5+7),"◆",""),IF(AND($D190&lt;BA$5+7,$E190&gt;BA$5),"■","")))</x:f>
      </x:c>
      <x:c r="BB190" s="7" t="str">
        <x:f>IF(OR($D190="",BB$5="",'상세일정'!AM190="제외"),"",IF($D190=$E190,IF(AND($D190&gt;=BB$5,$D190&lt;BB$5+7),"◆",""),IF(AND($D190&lt;BB$5+7,$E190&gt;BB$5),"■","")))</x:f>
      </x:c>
      <x:c r="BC190" s="7" t="str">
        <x:f>IF(OR($D190="",BC$5="",'상세일정'!AM190="제외"),"",IF($D190=$E190,IF(AND($D190&gt;=BC$5,$D190&lt;BC$5+7),"◆",""),IF(AND($D190&lt;BC$5+7,$E190&gt;BC$5),"■","")))</x:f>
      </x:c>
      <x:c r="BD190" s="7" t="str">
        <x:f>IF(OR($D190="",BD$5="",'상세일정'!AM190="제외"),"",IF($D190=$E190,IF(AND($D190&gt;=BD$5,$D190&lt;BD$5+7),"◆",""),IF(AND($D190&lt;BD$5+7,$E190&gt;BD$5),"■","")))</x:f>
      </x:c>
      <x:c r="BE190" s="7" t="str">
        <x:f>IF(OR($D190="",BE$5="",'상세일정'!AM190="제외"),"",IF($D190=$E190,IF(AND($D190&gt;=BE$5,$D190&lt;BE$5+7),"◆",""),IF(AND($D190&lt;BE$5+7,$E190&gt;BE$5),"■","")))</x:f>
      </x:c>
      <x:c r="BF190" s="7" t="str">
        <x:f>IF(OR($D190="",BF$5="",'상세일정'!AM190="제외"),"",IF($D190=$E190,IF(AND($D190&gt;=BF$5,$D190&lt;BF$5+7),"◆",""),IF(AND($D190&lt;BF$5+7,$E190&gt;BF$5),"■","")))</x:f>
      </x:c>
      <x:c r="BG190" s="7" t="str">
        <x:f>IF(OR($D190="",BG$5="",'상세일정'!AM190="제외"),"",IF($D190=$E190,IF(AND($D190&gt;=BG$5,$D190&lt;BG$5+7),"◆",""),IF(AND($D190&lt;BG$5+7,$E190&gt;BG$5),"■","")))</x:f>
      </x:c>
      <x:c r="BH190" s="7" t="str">
        <x:f>IF(OR($D190="",BH$5="",'상세일정'!AM190="제외"),"",IF($D190=$E190,IF(AND($D190&gt;=BH$5,$D190&lt;BH$5+7),"◆",""),IF(AND($D190&lt;BH$5+7,$E190&gt;BH$5),"■","")))</x:f>
      </x:c>
      <x:c r="BI190" s="7" t="str">
        <x:f>IF(OR($D190="",BI$5="",'상세일정'!AM190="제외"),"",IF($D190=$E190,IF(AND($D190&gt;=BI$5,$D190&lt;BI$5+7),"◆",""),IF(AND($D190&lt;BI$5+7,$E190&gt;BI$5),"■","")))</x:f>
      </x:c>
      <x:c r="BJ190" s="7" t="str">
        <x:f>IF(OR($D190="",BJ$5="",'상세일정'!AM190="제외"),"",IF($D190=$E190,IF(AND($D190&gt;=BJ$5,$D190&lt;BJ$5+7),"◆",""),IF(AND($D190&lt;BJ$5+7,$E190&gt;BJ$5),"■","")))</x:f>
      </x:c>
      <x:c r="BK190" s="7" t="str">
        <x:f>IF(OR($D190="",BK$5="",'상세일정'!AM190="제외"),"",IF($D190=$E190,IF(AND($D190&gt;=BK$5,$D190&lt;BK$5+7),"◆",""),IF(AND($D190&lt;BK$5+7,$E190&gt;BK$5),"■","")))</x:f>
      </x:c>
      <x:c r="BL190" s="7" t="str">
        <x:f>IF(OR($D190="",BL$5="",'상세일정'!AM190="제외"),"",IF($D190=$E190,IF(AND($D190&gt;=BL$5,$D190&lt;BL$5+7),"◆",""),IF(AND($D190&lt;BL$5+7,$E190&gt;BL$5),"■","")))</x:f>
      </x:c>
      <x:c r="BM190" s="7" t="str">
        <x:f>IF(OR($D190="",BM$5="",'상세일정'!AM190="제외"),"",IF($D190=$E190,IF(AND($D190&gt;=BM$5,$D190&lt;BM$5+7),"◆",""),IF(AND($D190&lt;BM$5+7,$E190&gt;BM$5),"■","")))</x:f>
      </x:c>
      <x:c r="BN190" s="7" t="str">
        <x:f>IF(OR($D190="",BN$5="",'상세일정'!AM190="제외"),"",IF($D190=$E190,IF(AND($D190&gt;=BN$5,$D190&lt;BN$5+7),"◆",""),IF(AND($D190&lt;BN$5+7,$E190&gt;BN$5),"■","")))</x:f>
      </x:c>
      <x:c r="BO190" s="7" t="str">
        <x:f>IF(OR($D190="",BO$5="",'상세일정'!AM190="제외"),"",IF($D190=$E190,IF(AND($D190&gt;=BO$5,$D190&lt;BO$5+7),"◆",""),IF(AND($D190&lt;BO$5+7,$E190&gt;BO$5),"■","")))</x:f>
      </x:c>
      <x:c r="BP190" s="7" t="str">
        <x:f>IF(OR($D190="",BP$5="",'상세일정'!AM190="제외"),"",IF($D190=$E190,IF(AND($D190&gt;=BP$5,$D190&lt;BP$5+7),"◆",""),IF(AND($D190&lt;BP$5+7,$E190&gt;BP$5),"■","")))</x:f>
      </x:c>
      <x:c r="BQ190" s="7" t="str">
        <x:f>IF(OR($D190="",BQ$5="",'상세일정'!AM190="제외"),"",IF($D190=$E190,IF(AND($D190&gt;=BQ$5,$D190&lt;BQ$5+7),"◆",""),IF(AND($D190&lt;BQ$5+7,$E190&gt;BQ$5),"■","")))</x:f>
      </x:c>
      <x:c r="BR190" s="7" t="str">
        <x:f>IF(OR($D190="",BR$5="",'상세일정'!AM190="제외"),"",IF($D190=$E190,IF(AND($D190&gt;=BR$5,$D190&lt;BR$5+7),"◆",""),IF(AND($D190&lt;BR$5+7,$E190&gt;BR$5),"■","")))</x:f>
      </x:c>
      <x:c r="BS190" s="7" t="str">
        <x:f>IF(OR($D190="",BS$5="",'상세일정'!AM190="제외"),"",IF($D190=$E190,IF(AND($D190&gt;=BS$5,$D190&lt;BS$5+7),"◆",""),IF(AND($D190&lt;BS$5+7,$E190&gt;BS$5),"■","")))</x:f>
      </x:c>
      <x:c r="BT190" s="7" t="str">
        <x:f>IF(OR($D190="",BT$5="",'상세일정'!AM190="제외"),"",IF($D190=$E190,IF(AND($D190&gt;=BT$5,$D190&lt;BT$5+7),"◆",""),IF(AND($D190&lt;BT$5+7,$E190&gt;BT$5),"■","")))</x:f>
      </x:c>
      <x:c r="BU190" s="7" t="str">
        <x:f>IF(OR($D190="",BU$5="",'상세일정'!AM190="제외"),"",IF($D190=$E190,IF(AND($D190&gt;=BU$5,$D190&lt;BU$5+7),"◆",""),IF(AND($D190&lt;BU$5+7,$E190&gt;BU$5),"■","")))</x:f>
      </x:c>
      <x:c r="BV190" s="7" t="str">
        <x:f>IF(OR($D190="",BV$5="",'상세일정'!AM190="제외"),"",IF($D190=$E190,IF(AND($D190&gt;=BV$5,$D190&lt;BV$5+7),"◆",""),IF(AND($D190&lt;BV$5+7,$E190&gt;BV$5),"■","")))</x:f>
      </x:c>
      <x:c r="BW190" s="7" t="str">
        <x:f>IF(OR($D190="",BW$5="",'상세일정'!AM190="제외"),"",IF($D190=$E190,IF(AND($D190&gt;=BW$5,$D190&lt;BW$5+7),"◆",""),IF(AND($D190&lt;BW$5+7,$E190&gt;BW$5),"■","")))</x:f>
      </x:c>
      <x:c r="BX190" s="7" t="str">
        <x:f>IF(OR($D190="",BX$5="",'상세일정'!AM190="제외"),"",IF($D190=$E190,IF(AND($D190&gt;=BX$5,$D190&lt;BX$5+7),"◆",""),IF(AND($D190&lt;BX$5+7,$E190&gt;BX$5),"■","")))</x:f>
      </x:c>
      <x:c r="BY190" s="7" t="str">
        <x:f>IF(OR($D190="",BY$5="",'상세일정'!AM190="제외"),"",IF($D190=$E190,IF(AND($D190&gt;=BY$5,$D190&lt;BY$5+7),"◆",""),IF(AND($D190&lt;BY$5+7,$E190&gt;BY$5),"■","")))</x:f>
      </x:c>
      <x:c r="BZ190" s="7" t="str">
        <x:f>IF(OR($D190="",BZ$5="",'상세일정'!AM190="제외"),"",IF($D190=$E190,IF(AND($D190&gt;=BZ$5,$D190&lt;BZ$5+7),"◆",""),IF(AND($D190&lt;BZ$5+7,$E190&gt;BZ$5),"■","")))</x:f>
      </x:c>
      <x:c r="CA190" s="7" t="str">
        <x:f>IF(OR($D190="",CA$5="",'상세일정'!AM190="제외"),"",IF($D190=$E190,IF(AND($D190&gt;=CA$5,$D190&lt;CA$5+7),"◆",""),IF(AND($D190&lt;CA$5+7,$E190&gt;CA$5),"■","")))</x:f>
      </x:c>
      <x:c r="CB190" s="7" t="str">
        <x:f>IF(OR($D190="",CB$5="",'상세일정'!AM190="제외"),"",IF($D190=$E190,IF(AND($D190&gt;=CB$5,$D190&lt;CB$5+7),"◆",""),IF(AND($D190&lt;CB$5+7,$E190&gt;CB$5),"■","")))</x:f>
      </x:c>
      <x:c r="CC190" s="7" t="str">
        <x:f>IF(OR($D190="",CC$5="",'상세일정'!AM190="제외"),"",IF($D190=$E190,IF(AND($D190&gt;=CC$5,$D190&lt;CC$5+7),"◆",""),IF(AND($D190&lt;CC$5+7,$E190&gt;CC$5),"■","")))</x:f>
      </x:c>
      <x:c r="CD190" s="7" t="str">
        <x:f>IF(OR($D190="",CD$5="",'상세일정'!AM190="제외"),"",IF($D190=$E190,IF(AND($D190&gt;=CD$5,$D190&lt;CD$5+7),"◆",""),IF(AND($D190&lt;CD$5+7,$E190&gt;CD$5),"■","")))</x:f>
      </x:c>
      <x:c r="CE190" s="7" t="str">
        <x:f>IF(OR($D190="",CE$5="",'상세일정'!AM190="제외"),"",IF($D190=$E190,IF(AND($D190&gt;=CE$5,$D190&lt;CE$5+7),"◆",""),IF(AND($D190&lt;CE$5+7,$E190&gt;CE$5),"■","")))</x:f>
      </x:c>
      <x:c r="CF190" s="7" t="str">
        <x:f>IF(OR($D190="",CF$5="",'상세일정'!AM190="제외"),"",IF($D190=$E190,IF(AND($D190&gt;=CF$5,$D190&lt;CF$5+7),"◆",""),IF(AND($D190&lt;CF$5+7,$E190&gt;CF$5),"■","")))</x:f>
      </x:c>
      <x:c r="CG190" s="7" t="str">
        <x:f>IF(OR($D190="",CG$5="",'상세일정'!AM190="제외"),"",IF($D190=$E190,IF(AND($D190&gt;=CG$5,$D190&lt;CG$5+7),"◆",""),IF(AND($D190&lt;CG$5+7,$E190&gt;CG$5),"■","")))</x:f>
      </x:c>
      <x:c r="CH190" s="7" t="str">
        <x:f>IF(OR($D190="",CH$5="",'상세일정'!AM190="제외"),"",IF($D190=$E190,IF(AND($D190&gt;=CH$5,$D190&lt;CH$5+7),"◆",""),IF(AND($D190&lt;CH$5+7,$E190&gt;CH$5),"■","")))</x:f>
      </x:c>
      <x:c r="CI190" s="7" t="str">
        <x:f>IF(OR($D190="",CI$5="",'상세일정'!AM190="제외"),"",IF($D190=$E190,IF(AND($D190&gt;=CI$5,$D190&lt;CI$5+7),"◆",""),IF(AND($D190&lt;CI$5+7,$E190&gt;CI$5),"■","")))</x:f>
      </x:c>
      <x:c r="CJ190" s="7" t="str">
        <x:f>IF(OR($D190="",CJ$5="",'상세일정'!AM190="제외"),"",IF($D190=$E190,IF(AND($D190&gt;=CJ$5,$D190&lt;CJ$5+7),"◆",""),IF(AND($D190&lt;CJ$5+7,$E190&gt;CJ$5),"■","")))</x:f>
      </x:c>
      <x:c r="CK190" s="7" t="str">
        <x:f>IF(OR($D190="",CK$5="",'상세일정'!AM190="제외"),"",IF($D190=$E190,IF(AND($D190&gt;=CK$5,$D190&lt;CK$5+7),"◆",""),IF(AND($D190&lt;CK$5+7,$E190&gt;CK$5),"■","")))</x:f>
      </x:c>
      <x:c r="CL190" s="7" t="str">
        <x:f>IF(OR($D190="",CL$5="",'상세일정'!AM190="제외"),"",IF($D190=$E190,IF(AND($D190&gt;=CL$5,$D190&lt;CL$5+7),"◆",""),IF(AND($D190&lt;CL$5+7,$E190&gt;CL$5),"■","")))</x:f>
      </x:c>
      <x:c r="CM190" s="7" t="str">
        <x:f>IF(OR($D190="",CM$5="",'상세일정'!AM190="제외"),"",IF($D190=$E190,IF(AND($D190&gt;=CM$5,$D190&lt;CM$5+7),"◆",""),IF(AND($D190&lt;CM$5+7,$E190&gt;CM$5),"■","")))</x:f>
      </x:c>
      <x:c r="CN190" s="7" t="str">
        <x:f>IF(OR($D190="",CN$5="",'상세일정'!AM190="제외"),"",IF($D190=$E190,IF(AND($D190&gt;=CN$5,$D190&lt;CN$5+7),"◆",""),IF(AND($D190&lt;CN$5+7,$E190&gt;CN$5),"■","")))</x:f>
      </x:c>
      <x:c r="CO190" s="7" t="str">
        <x:f>IF(OR($D190="",CO$5="",'상세일정'!AM190="제외"),"",IF($D190=$E190,IF(AND($D190&gt;=CO$5,$D190&lt;CO$5+7),"◆",""),IF(AND($D190&lt;CO$5+7,$E190&gt;CO$5),"■","")))</x:f>
      </x:c>
      <x:c r="CP190" s="7" t="str">
        <x:f>IF(OR($D190="",CP$5="",'상세일정'!AM190="제외"),"",IF($D190=$E190,IF(AND($D190&gt;=CP$5,$D190&lt;CP$5+7),"◆",""),IF(AND($D190&lt;CP$5+7,$E190&gt;CP$5),"■","")))</x:f>
      </x:c>
      <x:c r="CQ190" s="7" t="str">
        <x:f>IF(OR($D190="",CQ$5="",'상세일정'!AM190="제외"),"",IF($D190=$E190,IF(AND($D190&gt;=CQ$5,$D190&lt;CQ$5+7),"◆",""),IF(AND($D190&lt;CQ$5+7,$E190&gt;CQ$5),"■","")))</x:f>
      </x:c>
      <x:c r="CR190" s="7" t="str">
        <x:f>IF(OR($D190="",CR$5="",'상세일정'!AM190="제외"),"",IF($D190=$E190,IF(AND($D190&gt;=CR$5,$D190&lt;CR$5+7),"◆",""),IF(AND($D190&lt;CR$5+7,$E190&gt;CR$5),"■","")))</x:f>
      </x:c>
      <x:c r="CS190" s="7" t="str">
        <x:f>IF(OR($D190="",CS$5="",'상세일정'!AM190="제외"),"",IF($D190=$E190,IF(AND($D190&gt;=CS$5,$D190&lt;CS$5+7),"◆",""),IF(AND($D190&lt;CS$5+7,$E190&gt;CS$5),"■","")))</x:f>
      </x:c>
      <x:c r="CT190" s="7" t="str">
        <x:f>IF(OR($D190="",CT$5="",'상세일정'!AM190="제외"),"",IF($D190=$E190,IF(AND($D190&gt;=CT$5,$D190&lt;CT$5+7),"◆",""),IF(AND($D190&lt;CT$5+7,$E190&gt;CT$5),"■","")))</x:f>
      </x:c>
      <x:c r="CU190" s="7" t="str">
        <x:f>IF(OR($D190="",CU$5="",'상세일정'!AM190="제외"),"",IF($D190=$E190,IF(AND($D190&gt;=CU$5,$D190&lt;CU$5+7),"◆",""),IF(AND($D190&lt;CU$5+7,$E190&gt;CU$5),"■","")))</x:f>
      </x:c>
      <x:c r="CV190" s="7" t="str">
        <x:f>IF(OR($D190="",CV$5="",'상세일정'!AM190="제외"),"",IF($D190=$E190,IF(AND($D190&gt;=CV$5,$D190&lt;CV$5+7),"◆",""),IF(AND($D190&lt;CV$5+7,$E190&gt;CV$5),"■","")))</x:f>
      </x:c>
      <x:c r="CW190" s="7" t="str">
        <x:f>IF(OR($D190="",CW$5="",'상세일정'!AM190="제외"),"",IF($D190=$E190,IF(AND($D190&gt;=CW$5,$D190&lt;CW$5+7),"◆",""),IF(AND($D190&lt;CW$5+7,$E190&gt;CW$5),"■","")))</x:f>
      </x:c>
      <x:c r="CX190" s="7" t="str">
        <x:f>IF(OR($D190="",CX$5="",'상세일정'!AM190="제외"),"",IF($D190=$E190,IF(AND($D190&gt;=CX$5,$D190&lt;CX$5+7),"◆",""),IF(AND($D190&lt;CX$5+7,$E190&gt;CX$5),"■","")))</x:f>
      </x:c>
      <x:c r="CY190" s="7" t="str">
        <x:f>IF(OR($D190="",CY$5="",'상세일정'!AM190="제외"),"",IF($D190=$E190,IF(AND($D190&gt;=CY$5,$D190&lt;CY$5+7),"◆",""),IF(AND($D190&lt;CY$5+7,$E190&gt;CY$5),"■","")))</x:f>
      </x:c>
      <x:c r="CZ190" s="7" t="str">
        <x:f>IF(OR($D190="",CZ$5="",'상세일정'!AM190="제외"),"",IF($D190=$E190,IF(AND($D190&gt;=CZ$5,$D190&lt;CZ$5+7),"◆",""),IF(AND($D190&lt;CZ$5+7,$E190&gt;CZ$5),"■","")))</x:f>
      </x:c>
      <x:c r="DA190" s="7" t="str">
        <x:f>IF(OR($D190="",DA$5="",'상세일정'!AM190="제외"),"",IF($D190=$E190,IF(AND($D190&gt;=DA$5,$D190&lt;DA$5+7),"◆",""),IF(AND($D190&lt;DA$5+7,$E190&gt;DA$5),"■","")))</x:f>
      </x:c>
      <x:c r="DB190" s="7" t="str">
        <x:f>IF(OR($D190="",DB$5="",'상세일정'!AM190="제외"),"",IF($D190=$E190,IF(AND($D190&gt;=DB$5,$D190&lt;DB$5+7),"◆",""),IF(AND($D190&lt;DB$5+7,$E190&gt;DB$5),"■","")))</x:f>
      </x:c>
      <x:c r="DC190" s="7" t="str">
        <x:f>IF(OR($D190="",DC$5="",'상세일정'!AM190="제외"),"",IF($D190=$E190,IF(AND($D190&gt;=DC$5,$D190&lt;DC$5+7),"◆",""),IF(AND($D190&lt;DC$5+7,$E190&gt;DC$5),"■","")))</x:f>
      </x:c>
      <x:c r="DD190" s="7" t="str">
        <x:f>IF(OR($D190="",DD$5="",'상세일정'!AM190="제외"),"",IF($D190=$E190,IF(AND($D190&gt;=DD$5,$D190&lt;DD$5+7),"◆",""),IF(AND($D190&lt;DD$5+7,$E190&gt;DD$5),"■","")))</x:f>
      </x:c>
      <x:c r="DE190" s="7" t="str">
        <x:f>IF(OR($D190="",DE$5="",'상세일정'!AM190="제외"),"",IF($D190=$E190,IF(AND($D190&gt;=DE$5,$D190&lt;DE$5+7),"◆",""),IF(AND($D190&lt;DE$5+7,$E190&gt;DE$5),"■","")))</x:f>
      </x:c>
    </x:row>
    <x:row r="191" ht="34" customHeight="1">
      <x:c r="A191" s="7" t="str">
        <x:v>INUT02</x:v>
      </x:c>
      <x:c r="B191" s="7" t="str">
        <x:v>21 설비 설치</x:v>
      </x:c>
      <x:c r="C191" s="7" t="str">
        <x:v>IA·냉각타워·데미워터 설치검수·현장 SAT 준비</x:v>
      </x:c>
      <x:c r="D191" s="10" t="str">
        <x:f>'상세일정'!AJ191</x:f>
      </x:c>
      <x:c r="E191" s="10" t="str">
        <x:f>'상세일정'!AK191</x:f>
      </x:c>
      <x:c r="F191" s="7" t="str">
        <x:f>IF(OR($D191="",F$5="",'상세일정'!AM191="제외"),"",IF($D191=$E191,IF(AND($D191&gt;=F$5,$D191&lt;F$5+7),"◆",""),IF(AND($D191&lt;F$5+7,$E191&gt;F$5),"■","")))</x:f>
      </x:c>
      <x:c r="G191" s="7" t="str">
        <x:f>IF(OR($D191="",G$5="",'상세일정'!AM191="제외"),"",IF($D191=$E191,IF(AND($D191&gt;=G$5,$D191&lt;G$5+7),"◆",""),IF(AND($D191&lt;G$5+7,$E191&gt;G$5),"■","")))</x:f>
      </x:c>
      <x:c r="H191" s="7" t="str">
        <x:f>IF(OR($D191="",H$5="",'상세일정'!AM191="제외"),"",IF($D191=$E191,IF(AND($D191&gt;=H$5,$D191&lt;H$5+7),"◆",""),IF(AND($D191&lt;H$5+7,$E191&gt;H$5),"■","")))</x:f>
      </x:c>
      <x:c r="I191" s="7" t="str">
        <x:f>IF(OR($D191="",I$5="",'상세일정'!AM191="제외"),"",IF($D191=$E191,IF(AND($D191&gt;=I$5,$D191&lt;I$5+7),"◆",""),IF(AND($D191&lt;I$5+7,$E191&gt;I$5),"■","")))</x:f>
      </x:c>
      <x:c r="J191" s="7" t="str">
        <x:f>IF(OR($D191="",J$5="",'상세일정'!AM191="제외"),"",IF($D191=$E191,IF(AND($D191&gt;=J$5,$D191&lt;J$5+7),"◆",""),IF(AND($D191&lt;J$5+7,$E191&gt;J$5),"■","")))</x:f>
      </x:c>
      <x:c r="K191" s="7" t="str">
        <x:f>IF(OR($D191="",K$5="",'상세일정'!AM191="제외"),"",IF($D191=$E191,IF(AND($D191&gt;=K$5,$D191&lt;K$5+7),"◆",""),IF(AND($D191&lt;K$5+7,$E191&gt;K$5),"■","")))</x:f>
      </x:c>
      <x:c r="L191" s="7" t="str">
        <x:f>IF(OR($D191="",L$5="",'상세일정'!AM191="제외"),"",IF($D191=$E191,IF(AND($D191&gt;=L$5,$D191&lt;L$5+7),"◆",""),IF(AND($D191&lt;L$5+7,$E191&gt;L$5),"■","")))</x:f>
      </x:c>
      <x:c r="M191" s="7" t="str">
        <x:f>IF(OR($D191="",M$5="",'상세일정'!AM191="제외"),"",IF($D191=$E191,IF(AND($D191&gt;=M$5,$D191&lt;M$5+7),"◆",""),IF(AND($D191&lt;M$5+7,$E191&gt;M$5),"■","")))</x:f>
      </x:c>
      <x:c r="N191" s="7" t="str">
        <x:f>IF(OR($D191="",N$5="",'상세일정'!AM191="제외"),"",IF($D191=$E191,IF(AND($D191&gt;=N$5,$D191&lt;N$5+7),"◆",""),IF(AND($D191&lt;N$5+7,$E191&gt;N$5),"■","")))</x:f>
      </x:c>
      <x:c r="O191" s="7" t="str">
        <x:f>IF(OR($D191="",O$5="",'상세일정'!AM191="제외"),"",IF($D191=$E191,IF(AND($D191&gt;=O$5,$D191&lt;O$5+7),"◆",""),IF(AND($D191&lt;O$5+7,$E191&gt;O$5),"■","")))</x:f>
      </x:c>
      <x:c r="P191" s="7" t="str">
        <x:f>IF(OR($D191="",P$5="",'상세일정'!AM191="제외"),"",IF($D191=$E191,IF(AND($D191&gt;=P$5,$D191&lt;P$5+7),"◆",""),IF(AND($D191&lt;P$5+7,$E191&gt;P$5),"■","")))</x:f>
      </x:c>
      <x:c r="Q191" s="7" t="str">
        <x:f>IF(OR($D191="",Q$5="",'상세일정'!AM191="제외"),"",IF($D191=$E191,IF(AND($D191&gt;=Q$5,$D191&lt;Q$5+7),"◆",""),IF(AND($D191&lt;Q$5+7,$E191&gt;Q$5),"■","")))</x:f>
      </x:c>
      <x:c r="R191" s="7" t="str">
        <x:f>IF(OR($D191="",R$5="",'상세일정'!AM191="제외"),"",IF($D191=$E191,IF(AND($D191&gt;=R$5,$D191&lt;R$5+7),"◆",""),IF(AND($D191&lt;R$5+7,$E191&gt;R$5),"■","")))</x:f>
      </x:c>
      <x:c r="S191" s="7" t="str">
        <x:f>IF(OR($D191="",S$5="",'상세일정'!AM191="제외"),"",IF($D191=$E191,IF(AND($D191&gt;=S$5,$D191&lt;S$5+7),"◆",""),IF(AND($D191&lt;S$5+7,$E191&gt;S$5),"■","")))</x:f>
      </x:c>
      <x:c r="T191" s="7" t="str">
        <x:f>IF(OR($D191="",T$5="",'상세일정'!AM191="제외"),"",IF($D191=$E191,IF(AND($D191&gt;=T$5,$D191&lt;T$5+7),"◆",""),IF(AND($D191&lt;T$5+7,$E191&gt;T$5),"■","")))</x:f>
      </x:c>
      <x:c r="U191" s="7" t="str">
        <x:f>IF(OR($D191="",U$5="",'상세일정'!AM191="제외"),"",IF($D191=$E191,IF(AND($D191&gt;=U$5,$D191&lt;U$5+7),"◆",""),IF(AND($D191&lt;U$5+7,$E191&gt;U$5),"■","")))</x:f>
      </x:c>
      <x:c r="V191" s="7" t="str">
        <x:f>IF(OR($D191="",V$5="",'상세일정'!AM191="제외"),"",IF($D191=$E191,IF(AND($D191&gt;=V$5,$D191&lt;V$5+7),"◆",""),IF(AND($D191&lt;V$5+7,$E191&gt;V$5),"■","")))</x:f>
      </x:c>
      <x:c r="W191" s="7" t="str">
        <x:f>IF(OR($D191="",W$5="",'상세일정'!AM191="제외"),"",IF($D191=$E191,IF(AND($D191&gt;=W$5,$D191&lt;W$5+7),"◆",""),IF(AND($D191&lt;W$5+7,$E191&gt;W$5),"■","")))</x:f>
      </x:c>
      <x:c r="X191" s="7" t="str">
        <x:f>IF(OR($D191="",X$5="",'상세일정'!AM191="제외"),"",IF($D191=$E191,IF(AND($D191&gt;=X$5,$D191&lt;X$5+7),"◆",""),IF(AND($D191&lt;X$5+7,$E191&gt;X$5),"■","")))</x:f>
      </x:c>
      <x:c r="Y191" s="7" t="str">
        <x:f>IF(OR($D191="",Y$5="",'상세일정'!AM191="제외"),"",IF($D191=$E191,IF(AND($D191&gt;=Y$5,$D191&lt;Y$5+7),"◆",""),IF(AND($D191&lt;Y$5+7,$E191&gt;Y$5),"■","")))</x:f>
      </x:c>
      <x:c r="Z191" s="7" t="str">
        <x:f>IF(OR($D191="",Z$5="",'상세일정'!AM191="제외"),"",IF($D191=$E191,IF(AND($D191&gt;=Z$5,$D191&lt;Z$5+7),"◆",""),IF(AND($D191&lt;Z$5+7,$E191&gt;Z$5),"■","")))</x:f>
      </x:c>
      <x:c r="AA191" s="7" t="str">
        <x:f>IF(OR($D191="",AA$5="",'상세일정'!AM191="제외"),"",IF($D191=$E191,IF(AND($D191&gt;=AA$5,$D191&lt;AA$5+7),"◆",""),IF(AND($D191&lt;AA$5+7,$E191&gt;AA$5),"■","")))</x:f>
      </x:c>
      <x:c r="AB191" s="7" t="str">
        <x:f>IF(OR($D191="",AB$5="",'상세일정'!AM191="제외"),"",IF($D191=$E191,IF(AND($D191&gt;=AB$5,$D191&lt;AB$5+7),"◆",""),IF(AND($D191&lt;AB$5+7,$E191&gt;AB$5),"■","")))</x:f>
      </x:c>
      <x:c r="AC191" s="7" t="str">
        <x:f>IF(OR($D191="",AC$5="",'상세일정'!AM191="제외"),"",IF($D191=$E191,IF(AND($D191&gt;=AC$5,$D191&lt;AC$5+7),"◆",""),IF(AND($D191&lt;AC$5+7,$E191&gt;AC$5),"■","")))</x:f>
      </x:c>
      <x:c r="AD191" s="7" t="str">
        <x:f>IF(OR($D191="",AD$5="",'상세일정'!AM191="제외"),"",IF($D191=$E191,IF(AND($D191&gt;=AD$5,$D191&lt;AD$5+7),"◆",""),IF(AND($D191&lt;AD$5+7,$E191&gt;AD$5),"■","")))</x:f>
      </x:c>
      <x:c r="AE191" s="7" t="str">
        <x:f>IF(OR($D191="",AE$5="",'상세일정'!AM191="제외"),"",IF($D191=$E191,IF(AND($D191&gt;=AE$5,$D191&lt;AE$5+7),"◆",""),IF(AND($D191&lt;AE$5+7,$E191&gt;AE$5),"■","")))</x:f>
      </x:c>
      <x:c r="AF191" s="7" t="str">
        <x:f>IF(OR($D191="",AF$5="",'상세일정'!AM191="제외"),"",IF($D191=$E191,IF(AND($D191&gt;=AF$5,$D191&lt;AF$5+7),"◆",""),IF(AND($D191&lt;AF$5+7,$E191&gt;AF$5),"■","")))</x:f>
      </x:c>
      <x:c r="AG191" s="7" t="str">
        <x:f>IF(OR($D191="",AG$5="",'상세일정'!AM191="제외"),"",IF($D191=$E191,IF(AND($D191&gt;=AG$5,$D191&lt;AG$5+7),"◆",""),IF(AND($D191&lt;AG$5+7,$E191&gt;AG$5),"■","")))</x:f>
      </x:c>
      <x:c r="AH191" s="7" t="str">
        <x:f>IF(OR($D191="",AH$5="",'상세일정'!AM191="제외"),"",IF($D191=$E191,IF(AND($D191&gt;=AH$5,$D191&lt;AH$5+7),"◆",""),IF(AND($D191&lt;AH$5+7,$E191&gt;AH$5),"■","")))</x:f>
      </x:c>
      <x:c r="AI191" s="7" t="str">
        <x:f>IF(OR($D191="",AI$5="",'상세일정'!AM191="제외"),"",IF($D191=$E191,IF(AND($D191&gt;=AI$5,$D191&lt;AI$5+7),"◆",""),IF(AND($D191&lt;AI$5+7,$E191&gt;AI$5),"■","")))</x:f>
      </x:c>
      <x:c r="AJ191" s="7" t="str">
        <x:f>IF(OR($D191="",AJ$5="",'상세일정'!AM191="제외"),"",IF($D191=$E191,IF(AND($D191&gt;=AJ$5,$D191&lt;AJ$5+7),"◆",""),IF(AND($D191&lt;AJ$5+7,$E191&gt;AJ$5),"■","")))</x:f>
      </x:c>
      <x:c r="AK191" s="7" t="str">
        <x:f>IF(OR($D191="",AK$5="",'상세일정'!AM191="제외"),"",IF($D191=$E191,IF(AND($D191&gt;=AK$5,$D191&lt;AK$5+7),"◆",""),IF(AND($D191&lt;AK$5+7,$E191&gt;AK$5),"■","")))</x:f>
      </x:c>
      <x:c r="AL191" s="7" t="str">
        <x:f>IF(OR($D191="",AL$5="",'상세일정'!AM191="제외"),"",IF($D191=$E191,IF(AND($D191&gt;=AL$5,$D191&lt;AL$5+7),"◆",""),IF(AND($D191&lt;AL$5+7,$E191&gt;AL$5),"■","")))</x:f>
      </x:c>
      <x:c r="AM191" s="7" t="str">
        <x:f>IF(OR($D191="",AM$5="",'상세일정'!AM191="제외"),"",IF($D191=$E191,IF(AND($D191&gt;=AM$5,$D191&lt;AM$5+7),"◆",""),IF(AND($D191&lt;AM$5+7,$E191&gt;AM$5),"■","")))</x:f>
      </x:c>
      <x:c r="AN191" s="7" t="str">
        <x:f>IF(OR($D191="",AN$5="",'상세일정'!AM191="제외"),"",IF($D191=$E191,IF(AND($D191&gt;=AN$5,$D191&lt;AN$5+7),"◆",""),IF(AND($D191&lt;AN$5+7,$E191&gt;AN$5),"■","")))</x:f>
      </x:c>
      <x:c r="AO191" s="7" t="str">
        <x:f>IF(OR($D191="",AO$5="",'상세일정'!AM191="제외"),"",IF($D191=$E191,IF(AND($D191&gt;=AO$5,$D191&lt;AO$5+7),"◆",""),IF(AND($D191&lt;AO$5+7,$E191&gt;AO$5),"■","")))</x:f>
      </x:c>
      <x:c r="AP191" s="7" t="str">
        <x:f>IF(OR($D191="",AP$5="",'상세일정'!AM191="제외"),"",IF($D191=$E191,IF(AND($D191&gt;=AP$5,$D191&lt;AP$5+7),"◆",""),IF(AND($D191&lt;AP$5+7,$E191&gt;AP$5),"■","")))</x:f>
      </x:c>
      <x:c r="AQ191" s="7" t="str">
        <x:f>IF(OR($D191="",AQ$5="",'상세일정'!AM191="제외"),"",IF($D191=$E191,IF(AND($D191&gt;=AQ$5,$D191&lt;AQ$5+7),"◆",""),IF(AND($D191&lt;AQ$5+7,$E191&gt;AQ$5),"■","")))</x:f>
      </x:c>
      <x:c r="AR191" s="7" t="str">
        <x:f>IF(OR($D191="",AR$5="",'상세일정'!AM191="제외"),"",IF($D191=$E191,IF(AND($D191&gt;=AR$5,$D191&lt;AR$5+7),"◆",""),IF(AND($D191&lt;AR$5+7,$E191&gt;AR$5),"■","")))</x:f>
      </x:c>
      <x:c r="AS191" s="7" t="str">
        <x:f>IF(OR($D191="",AS$5="",'상세일정'!AM191="제외"),"",IF($D191=$E191,IF(AND($D191&gt;=AS$5,$D191&lt;AS$5+7),"◆",""),IF(AND($D191&lt;AS$5+7,$E191&gt;AS$5),"■","")))</x:f>
      </x:c>
      <x:c r="AT191" s="7" t="str">
        <x:f>IF(OR($D191="",AT$5="",'상세일정'!AM191="제외"),"",IF($D191=$E191,IF(AND($D191&gt;=AT$5,$D191&lt;AT$5+7),"◆",""),IF(AND($D191&lt;AT$5+7,$E191&gt;AT$5),"■","")))</x:f>
      </x:c>
      <x:c r="AU191" s="7" t="str">
        <x:f>IF(OR($D191="",AU$5="",'상세일정'!AM191="제외"),"",IF($D191=$E191,IF(AND($D191&gt;=AU$5,$D191&lt;AU$5+7),"◆",""),IF(AND($D191&lt;AU$5+7,$E191&gt;AU$5),"■","")))</x:f>
      </x:c>
      <x:c r="AV191" s="7" t="str">
        <x:f>IF(OR($D191="",AV$5="",'상세일정'!AM191="제외"),"",IF($D191=$E191,IF(AND($D191&gt;=AV$5,$D191&lt;AV$5+7),"◆",""),IF(AND($D191&lt;AV$5+7,$E191&gt;AV$5),"■","")))</x:f>
      </x:c>
      <x:c r="AW191" s="7" t="str">
        <x:f>IF(OR($D191="",AW$5="",'상세일정'!AM191="제외"),"",IF($D191=$E191,IF(AND($D191&gt;=AW$5,$D191&lt;AW$5+7),"◆",""),IF(AND($D191&lt;AW$5+7,$E191&gt;AW$5),"■","")))</x:f>
      </x:c>
      <x:c r="AX191" s="7" t="str">
        <x:f>IF(OR($D191="",AX$5="",'상세일정'!AM191="제외"),"",IF($D191=$E191,IF(AND($D191&gt;=AX$5,$D191&lt;AX$5+7),"◆",""),IF(AND($D191&lt;AX$5+7,$E191&gt;AX$5),"■","")))</x:f>
      </x:c>
      <x:c r="AY191" s="7" t="str">
        <x:f>IF(OR($D191="",AY$5="",'상세일정'!AM191="제외"),"",IF($D191=$E191,IF(AND($D191&gt;=AY$5,$D191&lt;AY$5+7),"◆",""),IF(AND($D191&lt;AY$5+7,$E191&gt;AY$5),"■","")))</x:f>
      </x:c>
      <x:c r="AZ191" s="7" t="str">
        <x:f>IF(OR($D191="",AZ$5="",'상세일정'!AM191="제외"),"",IF($D191=$E191,IF(AND($D191&gt;=AZ$5,$D191&lt;AZ$5+7),"◆",""),IF(AND($D191&lt;AZ$5+7,$E191&gt;AZ$5),"■","")))</x:f>
      </x:c>
      <x:c r="BA191" s="7" t="str">
        <x:f>IF(OR($D191="",BA$5="",'상세일정'!AM191="제외"),"",IF($D191=$E191,IF(AND($D191&gt;=BA$5,$D191&lt;BA$5+7),"◆",""),IF(AND($D191&lt;BA$5+7,$E191&gt;BA$5),"■","")))</x:f>
      </x:c>
      <x:c r="BB191" s="7" t="str">
        <x:f>IF(OR($D191="",BB$5="",'상세일정'!AM191="제외"),"",IF($D191=$E191,IF(AND($D191&gt;=BB$5,$D191&lt;BB$5+7),"◆",""),IF(AND($D191&lt;BB$5+7,$E191&gt;BB$5),"■","")))</x:f>
      </x:c>
      <x:c r="BC191" s="7" t="str">
        <x:f>IF(OR($D191="",BC$5="",'상세일정'!AM191="제외"),"",IF($D191=$E191,IF(AND($D191&gt;=BC$5,$D191&lt;BC$5+7),"◆",""),IF(AND($D191&lt;BC$5+7,$E191&gt;BC$5),"■","")))</x:f>
      </x:c>
      <x:c r="BD191" s="7" t="str">
        <x:f>IF(OR($D191="",BD$5="",'상세일정'!AM191="제외"),"",IF($D191=$E191,IF(AND($D191&gt;=BD$5,$D191&lt;BD$5+7),"◆",""),IF(AND($D191&lt;BD$5+7,$E191&gt;BD$5),"■","")))</x:f>
      </x:c>
      <x:c r="BE191" s="7" t="str">
        <x:f>IF(OR($D191="",BE$5="",'상세일정'!AM191="제외"),"",IF($D191=$E191,IF(AND($D191&gt;=BE$5,$D191&lt;BE$5+7),"◆",""),IF(AND($D191&lt;BE$5+7,$E191&gt;BE$5),"■","")))</x:f>
      </x:c>
      <x:c r="BF191" s="7" t="str">
        <x:f>IF(OR($D191="",BF$5="",'상세일정'!AM191="제외"),"",IF($D191=$E191,IF(AND($D191&gt;=BF$5,$D191&lt;BF$5+7),"◆",""),IF(AND($D191&lt;BF$5+7,$E191&gt;BF$5),"■","")))</x:f>
      </x:c>
      <x:c r="BG191" s="7" t="str">
        <x:f>IF(OR($D191="",BG$5="",'상세일정'!AM191="제외"),"",IF($D191=$E191,IF(AND($D191&gt;=BG$5,$D191&lt;BG$5+7),"◆",""),IF(AND($D191&lt;BG$5+7,$E191&gt;BG$5),"■","")))</x:f>
      </x:c>
      <x:c r="BH191" s="7" t="str">
        <x:f>IF(OR($D191="",BH$5="",'상세일정'!AM191="제외"),"",IF($D191=$E191,IF(AND($D191&gt;=BH$5,$D191&lt;BH$5+7),"◆",""),IF(AND($D191&lt;BH$5+7,$E191&gt;BH$5),"■","")))</x:f>
      </x:c>
      <x:c r="BI191" s="7" t="str">
        <x:f>IF(OR($D191="",BI$5="",'상세일정'!AM191="제외"),"",IF($D191=$E191,IF(AND($D191&gt;=BI$5,$D191&lt;BI$5+7),"◆",""),IF(AND($D191&lt;BI$5+7,$E191&gt;BI$5),"■","")))</x:f>
      </x:c>
      <x:c r="BJ191" s="7" t="str">
        <x:f>IF(OR($D191="",BJ$5="",'상세일정'!AM191="제외"),"",IF($D191=$E191,IF(AND($D191&gt;=BJ$5,$D191&lt;BJ$5+7),"◆",""),IF(AND($D191&lt;BJ$5+7,$E191&gt;BJ$5),"■","")))</x:f>
      </x:c>
      <x:c r="BK191" s="7" t="str">
        <x:f>IF(OR($D191="",BK$5="",'상세일정'!AM191="제외"),"",IF($D191=$E191,IF(AND($D191&gt;=BK$5,$D191&lt;BK$5+7),"◆",""),IF(AND($D191&lt;BK$5+7,$E191&gt;BK$5),"■","")))</x:f>
      </x:c>
      <x:c r="BL191" s="7" t="str">
        <x:f>IF(OR($D191="",BL$5="",'상세일정'!AM191="제외"),"",IF($D191=$E191,IF(AND($D191&gt;=BL$5,$D191&lt;BL$5+7),"◆",""),IF(AND($D191&lt;BL$5+7,$E191&gt;BL$5),"■","")))</x:f>
      </x:c>
      <x:c r="BM191" s="7" t="str">
        <x:f>IF(OR($D191="",BM$5="",'상세일정'!AM191="제외"),"",IF($D191=$E191,IF(AND($D191&gt;=BM$5,$D191&lt;BM$5+7),"◆",""),IF(AND($D191&lt;BM$5+7,$E191&gt;BM$5),"■","")))</x:f>
      </x:c>
      <x:c r="BN191" s="7" t="str">
        <x:f>IF(OR($D191="",BN$5="",'상세일정'!AM191="제외"),"",IF($D191=$E191,IF(AND($D191&gt;=BN$5,$D191&lt;BN$5+7),"◆",""),IF(AND($D191&lt;BN$5+7,$E191&gt;BN$5),"■","")))</x:f>
      </x:c>
      <x:c r="BO191" s="7" t="str">
        <x:f>IF(OR($D191="",BO$5="",'상세일정'!AM191="제외"),"",IF($D191=$E191,IF(AND($D191&gt;=BO$5,$D191&lt;BO$5+7),"◆",""),IF(AND($D191&lt;BO$5+7,$E191&gt;BO$5),"■","")))</x:f>
      </x:c>
      <x:c r="BP191" s="7" t="str">
        <x:f>IF(OR($D191="",BP$5="",'상세일정'!AM191="제외"),"",IF($D191=$E191,IF(AND($D191&gt;=BP$5,$D191&lt;BP$5+7),"◆",""),IF(AND($D191&lt;BP$5+7,$E191&gt;BP$5),"■","")))</x:f>
      </x:c>
      <x:c r="BQ191" s="7" t="str">
        <x:f>IF(OR($D191="",BQ$5="",'상세일정'!AM191="제외"),"",IF($D191=$E191,IF(AND($D191&gt;=BQ$5,$D191&lt;BQ$5+7),"◆",""),IF(AND($D191&lt;BQ$5+7,$E191&gt;BQ$5),"■","")))</x:f>
      </x:c>
      <x:c r="BR191" s="7" t="str">
        <x:f>IF(OR($D191="",BR$5="",'상세일정'!AM191="제외"),"",IF($D191=$E191,IF(AND($D191&gt;=BR$5,$D191&lt;BR$5+7),"◆",""),IF(AND($D191&lt;BR$5+7,$E191&gt;BR$5),"■","")))</x:f>
      </x:c>
      <x:c r="BS191" s="7" t="str">
        <x:f>IF(OR($D191="",BS$5="",'상세일정'!AM191="제외"),"",IF($D191=$E191,IF(AND($D191&gt;=BS$5,$D191&lt;BS$5+7),"◆",""),IF(AND($D191&lt;BS$5+7,$E191&gt;BS$5),"■","")))</x:f>
      </x:c>
      <x:c r="BT191" s="7" t="str">
        <x:f>IF(OR($D191="",BT$5="",'상세일정'!AM191="제외"),"",IF($D191=$E191,IF(AND($D191&gt;=BT$5,$D191&lt;BT$5+7),"◆",""),IF(AND($D191&lt;BT$5+7,$E191&gt;BT$5),"■","")))</x:f>
      </x:c>
      <x:c r="BU191" s="7" t="str">
        <x:f>IF(OR($D191="",BU$5="",'상세일정'!AM191="제외"),"",IF($D191=$E191,IF(AND($D191&gt;=BU$5,$D191&lt;BU$5+7),"◆",""),IF(AND($D191&lt;BU$5+7,$E191&gt;BU$5),"■","")))</x:f>
      </x:c>
      <x:c r="BV191" s="7" t="str">
        <x:f>IF(OR($D191="",BV$5="",'상세일정'!AM191="제외"),"",IF($D191=$E191,IF(AND($D191&gt;=BV$5,$D191&lt;BV$5+7),"◆",""),IF(AND($D191&lt;BV$5+7,$E191&gt;BV$5),"■","")))</x:f>
      </x:c>
      <x:c r="BW191" s="7" t="str">
        <x:f>IF(OR($D191="",BW$5="",'상세일정'!AM191="제외"),"",IF($D191=$E191,IF(AND($D191&gt;=BW$5,$D191&lt;BW$5+7),"◆",""),IF(AND($D191&lt;BW$5+7,$E191&gt;BW$5),"■","")))</x:f>
      </x:c>
      <x:c r="BX191" s="7" t="str">
        <x:f>IF(OR($D191="",BX$5="",'상세일정'!AM191="제외"),"",IF($D191=$E191,IF(AND($D191&gt;=BX$5,$D191&lt;BX$5+7),"◆",""),IF(AND($D191&lt;BX$5+7,$E191&gt;BX$5),"■","")))</x:f>
      </x:c>
      <x:c r="BY191" s="7" t="str">
        <x:f>IF(OR($D191="",BY$5="",'상세일정'!AM191="제외"),"",IF($D191=$E191,IF(AND($D191&gt;=BY$5,$D191&lt;BY$5+7),"◆",""),IF(AND($D191&lt;BY$5+7,$E191&gt;BY$5),"■","")))</x:f>
      </x:c>
      <x:c r="BZ191" s="7" t="str">
        <x:f>IF(OR($D191="",BZ$5="",'상세일정'!AM191="제외"),"",IF($D191=$E191,IF(AND($D191&gt;=BZ$5,$D191&lt;BZ$5+7),"◆",""),IF(AND($D191&lt;BZ$5+7,$E191&gt;BZ$5),"■","")))</x:f>
      </x:c>
      <x:c r="CA191" s="7" t="str">
        <x:f>IF(OR($D191="",CA$5="",'상세일정'!AM191="제외"),"",IF($D191=$E191,IF(AND($D191&gt;=CA$5,$D191&lt;CA$5+7),"◆",""),IF(AND($D191&lt;CA$5+7,$E191&gt;CA$5),"■","")))</x:f>
      </x:c>
      <x:c r="CB191" s="7" t="str">
        <x:f>IF(OR($D191="",CB$5="",'상세일정'!AM191="제외"),"",IF($D191=$E191,IF(AND($D191&gt;=CB$5,$D191&lt;CB$5+7),"◆",""),IF(AND($D191&lt;CB$5+7,$E191&gt;CB$5),"■","")))</x:f>
      </x:c>
      <x:c r="CC191" s="7" t="str">
        <x:f>IF(OR($D191="",CC$5="",'상세일정'!AM191="제외"),"",IF($D191=$E191,IF(AND($D191&gt;=CC$5,$D191&lt;CC$5+7),"◆",""),IF(AND($D191&lt;CC$5+7,$E191&gt;CC$5),"■","")))</x:f>
      </x:c>
      <x:c r="CD191" s="7" t="str">
        <x:f>IF(OR($D191="",CD$5="",'상세일정'!AM191="제외"),"",IF($D191=$E191,IF(AND($D191&gt;=CD$5,$D191&lt;CD$5+7),"◆",""),IF(AND($D191&lt;CD$5+7,$E191&gt;CD$5),"■","")))</x:f>
      </x:c>
      <x:c r="CE191" s="7" t="str">
        <x:f>IF(OR($D191="",CE$5="",'상세일정'!AM191="제외"),"",IF($D191=$E191,IF(AND($D191&gt;=CE$5,$D191&lt;CE$5+7),"◆",""),IF(AND($D191&lt;CE$5+7,$E191&gt;CE$5),"■","")))</x:f>
      </x:c>
      <x:c r="CF191" s="7" t="str">
        <x:f>IF(OR($D191="",CF$5="",'상세일정'!AM191="제외"),"",IF($D191=$E191,IF(AND($D191&gt;=CF$5,$D191&lt;CF$5+7),"◆",""),IF(AND($D191&lt;CF$5+7,$E191&gt;CF$5),"■","")))</x:f>
      </x:c>
      <x:c r="CG191" s="7" t="str">
        <x:f>IF(OR($D191="",CG$5="",'상세일정'!AM191="제외"),"",IF($D191=$E191,IF(AND($D191&gt;=CG$5,$D191&lt;CG$5+7),"◆",""),IF(AND($D191&lt;CG$5+7,$E191&gt;CG$5),"■","")))</x:f>
      </x:c>
      <x:c r="CH191" s="7" t="str">
        <x:f>IF(OR($D191="",CH$5="",'상세일정'!AM191="제외"),"",IF($D191=$E191,IF(AND($D191&gt;=CH$5,$D191&lt;CH$5+7),"◆",""),IF(AND($D191&lt;CH$5+7,$E191&gt;CH$5),"■","")))</x:f>
      </x:c>
      <x:c r="CI191" s="7" t="str">
        <x:f>IF(OR($D191="",CI$5="",'상세일정'!AM191="제외"),"",IF($D191=$E191,IF(AND($D191&gt;=CI$5,$D191&lt;CI$5+7),"◆",""),IF(AND($D191&lt;CI$5+7,$E191&gt;CI$5),"■","")))</x:f>
      </x:c>
      <x:c r="CJ191" s="7" t="str">
        <x:f>IF(OR($D191="",CJ$5="",'상세일정'!AM191="제외"),"",IF($D191=$E191,IF(AND($D191&gt;=CJ$5,$D191&lt;CJ$5+7),"◆",""),IF(AND($D191&lt;CJ$5+7,$E191&gt;CJ$5),"■","")))</x:f>
      </x:c>
      <x:c r="CK191" s="7" t="str">
        <x:f>IF(OR($D191="",CK$5="",'상세일정'!AM191="제외"),"",IF($D191=$E191,IF(AND($D191&gt;=CK$5,$D191&lt;CK$5+7),"◆",""),IF(AND($D191&lt;CK$5+7,$E191&gt;CK$5),"■","")))</x:f>
      </x:c>
      <x:c r="CL191" s="7" t="str">
        <x:f>IF(OR($D191="",CL$5="",'상세일정'!AM191="제외"),"",IF($D191=$E191,IF(AND($D191&gt;=CL$5,$D191&lt;CL$5+7),"◆",""),IF(AND($D191&lt;CL$5+7,$E191&gt;CL$5),"■","")))</x:f>
      </x:c>
      <x:c r="CM191" s="7" t="str">
        <x:f>IF(OR($D191="",CM$5="",'상세일정'!AM191="제외"),"",IF($D191=$E191,IF(AND($D191&gt;=CM$5,$D191&lt;CM$5+7),"◆",""),IF(AND($D191&lt;CM$5+7,$E191&gt;CM$5),"■","")))</x:f>
      </x:c>
      <x:c r="CN191" s="7" t="str">
        <x:f>IF(OR($D191="",CN$5="",'상세일정'!AM191="제외"),"",IF($D191=$E191,IF(AND($D191&gt;=CN$5,$D191&lt;CN$5+7),"◆",""),IF(AND($D191&lt;CN$5+7,$E191&gt;CN$5),"■","")))</x:f>
      </x:c>
      <x:c r="CO191" s="7" t="str">
        <x:f>IF(OR($D191="",CO$5="",'상세일정'!AM191="제외"),"",IF($D191=$E191,IF(AND($D191&gt;=CO$5,$D191&lt;CO$5+7),"◆",""),IF(AND($D191&lt;CO$5+7,$E191&gt;CO$5),"■","")))</x:f>
      </x:c>
      <x:c r="CP191" s="7" t="str">
        <x:f>IF(OR($D191="",CP$5="",'상세일정'!AM191="제외"),"",IF($D191=$E191,IF(AND($D191&gt;=CP$5,$D191&lt;CP$5+7),"◆",""),IF(AND($D191&lt;CP$5+7,$E191&gt;CP$5),"■","")))</x:f>
      </x:c>
      <x:c r="CQ191" s="7" t="str">
        <x:f>IF(OR($D191="",CQ$5="",'상세일정'!AM191="제외"),"",IF($D191=$E191,IF(AND($D191&gt;=CQ$5,$D191&lt;CQ$5+7),"◆",""),IF(AND($D191&lt;CQ$5+7,$E191&gt;CQ$5),"■","")))</x:f>
      </x:c>
      <x:c r="CR191" s="7" t="str">
        <x:f>IF(OR($D191="",CR$5="",'상세일정'!AM191="제외"),"",IF($D191=$E191,IF(AND($D191&gt;=CR$5,$D191&lt;CR$5+7),"◆",""),IF(AND($D191&lt;CR$5+7,$E191&gt;CR$5),"■","")))</x:f>
      </x:c>
      <x:c r="CS191" s="7" t="str">
        <x:f>IF(OR($D191="",CS$5="",'상세일정'!AM191="제외"),"",IF($D191=$E191,IF(AND($D191&gt;=CS$5,$D191&lt;CS$5+7),"◆",""),IF(AND($D191&lt;CS$5+7,$E191&gt;CS$5),"■","")))</x:f>
      </x:c>
      <x:c r="CT191" s="7" t="str">
        <x:f>IF(OR($D191="",CT$5="",'상세일정'!AM191="제외"),"",IF($D191=$E191,IF(AND($D191&gt;=CT$5,$D191&lt;CT$5+7),"◆",""),IF(AND($D191&lt;CT$5+7,$E191&gt;CT$5),"■","")))</x:f>
      </x:c>
      <x:c r="CU191" s="7" t="str">
        <x:f>IF(OR($D191="",CU$5="",'상세일정'!AM191="제외"),"",IF($D191=$E191,IF(AND($D191&gt;=CU$5,$D191&lt;CU$5+7),"◆",""),IF(AND($D191&lt;CU$5+7,$E191&gt;CU$5),"■","")))</x:f>
      </x:c>
      <x:c r="CV191" s="7" t="str">
        <x:f>IF(OR($D191="",CV$5="",'상세일정'!AM191="제외"),"",IF($D191=$E191,IF(AND($D191&gt;=CV$5,$D191&lt;CV$5+7),"◆",""),IF(AND($D191&lt;CV$5+7,$E191&gt;CV$5),"■","")))</x:f>
      </x:c>
      <x:c r="CW191" s="7" t="str">
        <x:f>IF(OR($D191="",CW$5="",'상세일정'!AM191="제외"),"",IF($D191=$E191,IF(AND($D191&gt;=CW$5,$D191&lt;CW$5+7),"◆",""),IF(AND($D191&lt;CW$5+7,$E191&gt;CW$5),"■","")))</x:f>
      </x:c>
      <x:c r="CX191" s="7" t="str">
        <x:f>IF(OR($D191="",CX$5="",'상세일정'!AM191="제외"),"",IF($D191=$E191,IF(AND($D191&gt;=CX$5,$D191&lt;CX$5+7),"◆",""),IF(AND($D191&lt;CX$5+7,$E191&gt;CX$5),"■","")))</x:f>
      </x:c>
      <x:c r="CY191" s="7" t="str">
        <x:f>IF(OR($D191="",CY$5="",'상세일정'!AM191="제외"),"",IF($D191=$E191,IF(AND($D191&gt;=CY$5,$D191&lt;CY$5+7),"◆",""),IF(AND($D191&lt;CY$5+7,$E191&gt;CY$5),"■","")))</x:f>
      </x:c>
      <x:c r="CZ191" s="7" t="str">
        <x:f>IF(OR($D191="",CZ$5="",'상세일정'!AM191="제외"),"",IF($D191=$E191,IF(AND($D191&gt;=CZ$5,$D191&lt;CZ$5+7),"◆",""),IF(AND($D191&lt;CZ$5+7,$E191&gt;CZ$5),"■","")))</x:f>
      </x:c>
      <x:c r="DA191" s="7" t="str">
        <x:f>IF(OR($D191="",DA$5="",'상세일정'!AM191="제외"),"",IF($D191=$E191,IF(AND($D191&gt;=DA$5,$D191&lt;DA$5+7),"◆",""),IF(AND($D191&lt;DA$5+7,$E191&gt;DA$5),"■","")))</x:f>
      </x:c>
      <x:c r="DB191" s="7" t="str">
        <x:f>IF(OR($D191="",DB$5="",'상세일정'!AM191="제외"),"",IF($D191=$E191,IF(AND($D191&gt;=DB$5,$D191&lt;DB$5+7),"◆",""),IF(AND($D191&lt;DB$5+7,$E191&gt;DB$5),"■","")))</x:f>
      </x:c>
      <x:c r="DC191" s="7" t="str">
        <x:f>IF(OR($D191="",DC$5="",'상세일정'!AM191="제외"),"",IF($D191=$E191,IF(AND($D191&gt;=DC$5,$D191&lt;DC$5+7),"◆",""),IF(AND($D191&lt;DC$5+7,$E191&gt;DC$5),"■","")))</x:f>
      </x:c>
      <x:c r="DD191" s="7" t="str">
        <x:f>IF(OR($D191="",DD$5="",'상세일정'!AM191="제외"),"",IF($D191=$E191,IF(AND($D191&gt;=DD$5,$D191&lt;DD$5+7),"◆",""),IF(AND($D191&lt;DD$5+7,$E191&gt;DD$5),"■","")))</x:f>
      </x:c>
      <x:c r="DE191" s="7" t="str">
        <x:f>IF(OR($D191="",DE$5="",'상세일정'!AM191="제외"),"",IF($D191=$E191,IF(AND($D191&gt;=DE$5,$D191&lt;DE$5+7),"◆",""),IF(AND($D191&lt;DE$5+7,$E191&gt;DE$5),"■","")))</x:f>
      </x:c>
    </x:row>
    <x:row r="192" ht="34" customHeight="1">
      <x:c r="A192" s="7" t="str">
        <x:v>INPN01</x:v>
      </x:c>
      <x:c r="B192" s="7" t="str">
        <x:v>21 설비 설치</x:v>
      </x:c>
      <x:c r="C192" s="7" t="str">
        <x:v>수배전반·제어반 반입·양중·고정·정렬</x:v>
      </x:c>
      <x:c r="D192" s="10" t="str">
        <x:f>'상세일정'!AJ192</x:f>
      </x:c>
      <x:c r="E192" s="10" t="str">
        <x:f>'상세일정'!AK192</x:f>
      </x:c>
      <x:c r="F192" s="7" t="str">
        <x:f>IF(OR($D192="",F$5="",'상세일정'!AM192="제외"),"",IF($D192=$E192,IF(AND($D192&gt;=F$5,$D192&lt;F$5+7),"◆",""),IF(AND($D192&lt;F$5+7,$E192&gt;F$5),"■","")))</x:f>
      </x:c>
      <x:c r="G192" s="7" t="str">
        <x:f>IF(OR($D192="",G$5="",'상세일정'!AM192="제외"),"",IF($D192=$E192,IF(AND($D192&gt;=G$5,$D192&lt;G$5+7),"◆",""),IF(AND($D192&lt;G$5+7,$E192&gt;G$5),"■","")))</x:f>
      </x:c>
      <x:c r="H192" s="7" t="str">
        <x:f>IF(OR($D192="",H$5="",'상세일정'!AM192="제외"),"",IF($D192=$E192,IF(AND($D192&gt;=H$5,$D192&lt;H$5+7),"◆",""),IF(AND($D192&lt;H$5+7,$E192&gt;H$5),"■","")))</x:f>
      </x:c>
      <x:c r="I192" s="7" t="str">
        <x:f>IF(OR($D192="",I$5="",'상세일정'!AM192="제외"),"",IF($D192=$E192,IF(AND($D192&gt;=I$5,$D192&lt;I$5+7),"◆",""),IF(AND($D192&lt;I$5+7,$E192&gt;I$5),"■","")))</x:f>
      </x:c>
      <x:c r="J192" s="7" t="str">
        <x:f>IF(OR($D192="",J$5="",'상세일정'!AM192="제외"),"",IF($D192=$E192,IF(AND($D192&gt;=J$5,$D192&lt;J$5+7),"◆",""),IF(AND($D192&lt;J$5+7,$E192&gt;J$5),"■","")))</x:f>
      </x:c>
      <x:c r="K192" s="7" t="str">
        <x:f>IF(OR($D192="",K$5="",'상세일정'!AM192="제외"),"",IF($D192=$E192,IF(AND($D192&gt;=K$5,$D192&lt;K$5+7),"◆",""),IF(AND($D192&lt;K$5+7,$E192&gt;K$5),"■","")))</x:f>
      </x:c>
      <x:c r="L192" s="7" t="str">
        <x:f>IF(OR($D192="",L$5="",'상세일정'!AM192="제외"),"",IF($D192=$E192,IF(AND($D192&gt;=L$5,$D192&lt;L$5+7),"◆",""),IF(AND($D192&lt;L$5+7,$E192&gt;L$5),"■","")))</x:f>
      </x:c>
      <x:c r="M192" s="7" t="str">
        <x:f>IF(OR($D192="",M$5="",'상세일정'!AM192="제외"),"",IF($D192=$E192,IF(AND($D192&gt;=M$5,$D192&lt;M$5+7),"◆",""),IF(AND($D192&lt;M$5+7,$E192&gt;M$5),"■","")))</x:f>
      </x:c>
      <x:c r="N192" s="7" t="str">
        <x:f>IF(OR($D192="",N$5="",'상세일정'!AM192="제외"),"",IF($D192=$E192,IF(AND($D192&gt;=N$5,$D192&lt;N$5+7),"◆",""),IF(AND($D192&lt;N$5+7,$E192&gt;N$5),"■","")))</x:f>
      </x:c>
      <x:c r="O192" s="7" t="str">
        <x:f>IF(OR($D192="",O$5="",'상세일정'!AM192="제외"),"",IF($D192=$E192,IF(AND($D192&gt;=O$5,$D192&lt;O$5+7),"◆",""),IF(AND($D192&lt;O$5+7,$E192&gt;O$5),"■","")))</x:f>
      </x:c>
      <x:c r="P192" s="7" t="str">
        <x:f>IF(OR($D192="",P$5="",'상세일정'!AM192="제외"),"",IF($D192=$E192,IF(AND($D192&gt;=P$5,$D192&lt;P$5+7),"◆",""),IF(AND($D192&lt;P$5+7,$E192&gt;P$5),"■","")))</x:f>
      </x:c>
      <x:c r="Q192" s="7" t="str">
        <x:f>IF(OR($D192="",Q$5="",'상세일정'!AM192="제외"),"",IF($D192=$E192,IF(AND($D192&gt;=Q$5,$D192&lt;Q$5+7),"◆",""),IF(AND($D192&lt;Q$5+7,$E192&gt;Q$5),"■","")))</x:f>
      </x:c>
      <x:c r="R192" s="7" t="str">
        <x:f>IF(OR($D192="",R$5="",'상세일정'!AM192="제외"),"",IF($D192=$E192,IF(AND($D192&gt;=R$5,$D192&lt;R$5+7),"◆",""),IF(AND($D192&lt;R$5+7,$E192&gt;R$5),"■","")))</x:f>
      </x:c>
      <x:c r="S192" s="7" t="str">
        <x:f>IF(OR($D192="",S$5="",'상세일정'!AM192="제외"),"",IF($D192=$E192,IF(AND($D192&gt;=S$5,$D192&lt;S$5+7),"◆",""),IF(AND($D192&lt;S$5+7,$E192&gt;S$5),"■","")))</x:f>
      </x:c>
      <x:c r="T192" s="7" t="str">
        <x:f>IF(OR($D192="",T$5="",'상세일정'!AM192="제외"),"",IF($D192=$E192,IF(AND($D192&gt;=T$5,$D192&lt;T$5+7),"◆",""),IF(AND($D192&lt;T$5+7,$E192&gt;T$5),"■","")))</x:f>
      </x:c>
      <x:c r="U192" s="7" t="str">
        <x:f>IF(OR($D192="",U$5="",'상세일정'!AM192="제외"),"",IF($D192=$E192,IF(AND($D192&gt;=U$5,$D192&lt;U$5+7),"◆",""),IF(AND($D192&lt;U$5+7,$E192&gt;U$5),"■","")))</x:f>
      </x:c>
      <x:c r="V192" s="7" t="str">
        <x:f>IF(OR($D192="",V$5="",'상세일정'!AM192="제외"),"",IF($D192=$E192,IF(AND($D192&gt;=V$5,$D192&lt;V$5+7),"◆",""),IF(AND($D192&lt;V$5+7,$E192&gt;V$5),"■","")))</x:f>
      </x:c>
      <x:c r="W192" s="7" t="str">
        <x:f>IF(OR($D192="",W$5="",'상세일정'!AM192="제외"),"",IF($D192=$E192,IF(AND($D192&gt;=W$5,$D192&lt;W$5+7),"◆",""),IF(AND($D192&lt;W$5+7,$E192&gt;W$5),"■","")))</x:f>
      </x:c>
      <x:c r="X192" s="7" t="str">
        <x:f>IF(OR($D192="",X$5="",'상세일정'!AM192="제외"),"",IF($D192=$E192,IF(AND($D192&gt;=X$5,$D192&lt;X$5+7),"◆",""),IF(AND($D192&lt;X$5+7,$E192&gt;X$5),"■","")))</x:f>
      </x:c>
      <x:c r="Y192" s="7" t="str">
        <x:f>IF(OR($D192="",Y$5="",'상세일정'!AM192="제외"),"",IF($D192=$E192,IF(AND($D192&gt;=Y$5,$D192&lt;Y$5+7),"◆",""),IF(AND($D192&lt;Y$5+7,$E192&gt;Y$5),"■","")))</x:f>
      </x:c>
      <x:c r="Z192" s="7" t="str">
        <x:f>IF(OR($D192="",Z$5="",'상세일정'!AM192="제외"),"",IF($D192=$E192,IF(AND($D192&gt;=Z$5,$D192&lt;Z$5+7),"◆",""),IF(AND($D192&lt;Z$5+7,$E192&gt;Z$5),"■","")))</x:f>
      </x:c>
      <x:c r="AA192" s="7" t="str">
        <x:f>IF(OR($D192="",AA$5="",'상세일정'!AM192="제외"),"",IF($D192=$E192,IF(AND($D192&gt;=AA$5,$D192&lt;AA$5+7),"◆",""),IF(AND($D192&lt;AA$5+7,$E192&gt;AA$5),"■","")))</x:f>
      </x:c>
      <x:c r="AB192" s="7" t="str">
        <x:f>IF(OR($D192="",AB$5="",'상세일정'!AM192="제외"),"",IF($D192=$E192,IF(AND($D192&gt;=AB$5,$D192&lt;AB$5+7),"◆",""),IF(AND($D192&lt;AB$5+7,$E192&gt;AB$5),"■","")))</x:f>
      </x:c>
      <x:c r="AC192" s="7" t="str">
        <x:f>IF(OR($D192="",AC$5="",'상세일정'!AM192="제외"),"",IF($D192=$E192,IF(AND($D192&gt;=AC$5,$D192&lt;AC$5+7),"◆",""),IF(AND($D192&lt;AC$5+7,$E192&gt;AC$5),"■","")))</x:f>
      </x:c>
      <x:c r="AD192" s="7" t="str">
        <x:f>IF(OR($D192="",AD$5="",'상세일정'!AM192="제외"),"",IF($D192=$E192,IF(AND($D192&gt;=AD$5,$D192&lt;AD$5+7),"◆",""),IF(AND($D192&lt;AD$5+7,$E192&gt;AD$5),"■","")))</x:f>
      </x:c>
      <x:c r="AE192" s="7" t="str">
        <x:f>IF(OR($D192="",AE$5="",'상세일정'!AM192="제외"),"",IF($D192=$E192,IF(AND($D192&gt;=AE$5,$D192&lt;AE$5+7),"◆",""),IF(AND($D192&lt;AE$5+7,$E192&gt;AE$5),"■","")))</x:f>
      </x:c>
      <x:c r="AF192" s="7" t="str">
        <x:f>IF(OR($D192="",AF$5="",'상세일정'!AM192="제외"),"",IF($D192=$E192,IF(AND($D192&gt;=AF$5,$D192&lt;AF$5+7),"◆",""),IF(AND($D192&lt;AF$5+7,$E192&gt;AF$5),"■","")))</x:f>
      </x:c>
      <x:c r="AG192" s="7" t="str">
        <x:f>IF(OR($D192="",AG$5="",'상세일정'!AM192="제외"),"",IF($D192=$E192,IF(AND($D192&gt;=AG$5,$D192&lt;AG$5+7),"◆",""),IF(AND($D192&lt;AG$5+7,$E192&gt;AG$5),"■","")))</x:f>
      </x:c>
      <x:c r="AH192" s="7" t="str">
        <x:f>IF(OR($D192="",AH$5="",'상세일정'!AM192="제외"),"",IF($D192=$E192,IF(AND($D192&gt;=AH$5,$D192&lt;AH$5+7),"◆",""),IF(AND($D192&lt;AH$5+7,$E192&gt;AH$5),"■","")))</x:f>
      </x:c>
      <x:c r="AI192" s="7" t="str">
        <x:f>IF(OR($D192="",AI$5="",'상세일정'!AM192="제외"),"",IF($D192=$E192,IF(AND($D192&gt;=AI$5,$D192&lt;AI$5+7),"◆",""),IF(AND($D192&lt;AI$5+7,$E192&gt;AI$5),"■","")))</x:f>
      </x:c>
      <x:c r="AJ192" s="7" t="str">
        <x:f>IF(OR($D192="",AJ$5="",'상세일정'!AM192="제외"),"",IF($D192=$E192,IF(AND($D192&gt;=AJ$5,$D192&lt;AJ$5+7),"◆",""),IF(AND($D192&lt;AJ$5+7,$E192&gt;AJ$5),"■","")))</x:f>
      </x:c>
      <x:c r="AK192" s="7" t="str">
        <x:f>IF(OR($D192="",AK$5="",'상세일정'!AM192="제외"),"",IF($D192=$E192,IF(AND($D192&gt;=AK$5,$D192&lt;AK$5+7),"◆",""),IF(AND($D192&lt;AK$5+7,$E192&gt;AK$5),"■","")))</x:f>
      </x:c>
      <x:c r="AL192" s="7" t="str">
        <x:f>IF(OR($D192="",AL$5="",'상세일정'!AM192="제외"),"",IF($D192=$E192,IF(AND($D192&gt;=AL$5,$D192&lt;AL$5+7),"◆",""),IF(AND($D192&lt;AL$5+7,$E192&gt;AL$5),"■","")))</x:f>
      </x:c>
      <x:c r="AM192" s="7" t="str">
        <x:f>IF(OR($D192="",AM$5="",'상세일정'!AM192="제외"),"",IF($D192=$E192,IF(AND($D192&gt;=AM$5,$D192&lt;AM$5+7),"◆",""),IF(AND($D192&lt;AM$5+7,$E192&gt;AM$5),"■","")))</x:f>
      </x:c>
      <x:c r="AN192" s="7" t="str">
        <x:f>IF(OR($D192="",AN$5="",'상세일정'!AM192="제외"),"",IF($D192=$E192,IF(AND($D192&gt;=AN$5,$D192&lt;AN$5+7),"◆",""),IF(AND($D192&lt;AN$5+7,$E192&gt;AN$5),"■","")))</x:f>
      </x:c>
      <x:c r="AO192" s="7" t="str">
        <x:f>IF(OR($D192="",AO$5="",'상세일정'!AM192="제외"),"",IF($D192=$E192,IF(AND($D192&gt;=AO$5,$D192&lt;AO$5+7),"◆",""),IF(AND($D192&lt;AO$5+7,$E192&gt;AO$5),"■","")))</x:f>
      </x:c>
      <x:c r="AP192" s="7" t="str">
        <x:f>IF(OR($D192="",AP$5="",'상세일정'!AM192="제외"),"",IF($D192=$E192,IF(AND($D192&gt;=AP$5,$D192&lt;AP$5+7),"◆",""),IF(AND($D192&lt;AP$5+7,$E192&gt;AP$5),"■","")))</x:f>
      </x:c>
      <x:c r="AQ192" s="7" t="str">
        <x:f>IF(OR($D192="",AQ$5="",'상세일정'!AM192="제외"),"",IF($D192=$E192,IF(AND($D192&gt;=AQ$5,$D192&lt;AQ$5+7),"◆",""),IF(AND($D192&lt;AQ$5+7,$E192&gt;AQ$5),"■","")))</x:f>
      </x:c>
      <x:c r="AR192" s="7" t="str">
        <x:f>IF(OR($D192="",AR$5="",'상세일정'!AM192="제외"),"",IF($D192=$E192,IF(AND($D192&gt;=AR$5,$D192&lt;AR$5+7),"◆",""),IF(AND($D192&lt;AR$5+7,$E192&gt;AR$5),"■","")))</x:f>
      </x:c>
      <x:c r="AS192" s="7" t="str">
        <x:f>IF(OR($D192="",AS$5="",'상세일정'!AM192="제외"),"",IF($D192=$E192,IF(AND($D192&gt;=AS$5,$D192&lt;AS$5+7),"◆",""),IF(AND($D192&lt;AS$5+7,$E192&gt;AS$5),"■","")))</x:f>
      </x:c>
      <x:c r="AT192" s="7" t="str">
        <x:f>IF(OR($D192="",AT$5="",'상세일정'!AM192="제외"),"",IF($D192=$E192,IF(AND($D192&gt;=AT$5,$D192&lt;AT$5+7),"◆",""),IF(AND($D192&lt;AT$5+7,$E192&gt;AT$5),"■","")))</x:f>
      </x:c>
      <x:c r="AU192" s="7" t="str">
        <x:f>IF(OR($D192="",AU$5="",'상세일정'!AM192="제외"),"",IF($D192=$E192,IF(AND($D192&gt;=AU$5,$D192&lt;AU$5+7),"◆",""),IF(AND($D192&lt;AU$5+7,$E192&gt;AU$5),"■","")))</x:f>
      </x:c>
      <x:c r="AV192" s="7" t="str">
        <x:f>IF(OR($D192="",AV$5="",'상세일정'!AM192="제외"),"",IF($D192=$E192,IF(AND($D192&gt;=AV$5,$D192&lt;AV$5+7),"◆",""),IF(AND($D192&lt;AV$5+7,$E192&gt;AV$5),"■","")))</x:f>
      </x:c>
      <x:c r="AW192" s="7" t="str">
        <x:f>IF(OR($D192="",AW$5="",'상세일정'!AM192="제외"),"",IF($D192=$E192,IF(AND($D192&gt;=AW$5,$D192&lt;AW$5+7),"◆",""),IF(AND($D192&lt;AW$5+7,$E192&gt;AW$5),"■","")))</x:f>
      </x:c>
      <x:c r="AX192" s="7" t="str">
        <x:f>IF(OR($D192="",AX$5="",'상세일정'!AM192="제외"),"",IF($D192=$E192,IF(AND($D192&gt;=AX$5,$D192&lt;AX$5+7),"◆",""),IF(AND($D192&lt;AX$5+7,$E192&gt;AX$5),"■","")))</x:f>
      </x:c>
      <x:c r="AY192" s="7" t="str">
        <x:f>IF(OR($D192="",AY$5="",'상세일정'!AM192="제외"),"",IF($D192=$E192,IF(AND($D192&gt;=AY$5,$D192&lt;AY$5+7),"◆",""),IF(AND($D192&lt;AY$5+7,$E192&gt;AY$5),"■","")))</x:f>
      </x:c>
      <x:c r="AZ192" s="7" t="str">
        <x:f>IF(OR($D192="",AZ$5="",'상세일정'!AM192="제외"),"",IF($D192=$E192,IF(AND($D192&gt;=AZ$5,$D192&lt;AZ$5+7),"◆",""),IF(AND($D192&lt;AZ$5+7,$E192&gt;AZ$5),"■","")))</x:f>
      </x:c>
      <x:c r="BA192" s="7" t="str">
        <x:f>IF(OR($D192="",BA$5="",'상세일정'!AM192="제외"),"",IF($D192=$E192,IF(AND($D192&gt;=BA$5,$D192&lt;BA$5+7),"◆",""),IF(AND($D192&lt;BA$5+7,$E192&gt;BA$5),"■","")))</x:f>
      </x:c>
      <x:c r="BB192" s="7" t="str">
        <x:f>IF(OR($D192="",BB$5="",'상세일정'!AM192="제외"),"",IF($D192=$E192,IF(AND($D192&gt;=BB$5,$D192&lt;BB$5+7),"◆",""),IF(AND($D192&lt;BB$5+7,$E192&gt;BB$5),"■","")))</x:f>
      </x:c>
      <x:c r="BC192" s="7" t="str">
        <x:f>IF(OR($D192="",BC$5="",'상세일정'!AM192="제외"),"",IF($D192=$E192,IF(AND($D192&gt;=BC$5,$D192&lt;BC$5+7),"◆",""),IF(AND($D192&lt;BC$5+7,$E192&gt;BC$5),"■","")))</x:f>
      </x:c>
      <x:c r="BD192" s="7" t="str">
        <x:f>IF(OR($D192="",BD$5="",'상세일정'!AM192="제외"),"",IF($D192=$E192,IF(AND($D192&gt;=BD$5,$D192&lt;BD$5+7),"◆",""),IF(AND($D192&lt;BD$5+7,$E192&gt;BD$5),"■","")))</x:f>
      </x:c>
      <x:c r="BE192" s="7" t="str">
        <x:f>IF(OR($D192="",BE$5="",'상세일정'!AM192="제외"),"",IF($D192=$E192,IF(AND($D192&gt;=BE$5,$D192&lt;BE$5+7),"◆",""),IF(AND($D192&lt;BE$5+7,$E192&gt;BE$5),"■","")))</x:f>
      </x:c>
      <x:c r="BF192" s="7" t="str">
        <x:f>IF(OR($D192="",BF$5="",'상세일정'!AM192="제외"),"",IF($D192=$E192,IF(AND($D192&gt;=BF$5,$D192&lt;BF$5+7),"◆",""),IF(AND($D192&lt;BF$5+7,$E192&gt;BF$5),"■","")))</x:f>
      </x:c>
      <x:c r="BG192" s="7" t="str">
        <x:f>IF(OR($D192="",BG$5="",'상세일정'!AM192="제외"),"",IF($D192=$E192,IF(AND($D192&gt;=BG$5,$D192&lt;BG$5+7),"◆",""),IF(AND($D192&lt;BG$5+7,$E192&gt;BG$5),"■","")))</x:f>
      </x:c>
      <x:c r="BH192" s="7" t="str">
        <x:f>IF(OR($D192="",BH$5="",'상세일정'!AM192="제외"),"",IF($D192=$E192,IF(AND($D192&gt;=BH$5,$D192&lt;BH$5+7),"◆",""),IF(AND($D192&lt;BH$5+7,$E192&gt;BH$5),"■","")))</x:f>
      </x:c>
      <x:c r="BI192" s="7" t="str">
        <x:f>IF(OR($D192="",BI$5="",'상세일정'!AM192="제외"),"",IF($D192=$E192,IF(AND($D192&gt;=BI$5,$D192&lt;BI$5+7),"◆",""),IF(AND($D192&lt;BI$5+7,$E192&gt;BI$5),"■","")))</x:f>
      </x:c>
      <x:c r="BJ192" s="7" t="str">
        <x:f>IF(OR($D192="",BJ$5="",'상세일정'!AM192="제외"),"",IF($D192=$E192,IF(AND($D192&gt;=BJ$5,$D192&lt;BJ$5+7),"◆",""),IF(AND($D192&lt;BJ$5+7,$E192&gt;BJ$5),"■","")))</x:f>
      </x:c>
      <x:c r="BK192" s="7" t="str">
        <x:f>IF(OR($D192="",BK$5="",'상세일정'!AM192="제외"),"",IF($D192=$E192,IF(AND($D192&gt;=BK$5,$D192&lt;BK$5+7),"◆",""),IF(AND($D192&lt;BK$5+7,$E192&gt;BK$5),"■","")))</x:f>
      </x:c>
      <x:c r="BL192" s="7" t="str">
        <x:f>IF(OR($D192="",BL$5="",'상세일정'!AM192="제외"),"",IF($D192=$E192,IF(AND($D192&gt;=BL$5,$D192&lt;BL$5+7),"◆",""),IF(AND($D192&lt;BL$5+7,$E192&gt;BL$5),"■","")))</x:f>
      </x:c>
      <x:c r="BM192" s="7" t="str">
        <x:f>IF(OR($D192="",BM$5="",'상세일정'!AM192="제외"),"",IF($D192=$E192,IF(AND($D192&gt;=BM$5,$D192&lt;BM$5+7),"◆",""),IF(AND($D192&lt;BM$5+7,$E192&gt;BM$5),"■","")))</x:f>
      </x:c>
      <x:c r="BN192" s="7" t="str">
        <x:f>IF(OR($D192="",BN$5="",'상세일정'!AM192="제외"),"",IF($D192=$E192,IF(AND($D192&gt;=BN$5,$D192&lt;BN$5+7),"◆",""),IF(AND($D192&lt;BN$5+7,$E192&gt;BN$5),"■","")))</x:f>
      </x:c>
      <x:c r="BO192" s="7" t="str">
        <x:f>IF(OR($D192="",BO$5="",'상세일정'!AM192="제외"),"",IF($D192=$E192,IF(AND($D192&gt;=BO$5,$D192&lt;BO$5+7),"◆",""),IF(AND($D192&lt;BO$5+7,$E192&gt;BO$5),"■","")))</x:f>
      </x:c>
      <x:c r="BP192" s="7" t="str">
        <x:f>IF(OR($D192="",BP$5="",'상세일정'!AM192="제외"),"",IF($D192=$E192,IF(AND($D192&gt;=BP$5,$D192&lt;BP$5+7),"◆",""),IF(AND($D192&lt;BP$5+7,$E192&gt;BP$5),"■","")))</x:f>
      </x:c>
      <x:c r="BQ192" s="7" t="str">
        <x:f>IF(OR($D192="",BQ$5="",'상세일정'!AM192="제외"),"",IF($D192=$E192,IF(AND($D192&gt;=BQ$5,$D192&lt;BQ$5+7),"◆",""),IF(AND($D192&lt;BQ$5+7,$E192&gt;BQ$5),"■","")))</x:f>
      </x:c>
      <x:c r="BR192" s="7" t="str">
        <x:f>IF(OR($D192="",BR$5="",'상세일정'!AM192="제외"),"",IF($D192=$E192,IF(AND($D192&gt;=BR$5,$D192&lt;BR$5+7),"◆",""),IF(AND($D192&lt;BR$5+7,$E192&gt;BR$5),"■","")))</x:f>
      </x:c>
      <x:c r="BS192" s="7" t="str">
        <x:f>IF(OR($D192="",BS$5="",'상세일정'!AM192="제외"),"",IF($D192=$E192,IF(AND($D192&gt;=BS$5,$D192&lt;BS$5+7),"◆",""),IF(AND($D192&lt;BS$5+7,$E192&gt;BS$5),"■","")))</x:f>
      </x:c>
      <x:c r="BT192" s="7" t="str">
        <x:f>IF(OR($D192="",BT$5="",'상세일정'!AM192="제외"),"",IF($D192=$E192,IF(AND($D192&gt;=BT$5,$D192&lt;BT$5+7),"◆",""),IF(AND($D192&lt;BT$5+7,$E192&gt;BT$5),"■","")))</x:f>
      </x:c>
      <x:c r="BU192" s="7" t="str">
        <x:f>IF(OR($D192="",BU$5="",'상세일정'!AM192="제외"),"",IF($D192=$E192,IF(AND($D192&gt;=BU$5,$D192&lt;BU$5+7),"◆",""),IF(AND($D192&lt;BU$5+7,$E192&gt;BU$5),"■","")))</x:f>
      </x:c>
      <x:c r="BV192" s="7" t="str">
        <x:f>IF(OR($D192="",BV$5="",'상세일정'!AM192="제외"),"",IF($D192=$E192,IF(AND($D192&gt;=BV$5,$D192&lt;BV$5+7),"◆",""),IF(AND($D192&lt;BV$5+7,$E192&gt;BV$5),"■","")))</x:f>
      </x:c>
      <x:c r="BW192" s="7" t="str">
        <x:f>IF(OR($D192="",BW$5="",'상세일정'!AM192="제외"),"",IF($D192=$E192,IF(AND($D192&gt;=BW$5,$D192&lt;BW$5+7),"◆",""),IF(AND($D192&lt;BW$5+7,$E192&gt;BW$5),"■","")))</x:f>
      </x:c>
      <x:c r="BX192" s="7" t="str">
        <x:f>IF(OR($D192="",BX$5="",'상세일정'!AM192="제외"),"",IF($D192=$E192,IF(AND($D192&gt;=BX$5,$D192&lt;BX$5+7),"◆",""),IF(AND($D192&lt;BX$5+7,$E192&gt;BX$5),"■","")))</x:f>
      </x:c>
      <x:c r="BY192" s="7" t="str">
        <x:f>IF(OR($D192="",BY$5="",'상세일정'!AM192="제외"),"",IF($D192=$E192,IF(AND($D192&gt;=BY$5,$D192&lt;BY$5+7),"◆",""),IF(AND($D192&lt;BY$5+7,$E192&gt;BY$5),"■","")))</x:f>
      </x:c>
      <x:c r="BZ192" s="7" t="str">
        <x:f>IF(OR($D192="",BZ$5="",'상세일정'!AM192="제외"),"",IF($D192=$E192,IF(AND($D192&gt;=BZ$5,$D192&lt;BZ$5+7),"◆",""),IF(AND($D192&lt;BZ$5+7,$E192&gt;BZ$5),"■","")))</x:f>
      </x:c>
      <x:c r="CA192" s="7" t="str">
        <x:f>IF(OR($D192="",CA$5="",'상세일정'!AM192="제외"),"",IF($D192=$E192,IF(AND($D192&gt;=CA$5,$D192&lt;CA$5+7),"◆",""),IF(AND($D192&lt;CA$5+7,$E192&gt;CA$5),"■","")))</x:f>
      </x:c>
      <x:c r="CB192" s="7" t="str">
        <x:f>IF(OR($D192="",CB$5="",'상세일정'!AM192="제외"),"",IF($D192=$E192,IF(AND($D192&gt;=CB$5,$D192&lt;CB$5+7),"◆",""),IF(AND($D192&lt;CB$5+7,$E192&gt;CB$5),"■","")))</x:f>
      </x:c>
      <x:c r="CC192" s="7" t="str">
        <x:f>IF(OR($D192="",CC$5="",'상세일정'!AM192="제외"),"",IF($D192=$E192,IF(AND($D192&gt;=CC$5,$D192&lt;CC$5+7),"◆",""),IF(AND($D192&lt;CC$5+7,$E192&gt;CC$5),"■","")))</x:f>
      </x:c>
      <x:c r="CD192" s="7" t="str">
        <x:f>IF(OR($D192="",CD$5="",'상세일정'!AM192="제외"),"",IF($D192=$E192,IF(AND($D192&gt;=CD$5,$D192&lt;CD$5+7),"◆",""),IF(AND($D192&lt;CD$5+7,$E192&gt;CD$5),"■","")))</x:f>
      </x:c>
      <x:c r="CE192" s="7" t="str">
        <x:f>IF(OR($D192="",CE$5="",'상세일정'!AM192="제외"),"",IF($D192=$E192,IF(AND($D192&gt;=CE$5,$D192&lt;CE$5+7),"◆",""),IF(AND($D192&lt;CE$5+7,$E192&gt;CE$5),"■","")))</x:f>
      </x:c>
      <x:c r="CF192" s="7" t="str">
        <x:f>IF(OR($D192="",CF$5="",'상세일정'!AM192="제외"),"",IF($D192=$E192,IF(AND($D192&gt;=CF$5,$D192&lt;CF$5+7),"◆",""),IF(AND($D192&lt;CF$5+7,$E192&gt;CF$5),"■","")))</x:f>
      </x:c>
      <x:c r="CG192" s="7" t="str">
        <x:f>IF(OR($D192="",CG$5="",'상세일정'!AM192="제외"),"",IF($D192=$E192,IF(AND($D192&gt;=CG$5,$D192&lt;CG$5+7),"◆",""),IF(AND($D192&lt;CG$5+7,$E192&gt;CG$5),"■","")))</x:f>
      </x:c>
      <x:c r="CH192" s="7" t="str">
        <x:f>IF(OR($D192="",CH$5="",'상세일정'!AM192="제외"),"",IF($D192=$E192,IF(AND($D192&gt;=CH$5,$D192&lt;CH$5+7),"◆",""),IF(AND($D192&lt;CH$5+7,$E192&gt;CH$5),"■","")))</x:f>
      </x:c>
      <x:c r="CI192" s="7" t="str">
        <x:f>IF(OR($D192="",CI$5="",'상세일정'!AM192="제외"),"",IF($D192=$E192,IF(AND($D192&gt;=CI$5,$D192&lt;CI$5+7),"◆",""),IF(AND($D192&lt;CI$5+7,$E192&gt;CI$5),"■","")))</x:f>
      </x:c>
      <x:c r="CJ192" s="7" t="str">
        <x:f>IF(OR($D192="",CJ$5="",'상세일정'!AM192="제외"),"",IF($D192=$E192,IF(AND($D192&gt;=CJ$5,$D192&lt;CJ$5+7),"◆",""),IF(AND($D192&lt;CJ$5+7,$E192&gt;CJ$5),"■","")))</x:f>
      </x:c>
      <x:c r="CK192" s="7" t="str">
        <x:f>IF(OR($D192="",CK$5="",'상세일정'!AM192="제외"),"",IF($D192=$E192,IF(AND($D192&gt;=CK$5,$D192&lt;CK$5+7),"◆",""),IF(AND($D192&lt;CK$5+7,$E192&gt;CK$5),"■","")))</x:f>
      </x:c>
      <x:c r="CL192" s="7" t="str">
        <x:f>IF(OR($D192="",CL$5="",'상세일정'!AM192="제외"),"",IF($D192=$E192,IF(AND($D192&gt;=CL$5,$D192&lt;CL$5+7),"◆",""),IF(AND($D192&lt;CL$5+7,$E192&gt;CL$5),"■","")))</x:f>
      </x:c>
      <x:c r="CM192" s="7" t="str">
        <x:f>IF(OR($D192="",CM$5="",'상세일정'!AM192="제외"),"",IF($D192=$E192,IF(AND($D192&gt;=CM$5,$D192&lt;CM$5+7),"◆",""),IF(AND($D192&lt;CM$5+7,$E192&gt;CM$5),"■","")))</x:f>
      </x:c>
      <x:c r="CN192" s="7" t="str">
        <x:f>IF(OR($D192="",CN$5="",'상세일정'!AM192="제외"),"",IF($D192=$E192,IF(AND($D192&gt;=CN$5,$D192&lt;CN$5+7),"◆",""),IF(AND($D192&lt;CN$5+7,$E192&gt;CN$5),"■","")))</x:f>
      </x:c>
      <x:c r="CO192" s="7" t="str">
        <x:f>IF(OR($D192="",CO$5="",'상세일정'!AM192="제외"),"",IF($D192=$E192,IF(AND($D192&gt;=CO$5,$D192&lt;CO$5+7),"◆",""),IF(AND($D192&lt;CO$5+7,$E192&gt;CO$5),"■","")))</x:f>
      </x:c>
      <x:c r="CP192" s="7" t="str">
        <x:f>IF(OR($D192="",CP$5="",'상세일정'!AM192="제외"),"",IF($D192=$E192,IF(AND($D192&gt;=CP$5,$D192&lt;CP$5+7),"◆",""),IF(AND($D192&lt;CP$5+7,$E192&gt;CP$5),"■","")))</x:f>
      </x:c>
      <x:c r="CQ192" s="7" t="str">
        <x:f>IF(OR($D192="",CQ$5="",'상세일정'!AM192="제외"),"",IF($D192=$E192,IF(AND($D192&gt;=CQ$5,$D192&lt;CQ$5+7),"◆",""),IF(AND($D192&lt;CQ$5+7,$E192&gt;CQ$5),"■","")))</x:f>
      </x:c>
      <x:c r="CR192" s="7" t="str">
        <x:f>IF(OR($D192="",CR$5="",'상세일정'!AM192="제외"),"",IF($D192=$E192,IF(AND($D192&gt;=CR$5,$D192&lt;CR$5+7),"◆",""),IF(AND($D192&lt;CR$5+7,$E192&gt;CR$5),"■","")))</x:f>
      </x:c>
      <x:c r="CS192" s="7" t="str">
        <x:f>IF(OR($D192="",CS$5="",'상세일정'!AM192="제외"),"",IF($D192=$E192,IF(AND($D192&gt;=CS$5,$D192&lt;CS$5+7),"◆",""),IF(AND($D192&lt;CS$5+7,$E192&gt;CS$5),"■","")))</x:f>
      </x:c>
      <x:c r="CT192" s="7" t="str">
        <x:f>IF(OR($D192="",CT$5="",'상세일정'!AM192="제외"),"",IF($D192=$E192,IF(AND($D192&gt;=CT$5,$D192&lt;CT$5+7),"◆",""),IF(AND($D192&lt;CT$5+7,$E192&gt;CT$5),"■","")))</x:f>
      </x:c>
      <x:c r="CU192" s="7" t="str">
        <x:f>IF(OR($D192="",CU$5="",'상세일정'!AM192="제외"),"",IF($D192=$E192,IF(AND($D192&gt;=CU$5,$D192&lt;CU$5+7),"◆",""),IF(AND($D192&lt;CU$5+7,$E192&gt;CU$5),"■","")))</x:f>
      </x:c>
      <x:c r="CV192" s="7" t="str">
        <x:f>IF(OR($D192="",CV$5="",'상세일정'!AM192="제외"),"",IF($D192=$E192,IF(AND($D192&gt;=CV$5,$D192&lt;CV$5+7),"◆",""),IF(AND($D192&lt;CV$5+7,$E192&gt;CV$5),"■","")))</x:f>
      </x:c>
      <x:c r="CW192" s="7" t="str">
        <x:f>IF(OR($D192="",CW$5="",'상세일정'!AM192="제외"),"",IF($D192=$E192,IF(AND($D192&gt;=CW$5,$D192&lt;CW$5+7),"◆",""),IF(AND($D192&lt;CW$5+7,$E192&gt;CW$5),"■","")))</x:f>
      </x:c>
      <x:c r="CX192" s="7" t="str">
        <x:f>IF(OR($D192="",CX$5="",'상세일정'!AM192="제외"),"",IF($D192=$E192,IF(AND($D192&gt;=CX$5,$D192&lt;CX$5+7),"◆",""),IF(AND($D192&lt;CX$5+7,$E192&gt;CX$5),"■","")))</x:f>
      </x:c>
      <x:c r="CY192" s="7" t="str">
        <x:f>IF(OR($D192="",CY$5="",'상세일정'!AM192="제외"),"",IF($D192=$E192,IF(AND($D192&gt;=CY$5,$D192&lt;CY$5+7),"◆",""),IF(AND($D192&lt;CY$5+7,$E192&gt;CY$5),"■","")))</x:f>
      </x:c>
      <x:c r="CZ192" s="7" t="str">
        <x:f>IF(OR($D192="",CZ$5="",'상세일정'!AM192="제외"),"",IF($D192=$E192,IF(AND($D192&gt;=CZ$5,$D192&lt;CZ$5+7),"◆",""),IF(AND($D192&lt;CZ$5+7,$E192&gt;CZ$5),"■","")))</x:f>
      </x:c>
      <x:c r="DA192" s="7" t="str">
        <x:f>IF(OR($D192="",DA$5="",'상세일정'!AM192="제외"),"",IF($D192=$E192,IF(AND($D192&gt;=DA$5,$D192&lt;DA$5+7),"◆",""),IF(AND($D192&lt;DA$5+7,$E192&gt;DA$5),"■","")))</x:f>
      </x:c>
      <x:c r="DB192" s="7" t="str">
        <x:f>IF(OR($D192="",DB$5="",'상세일정'!AM192="제외"),"",IF($D192=$E192,IF(AND($D192&gt;=DB$5,$D192&lt;DB$5+7),"◆",""),IF(AND($D192&lt;DB$5+7,$E192&gt;DB$5),"■","")))</x:f>
      </x:c>
      <x:c r="DC192" s="7" t="str">
        <x:f>IF(OR($D192="",DC$5="",'상세일정'!AM192="제외"),"",IF($D192=$E192,IF(AND($D192&gt;=DC$5,$D192&lt;DC$5+7),"◆",""),IF(AND($D192&lt;DC$5+7,$E192&gt;DC$5),"■","")))</x:f>
      </x:c>
      <x:c r="DD192" s="7" t="str">
        <x:f>IF(OR($D192="",DD$5="",'상세일정'!AM192="제외"),"",IF($D192=$E192,IF(AND($D192&gt;=DD$5,$D192&lt;DD$5+7),"◆",""),IF(AND($D192&lt;DD$5+7,$E192&gt;DD$5),"■","")))</x:f>
      </x:c>
      <x:c r="DE192" s="7" t="str">
        <x:f>IF(OR($D192="",DE$5="",'상세일정'!AM192="제외"),"",IF($D192=$E192,IF(AND($D192&gt;=DE$5,$D192&lt;DE$5+7),"◆",""),IF(AND($D192&lt;DE$5+7,$E192&gt;DE$5),"■","")))</x:f>
      </x:c>
    </x:row>
    <x:row r="193" ht="34" customHeight="1">
      <x:c r="A193" s="7" t="str">
        <x:v>INPN02</x:v>
      </x:c>
      <x:c r="B193" s="7" t="str">
        <x:v>21 설비 설치</x:v>
      </x:c>
      <x:c r="C193" s="7" t="str">
        <x:v>수배전반·제어반 설치검수·현장 SAT 준비</x:v>
      </x:c>
      <x:c r="D193" s="10" t="str">
        <x:f>'상세일정'!AJ193</x:f>
      </x:c>
      <x:c r="E193" s="10" t="str">
        <x:f>'상세일정'!AK193</x:f>
      </x:c>
      <x:c r="F193" s="7" t="str">
        <x:f>IF(OR($D193="",F$5="",'상세일정'!AM193="제외"),"",IF($D193=$E193,IF(AND($D193&gt;=F$5,$D193&lt;F$5+7),"◆",""),IF(AND($D193&lt;F$5+7,$E193&gt;F$5),"■","")))</x:f>
      </x:c>
      <x:c r="G193" s="7" t="str">
        <x:f>IF(OR($D193="",G$5="",'상세일정'!AM193="제외"),"",IF($D193=$E193,IF(AND($D193&gt;=G$5,$D193&lt;G$5+7),"◆",""),IF(AND($D193&lt;G$5+7,$E193&gt;G$5),"■","")))</x:f>
      </x:c>
      <x:c r="H193" s="7" t="str">
        <x:f>IF(OR($D193="",H$5="",'상세일정'!AM193="제외"),"",IF($D193=$E193,IF(AND($D193&gt;=H$5,$D193&lt;H$5+7),"◆",""),IF(AND($D193&lt;H$5+7,$E193&gt;H$5),"■","")))</x:f>
      </x:c>
      <x:c r="I193" s="7" t="str">
        <x:f>IF(OR($D193="",I$5="",'상세일정'!AM193="제외"),"",IF($D193=$E193,IF(AND($D193&gt;=I$5,$D193&lt;I$5+7),"◆",""),IF(AND($D193&lt;I$5+7,$E193&gt;I$5),"■","")))</x:f>
      </x:c>
      <x:c r="J193" s="7" t="str">
        <x:f>IF(OR($D193="",J$5="",'상세일정'!AM193="제외"),"",IF($D193=$E193,IF(AND($D193&gt;=J$5,$D193&lt;J$5+7),"◆",""),IF(AND($D193&lt;J$5+7,$E193&gt;J$5),"■","")))</x:f>
      </x:c>
      <x:c r="K193" s="7" t="str">
        <x:f>IF(OR($D193="",K$5="",'상세일정'!AM193="제외"),"",IF($D193=$E193,IF(AND($D193&gt;=K$5,$D193&lt;K$5+7),"◆",""),IF(AND($D193&lt;K$5+7,$E193&gt;K$5),"■","")))</x:f>
      </x:c>
      <x:c r="L193" s="7" t="str">
        <x:f>IF(OR($D193="",L$5="",'상세일정'!AM193="제외"),"",IF($D193=$E193,IF(AND($D193&gt;=L$5,$D193&lt;L$5+7),"◆",""),IF(AND($D193&lt;L$5+7,$E193&gt;L$5),"■","")))</x:f>
      </x:c>
      <x:c r="M193" s="7" t="str">
        <x:f>IF(OR($D193="",M$5="",'상세일정'!AM193="제외"),"",IF($D193=$E193,IF(AND($D193&gt;=M$5,$D193&lt;M$5+7),"◆",""),IF(AND($D193&lt;M$5+7,$E193&gt;M$5),"■","")))</x:f>
      </x:c>
      <x:c r="N193" s="7" t="str">
        <x:f>IF(OR($D193="",N$5="",'상세일정'!AM193="제외"),"",IF($D193=$E193,IF(AND($D193&gt;=N$5,$D193&lt;N$5+7),"◆",""),IF(AND($D193&lt;N$5+7,$E193&gt;N$5),"■","")))</x:f>
      </x:c>
      <x:c r="O193" s="7" t="str">
        <x:f>IF(OR($D193="",O$5="",'상세일정'!AM193="제외"),"",IF($D193=$E193,IF(AND($D193&gt;=O$5,$D193&lt;O$5+7),"◆",""),IF(AND($D193&lt;O$5+7,$E193&gt;O$5),"■","")))</x:f>
      </x:c>
      <x:c r="P193" s="7" t="str">
        <x:f>IF(OR($D193="",P$5="",'상세일정'!AM193="제외"),"",IF($D193=$E193,IF(AND($D193&gt;=P$5,$D193&lt;P$5+7),"◆",""),IF(AND($D193&lt;P$5+7,$E193&gt;P$5),"■","")))</x:f>
      </x:c>
      <x:c r="Q193" s="7" t="str">
        <x:f>IF(OR($D193="",Q$5="",'상세일정'!AM193="제외"),"",IF($D193=$E193,IF(AND($D193&gt;=Q$5,$D193&lt;Q$5+7),"◆",""),IF(AND($D193&lt;Q$5+7,$E193&gt;Q$5),"■","")))</x:f>
      </x:c>
      <x:c r="R193" s="7" t="str">
        <x:f>IF(OR($D193="",R$5="",'상세일정'!AM193="제외"),"",IF($D193=$E193,IF(AND($D193&gt;=R$5,$D193&lt;R$5+7),"◆",""),IF(AND($D193&lt;R$5+7,$E193&gt;R$5),"■","")))</x:f>
      </x:c>
      <x:c r="S193" s="7" t="str">
        <x:f>IF(OR($D193="",S$5="",'상세일정'!AM193="제외"),"",IF($D193=$E193,IF(AND($D193&gt;=S$5,$D193&lt;S$5+7),"◆",""),IF(AND($D193&lt;S$5+7,$E193&gt;S$5),"■","")))</x:f>
      </x:c>
      <x:c r="T193" s="7" t="str">
        <x:f>IF(OR($D193="",T$5="",'상세일정'!AM193="제외"),"",IF($D193=$E193,IF(AND($D193&gt;=T$5,$D193&lt;T$5+7),"◆",""),IF(AND($D193&lt;T$5+7,$E193&gt;T$5),"■","")))</x:f>
      </x:c>
      <x:c r="U193" s="7" t="str">
        <x:f>IF(OR($D193="",U$5="",'상세일정'!AM193="제외"),"",IF($D193=$E193,IF(AND($D193&gt;=U$5,$D193&lt;U$5+7),"◆",""),IF(AND($D193&lt;U$5+7,$E193&gt;U$5),"■","")))</x:f>
      </x:c>
      <x:c r="V193" s="7" t="str">
        <x:f>IF(OR($D193="",V$5="",'상세일정'!AM193="제외"),"",IF($D193=$E193,IF(AND($D193&gt;=V$5,$D193&lt;V$5+7),"◆",""),IF(AND($D193&lt;V$5+7,$E193&gt;V$5),"■","")))</x:f>
      </x:c>
      <x:c r="W193" s="7" t="str">
        <x:f>IF(OR($D193="",W$5="",'상세일정'!AM193="제외"),"",IF($D193=$E193,IF(AND($D193&gt;=W$5,$D193&lt;W$5+7),"◆",""),IF(AND($D193&lt;W$5+7,$E193&gt;W$5),"■","")))</x:f>
      </x:c>
      <x:c r="X193" s="7" t="str">
        <x:f>IF(OR($D193="",X$5="",'상세일정'!AM193="제외"),"",IF($D193=$E193,IF(AND($D193&gt;=X$5,$D193&lt;X$5+7),"◆",""),IF(AND($D193&lt;X$5+7,$E193&gt;X$5),"■","")))</x:f>
      </x:c>
      <x:c r="Y193" s="7" t="str">
        <x:f>IF(OR($D193="",Y$5="",'상세일정'!AM193="제외"),"",IF($D193=$E193,IF(AND($D193&gt;=Y$5,$D193&lt;Y$5+7),"◆",""),IF(AND($D193&lt;Y$5+7,$E193&gt;Y$5),"■","")))</x:f>
      </x:c>
      <x:c r="Z193" s="7" t="str">
        <x:f>IF(OR($D193="",Z$5="",'상세일정'!AM193="제외"),"",IF($D193=$E193,IF(AND($D193&gt;=Z$5,$D193&lt;Z$5+7),"◆",""),IF(AND($D193&lt;Z$5+7,$E193&gt;Z$5),"■","")))</x:f>
      </x:c>
      <x:c r="AA193" s="7" t="str">
        <x:f>IF(OR($D193="",AA$5="",'상세일정'!AM193="제외"),"",IF($D193=$E193,IF(AND($D193&gt;=AA$5,$D193&lt;AA$5+7),"◆",""),IF(AND($D193&lt;AA$5+7,$E193&gt;AA$5),"■","")))</x:f>
      </x:c>
      <x:c r="AB193" s="7" t="str">
        <x:f>IF(OR($D193="",AB$5="",'상세일정'!AM193="제외"),"",IF($D193=$E193,IF(AND($D193&gt;=AB$5,$D193&lt;AB$5+7),"◆",""),IF(AND($D193&lt;AB$5+7,$E193&gt;AB$5),"■","")))</x:f>
      </x:c>
      <x:c r="AC193" s="7" t="str">
        <x:f>IF(OR($D193="",AC$5="",'상세일정'!AM193="제외"),"",IF($D193=$E193,IF(AND($D193&gt;=AC$5,$D193&lt;AC$5+7),"◆",""),IF(AND($D193&lt;AC$5+7,$E193&gt;AC$5),"■","")))</x:f>
      </x:c>
      <x:c r="AD193" s="7" t="str">
        <x:f>IF(OR($D193="",AD$5="",'상세일정'!AM193="제외"),"",IF($D193=$E193,IF(AND($D193&gt;=AD$5,$D193&lt;AD$5+7),"◆",""),IF(AND($D193&lt;AD$5+7,$E193&gt;AD$5),"■","")))</x:f>
      </x:c>
      <x:c r="AE193" s="7" t="str">
        <x:f>IF(OR($D193="",AE$5="",'상세일정'!AM193="제외"),"",IF($D193=$E193,IF(AND($D193&gt;=AE$5,$D193&lt;AE$5+7),"◆",""),IF(AND($D193&lt;AE$5+7,$E193&gt;AE$5),"■","")))</x:f>
      </x:c>
      <x:c r="AF193" s="7" t="str">
        <x:f>IF(OR($D193="",AF$5="",'상세일정'!AM193="제외"),"",IF($D193=$E193,IF(AND($D193&gt;=AF$5,$D193&lt;AF$5+7),"◆",""),IF(AND($D193&lt;AF$5+7,$E193&gt;AF$5),"■","")))</x:f>
      </x:c>
      <x:c r="AG193" s="7" t="str">
        <x:f>IF(OR($D193="",AG$5="",'상세일정'!AM193="제외"),"",IF($D193=$E193,IF(AND($D193&gt;=AG$5,$D193&lt;AG$5+7),"◆",""),IF(AND($D193&lt;AG$5+7,$E193&gt;AG$5),"■","")))</x:f>
      </x:c>
      <x:c r="AH193" s="7" t="str">
        <x:f>IF(OR($D193="",AH$5="",'상세일정'!AM193="제외"),"",IF($D193=$E193,IF(AND($D193&gt;=AH$5,$D193&lt;AH$5+7),"◆",""),IF(AND($D193&lt;AH$5+7,$E193&gt;AH$5),"■","")))</x:f>
      </x:c>
      <x:c r="AI193" s="7" t="str">
        <x:f>IF(OR($D193="",AI$5="",'상세일정'!AM193="제외"),"",IF($D193=$E193,IF(AND($D193&gt;=AI$5,$D193&lt;AI$5+7),"◆",""),IF(AND($D193&lt;AI$5+7,$E193&gt;AI$5),"■","")))</x:f>
      </x:c>
      <x:c r="AJ193" s="7" t="str">
        <x:f>IF(OR($D193="",AJ$5="",'상세일정'!AM193="제외"),"",IF($D193=$E193,IF(AND($D193&gt;=AJ$5,$D193&lt;AJ$5+7),"◆",""),IF(AND($D193&lt;AJ$5+7,$E193&gt;AJ$5),"■","")))</x:f>
      </x:c>
      <x:c r="AK193" s="7" t="str">
        <x:f>IF(OR($D193="",AK$5="",'상세일정'!AM193="제외"),"",IF($D193=$E193,IF(AND($D193&gt;=AK$5,$D193&lt;AK$5+7),"◆",""),IF(AND($D193&lt;AK$5+7,$E193&gt;AK$5),"■","")))</x:f>
      </x:c>
      <x:c r="AL193" s="7" t="str">
        <x:f>IF(OR($D193="",AL$5="",'상세일정'!AM193="제외"),"",IF($D193=$E193,IF(AND($D193&gt;=AL$5,$D193&lt;AL$5+7),"◆",""),IF(AND($D193&lt;AL$5+7,$E193&gt;AL$5),"■","")))</x:f>
      </x:c>
      <x:c r="AM193" s="7" t="str">
        <x:f>IF(OR($D193="",AM$5="",'상세일정'!AM193="제외"),"",IF($D193=$E193,IF(AND($D193&gt;=AM$5,$D193&lt;AM$5+7),"◆",""),IF(AND($D193&lt;AM$5+7,$E193&gt;AM$5),"■","")))</x:f>
      </x:c>
      <x:c r="AN193" s="7" t="str">
        <x:f>IF(OR($D193="",AN$5="",'상세일정'!AM193="제외"),"",IF($D193=$E193,IF(AND($D193&gt;=AN$5,$D193&lt;AN$5+7),"◆",""),IF(AND($D193&lt;AN$5+7,$E193&gt;AN$5),"■","")))</x:f>
      </x:c>
      <x:c r="AO193" s="7" t="str">
        <x:f>IF(OR($D193="",AO$5="",'상세일정'!AM193="제외"),"",IF($D193=$E193,IF(AND($D193&gt;=AO$5,$D193&lt;AO$5+7),"◆",""),IF(AND($D193&lt;AO$5+7,$E193&gt;AO$5),"■","")))</x:f>
      </x:c>
      <x:c r="AP193" s="7" t="str">
        <x:f>IF(OR($D193="",AP$5="",'상세일정'!AM193="제외"),"",IF($D193=$E193,IF(AND($D193&gt;=AP$5,$D193&lt;AP$5+7),"◆",""),IF(AND($D193&lt;AP$5+7,$E193&gt;AP$5),"■","")))</x:f>
      </x:c>
      <x:c r="AQ193" s="7" t="str">
        <x:f>IF(OR($D193="",AQ$5="",'상세일정'!AM193="제외"),"",IF($D193=$E193,IF(AND($D193&gt;=AQ$5,$D193&lt;AQ$5+7),"◆",""),IF(AND($D193&lt;AQ$5+7,$E193&gt;AQ$5),"■","")))</x:f>
      </x:c>
      <x:c r="AR193" s="7" t="str">
        <x:f>IF(OR($D193="",AR$5="",'상세일정'!AM193="제외"),"",IF($D193=$E193,IF(AND($D193&gt;=AR$5,$D193&lt;AR$5+7),"◆",""),IF(AND($D193&lt;AR$5+7,$E193&gt;AR$5),"■","")))</x:f>
      </x:c>
      <x:c r="AS193" s="7" t="str">
        <x:f>IF(OR($D193="",AS$5="",'상세일정'!AM193="제외"),"",IF($D193=$E193,IF(AND($D193&gt;=AS$5,$D193&lt;AS$5+7),"◆",""),IF(AND($D193&lt;AS$5+7,$E193&gt;AS$5),"■","")))</x:f>
      </x:c>
      <x:c r="AT193" s="7" t="str">
        <x:f>IF(OR($D193="",AT$5="",'상세일정'!AM193="제외"),"",IF($D193=$E193,IF(AND($D193&gt;=AT$5,$D193&lt;AT$5+7),"◆",""),IF(AND($D193&lt;AT$5+7,$E193&gt;AT$5),"■","")))</x:f>
      </x:c>
      <x:c r="AU193" s="7" t="str">
        <x:f>IF(OR($D193="",AU$5="",'상세일정'!AM193="제외"),"",IF($D193=$E193,IF(AND($D193&gt;=AU$5,$D193&lt;AU$5+7),"◆",""),IF(AND($D193&lt;AU$5+7,$E193&gt;AU$5),"■","")))</x:f>
      </x:c>
      <x:c r="AV193" s="7" t="str">
        <x:f>IF(OR($D193="",AV$5="",'상세일정'!AM193="제외"),"",IF($D193=$E193,IF(AND($D193&gt;=AV$5,$D193&lt;AV$5+7),"◆",""),IF(AND($D193&lt;AV$5+7,$E193&gt;AV$5),"■","")))</x:f>
      </x:c>
      <x:c r="AW193" s="7" t="str">
        <x:f>IF(OR($D193="",AW$5="",'상세일정'!AM193="제외"),"",IF($D193=$E193,IF(AND($D193&gt;=AW$5,$D193&lt;AW$5+7),"◆",""),IF(AND($D193&lt;AW$5+7,$E193&gt;AW$5),"■","")))</x:f>
      </x:c>
      <x:c r="AX193" s="7" t="str">
        <x:f>IF(OR($D193="",AX$5="",'상세일정'!AM193="제외"),"",IF($D193=$E193,IF(AND($D193&gt;=AX$5,$D193&lt;AX$5+7),"◆",""),IF(AND($D193&lt;AX$5+7,$E193&gt;AX$5),"■","")))</x:f>
      </x:c>
      <x:c r="AY193" s="7" t="str">
        <x:f>IF(OR($D193="",AY$5="",'상세일정'!AM193="제외"),"",IF($D193=$E193,IF(AND($D193&gt;=AY$5,$D193&lt;AY$5+7),"◆",""),IF(AND($D193&lt;AY$5+7,$E193&gt;AY$5),"■","")))</x:f>
      </x:c>
      <x:c r="AZ193" s="7" t="str">
        <x:f>IF(OR($D193="",AZ$5="",'상세일정'!AM193="제외"),"",IF($D193=$E193,IF(AND($D193&gt;=AZ$5,$D193&lt;AZ$5+7),"◆",""),IF(AND($D193&lt;AZ$5+7,$E193&gt;AZ$5),"■","")))</x:f>
      </x:c>
      <x:c r="BA193" s="7" t="str">
        <x:f>IF(OR($D193="",BA$5="",'상세일정'!AM193="제외"),"",IF($D193=$E193,IF(AND($D193&gt;=BA$5,$D193&lt;BA$5+7),"◆",""),IF(AND($D193&lt;BA$5+7,$E193&gt;BA$5),"■","")))</x:f>
      </x:c>
      <x:c r="BB193" s="7" t="str">
        <x:f>IF(OR($D193="",BB$5="",'상세일정'!AM193="제외"),"",IF($D193=$E193,IF(AND($D193&gt;=BB$5,$D193&lt;BB$5+7),"◆",""),IF(AND($D193&lt;BB$5+7,$E193&gt;BB$5),"■","")))</x:f>
      </x:c>
      <x:c r="BC193" s="7" t="str">
        <x:f>IF(OR($D193="",BC$5="",'상세일정'!AM193="제외"),"",IF($D193=$E193,IF(AND($D193&gt;=BC$5,$D193&lt;BC$5+7),"◆",""),IF(AND($D193&lt;BC$5+7,$E193&gt;BC$5),"■","")))</x:f>
      </x:c>
      <x:c r="BD193" s="7" t="str">
        <x:f>IF(OR($D193="",BD$5="",'상세일정'!AM193="제외"),"",IF($D193=$E193,IF(AND($D193&gt;=BD$5,$D193&lt;BD$5+7),"◆",""),IF(AND($D193&lt;BD$5+7,$E193&gt;BD$5),"■","")))</x:f>
      </x:c>
      <x:c r="BE193" s="7" t="str">
        <x:f>IF(OR($D193="",BE$5="",'상세일정'!AM193="제외"),"",IF($D193=$E193,IF(AND($D193&gt;=BE$5,$D193&lt;BE$5+7),"◆",""),IF(AND($D193&lt;BE$5+7,$E193&gt;BE$5),"■","")))</x:f>
      </x:c>
      <x:c r="BF193" s="7" t="str">
        <x:f>IF(OR($D193="",BF$5="",'상세일정'!AM193="제외"),"",IF($D193=$E193,IF(AND($D193&gt;=BF$5,$D193&lt;BF$5+7),"◆",""),IF(AND($D193&lt;BF$5+7,$E193&gt;BF$5),"■","")))</x:f>
      </x:c>
      <x:c r="BG193" s="7" t="str">
        <x:f>IF(OR($D193="",BG$5="",'상세일정'!AM193="제외"),"",IF($D193=$E193,IF(AND($D193&gt;=BG$5,$D193&lt;BG$5+7),"◆",""),IF(AND($D193&lt;BG$5+7,$E193&gt;BG$5),"■","")))</x:f>
      </x:c>
      <x:c r="BH193" s="7" t="str">
        <x:f>IF(OR($D193="",BH$5="",'상세일정'!AM193="제외"),"",IF($D193=$E193,IF(AND($D193&gt;=BH$5,$D193&lt;BH$5+7),"◆",""),IF(AND($D193&lt;BH$5+7,$E193&gt;BH$5),"■","")))</x:f>
      </x:c>
      <x:c r="BI193" s="7" t="str">
        <x:f>IF(OR($D193="",BI$5="",'상세일정'!AM193="제외"),"",IF($D193=$E193,IF(AND($D193&gt;=BI$5,$D193&lt;BI$5+7),"◆",""),IF(AND($D193&lt;BI$5+7,$E193&gt;BI$5),"■","")))</x:f>
      </x:c>
      <x:c r="BJ193" s="7" t="str">
        <x:f>IF(OR($D193="",BJ$5="",'상세일정'!AM193="제외"),"",IF($D193=$E193,IF(AND($D193&gt;=BJ$5,$D193&lt;BJ$5+7),"◆",""),IF(AND($D193&lt;BJ$5+7,$E193&gt;BJ$5),"■","")))</x:f>
      </x:c>
      <x:c r="BK193" s="7" t="str">
        <x:f>IF(OR($D193="",BK$5="",'상세일정'!AM193="제외"),"",IF($D193=$E193,IF(AND($D193&gt;=BK$5,$D193&lt;BK$5+7),"◆",""),IF(AND($D193&lt;BK$5+7,$E193&gt;BK$5),"■","")))</x:f>
      </x:c>
      <x:c r="BL193" s="7" t="str">
        <x:f>IF(OR($D193="",BL$5="",'상세일정'!AM193="제외"),"",IF($D193=$E193,IF(AND($D193&gt;=BL$5,$D193&lt;BL$5+7),"◆",""),IF(AND($D193&lt;BL$5+7,$E193&gt;BL$5),"■","")))</x:f>
      </x:c>
      <x:c r="BM193" s="7" t="str">
        <x:f>IF(OR($D193="",BM$5="",'상세일정'!AM193="제외"),"",IF($D193=$E193,IF(AND($D193&gt;=BM$5,$D193&lt;BM$5+7),"◆",""),IF(AND($D193&lt;BM$5+7,$E193&gt;BM$5),"■","")))</x:f>
      </x:c>
      <x:c r="BN193" s="7" t="str">
        <x:f>IF(OR($D193="",BN$5="",'상세일정'!AM193="제외"),"",IF($D193=$E193,IF(AND($D193&gt;=BN$5,$D193&lt;BN$5+7),"◆",""),IF(AND($D193&lt;BN$5+7,$E193&gt;BN$5),"■","")))</x:f>
      </x:c>
      <x:c r="BO193" s="7" t="str">
        <x:f>IF(OR($D193="",BO$5="",'상세일정'!AM193="제외"),"",IF($D193=$E193,IF(AND($D193&gt;=BO$5,$D193&lt;BO$5+7),"◆",""),IF(AND($D193&lt;BO$5+7,$E193&gt;BO$5),"■","")))</x:f>
      </x:c>
      <x:c r="BP193" s="7" t="str">
        <x:f>IF(OR($D193="",BP$5="",'상세일정'!AM193="제외"),"",IF($D193=$E193,IF(AND($D193&gt;=BP$5,$D193&lt;BP$5+7),"◆",""),IF(AND($D193&lt;BP$5+7,$E193&gt;BP$5),"■","")))</x:f>
      </x:c>
      <x:c r="BQ193" s="7" t="str">
        <x:f>IF(OR($D193="",BQ$5="",'상세일정'!AM193="제외"),"",IF($D193=$E193,IF(AND($D193&gt;=BQ$5,$D193&lt;BQ$5+7),"◆",""),IF(AND($D193&lt;BQ$5+7,$E193&gt;BQ$5),"■","")))</x:f>
      </x:c>
      <x:c r="BR193" s="7" t="str">
        <x:f>IF(OR($D193="",BR$5="",'상세일정'!AM193="제외"),"",IF($D193=$E193,IF(AND($D193&gt;=BR$5,$D193&lt;BR$5+7),"◆",""),IF(AND($D193&lt;BR$5+7,$E193&gt;BR$5),"■","")))</x:f>
      </x:c>
      <x:c r="BS193" s="7" t="str">
        <x:f>IF(OR($D193="",BS$5="",'상세일정'!AM193="제외"),"",IF($D193=$E193,IF(AND($D193&gt;=BS$5,$D193&lt;BS$5+7),"◆",""),IF(AND($D193&lt;BS$5+7,$E193&gt;BS$5),"■","")))</x:f>
      </x:c>
      <x:c r="BT193" s="7" t="str">
        <x:f>IF(OR($D193="",BT$5="",'상세일정'!AM193="제외"),"",IF($D193=$E193,IF(AND($D193&gt;=BT$5,$D193&lt;BT$5+7),"◆",""),IF(AND($D193&lt;BT$5+7,$E193&gt;BT$5),"■","")))</x:f>
      </x:c>
      <x:c r="BU193" s="7" t="str">
        <x:f>IF(OR($D193="",BU$5="",'상세일정'!AM193="제외"),"",IF($D193=$E193,IF(AND($D193&gt;=BU$5,$D193&lt;BU$5+7),"◆",""),IF(AND($D193&lt;BU$5+7,$E193&gt;BU$5),"■","")))</x:f>
      </x:c>
      <x:c r="BV193" s="7" t="str">
        <x:f>IF(OR($D193="",BV$5="",'상세일정'!AM193="제외"),"",IF($D193=$E193,IF(AND($D193&gt;=BV$5,$D193&lt;BV$5+7),"◆",""),IF(AND($D193&lt;BV$5+7,$E193&gt;BV$5),"■","")))</x:f>
      </x:c>
      <x:c r="BW193" s="7" t="str">
        <x:f>IF(OR($D193="",BW$5="",'상세일정'!AM193="제외"),"",IF($D193=$E193,IF(AND($D193&gt;=BW$5,$D193&lt;BW$5+7),"◆",""),IF(AND($D193&lt;BW$5+7,$E193&gt;BW$5),"■","")))</x:f>
      </x:c>
      <x:c r="BX193" s="7" t="str">
        <x:f>IF(OR($D193="",BX$5="",'상세일정'!AM193="제외"),"",IF($D193=$E193,IF(AND($D193&gt;=BX$5,$D193&lt;BX$5+7),"◆",""),IF(AND($D193&lt;BX$5+7,$E193&gt;BX$5),"■","")))</x:f>
      </x:c>
      <x:c r="BY193" s="7" t="str">
        <x:f>IF(OR($D193="",BY$5="",'상세일정'!AM193="제외"),"",IF($D193=$E193,IF(AND($D193&gt;=BY$5,$D193&lt;BY$5+7),"◆",""),IF(AND($D193&lt;BY$5+7,$E193&gt;BY$5),"■","")))</x:f>
      </x:c>
      <x:c r="BZ193" s="7" t="str">
        <x:f>IF(OR($D193="",BZ$5="",'상세일정'!AM193="제외"),"",IF($D193=$E193,IF(AND($D193&gt;=BZ$5,$D193&lt;BZ$5+7),"◆",""),IF(AND($D193&lt;BZ$5+7,$E193&gt;BZ$5),"■","")))</x:f>
      </x:c>
      <x:c r="CA193" s="7" t="str">
        <x:f>IF(OR($D193="",CA$5="",'상세일정'!AM193="제외"),"",IF($D193=$E193,IF(AND($D193&gt;=CA$5,$D193&lt;CA$5+7),"◆",""),IF(AND($D193&lt;CA$5+7,$E193&gt;CA$5),"■","")))</x:f>
      </x:c>
      <x:c r="CB193" s="7" t="str">
        <x:f>IF(OR($D193="",CB$5="",'상세일정'!AM193="제외"),"",IF($D193=$E193,IF(AND($D193&gt;=CB$5,$D193&lt;CB$5+7),"◆",""),IF(AND($D193&lt;CB$5+7,$E193&gt;CB$5),"■","")))</x:f>
      </x:c>
      <x:c r="CC193" s="7" t="str">
        <x:f>IF(OR($D193="",CC$5="",'상세일정'!AM193="제외"),"",IF($D193=$E193,IF(AND($D193&gt;=CC$5,$D193&lt;CC$5+7),"◆",""),IF(AND($D193&lt;CC$5+7,$E193&gt;CC$5),"■","")))</x:f>
      </x:c>
      <x:c r="CD193" s="7" t="str">
        <x:f>IF(OR($D193="",CD$5="",'상세일정'!AM193="제외"),"",IF($D193=$E193,IF(AND($D193&gt;=CD$5,$D193&lt;CD$5+7),"◆",""),IF(AND($D193&lt;CD$5+7,$E193&gt;CD$5),"■","")))</x:f>
      </x:c>
      <x:c r="CE193" s="7" t="str">
        <x:f>IF(OR($D193="",CE$5="",'상세일정'!AM193="제외"),"",IF($D193=$E193,IF(AND($D193&gt;=CE$5,$D193&lt;CE$5+7),"◆",""),IF(AND($D193&lt;CE$5+7,$E193&gt;CE$5),"■","")))</x:f>
      </x:c>
      <x:c r="CF193" s="7" t="str">
        <x:f>IF(OR($D193="",CF$5="",'상세일정'!AM193="제외"),"",IF($D193=$E193,IF(AND($D193&gt;=CF$5,$D193&lt;CF$5+7),"◆",""),IF(AND($D193&lt;CF$5+7,$E193&gt;CF$5),"■","")))</x:f>
      </x:c>
      <x:c r="CG193" s="7" t="str">
        <x:f>IF(OR($D193="",CG$5="",'상세일정'!AM193="제외"),"",IF($D193=$E193,IF(AND($D193&gt;=CG$5,$D193&lt;CG$5+7),"◆",""),IF(AND($D193&lt;CG$5+7,$E193&gt;CG$5),"■","")))</x:f>
      </x:c>
      <x:c r="CH193" s="7" t="str">
        <x:f>IF(OR($D193="",CH$5="",'상세일정'!AM193="제외"),"",IF($D193=$E193,IF(AND($D193&gt;=CH$5,$D193&lt;CH$5+7),"◆",""),IF(AND($D193&lt;CH$5+7,$E193&gt;CH$5),"■","")))</x:f>
      </x:c>
      <x:c r="CI193" s="7" t="str">
        <x:f>IF(OR($D193="",CI$5="",'상세일정'!AM193="제외"),"",IF($D193=$E193,IF(AND($D193&gt;=CI$5,$D193&lt;CI$5+7),"◆",""),IF(AND($D193&lt;CI$5+7,$E193&gt;CI$5),"■","")))</x:f>
      </x:c>
      <x:c r="CJ193" s="7" t="str">
        <x:f>IF(OR($D193="",CJ$5="",'상세일정'!AM193="제외"),"",IF($D193=$E193,IF(AND($D193&gt;=CJ$5,$D193&lt;CJ$5+7),"◆",""),IF(AND($D193&lt;CJ$5+7,$E193&gt;CJ$5),"■","")))</x:f>
      </x:c>
      <x:c r="CK193" s="7" t="str">
        <x:f>IF(OR($D193="",CK$5="",'상세일정'!AM193="제외"),"",IF($D193=$E193,IF(AND($D193&gt;=CK$5,$D193&lt;CK$5+7),"◆",""),IF(AND($D193&lt;CK$5+7,$E193&gt;CK$5),"■","")))</x:f>
      </x:c>
      <x:c r="CL193" s="7" t="str">
        <x:f>IF(OR($D193="",CL$5="",'상세일정'!AM193="제외"),"",IF($D193=$E193,IF(AND($D193&gt;=CL$5,$D193&lt;CL$5+7),"◆",""),IF(AND($D193&lt;CL$5+7,$E193&gt;CL$5),"■","")))</x:f>
      </x:c>
      <x:c r="CM193" s="7" t="str">
        <x:f>IF(OR($D193="",CM$5="",'상세일정'!AM193="제외"),"",IF($D193=$E193,IF(AND($D193&gt;=CM$5,$D193&lt;CM$5+7),"◆",""),IF(AND($D193&lt;CM$5+7,$E193&gt;CM$5),"■","")))</x:f>
      </x:c>
      <x:c r="CN193" s="7" t="str">
        <x:f>IF(OR($D193="",CN$5="",'상세일정'!AM193="제외"),"",IF($D193=$E193,IF(AND($D193&gt;=CN$5,$D193&lt;CN$5+7),"◆",""),IF(AND($D193&lt;CN$5+7,$E193&gt;CN$5),"■","")))</x:f>
      </x:c>
      <x:c r="CO193" s="7" t="str">
        <x:f>IF(OR($D193="",CO$5="",'상세일정'!AM193="제외"),"",IF($D193=$E193,IF(AND($D193&gt;=CO$5,$D193&lt;CO$5+7),"◆",""),IF(AND($D193&lt;CO$5+7,$E193&gt;CO$5),"■","")))</x:f>
      </x:c>
      <x:c r="CP193" s="7" t="str">
        <x:f>IF(OR($D193="",CP$5="",'상세일정'!AM193="제외"),"",IF($D193=$E193,IF(AND($D193&gt;=CP$5,$D193&lt;CP$5+7),"◆",""),IF(AND($D193&lt;CP$5+7,$E193&gt;CP$5),"■","")))</x:f>
      </x:c>
      <x:c r="CQ193" s="7" t="str">
        <x:f>IF(OR($D193="",CQ$5="",'상세일정'!AM193="제외"),"",IF($D193=$E193,IF(AND($D193&gt;=CQ$5,$D193&lt;CQ$5+7),"◆",""),IF(AND($D193&lt;CQ$5+7,$E193&gt;CQ$5),"■","")))</x:f>
      </x:c>
      <x:c r="CR193" s="7" t="str">
        <x:f>IF(OR($D193="",CR$5="",'상세일정'!AM193="제외"),"",IF($D193=$E193,IF(AND($D193&gt;=CR$5,$D193&lt;CR$5+7),"◆",""),IF(AND($D193&lt;CR$5+7,$E193&gt;CR$5),"■","")))</x:f>
      </x:c>
      <x:c r="CS193" s="7" t="str">
        <x:f>IF(OR($D193="",CS$5="",'상세일정'!AM193="제외"),"",IF($D193=$E193,IF(AND($D193&gt;=CS$5,$D193&lt;CS$5+7),"◆",""),IF(AND($D193&lt;CS$5+7,$E193&gt;CS$5),"■","")))</x:f>
      </x:c>
      <x:c r="CT193" s="7" t="str">
        <x:f>IF(OR($D193="",CT$5="",'상세일정'!AM193="제외"),"",IF($D193=$E193,IF(AND($D193&gt;=CT$5,$D193&lt;CT$5+7),"◆",""),IF(AND($D193&lt;CT$5+7,$E193&gt;CT$5),"■","")))</x:f>
      </x:c>
      <x:c r="CU193" s="7" t="str">
        <x:f>IF(OR($D193="",CU$5="",'상세일정'!AM193="제외"),"",IF($D193=$E193,IF(AND($D193&gt;=CU$5,$D193&lt;CU$5+7),"◆",""),IF(AND($D193&lt;CU$5+7,$E193&gt;CU$5),"■","")))</x:f>
      </x:c>
      <x:c r="CV193" s="7" t="str">
        <x:f>IF(OR($D193="",CV$5="",'상세일정'!AM193="제외"),"",IF($D193=$E193,IF(AND($D193&gt;=CV$5,$D193&lt;CV$5+7),"◆",""),IF(AND($D193&lt;CV$5+7,$E193&gt;CV$5),"■","")))</x:f>
      </x:c>
      <x:c r="CW193" s="7" t="str">
        <x:f>IF(OR($D193="",CW$5="",'상세일정'!AM193="제외"),"",IF($D193=$E193,IF(AND($D193&gt;=CW$5,$D193&lt;CW$5+7),"◆",""),IF(AND($D193&lt;CW$5+7,$E193&gt;CW$5),"■","")))</x:f>
      </x:c>
      <x:c r="CX193" s="7" t="str">
        <x:f>IF(OR($D193="",CX$5="",'상세일정'!AM193="제외"),"",IF($D193=$E193,IF(AND($D193&gt;=CX$5,$D193&lt;CX$5+7),"◆",""),IF(AND($D193&lt;CX$5+7,$E193&gt;CX$5),"■","")))</x:f>
      </x:c>
      <x:c r="CY193" s="7" t="str">
        <x:f>IF(OR($D193="",CY$5="",'상세일정'!AM193="제외"),"",IF($D193=$E193,IF(AND($D193&gt;=CY$5,$D193&lt;CY$5+7),"◆",""),IF(AND($D193&lt;CY$5+7,$E193&gt;CY$5),"■","")))</x:f>
      </x:c>
      <x:c r="CZ193" s="7" t="str">
        <x:f>IF(OR($D193="",CZ$5="",'상세일정'!AM193="제외"),"",IF($D193=$E193,IF(AND($D193&gt;=CZ$5,$D193&lt;CZ$5+7),"◆",""),IF(AND($D193&lt;CZ$5+7,$E193&gt;CZ$5),"■","")))</x:f>
      </x:c>
      <x:c r="DA193" s="7" t="str">
        <x:f>IF(OR($D193="",DA$5="",'상세일정'!AM193="제외"),"",IF($D193=$E193,IF(AND($D193&gt;=DA$5,$D193&lt;DA$5+7),"◆",""),IF(AND($D193&lt;DA$5+7,$E193&gt;DA$5),"■","")))</x:f>
      </x:c>
      <x:c r="DB193" s="7" t="str">
        <x:f>IF(OR($D193="",DB$5="",'상세일정'!AM193="제외"),"",IF($D193=$E193,IF(AND($D193&gt;=DB$5,$D193&lt;DB$5+7),"◆",""),IF(AND($D193&lt;DB$5+7,$E193&gt;DB$5),"■","")))</x:f>
      </x:c>
      <x:c r="DC193" s="7" t="str">
        <x:f>IF(OR($D193="",DC$5="",'상세일정'!AM193="제외"),"",IF($D193=$E193,IF(AND($D193&gt;=DC$5,$D193&lt;DC$5+7),"◆",""),IF(AND($D193&lt;DC$5+7,$E193&gt;DC$5),"■","")))</x:f>
      </x:c>
      <x:c r="DD193" s="7" t="str">
        <x:f>IF(OR($D193="",DD$5="",'상세일정'!AM193="제외"),"",IF($D193=$E193,IF(AND($D193&gt;=DD$5,$D193&lt;DD$5+7),"◆",""),IF(AND($D193&lt;DD$5+7,$E193&gt;DD$5),"■","")))</x:f>
      </x:c>
      <x:c r="DE193" s="7" t="str">
        <x:f>IF(OR($D193="",DE$5="",'상세일정'!AM193="제외"),"",IF($D193=$E193,IF(AND($D193&gt;=DE$5,$D193&lt;DE$5+7),"◆",""),IF(AND($D193&lt;DE$5+7,$E193&gt;DE$5),"■","")))</x:f>
      </x:c>
    </x:row>
    <x:row r="194" ht="34" customHeight="1">
      <x:c r="A194" s="7" t="str">
        <x:v>MP01</x:v>
      </x:c>
      <x:c r="B194" s="7" t="str">
        <x:v>22 배관 시공</x:v>
      </x:c>
      <x:c r="C194" s="7" t="str">
        <x:v>시공용 ISO·자재·용접절차·검사계획 확인</x:v>
      </x:c>
      <x:c r="D194" s="10" t="str">
        <x:f>'상세일정'!AJ194</x:f>
      </x:c>
      <x:c r="E194" s="10" t="str">
        <x:f>'상세일정'!AK194</x:f>
      </x:c>
      <x:c r="F194" s="7" t="str">
        <x:f>IF(OR($D194="",F$5="",'상세일정'!AM194="제외"),"",IF($D194=$E194,IF(AND($D194&gt;=F$5,$D194&lt;F$5+7),"◆",""),IF(AND($D194&lt;F$5+7,$E194&gt;F$5),"■","")))</x:f>
      </x:c>
      <x:c r="G194" s="7" t="str">
        <x:f>IF(OR($D194="",G$5="",'상세일정'!AM194="제외"),"",IF($D194=$E194,IF(AND($D194&gt;=G$5,$D194&lt;G$5+7),"◆",""),IF(AND($D194&lt;G$5+7,$E194&gt;G$5),"■","")))</x:f>
      </x:c>
      <x:c r="H194" s="7" t="str">
        <x:f>IF(OR($D194="",H$5="",'상세일정'!AM194="제외"),"",IF($D194=$E194,IF(AND($D194&gt;=H$5,$D194&lt;H$5+7),"◆",""),IF(AND($D194&lt;H$5+7,$E194&gt;H$5),"■","")))</x:f>
      </x:c>
      <x:c r="I194" s="7" t="str">
        <x:f>IF(OR($D194="",I$5="",'상세일정'!AM194="제외"),"",IF($D194=$E194,IF(AND($D194&gt;=I$5,$D194&lt;I$5+7),"◆",""),IF(AND($D194&lt;I$5+7,$E194&gt;I$5),"■","")))</x:f>
      </x:c>
      <x:c r="J194" s="7" t="str">
        <x:f>IF(OR($D194="",J$5="",'상세일정'!AM194="제외"),"",IF($D194=$E194,IF(AND($D194&gt;=J$5,$D194&lt;J$5+7),"◆",""),IF(AND($D194&lt;J$5+7,$E194&gt;J$5),"■","")))</x:f>
      </x:c>
      <x:c r="K194" s="7" t="str">
        <x:f>IF(OR($D194="",K$5="",'상세일정'!AM194="제외"),"",IF($D194=$E194,IF(AND($D194&gt;=K$5,$D194&lt;K$5+7),"◆",""),IF(AND($D194&lt;K$5+7,$E194&gt;K$5),"■","")))</x:f>
      </x:c>
      <x:c r="L194" s="7" t="str">
        <x:f>IF(OR($D194="",L$5="",'상세일정'!AM194="제외"),"",IF($D194=$E194,IF(AND($D194&gt;=L$5,$D194&lt;L$5+7),"◆",""),IF(AND($D194&lt;L$5+7,$E194&gt;L$5),"■","")))</x:f>
      </x:c>
      <x:c r="M194" s="7" t="str">
        <x:f>IF(OR($D194="",M$5="",'상세일정'!AM194="제외"),"",IF($D194=$E194,IF(AND($D194&gt;=M$5,$D194&lt;M$5+7),"◆",""),IF(AND($D194&lt;M$5+7,$E194&gt;M$5),"■","")))</x:f>
      </x:c>
      <x:c r="N194" s="7" t="str">
        <x:f>IF(OR($D194="",N$5="",'상세일정'!AM194="제외"),"",IF($D194=$E194,IF(AND($D194&gt;=N$5,$D194&lt;N$5+7),"◆",""),IF(AND($D194&lt;N$5+7,$E194&gt;N$5),"■","")))</x:f>
      </x:c>
      <x:c r="O194" s="7" t="str">
        <x:f>IF(OR($D194="",O$5="",'상세일정'!AM194="제외"),"",IF($D194=$E194,IF(AND($D194&gt;=O$5,$D194&lt;O$5+7),"◆",""),IF(AND($D194&lt;O$5+7,$E194&gt;O$5),"■","")))</x:f>
      </x:c>
      <x:c r="P194" s="7" t="str">
        <x:f>IF(OR($D194="",P$5="",'상세일정'!AM194="제외"),"",IF($D194=$E194,IF(AND($D194&gt;=P$5,$D194&lt;P$5+7),"◆",""),IF(AND($D194&lt;P$5+7,$E194&gt;P$5),"■","")))</x:f>
      </x:c>
      <x:c r="Q194" s="7" t="str">
        <x:f>IF(OR($D194="",Q$5="",'상세일정'!AM194="제외"),"",IF($D194=$E194,IF(AND($D194&gt;=Q$5,$D194&lt;Q$5+7),"◆",""),IF(AND($D194&lt;Q$5+7,$E194&gt;Q$5),"■","")))</x:f>
      </x:c>
      <x:c r="R194" s="7" t="str">
        <x:f>IF(OR($D194="",R$5="",'상세일정'!AM194="제외"),"",IF($D194=$E194,IF(AND($D194&gt;=R$5,$D194&lt;R$5+7),"◆",""),IF(AND($D194&lt;R$5+7,$E194&gt;R$5),"■","")))</x:f>
      </x:c>
      <x:c r="S194" s="7" t="str">
        <x:f>IF(OR($D194="",S$5="",'상세일정'!AM194="제외"),"",IF($D194=$E194,IF(AND($D194&gt;=S$5,$D194&lt;S$5+7),"◆",""),IF(AND($D194&lt;S$5+7,$E194&gt;S$5),"■","")))</x:f>
      </x:c>
      <x:c r="T194" s="7" t="str">
        <x:f>IF(OR($D194="",T$5="",'상세일정'!AM194="제외"),"",IF($D194=$E194,IF(AND($D194&gt;=T$5,$D194&lt;T$5+7),"◆",""),IF(AND($D194&lt;T$5+7,$E194&gt;T$5),"■","")))</x:f>
      </x:c>
      <x:c r="U194" s="7" t="str">
        <x:f>IF(OR($D194="",U$5="",'상세일정'!AM194="제외"),"",IF($D194=$E194,IF(AND($D194&gt;=U$5,$D194&lt;U$5+7),"◆",""),IF(AND($D194&lt;U$5+7,$E194&gt;U$5),"■","")))</x:f>
      </x:c>
      <x:c r="V194" s="7" t="str">
        <x:f>IF(OR($D194="",V$5="",'상세일정'!AM194="제외"),"",IF($D194=$E194,IF(AND($D194&gt;=V$5,$D194&lt;V$5+7),"◆",""),IF(AND($D194&lt;V$5+7,$E194&gt;V$5),"■","")))</x:f>
      </x:c>
      <x:c r="W194" s="7" t="str">
        <x:f>IF(OR($D194="",W$5="",'상세일정'!AM194="제외"),"",IF($D194=$E194,IF(AND($D194&gt;=W$5,$D194&lt;W$5+7),"◆",""),IF(AND($D194&lt;W$5+7,$E194&gt;W$5),"■","")))</x:f>
      </x:c>
      <x:c r="X194" s="7" t="str">
        <x:f>IF(OR($D194="",X$5="",'상세일정'!AM194="제외"),"",IF($D194=$E194,IF(AND($D194&gt;=X$5,$D194&lt;X$5+7),"◆",""),IF(AND($D194&lt;X$5+7,$E194&gt;X$5),"■","")))</x:f>
      </x:c>
      <x:c r="Y194" s="7" t="str">
        <x:f>IF(OR($D194="",Y$5="",'상세일정'!AM194="제외"),"",IF($D194=$E194,IF(AND($D194&gt;=Y$5,$D194&lt;Y$5+7),"◆",""),IF(AND($D194&lt;Y$5+7,$E194&gt;Y$5),"■","")))</x:f>
      </x:c>
      <x:c r="Z194" s="7" t="str">
        <x:f>IF(OR($D194="",Z$5="",'상세일정'!AM194="제외"),"",IF($D194=$E194,IF(AND($D194&gt;=Z$5,$D194&lt;Z$5+7),"◆",""),IF(AND($D194&lt;Z$5+7,$E194&gt;Z$5),"■","")))</x:f>
      </x:c>
      <x:c r="AA194" s="7" t="str">
        <x:f>IF(OR($D194="",AA$5="",'상세일정'!AM194="제외"),"",IF($D194=$E194,IF(AND($D194&gt;=AA$5,$D194&lt;AA$5+7),"◆",""),IF(AND($D194&lt;AA$5+7,$E194&gt;AA$5),"■","")))</x:f>
      </x:c>
      <x:c r="AB194" s="7" t="str">
        <x:f>IF(OR($D194="",AB$5="",'상세일정'!AM194="제외"),"",IF($D194=$E194,IF(AND($D194&gt;=AB$5,$D194&lt;AB$5+7),"◆",""),IF(AND($D194&lt;AB$5+7,$E194&gt;AB$5),"■","")))</x:f>
      </x:c>
      <x:c r="AC194" s="7" t="str">
        <x:f>IF(OR($D194="",AC$5="",'상세일정'!AM194="제외"),"",IF($D194=$E194,IF(AND($D194&gt;=AC$5,$D194&lt;AC$5+7),"◆",""),IF(AND($D194&lt;AC$5+7,$E194&gt;AC$5),"■","")))</x:f>
      </x:c>
      <x:c r="AD194" s="7" t="str">
        <x:f>IF(OR($D194="",AD$5="",'상세일정'!AM194="제외"),"",IF($D194=$E194,IF(AND($D194&gt;=AD$5,$D194&lt;AD$5+7),"◆",""),IF(AND($D194&lt;AD$5+7,$E194&gt;AD$5),"■","")))</x:f>
      </x:c>
      <x:c r="AE194" s="7" t="str">
        <x:f>IF(OR($D194="",AE$5="",'상세일정'!AM194="제외"),"",IF($D194=$E194,IF(AND($D194&gt;=AE$5,$D194&lt;AE$5+7),"◆",""),IF(AND($D194&lt;AE$5+7,$E194&gt;AE$5),"■","")))</x:f>
      </x:c>
      <x:c r="AF194" s="7" t="str">
        <x:f>IF(OR($D194="",AF$5="",'상세일정'!AM194="제외"),"",IF($D194=$E194,IF(AND($D194&gt;=AF$5,$D194&lt;AF$5+7),"◆",""),IF(AND($D194&lt;AF$5+7,$E194&gt;AF$5),"■","")))</x:f>
      </x:c>
      <x:c r="AG194" s="7" t="str">
        <x:f>IF(OR($D194="",AG$5="",'상세일정'!AM194="제외"),"",IF($D194=$E194,IF(AND($D194&gt;=AG$5,$D194&lt;AG$5+7),"◆",""),IF(AND($D194&lt;AG$5+7,$E194&gt;AG$5),"■","")))</x:f>
      </x:c>
      <x:c r="AH194" s="7" t="str">
        <x:f>IF(OR($D194="",AH$5="",'상세일정'!AM194="제외"),"",IF($D194=$E194,IF(AND($D194&gt;=AH$5,$D194&lt;AH$5+7),"◆",""),IF(AND($D194&lt;AH$5+7,$E194&gt;AH$5),"■","")))</x:f>
      </x:c>
      <x:c r="AI194" s="7" t="str">
        <x:f>IF(OR($D194="",AI$5="",'상세일정'!AM194="제외"),"",IF($D194=$E194,IF(AND($D194&gt;=AI$5,$D194&lt;AI$5+7),"◆",""),IF(AND($D194&lt;AI$5+7,$E194&gt;AI$5),"■","")))</x:f>
      </x:c>
      <x:c r="AJ194" s="7" t="str">
        <x:f>IF(OR($D194="",AJ$5="",'상세일정'!AM194="제외"),"",IF($D194=$E194,IF(AND($D194&gt;=AJ$5,$D194&lt;AJ$5+7),"◆",""),IF(AND($D194&lt;AJ$5+7,$E194&gt;AJ$5),"■","")))</x:f>
      </x:c>
      <x:c r="AK194" s="7" t="str">
        <x:f>IF(OR($D194="",AK$5="",'상세일정'!AM194="제외"),"",IF($D194=$E194,IF(AND($D194&gt;=AK$5,$D194&lt;AK$5+7),"◆",""),IF(AND($D194&lt;AK$5+7,$E194&gt;AK$5),"■","")))</x:f>
      </x:c>
      <x:c r="AL194" s="7" t="str">
        <x:f>IF(OR($D194="",AL$5="",'상세일정'!AM194="제외"),"",IF($D194=$E194,IF(AND($D194&gt;=AL$5,$D194&lt;AL$5+7),"◆",""),IF(AND($D194&lt;AL$5+7,$E194&gt;AL$5),"■","")))</x:f>
      </x:c>
      <x:c r="AM194" s="7" t="str">
        <x:f>IF(OR($D194="",AM$5="",'상세일정'!AM194="제외"),"",IF($D194=$E194,IF(AND($D194&gt;=AM$5,$D194&lt;AM$5+7),"◆",""),IF(AND($D194&lt;AM$5+7,$E194&gt;AM$5),"■","")))</x:f>
      </x:c>
      <x:c r="AN194" s="7" t="str">
        <x:f>IF(OR($D194="",AN$5="",'상세일정'!AM194="제외"),"",IF($D194=$E194,IF(AND($D194&gt;=AN$5,$D194&lt;AN$5+7),"◆",""),IF(AND($D194&lt;AN$5+7,$E194&gt;AN$5),"■","")))</x:f>
      </x:c>
      <x:c r="AO194" s="7" t="str">
        <x:f>IF(OR($D194="",AO$5="",'상세일정'!AM194="제외"),"",IF($D194=$E194,IF(AND($D194&gt;=AO$5,$D194&lt;AO$5+7),"◆",""),IF(AND($D194&lt;AO$5+7,$E194&gt;AO$5),"■","")))</x:f>
      </x:c>
      <x:c r="AP194" s="7" t="str">
        <x:f>IF(OR($D194="",AP$5="",'상세일정'!AM194="제외"),"",IF($D194=$E194,IF(AND($D194&gt;=AP$5,$D194&lt;AP$5+7),"◆",""),IF(AND($D194&lt;AP$5+7,$E194&gt;AP$5),"■","")))</x:f>
      </x:c>
      <x:c r="AQ194" s="7" t="str">
        <x:f>IF(OR($D194="",AQ$5="",'상세일정'!AM194="제외"),"",IF($D194=$E194,IF(AND($D194&gt;=AQ$5,$D194&lt;AQ$5+7),"◆",""),IF(AND($D194&lt;AQ$5+7,$E194&gt;AQ$5),"■","")))</x:f>
      </x:c>
      <x:c r="AR194" s="7" t="str">
        <x:f>IF(OR($D194="",AR$5="",'상세일정'!AM194="제외"),"",IF($D194=$E194,IF(AND($D194&gt;=AR$5,$D194&lt;AR$5+7),"◆",""),IF(AND($D194&lt;AR$5+7,$E194&gt;AR$5),"■","")))</x:f>
      </x:c>
      <x:c r="AS194" s="7" t="str">
        <x:f>IF(OR($D194="",AS$5="",'상세일정'!AM194="제외"),"",IF($D194=$E194,IF(AND($D194&gt;=AS$5,$D194&lt;AS$5+7),"◆",""),IF(AND($D194&lt;AS$5+7,$E194&gt;AS$5),"■","")))</x:f>
      </x:c>
      <x:c r="AT194" s="7" t="str">
        <x:f>IF(OR($D194="",AT$5="",'상세일정'!AM194="제외"),"",IF($D194=$E194,IF(AND($D194&gt;=AT$5,$D194&lt;AT$5+7),"◆",""),IF(AND($D194&lt;AT$5+7,$E194&gt;AT$5),"■","")))</x:f>
      </x:c>
      <x:c r="AU194" s="7" t="str">
        <x:f>IF(OR($D194="",AU$5="",'상세일정'!AM194="제외"),"",IF($D194=$E194,IF(AND($D194&gt;=AU$5,$D194&lt;AU$5+7),"◆",""),IF(AND($D194&lt;AU$5+7,$E194&gt;AU$5),"■","")))</x:f>
      </x:c>
      <x:c r="AV194" s="7" t="str">
        <x:f>IF(OR($D194="",AV$5="",'상세일정'!AM194="제외"),"",IF($D194=$E194,IF(AND($D194&gt;=AV$5,$D194&lt;AV$5+7),"◆",""),IF(AND($D194&lt;AV$5+7,$E194&gt;AV$5),"■","")))</x:f>
      </x:c>
      <x:c r="AW194" s="7" t="str">
        <x:f>IF(OR($D194="",AW$5="",'상세일정'!AM194="제외"),"",IF($D194=$E194,IF(AND($D194&gt;=AW$5,$D194&lt;AW$5+7),"◆",""),IF(AND($D194&lt;AW$5+7,$E194&gt;AW$5),"■","")))</x:f>
      </x:c>
      <x:c r="AX194" s="7" t="str">
        <x:f>IF(OR($D194="",AX$5="",'상세일정'!AM194="제외"),"",IF($D194=$E194,IF(AND($D194&gt;=AX$5,$D194&lt;AX$5+7),"◆",""),IF(AND($D194&lt;AX$5+7,$E194&gt;AX$5),"■","")))</x:f>
      </x:c>
      <x:c r="AY194" s="7" t="str">
        <x:f>IF(OR($D194="",AY$5="",'상세일정'!AM194="제외"),"",IF($D194=$E194,IF(AND($D194&gt;=AY$5,$D194&lt;AY$5+7),"◆",""),IF(AND($D194&lt;AY$5+7,$E194&gt;AY$5),"■","")))</x:f>
      </x:c>
      <x:c r="AZ194" s="7" t="str">
        <x:f>IF(OR($D194="",AZ$5="",'상세일정'!AM194="제외"),"",IF($D194=$E194,IF(AND($D194&gt;=AZ$5,$D194&lt;AZ$5+7),"◆",""),IF(AND($D194&lt;AZ$5+7,$E194&gt;AZ$5),"■","")))</x:f>
      </x:c>
      <x:c r="BA194" s="7" t="str">
        <x:f>IF(OR($D194="",BA$5="",'상세일정'!AM194="제외"),"",IF($D194=$E194,IF(AND($D194&gt;=BA$5,$D194&lt;BA$5+7),"◆",""),IF(AND($D194&lt;BA$5+7,$E194&gt;BA$5),"■","")))</x:f>
      </x:c>
      <x:c r="BB194" s="7" t="str">
        <x:f>IF(OR($D194="",BB$5="",'상세일정'!AM194="제외"),"",IF($D194=$E194,IF(AND($D194&gt;=BB$5,$D194&lt;BB$5+7),"◆",""),IF(AND($D194&lt;BB$5+7,$E194&gt;BB$5),"■","")))</x:f>
      </x:c>
      <x:c r="BC194" s="7" t="str">
        <x:f>IF(OR($D194="",BC$5="",'상세일정'!AM194="제외"),"",IF($D194=$E194,IF(AND($D194&gt;=BC$5,$D194&lt;BC$5+7),"◆",""),IF(AND($D194&lt;BC$5+7,$E194&gt;BC$5),"■","")))</x:f>
      </x:c>
      <x:c r="BD194" s="7" t="str">
        <x:f>IF(OR($D194="",BD$5="",'상세일정'!AM194="제외"),"",IF($D194=$E194,IF(AND($D194&gt;=BD$5,$D194&lt;BD$5+7),"◆",""),IF(AND($D194&lt;BD$5+7,$E194&gt;BD$5),"■","")))</x:f>
      </x:c>
      <x:c r="BE194" s="7" t="str">
        <x:f>IF(OR($D194="",BE$5="",'상세일정'!AM194="제외"),"",IF($D194=$E194,IF(AND($D194&gt;=BE$5,$D194&lt;BE$5+7),"◆",""),IF(AND($D194&lt;BE$5+7,$E194&gt;BE$5),"■","")))</x:f>
      </x:c>
      <x:c r="BF194" s="7" t="str">
        <x:f>IF(OR($D194="",BF$5="",'상세일정'!AM194="제외"),"",IF($D194=$E194,IF(AND($D194&gt;=BF$5,$D194&lt;BF$5+7),"◆",""),IF(AND($D194&lt;BF$5+7,$E194&gt;BF$5),"■","")))</x:f>
      </x:c>
      <x:c r="BG194" s="7" t="str">
        <x:f>IF(OR($D194="",BG$5="",'상세일정'!AM194="제외"),"",IF($D194=$E194,IF(AND($D194&gt;=BG$5,$D194&lt;BG$5+7),"◆",""),IF(AND($D194&lt;BG$5+7,$E194&gt;BG$5),"■","")))</x:f>
      </x:c>
      <x:c r="BH194" s="7" t="str">
        <x:f>IF(OR($D194="",BH$5="",'상세일정'!AM194="제외"),"",IF($D194=$E194,IF(AND($D194&gt;=BH$5,$D194&lt;BH$5+7),"◆",""),IF(AND($D194&lt;BH$5+7,$E194&gt;BH$5),"■","")))</x:f>
      </x:c>
      <x:c r="BI194" s="7" t="str">
        <x:f>IF(OR($D194="",BI$5="",'상세일정'!AM194="제외"),"",IF($D194=$E194,IF(AND($D194&gt;=BI$5,$D194&lt;BI$5+7),"◆",""),IF(AND($D194&lt;BI$5+7,$E194&gt;BI$5),"■","")))</x:f>
      </x:c>
      <x:c r="BJ194" s="7" t="str">
        <x:f>IF(OR($D194="",BJ$5="",'상세일정'!AM194="제외"),"",IF($D194=$E194,IF(AND($D194&gt;=BJ$5,$D194&lt;BJ$5+7),"◆",""),IF(AND($D194&lt;BJ$5+7,$E194&gt;BJ$5),"■","")))</x:f>
      </x:c>
      <x:c r="BK194" s="7" t="str">
        <x:f>IF(OR($D194="",BK$5="",'상세일정'!AM194="제외"),"",IF($D194=$E194,IF(AND($D194&gt;=BK$5,$D194&lt;BK$5+7),"◆",""),IF(AND($D194&lt;BK$5+7,$E194&gt;BK$5),"■","")))</x:f>
      </x:c>
      <x:c r="BL194" s="7" t="str">
        <x:f>IF(OR($D194="",BL$5="",'상세일정'!AM194="제외"),"",IF($D194=$E194,IF(AND($D194&gt;=BL$5,$D194&lt;BL$5+7),"◆",""),IF(AND($D194&lt;BL$5+7,$E194&gt;BL$5),"■","")))</x:f>
      </x:c>
      <x:c r="BM194" s="7" t="str">
        <x:f>IF(OR($D194="",BM$5="",'상세일정'!AM194="제외"),"",IF($D194=$E194,IF(AND($D194&gt;=BM$5,$D194&lt;BM$5+7),"◆",""),IF(AND($D194&lt;BM$5+7,$E194&gt;BM$5),"■","")))</x:f>
      </x:c>
      <x:c r="BN194" s="7" t="str">
        <x:f>IF(OR($D194="",BN$5="",'상세일정'!AM194="제외"),"",IF($D194=$E194,IF(AND($D194&gt;=BN$5,$D194&lt;BN$5+7),"◆",""),IF(AND($D194&lt;BN$5+7,$E194&gt;BN$5),"■","")))</x:f>
      </x:c>
      <x:c r="BO194" s="7" t="str">
        <x:f>IF(OR($D194="",BO$5="",'상세일정'!AM194="제외"),"",IF($D194=$E194,IF(AND($D194&gt;=BO$5,$D194&lt;BO$5+7),"◆",""),IF(AND($D194&lt;BO$5+7,$E194&gt;BO$5),"■","")))</x:f>
      </x:c>
      <x:c r="BP194" s="7" t="str">
        <x:f>IF(OR($D194="",BP$5="",'상세일정'!AM194="제외"),"",IF($D194=$E194,IF(AND($D194&gt;=BP$5,$D194&lt;BP$5+7),"◆",""),IF(AND($D194&lt;BP$5+7,$E194&gt;BP$5),"■","")))</x:f>
      </x:c>
      <x:c r="BQ194" s="7" t="str">
        <x:f>IF(OR($D194="",BQ$5="",'상세일정'!AM194="제외"),"",IF($D194=$E194,IF(AND($D194&gt;=BQ$5,$D194&lt;BQ$5+7),"◆",""),IF(AND($D194&lt;BQ$5+7,$E194&gt;BQ$5),"■","")))</x:f>
      </x:c>
      <x:c r="BR194" s="7" t="str">
        <x:f>IF(OR($D194="",BR$5="",'상세일정'!AM194="제외"),"",IF($D194=$E194,IF(AND($D194&gt;=BR$5,$D194&lt;BR$5+7),"◆",""),IF(AND($D194&lt;BR$5+7,$E194&gt;BR$5),"■","")))</x:f>
      </x:c>
      <x:c r="BS194" s="7" t="str">
        <x:f>IF(OR($D194="",BS$5="",'상세일정'!AM194="제외"),"",IF($D194=$E194,IF(AND($D194&gt;=BS$5,$D194&lt;BS$5+7),"◆",""),IF(AND($D194&lt;BS$5+7,$E194&gt;BS$5),"■","")))</x:f>
      </x:c>
      <x:c r="BT194" s="7" t="str">
        <x:f>IF(OR($D194="",BT$5="",'상세일정'!AM194="제외"),"",IF($D194=$E194,IF(AND($D194&gt;=BT$5,$D194&lt;BT$5+7),"◆",""),IF(AND($D194&lt;BT$5+7,$E194&gt;BT$5),"■","")))</x:f>
      </x:c>
      <x:c r="BU194" s="7" t="str">
        <x:f>IF(OR($D194="",BU$5="",'상세일정'!AM194="제외"),"",IF($D194=$E194,IF(AND($D194&gt;=BU$5,$D194&lt;BU$5+7),"◆",""),IF(AND($D194&lt;BU$5+7,$E194&gt;BU$5),"■","")))</x:f>
      </x:c>
      <x:c r="BV194" s="7" t="str">
        <x:f>IF(OR($D194="",BV$5="",'상세일정'!AM194="제외"),"",IF($D194=$E194,IF(AND($D194&gt;=BV$5,$D194&lt;BV$5+7),"◆",""),IF(AND($D194&lt;BV$5+7,$E194&gt;BV$5),"■","")))</x:f>
      </x:c>
      <x:c r="BW194" s="7" t="str">
        <x:f>IF(OR($D194="",BW$5="",'상세일정'!AM194="제외"),"",IF($D194=$E194,IF(AND($D194&gt;=BW$5,$D194&lt;BW$5+7),"◆",""),IF(AND($D194&lt;BW$5+7,$E194&gt;BW$5),"■","")))</x:f>
      </x:c>
      <x:c r="BX194" s="7" t="str">
        <x:f>IF(OR($D194="",BX$5="",'상세일정'!AM194="제외"),"",IF($D194=$E194,IF(AND($D194&gt;=BX$5,$D194&lt;BX$5+7),"◆",""),IF(AND($D194&lt;BX$5+7,$E194&gt;BX$5),"■","")))</x:f>
      </x:c>
      <x:c r="BY194" s="7" t="str">
        <x:f>IF(OR($D194="",BY$5="",'상세일정'!AM194="제외"),"",IF($D194=$E194,IF(AND($D194&gt;=BY$5,$D194&lt;BY$5+7),"◆",""),IF(AND($D194&lt;BY$5+7,$E194&gt;BY$5),"■","")))</x:f>
      </x:c>
      <x:c r="BZ194" s="7" t="str">
        <x:f>IF(OR($D194="",BZ$5="",'상세일정'!AM194="제외"),"",IF($D194=$E194,IF(AND($D194&gt;=BZ$5,$D194&lt;BZ$5+7),"◆",""),IF(AND($D194&lt;BZ$5+7,$E194&gt;BZ$5),"■","")))</x:f>
      </x:c>
      <x:c r="CA194" s="7" t="str">
        <x:f>IF(OR($D194="",CA$5="",'상세일정'!AM194="제외"),"",IF($D194=$E194,IF(AND($D194&gt;=CA$5,$D194&lt;CA$5+7),"◆",""),IF(AND($D194&lt;CA$5+7,$E194&gt;CA$5),"■","")))</x:f>
      </x:c>
      <x:c r="CB194" s="7" t="str">
        <x:f>IF(OR($D194="",CB$5="",'상세일정'!AM194="제외"),"",IF($D194=$E194,IF(AND($D194&gt;=CB$5,$D194&lt;CB$5+7),"◆",""),IF(AND($D194&lt;CB$5+7,$E194&gt;CB$5),"■","")))</x:f>
      </x:c>
      <x:c r="CC194" s="7" t="str">
        <x:f>IF(OR($D194="",CC$5="",'상세일정'!AM194="제외"),"",IF($D194=$E194,IF(AND($D194&gt;=CC$5,$D194&lt;CC$5+7),"◆",""),IF(AND($D194&lt;CC$5+7,$E194&gt;CC$5),"■","")))</x:f>
      </x:c>
      <x:c r="CD194" s="7" t="str">
        <x:f>IF(OR($D194="",CD$5="",'상세일정'!AM194="제외"),"",IF($D194=$E194,IF(AND($D194&gt;=CD$5,$D194&lt;CD$5+7),"◆",""),IF(AND($D194&lt;CD$5+7,$E194&gt;CD$5),"■","")))</x:f>
      </x:c>
      <x:c r="CE194" s="7" t="str">
        <x:f>IF(OR($D194="",CE$5="",'상세일정'!AM194="제외"),"",IF($D194=$E194,IF(AND($D194&gt;=CE$5,$D194&lt;CE$5+7),"◆",""),IF(AND($D194&lt;CE$5+7,$E194&gt;CE$5),"■","")))</x:f>
      </x:c>
      <x:c r="CF194" s="7" t="str">
        <x:f>IF(OR($D194="",CF$5="",'상세일정'!AM194="제외"),"",IF($D194=$E194,IF(AND($D194&gt;=CF$5,$D194&lt;CF$5+7),"◆",""),IF(AND($D194&lt;CF$5+7,$E194&gt;CF$5),"■","")))</x:f>
      </x:c>
      <x:c r="CG194" s="7" t="str">
        <x:f>IF(OR($D194="",CG$5="",'상세일정'!AM194="제외"),"",IF($D194=$E194,IF(AND($D194&gt;=CG$5,$D194&lt;CG$5+7),"◆",""),IF(AND($D194&lt;CG$5+7,$E194&gt;CG$5),"■","")))</x:f>
      </x:c>
      <x:c r="CH194" s="7" t="str">
        <x:f>IF(OR($D194="",CH$5="",'상세일정'!AM194="제외"),"",IF($D194=$E194,IF(AND($D194&gt;=CH$5,$D194&lt;CH$5+7),"◆",""),IF(AND($D194&lt;CH$5+7,$E194&gt;CH$5),"■","")))</x:f>
      </x:c>
      <x:c r="CI194" s="7" t="str">
        <x:f>IF(OR($D194="",CI$5="",'상세일정'!AM194="제외"),"",IF($D194=$E194,IF(AND($D194&gt;=CI$5,$D194&lt;CI$5+7),"◆",""),IF(AND($D194&lt;CI$5+7,$E194&gt;CI$5),"■","")))</x:f>
      </x:c>
      <x:c r="CJ194" s="7" t="str">
        <x:f>IF(OR($D194="",CJ$5="",'상세일정'!AM194="제외"),"",IF($D194=$E194,IF(AND($D194&gt;=CJ$5,$D194&lt;CJ$5+7),"◆",""),IF(AND($D194&lt;CJ$5+7,$E194&gt;CJ$5),"■","")))</x:f>
      </x:c>
      <x:c r="CK194" s="7" t="str">
        <x:f>IF(OR($D194="",CK$5="",'상세일정'!AM194="제외"),"",IF($D194=$E194,IF(AND($D194&gt;=CK$5,$D194&lt;CK$5+7),"◆",""),IF(AND($D194&lt;CK$5+7,$E194&gt;CK$5),"■","")))</x:f>
      </x:c>
      <x:c r="CL194" s="7" t="str">
        <x:f>IF(OR($D194="",CL$5="",'상세일정'!AM194="제외"),"",IF($D194=$E194,IF(AND($D194&gt;=CL$5,$D194&lt;CL$5+7),"◆",""),IF(AND($D194&lt;CL$5+7,$E194&gt;CL$5),"■","")))</x:f>
      </x:c>
      <x:c r="CM194" s="7" t="str">
        <x:f>IF(OR($D194="",CM$5="",'상세일정'!AM194="제외"),"",IF($D194=$E194,IF(AND($D194&gt;=CM$5,$D194&lt;CM$5+7),"◆",""),IF(AND($D194&lt;CM$5+7,$E194&gt;CM$5),"■","")))</x:f>
      </x:c>
      <x:c r="CN194" s="7" t="str">
        <x:f>IF(OR($D194="",CN$5="",'상세일정'!AM194="제외"),"",IF($D194=$E194,IF(AND($D194&gt;=CN$5,$D194&lt;CN$5+7),"◆",""),IF(AND($D194&lt;CN$5+7,$E194&gt;CN$5),"■","")))</x:f>
      </x:c>
      <x:c r="CO194" s="7" t="str">
        <x:f>IF(OR($D194="",CO$5="",'상세일정'!AM194="제외"),"",IF($D194=$E194,IF(AND($D194&gt;=CO$5,$D194&lt;CO$5+7),"◆",""),IF(AND($D194&lt;CO$5+7,$E194&gt;CO$5),"■","")))</x:f>
      </x:c>
      <x:c r="CP194" s="7" t="str">
        <x:f>IF(OR($D194="",CP$5="",'상세일정'!AM194="제외"),"",IF($D194=$E194,IF(AND($D194&gt;=CP$5,$D194&lt;CP$5+7),"◆",""),IF(AND($D194&lt;CP$5+7,$E194&gt;CP$5),"■","")))</x:f>
      </x:c>
      <x:c r="CQ194" s="7" t="str">
        <x:f>IF(OR($D194="",CQ$5="",'상세일정'!AM194="제외"),"",IF($D194=$E194,IF(AND($D194&gt;=CQ$5,$D194&lt;CQ$5+7),"◆",""),IF(AND($D194&lt;CQ$5+7,$E194&gt;CQ$5),"■","")))</x:f>
      </x:c>
      <x:c r="CR194" s="7" t="str">
        <x:f>IF(OR($D194="",CR$5="",'상세일정'!AM194="제외"),"",IF($D194=$E194,IF(AND($D194&gt;=CR$5,$D194&lt;CR$5+7),"◆",""),IF(AND($D194&lt;CR$5+7,$E194&gt;CR$5),"■","")))</x:f>
      </x:c>
      <x:c r="CS194" s="7" t="str">
        <x:f>IF(OR($D194="",CS$5="",'상세일정'!AM194="제외"),"",IF($D194=$E194,IF(AND($D194&gt;=CS$5,$D194&lt;CS$5+7),"◆",""),IF(AND($D194&lt;CS$5+7,$E194&gt;CS$5),"■","")))</x:f>
      </x:c>
      <x:c r="CT194" s="7" t="str">
        <x:f>IF(OR($D194="",CT$5="",'상세일정'!AM194="제외"),"",IF($D194=$E194,IF(AND($D194&gt;=CT$5,$D194&lt;CT$5+7),"◆",""),IF(AND($D194&lt;CT$5+7,$E194&gt;CT$5),"■","")))</x:f>
      </x:c>
      <x:c r="CU194" s="7" t="str">
        <x:f>IF(OR($D194="",CU$5="",'상세일정'!AM194="제외"),"",IF($D194=$E194,IF(AND($D194&gt;=CU$5,$D194&lt;CU$5+7),"◆",""),IF(AND($D194&lt;CU$5+7,$E194&gt;CU$5),"■","")))</x:f>
      </x:c>
      <x:c r="CV194" s="7" t="str">
        <x:f>IF(OR($D194="",CV$5="",'상세일정'!AM194="제외"),"",IF($D194=$E194,IF(AND($D194&gt;=CV$5,$D194&lt;CV$5+7),"◆",""),IF(AND($D194&lt;CV$5+7,$E194&gt;CV$5),"■","")))</x:f>
      </x:c>
      <x:c r="CW194" s="7" t="str">
        <x:f>IF(OR($D194="",CW$5="",'상세일정'!AM194="제외"),"",IF($D194=$E194,IF(AND($D194&gt;=CW$5,$D194&lt;CW$5+7),"◆",""),IF(AND($D194&lt;CW$5+7,$E194&gt;CW$5),"■","")))</x:f>
      </x:c>
      <x:c r="CX194" s="7" t="str">
        <x:f>IF(OR($D194="",CX$5="",'상세일정'!AM194="제외"),"",IF($D194=$E194,IF(AND($D194&gt;=CX$5,$D194&lt;CX$5+7),"◆",""),IF(AND($D194&lt;CX$5+7,$E194&gt;CX$5),"■","")))</x:f>
      </x:c>
      <x:c r="CY194" s="7" t="str">
        <x:f>IF(OR($D194="",CY$5="",'상세일정'!AM194="제외"),"",IF($D194=$E194,IF(AND($D194&gt;=CY$5,$D194&lt;CY$5+7),"◆",""),IF(AND($D194&lt;CY$5+7,$E194&gt;CY$5),"■","")))</x:f>
      </x:c>
      <x:c r="CZ194" s="7" t="str">
        <x:f>IF(OR($D194="",CZ$5="",'상세일정'!AM194="제외"),"",IF($D194=$E194,IF(AND($D194&gt;=CZ$5,$D194&lt;CZ$5+7),"◆",""),IF(AND($D194&lt;CZ$5+7,$E194&gt;CZ$5),"■","")))</x:f>
      </x:c>
      <x:c r="DA194" s="7" t="str">
        <x:f>IF(OR($D194="",DA$5="",'상세일정'!AM194="제외"),"",IF($D194=$E194,IF(AND($D194&gt;=DA$5,$D194&lt;DA$5+7),"◆",""),IF(AND($D194&lt;DA$5+7,$E194&gt;DA$5),"■","")))</x:f>
      </x:c>
      <x:c r="DB194" s="7" t="str">
        <x:f>IF(OR($D194="",DB$5="",'상세일정'!AM194="제외"),"",IF($D194=$E194,IF(AND($D194&gt;=DB$5,$D194&lt;DB$5+7),"◆",""),IF(AND($D194&lt;DB$5+7,$E194&gt;DB$5),"■","")))</x:f>
      </x:c>
      <x:c r="DC194" s="7" t="str">
        <x:f>IF(OR($D194="",DC$5="",'상세일정'!AM194="제외"),"",IF($D194=$E194,IF(AND($D194&gt;=DC$5,$D194&lt;DC$5+7),"◆",""),IF(AND($D194&lt;DC$5+7,$E194&gt;DC$5),"■","")))</x:f>
      </x:c>
      <x:c r="DD194" s="7" t="str">
        <x:f>IF(OR($D194="",DD$5="",'상세일정'!AM194="제외"),"",IF($D194=$E194,IF(AND($D194&gt;=DD$5,$D194&lt;DD$5+7),"◆",""),IF(AND($D194&lt;DD$5+7,$E194&gt;DD$5),"■","")))</x:f>
      </x:c>
      <x:c r="DE194" s="7" t="str">
        <x:f>IF(OR($D194="",DE$5="",'상세일정'!AM194="제외"),"",IF($D194=$E194,IF(AND($D194&gt;=DE$5,$D194&lt;DE$5+7),"◆",""),IF(AND($D194&lt;DE$5+7,$E194&gt;DE$5),"■","")))</x:f>
      </x:c>
    </x:row>
    <x:row r="195" ht="34" customHeight="1">
      <x:c r="A195" s="7" t="str">
        <x:v>MP02</x:v>
      </x:c>
      <x:c r="B195" s="7" t="str">
        <x:v>22 배관 시공</x:v>
      </x:c>
      <x:c r="C195" s="7" t="str">
        <x:v>스풀·서포트 제작 및 입고검수</x:v>
      </x:c>
      <x:c r="D195" s="10" t="str">
        <x:f>'상세일정'!AJ195</x:f>
      </x:c>
      <x:c r="E195" s="10" t="str">
        <x:f>'상세일정'!AK195</x:f>
      </x:c>
      <x:c r="F195" s="7" t="str">
        <x:f>IF(OR($D195="",F$5="",'상세일정'!AM195="제외"),"",IF($D195=$E195,IF(AND($D195&gt;=F$5,$D195&lt;F$5+7),"◆",""),IF(AND($D195&lt;F$5+7,$E195&gt;F$5),"■","")))</x:f>
      </x:c>
      <x:c r="G195" s="7" t="str">
        <x:f>IF(OR($D195="",G$5="",'상세일정'!AM195="제외"),"",IF($D195=$E195,IF(AND($D195&gt;=G$5,$D195&lt;G$5+7),"◆",""),IF(AND($D195&lt;G$5+7,$E195&gt;G$5),"■","")))</x:f>
      </x:c>
      <x:c r="H195" s="7" t="str">
        <x:f>IF(OR($D195="",H$5="",'상세일정'!AM195="제외"),"",IF($D195=$E195,IF(AND($D195&gt;=H$5,$D195&lt;H$5+7),"◆",""),IF(AND($D195&lt;H$5+7,$E195&gt;H$5),"■","")))</x:f>
      </x:c>
      <x:c r="I195" s="7" t="str">
        <x:f>IF(OR($D195="",I$5="",'상세일정'!AM195="제외"),"",IF($D195=$E195,IF(AND($D195&gt;=I$5,$D195&lt;I$5+7),"◆",""),IF(AND($D195&lt;I$5+7,$E195&gt;I$5),"■","")))</x:f>
      </x:c>
      <x:c r="J195" s="7" t="str">
        <x:f>IF(OR($D195="",J$5="",'상세일정'!AM195="제외"),"",IF($D195=$E195,IF(AND($D195&gt;=J$5,$D195&lt;J$5+7),"◆",""),IF(AND($D195&lt;J$5+7,$E195&gt;J$5),"■","")))</x:f>
      </x:c>
      <x:c r="K195" s="7" t="str">
        <x:f>IF(OR($D195="",K$5="",'상세일정'!AM195="제외"),"",IF($D195=$E195,IF(AND($D195&gt;=K$5,$D195&lt;K$5+7),"◆",""),IF(AND($D195&lt;K$5+7,$E195&gt;K$5),"■","")))</x:f>
      </x:c>
      <x:c r="L195" s="7" t="str">
        <x:f>IF(OR($D195="",L$5="",'상세일정'!AM195="제외"),"",IF($D195=$E195,IF(AND($D195&gt;=L$5,$D195&lt;L$5+7),"◆",""),IF(AND($D195&lt;L$5+7,$E195&gt;L$5),"■","")))</x:f>
      </x:c>
      <x:c r="M195" s="7" t="str">
        <x:f>IF(OR($D195="",M$5="",'상세일정'!AM195="제외"),"",IF($D195=$E195,IF(AND($D195&gt;=M$5,$D195&lt;M$5+7),"◆",""),IF(AND($D195&lt;M$5+7,$E195&gt;M$5),"■","")))</x:f>
      </x:c>
      <x:c r="N195" s="7" t="str">
        <x:f>IF(OR($D195="",N$5="",'상세일정'!AM195="제외"),"",IF($D195=$E195,IF(AND($D195&gt;=N$5,$D195&lt;N$5+7),"◆",""),IF(AND($D195&lt;N$5+7,$E195&gt;N$5),"■","")))</x:f>
      </x:c>
      <x:c r="O195" s="7" t="str">
        <x:f>IF(OR($D195="",O$5="",'상세일정'!AM195="제외"),"",IF($D195=$E195,IF(AND($D195&gt;=O$5,$D195&lt;O$5+7),"◆",""),IF(AND($D195&lt;O$5+7,$E195&gt;O$5),"■","")))</x:f>
      </x:c>
      <x:c r="P195" s="7" t="str">
        <x:f>IF(OR($D195="",P$5="",'상세일정'!AM195="제외"),"",IF($D195=$E195,IF(AND($D195&gt;=P$5,$D195&lt;P$5+7),"◆",""),IF(AND($D195&lt;P$5+7,$E195&gt;P$5),"■","")))</x:f>
      </x:c>
      <x:c r="Q195" s="7" t="str">
        <x:f>IF(OR($D195="",Q$5="",'상세일정'!AM195="제외"),"",IF($D195=$E195,IF(AND($D195&gt;=Q$5,$D195&lt;Q$5+7),"◆",""),IF(AND($D195&lt;Q$5+7,$E195&gt;Q$5),"■","")))</x:f>
      </x:c>
      <x:c r="R195" s="7" t="str">
        <x:f>IF(OR($D195="",R$5="",'상세일정'!AM195="제외"),"",IF($D195=$E195,IF(AND($D195&gt;=R$5,$D195&lt;R$5+7),"◆",""),IF(AND($D195&lt;R$5+7,$E195&gt;R$5),"■","")))</x:f>
      </x:c>
      <x:c r="S195" s="7" t="str">
        <x:f>IF(OR($D195="",S$5="",'상세일정'!AM195="제외"),"",IF($D195=$E195,IF(AND($D195&gt;=S$5,$D195&lt;S$5+7),"◆",""),IF(AND($D195&lt;S$5+7,$E195&gt;S$5),"■","")))</x:f>
      </x:c>
      <x:c r="T195" s="7" t="str">
        <x:f>IF(OR($D195="",T$5="",'상세일정'!AM195="제외"),"",IF($D195=$E195,IF(AND($D195&gt;=T$5,$D195&lt;T$5+7),"◆",""),IF(AND($D195&lt;T$5+7,$E195&gt;T$5),"■","")))</x:f>
      </x:c>
      <x:c r="U195" s="7" t="str">
        <x:f>IF(OR($D195="",U$5="",'상세일정'!AM195="제외"),"",IF($D195=$E195,IF(AND($D195&gt;=U$5,$D195&lt;U$5+7),"◆",""),IF(AND($D195&lt;U$5+7,$E195&gt;U$5),"■","")))</x:f>
      </x:c>
      <x:c r="V195" s="7" t="str">
        <x:f>IF(OR($D195="",V$5="",'상세일정'!AM195="제외"),"",IF($D195=$E195,IF(AND($D195&gt;=V$5,$D195&lt;V$5+7),"◆",""),IF(AND($D195&lt;V$5+7,$E195&gt;V$5),"■","")))</x:f>
      </x:c>
      <x:c r="W195" s="7" t="str">
        <x:f>IF(OR($D195="",W$5="",'상세일정'!AM195="제외"),"",IF($D195=$E195,IF(AND($D195&gt;=W$5,$D195&lt;W$5+7),"◆",""),IF(AND($D195&lt;W$5+7,$E195&gt;W$5),"■","")))</x:f>
      </x:c>
      <x:c r="X195" s="7" t="str">
        <x:f>IF(OR($D195="",X$5="",'상세일정'!AM195="제외"),"",IF($D195=$E195,IF(AND($D195&gt;=X$5,$D195&lt;X$5+7),"◆",""),IF(AND($D195&lt;X$5+7,$E195&gt;X$5),"■","")))</x:f>
      </x:c>
      <x:c r="Y195" s="7" t="str">
        <x:f>IF(OR($D195="",Y$5="",'상세일정'!AM195="제외"),"",IF($D195=$E195,IF(AND($D195&gt;=Y$5,$D195&lt;Y$5+7),"◆",""),IF(AND($D195&lt;Y$5+7,$E195&gt;Y$5),"■","")))</x:f>
      </x:c>
      <x:c r="Z195" s="7" t="str">
        <x:f>IF(OR($D195="",Z$5="",'상세일정'!AM195="제외"),"",IF($D195=$E195,IF(AND($D195&gt;=Z$5,$D195&lt;Z$5+7),"◆",""),IF(AND($D195&lt;Z$5+7,$E195&gt;Z$5),"■","")))</x:f>
      </x:c>
      <x:c r="AA195" s="7" t="str">
        <x:f>IF(OR($D195="",AA$5="",'상세일정'!AM195="제외"),"",IF($D195=$E195,IF(AND($D195&gt;=AA$5,$D195&lt;AA$5+7),"◆",""),IF(AND($D195&lt;AA$5+7,$E195&gt;AA$5),"■","")))</x:f>
      </x:c>
      <x:c r="AB195" s="7" t="str">
        <x:f>IF(OR($D195="",AB$5="",'상세일정'!AM195="제외"),"",IF($D195=$E195,IF(AND($D195&gt;=AB$5,$D195&lt;AB$5+7),"◆",""),IF(AND($D195&lt;AB$5+7,$E195&gt;AB$5),"■","")))</x:f>
      </x:c>
      <x:c r="AC195" s="7" t="str">
        <x:f>IF(OR($D195="",AC$5="",'상세일정'!AM195="제외"),"",IF($D195=$E195,IF(AND($D195&gt;=AC$5,$D195&lt;AC$5+7),"◆",""),IF(AND($D195&lt;AC$5+7,$E195&gt;AC$5),"■","")))</x:f>
      </x:c>
      <x:c r="AD195" s="7" t="str">
        <x:f>IF(OR($D195="",AD$5="",'상세일정'!AM195="제외"),"",IF($D195=$E195,IF(AND($D195&gt;=AD$5,$D195&lt;AD$5+7),"◆",""),IF(AND($D195&lt;AD$5+7,$E195&gt;AD$5),"■","")))</x:f>
      </x:c>
      <x:c r="AE195" s="7" t="str">
        <x:f>IF(OR($D195="",AE$5="",'상세일정'!AM195="제외"),"",IF($D195=$E195,IF(AND($D195&gt;=AE$5,$D195&lt;AE$5+7),"◆",""),IF(AND($D195&lt;AE$5+7,$E195&gt;AE$5),"■","")))</x:f>
      </x:c>
      <x:c r="AF195" s="7" t="str">
        <x:f>IF(OR($D195="",AF$5="",'상세일정'!AM195="제외"),"",IF($D195=$E195,IF(AND($D195&gt;=AF$5,$D195&lt;AF$5+7),"◆",""),IF(AND($D195&lt;AF$5+7,$E195&gt;AF$5),"■","")))</x:f>
      </x:c>
      <x:c r="AG195" s="7" t="str">
        <x:f>IF(OR($D195="",AG$5="",'상세일정'!AM195="제외"),"",IF($D195=$E195,IF(AND($D195&gt;=AG$5,$D195&lt;AG$5+7),"◆",""),IF(AND($D195&lt;AG$5+7,$E195&gt;AG$5),"■","")))</x:f>
      </x:c>
      <x:c r="AH195" s="7" t="str">
        <x:f>IF(OR($D195="",AH$5="",'상세일정'!AM195="제외"),"",IF($D195=$E195,IF(AND($D195&gt;=AH$5,$D195&lt;AH$5+7),"◆",""),IF(AND($D195&lt;AH$5+7,$E195&gt;AH$5),"■","")))</x:f>
      </x:c>
      <x:c r="AI195" s="7" t="str">
        <x:f>IF(OR($D195="",AI$5="",'상세일정'!AM195="제외"),"",IF($D195=$E195,IF(AND($D195&gt;=AI$5,$D195&lt;AI$5+7),"◆",""),IF(AND($D195&lt;AI$5+7,$E195&gt;AI$5),"■","")))</x:f>
      </x:c>
      <x:c r="AJ195" s="7" t="str">
        <x:f>IF(OR($D195="",AJ$5="",'상세일정'!AM195="제외"),"",IF($D195=$E195,IF(AND($D195&gt;=AJ$5,$D195&lt;AJ$5+7),"◆",""),IF(AND($D195&lt;AJ$5+7,$E195&gt;AJ$5),"■","")))</x:f>
      </x:c>
      <x:c r="AK195" s="7" t="str">
        <x:f>IF(OR($D195="",AK$5="",'상세일정'!AM195="제외"),"",IF($D195=$E195,IF(AND($D195&gt;=AK$5,$D195&lt;AK$5+7),"◆",""),IF(AND($D195&lt;AK$5+7,$E195&gt;AK$5),"■","")))</x:f>
      </x:c>
      <x:c r="AL195" s="7" t="str">
        <x:f>IF(OR($D195="",AL$5="",'상세일정'!AM195="제외"),"",IF($D195=$E195,IF(AND($D195&gt;=AL$5,$D195&lt;AL$5+7),"◆",""),IF(AND($D195&lt;AL$5+7,$E195&gt;AL$5),"■","")))</x:f>
      </x:c>
      <x:c r="AM195" s="7" t="str">
        <x:f>IF(OR($D195="",AM$5="",'상세일정'!AM195="제외"),"",IF($D195=$E195,IF(AND($D195&gt;=AM$5,$D195&lt;AM$5+7),"◆",""),IF(AND($D195&lt;AM$5+7,$E195&gt;AM$5),"■","")))</x:f>
      </x:c>
      <x:c r="AN195" s="7" t="str">
        <x:f>IF(OR($D195="",AN$5="",'상세일정'!AM195="제외"),"",IF($D195=$E195,IF(AND($D195&gt;=AN$5,$D195&lt;AN$5+7),"◆",""),IF(AND($D195&lt;AN$5+7,$E195&gt;AN$5),"■","")))</x:f>
      </x:c>
      <x:c r="AO195" s="7" t="str">
        <x:f>IF(OR($D195="",AO$5="",'상세일정'!AM195="제외"),"",IF($D195=$E195,IF(AND($D195&gt;=AO$5,$D195&lt;AO$5+7),"◆",""),IF(AND($D195&lt;AO$5+7,$E195&gt;AO$5),"■","")))</x:f>
      </x:c>
      <x:c r="AP195" s="7" t="str">
        <x:f>IF(OR($D195="",AP$5="",'상세일정'!AM195="제외"),"",IF($D195=$E195,IF(AND($D195&gt;=AP$5,$D195&lt;AP$5+7),"◆",""),IF(AND($D195&lt;AP$5+7,$E195&gt;AP$5),"■","")))</x:f>
      </x:c>
      <x:c r="AQ195" s="7" t="str">
        <x:f>IF(OR($D195="",AQ$5="",'상세일정'!AM195="제외"),"",IF($D195=$E195,IF(AND($D195&gt;=AQ$5,$D195&lt;AQ$5+7),"◆",""),IF(AND($D195&lt;AQ$5+7,$E195&gt;AQ$5),"■","")))</x:f>
      </x:c>
      <x:c r="AR195" s="7" t="str">
        <x:f>IF(OR($D195="",AR$5="",'상세일정'!AM195="제외"),"",IF($D195=$E195,IF(AND($D195&gt;=AR$5,$D195&lt;AR$5+7),"◆",""),IF(AND($D195&lt;AR$5+7,$E195&gt;AR$5),"■","")))</x:f>
      </x:c>
      <x:c r="AS195" s="7" t="str">
        <x:f>IF(OR($D195="",AS$5="",'상세일정'!AM195="제외"),"",IF($D195=$E195,IF(AND($D195&gt;=AS$5,$D195&lt;AS$5+7),"◆",""),IF(AND($D195&lt;AS$5+7,$E195&gt;AS$5),"■","")))</x:f>
      </x:c>
      <x:c r="AT195" s="7" t="str">
        <x:f>IF(OR($D195="",AT$5="",'상세일정'!AM195="제외"),"",IF($D195=$E195,IF(AND($D195&gt;=AT$5,$D195&lt;AT$5+7),"◆",""),IF(AND($D195&lt;AT$5+7,$E195&gt;AT$5),"■","")))</x:f>
      </x:c>
      <x:c r="AU195" s="7" t="str">
        <x:f>IF(OR($D195="",AU$5="",'상세일정'!AM195="제외"),"",IF($D195=$E195,IF(AND($D195&gt;=AU$5,$D195&lt;AU$5+7),"◆",""),IF(AND($D195&lt;AU$5+7,$E195&gt;AU$5),"■","")))</x:f>
      </x:c>
      <x:c r="AV195" s="7" t="str">
        <x:f>IF(OR($D195="",AV$5="",'상세일정'!AM195="제외"),"",IF($D195=$E195,IF(AND($D195&gt;=AV$5,$D195&lt;AV$5+7),"◆",""),IF(AND($D195&lt;AV$5+7,$E195&gt;AV$5),"■","")))</x:f>
      </x:c>
      <x:c r="AW195" s="7" t="str">
        <x:f>IF(OR($D195="",AW$5="",'상세일정'!AM195="제외"),"",IF($D195=$E195,IF(AND($D195&gt;=AW$5,$D195&lt;AW$5+7),"◆",""),IF(AND($D195&lt;AW$5+7,$E195&gt;AW$5),"■","")))</x:f>
      </x:c>
      <x:c r="AX195" s="7" t="str">
        <x:f>IF(OR($D195="",AX$5="",'상세일정'!AM195="제외"),"",IF($D195=$E195,IF(AND($D195&gt;=AX$5,$D195&lt;AX$5+7),"◆",""),IF(AND($D195&lt;AX$5+7,$E195&gt;AX$5),"■","")))</x:f>
      </x:c>
      <x:c r="AY195" s="7" t="str">
        <x:f>IF(OR($D195="",AY$5="",'상세일정'!AM195="제외"),"",IF($D195=$E195,IF(AND($D195&gt;=AY$5,$D195&lt;AY$5+7),"◆",""),IF(AND($D195&lt;AY$5+7,$E195&gt;AY$5),"■","")))</x:f>
      </x:c>
      <x:c r="AZ195" s="7" t="str">
        <x:f>IF(OR($D195="",AZ$5="",'상세일정'!AM195="제외"),"",IF($D195=$E195,IF(AND($D195&gt;=AZ$5,$D195&lt;AZ$5+7),"◆",""),IF(AND($D195&lt;AZ$5+7,$E195&gt;AZ$5),"■","")))</x:f>
      </x:c>
      <x:c r="BA195" s="7" t="str">
        <x:f>IF(OR($D195="",BA$5="",'상세일정'!AM195="제외"),"",IF($D195=$E195,IF(AND($D195&gt;=BA$5,$D195&lt;BA$5+7),"◆",""),IF(AND($D195&lt;BA$5+7,$E195&gt;BA$5),"■","")))</x:f>
      </x:c>
      <x:c r="BB195" s="7" t="str">
        <x:f>IF(OR($D195="",BB$5="",'상세일정'!AM195="제외"),"",IF($D195=$E195,IF(AND($D195&gt;=BB$5,$D195&lt;BB$5+7),"◆",""),IF(AND($D195&lt;BB$5+7,$E195&gt;BB$5),"■","")))</x:f>
      </x:c>
      <x:c r="BC195" s="7" t="str">
        <x:f>IF(OR($D195="",BC$5="",'상세일정'!AM195="제외"),"",IF($D195=$E195,IF(AND($D195&gt;=BC$5,$D195&lt;BC$5+7),"◆",""),IF(AND($D195&lt;BC$5+7,$E195&gt;BC$5),"■","")))</x:f>
      </x:c>
      <x:c r="BD195" s="7" t="str">
        <x:f>IF(OR($D195="",BD$5="",'상세일정'!AM195="제외"),"",IF($D195=$E195,IF(AND($D195&gt;=BD$5,$D195&lt;BD$5+7),"◆",""),IF(AND($D195&lt;BD$5+7,$E195&gt;BD$5),"■","")))</x:f>
      </x:c>
      <x:c r="BE195" s="7" t="str">
        <x:f>IF(OR($D195="",BE$5="",'상세일정'!AM195="제외"),"",IF($D195=$E195,IF(AND($D195&gt;=BE$5,$D195&lt;BE$5+7),"◆",""),IF(AND($D195&lt;BE$5+7,$E195&gt;BE$5),"■","")))</x:f>
      </x:c>
      <x:c r="BF195" s="7" t="str">
        <x:f>IF(OR($D195="",BF$5="",'상세일정'!AM195="제외"),"",IF($D195=$E195,IF(AND($D195&gt;=BF$5,$D195&lt;BF$5+7),"◆",""),IF(AND($D195&lt;BF$5+7,$E195&gt;BF$5),"■","")))</x:f>
      </x:c>
      <x:c r="BG195" s="7" t="str">
        <x:f>IF(OR($D195="",BG$5="",'상세일정'!AM195="제외"),"",IF($D195=$E195,IF(AND($D195&gt;=BG$5,$D195&lt;BG$5+7),"◆",""),IF(AND($D195&lt;BG$5+7,$E195&gt;BG$5),"■","")))</x:f>
      </x:c>
      <x:c r="BH195" s="7" t="str">
        <x:f>IF(OR($D195="",BH$5="",'상세일정'!AM195="제외"),"",IF($D195=$E195,IF(AND($D195&gt;=BH$5,$D195&lt;BH$5+7),"◆",""),IF(AND($D195&lt;BH$5+7,$E195&gt;BH$5),"■","")))</x:f>
      </x:c>
      <x:c r="BI195" s="7" t="str">
        <x:f>IF(OR($D195="",BI$5="",'상세일정'!AM195="제외"),"",IF($D195=$E195,IF(AND($D195&gt;=BI$5,$D195&lt;BI$5+7),"◆",""),IF(AND($D195&lt;BI$5+7,$E195&gt;BI$5),"■","")))</x:f>
      </x:c>
      <x:c r="BJ195" s="7" t="str">
        <x:f>IF(OR($D195="",BJ$5="",'상세일정'!AM195="제외"),"",IF($D195=$E195,IF(AND($D195&gt;=BJ$5,$D195&lt;BJ$5+7),"◆",""),IF(AND($D195&lt;BJ$5+7,$E195&gt;BJ$5),"■","")))</x:f>
      </x:c>
      <x:c r="BK195" s="7" t="str">
        <x:f>IF(OR($D195="",BK$5="",'상세일정'!AM195="제외"),"",IF($D195=$E195,IF(AND($D195&gt;=BK$5,$D195&lt;BK$5+7),"◆",""),IF(AND($D195&lt;BK$5+7,$E195&gt;BK$5),"■","")))</x:f>
      </x:c>
      <x:c r="BL195" s="7" t="str">
        <x:f>IF(OR($D195="",BL$5="",'상세일정'!AM195="제외"),"",IF($D195=$E195,IF(AND($D195&gt;=BL$5,$D195&lt;BL$5+7),"◆",""),IF(AND($D195&lt;BL$5+7,$E195&gt;BL$5),"■","")))</x:f>
      </x:c>
      <x:c r="BM195" s="7" t="str">
        <x:f>IF(OR($D195="",BM$5="",'상세일정'!AM195="제외"),"",IF($D195=$E195,IF(AND($D195&gt;=BM$5,$D195&lt;BM$5+7),"◆",""),IF(AND($D195&lt;BM$5+7,$E195&gt;BM$5),"■","")))</x:f>
      </x:c>
      <x:c r="BN195" s="7" t="str">
        <x:f>IF(OR($D195="",BN$5="",'상세일정'!AM195="제외"),"",IF($D195=$E195,IF(AND($D195&gt;=BN$5,$D195&lt;BN$5+7),"◆",""),IF(AND($D195&lt;BN$5+7,$E195&gt;BN$5),"■","")))</x:f>
      </x:c>
      <x:c r="BO195" s="7" t="str">
        <x:f>IF(OR($D195="",BO$5="",'상세일정'!AM195="제외"),"",IF($D195=$E195,IF(AND($D195&gt;=BO$5,$D195&lt;BO$5+7),"◆",""),IF(AND($D195&lt;BO$5+7,$E195&gt;BO$5),"■","")))</x:f>
      </x:c>
      <x:c r="BP195" s="7" t="str">
        <x:f>IF(OR($D195="",BP$5="",'상세일정'!AM195="제외"),"",IF($D195=$E195,IF(AND($D195&gt;=BP$5,$D195&lt;BP$5+7),"◆",""),IF(AND($D195&lt;BP$5+7,$E195&gt;BP$5),"■","")))</x:f>
      </x:c>
      <x:c r="BQ195" s="7" t="str">
        <x:f>IF(OR($D195="",BQ$5="",'상세일정'!AM195="제외"),"",IF($D195=$E195,IF(AND($D195&gt;=BQ$5,$D195&lt;BQ$5+7),"◆",""),IF(AND($D195&lt;BQ$5+7,$E195&gt;BQ$5),"■","")))</x:f>
      </x:c>
      <x:c r="BR195" s="7" t="str">
        <x:f>IF(OR($D195="",BR$5="",'상세일정'!AM195="제외"),"",IF($D195=$E195,IF(AND($D195&gt;=BR$5,$D195&lt;BR$5+7),"◆",""),IF(AND($D195&lt;BR$5+7,$E195&gt;BR$5),"■","")))</x:f>
      </x:c>
      <x:c r="BS195" s="7" t="str">
        <x:f>IF(OR($D195="",BS$5="",'상세일정'!AM195="제외"),"",IF($D195=$E195,IF(AND($D195&gt;=BS$5,$D195&lt;BS$5+7),"◆",""),IF(AND($D195&lt;BS$5+7,$E195&gt;BS$5),"■","")))</x:f>
      </x:c>
      <x:c r="BT195" s="7" t="str">
        <x:f>IF(OR($D195="",BT$5="",'상세일정'!AM195="제외"),"",IF($D195=$E195,IF(AND($D195&gt;=BT$5,$D195&lt;BT$5+7),"◆",""),IF(AND($D195&lt;BT$5+7,$E195&gt;BT$5),"■","")))</x:f>
      </x:c>
      <x:c r="BU195" s="7" t="str">
        <x:f>IF(OR($D195="",BU$5="",'상세일정'!AM195="제외"),"",IF($D195=$E195,IF(AND($D195&gt;=BU$5,$D195&lt;BU$5+7),"◆",""),IF(AND($D195&lt;BU$5+7,$E195&gt;BU$5),"■","")))</x:f>
      </x:c>
      <x:c r="BV195" s="7" t="str">
        <x:f>IF(OR($D195="",BV$5="",'상세일정'!AM195="제외"),"",IF($D195=$E195,IF(AND($D195&gt;=BV$5,$D195&lt;BV$5+7),"◆",""),IF(AND($D195&lt;BV$5+7,$E195&gt;BV$5),"■","")))</x:f>
      </x:c>
      <x:c r="BW195" s="7" t="str">
        <x:f>IF(OR($D195="",BW$5="",'상세일정'!AM195="제외"),"",IF($D195=$E195,IF(AND($D195&gt;=BW$5,$D195&lt;BW$5+7),"◆",""),IF(AND($D195&lt;BW$5+7,$E195&gt;BW$5),"■","")))</x:f>
      </x:c>
      <x:c r="BX195" s="7" t="str">
        <x:f>IF(OR($D195="",BX$5="",'상세일정'!AM195="제외"),"",IF($D195=$E195,IF(AND($D195&gt;=BX$5,$D195&lt;BX$5+7),"◆",""),IF(AND($D195&lt;BX$5+7,$E195&gt;BX$5),"■","")))</x:f>
      </x:c>
      <x:c r="BY195" s="7" t="str">
        <x:f>IF(OR($D195="",BY$5="",'상세일정'!AM195="제외"),"",IF($D195=$E195,IF(AND($D195&gt;=BY$5,$D195&lt;BY$5+7),"◆",""),IF(AND($D195&lt;BY$5+7,$E195&gt;BY$5),"■","")))</x:f>
      </x:c>
      <x:c r="BZ195" s="7" t="str">
        <x:f>IF(OR($D195="",BZ$5="",'상세일정'!AM195="제외"),"",IF($D195=$E195,IF(AND($D195&gt;=BZ$5,$D195&lt;BZ$5+7),"◆",""),IF(AND($D195&lt;BZ$5+7,$E195&gt;BZ$5),"■","")))</x:f>
      </x:c>
      <x:c r="CA195" s="7" t="str">
        <x:f>IF(OR($D195="",CA$5="",'상세일정'!AM195="제외"),"",IF($D195=$E195,IF(AND($D195&gt;=CA$5,$D195&lt;CA$5+7),"◆",""),IF(AND($D195&lt;CA$5+7,$E195&gt;CA$5),"■","")))</x:f>
      </x:c>
      <x:c r="CB195" s="7" t="str">
        <x:f>IF(OR($D195="",CB$5="",'상세일정'!AM195="제외"),"",IF($D195=$E195,IF(AND($D195&gt;=CB$5,$D195&lt;CB$5+7),"◆",""),IF(AND($D195&lt;CB$5+7,$E195&gt;CB$5),"■","")))</x:f>
      </x:c>
      <x:c r="CC195" s="7" t="str">
        <x:f>IF(OR($D195="",CC$5="",'상세일정'!AM195="제외"),"",IF($D195=$E195,IF(AND($D195&gt;=CC$5,$D195&lt;CC$5+7),"◆",""),IF(AND($D195&lt;CC$5+7,$E195&gt;CC$5),"■","")))</x:f>
      </x:c>
      <x:c r="CD195" s="7" t="str">
        <x:f>IF(OR($D195="",CD$5="",'상세일정'!AM195="제외"),"",IF($D195=$E195,IF(AND($D195&gt;=CD$5,$D195&lt;CD$5+7),"◆",""),IF(AND($D195&lt;CD$5+7,$E195&gt;CD$5),"■","")))</x:f>
      </x:c>
      <x:c r="CE195" s="7" t="str">
        <x:f>IF(OR($D195="",CE$5="",'상세일정'!AM195="제외"),"",IF($D195=$E195,IF(AND($D195&gt;=CE$5,$D195&lt;CE$5+7),"◆",""),IF(AND($D195&lt;CE$5+7,$E195&gt;CE$5),"■","")))</x:f>
      </x:c>
      <x:c r="CF195" s="7" t="str">
        <x:f>IF(OR($D195="",CF$5="",'상세일정'!AM195="제외"),"",IF($D195=$E195,IF(AND($D195&gt;=CF$5,$D195&lt;CF$5+7),"◆",""),IF(AND($D195&lt;CF$5+7,$E195&gt;CF$5),"■","")))</x:f>
      </x:c>
      <x:c r="CG195" s="7" t="str">
        <x:f>IF(OR($D195="",CG$5="",'상세일정'!AM195="제외"),"",IF($D195=$E195,IF(AND($D195&gt;=CG$5,$D195&lt;CG$5+7),"◆",""),IF(AND($D195&lt;CG$5+7,$E195&gt;CG$5),"■","")))</x:f>
      </x:c>
      <x:c r="CH195" s="7" t="str">
        <x:f>IF(OR($D195="",CH$5="",'상세일정'!AM195="제외"),"",IF($D195=$E195,IF(AND($D195&gt;=CH$5,$D195&lt;CH$5+7),"◆",""),IF(AND($D195&lt;CH$5+7,$E195&gt;CH$5),"■","")))</x:f>
      </x:c>
      <x:c r="CI195" s="7" t="str">
        <x:f>IF(OR($D195="",CI$5="",'상세일정'!AM195="제외"),"",IF($D195=$E195,IF(AND($D195&gt;=CI$5,$D195&lt;CI$5+7),"◆",""),IF(AND($D195&lt;CI$5+7,$E195&gt;CI$5),"■","")))</x:f>
      </x:c>
      <x:c r="CJ195" s="7" t="str">
        <x:f>IF(OR($D195="",CJ$5="",'상세일정'!AM195="제외"),"",IF($D195=$E195,IF(AND($D195&gt;=CJ$5,$D195&lt;CJ$5+7),"◆",""),IF(AND($D195&lt;CJ$5+7,$E195&gt;CJ$5),"■","")))</x:f>
      </x:c>
      <x:c r="CK195" s="7" t="str">
        <x:f>IF(OR($D195="",CK$5="",'상세일정'!AM195="제외"),"",IF($D195=$E195,IF(AND($D195&gt;=CK$5,$D195&lt;CK$5+7),"◆",""),IF(AND($D195&lt;CK$5+7,$E195&gt;CK$5),"■","")))</x:f>
      </x:c>
      <x:c r="CL195" s="7" t="str">
        <x:f>IF(OR($D195="",CL$5="",'상세일정'!AM195="제외"),"",IF($D195=$E195,IF(AND($D195&gt;=CL$5,$D195&lt;CL$5+7),"◆",""),IF(AND($D195&lt;CL$5+7,$E195&gt;CL$5),"■","")))</x:f>
      </x:c>
      <x:c r="CM195" s="7" t="str">
        <x:f>IF(OR($D195="",CM$5="",'상세일정'!AM195="제외"),"",IF($D195=$E195,IF(AND($D195&gt;=CM$5,$D195&lt;CM$5+7),"◆",""),IF(AND($D195&lt;CM$5+7,$E195&gt;CM$5),"■","")))</x:f>
      </x:c>
      <x:c r="CN195" s="7" t="str">
        <x:f>IF(OR($D195="",CN$5="",'상세일정'!AM195="제외"),"",IF($D195=$E195,IF(AND($D195&gt;=CN$5,$D195&lt;CN$5+7),"◆",""),IF(AND($D195&lt;CN$5+7,$E195&gt;CN$5),"■","")))</x:f>
      </x:c>
      <x:c r="CO195" s="7" t="str">
        <x:f>IF(OR($D195="",CO$5="",'상세일정'!AM195="제외"),"",IF($D195=$E195,IF(AND($D195&gt;=CO$5,$D195&lt;CO$5+7),"◆",""),IF(AND($D195&lt;CO$5+7,$E195&gt;CO$5),"■","")))</x:f>
      </x:c>
      <x:c r="CP195" s="7" t="str">
        <x:f>IF(OR($D195="",CP$5="",'상세일정'!AM195="제외"),"",IF($D195=$E195,IF(AND($D195&gt;=CP$5,$D195&lt;CP$5+7),"◆",""),IF(AND($D195&lt;CP$5+7,$E195&gt;CP$5),"■","")))</x:f>
      </x:c>
      <x:c r="CQ195" s="7" t="str">
        <x:f>IF(OR($D195="",CQ$5="",'상세일정'!AM195="제외"),"",IF($D195=$E195,IF(AND($D195&gt;=CQ$5,$D195&lt;CQ$5+7),"◆",""),IF(AND($D195&lt;CQ$5+7,$E195&gt;CQ$5),"■","")))</x:f>
      </x:c>
      <x:c r="CR195" s="7" t="str">
        <x:f>IF(OR($D195="",CR$5="",'상세일정'!AM195="제외"),"",IF($D195=$E195,IF(AND($D195&gt;=CR$5,$D195&lt;CR$5+7),"◆",""),IF(AND($D195&lt;CR$5+7,$E195&gt;CR$5),"■","")))</x:f>
      </x:c>
      <x:c r="CS195" s="7" t="str">
        <x:f>IF(OR($D195="",CS$5="",'상세일정'!AM195="제외"),"",IF($D195=$E195,IF(AND($D195&gt;=CS$5,$D195&lt;CS$5+7),"◆",""),IF(AND($D195&lt;CS$5+7,$E195&gt;CS$5),"■","")))</x:f>
      </x:c>
      <x:c r="CT195" s="7" t="str">
        <x:f>IF(OR($D195="",CT$5="",'상세일정'!AM195="제외"),"",IF($D195=$E195,IF(AND($D195&gt;=CT$5,$D195&lt;CT$5+7),"◆",""),IF(AND($D195&lt;CT$5+7,$E195&gt;CT$5),"■","")))</x:f>
      </x:c>
      <x:c r="CU195" s="7" t="str">
        <x:f>IF(OR($D195="",CU$5="",'상세일정'!AM195="제외"),"",IF($D195=$E195,IF(AND($D195&gt;=CU$5,$D195&lt;CU$5+7),"◆",""),IF(AND($D195&lt;CU$5+7,$E195&gt;CU$5),"■","")))</x:f>
      </x:c>
      <x:c r="CV195" s="7" t="str">
        <x:f>IF(OR($D195="",CV$5="",'상세일정'!AM195="제외"),"",IF($D195=$E195,IF(AND($D195&gt;=CV$5,$D195&lt;CV$5+7),"◆",""),IF(AND($D195&lt;CV$5+7,$E195&gt;CV$5),"■","")))</x:f>
      </x:c>
      <x:c r="CW195" s="7" t="str">
        <x:f>IF(OR($D195="",CW$5="",'상세일정'!AM195="제외"),"",IF($D195=$E195,IF(AND($D195&gt;=CW$5,$D195&lt;CW$5+7),"◆",""),IF(AND($D195&lt;CW$5+7,$E195&gt;CW$5),"■","")))</x:f>
      </x:c>
      <x:c r="CX195" s="7" t="str">
        <x:f>IF(OR($D195="",CX$5="",'상세일정'!AM195="제외"),"",IF($D195=$E195,IF(AND($D195&gt;=CX$5,$D195&lt;CX$5+7),"◆",""),IF(AND($D195&lt;CX$5+7,$E195&gt;CX$5),"■","")))</x:f>
      </x:c>
      <x:c r="CY195" s="7" t="str">
        <x:f>IF(OR($D195="",CY$5="",'상세일정'!AM195="제외"),"",IF($D195=$E195,IF(AND($D195&gt;=CY$5,$D195&lt;CY$5+7),"◆",""),IF(AND($D195&lt;CY$5+7,$E195&gt;CY$5),"■","")))</x:f>
      </x:c>
      <x:c r="CZ195" s="7" t="str">
        <x:f>IF(OR($D195="",CZ$5="",'상세일정'!AM195="제외"),"",IF($D195=$E195,IF(AND($D195&gt;=CZ$5,$D195&lt;CZ$5+7),"◆",""),IF(AND($D195&lt;CZ$5+7,$E195&gt;CZ$5),"■","")))</x:f>
      </x:c>
      <x:c r="DA195" s="7" t="str">
        <x:f>IF(OR($D195="",DA$5="",'상세일정'!AM195="제외"),"",IF($D195=$E195,IF(AND($D195&gt;=DA$5,$D195&lt;DA$5+7),"◆",""),IF(AND($D195&lt;DA$5+7,$E195&gt;DA$5),"■","")))</x:f>
      </x:c>
      <x:c r="DB195" s="7" t="str">
        <x:f>IF(OR($D195="",DB$5="",'상세일정'!AM195="제외"),"",IF($D195=$E195,IF(AND($D195&gt;=DB$5,$D195&lt;DB$5+7),"◆",""),IF(AND($D195&lt;DB$5+7,$E195&gt;DB$5),"■","")))</x:f>
      </x:c>
      <x:c r="DC195" s="7" t="str">
        <x:f>IF(OR($D195="",DC$5="",'상세일정'!AM195="제외"),"",IF($D195=$E195,IF(AND($D195&gt;=DC$5,$D195&lt;DC$5+7),"◆",""),IF(AND($D195&lt;DC$5+7,$E195&gt;DC$5),"■","")))</x:f>
      </x:c>
      <x:c r="DD195" s="7" t="str">
        <x:f>IF(OR($D195="",DD$5="",'상세일정'!AM195="제외"),"",IF($D195=$E195,IF(AND($D195&gt;=DD$5,$D195&lt;DD$5+7),"◆",""),IF(AND($D195&lt;DD$5+7,$E195&gt;DD$5),"■","")))</x:f>
      </x:c>
      <x:c r="DE195" s="7" t="str">
        <x:f>IF(OR($D195="",DE$5="",'상세일정'!AM195="제외"),"",IF($D195=$E195,IF(AND($D195&gt;=DE$5,$D195&lt;DE$5+7),"◆",""),IF(AND($D195&lt;DE$5+7,$E195&gt;DE$5),"■","")))</x:f>
      </x:c>
    </x:row>
    <x:row r="196" ht="34" customHeight="1">
      <x:c r="A196" s="7" t="str">
        <x:v>MP03</x:v>
      </x:c>
      <x:c r="B196" s="7" t="str">
        <x:v>22 배관 시공</x:v>
      </x:c>
      <x:c r="C196" s="7" t="str">
        <x:v>주설비 연결배관·밸브·지지대 설치</x:v>
      </x:c>
      <x:c r="D196" s="10" t="str">
        <x:f>'상세일정'!AJ196</x:f>
      </x:c>
      <x:c r="E196" s="10" t="str">
        <x:f>'상세일정'!AK196</x:f>
      </x:c>
      <x:c r="F196" s="7" t="str">
        <x:f>IF(OR($D196="",F$5="",'상세일정'!AM196="제외"),"",IF($D196=$E196,IF(AND($D196&gt;=F$5,$D196&lt;F$5+7),"◆",""),IF(AND($D196&lt;F$5+7,$E196&gt;F$5),"■","")))</x:f>
      </x:c>
      <x:c r="G196" s="7" t="str">
        <x:f>IF(OR($D196="",G$5="",'상세일정'!AM196="제외"),"",IF($D196=$E196,IF(AND($D196&gt;=G$5,$D196&lt;G$5+7),"◆",""),IF(AND($D196&lt;G$5+7,$E196&gt;G$5),"■","")))</x:f>
      </x:c>
      <x:c r="H196" s="7" t="str">
        <x:f>IF(OR($D196="",H$5="",'상세일정'!AM196="제외"),"",IF($D196=$E196,IF(AND($D196&gt;=H$5,$D196&lt;H$5+7),"◆",""),IF(AND($D196&lt;H$5+7,$E196&gt;H$5),"■","")))</x:f>
      </x:c>
      <x:c r="I196" s="7" t="str">
        <x:f>IF(OR($D196="",I$5="",'상세일정'!AM196="제외"),"",IF($D196=$E196,IF(AND($D196&gt;=I$5,$D196&lt;I$5+7),"◆",""),IF(AND($D196&lt;I$5+7,$E196&gt;I$5),"■","")))</x:f>
      </x:c>
      <x:c r="J196" s="7" t="str">
        <x:f>IF(OR($D196="",J$5="",'상세일정'!AM196="제외"),"",IF($D196=$E196,IF(AND($D196&gt;=J$5,$D196&lt;J$5+7),"◆",""),IF(AND($D196&lt;J$5+7,$E196&gt;J$5),"■","")))</x:f>
      </x:c>
      <x:c r="K196" s="7" t="str">
        <x:f>IF(OR($D196="",K$5="",'상세일정'!AM196="제외"),"",IF($D196=$E196,IF(AND($D196&gt;=K$5,$D196&lt;K$5+7),"◆",""),IF(AND($D196&lt;K$5+7,$E196&gt;K$5),"■","")))</x:f>
      </x:c>
      <x:c r="L196" s="7" t="str">
        <x:f>IF(OR($D196="",L$5="",'상세일정'!AM196="제외"),"",IF($D196=$E196,IF(AND($D196&gt;=L$5,$D196&lt;L$5+7),"◆",""),IF(AND($D196&lt;L$5+7,$E196&gt;L$5),"■","")))</x:f>
      </x:c>
      <x:c r="M196" s="7" t="str">
        <x:f>IF(OR($D196="",M$5="",'상세일정'!AM196="제외"),"",IF($D196=$E196,IF(AND($D196&gt;=M$5,$D196&lt;M$5+7),"◆",""),IF(AND($D196&lt;M$5+7,$E196&gt;M$5),"■","")))</x:f>
      </x:c>
      <x:c r="N196" s="7" t="str">
        <x:f>IF(OR($D196="",N$5="",'상세일정'!AM196="제외"),"",IF($D196=$E196,IF(AND($D196&gt;=N$5,$D196&lt;N$5+7),"◆",""),IF(AND($D196&lt;N$5+7,$E196&gt;N$5),"■","")))</x:f>
      </x:c>
      <x:c r="O196" s="7" t="str">
        <x:f>IF(OR($D196="",O$5="",'상세일정'!AM196="제외"),"",IF($D196=$E196,IF(AND($D196&gt;=O$5,$D196&lt;O$5+7),"◆",""),IF(AND($D196&lt;O$5+7,$E196&gt;O$5),"■","")))</x:f>
      </x:c>
      <x:c r="P196" s="7" t="str">
        <x:f>IF(OR($D196="",P$5="",'상세일정'!AM196="제외"),"",IF($D196=$E196,IF(AND($D196&gt;=P$5,$D196&lt;P$5+7),"◆",""),IF(AND($D196&lt;P$5+7,$E196&gt;P$5),"■","")))</x:f>
      </x:c>
      <x:c r="Q196" s="7" t="str">
        <x:f>IF(OR($D196="",Q$5="",'상세일정'!AM196="제외"),"",IF($D196=$E196,IF(AND($D196&gt;=Q$5,$D196&lt;Q$5+7),"◆",""),IF(AND($D196&lt;Q$5+7,$E196&gt;Q$5),"■","")))</x:f>
      </x:c>
      <x:c r="R196" s="7" t="str">
        <x:f>IF(OR($D196="",R$5="",'상세일정'!AM196="제외"),"",IF($D196=$E196,IF(AND($D196&gt;=R$5,$D196&lt;R$5+7),"◆",""),IF(AND($D196&lt;R$5+7,$E196&gt;R$5),"■","")))</x:f>
      </x:c>
      <x:c r="S196" s="7" t="str">
        <x:f>IF(OR($D196="",S$5="",'상세일정'!AM196="제외"),"",IF($D196=$E196,IF(AND($D196&gt;=S$5,$D196&lt;S$5+7),"◆",""),IF(AND($D196&lt;S$5+7,$E196&gt;S$5),"■","")))</x:f>
      </x:c>
      <x:c r="T196" s="7" t="str">
        <x:f>IF(OR($D196="",T$5="",'상세일정'!AM196="제외"),"",IF($D196=$E196,IF(AND($D196&gt;=T$5,$D196&lt;T$5+7),"◆",""),IF(AND($D196&lt;T$5+7,$E196&gt;T$5),"■","")))</x:f>
      </x:c>
      <x:c r="U196" s="7" t="str">
        <x:f>IF(OR($D196="",U$5="",'상세일정'!AM196="제외"),"",IF($D196=$E196,IF(AND($D196&gt;=U$5,$D196&lt;U$5+7),"◆",""),IF(AND($D196&lt;U$5+7,$E196&gt;U$5),"■","")))</x:f>
      </x:c>
      <x:c r="V196" s="7" t="str">
        <x:f>IF(OR($D196="",V$5="",'상세일정'!AM196="제외"),"",IF($D196=$E196,IF(AND($D196&gt;=V$5,$D196&lt;V$5+7),"◆",""),IF(AND($D196&lt;V$5+7,$E196&gt;V$5),"■","")))</x:f>
      </x:c>
      <x:c r="W196" s="7" t="str">
        <x:f>IF(OR($D196="",W$5="",'상세일정'!AM196="제외"),"",IF($D196=$E196,IF(AND($D196&gt;=W$5,$D196&lt;W$5+7),"◆",""),IF(AND($D196&lt;W$5+7,$E196&gt;W$5),"■","")))</x:f>
      </x:c>
      <x:c r="X196" s="7" t="str">
        <x:f>IF(OR($D196="",X$5="",'상세일정'!AM196="제외"),"",IF($D196=$E196,IF(AND($D196&gt;=X$5,$D196&lt;X$5+7),"◆",""),IF(AND($D196&lt;X$5+7,$E196&gt;X$5),"■","")))</x:f>
      </x:c>
      <x:c r="Y196" s="7" t="str">
        <x:f>IF(OR($D196="",Y$5="",'상세일정'!AM196="제외"),"",IF($D196=$E196,IF(AND($D196&gt;=Y$5,$D196&lt;Y$5+7),"◆",""),IF(AND($D196&lt;Y$5+7,$E196&gt;Y$5),"■","")))</x:f>
      </x:c>
      <x:c r="Z196" s="7" t="str">
        <x:f>IF(OR($D196="",Z$5="",'상세일정'!AM196="제외"),"",IF($D196=$E196,IF(AND($D196&gt;=Z$5,$D196&lt;Z$5+7),"◆",""),IF(AND($D196&lt;Z$5+7,$E196&gt;Z$5),"■","")))</x:f>
      </x:c>
      <x:c r="AA196" s="7" t="str">
        <x:f>IF(OR($D196="",AA$5="",'상세일정'!AM196="제외"),"",IF($D196=$E196,IF(AND($D196&gt;=AA$5,$D196&lt;AA$5+7),"◆",""),IF(AND($D196&lt;AA$5+7,$E196&gt;AA$5),"■","")))</x:f>
      </x:c>
      <x:c r="AB196" s="7" t="str">
        <x:f>IF(OR($D196="",AB$5="",'상세일정'!AM196="제외"),"",IF($D196=$E196,IF(AND($D196&gt;=AB$5,$D196&lt;AB$5+7),"◆",""),IF(AND($D196&lt;AB$5+7,$E196&gt;AB$5),"■","")))</x:f>
      </x:c>
      <x:c r="AC196" s="7" t="str">
        <x:f>IF(OR($D196="",AC$5="",'상세일정'!AM196="제외"),"",IF($D196=$E196,IF(AND($D196&gt;=AC$5,$D196&lt;AC$5+7),"◆",""),IF(AND($D196&lt;AC$5+7,$E196&gt;AC$5),"■","")))</x:f>
      </x:c>
      <x:c r="AD196" s="7" t="str">
        <x:f>IF(OR($D196="",AD$5="",'상세일정'!AM196="제외"),"",IF($D196=$E196,IF(AND($D196&gt;=AD$5,$D196&lt;AD$5+7),"◆",""),IF(AND($D196&lt;AD$5+7,$E196&gt;AD$5),"■","")))</x:f>
      </x:c>
      <x:c r="AE196" s="7" t="str">
        <x:f>IF(OR($D196="",AE$5="",'상세일정'!AM196="제외"),"",IF($D196=$E196,IF(AND($D196&gt;=AE$5,$D196&lt;AE$5+7),"◆",""),IF(AND($D196&lt;AE$5+7,$E196&gt;AE$5),"■","")))</x:f>
      </x:c>
      <x:c r="AF196" s="7" t="str">
        <x:f>IF(OR($D196="",AF$5="",'상세일정'!AM196="제외"),"",IF($D196=$E196,IF(AND($D196&gt;=AF$5,$D196&lt;AF$5+7),"◆",""),IF(AND($D196&lt;AF$5+7,$E196&gt;AF$5),"■","")))</x:f>
      </x:c>
      <x:c r="AG196" s="7" t="str">
        <x:f>IF(OR($D196="",AG$5="",'상세일정'!AM196="제외"),"",IF($D196=$E196,IF(AND($D196&gt;=AG$5,$D196&lt;AG$5+7),"◆",""),IF(AND($D196&lt;AG$5+7,$E196&gt;AG$5),"■","")))</x:f>
      </x:c>
      <x:c r="AH196" s="7" t="str">
        <x:f>IF(OR($D196="",AH$5="",'상세일정'!AM196="제외"),"",IF($D196=$E196,IF(AND($D196&gt;=AH$5,$D196&lt;AH$5+7),"◆",""),IF(AND($D196&lt;AH$5+7,$E196&gt;AH$5),"■","")))</x:f>
      </x:c>
      <x:c r="AI196" s="7" t="str">
        <x:f>IF(OR($D196="",AI$5="",'상세일정'!AM196="제외"),"",IF($D196=$E196,IF(AND($D196&gt;=AI$5,$D196&lt;AI$5+7),"◆",""),IF(AND($D196&lt;AI$5+7,$E196&gt;AI$5),"■","")))</x:f>
      </x:c>
      <x:c r="AJ196" s="7" t="str">
        <x:f>IF(OR($D196="",AJ$5="",'상세일정'!AM196="제외"),"",IF($D196=$E196,IF(AND($D196&gt;=AJ$5,$D196&lt;AJ$5+7),"◆",""),IF(AND($D196&lt;AJ$5+7,$E196&gt;AJ$5),"■","")))</x:f>
      </x:c>
      <x:c r="AK196" s="7" t="str">
        <x:f>IF(OR($D196="",AK$5="",'상세일정'!AM196="제외"),"",IF($D196=$E196,IF(AND($D196&gt;=AK$5,$D196&lt;AK$5+7),"◆",""),IF(AND($D196&lt;AK$5+7,$E196&gt;AK$5),"■","")))</x:f>
      </x:c>
      <x:c r="AL196" s="7" t="str">
        <x:f>IF(OR($D196="",AL$5="",'상세일정'!AM196="제외"),"",IF($D196=$E196,IF(AND($D196&gt;=AL$5,$D196&lt;AL$5+7),"◆",""),IF(AND($D196&lt;AL$5+7,$E196&gt;AL$5),"■","")))</x:f>
      </x:c>
      <x:c r="AM196" s="7" t="str">
        <x:f>IF(OR($D196="",AM$5="",'상세일정'!AM196="제외"),"",IF($D196=$E196,IF(AND($D196&gt;=AM$5,$D196&lt;AM$5+7),"◆",""),IF(AND($D196&lt;AM$5+7,$E196&gt;AM$5),"■","")))</x:f>
      </x:c>
      <x:c r="AN196" s="7" t="str">
        <x:f>IF(OR($D196="",AN$5="",'상세일정'!AM196="제외"),"",IF($D196=$E196,IF(AND($D196&gt;=AN$5,$D196&lt;AN$5+7),"◆",""),IF(AND($D196&lt;AN$5+7,$E196&gt;AN$5),"■","")))</x:f>
      </x:c>
      <x:c r="AO196" s="7" t="str">
        <x:f>IF(OR($D196="",AO$5="",'상세일정'!AM196="제외"),"",IF($D196=$E196,IF(AND($D196&gt;=AO$5,$D196&lt;AO$5+7),"◆",""),IF(AND($D196&lt;AO$5+7,$E196&gt;AO$5),"■","")))</x:f>
      </x:c>
      <x:c r="AP196" s="7" t="str">
        <x:f>IF(OR($D196="",AP$5="",'상세일정'!AM196="제외"),"",IF($D196=$E196,IF(AND($D196&gt;=AP$5,$D196&lt;AP$5+7),"◆",""),IF(AND($D196&lt;AP$5+7,$E196&gt;AP$5),"■","")))</x:f>
      </x:c>
      <x:c r="AQ196" s="7" t="str">
        <x:f>IF(OR($D196="",AQ$5="",'상세일정'!AM196="제외"),"",IF($D196=$E196,IF(AND($D196&gt;=AQ$5,$D196&lt;AQ$5+7),"◆",""),IF(AND($D196&lt;AQ$5+7,$E196&gt;AQ$5),"■","")))</x:f>
      </x:c>
      <x:c r="AR196" s="7" t="str">
        <x:f>IF(OR($D196="",AR$5="",'상세일정'!AM196="제외"),"",IF($D196=$E196,IF(AND($D196&gt;=AR$5,$D196&lt;AR$5+7),"◆",""),IF(AND($D196&lt;AR$5+7,$E196&gt;AR$5),"■","")))</x:f>
      </x:c>
      <x:c r="AS196" s="7" t="str">
        <x:f>IF(OR($D196="",AS$5="",'상세일정'!AM196="제외"),"",IF($D196=$E196,IF(AND($D196&gt;=AS$5,$D196&lt;AS$5+7),"◆",""),IF(AND($D196&lt;AS$5+7,$E196&gt;AS$5),"■","")))</x:f>
      </x:c>
      <x:c r="AT196" s="7" t="str">
        <x:f>IF(OR($D196="",AT$5="",'상세일정'!AM196="제외"),"",IF($D196=$E196,IF(AND($D196&gt;=AT$5,$D196&lt;AT$5+7),"◆",""),IF(AND($D196&lt;AT$5+7,$E196&gt;AT$5),"■","")))</x:f>
      </x:c>
      <x:c r="AU196" s="7" t="str">
        <x:f>IF(OR($D196="",AU$5="",'상세일정'!AM196="제외"),"",IF($D196=$E196,IF(AND($D196&gt;=AU$5,$D196&lt;AU$5+7),"◆",""),IF(AND($D196&lt;AU$5+7,$E196&gt;AU$5),"■","")))</x:f>
      </x:c>
      <x:c r="AV196" s="7" t="str">
        <x:f>IF(OR($D196="",AV$5="",'상세일정'!AM196="제외"),"",IF($D196=$E196,IF(AND($D196&gt;=AV$5,$D196&lt;AV$5+7),"◆",""),IF(AND($D196&lt;AV$5+7,$E196&gt;AV$5),"■","")))</x:f>
      </x:c>
      <x:c r="AW196" s="7" t="str">
        <x:f>IF(OR($D196="",AW$5="",'상세일정'!AM196="제외"),"",IF($D196=$E196,IF(AND($D196&gt;=AW$5,$D196&lt;AW$5+7),"◆",""),IF(AND($D196&lt;AW$5+7,$E196&gt;AW$5),"■","")))</x:f>
      </x:c>
      <x:c r="AX196" s="7" t="str">
        <x:f>IF(OR($D196="",AX$5="",'상세일정'!AM196="제외"),"",IF($D196=$E196,IF(AND($D196&gt;=AX$5,$D196&lt;AX$5+7),"◆",""),IF(AND($D196&lt;AX$5+7,$E196&gt;AX$5),"■","")))</x:f>
      </x:c>
      <x:c r="AY196" s="7" t="str">
        <x:f>IF(OR($D196="",AY$5="",'상세일정'!AM196="제외"),"",IF($D196=$E196,IF(AND($D196&gt;=AY$5,$D196&lt;AY$5+7),"◆",""),IF(AND($D196&lt;AY$5+7,$E196&gt;AY$5),"■","")))</x:f>
      </x:c>
      <x:c r="AZ196" s="7" t="str">
        <x:f>IF(OR($D196="",AZ$5="",'상세일정'!AM196="제외"),"",IF($D196=$E196,IF(AND($D196&gt;=AZ$5,$D196&lt;AZ$5+7),"◆",""),IF(AND($D196&lt;AZ$5+7,$E196&gt;AZ$5),"■","")))</x:f>
      </x:c>
      <x:c r="BA196" s="7" t="str">
        <x:f>IF(OR($D196="",BA$5="",'상세일정'!AM196="제외"),"",IF($D196=$E196,IF(AND($D196&gt;=BA$5,$D196&lt;BA$5+7),"◆",""),IF(AND($D196&lt;BA$5+7,$E196&gt;BA$5),"■","")))</x:f>
      </x:c>
      <x:c r="BB196" s="7" t="str">
        <x:f>IF(OR($D196="",BB$5="",'상세일정'!AM196="제외"),"",IF($D196=$E196,IF(AND($D196&gt;=BB$5,$D196&lt;BB$5+7),"◆",""),IF(AND($D196&lt;BB$5+7,$E196&gt;BB$5),"■","")))</x:f>
      </x:c>
      <x:c r="BC196" s="7" t="str">
        <x:f>IF(OR($D196="",BC$5="",'상세일정'!AM196="제외"),"",IF($D196=$E196,IF(AND($D196&gt;=BC$5,$D196&lt;BC$5+7),"◆",""),IF(AND($D196&lt;BC$5+7,$E196&gt;BC$5),"■","")))</x:f>
      </x:c>
      <x:c r="BD196" s="7" t="str">
        <x:f>IF(OR($D196="",BD$5="",'상세일정'!AM196="제외"),"",IF($D196=$E196,IF(AND($D196&gt;=BD$5,$D196&lt;BD$5+7),"◆",""),IF(AND($D196&lt;BD$5+7,$E196&gt;BD$5),"■","")))</x:f>
      </x:c>
      <x:c r="BE196" s="7" t="str">
        <x:f>IF(OR($D196="",BE$5="",'상세일정'!AM196="제외"),"",IF($D196=$E196,IF(AND($D196&gt;=BE$5,$D196&lt;BE$5+7),"◆",""),IF(AND($D196&lt;BE$5+7,$E196&gt;BE$5),"■","")))</x:f>
      </x:c>
      <x:c r="BF196" s="7" t="str">
        <x:f>IF(OR($D196="",BF$5="",'상세일정'!AM196="제외"),"",IF($D196=$E196,IF(AND($D196&gt;=BF$5,$D196&lt;BF$5+7),"◆",""),IF(AND($D196&lt;BF$5+7,$E196&gt;BF$5),"■","")))</x:f>
      </x:c>
      <x:c r="BG196" s="7" t="str">
        <x:f>IF(OR($D196="",BG$5="",'상세일정'!AM196="제외"),"",IF($D196=$E196,IF(AND($D196&gt;=BG$5,$D196&lt;BG$5+7),"◆",""),IF(AND($D196&lt;BG$5+7,$E196&gt;BG$5),"■","")))</x:f>
      </x:c>
      <x:c r="BH196" s="7" t="str">
        <x:f>IF(OR($D196="",BH$5="",'상세일정'!AM196="제외"),"",IF($D196=$E196,IF(AND($D196&gt;=BH$5,$D196&lt;BH$5+7),"◆",""),IF(AND($D196&lt;BH$5+7,$E196&gt;BH$5),"■","")))</x:f>
      </x:c>
      <x:c r="BI196" s="7" t="str">
        <x:f>IF(OR($D196="",BI$5="",'상세일정'!AM196="제외"),"",IF($D196=$E196,IF(AND($D196&gt;=BI$5,$D196&lt;BI$5+7),"◆",""),IF(AND($D196&lt;BI$5+7,$E196&gt;BI$5),"■","")))</x:f>
      </x:c>
      <x:c r="BJ196" s="7" t="str">
        <x:f>IF(OR($D196="",BJ$5="",'상세일정'!AM196="제외"),"",IF($D196=$E196,IF(AND($D196&gt;=BJ$5,$D196&lt;BJ$5+7),"◆",""),IF(AND($D196&lt;BJ$5+7,$E196&gt;BJ$5),"■","")))</x:f>
      </x:c>
      <x:c r="BK196" s="7" t="str">
        <x:f>IF(OR($D196="",BK$5="",'상세일정'!AM196="제외"),"",IF($D196=$E196,IF(AND($D196&gt;=BK$5,$D196&lt;BK$5+7),"◆",""),IF(AND($D196&lt;BK$5+7,$E196&gt;BK$5),"■","")))</x:f>
      </x:c>
      <x:c r="BL196" s="7" t="str">
        <x:f>IF(OR($D196="",BL$5="",'상세일정'!AM196="제외"),"",IF($D196=$E196,IF(AND($D196&gt;=BL$5,$D196&lt;BL$5+7),"◆",""),IF(AND($D196&lt;BL$5+7,$E196&gt;BL$5),"■","")))</x:f>
      </x:c>
      <x:c r="BM196" s="7" t="str">
        <x:f>IF(OR($D196="",BM$5="",'상세일정'!AM196="제외"),"",IF($D196=$E196,IF(AND($D196&gt;=BM$5,$D196&lt;BM$5+7),"◆",""),IF(AND($D196&lt;BM$5+7,$E196&gt;BM$5),"■","")))</x:f>
      </x:c>
      <x:c r="BN196" s="7" t="str">
        <x:f>IF(OR($D196="",BN$5="",'상세일정'!AM196="제외"),"",IF($D196=$E196,IF(AND($D196&gt;=BN$5,$D196&lt;BN$5+7),"◆",""),IF(AND($D196&lt;BN$5+7,$E196&gt;BN$5),"■","")))</x:f>
      </x:c>
      <x:c r="BO196" s="7" t="str">
        <x:f>IF(OR($D196="",BO$5="",'상세일정'!AM196="제외"),"",IF($D196=$E196,IF(AND($D196&gt;=BO$5,$D196&lt;BO$5+7),"◆",""),IF(AND($D196&lt;BO$5+7,$E196&gt;BO$5),"■","")))</x:f>
      </x:c>
      <x:c r="BP196" s="7" t="str">
        <x:f>IF(OR($D196="",BP$5="",'상세일정'!AM196="제외"),"",IF($D196=$E196,IF(AND($D196&gt;=BP$5,$D196&lt;BP$5+7),"◆",""),IF(AND($D196&lt;BP$5+7,$E196&gt;BP$5),"■","")))</x:f>
      </x:c>
      <x:c r="BQ196" s="7" t="str">
        <x:f>IF(OR($D196="",BQ$5="",'상세일정'!AM196="제외"),"",IF($D196=$E196,IF(AND($D196&gt;=BQ$5,$D196&lt;BQ$5+7),"◆",""),IF(AND($D196&lt;BQ$5+7,$E196&gt;BQ$5),"■","")))</x:f>
      </x:c>
      <x:c r="BR196" s="7" t="str">
        <x:f>IF(OR($D196="",BR$5="",'상세일정'!AM196="제외"),"",IF($D196=$E196,IF(AND($D196&gt;=BR$5,$D196&lt;BR$5+7),"◆",""),IF(AND($D196&lt;BR$5+7,$E196&gt;BR$5),"■","")))</x:f>
      </x:c>
      <x:c r="BS196" s="7" t="str">
        <x:f>IF(OR($D196="",BS$5="",'상세일정'!AM196="제외"),"",IF($D196=$E196,IF(AND($D196&gt;=BS$5,$D196&lt;BS$5+7),"◆",""),IF(AND($D196&lt;BS$5+7,$E196&gt;BS$5),"■","")))</x:f>
      </x:c>
      <x:c r="BT196" s="7" t="str">
        <x:f>IF(OR($D196="",BT$5="",'상세일정'!AM196="제외"),"",IF($D196=$E196,IF(AND($D196&gt;=BT$5,$D196&lt;BT$5+7),"◆",""),IF(AND($D196&lt;BT$5+7,$E196&gt;BT$5),"■","")))</x:f>
      </x:c>
      <x:c r="BU196" s="7" t="str">
        <x:f>IF(OR($D196="",BU$5="",'상세일정'!AM196="제외"),"",IF($D196=$E196,IF(AND($D196&gt;=BU$5,$D196&lt;BU$5+7),"◆",""),IF(AND($D196&lt;BU$5+7,$E196&gt;BU$5),"■","")))</x:f>
      </x:c>
      <x:c r="BV196" s="7" t="str">
        <x:f>IF(OR($D196="",BV$5="",'상세일정'!AM196="제외"),"",IF($D196=$E196,IF(AND($D196&gt;=BV$5,$D196&lt;BV$5+7),"◆",""),IF(AND($D196&lt;BV$5+7,$E196&gt;BV$5),"■","")))</x:f>
      </x:c>
      <x:c r="BW196" s="7" t="str">
        <x:f>IF(OR($D196="",BW$5="",'상세일정'!AM196="제외"),"",IF($D196=$E196,IF(AND($D196&gt;=BW$5,$D196&lt;BW$5+7),"◆",""),IF(AND($D196&lt;BW$5+7,$E196&gt;BW$5),"■","")))</x:f>
      </x:c>
      <x:c r="BX196" s="7" t="str">
        <x:f>IF(OR($D196="",BX$5="",'상세일정'!AM196="제외"),"",IF($D196=$E196,IF(AND($D196&gt;=BX$5,$D196&lt;BX$5+7),"◆",""),IF(AND($D196&lt;BX$5+7,$E196&gt;BX$5),"■","")))</x:f>
      </x:c>
      <x:c r="BY196" s="7" t="str">
        <x:f>IF(OR($D196="",BY$5="",'상세일정'!AM196="제외"),"",IF($D196=$E196,IF(AND($D196&gt;=BY$5,$D196&lt;BY$5+7),"◆",""),IF(AND($D196&lt;BY$5+7,$E196&gt;BY$5),"■","")))</x:f>
      </x:c>
      <x:c r="BZ196" s="7" t="str">
        <x:f>IF(OR($D196="",BZ$5="",'상세일정'!AM196="제외"),"",IF($D196=$E196,IF(AND($D196&gt;=BZ$5,$D196&lt;BZ$5+7),"◆",""),IF(AND($D196&lt;BZ$5+7,$E196&gt;BZ$5),"■","")))</x:f>
      </x:c>
      <x:c r="CA196" s="7" t="str">
        <x:f>IF(OR($D196="",CA$5="",'상세일정'!AM196="제외"),"",IF($D196=$E196,IF(AND($D196&gt;=CA$5,$D196&lt;CA$5+7),"◆",""),IF(AND($D196&lt;CA$5+7,$E196&gt;CA$5),"■","")))</x:f>
      </x:c>
      <x:c r="CB196" s="7" t="str">
        <x:f>IF(OR($D196="",CB$5="",'상세일정'!AM196="제외"),"",IF($D196=$E196,IF(AND($D196&gt;=CB$5,$D196&lt;CB$5+7),"◆",""),IF(AND($D196&lt;CB$5+7,$E196&gt;CB$5),"■","")))</x:f>
      </x:c>
      <x:c r="CC196" s="7" t="str">
        <x:f>IF(OR($D196="",CC$5="",'상세일정'!AM196="제외"),"",IF($D196=$E196,IF(AND($D196&gt;=CC$5,$D196&lt;CC$5+7),"◆",""),IF(AND($D196&lt;CC$5+7,$E196&gt;CC$5),"■","")))</x:f>
      </x:c>
      <x:c r="CD196" s="7" t="str">
        <x:f>IF(OR($D196="",CD$5="",'상세일정'!AM196="제외"),"",IF($D196=$E196,IF(AND($D196&gt;=CD$5,$D196&lt;CD$5+7),"◆",""),IF(AND($D196&lt;CD$5+7,$E196&gt;CD$5),"■","")))</x:f>
      </x:c>
      <x:c r="CE196" s="7" t="str">
        <x:f>IF(OR($D196="",CE$5="",'상세일정'!AM196="제외"),"",IF($D196=$E196,IF(AND($D196&gt;=CE$5,$D196&lt;CE$5+7),"◆",""),IF(AND($D196&lt;CE$5+7,$E196&gt;CE$5),"■","")))</x:f>
      </x:c>
      <x:c r="CF196" s="7" t="str">
        <x:f>IF(OR($D196="",CF$5="",'상세일정'!AM196="제외"),"",IF($D196=$E196,IF(AND($D196&gt;=CF$5,$D196&lt;CF$5+7),"◆",""),IF(AND($D196&lt;CF$5+7,$E196&gt;CF$5),"■","")))</x:f>
      </x:c>
      <x:c r="CG196" s="7" t="str">
        <x:f>IF(OR($D196="",CG$5="",'상세일정'!AM196="제외"),"",IF($D196=$E196,IF(AND($D196&gt;=CG$5,$D196&lt;CG$5+7),"◆",""),IF(AND($D196&lt;CG$5+7,$E196&gt;CG$5),"■","")))</x:f>
      </x:c>
      <x:c r="CH196" s="7" t="str">
        <x:f>IF(OR($D196="",CH$5="",'상세일정'!AM196="제외"),"",IF($D196=$E196,IF(AND($D196&gt;=CH$5,$D196&lt;CH$5+7),"◆",""),IF(AND($D196&lt;CH$5+7,$E196&gt;CH$5),"■","")))</x:f>
      </x:c>
      <x:c r="CI196" s="7" t="str">
        <x:f>IF(OR($D196="",CI$5="",'상세일정'!AM196="제외"),"",IF($D196=$E196,IF(AND($D196&gt;=CI$5,$D196&lt;CI$5+7),"◆",""),IF(AND($D196&lt;CI$5+7,$E196&gt;CI$5),"■","")))</x:f>
      </x:c>
      <x:c r="CJ196" s="7" t="str">
        <x:f>IF(OR($D196="",CJ$5="",'상세일정'!AM196="제외"),"",IF($D196=$E196,IF(AND($D196&gt;=CJ$5,$D196&lt;CJ$5+7),"◆",""),IF(AND($D196&lt;CJ$5+7,$E196&gt;CJ$5),"■","")))</x:f>
      </x:c>
      <x:c r="CK196" s="7" t="str">
        <x:f>IF(OR($D196="",CK$5="",'상세일정'!AM196="제외"),"",IF($D196=$E196,IF(AND($D196&gt;=CK$5,$D196&lt;CK$5+7),"◆",""),IF(AND($D196&lt;CK$5+7,$E196&gt;CK$5),"■","")))</x:f>
      </x:c>
      <x:c r="CL196" s="7" t="str">
        <x:f>IF(OR($D196="",CL$5="",'상세일정'!AM196="제외"),"",IF($D196=$E196,IF(AND($D196&gt;=CL$5,$D196&lt;CL$5+7),"◆",""),IF(AND($D196&lt;CL$5+7,$E196&gt;CL$5),"■","")))</x:f>
      </x:c>
      <x:c r="CM196" s="7" t="str">
        <x:f>IF(OR($D196="",CM$5="",'상세일정'!AM196="제외"),"",IF($D196=$E196,IF(AND($D196&gt;=CM$5,$D196&lt;CM$5+7),"◆",""),IF(AND($D196&lt;CM$5+7,$E196&gt;CM$5),"■","")))</x:f>
      </x:c>
      <x:c r="CN196" s="7" t="str">
        <x:f>IF(OR($D196="",CN$5="",'상세일정'!AM196="제외"),"",IF($D196=$E196,IF(AND($D196&gt;=CN$5,$D196&lt;CN$5+7),"◆",""),IF(AND($D196&lt;CN$5+7,$E196&gt;CN$5),"■","")))</x:f>
      </x:c>
      <x:c r="CO196" s="7" t="str">
        <x:f>IF(OR($D196="",CO$5="",'상세일정'!AM196="제외"),"",IF($D196=$E196,IF(AND($D196&gt;=CO$5,$D196&lt;CO$5+7),"◆",""),IF(AND($D196&lt;CO$5+7,$E196&gt;CO$5),"■","")))</x:f>
      </x:c>
      <x:c r="CP196" s="7" t="str">
        <x:f>IF(OR($D196="",CP$5="",'상세일정'!AM196="제외"),"",IF($D196=$E196,IF(AND($D196&gt;=CP$5,$D196&lt;CP$5+7),"◆",""),IF(AND($D196&lt;CP$5+7,$E196&gt;CP$5),"■","")))</x:f>
      </x:c>
      <x:c r="CQ196" s="7" t="str">
        <x:f>IF(OR($D196="",CQ$5="",'상세일정'!AM196="제외"),"",IF($D196=$E196,IF(AND($D196&gt;=CQ$5,$D196&lt;CQ$5+7),"◆",""),IF(AND($D196&lt;CQ$5+7,$E196&gt;CQ$5),"■","")))</x:f>
      </x:c>
      <x:c r="CR196" s="7" t="str">
        <x:f>IF(OR($D196="",CR$5="",'상세일정'!AM196="제외"),"",IF($D196=$E196,IF(AND($D196&gt;=CR$5,$D196&lt;CR$5+7),"◆",""),IF(AND($D196&lt;CR$5+7,$E196&gt;CR$5),"■","")))</x:f>
      </x:c>
      <x:c r="CS196" s="7" t="str">
        <x:f>IF(OR($D196="",CS$5="",'상세일정'!AM196="제외"),"",IF($D196=$E196,IF(AND($D196&gt;=CS$5,$D196&lt;CS$5+7),"◆",""),IF(AND($D196&lt;CS$5+7,$E196&gt;CS$5),"■","")))</x:f>
      </x:c>
      <x:c r="CT196" s="7" t="str">
        <x:f>IF(OR($D196="",CT$5="",'상세일정'!AM196="제외"),"",IF($D196=$E196,IF(AND($D196&gt;=CT$5,$D196&lt;CT$5+7),"◆",""),IF(AND($D196&lt;CT$5+7,$E196&gt;CT$5),"■","")))</x:f>
      </x:c>
      <x:c r="CU196" s="7" t="str">
        <x:f>IF(OR($D196="",CU$5="",'상세일정'!AM196="제외"),"",IF($D196=$E196,IF(AND($D196&gt;=CU$5,$D196&lt;CU$5+7),"◆",""),IF(AND($D196&lt;CU$5+7,$E196&gt;CU$5),"■","")))</x:f>
      </x:c>
      <x:c r="CV196" s="7" t="str">
        <x:f>IF(OR($D196="",CV$5="",'상세일정'!AM196="제외"),"",IF($D196=$E196,IF(AND($D196&gt;=CV$5,$D196&lt;CV$5+7),"◆",""),IF(AND($D196&lt;CV$5+7,$E196&gt;CV$5),"■","")))</x:f>
      </x:c>
      <x:c r="CW196" s="7" t="str">
        <x:f>IF(OR($D196="",CW$5="",'상세일정'!AM196="제외"),"",IF($D196=$E196,IF(AND($D196&gt;=CW$5,$D196&lt;CW$5+7),"◆",""),IF(AND($D196&lt;CW$5+7,$E196&gt;CW$5),"■","")))</x:f>
      </x:c>
      <x:c r="CX196" s="7" t="str">
        <x:f>IF(OR($D196="",CX$5="",'상세일정'!AM196="제외"),"",IF($D196=$E196,IF(AND($D196&gt;=CX$5,$D196&lt;CX$5+7),"◆",""),IF(AND($D196&lt;CX$5+7,$E196&gt;CX$5),"■","")))</x:f>
      </x:c>
      <x:c r="CY196" s="7" t="str">
        <x:f>IF(OR($D196="",CY$5="",'상세일정'!AM196="제외"),"",IF($D196=$E196,IF(AND($D196&gt;=CY$5,$D196&lt;CY$5+7),"◆",""),IF(AND($D196&lt;CY$5+7,$E196&gt;CY$5),"■","")))</x:f>
      </x:c>
      <x:c r="CZ196" s="7" t="str">
        <x:f>IF(OR($D196="",CZ$5="",'상세일정'!AM196="제외"),"",IF($D196=$E196,IF(AND($D196&gt;=CZ$5,$D196&lt;CZ$5+7),"◆",""),IF(AND($D196&lt;CZ$5+7,$E196&gt;CZ$5),"■","")))</x:f>
      </x:c>
      <x:c r="DA196" s="7" t="str">
        <x:f>IF(OR($D196="",DA$5="",'상세일정'!AM196="제외"),"",IF($D196=$E196,IF(AND($D196&gt;=DA$5,$D196&lt;DA$5+7),"◆",""),IF(AND($D196&lt;DA$5+7,$E196&gt;DA$5),"■","")))</x:f>
      </x:c>
      <x:c r="DB196" s="7" t="str">
        <x:f>IF(OR($D196="",DB$5="",'상세일정'!AM196="제외"),"",IF($D196=$E196,IF(AND($D196&gt;=DB$5,$D196&lt;DB$5+7),"◆",""),IF(AND($D196&lt;DB$5+7,$E196&gt;DB$5),"■","")))</x:f>
      </x:c>
      <x:c r="DC196" s="7" t="str">
        <x:f>IF(OR($D196="",DC$5="",'상세일정'!AM196="제외"),"",IF($D196=$E196,IF(AND($D196&gt;=DC$5,$D196&lt;DC$5+7),"◆",""),IF(AND($D196&lt;DC$5+7,$E196&gt;DC$5),"■","")))</x:f>
      </x:c>
      <x:c r="DD196" s="7" t="str">
        <x:f>IF(OR($D196="",DD$5="",'상세일정'!AM196="제외"),"",IF($D196=$E196,IF(AND($D196&gt;=DD$5,$D196&lt;DD$5+7),"◆",""),IF(AND($D196&lt;DD$5+7,$E196&gt;DD$5),"■","")))</x:f>
      </x:c>
      <x:c r="DE196" s="7" t="str">
        <x:f>IF(OR($D196="",DE$5="",'상세일정'!AM196="제외"),"",IF($D196=$E196,IF(AND($D196&gt;=DE$5,$D196&lt;DE$5+7),"◆",""),IF(AND($D196&lt;DE$5+7,$E196&gt;DE$5),"■","")))</x:f>
      </x:c>
    </x:row>
    <x:row r="197" ht="34" customHeight="1">
      <x:c r="A197" s="7" t="str">
        <x:v>MP04</x:v>
      </x:c>
      <x:c r="B197" s="7" t="str">
        <x:v>22 배관 시공</x:v>
      </x:c>
      <x:c r="C197" s="7" t="str">
        <x:v>유틸리티·드레인·벤트·분석배관 설치</x:v>
      </x:c>
      <x:c r="D197" s="10" t="str">
        <x:f>'상세일정'!AJ197</x:f>
      </x:c>
      <x:c r="E197" s="10" t="str">
        <x:f>'상세일정'!AK197</x:f>
      </x:c>
      <x:c r="F197" s="7" t="str">
        <x:f>IF(OR($D197="",F$5="",'상세일정'!AM197="제외"),"",IF($D197=$E197,IF(AND($D197&gt;=F$5,$D197&lt;F$5+7),"◆",""),IF(AND($D197&lt;F$5+7,$E197&gt;F$5),"■","")))</x:f>
      </x:c>
      <x:c r="G197" s="7" t="str">
        <x:f>IF(OR($D197="",G$5="",'상세일정'!AM197="제외"),"",IF($D197=$E197,IF(AND($D197&gt;=G$5,$D197&lt;G$5+7),"◆",""),IF(AND($D197&lt;G$5+7,$E197&gt;G$5),"■","")))</x:f>
      </x:c>
      <x:c r="H197" s="7" t="str">
        <x:f>IF(OR($D197="",H$5="",'상세일정'!AM197="제외"),"",IF($D197=$E197,IF(AND($D197&gt;=H$5,$D197&lt;H$5+7),"◆",""),IF(AND($D197&lt;H$5+7,$E197&gt;H$5),"■","")))</x:f>
      </x:c>
      <x:c r="I197" s="7" t="str">
        <x:f>IF(OR($D197="",I$5="",'상세일정'!AM197="제외"),"",IF($D197=$E197,IF(AND($D197&gt;=I$5,$D197&lt;I$5+7),"◆",""),IF(AND($D197&lt;I$5+7,$E197&gt;I$5),"■","")))</x:f>
      </x:c>
      <x:c r="J197" s="7" t="str">
        <x:f>IF(OR($D197="",J$5="",'상세일정'!AM197="제외"),"",IF($D197=$E197,IF(AND($D197&gt;=J$5,$D197&lt;J$5+7),"◆",""),IF(AND($D197&lt;J$5+7,$E197&gt;J$5),"■","")))</x:f>
      </x:c>
      <x:c r="K197" s="7" t="str">
        <x:f>IF(OR($D197="",K$5="",'상세일정'!AM197="제외"),"",IF($D197=$E197,IF(AND($D197&gt;=K$5,$D197&lt;K$5+7),"◆",""),IF(AND($D197&lt;K$5+7,$E197&gt;K$5),"■","")))</x:f>
      </x:c>
      <x:c r="L197" s="7" t="str">
        <x:f>IF(OR($D197="",L$5="",'상세일정'!AM197="제외"),"",IF($D197=$E197,IF(AND($D197&gt;=L$5,$D197&lt;L$5+7),"◆",""),IF(AND($D197&lt;L$5+7,$E197&gt;L$5),"■","")))</x:f>
      </x:c>
      <x:c r="M197" s="7" t="str">
        <x:f>IF(OR($D197="",M$5="",'상세일정'!AM197="제외"),"",IF($D197=$E197,IF(AND($D197&gt;=M$5,$D197&lt;M$5+7),"◆",""),IF(AND($D197&lt;M$5+7,$E197&gt;M$5),"■","")))</x:f>
      </x:c>
      <x:c r="N197" s="7" t="str">
        <x:f>IF(OR($D197="",N$5="",'상세일정'!AM197="제외"),"",IF($D197=$E197,IF(AND($D197&gt;=N$5,$D197&lt;N$5+7),"◆",""),IF(AND($D197&lt;N$5+7,$E197&gt;N$5),"■","")))</x:f>
      </x:c>
      <x:c r="O197" s="7" t="str">
        <x:f>IF(OR($D197="",O$5="",'상세일정'!AM197="제외"),"",IF($D197=$E197,IF(AND($D197&gt;=O$5,$D197&lt;O$5+7),"◆",""),IF(AND($D197&lt;O$5+7,$E197&gt;O$5),"■","")))</x:f>
      </x:c>
      <x:c r="P197" s="7" t="str">
        <x:f>IF(OR($D197="",P$5="",'상세일정'!AM197="제외"),"",IF($D197=$E197,IF(AND($D197&gt;=P$5,$D197&lt;P$5+7),"◆",""),IF(AND($D197&lt;P$5+7,$E197&gt;P$5),"■","")))</x:f>
      </x:c>
      <x:c r="Q197" s="7" t="str">
        <x:f>IF(OR($D197="",Q$5="",'상세일정'!AM197="제외"),"",IF($D197=$E197,IF(AND($D197&gt;=Q$5,$D197&lt;Q$5+7),"◆",""),IF(AND($D197&lt;Q$5+7,$E197&gt;Q$5),"■","")))</x:f>
      </x:c>
      <x:c r="R197" s="7" t="str">
        <x:f>IF(OR($D197="",R$5="",'상세일정'!AM197="제외"),"",IF($D197=$E197,IF(AND($D197&gt;=R$5,$D197&lt;R$5+7),"◆",""),IF(AND($D197&lt;R$5+7,$E197&gt;R$5),"■","")))</x:f>
      </x:c>
      <x:c r="S197" s="7" t="str">
        <x:f>IF(OR($D197="",S$5="",'상세일정'!AM197="제외"),"",IF($D197=$E197,IF(AND($D197&gt;=S$5,$D197&lt;S$5+7),"◆",""),IF(AND($D197&lt;S$5+7,$E197&gt;S$5),"■","")))</x:f>
      </x:c>
      <x:c r="T197" s="7" t="str">
        <x:f>IF(OR($D197="",T$5="",'상세일정'!AM197="제외"),"",IF($D197=$E197,IF(AND($D197&gt;=T$5,$D197&lt;T$5+7),"◆",""),IF(AND($D197&lt;T$5+7,$E197&gt;T$5),"■","")))</x:f>
      </x:c>
      <x:c r="U197" s="7" t="str">
        <x:f>IF(OR($D197="",U$5="",'상세일정'!AM197="제외"),"",IF($D197=$E197,IF(AND($D197&gt;=U$5,$D197&lt;U$5+7),"◆",""),IF(AND($D197&lt;U$5+7,$E197&gt;U$5),"■","")))</x:f>
      </x:c>
      <x:c r="V197" s="7" t="str">
        <x:f>IF(OR($D197="",V$5="",'상세일정'!AM197="제외"),"",IF($D197=$E197,IF(AND($D197&gt;=V$5,$D197&lt;V$5+7),"◆",""),IF(AND($D197&lt;V$5+7,$E197&gt;V$5),"■","")))</x:f>
      </x:c>
      <x:c r="W197" s="7" t="str">
        <x:f>IF(OR($D197="",W$5="",'상세일정'!AM197="제외"),"",IF($D197=$E197,IF(AND($D197&gt;=W$5,$D197&lt;W$5+7),"◆",""),IF(AND($D197&lt;W$5+7,$E197&gt;W$5),"■","")))</x:f>
      </x:c>
      <x:c r="X197" s="7" t="str">
        <x:f>IF(OR($D197="",X$5="",'상세일정'!AM197="제외"),"",IF($D197=$E197,IF(AND($D197&gt;=X$5,$D197&lt;X$5+7),"◆",""),IF(AND($D197&lt;X$5+7,$E197&gt;X$5),"■","")))</x:f>
      </x:c>
      <x:c r="Y197" s="7" t="str">
        <x:f>IF(OR($D197="",Y$5="",'상세일정'!AM197="제외"),"",IF($D197=$E197,IF(AND($D197&gt;=Y$5,$D197&lt;Y$5+7),"◆",""),IF(AND($D197&lt;Y$5+7,$E197&gt;Y$5),"■","")))</x:f>
      </x:c>
      <x:c r="Z197" s="7" t="str">
        <x:f>IF(OR($D197="",Z$5="",'상세일정'!AM197="제외"),"",IF($D197=$E197,IF(AND($D197&gt;=Z$5,$D197&lt;Z$5+7),"◆",""),IF(AND($D197&lt;Z$5+7,$E197&gt;Z$5),"■","")))</x:f>
      </x:c>
      <x:c r="AA197" s="7" t="str">
        <x:f>IF(OR($D197="",AA$5="",'상세일정'!AM197="제외"),"",IF($D197=$E197,IF(AND($D197&gt;=AA$5,$D197&lt;AA$5+7),"◆",""),IF(AND($D197&lt;AA$5+7,$E197&gt;AA$5),"■","")))</x:f>
      </x:c>
      <x:c r="AB197" s="7" t="str">
        <x:f>IF(OR($D197="",AB$5="",'상세일정'!AM197="제외"),"",IF($D197=$E197,IF(AND($D197&gt;=AB$5,$D197&lt;AB$5+7),"◆",""),IF(AND($D197&lt;AB$5+7,$E197&gt;AB$5),"■","")))</x:f>
      </x:c>
      <x:c r="AC197" s="7" t="str">
        <x:f>IF(OR($D197="",AC$5="",'상세일정'!AM197="제외"),"",IF($D197=$E197,IF(AND($D197&gt;=AC$5,$D197&lt;AC$5+7),"◆",""),IF(AND($D197&lt;AC$5+7,$E197&gt;AC$5),"■","")))</x:f>
      </x:c>
      <x:c r="AD197" s="7" t="str">
        <x:f>IF(OR($D197="",AD$5="",'상세일정'!AM197="제외"),"",IF($D197=$E197,IF(AND($D197&gt;=AD$5,$D197&lt;AD$5+7),"◆",""),IF(AND($D197&lt;AD$5+7,$E197&gt;AD$5),"■","")))</x:f>
      </x:c>
      <x:c r="AE197" s="7" t="str">
        <x:f>IF(OR($D197="",AE$5="",'상세일정'!AM197="제외"),"",IF($D197=$E197,IF(AND($D197&gt;=AE$5,$D197&lt;AE$5+7),"◆",""),IF(AND($D197&lt;AE$5+7,$E197&gt;AE$5),"■","")))</x:f>
      </x:c>
      <x:c r="AF197" s="7" t="str">
        <x:f>IF(OR($D197="",AF$5="",'상세일정'!AM197="제외"),"",IF($D197=$E197,IF(AND($D197&gt;=AF$5,$D197&lt;AF$5+7),"◆",""),IF(AND($D197&lt;AF$5+7,$E197&gt;AF$5),"■","")))</x:f>
      </x:c>
      <x:c r="AG197" s="7" t="str">
        <x:f>IF(OR($D197="",AG$5="",'상세일정'!AM197="제외"),"",IF($D197=$E197,IF(AND($D197&gt;=AG$5,$D197&lt;AG$5+7),"◆",""),IF(AND($D197&lt;AG$5+7,$E197&gt;AG$5),"■","")))</x:f>
      </x:c>
      <x:c r="AH197" s="7" t="str">
        <x:f>IF(OR($D197="",AH$5="",'상세일정'!AM197="제외"),"",IF($D197=$E197,IF(AND($D197&gt;=AH$5,$D197&lt;AH$5+7),"◆",""),IF(AND($D197&lt;AH$5+7,$E197&gt;AH$5),"■","")))</x:f>
      </x:c>
      <x:c r="AI197" s="7" t="str">
        <x:f>IF(OR($D197="",AI$5="",'상세일정'!AM197="제외"),"",IF($D197=$E197,IF(AND($D197&gt;=AI$5,$D197&lt;AI$5+7),"◆",""),IF(AND($D197&lt;AI$5+7,$E197&gt;AI$5),"■","")))</x:f>
      </x:c>
      <x:c r="AJ197" s="7" t="str">
        <x:f>IF(OR($D197="",AJ$5="",'상세일정'!AM197="제외"),"",IF($D197=$E197,IF(AND($D197&gt;=AJ$5,$D197&lt;AJ$5+7),"◆",""),IF(AND($D197&lt;AJ$5+7,$E197&gt;AJ$5),"■","")))</x:f>
      </x:c>
      <x:c r="AK197" s="7" t="str">
        <x:f>IF(OR($D197="",AK$5="",'상세일정'!AM197="제외"),"",IF($D197=$E197,IF(AND($D197&gt;=AK$5,$D197&lt;AK$5+7),"◆",""),IF(AND($D197&lt;AK$5+7,$E197&gt;AK$5),"■","")))</x:f>
      </x:c>
      <x:c r="AL197" s="7" t="str">
        <x:f>IF(OR($D197="",AL$5="",'상세일정'!AM197="제외"),"",IF($D197=$E197,IF(AND($D197&gt;=AL$5,$D197&lt;AL$5+7),"◆",""),IF(AND($D197&lt;AL$5+7,$E197&gt;AL$5),"■","")))</x:f>
      </x:c>
      <x:c r="AM197" s="7" t="str">
        <x:f>IF(OR($D197="",AM$5="",'상세일정'!AM197="제외"),"",IF($D197=$E197,IF(AND($D197&gt;=AM$5,$D197&lt;AM$5+7),"◆",""),IF(AND($D197&lt;AM$5+7,$E197&gt;AM$5),"■","")))</x:f>
      </x:c>
      <x:c r="AN197" s="7" t="str">
        <x:f>IF(OR($D197="",AN$5="",'상세일정'!AM197="제외"),"",IF($D197=$E197,IF(AND($D197&gt;=AN$5,$D197&lt;AN$5+7),"◆",""),IF(AND($D197&lt;AN$5+7,$E197&gt;AN$5),"■","")))</x:f>
      </x:c>
      <x:c r="AO197" s="7" t="str">
        <x:f>IF(OR($D197="",AO$5="",'상세일정'!AM197="제외"),"",IF($D197=$E197,IF(AND($D197&gt;=AO$5,$D197&lt;AO$5+7),"◆",""),IF(AND($D197&lt;AO$5+7,$E197&gt;AO$5),"■","")))</x:f>
      </x:c>
      <x:c r="AP197" s="7" t="str">
        <x:f>IF(OR($D197="",AP$5="",'상세일정'!AM197="제외"),"",IF($D197=$E197,IF(AND($D197&gt;=AP$5,$D197&lt;AP$5+7),"◆",""),IF(AND($D197&lt;AP$5+7,$E197&gt;AP$5),"■","")))</x:f>
      </x:c>
      <x:c r="AQ197" s="7" t="str">
        <x:f>IF(OR($D197="",AQ$5="",'상세일정'!AM197="제외"),"",IF($D197=$E197,IF(AND($D197&gt;=AQ$5,$D197&lt;AQ$5+7),"◆",""),IF(AND($D197&lt;AQ$5+7,$E197&gt;AQ$5),"■","")))</x:f>
      </x:c>
      <x:c r="AR197" s="7" t="str">
        <x:f>IF(OR($D197="",AR$5="",'상세일정'!AM197="제외"),"",IF($D197=$E197,IF(AND($D197&gt;=AR$5,$D197&lt;AR$5+7),"◆",""),IF(AND($D197&lt;AR$5+7,$E197&gt;AR$5),"■","")))</x:f>
      </x:c>
      <x:c r="AS197" s="7" t="str">
        <x:f>IF(OR($D197="",AS$5="",'상세일정'!AM197="제외"),"",IF($D197=$E197,IF(AND($D197&gt;=AS$5,$D197&lt;AS$5+7),"◆",""),IF(AND($D197&lt;AS$5+7,$E197&gt;AS$5),"■","")))</x:f>
      </x:c>
      <x:c r="AT197" s="7" t="str">
        <x:f>IF(OR($D197="",AT$5="",'상세일정'!AM197="제외"),"",IF($D197=$E197,IF(AND($D197&gt;=AT$5,$D197&lt;AT$5+7),"◆",""),IF(AND($D197&lt;AT$5+7,$E197&gt;AT$5),"■","")))</x:f>
      </x:c>
      <x:c r="AU197" s="7" t="str">
        <x:f>IF(OR($D197="",AU$5="",'상세일정'!AM197="제외"),"",IF($D197=$E197,IF(AND($D197&gt;=AU$5,$D197&lt;AU$5+7),"◆",""),IF(AND($D197&lt;AU$5+7,$E197&gt;AU$5),"■","")))</x:f>
      </x:c>
      <x:c r="AV197" s="7" t="str">
        <x:f>IF(OR($D197="",AV$5="",'상세일정'!AM197="제외"),"",IF($D197=$E197,IF(AND($D197&gt;=AV$5,$D197&lt;AV$5+7),"◆",""),IF(AND($D197&lt;AV$5+7,$E197&gt;AV$5),"■","")))</x:f>
      </x:c>
      <x:c r="AW197" s="7" t="str">
        <x:f>IF(OR($D197="",AW$5="",'상세일정'!AM197="제외"),"",IF($D197=$E197,IF(AND($D197&gt;=AW$5,$D197&lt;AW$5+7),"◆",""),IF(AND($D197&lt;AW$5+7,$E197&gt;AW$5),"■","")))</x:f>
      </x:c>
      <x:c r="AX197" s="7" t="str">
        <x:f>IF(OR($D197="",AX$5="",'상세일정'!AM197="제외"),"",IF($D197=$E197,IF(AND($D197&gt;=AX$5,$D197&lt;AX$5+7),"◆",""),IF(AND($D197&lt;AX$5+7,$E197&gt;AX$5),"■","")))</x:f>
      </x:c>
      <x:c r="AY197" s="7" t="str">
        <x:f>IF(OR($D197="",AY$5="",'상세일정'!AM197="제외"),"",IF($D197=$E197,IF(AND($D197&gt;=AY$5,$D197&lt;AY$5+7),"◆",""),IF(AND($D197&lt;AY$5+7,$E197&gt;AY$5),"■","")))</x:f>
      </x:c>
      <x:c r="AZ197" s="7" t="str">
        <x:f>IF(OR($D197="",AZ$5="",'상세일정'!AM197="제외"),"",IF($D197=$E197,IF(AND($D197&gt;=AZ$5,$D197&lt;AZ$5+7),"◆",""),IF(AND($D197&lt;AZ$5+7,$E197&gt;AZ$5),"■","")))</x:f>
      </x:c>
      <x:c r="BA197" s="7" t="str">
        <x:f>IF(OR($D197="",BA$5="",'상세일정'!AM197="제외"),"",IF($D197=$E197,IF(AND($D197&gt;=BA$5,$D197&lt;BA$5+7),"◆",""),IF(AND($D197&lt;BA$5+7,$E197&gt;BA$5),"■","")))</x:f>
      </x:c>
      <x:c r="BB197" s="7" t="str">
        <x:f>IF(OR($D197="",BB$5="",'상세일정'!AM197="제외"),"",IF($D197=$E197,IF(AND($D197&gt;=BB$5,$D197&lt;BB$5+7),"◆",""),IF(AND($D197&lt;BB$5+7,$E197&gt;BB$5),"■","")))</x:f>
      </x:c>
      <x:c r="BC197" s="7" t="str">
        <x:f>IF(OR($D197="",BC$5="",'상세일정'!AM197="제외"),"",IF($D197=$E197,IF(AND($D197&gt;=BC$5,$D197&lt;BC$5+7),"◆",""),IF(AND($D197&lt;BC$5+7,$E197&gt;BC$5),"■","")))</x:f>
      </x:c>
      <x:c r="BD197" s="7" t="str">
        <x:f>IF(OR($D197="",BD$5="",'상세일정'!AM197="제외"),"",IF($D197=$E197,IF(AND($D197&gt;=BD$5,$D197&lt;BD$5+7),"◆",""),IF(AND($D197&lt;BD$5+7,$E197&gt;BD$5),"■","")))</x:f>
      </x:c>
      <x:c r="BE197" s="7" t="str">
        <x:f>IF(OR($D197="",BE$5="",'상세일정'!AM197="제외"),"",IF($D197=$E197,IF(AND($D197&gt;=BE$5,$D197&lt;BE$5+7),"◆",""),IF(AND($D197&lt;BE$5+7,$E197&gt;BE$5),"■","")))</x:f>
      </x:c>
      <x:c r="BF197" s="7" t="str">
        <x:f>IF(OR($D197="",BF$5="",'상세일정'!AM197="제외"),"",IF($D197=$E197,IF(AND($D197&gt;=BF$5,$D197&lt;BF$5+7),"◆",""),IF(AND($D197&lt;BF$5+7,$E197&gt;BF$5),"■","")))</x:f>
      </x:c>
      <x:c r="BG197" s="7" t="str">
        <x:f>IF(OR($D197="",BG$5="",'상세일정'!AM197="제외"),"",IF($D197=$E197,IF(AND($D197&gt;=BG$5,$D197&lt;BG$5+7),"◆",""),IF(AND($D197&lt;BG$5+7,$E197&gt;BG$5),"■","")))</x:f>
      </x:c>
      <x:c r="BH197" s="7" t="str">
        <x:f>IF(OR($D197="",BH$5="",'상세일정'!AM197="제외"),"",IF($D197=$E197,IF(AND($D197&gt;=BH$5,$D197&lt;BH$5+7),"◆",""),IF(AND($D197&lt;BH$5+7,$E197&gt;BH$5),"■","")))</x:f>
      </x:c>
      <x:c r="BI197" s="7" t="str">
        <x:f>IF(OR($D197="",BI$5="",'상세일정'!AM197="제외"),"",IF($D197=$E197,IF(AND($D197&gt;=BI$5,$D197&lt;BI$5+7),"◆",""),IF(AND($D197&lt;BI$5+7,$E197&gt;BI$5),"■","")))</x:f>
      </x:c>
      <x:c r="BJ197" s="7" t="str">
        <x:f>IF(OR($D197="",BJ$5="",'상세일정'!AM197="제외"),"",IF($D197=$E197,IF(AND($D197&gt;=BJ$5,$D197&lt;BJ$5+7),"◆",""),IF(AND($D197&lt;BJ$5+7,$E197&gt;BJ$5),"■","")))</x:f>
      </x:c>
      <x:c r="BK197" s="7" t="str">
        <x:f>IF(OR($D197="",BK$5="",'상세일정'!AM197="제외"),"",IF($D197=$E197,IF(AND($D197&gt;=BK$5,$D197&lt;BK$5+7),"◆",""),IF(AND($D197&lt;BK$5+7,$E197&gt;BK$5),"■","")))</x:f>
      </x:c>
      <x:c r="BL197" s="7" t="str">
        <x:f>IF(OR($D197="",BL$5="",'상세일정'!AM197="제외"),"",IF($D197=$E197,IF(AND($D197&gt;=BL$5,$D197&lt;BL$5+7),"◆",""),IF(AND($D197&lt;BL$5+7,$E197&gt;BL$5),"■","")))</x:f>
      </x:c>
      <x:c r="BM197" s="7" t="str">
        <x:f>IF(OR($D197="",BM$5="",'상세일정'!AM197="제외"),"",IF($D197=$E197,IF(AND($D197&gt;=BM$5,$D197&lt;BM$5+7),"◆",""),IF(AND($D197&lt;BM$5+7,$E197&gt;BM$5),"■","")))</x:f>
      </x:c>
      <x:c r="BN197" s="7" t="str">
        <x:f>IF(OR($D197="",BN$5="",'상세일정'!AM197="제외"),"",IF($D197=$E197,IF(AND($D197&gt;=BN$5,$D197&lt;BN$5+7),"◆",""),IF(AND($D197&lt;BN$5+7,$E197&gt;BN$5),"■","")))</x:f>
      </x:c>
      <x:c r="BO197" s="7" t="str">
        <x:f>IF(OR($D197="",BO$5="",'상세일정'!AM197="제외"),"",IF($D197=$E197,IF(AND($D197&gt;=BO$5,$D197&lt;BO$5+7),"◆",""),IF(AND($D197&lt;BO$5+7,$E197&gt;BO$5),"■","")))</x:f>
      </x:c>
      <x:c r="BP197" s="7" t="str">
        <x:f>IF(OR($D197="",BP$5="",'상세일정'!AM197="제외"),"",IF($D197=$E197,IF(AND($D197&gt;=BP$5,$D197&lt;BP$5+7),"◆",""),IF(AND($D197&lt;BP$5+7,$E197&gt;BP$5),"■","")))</x:f>
      </x:c>
      <x:c r="BQ197" s="7" t="str">
        <x:f>IF(OR($D197="",BQ$5="",'상세일정'!AM197="제외"),"",IF($D197=$E197,IF(AND($D197&gt;=BQ$5,$D197&lt;BQ$5+7),"◆",""),IF(AND($D197&lt;BQ$5+7,$E197&gt;BQ$5),"■","")))</x:f>
      </x:c>
      <x:c r="BR197" s="7" t="str">
        <x:f>IF(OR($D197="",BR$5="",'상세일정'!AM197="제외"),"",IF($D197=$E197,IF(AND($D197&gt;=BR$5,$D197&lt;BR$5+7),"◆",""),IF(AND($D197&lt;BR$5+7,$E197&gt;BR$5),"■","")))</x:f>
      </x:c>
      <x:c r="BS197" s="7" t="str">
        <x:f>IF(OR($D197="",BS$5="",'상세일정'!AM197="제외"),"",IF($D197=$E197,IF(AND($D197&gt;=BS$5,$D197&lt;BS$5+7),"◆",""),IF(AND($D197&lt;BS$5+7,$E197&gt;BS$5),"■","")))</x:f>
      </x:c>
      <x:c r="BT197" s="7" t="str">
        <x:f>IF(OR($D197="",BT$5="",'상세일정'!AM197="제외"),"",IF($D197=$E197,IF(AND($D197&gt;=BT$5,$D197&lt;BT$5+7),"◆",""),IF(AND($D197&lt;BT$5+7,$E197&gt;BT$5),"■","")))</x:f>
      </x:c>
      <x:c r="BU197" s="7" t="str">
        <x:f>IF(OR($D197="",BU$5="",'상세일정'!AM197="제외"),"",IF($D197=$E197,IF(AND($D197&gt;=BU$5,$D197&lt;BU$5+7),"◆",""),IF(AND($D197&lt;BU$5+7,$E197&gt;BU$5),"■","")))</x:f>
      </x:c>
      <x:c r="BV197" s="7" t="str">
        <x:f>IF(OR($D197="",BV$5="",'상세일정'!AM197="제외"),"",IF($D197=$E197,IF(AND($D197&gt;=BV$5,$D197&lt;BV$5+7),"◆",""),IF(AND($D197&lt;BV$5+7,$E197&gt;BV$5),"■","")))</x:f>
      </x:c>
      <x:c r="BW197" s="7" t="str">
        <x:f>IF(OR($D197="",BW$5="",'상세일정'!AM197="제외"),"",IF($D197=$E197,IF(AND($D197&gt;=BW$5,$D197&lt;BW$5+7),"◆",""),IF(AND($D197&lt;BW$5+7,$E197&gt;BW$5),"■","")))</x:f>
      </x:c>
      <x:c r="BX197" s="7" t="str">
        <x:f>IF(OR($D197="",BX$5="",'상세일정'!AM197="제외"),"",IF($D197=$E197,IF(AND($D197&gt;=BX$5,$D197&lt;BX$5+7),"◆",""),IF(AND($D197&lt;BX$5+7,$E197&gt;BX$5),"■","")))</x:f>
      </x:c>
      <x:c r="BY197" s="7" t="str">
        <x:f>IF(OR($D197="",BY$5="",'상세일정'!AM197="제외"),"",IF($D197=$E197,IF(AND($D197&gt;=BY$5,$D197&lt;BY$5+7),"◆",""),IF(AND($D197&lt;BY$5+7,$E197&gt;BY$5),"■","")))</x:f>
      </x:c>
      <x:c r="BZ197" s="7" t="str">
        <x:f>IF(OR($D197="",BZ$5="",'상세일정'!AM197="제외"),"",IF($D197=$E197,IF(AND($D197&gt;=BZ$5,$D197&lt;BZ$5+7),"◆",""),IF(AND($D197&lt;BZ$5+7,$E197&gt;BZ$5),"■","")))</x:f>
      </x:c>
      <x:c r="CA197" s="7" t="str">
        <x:f>IF(OR($D197="",CA$5="",'상세일정'!AM197="제외"),"",IF($D197=$E197,IF(AND($D197&gt;=CA$5,$D197&lt;CA$5+7),"◆",""),IF(AND($D197&lt;CA$5+7,$E197&gt;CA$5),"■","")))</x:f>
      </x:c>
      <x:c r="CB197" s="7" t="str">
        <x:f>IF(OR($D197="",CB$5="",'상세일정'!AM197="제외"),"",IF($D197=$E197,IF(AND($D197&gt;=CB$5,$D197&lt;CB$5+7),"◆",""),IF(AND($D197&lt;CB$5+7,$E197&gt;CB$5),"■","")))</x:f>
      </x:c>
      <x:c r="CC197" s="7" t="str">
        <x:f>IF(OR($D197="",CC$5="",'상세일정'!AM197="제외"),"",IF($D197=$E197,IF(AND($D197&gt;=CC$5,$D197&lt;CC$5+7),"◆",""),IF(AND($D197&lt;CC$5+7,$E197&gt;CC$5),"■","")))</x:f>
      </x:c>
      <x:c r="CD197" s="7" t="str">
        <x:f>IF(OR($D197="",CD$5="",'상세일정'!AM197="제외"),"",IF($D197=$E197,IF(AND($D197&gt;=CD$5,$D197&lt;CD$5+7),"◆",""),IF(AND($D197&lt;CD$5+7,$E197&gt;CD$5),"■","")))</x:f>
      </x:c>
      <x:c r="CE197" s="7" t="str">
        <x:f>IF(OR($D197="",CE$5="",'상세일정'!AM197="제외"),"",IF($D197=$E197,IF(AND($D197&gt;=CE$5,$D197&lt;CE$5+7),"◆",""),IF(AND($D197&lt;CE$5+7,$E197&gt;CE$5),"■","")))</x:f>
      </x:c>
      <x:c r="CF197" s="7" t="str">
        <x:f>IF(OR($D197="",CF$5="",'상세일정'!AM197="제외"),"",IF($D197=$E197,IF(AND($D197&gt;=CF$5,$D197&lt;CF$5+7),"◆",""),IF(AND($D197&lt;CF$5+7,$E197&gt;CF$5),"■","")))</x:f>
      </x:c>
      <x:c r="CG197" s="7" t="str">
        <x:f>IF(OR($D197="",CG$5="",'상세일정'!AM197="제외"),"",IF($D197=$E197,IF(AND($D197&gt;=CG$5,$D197&lt;CG$5+7),"◆",""),IF(AND($D197&lt;CG$5+7,$E197&gt;CG$5),"■","")))</x:f>
      </x:c>
      <x:c r="CH197" s="7" t="str">
        <x:f>IF(OR($D197="",CH$5="",'상세일정'!AM197="제외"),"",IF($D197=$E197,IF(AND($D197&gt;=CH$5,$D197&lt;CH$5+7),"◆",""),IF(AND($D197&lt;CH$5+7,$E197&gt;CH$5),"■","")))</x:f>
      </x:c>
      <x:c r="CI197" s="7" t="str">
        <x:f>IF(OR($D197="",CI$5="",'상세일정'!AM197="제외"),"",IF($D197=$E197,IF(AND($D197&gt;=CI$5,$D197&lt;CI$5+7),"◆",""),IF(AND($D197&lt;CI$5+7,$E197&gt;CI$5),"■","")))</x:f>
      </x:c>
      <x:c r="CJ197" s="7" t="str">
        <x:f>IF(OR($D197="",CJ$5="",'상세일정'!AM197="제외"),"",IF($D197=$E197,IF(AND($D197&gt;=CJ$5,$D197&lt;CJ$5+7),"◆",""),IF(AND($D197&lt;CJ$5+7,$E197&gt;CJ$5),"■","")))</x:f>
      </x:c>
      <x:c r="CK197" s="7" t="str">
        <x:f>IF(OR($D197="",CK$5="",'상세일정'!AM197="제외"),"",IF($D197=$E197,IF(AND($D197&gt;=CK$5,$D197&lt;CK$5+7),"◆",""),IF(AND($D197&lt;CK$5+7,$E197&gt;CK$5),"■","")))</x:f>
      </x:c>
      <x:c r="CL197" s="7" t="str">
        <x:f>IF(OR($D197="",CL$5="",'상세일정'!AM197="제외"),"",IF($D197=$E197,IF(AND($D197&gt;=CL$5,$D197&lt;CL$5+7),"◆",""),IF(AND($D197&lt;CL$5+7,$E197&gt;CL$5),"■","")))</x:f>
      </x:c>
      <x:c r="CM197" s="7" t="str">
        <x:f>IF(OR($D197="",CM$5="",'상세일정'!AM197="제외"),"",IF($D197=$E197,IF(AND($D197&gt;=CM$5,$D197&lt;CM$5+7),"◆",""),IF(AND($D197&lt;CM$5+7,$E197&gt;CM$5),"■","")))</x:f>
      </x:c>
      <x:c r="CN197" s="7" t="str">
        <x:f>IF(OR($D197="",CN$5="",'상세일정'!AM197="제외"),"",IF($D197=$E197,IF(AND($D197&gt;=CN$5,$D197&lt;CN$5+7),"◆",""),IF(AND($D197&lt;CN$5+7,$E197&gt;CN$5),"■","")))</x:f>
      </x:c>
      <x:c r="CO197" s="7" t="str">
        <x:f>IF(OR($D197="",CO$5="",'상세일정'!AM197="제외"),"",IF($D197=$E197,IF(AND($D197&gt;=CO$5,$D197&lt;CO$5+7),"◆",""),IF(AND($D197&lt;CO$5+7,$E197&gt;CO$5),"■","")))</x:f>
      </x:c>
      <x:c r="CP197" s="7" t="str">
        <x:f>IF(OR($D197="",CP$5="",'상세일정'!AM197="제외"),"",IF($D197=$E197,IF(AND($D197&gt;=CP$5,$D197&lt;CP$5+7),"◆",""),IF(AND($D197&lt;CP$5+7,$E197&gt;CP$5),"■","")))</x:f>
      </x:c>
      <x:c r="CQ197" s="7" t="str">
        <x:f>IF(OR($D197="",CQ$5="",'상세일정'!AM197="제외"),"",IF($D197=$E197,IF(AND($D197&gt;=CQ$5,$D197&lt;CQ$5+7),"◆",""),IF(AND($D197&lt;CQ$5+7,$E197&gt;CQ$5),"■","")))</x:f>
      </x:c>
      <x:c r="CR197" s="7" t="str">
        <x:f>IF(OR($D197="",CR$5="",'상세일정'!AM197="제외"),"",IF($D197=$E197,IF(AND($D197&gt;=CR$5,$D197&lt;CR$5+7),"◆",""),IF(AND($D197&lt;CR$5+7,$E197&gt;CR$5),"■","")))</x:f>
      </x:c>
      <x:c r="CS197" s="7" t="str">
        <x:f>IF(OR($D197="",CS$5="",'상세일정'!AM197="제외"),"",IF($D197=$E197,IF(AND($D197&gt;=CS$5,$D197&lt;CS$5+7),"◆",""),IF(AND($D197&lt;CS$5+7,$E197&gt;CS$5),"■","")))</x:f>
      </x:c>
      <x:c r="CT197" s="7" t="str">
        <x:f>IF(OR($D197="",CT$5="",'상세일정'!AM197="제외"),"",IF($D197=$E197,IF(AND($D197&gt;=CT$5,$D197&lt;CT$5+7),"◆",""),IF(AND($D197&lt;CT$5+7,$E197&gt;CT$5),"■","")))</x:f>
      </x:c>
      <x:c r="CU197" s="7" t="str">
        <x:f>IF(OR($D197="",CU$5="",'상세일정'!AM197="제외"),"",IF($D197=$E197,IF(AND($D197&gt;=CU$5,$D197&lt;CU$5+7),"◆",""),IF(AND($D197&lt;CU$5+7,$E197&gt;CU$5),"■","")))</x:f>
      </x:c>
      <x:c r="CV197" s="7" t="str">
        <x:f>IF(OR($D197="",CV$5="",'상세일정'!AM197="제외"),"",IF($D197=$E197,IF(AND($D197&gt;=CV$5,$D197&lt;CV$5+7),"◆",""),IF(AND($D197&lt;CV$5+7,$E197&gt;CV$5),"■","")))</x:f>
      </x:c>
      <x:c r="CW197" s="7" t="str">
        <x:f>IF(OR($D197="",CW$5="",'상세일정'!AM197="제외"),"",IF($D197=$E197,IF(AND($D197&gt;=CW$5,$D197&lt;CW$5+7),"◆",""),IF(AND($D197&lt;CW$5+7,$E197&gt;CW$5),"■","")))</x:f>
      </x:c>
      <x:c r="CX197" s="7" t="str">
        <x:f>IF(OR($D197="",CX$5="",'상세일정'!AM197="제외"),"",IF($D197=$E197,IF(AND($D197&gt;=CX$5,$D197&lt;CX$5+7),"◆",""),IF(AND($D197&lt;CX$5+7,$E197&gt;CX$5),"■","")))</x:f>
      </x:c>
      <x:c r="CY197" s="7" t="str">
        <x:f>IF(OR($D197="",CY$5="",'상세일정'!AM197="제외"),"",IF($D197=$E197,IF(AND($D197&gt;=CY$5,$D197&lt;CY$5+7),"◆",""),IF(AND($D197&lt;CY$5+7,$E197&gt;CY$5),"■","")))</x:f>
      </x:c>
      <x:c r="CZ197" s="7" t="str">
        <x:f>IF(OR($D197="",CZ$5="",'상세일정'!AM197="제외"),"",IF($D197=$E197,IF(AND($D197&gt;=CZ$5,$D197&lt;CZ$5+7),"◆",""),IF(AND($D197&lt;CZ$5+7,$E197&gt;CZ$5),"■","")))</x:f>
      </x:c>
      <x:c r="DA197" s="7" t="str">
        <x:f>IF(OR($D197="",DA$5="",'상세일정'!AM197="제외"),"",IF($D197=$E197,IF(AND($D197&gt;=DA$5,$D197&lt;DA$5+7),"◆",""),IF(AND($D197&lt;DA$5+7,$E197&gt;DA$5),"■","")))</x:f>
      </x:c>
      <x:c r="DB197" s="7" t="str">
        <x:f>IF(OR($D197="",DB$5="",'상세일정'!AM197="제외"),"",IF($D197=$E197,IF(AND($D197&gt;=DB$5,$D197&lt;DB$5+7),"◆",""),IF(AND($D197&lt;DB$5+7,$E197&gt;DB$5),"■","")))</x:f>
      </x:c>
      <x:c r="DC197" s="7" t="str">
        <x:f>IF(OR($D197="",DC$5="",'상세일정'!AM197="제외"),"",IF($D197=$E197,IF(AND($D197&gt;=DC$5,$D197&lt;DC$5+7),"◆",""),IF(AND($D197&lt;DC$5+7,$E197&gt;DC$5),"■","")))</x:f>
      </x:c>
      <x:c r="DD197" s="7" t="str">
        <x:f>IF(OR($D197="",DD$5="",'상세일정'!AM197="제외"),"",IF($D197=$E197,IF(AND($D197&gt;=DD$5,$D197&lt;DD$5+7),"◆",""),IF(AND($D197&lt;DD$5+7,$E197&gt;DD$5),"■","")))</x:f>
      </x:c>
      <x:c r="DE197" s="7" t="str">
        <x:f>IF(OR($D197="",DE$5="",'상세일정'!AM197="제외"),"",IF($D197=$E197,IF(AND($D197&gt;=DE$5,$D197&lt;DE$5+7),"◆",""),IF(AND($D197&lt;DE$5+7,$E197&gt;DE$5),"■","")))</x:f>
      </x:c>
    </x:row>
    <x:row r="198" ht="34" customHeight="1">
      <x:c r="A198" s="7" t="str">
        <x:v>MP05</x:v>
      </x:c>
      <x:c r="B198" s="7" t="str">
        <x:v>22 배관 시공</x:v>
      </x:c>
      <x:c r="C198" s="7" t="str">
        <x:v>NDE 및 결함 보수·재검사</x:v>
      </x:c>
      <x:c r="D198" s="10" t="str">
        <x:f>'상세일정'!AJ198</x:f>
      </x:c>
      <x:c r="E198" s="10" t="str">
        <x:f>'상세일정'!AK198</x:f>
      </x:c>
      <x:c r="F198" s="7" t="str">
        <x:f>IF(OR($D198="",F$5="",'상세일정'!AM198="제외"),"",IF($D198=$E198,IF(AND($D198&gt;=F$5,$D198&lt;F$5+7),"◆",""),IF(AND($D198&lt;F$5+7,$E198&gt;F$5),"■","")))</x:f>
      </x:c>
      <x:c r="G198" s="7" t="str">
        <x:f>IF(OR($D198="",G$5="",'상세일정'!AM198="제외"),"",IF($D198=$E198,IF(AND($D198&gt;=G$5,$D198&lt;G$5+7),"◆",""),IF(AND($D198&lt;G$5+7,$E198&gt;G$5),"■","")))</x:f>
      </x:c>
      <x:c r="H198" s="7" t="str">
        <x:f>IF(OR($D198="",H$5="",'상세일정'!AM198="제외"),"",IF($D198=$E198,IF(AND($D198&gt;=H$5,$D198&lt;H$5+7),"◆",""),IF(AND($D198&lt;H$5+7,$E198&gt;H$5),"■","")))</x:f>
      </x:c>
      <x:c r="I198" s="7" t="str">
        <x:f>IF(OR($D198="",I$5="",'상세일정'!AM198="제외"),"",IF($D198=$E198,IF(AND($D198&gt;=I$5,$D198&lt;I$5+7),"◆",""),IF(AND($D198&lt;I$5+7,$E198&gt;I$5),"■","")))</x:f>
      </x:c>
      <x:c r="J198" s="7" t="str">
        <x:f>IF(OR($D198="",J$5="",'상세일정'!AM198="제외"),"",IF($D198=$E198,IF(AND($D198&gt;=J$5,$D198&lt;J$5+7),"◆",""),IF(AND($D198&lt;J$5+7,$E198&gt;J$5),"■","")))</x:f>
      </x:c>
      <x:c r="K198" s="7" t="str">
        <x:f>IF(OR($D198="",K$5="",'상세일정'!AM198="제외"),"",IF($D198=$E198,IF(AND($D198&gt;=K$5,$D198&lt;K$5+7),"◆",""),IF(AND($D198&lt;K$5+7,$E198&gt;K$5),"■","")))</x:f>
      </x:c>
      <x:c r="L198" s="7" t="str">
        <x:f>IF(OR($D198="",L$5="",'상세일정'!AM198="제외"),"",IF($D198=$E198,IF(AND($D198&gt;=L$5,$D198&lt;L$5+7),"◆",""),IF(AND($D198&lt;L$5+7,$E198&gt;L$5),"■","")))</x:f>
      </x:c>
      <x:c r="M198" s="7" t="str">
        <x:f>IF(OR($D198="",M$5="",'상세일정'!AM198="제외"),"",IF($D198=$E198,IF(AND($D198&gt;=M$5,$D198&lt;M$5+7),"◆",""),IF(AND($D198&lt;M$5+7,$E198&gt;M$5),"■","")))</x:f>
      </x:c>
      <x:c r="N198" s="7" t="str">
        <x:f>IF(OR($D198="",N$5="",'상세일정'!AM198="제외"),"",IF($D198=$E198,IF(AND($D198&gt;=N$5,$D198&lt;N$5+7),"◆",""),IF(AND($D198&lt;N$5+7,$E198&gt;N$5),"■","")))</x:f>
      </x:c>
      <x:c r="O198" s="7" t="str">
        <x:f>IF(OR($D198="",O$5="",'상세일정'!AM198="제외"),"",IF($D198=$E198,IF(AND($D198&gt;=O$5,$D198&lt;O$5+7),"◆",""),IF(AND($D198&lt;O$5+7,$E198&gt;O$5),"■","")))</x:f>
      </x:c>
      <x:c r="P198" s="7" t="str">
        <x:f>IF(OR($D198="",P$5="",'상세일정'!AM198="제외"),"",IF($D198=$E198,IF(AND($D198&gt;=P$5,$D198&lt;P$5+7),"◆",""),IF(AND($D198&lt;P$5+7,$E198&gt;P$5),"■","")))</x:f>
      </x:c>
      <x:c r="Q198" s="7" t="str">
        <x:f>IF(OR($D198="",Q$5="",'상세일정'!AM198="제외"),"",IF($D198=$E198,IF(AND($D198&gt;=Q$5,$D198&lt;Q$5+7),"◆",""),IF(AND($D198&lt;Q$5+7,$E198&gt;Q$5),"■","")))</x:f>
      </x:c>
      <x:c r="R198" s="7" t="str">
        <x:f>IF(OR($D198="",R$5="",'상세일정'!AM198="제외"),"",IF($D198=$E198,IF(AND($D198&gt;=R$5,$D198&lt;R$5+7),"◆",""),IF(AND($D198&lt;R$5+7,$E198&gt;R$5),"■","")))</x:f>
      </x:c>
      <x:c r="S198" s="7" t="str">
        <x:f>IF(OR($D198="",S$5="",'상세일정'!AM198="제외"),"",IF($D198=$E198,IF(AND($D198&gt;=S$5,$D198&lt;S$5+7),"◆",""),IF(AND($D198&lt;S$5+7,$E198&gt;S$5),"■","")))</x:f>
      </x:c>
      <x:c r="T198" s="7" t="str">
        <x:f>IF(OR($D198="",T$5="",'상세일정'!AM198="제외"),"",IF($D198=$E198,IF(AND($D198&gt;=T$5,$D198&lt;T$5+7),"◆",""),IF(AND($D198&lt;T$5+7,$E198&gt;T$5),"■","")))</x:f>
      </x:c>
      <x:c r="U198" s="7" t="str">
        <x:f>IF(OR($D198="",U$5="",'상세일정'!AM198="제외"),"",IF($D198=$E198,IF(AND($D198&gt;=U$5,$D198&lt;U$5+7),"◆",""),IF(AND($D198&lt;U$5+7,$E198&gt;U$5),"■","")))</x:f>
      </x:c>
      <x:c r="V198" s="7" t="str">
        <x:f>IF(OR($D198="",V$5="",'상세일정'!AM198="제외"),"",IF($D198=$E198,IF(AND($D198&gt;=V$5,$D198&lt;V$5+7),"◆",""),IF(AND($D198&lt;V$5+7,$E198&gt;V$5),"■","")))</x:f>
      </x:c>
      <x:c r="W198" s="7" t="str">
        <x:f>IF(OR($D198="",W$5="",'상세일정'!AM198="제외"),"",IF($D198=$E198,IF(AND($D198&gt;=W$5,$D198&lt;W$5+7),"◆",""),IF(AND($D198&lt;W$5+7,$E198&gt;W$5),"■","")))</x:f>
      </x:c>
      <x:c r="X198" s="7" t="str">
        <x:f>IF(OR($D198="",X$5="",'상세일정'!AM198="제외"),"",IF($D198=$E198,IF(AND($D198&gt;=X$5,$D198&lt;X$5+7),"◆",""),IF(AND($D198&lt;X$5+7,$E198&gt;X$5),"■","")))</x:f>
      </x:c>
      <x:c r="Y198" s="7" t="str">
        <x:f>IF(OR($D198="",Y$5="",'상세일정'!AM198="제외"),"",IF($D198=$E198,IF(AND($D198&gt;=Y$5,$D198&lt;Y$5+7),"◆",""),IF(AND($D198&lt;Y$5+7,$E198&gt;Y$5),"■","")))</x:f>
      </x:c>
      <x:c r="Z198" s="7" t="str">
        <x:f>IF(OR($D198="",Z$5="",'상세일정'!AM198="제외"),"",IF($D198=$E198,IF(AND($D198&gt;=Z$5,$D198&lt;Z$5+7),"◆",""),IF(AND($D198&lt;Z$5+7,$E198&gt;Z$5),"■","")))</x:f>
      </x:c>
      <x:c r="AA198" s="7" t="str">
        <x:f>IF(OR($D198="",AA$5="",'상세일정'!AM198="제외"),"",IF($D198=$E198,IF(AND($D198&gt;=AA$5,$D198&lt;AA$5+7),"◆",""),IF(AND($D198&lt;AA$5+7,$E198&gt;AA$5),"■","")))</x:f>
      </x:c>
      <x:c r="AB198" s="7" t="str">
        <x:f>IF(OR($D198="",AB$5="",'상세일정'!AM198="제외"),"",IF($D198=$E198,IF(AND($D198&gt;=AB$5,$D198&lt;AB$5+7),"◆",""),IF(AND($D198&lt;AB$5+7,$E198&gt;AB$5),"■","")))</x:f>
      </x:c>
      <x:c r="AC198" s="7" t="str">
        <x:f>IF(OR($D198="",AC$5="",'상세일정'!AM198="제외"),"",IF($D198=$E198,IF(AND($D198&gt;=AC$5,$D198&lt;AC$5+7),"◆",""),IF(AND($D198&lt;AC$5+7,$E198&gt;AC$5),"■","")))</x:f>
      </x:c>
      <x:c r="AD198" s="7" t="str">
        <x:f>IF(OR($D198="",AD$5="",'상세일정'!AM198="제외"),"",IF($D198=$E198,IF(AND($D198&gt;=AD$5,$D198&lt;AD$5+7),"◆",""),IF(AND($D198&lt;AD$5+7,$E198&gt;AD$5),"■","")))</x:f>
      </x:c>
      <x:c r="AE198" s="7" t="str">
        <x:f>IF(OR($D198="",AE$5="",'상세일정'!AM198="제외"),"",IF($D198=$E198,IF(AND($D198&gt;=AE$5,$D198&lt;AE$5+7),"◆",""),IF(AND($D198&lt;AE$5+7,$E198&gt;AE$5),"■","")))</x:f>
      </x:c>
      <x:c r="AF198" s="7" t="str">
        <x:f>IF(OR($D198="",AF$5="",'상세일정'!AM198="제외"),"",IF($D198=$E198,IF(AND($D198&gt;=AF$5,$D198&lt;AF$5+7),"◆",""),IF(AND($D198&lt;AF$5+7,$E198&gt;AF$5),"■","")))</x:f>
      </x:c>
      <x:c r="AG198" s="7" t="str">
        <x:f>IF(OR($D198="",AG$5="",'상세일정'!AM198="제외"),"",IF($D198=$E198,IF(AND($D198&gt;=AG$5,$D198&lt;AG$5+7),"◆",""),IF(AND($D198&lt;AG$5+7,$E198&gt;AG$5),"■","")))</x:f>
      </x:c>
      <x:c r="AH198" s="7" t="str">
        <x:f>IF(OR($D198="",AH$5="",'상세일정'!AM198="제외"),"",IF($D198=$E198,IF(AND($D198&gt;=AH$5,$D198&lt;AH$5+7),"◆",""),IF(AND($D198&lt;AH$5+7,$E198&gt;AH$5),"■","")))</x:f>
      </x:c>
      <x:c r="AI198" s="7" t="str">
        <x:f>IF(OR($D198="",AI$5="",'상세일정'!AM198="제외"),"",IF($D198=$E198,IF(AND($D198&gt;=AI$5,$D198&lt;AI$5+7),"◆",""),IF(AND($D198&lt;AI$5+7,$E198&gt;AI$5),"■","")))</x:f>
      </x:c>
      <x:c r="AJ198" s="7" t="str">
        <x:f>IF(OR($D198="",AJ$5="",'상세일정'!AM198="제외"),"",IF($D198=$E198,IF(AND($D198&gt;=AJ$5,$D198&lt;AJ$5+7),"◆",""),IF(AND($D198&lt;AJ$5+7,$E198&gt;AJ$5),"■","")))</x:f>
      </x:c>
      <x:c r="AK198" s="7" t="str">
        <x:f>IF(OR($D198="",AK$5="",'상세일정'!AM198="제외"),"",IF($D198=$E198,IF(AND($D198&gt;=AK$5,$D198&lt;AK$5+7),"◆",""),IF(AND($D198&lt;AK$5+7,$E198&gt;AK$5),"■","")))</x:f>
      </x:c>
      <x:c r="AL198" s="7" t="str">
        <x:f>IF(OR($D198="",AL$5="",'상세일정'!AM198="제외"),"",IF($D198=$E198,IF(AND($D198&gt;=AL$5,$D198&lt;AL$5+7),"◆",""),IF(AND($D198&lt;AL$5+7,$E198&gt;AL$5),"■","")))</x:f>
      </x:c>
      <x:c r="AM198" s="7" t="str">
        <x:f>IF(OR($D198="",AM$5="",'상세일정'!AM198="제외"),"",IF($D198=$E198,IF(AND($D198&gt;=AM$5,$D198&lt;AM$5+7),"◆",""),IF(AND($D198&lt;AM$5+7,$E198&gt;AM$5),"■","")))</x:f>
      </x:c>
      <x:c r="AN198" s="7" t="str">
        <x:f>IF(OR($D198="",AN$5="",'상세일정'!AM198="제외"),"",IF($D198=$E198,IF(AND($D198&gt;=AN$5,$D198&lt;AN$5+7),"◆",""),IF(AND($D198&lt;AN$5+7,$E198&gt;AN$5),"■","")))</x:f>
      </x:c>
      <x:c r="AO198" s="7" t="str">
        <x:f>IF(OR($D198="",AO$5="",'상세일정'!AM198="제외"),"",IF($D198=$E198,IF(AND($D198&gt;=AO$5,$D198&lt;AO$5+7),"◆",""),IF(AND($D198&lt;AO$5+7,$E198&gt;AO$5),"■","")))</x:f>
      </x:c>
      <x:c r="AP198" s="7" t="str">
        <x:f>IF(OR($D198="",AP$5="",'상세일정'!AM198="제외"),"",IF($D198=$E198,IF(AND($D198&gt;=AP$5,$D198&lt;AP$5+7),"◆",""),IF(AND($D198&lt;AP$5+7,$E198&gt;AP$5),"■","")))</x:f>
      </x:c>
      <x:c r="AQ198" s="7" t="str">
        <x:f>IF(OR($D198="",AQ$5="",'상세일정'!AM198="제외"),"",IF($D198=$E198,IF(AND($D198&gt;=AQ$5,$D198&lt;AQ$5+7),"◆",""),IF(AND($D198&lt;AQ$5+7,$E198&gt;AQ$5),"■","")))</x:f>
      </x:c>
      <x:c r="AR198" s="7" t="str">
        <x:f>IF(OR($D198="",AR$5="",'상세일정'!AM198="제외"),"",IF($D198=$E198,IF(AND($D198&gt;=AR$5,$D198&lt;AR$5+7),"◆",""),IF(AND($D198&lt;AR$5+7,$E198&gt;AR$5),"■","")))</x:f>
      </x:c>
      <x:c r="AS198" s="7" t="str">
        <x:f>IF(OR($D198="",AS$5="",'상세일정'!AM198="제외"),"",IF($D198=$E198,IF(AND($D198&gt;=AS$5,$D198&lt;AS$5+7),"◆",""),IF(AND($D198&lt;AS$5+7,$E198&gt;AS$5),"■","")))</x:f>
      </x:c>
      <x:c r="AT198" s="7" t="str">
        <x:f>IF(OR($D198="",AT$5="",'상세일정'!AM198="제외"),"",IF($D198=$E198,IF(AND($D198&gt;=AT$5,$D198&lt;AT$5+7),"◆",""),IF(AND($D198&lt;AT$5+7,$E198&gt;AT$5),"■","")))</x:f>
      </x:c>
      <x:c r="AU198" s="7" t="str">
        <x:f>IF(OR($D198="",AU$5="",'상세일정'!AM198="제외"),"",IF($D198=$E198,IF(AND($D198&gt;=AU$5,$D198&lt;AU$5+7),"◆",""),IF(AND($D198&lt;AU$5+7,$E198&gt;AU$5),"■","")))</x:f>
      </x:c>
      <x:c r="AV198" s="7" t="str">
        <x:f>IF(OR($D198="",AV$5="",'상세일정'!AM198="제외"),"",IF($D198=$E198,IF(AND($D198&gt;=AV$5,$D198&lt;AV$5+7),"◆",""),IF(AND($D198&lt;AV$5+7,$E198&gt;AV$5),"■","")))</x:f>
      </x:c>
      <x:c r="AW198" s="7" t="str">
        <x:f>IF(OR($D198="",AW$5="",'상세일정'!AM198="제외"),"",IF($D198=$E198,IF(AND($D198&gt;=AW$5,$D198&lt;AW$5+7),"◆",""),IF(AND($D198&lt;AW$5+7,$E198&gt;AW$5),"■","")))</x:f>
      </x:c>
      <x:c r="AX198" s="7" t="str">
        <x:f>IF(OR($D198="",AX$5="",'상세일정'!AM198="제외"),"",IF($D198=$E198,IF(AND($D198&gt;=AX$5,$D198&lt;AX$5+7),"◆",""),IF(AND($D198&lt;AX$5+7,$E198&gt;AX$5),"■","")))</x:f>
      </x:c>
      <x:c r="AY198" s="7" t="str">
        <x:f>IF(OR($D198="",AY$5="",'상세일정'!AM198="제외"),"",IF($D198=$E198,IF(AND($D198&gt;=AY$5,$D198&lt;AY$5+7),"◆",""),IF(AND($D198&lt;AY$5+7,$E198&gt;AY$5),"■","")))</x:f>
      </x:c>
      <x:c r="AZ198" s="7" t="str">
        <x:f>IF(OR($D198="",AZ$5="",'상세일정'!AM198="제외"),"",IF($D198=$E198,IF(AND($D198&gt;=AZ$5,$D198&lt;AZ$5+7),"◆",""),IF(AND($D198&lt;AZ$5+7,$E198&gt;AZ$5),"■","")))</x:f>
      </x:c>
      <x:c r="BA198" s="7" t="str">
        <x:f>IF(OR($D198="",BA$5="",'상세일정'!AM198="제외"),"",IF($D198=$E198,IF(AND($D198&gt;=BA$5,$D198&lt;BA$5+7),"◆",""),IF(AND($D198&lt;BA$5+7,$E198&gt;BA$5),"■","")))</x:f>
      </x:c>
      <x:c r="BB198" s="7" t="str">
        <x:f>IF(OR($D198="",BB$5="",'상세일정'!AM198="제외"),"",IF($D198=$E198,IF(AND($D198&gt;=BB$5,$D198&lt;BB$5+7),"◆",""),IF(AND($D198&lt;BB$5+7,$E198&gt;BB$5),"■","")))</x:f>
      </x:c>
      <x:c r="BC198" s="7" t="str">
        <x:f>IF(OR($D198="",BC$5="",'상세일정'!AM198="제외"),"",IF($D198=$E198,IF(AND($D198&gt;=BC$5,$D198&lt;BC$5+7),"◆",""),IF(AND($D198&lt;BC$5+7,$E198&gt;BC$5),"■","")))</x:f>
      </x:c>
      <x:c r="BD198" s="7" t="str">
        <x:f>IF(OR($D198="",BD$5="",'상세일정'!AM198="제외"),"",IF($D198=$E198,IF(AND($D198&gt;=BD$5,$D198&lt;BD$5+7),"◆",""),IF(AND($D198&lt;BD$5+7,$E198&gt;BD$5),"■","")))</x:f>
      </x:c>
      <x:c r="BE198" s="7" t="str">
        <x:f>IF(OR($D198="",BE$5="",'상세일정'!AM198="제외"),"",IF($D198=$E198,IF(AND($D198&gt;=BE$5,$D198&lt;BE$5+7),"◆",""),IF(AND($D198&lt;BE$5+7,$E198&gt;BE$5),"■","")))</x:f>
      </x:c>
      <x:c r="BF198" s="7" t="str">
        <x:f>IF(OR($D198="",BF$5="",'상세일정'!AM198="제외"),"",IF($D198=$E198,IF(AND($D198&gt;=BF$5,$D198&lt;BF$5+7),"◆",""),IF(AND($D198&lt;BF$5+7,$E198&gt;BF$5),"■","")))</x:f>
      </x:c>
      <x:c r="BG198" s="7" t="str">
        <x:f>IF(OR($D198="",BG$5="",'상세일정'!AM198="제외"),"",IF($D198=$E198,IF(AND($D198&gt;=BG$5,$D198&lt;BG$5+7),"◆",""),IF(AND($D198&lt;BG$5+7,$E198&gt;BG$5),"■","")))</x:f>
      </x:c>
      <x:c r="BH198" s="7" t="str">
        <x:f>IF(OR($D198="",BH$5="",'상세일정'!AM198="제외"),"",IF($D198=$E198,IF(AND($D198&gt;=BH$5,$D198&lt;BH$5+7),"◆",""),IF(AND($D198&lt;BH$5+7,$E198&gt;BH$5),"■","")))</x:f>
      </x:c>
      <x:c r="BI198" s="7" t="str">
        <x:f>IF(OR($D198="",BI$5="",'상세일정'!AM198="제외"),"",IF($D198=$E198,IF(AND($D198&gt;=BI$5,$D198&lt;BI$5+7),"◆",""),IF(AND($D198&lt;BI$5+7,$E198&gt;BI$5),"■","")))</x:f>
      </x:c>
      <x:c r="BJ198" s="7" t="str">
        <x:f>IF(OR($D198="",BJ$5="",'상세일정'!AM198="제외"),"",IF($D198=$E198,IF(AND($D198&gt;=BJ$5,$D198&lt;BJ$5+7),"◆",""),IF(AND($D198&lt;BJ$5+7,$E198&gt;BJ$5),"■","")))</x:f>
      </x:c>
      <x:c r="BK198" s="7" t="str">
        <x:f>IF(OR($D198="",BK$5="",'상세일정'!AM198="제외"),"",IF($D198=$E198,IF(AND($D198&gt;=BK$5,$D198&lt;BK$5+7),"◆",""),IF(AND($D198&lt;BK$5+7,$E198&gt;BK$5),"■","")))</x:f>
      </x:c>
      <x:c r="BL198" s="7" t="str">
        <x:f>IF(OR($D198="",BL$5="",'상세일정'!AM198="제외"),"",IF($D198=$E198,IF(AND($D198&gt;=BL$5,$D198&lt;BL$5+7),"◆",""),IF(AND($D198&lt;BL$5+7,$E198&gt;BL$5),"■","")))</x:f>
      </x:c>
      <x:c r="BM198" s="7" t="str">
        <x:f>IF(OR($D198="",BM$5="",'상세일정'!AM198="제외"),"",IF($D198=$E198,IF(AND($D198&gt;=BM$5,$D198&lt;BM$5+7),"◆",""),IF(AND($D198&lt;BM$5+7,$E198&gt;BM$5),"■","")))</x:f>
      </x:c>
      <x:c r="BN198" s="7" t="str">
        <x:f>IF(OR($D198="",BN$5="",'상세일정'!AM198="제외"),"",IF($D198=$E198,IF(AND($D198&gt;=BN$5,$D198&lt;BN$5+7),"◆",""),IF(AND($D198&lt;BN$5+7,$E198&gt;BN$5),"■","")))</x:f>
      </x:c>
      <x:c r="BO198" s="7" t="str">
        <x:f>IF(OR($D198="",BO$5="",'상세일정'!AM198="제외"),"",IF($D198=$E198,IF(AND($D198&gt;=BO$5,$D198&lt;BO$5+7),"◆",""),IF(AND($D198&lt;BO$5+7,$E198&gt;BO$5),"■","")))</x:f>
      </x:c>
      <x:c r="BP198" s="7" t="str">
        <x:f>IF(OR($D198="",BP$5="",'상세일정'!AM198="제외"),"",IF($D198=$E198,IF(AND($D198&gt;=BP$5,$D198&lt;BP$5+7),"◆",""),IF(AND($D198&lt;BP$5+7,$E198&gt;BP$5),"■","")))</x:f>
      </x:c>
      <x:c r="BQ198" s="7" t="str">
        <x:f>IF(OR($D198="",BQ$5="",'상세일정'!AM198="제외"),"",IF($D198=$E198,IF(AND($D198&gt;=BQ$5,$D198&lt;BQ$5+7),"◆",""),IF(AND($D198&lt;BQ$5+7,$E198&gt;BQ$5),"■","")))</x:f>
      </x:c>
      <x:c r="BR198" s="7" t="str">
        <x:f>IF(OR($D198="",BR$5="",'상세일정'!AM198="제외"),"",IF($D198=$E198,IF(AND($D198&gt;=BR$5,$D198&lt;BR$5+7),"◆",""),IF(AND($D198&lt;BR$5+7,$E198&gt;BR$5),"■","")))</x:f>
      </x:c>
      <x:c r="BS198" s="7" t="str">
        <x:f>IF(OR($D198="",BS$5="",'상세일정'!AM198="제외"),"",IF($D198=$E198,IF(AND($D198&gt;=BS$5,$D198&lt;BS$5+7),"◆",""),IF(AND($D198&lt;BS$5+7,$E198&gt;BS$5),"■","")))</x:f>
      </x:c>
      <x:c r="BT198" s="7" t="str">
        <x:f>IF(OR($D198="",BT$5="",'상세일정'!AM198="제외"),"",IF($D198=$E198,IF(AND($D198&gt;=BT$5,$D198&lt;BT$5+7),"◆",""),IF(AND($D198&lt;BT$5+7,$E198&gt;BT$5),"■","")))</x:f>
      </x:c>
      <x:c r="BU198" s="7" t="str">
        <x:f>IF(OR($D198="",BU$5="",'상세일정'!AM198="제외"),"",IF($D198=$E198,IF(AND($D198&gt;=BU$5,$D198&lt;BU$5+7),"◆",""),IF(AND($D198&lt;BU$5+7,$E198&gt;BU$5),"■","")))</x:f>
      </x:c>
      <x:c r="BV198" s="7" t="str">
        <x:f>IF(OR($D198="",BV$5="",'상세일정'!AM198="제외"),"",IF($D198=$E198,IF(AND($D198&gt;=BV$5,$D198&lt;BV$5+7),"◆",""),IF(AND($D198&lt;BV$5+7,$E198&gt;BV$5),"■","")))</x:f>
      </x:c>
      <x:c r="BW198" s="7" t="str">
        <x:f>IF(OR($D198="",BW$5="",'상세일정'!AM198="제외"),"",IF($D198=$E198,IF(AND($D198&gt;=BW$5,$D198&lt;BW$5+7),"◆",""),IF(AND($D198&lt;BW$5+7,$E198&gt;BW$5),"■","")))</x:f>
      </x:c>
      <x:c r="BX198" s="7" t="str">
        <x:f>IF(OR($D198="",BX$5="",'상세일정'!AM198="제외"),"",IF($D198=$E198,IF(AND($D198&gt;=BX$5,$D198&lt;BX$5+7),"◆",""),IF(AND($D198&lt;BX$5+7,$E198&gt;BX$5),"■","")))</x:f>
      </x:c>
      <x:c r="BY198" s="7" t="str">
        <x:f>IF(OR($D198="",BY$5="",'상세일정'!AM198="제외"),"",IF($D198=$E198,IF(AND($D198&gt;=BY$5,$D198&lt;BY$5+7),"◆",""),IF(AND($D198&lt;BY$5+7,$E198&gt;BY$5),"■","")))</x:f>
      </x:c>
      <x:c r="BZ198" s="7" t="str">
        <x:f>IF(OR($D198="",BZ$5="",'상세일정'!AM198="제외"),"",IF($D198=$E198,IF(AND($D198&gt;=BZ$5,$D198&lt;BZ$5+7),"◆",""),IF(AND($D198&lt;BZ$5+7,$E198&gt;BZ$5),"■","")))</x:f>
      </x:c>
      <x:c r="CA198" s="7" t="str">
        <x:f>IF(OR($D198="",CA$5="",'상세일정'!AM198="제외"),"",IF($D198=$E198,IF(AND($D198&gt;=CA$5,$D198&lt;CA$5+7),"◆",""),IF(AND($D198&lt;CA$5+7,$E198&gt;CA$5),"■","")))</x:f>
      </x:c>
      <x:c r="CB198" s="7" t="str">
        <x:f>IF(OR($D198="",CB$5="",'상세일정'!AM198="제외"),"",IF($D198=$E198,IF(AND($D198&gt;=CB$5,$D198&lt;CB$5+7),"◆",""),IF(AND($D198&lt;CB$5+7,$E198&gt;CB$5),"■","")))</x:f>
      </x:c>
      <x:c r="CC198" s="7" t="str">
        <x:f>IF(OR($D198="",CC$5="",'상세일정'!AM198="제외"),"",IF($D198=$E198,IF(AND($D198&gt;=CC$5,$D198&lt;CC$5+7),"◆",""),IF(AND($D198&lt;CC$5+7,$E198&gt;CC$5),"■","")))</x:f>
      </x:c>
      <x:c r="CD198" s="7" t="str">
        <x:f>IF(OR($D198="",CD$5="",'상세일정'!AM198="제외"),"",IF($D198=$E198,IF(AND($D198&gt;=CD$5,$D198&lt;CD$5+7),"◆",""),IF(AND($D198&lt;CD$5+7,$E198&gt;CD$5),"■","")))</x:f>
      </x:c>
      <x:c r="CE198" s="7" t="str">
        <x:f>IF(OR($D198="",CE$5="",'상세일정'!AM198="제외"),"",IF($D198=$E198,IF(AND($D198&gt;=CE$5,$D198&lt;CE$5+7),"◆",""),IF(AND($D198&lt;CE$5+7,$E198&gt;CE$5),"■","")))</x:f>
      </x:c>
      <x:c r="CF198" s="7" t="str">
        <x:f>IF(OR($D198="",CF$5="",'상세일정'!AM198="제외"),"",IF($D198=$E198,IF(AND($D198&gt;=CF$5,$D198&lt;CF$5+7),"◆",""),IF(AND($D198&lt;CF$5+7,$E198&gt;CF$5),"■","")))</x:f>
      </x:c>
      <x:c r="CG198" s="7" t="str">
        <x:f>IF(OR($D198="",CG$5="",'상세일정'!AM198="제외"),"",IF($D198=$E198,IF(AND($D198&gt;=CG$5,$D198&lt;CG$5+7),"◆",""),IF(AND($D198&lt;CG$5+7,$E198&gt;CG$5),"■","")))</x:f>
      </x:c>
      <x:c r="CH198" s="7" t="str">
        <x:f>IF(OR($D198="",CH$5="",'상세일정'!AM198="제외"),"",IF($D198=$E198,IF(AND($D198&gt;=CH$5,$D198&lt;CH$5+7),"◆",""),IF(AND($D198&lt;CH$5+7,$E198&gt;CH$5),"■","")))</x:f>
      </x:c>
      <x:c r="CI198" s="7" t="str">
        <x:f>IF(OR($D198="",CI$5="",'상세일정'!AM198="제외"),"",IF($D198=$E198,IF(AND($D198&gt;=CI$5,$D198&lt;CI$5+7),"◆",""),IF(AND($D198&lt;CI$5+7,$E198&gt;CI$5),"■","")))</x:f>
      </x:c>
      <x:c r="CJ198" s="7" t="str">
        <x:f>IF(OR($D198="",CJ$5="",'상세일정'!AM198="제외"),"",IF($D198=$E198,IF(AND($D198&gt;=CJ$5,$D198&lt;CJ$5+7),"◆",""),IF(AND($D198&lt;CJ$5+7,$E198&gt;CJ$5),"■","")))</x:f>
      </x:c>
      <x:c r="CK198" s="7" t="str">
        <x:f>IF(OR($D198="",CK$5="",'상세일정'!AM198="제외"),"",IF($D198=$E198,IF(AND($D198&gt;=CK$5,$D198&lt;CK$5+7),"◆",""),IF(AND($D198&lt;CK$5+7,$E198&gt;CK$5),"■","")))</x:f>
      </x:c>
      <x:c r="CL198" s="7" t="str">
        <x:f>IF(OR($D198="",CL$5="",'상세일정'!AM198="제외"),"",IF($D198=$E198,IF(AND($D198&gt;=CL$5,$D198&lt;CL$5+7),"◆",""),IF(AND($D198&lt;CL$5+7,$E198&gt;CL$5),"■","")))</x:f>
      </x:c>
      <x:c r="CM198" s="7" t="str">
        <x:f>IF(OR($D198="",CM$5="",'상세일정'!AM198="제외"),"",IF($D198=$E198,IF(AND($D198&gt;=CM$5,$D198&lt;CM$5+7),"◆",""),IF(AND($D198&lt;CM$5+7,$E198&gt;CM$5),"■","")))</x:f>
      </x:c>
      <x:c r="CN198" s="7" t="str">
        <x:f>IF(OR($D198="",CN$5="",'상세일정'!AM198="제외"),"",IF($D198=$E198,IF(AND($D198&gt;=CN$5,$D198&lt;CN$5+7),"◆",""),IF(AND($D198&lt;CN$5+7,$E198&gt;CN$5),"■","")))</x:f>
      </x:c>
      <x:c r="CO198" s="7" t="str">
        <x:f>IF(OR($D198="",CO$5="",'상세일정'!AM198="제외"),"",IF($D198=$E198,IF(AND($D198&gt;=CO$5,$D198&lt;CO$5+7),"◆",""),IF(AND($D198&lt;CO$5+7,$E198&gt;CO$5),"■","")))</x:f>
      </x:c>
      <x:c r="CP198" s="7" t="str">
        <x:f>IF(OR($D198="",CP$5="",'상세일정'!AM198="제외"),"",IF($D198=$E198,IF(AND($D198&gt;=CP$5,$D198&lt;CP$5+7),"◆",""),IF(AND($D198&lt;CP$5+7,$E198&gt;CP$5),"■","")))</x:f>
      </x:c>
      <x:c r="CQ198" s="7" t="str">
        <x:f>IF(OR($D198="",CQ$5="",'상세일정'!AM198="제외"),"",IF($D198=$E198,IF(AND($D198&gt;=CQ$5,$D198&lt;CQ$5+7),"◆",""),IF(AND($D198&lt;CQ$5+7,$E198&gt;CQ$5),"■","")))</x:f>
      </x:c>
      <x:c r="CR198" s="7" t="str">
        <x:f>IF(OR($D198="",CR$5="",'상세일정'!AM198="제외"),"",IF($D198=$E198,IF(AND($D198&gt;=CR$5,$D198&lt;CR$5+7),"◆",""),IF(AND($D198&lt;CR$5+7,$E198&gt;CR$5),"■","")))</x:f>
      </x:c>
      <x:c r="CS198" s="7" t="str">
        <x:f>IF(OR($D198="",CS$5="",'상세일정'!AM198="제외"),"",IF($D198=$E198,IF(AND($D198&gt;=CS$5,$D198&lt;CS$5+7),"◆",""),IF(AND($D198&lt;CS$5+7,$E198&gt;CS$5),"■","")))</x:f>
      </x:c>
      <x:c r="CT198" s="7" t="str">
        <x:f>IF(OR($D198="",CT$5="",'상세일정'!AM198="제외"),"",IF($D198=$E198,IF(AND($D198&gt;=CT$5,$D198&lt;CT$5+7),"◆",""),IF(AND($D198&lt;CT$5+7,$E198&gt;CT$5),"■","")))</x:f>
      </x:c>
      <x:c r="CU198" s="7" t="str">
        <x:f>IF(OR($D198="",CU$5="",'상세일정'!AM198="제외"),"",IF($D198=$E198,IF(AND($D198&gt;=CU$5,$D198&lt;CU$5+7),"◆",""),IF(AND($D198&lt;CU$5+7,$E198&gt;CU$5),"■","")))</x:f>
      </x:c>
      <x:c r="CV198" s="7" t="str">
        <x:f>IF(OR($D198="",CV$5="",'상세일정'!AM198="제외"),"",IF($D198=$E198,IF(AND($D198&gt;=CV$5,$D198&lt;CV$5+7),"◆",""),IF(AND($D198&lt;CV$5+7,$E198&gt;CV$5),"■","")))</x:f>
      </x:c>
      <x:c r="CW198" s="7" t="str">
        <x:f>IF(OR($D198="",CW$5="",'상세일정'!AM198="제외"),"",IF($D198=$E198,IF(AND($D198&gt;=CW$5,$D198&lt;CW$5+7),"◆",""),IF(AND($D198&lt;CW$5+7,$E198&gt;CW$5),"■","")))</x:f>
      </x:c>
      <x:c r="CX198" s="7" t="str">
        <x:f>IF(OR($D198="",CX$5="",'상세일정'!AM198="제외"),"",IF($D198=$E198,IF(AND($D198&gt;=CX$5,$D198&lt;CX$5+7),"◆",""),IF(AND($D198&lt;CX$5+7,$E198&gt;CX$5),"■","")))</x:f>
      </x:c>
      <x:c r="CY198" s="7" t="str">
        <x:f>IF(OR($D198="",CY$5="",'상세일정'!AM198="제외"),"",IF($D198=$E198,IF(AND($D198&gt;=CY$5,$D198&lt;CY$5+7),"◆",""),IF(AND($D198&lt;CY$5+7,$E198&gt;CY$5),"■","")))</x:f>
      </x:c>
      <x:c r="CZ198" s="7" t="str">
        <x:f>IF(OR($D198="",CZ$5="",'상세일정'!AM198="제외"),"",IF($D198=$E198,IF(AND($D198&gt;=CZ$5,$D198&lt;CZ$5+7),"◆",""),IF(AND($D198&lt;CZ$5+7,$E198&gt;CZ$5),"■","")))</x:f>
      </x:c>
      <x:c r="DA198" s="7" t="str">
        <x:f>IF(OR($D198="",DA$5="",'상세일정'!AM198="제외"),"",IF($D198=$E198,IF(AND($D198&gt;=DA$5,$D198&lt;DA$5+7),"◆",""),IF(AND($D198&lt;DA$5+7,$E198&gt;DA$5),"■","")))</x:f>
      </x:c>
      <x:c r="DB198" s="7" t="str">
        <x:f>IF(OR($D198="",DB$5="",'상세일정'!AM198="제외"),"",IF($D198=$E198,IF(AND($D198&gt;=DB$5,$D198&lt;DB$5+7),"◆",""),IF(AND($D198&lt;DB$5+7,$E198&gt;DB$5),"■","")))</x:f>
      </x:c>
      <x:c r="DC198" s="7" t="str">
        <x:f>IF(OR($D198="",DC$5="",'상세일정'!AM198="제외"),"",IF($D198=$E198,IF(AND($D198&gt;=DC$5,$D198&lt;DC$5+7),"◆",""),IF(AND($D198&lt;DC$5+7,$E198&gt;DC$5),"■","")))</x:f>
      </x:c>
      <x:c r="DD198" s="7" t="str">
        <x:f>IF(OR($D198="",DD$5="",'상세일정'!AM198="제외"),"",IF($D198=$E198,IF(AND($D198&gt;=DD$5,$D198&lt;DD$5+7),"◆",""),IF(AND($D198&lt;DD$5+7,$E198&gt;DD$5),"■","")))</x:f>
      </x:c>
      <x:c r="DE198" s="7" t="str">
        <x:f>IF(OR($D198="",DE$5="",'상세일정'!AM198="제외"),"",IF($D198=$E198,IF(AND($D198&gt;=DE$5,$D198&lt;DE$5+7),"◆",""),IF(AND($D198&lt;DE$5+7,$E198&gt;DE$5),"■","")))</x:f>
      </x:c>
    </x:row>
    <x:row r="199" ht="34" customHeight="1">
      <x:c r="A199" s="7" t="str">
        <x:v>MP06</x:v>
      </x:c>
      <x:c r="B199" s="7" t="str">
        <x:v>22 배관 시공</x:v>
      </x:c>
      <x:c r="C199" s="7" t="str">
        <x:v>자체 내압·기밀시험 준비/수행</x:v>
      </x:c>
      <x:c r="D199" s="10" t="str">
        <x:f>'상세일정'!AJ199</x:f>
      </x:c>
      <x:c r="E199" s="10" t="str">
        <x:f>'상세일정'!AK199</x:f>
      </x:c>
      <x:c r="F199" s="7" t="str">
        <x:f>IF(OR($D199="",F$5="",'상세일정'!AM199="제외"),"",IF($D199=$E199,IF(AND($D199&gt;=F$5,$D199&lt;F$5+7),"◆",""),IF(AND($D199&lt;F$5+7,$E199&gt;F$5),"■","")))</x:f>
      </x:c>
      <x:c r="G199" s="7" t="str">
        <x:f>IF(OR($D199="",G$5="",'상세일정'!AM199="제외"),"",IF($D199=$E199,IF(AND($D199&gt;=G$5,$D199&lt;G$5+7),"◆",""),IF(AND($D199&lt;G$5+7,$E199&gt;G$5),"■","")))</x:f>
      </x:c>
      <x:c r="H199" s="7" t="str">
        <x:f>IF(OR($D199="",H$5="",'상세일정'!AM199="제외"),"",IF($D199=$E199,IF(AND($D199&gt;=H$5,$D199&lt;H$5+7),"◆",""),IF(AND($D199&lt;H$5+7,$E199&gt;H$5),"■","")))</x:f>
      </x:c>
      <x:c r="I199" s="7" t="str">
        <x:f>IF(OR($D199="",I$5="",'상세일정'!AM199="제외"),"",IF($D199=$E199,IF(AND($D199&gt;=I$5,$D199&lt;I$5+7),"◆",""),IF(AND($D199&lt;I$5+7,$E199&gt;I$5),"■","")))</x:f>
      </x:c>
      <x:c r="J199" s="7" t="str">
        <x:f>IF(OR($D199="",J$5="",'상세일정'!AM199="제외"),"",IF($D199=$E199,IF(AND($D199&gt;=J$5,$D199&lt;J$5+7),"◆",""),IF(AND($D199&lt;J$5+7,$E199&gt;J$5),"■","")))</x:f>
      </x:c>
      <x:c r="K199" s="7" t="str">
        <x:f>IF(OR($D199="",K$5="",'상세일정'!AM199="제외"),"",IF($D199=$E199,IF(AND($D199&gt;=K$5,$D199&lt;K$5+7),"◆",""),IF(AND($D199&lt;K$5+7,$E199&gt;K$5),"■","")))</x:f>
      </x:c>
      <x:c r="L199" s="7" t="str">
        <x:f>IF(OR($D199="",L$5="",'상세일정'!AM199="제외"),"",IF($D199=$E199,IF(AND($D199&gt;=L$5,$D199&lt;L$5+7),"◆",""),IF(AND($D199&lt;L$5+7,$E199&gt;L$5),"■","")))</x:f>
      </x:c>
      <x:c r="M199" s="7" t="str">
        <x:f>IF(OR($D199="",M$5="",'상세일정'!AM199="제외"),"",IF($D199=$E199,IF(AND($D199&gt;=M$5,$D199&lt;M$5+7),"◆",""),IF(AND($D199&lt;M$5+7,$E199&gt;M$5),"■","")))</x:f>
      </x:c>
      <x:c r="N199" s="7" t="str">
        <x:f>IF(OR($D199="",N$5="",'상세일정'!AM199="제외"),"",IF($D199=$E199,IF(AND($D199&gt;=N$5,$D199&lt;N$5+7),"◆",""),IF(AND($D199&lt;N$5+7,$E199&gt;N$5),"■","")))</x:f>
      </x:c>
      <x:c r="O199" s="7" t="str">
        <x:f>IF(OR($D199="",O$5="",'상세일정'!AM199="제외"),"",IF($D199=$E199,IF(AND($D199&gt;=O$5,$D199&lt;O$5+7),"◆",""),IF(AND($D199&lt;O$5+7,$E199&gt;O$5),"■","")))</x:f>
      </x:c>
      <x:c r="P199" s="7" t="str">
        <x:f>IF(OR($D199="",P$5="",'상세일정'!AM199="제외"),"",IF($D199=$E199,IF(AND($D199&gt;=P$5,$D199&lt;P$5+7),"◆",""),IF(AND($D199&lt;P$5+7,$E199&gt;P$5),"■","")))</x:f>
      </x:c>
      <x:c r="Q199" s="7" t="str">
        <x:f>IF(OR($D199="",Q$5="",'상세일정'!AM199="제외"),"",IF($D199=$E199,IF(AND($D199&gt;=Q$5,$D199&lt;Q$5+7),"◆",""),IF(AND($D199&lt;Q$5+7,$E199&gt;Q$5),"■","")))</x:f>
      </x:c>
      <x:c r="R199" s="7" t="str">
        <x:f>IF(OR($D199="",R$5="",'상세일정'!AM199="제외"),"",IF($D199=$E199,IF(AND($D199&gt;=R$5,$D199&lt;R$5+7),"◆",""),IF(AND($D199&lt;R$5+7,$E199&gt;R$5),"■","")))</x:f>
      </x:c>
      <x:c r="S199" s="7" t="str">
        <x:f>IF(OR($D199="",S$5="",'상세일정'!AM199="제외"),"",IF($D199=$E199,IF(AND($D199&gt;=S$5,$D199&lt;S$5+7),"◆",""),IF(AND($D199&lt;S$5+7,$E199&gt;S$5),"■","")))</x:f>
      </x:c>
      <x:c r="T199" s="7" t="str">
        <x:f>IF(OR($D199="",T$5="",'상세일정'!AM199="제외"),"",IF($D199=$E199,IF(AND($D199&gt;=T$5,$D199&lt;T$5+7),"◆",""),IF(AND($D199&lt;T$5+7,$E199&gt;T$5),"■","")))</x:f>
      </x:c>
      <x:c r="U199" s="7" t="str">
        <x:f>IF(OR($D199="",U$5="",'상세일정'!AM199="제외"),"",IF($D199=$E199,IF(AND($D199&gt;=U$5,$D199&lt;U$5+7),"◆",""),IF(AND($D199&lt;U$5+7,$E199&gt;U$5),"■","")))</x:f>
      </x:c>
      <x:c r="V199" s="7" t="str">
        <x:f>IF(OR($D199="",V$5="",'상세일정'!AM199="제외"),"",IF($D199=$E199,IF(AND($D199&gt;=V$5,$D199&lt;V$5+7),"◆",""),IF(AND($D199&lt;V$5+7,$E199&gt;V$5),"■","")))</x:f>
      </x:c>
      <x:c r="W199" s="7" t="str">
        <x:f>IF(OR($D199="",W$5="",'상세일정'!AM199="제외"),"",IF($D199=$E199,IF(AND($D199&gt;=W$5,$D199&lt;W$5+7),"◆",""),IF(AND($D199&lt;W$5+7,$E199&gt;W$5),"■","")))</x:f>
      </x:c>
      <x:c r="X199" s="7" t="str">
        <x:f>IF(OR($D199="",X$5="",'상세일정'!AM199="제외"),"",IF($D199=$E199,IF(AND($D199&gt;=X$5,$D199&lt;X$5+7),"◆",""),IF(AND($D199&lt;X$5+7,$E199&gt;X$5),"■","")))</x:f>
      </x:c>
      <x:c r="Y199" s="7" t="str">
        <x:f>IF(OR($D199="",Y$5="",'상세일정'!AM199="제외"),"",IF($D199=$E199,IF(AND($D199&gt;=Y$5,$D199&lt;Y$5+7),"◆",""),IF(AND($D199&lt;Y$5+7,$E199&gt;Y$5),"■","")))</x:f>
      </x:c>
      <x:c r="Z199" s="7" t="str">
        <x:f>IF(OR($D199="",Z$5="",'상세일정'!AM199="제외"),"",IF($D199=$E199,IF(AND($D199&gt;=Z$5,$D199&lt;Z$5+7),"◆",""),IF(AND($D199&lt;Z$5+7,$E199&gt;Z$5),"■","")))</x:f>
      </x:c>
      <x:c r="AA199" s="7" t="str">
        <x:f>IF(OR($D199="",AA$5="",'상세일정'!AM199="제외"),"",IF($D199=$E199,IF(AND($D199&gt;=AA$5,$D199&lt;AA$5+7),"◆",""),IF(AND($D199&lt;AA$5+7,$E199&gt;AA$5),"■","")))</x:f>
      </x:c>
      <x:c r="AB199" s="7" t="str">
        <x:f>IF(OR($D199="",AB$5="",'상세일정'!AM199="제외"),"",IF($D199=$E199,IF(AND($D199&gt;=AB$5,$D199&lt;AB$5+7),"◆",""),IF(AND($D199&lt;AB$5+7,$E199&gt;AB$5),"■","")))</x:f>
      </x:c>
      <x:c r="AC199" s="7" t="str">
        <x:f>IF(OR($D199="",AC$5="",'상세일정'!AM199="제외"),"",IF($D199=$E199,IF(AND($D199&gt;=AC$5,$D199&lt;AC$5+7),"◆",""),IF(AND($D199&lt;AC$5+7,$E199&gt;AC$5),"■","")))</x:f>
      </x:c>
      <x:c r="AD199" s="7" t="str">
        <x:f>IF(OR($D199="",AD$5="",'상세일정'!AM199="제외"),"",IF($D199=$E199,IF(AND($D199&gt;=AD$5,$D199&lt;AD$5+7),"◆",""),IF(AND($D199&lt;AD$5+7,$E199&gt;AD$5),"■","")))</x:f>
      </x:c>
      <x:c r="AE199" s="7" t="str">
        <x:f>IF(OR($D199="",AE$5="",'상세일정'!AM199="제외"),"",IF($D199=$E199,IF(AND($D199&gt;=AE$5,$D199&lt;AE$5+7),"◆",""),IF(AND($D199&lt;AE$5+7,$E199&gt;AE$5),"■","")))</x:f>
      </x:c>
      <x:c r="AF199" s="7" t="str">
        <x:f>IF(OR($D199="",AF$5="",'상세일정'!AM199="제외"),"",IF($D199=$E199,IF(AND($D199&gt;=AF$5,$D199&lt;AF$5+7),"◆",""),IF(AND($D199&lt;AF$5+7,$E199&gt;AF$5),"■","")))</x:f>
      </x:c>
      <x:c r="AG199" s="7" t="str">
        <x:f>IF(OR($D199="",AG$5="",'상세일정'!AM199="제외"),"",IF($D199=$E199,IF(AND($D199&gt;=AG$5,$D199&lt;AG$5+7),"◆",""),IF(AND($D199&lt;AG$5+7,$E199&gt;AG$5),"■","")))</x:f>
      </x:c>
      <x:c r="AH199" s="7" t="str">
        <x:f>IF(OR($D199="",AH$5="",'상세일정'!AM199="제외"),"",IF($D199=$E199,IF(AND($D199&gt;=AH$5,$D199&lt;AH$5+7),"◆",""),IF(AND($D199&lt;AH$5+7,$E199&gt;AH$5),"■","")))</x:f>
      </x:c>
      <x:c r="AI199" s="7" t="str">
        <x:f>IF(OR($D199="",AI$5="",'상세일정'!AM199="제외"),"",IF($D199=$E199,IF(AND($D199&gt;=AI$5,$D199&lt;AI$5+7),"◆",""),IF(AND($D199&lt;AI$5+7,$E199&gt;AI$5),"■","")))</x:f>
      </x:c>
      <x:c r="AJ199" s="7" t="str">
        <x:f>IF(OR($D199="",AJ$5="",'상세일정'!AM199="제외"),"",IF($D199=$E199,IF(AND($D199&gt;=AJ$5,$D199&lt;AJ$5+7),"◆",""),IF(AND($D199&lt;AJ$5+7,$E199&gt;AJ$5),"■","")))</x:f>
      </x:c>
      <x:c r="AK199" s="7" t="str">
        <x:f>IF(OR($D199="",AK$5="",'상세일정'!AM199="제외"),"",IF($D199=$E199,IF(AND($D199&gt;=AK$5,$D199&lt;AK$5+7),"◆",""),IF(AND($D199&lt;AK$5+7,$E199&gt;AK$5),"■","")))</x:f>
      </x:c>
      <x:c r="AL199" s="7" t="str">
        <x:f>IF(OR($D199="",AL$5="",'상세일정'!AM199="제외"),"",IF($D199=$E199,IF(AND($D199&gt;=AL$5,$D199&lt;AL$5+7),"◆",""),IF(AND($D199&lt;AL$5+7,$E199&gt;AL$5),"■","")))</x:f>
      </x:c>
      <x:c r="AM199" s="7" t="str">
        <x:f>IF(OR($D199="",AM$5="",'상세일정'!AM199="제외"),"",IF($D199=$E199,IF(AND($D199&gt;=AM$5,$D199&lt;AM$5+7),"◆",""),IF(AND($D199&lt;AM$5+7,$E199&gt;AM$5),"■","")))</x:f>
      </x:c>
      <x:c r="AN199" s="7" t="str">
        <x:f>IF(OR($D199="",AN$5="",'상세일정'!AM199="제외"),"",IF($D199=$E199,IF(AND($D199&gt;=AN$5,$D199&lt;AN$5+7),"◆",""),IF(AND($D199&lt;AN$5+7,$E199&gt;AN$5),"■","")))</x:f>
      </x:c>
      <x:c r="AO199" s="7" t="str">
        <x:f>IF(OR($D199="",AO$5="",'상세일정'!AM199="제외"),"",IF($D199=$E199,IF(AND($D199&gt;=AO$5,$D199&lt;AO$5+7),"◆",""),IF(AND($D199&lt;AO$5+7,$E199&gt;AO$5),"■","")))</x:f>
      </x:c>
      <x:c r="AP199" s="7" t="str">
        <x:f>IF(OR($D199="",AP$5="",'상세일정'!AM199="제외"),"",IF($D199=$E199,IF(AND($D199&gt;=AP$5,$D199&lt;AP$5+7),"◆",""),IF(AND($D199&lt;AP$5+7,$E199&gt;AP$5),"■","")))</x:f>
      </x:c>
      <x:c r="AQ199" s="7" t="str">
        <x:f>IF(OR($D199="",AQ$5="",'상세일정'!AM199="제외"),"",IF($D199=$E199,IF(AND($D199&gt;=AQ$5,$D199&lt;AQ$5+7),"◆",""),IF(AND($D199&lt;AQ$5+7,$E199&gt;AQ$5),"■","")))</x:f>
      </x:c>
      <x:c r="AR199" s="7" t="str">
        <x:f>IF(OR($D199="",AR$5="",'상세일정'!AM199="제외"),"",IF($D199=$E199,IF(AND($D199&gt;=AR$5,$D199&lt;AR$5+7),"◆",""),IF(AND($D199&lt;AR$5+7,$E199&gt;AR$5),"■","")))</x:f>
      </x:c>
      <x:c r="AS199" s="7" t="str">
        <x:f>IF(OR($D199="",AS$5="",'상세일정'!AM199="제외"),"",IF($D199=$E199,IF(AND($D199&gt;=AS$5,$D199&lt;AS$5+7),"◆",""),IF(AND($D199&lt;AS$5+7,$E199&gt;AS$5),"■","")))</x:f>
      </x:c>
      <x:c r="AT199" s="7" t="str">
        <x:f>IF(OR($D199="",AT$5="",'상세일정'!AM199="제외"),"",IF($D199=$E199,IF(AND($D199&gt;=AT$5,$D199&lt;AT$5+7),"◆",""),IF(AND($D199&lt;AT$5+7,$E199&gt;AT$5),"■","")))</x:f>
      </x:c>
      <x:c r="AU199" s="7" t="str">
        <x:f>IF(OR($D199="",AU$5="",'상세일정'!AM199="제외"),"",IF($D199=$E199,IF(AND($D199&gt;=AU$5,$D199&lt;AU$5+7),"◆",""),IF(AND($D199&lt;AU$5+7,$E199&gt;AU$5),"■","")))</x:f>
      </x:c>
      <x:c r="AV199" s="7" t="str">
        <x:f>IF(OR($D199="",AV$5="",'상세일정'!AM199="제외"),"",IF($D199=$E199,IF(AND($D199&gt;=AV$5,$D199&lt;AV$5+7),"◆",""),IF(AND($D199&lt;AV$5+7,$E199&gt;AV$5),"■","")))</x:f>
      </x:c>
      <x:c r="AW199" s="7" t="str">
        <x:f>IF(OR($D199="",AW$5="",'상세일정'!AM199="제외"),"",IF($D199=$E199,IF(AND($D199&gt;=AW$5,$D199&lt;AW$5+7),"◆",""),IF(AND($D199&lt;AW$5+7,$E199&gt;AW$5),"■","")))</x:f>
      </x:c>
      <x:c r="AX199" s="7" t="str">
        <x:f>IF(OR($D199="",AX$5="",'상세일정'!AM199="제외"),"",IF($D199=$E199,IF(AND($D199&gt;=AX$5,$D199&lt;AX$5+7),"◆",""),IF(AND($D199&lt;AX$5+7,$E199&gt;AX$5),"■","")))</x:f>
      </x:c>
      <x:c r="AY199" s="7" t="str">
        <x:f>IF(OR($D199="",AY$5="",'상세일정'!AM199="제외"),"",IF($D199=$E199,IF(AND($D199&gt;=AY$5,$D199&lt;AY$5+7),"◆",""),IF(AND($D199&lt;AY$5+7,$E199&gt;AY$5),"■","")))</x:f>
      </x:c>
      <x:c r="AZ199" s="7" t="str">
        <x:f>IF(OR($D199="",AZ$5="",'상세일정'!AM199="제외"),"",IF($D199=$E199,IF(AND($D199&gt;=AZ$5,$D199&lt;AZ$5+7),"◆",""),IF(AND($D199&lt;AZ$5+7,$E199&gt;AZ$5),"■","")))</x:f>
      </x:c>
      <x:c r="BA199" s="7" t="str">
        <x:f>IF(OR($D199="",BA$5="",'상세일정'!AM199="제외"),"",IF($D199=$E199,IF(AND($D199&gt;=BA$5,$D199&lt;BA$5+7),"◆",""),IF(AND($D199&lt;BA$5+7,$E199&gt;BA$5),"■","")))</x:f>
      </x:c>
      <x:c r="BB199" s="7" t="str">
        <x:f>IF(OR($D199="",BB$5="",'상세일정'!AM199="제외"),"",IF($D199=$E199,IF(AND($D199&gt;=BB$5,$D199&lt;BB$5+7),"◆",""),IF(AND($D199&lt;BB$5+7,$E199&gt;BB$5),"■","")))</x:f>
      </x:c>
      <x:c r="BC199" s="7" t="str">
        <x:f>IF(OR($D199="",BC$5="",'상세일정'!AM199="제외"),"",IF($D199=$E199,IF(AND($D199&gt;=BC$5,$D199&lt;BC$5+7),"◆",""),IF(AND($D199&lt;BC$5+7,$E199&gt;BC$5),"■","")))</x:f>
      </x:c>
      <x:c r="BD199" s="7" t="str">
        <x:f>IF(OR($D199="",BD$5="",'상세일정'!AM199="제외"),"",IF($D199=$E199,IF(AND($D199&gt;=BD$5,$D199&lt;BD$5+7),"◆",""),IF(AND($D199&lt;BD$5+7,$E199&gt;BD$5),"■","")))</x:f>
      </x:c>
      <x:c r="BE199" s="7" t="str">
        <x:f>IF(OR($D199="",BE$5="",'상세일정'!AM199="제외"),"",IF($D199=$E199,IF(AND($D199&gt;=BE$5,$D199&lt;BE$5+7),"◆",""),IF(AND($D199&lt;BE$5+7,$E199&gt;BE$5),"■","")))</x:f>
      </x:c>
      <x:c r="BF199" s="7" t="str">
        <x:f>IF(OR($D199="",BF$5="",'상세일정'!AM199="제외"),"",IF($D199=$E199,IF(AND($D199&gt;=BF$5,$D199&lt;BF$5+7),"◆",""),IF(AND($D199&lt;BF$5+7,$E199&gt;BF$5),"■","")))</x:f>
      </x:c>
      <x:c r="BG199" s="7" t="str">
        <x:f>IF(OR($D199="",BG$5="",'상세일정'!AM199="제외"),"",IF($D199=$E199,IF(AND($D199&gt;=BG$5,$D199&lt;BG$5+7),"◆",""),IF(AND($D199&lt;BG$5+7,$E199&gt;BG$5),"■","")))</x:f>
      </x:c>
      <x:c r="BH199" s="7" t="str">
        <x:f>IF(OR($D199="",BH$5="",'상세일정'!AM199="제외"),"",IF($D199=$E199,IF(AND($D199&gt;=BH$5,$D199&lt;BH$5+7),"◆",""),IF(AND($D199&lt;BH$5+7,$E199&gt;BH$5),"■","")))</x:f>
      </x:c>
      <x:c r="BI199" s="7" t="str">
        <x:f>IF(OR($D199="",BI$5="",'상세일정'!AM199="제외"),"",IF($D199=$E199,IF(AND($D199&gt;=BI$5,$D199&lt;BI$5+7),"◆",""),IF(AND($D199&lt;BI$5+7,$E199&gt;BI$5),"■","")))</x:f>
      </x:c>
      <x:c r="BJ199" s="7" t="str">
        <x:f>IF(OR($D199="",BJ$5="",'상세일정'!AM199="제외"),"",IF($D199=$E199,IF(AND($D199&gt;=BJ$5,$D199&lt;BJ$5+7),"◆",""),IF(AND($D199&lt;BJ$5+7,$E199&gt;BJ$5),"■","")))</x:f>
      </x:c>
      <x:c r="BK199" s="7" t="str">
        <x:f>IF(OR($D199="",BK$5="",'상세일정'!AM199="제외"),"",IF($D199=$E199,IF(AND($D199&gt;=BK$5,$D199&lt;BK$5+7),"◆",""),IF(AND($D199&lt;BK$5+7,$E199&gt;BK$5),"■","")))</x:f>
      </x:c>
      <x:c r="BL199" s="7" t="str">
        <x:f>IF(OR($D199="",BL$5="",'상세일정'!AM199="제외"),"",IF($D199=$E199,IF(AND($D199&gt;=BL$5,$D199&lt;BL$5+7),"◆",""),IF(AND($D199&lt;BL$5+7,$E199&gt;BL$5),"■","")))</x:f>
      </x:c>
      <x:c r="BM199" s="7" t="str">
        <x:f>IF(OR($D199="",BM$5="",'상세일정'!AM199="제외"),"",IF($D199=$E199,IF(AND($D199&gt;=BM$5,$D199&lt;BM$5+7),"◆",""),IF(AND($D199&lt;BM$5+7,$E199&gt;BM$5),"■","")))</x:f>
      </x:c>
      <x:c r="BN199" s="7" t="str">
        <x:f>IF(OR($D199="",BN$5="",'상세일정'!AM199="제외"),"",IF($D199=$E199,IF(AND($D199&gt;=BN$5,$D199&lt;BN$5+7),"◆",""),IF(AND($D199&lt;BN$5+7,$E199&gt;BN$5),"■","")))</x:f>
      </x:c>
      <x:c r="BO199" s="7" t="str">
        <x:f>IF(OR($D199="",BO$5="",'상세일정'!AM199="제외"),"",IF($D199=$E199,IF(AND($D199&gt;=BO$5,$D199&lt;BO$5+7),"◆",""),IF(AND($D199&lt;BO$5+7,$E199&gt;BO$5),"■","")))</x:f>
      </x:c>
      <x:c r="BP199" s="7" t="str">
        <x:f>IF(OR($D199="",BP$5="",'상세일정'!AM199="제외"),"",IF($D199=$E199,IF(AND($D199&gt;=BP$5,$D199&lt;BP$5+7),"◆",""),IF(AND($D199&lt;BP$5+7,$E199&gt;BP$5),"■","")))</x:f>
      </x:c>
      <x:c r="BQ199" s="7" t="str">
        <x:f>IF(OR($D199="",BQ$5="",'상세일정'!AM199="제외"),"",IF($D199=$E199,IF(AND($D199&gt;=BQ$5,$D199&lt;BQ$5+7),"◆",""),IF(AND($D199&lt;BQ$5+7,$E199&gt;BQ$5),"■","")))</x:f>
      </x:c>
      <x:c r="BR199" s="7" t="str">
        <x:f>IF(OR($D199="",BR$5="",'상세일정'!AM199="제외"),"",IF($D199=$E199,IF(AND($D199&gt;=BR$5,$D199&lt;BR$5+7),"◆",""),IF(AND($D199&lt;BR$5+7,$E199&gt;BR$5),"■","")))</x:f>
      </x:c>
      <x:c r="BS199" s="7" t="str">
        <x:f>IF(OR($D199="",BS$5="",'상세일정'!AM199="제외"),"",IF($D199=$E199,IF(AND($D199&gt;=BS$5,$D199&lt;BS$5+7),"◆",""),IF(AND($D199&lt;BS$5+7,$E199&gt;BS$5),"■","")))</x:f>
      </x:c>
      <x:c r="BT199" s="7" t="str">
        <x:f>IF(OR($D199="",BT$5="",'상세일정'!AM199="제외"),"",IF($D199=$E199,IF(AND($D199&gt;=BT$5,$D199&lt;BT$5+7),"◆",""),IF(AND($D199&lt;BT$5+7,$E199&gt;BT$5),"■","")))</x:f>
      </x:c>
      <x:c r="BU199" s="7" t="str">
        <x:f>IF(OR($D199="",BU$5="",'상세일정'!AM199="제외"),"",IF($D199=$E199,IF(AND($D199&gt;=BU$5,$D199&lt;BU$5+7),"◆",""),IF(AND($D199&lt;BU$5+7,$E199&gt;BU$5),"■","")))</x:f>
      </x:c>
      <x:c r="BV199" s="7" t="str">
        <x:f>IF(OR($D199="",BV$5="",'상세일정'!AM199="제외"),"",IF($D199=$E199,IF(AND($D199&gt;=BV$5,$D199&lt;BV$5+7),"◆",""),IF(AND($D199&lt;BV$5+7,$E199&gt;BV$5),"■","")))</x:f>
      </x:c>
      <x:c r="BW199" s="7" t="str">
        <x:f>IF(OR($D199="",BW$5="",'상세일정'!AM199="제외"),"",IF($D199=$E199,IF(AND($D199&gt;=BW$5,$D199&lt;BW$5+7),"◆",""),IF(AND($D199&lt;BW$5+7,$E199&gt;BW$5),"■","")))</x:f>
      </x:c>
      <x:c r="BX199" s="7" t="str">
        <x:f>IF(OR($D199="",BX$5="",'상세일정'!AM199="제외"),"",IF($D199=$E199,IF(AND($D199&gt;=BX$5,$D199&lt;BX$5+7),"◆",""),IF(AND($D199&lt;BX$5+7,$E199&gt;BX$5),"■","")))</x:f>
      </x:c>
      <x:c r="BY199" s="7" t="str">
        <x:f>IF(OR($D199="",BY$5="",'상세일정'!AM199="제외"),"",IF($D199=$E199,IF(AND($D199&gt;=BY$5,$D199&lt;BY$5+7),"◆",""),IF(AND($D199&lt;BY$5+7,$E199&gt;BY$5),"■","")))</x:f>
      </x:c>
      <x:c r="BZ199" s="7" t="str">
        <x:f>IF(OR($D199="",BZ$5="",'상세일정'!AM199="제외"),"",IF($D199=$E199,IF(AND($D199&gt;=BZ$5,$D199&lt;BZ$5+7),"◆",""),IF(AND($D199&lt;BZ$5+7,$E199&gt;BZ$5),"■","")))</x:f>
      </x:c>
      <x:c r="CA199" s="7" t="str">
        <x:f>IF(OR($D199="",CA$5="",'상세일정'!AM199="제외"),"",IF($D199=$E199,IF(AND($D199&gt;=CA$5,$D199&lt;CA$5+7),"◆",""),IF(AND($D199&lt;CA$5+7,$E199&gt;CA$5),"■","")))</x:f>
      </x:c>
      <x:c r="CB199" s="7" t="str">
        <x:f>IF(OR($D199="",CB$5="",'상세일정'!AM199="제외"),"",IF($D199=$E199,IF(AND($D199&gt;=CB$5,$D199&lt;CB$5+7),"◆",""),IF(AND($D199&lt;CB$5+7,$E199&gt;CB$5),"■","")))</x:f>
      </x:c>
      <x:c r="CC199" s="7" t="str">
        <x:f>IF(OR($D199="",CC$5="",'상세일정'!AM199="제외"),"",IF($D199=$E199,IF(AND($D199&gt;=CC$5,$D199&lt;CC$5+7),"◆",""),IF(AND($D199&lt;CC$5+7,$E199&gt;CC$5),"■","")))</x:f>
      </x:c>
      <x:c r="CD199" s="7" t="str">
        <x:f>IF(OR($D199="",CD$5="",'상세일정'!AM199="제외"),"",IF($D199=$E199,IF(AND($D199&gt;=CD$5,$D199&lt;CD$5+7),"◆",""),IF(AND($D199&lt;CD$5+7,$E199&gt;CD$5),"■","")))</x:f>
      </x:c>
      <x:c r="CE199" s="7" t="str">
        <x:f>IF(OR($D199="",CE$5="",'상세일정'!AM199="제외"),"",IF($D199=$E199,IF(AND($D199&gt;=CE$5,$D199&lt;CE$5+7),"◆",""),IF(AND($D199&lt;CE$5+7,$E199&gt;CE$5),"■","")))</x:f>
      </x:c>
      <x:c r="CF199" s="7" t="str">
        <x:f>IF(OR($D199="",CF$5="",'상세일정'!AM199="제외"),"",IF($D199=$E199,IF(AND($D199&gt;=CF$5,$D199&lt;CF$5+7),"◆",""),IF(AND($D199&lt;CF$5+7,$E199&gt;CF$5),"■","")))</x:f>
      </x:c>
      <x:c r="CG199" s="7" t="str">
        <x:f>IF(OR($D199="",CG$5="",'상세일정'!AM199="제외"),"",IF($D199=$E199,IF(AND($D199&gt;=CG$5,$D199&lt;CG$5+7),"◆",""),IF(AND($D199&lt;CG$5+7,$E199&gt;CG$5),"■","")))</x:f>
      </x:c>
      <x:c r="CH199" s="7" t="str">
        <x:f>IF(OR($D199="",CH$5="",'상세일정'!AM199="제외"),"",IF($D199=$E199,IF(AND($D199&gt;=CH$5,$D199&lt;CH$5+7),"◆",""),IF(AND($D199&lt;CH$5+7,$E199&gt;CH$5),"■","")))</x:f>
      </x:c>
      <x:c r="CI199" s="7" t="str">
        <x:f>IF(OR($D199="",CI$5="",'상세일정'!AM199="제외"),"",IF($D199=$E199,IF(AND($D199&gt;=CI$5,$D199&lt;CI$5+7),"◆",""),IF(AND($D199&lt;CI$5+7,$E199&gt;CI$5),"■","")))</x:f>
      </x:c>
      <x:c r="CJ199" s="7" t="str">
        <x:f>IF(OR($D199="",CJ$5="",'상세일정'!AM199="제외"),"",IF($D199=$E199,IF(AND($D199&gt;=CJ$5,$D199&lt;CJ$5+7),"◆",""),IF(AND($D199&lt;CJ$5+7,$E199&gt;CJ$5),"■","")))</x:f>
      </x:c>
      <x:c r="CK199" s="7" t="str">
        <x:f>IF(OR($D199="",CK$5="",'상세일정'!AM199="제외"),"",IF($D199=$E199,IF(AND($D199&gt;=CK$5,$D199&lt;CK$5+7),"◆",""),IF(AND($D199&lt;CK$5+7,$E199&gt;CK$5),"■","")))</x:f>
      </x:c>
      <x:c r="CL199" s="7" t="str">
        <x:f>IF(OR($D199="",CL$5="",'상세일정'!AM199="제외"),"",IF($D199=$E199,IF(AND($D199&gt;=CL$5,$D199&lt;CL$5+7),"◆",""),IF(AND($D199&lt;CL$5+7,$E199&gt;CL$5),"■","")))</x:f>
      </x:c>
      <x:c r="CM199" s="7" t="str">
        <x:f>IF(OR($D199="",CM$5="",'상세일정'!AM199="제외"),"",IF($D199=$E199,IF(AND($D199&gt;=CM$5,$D199&lt;CM$5+7),"◆",""),IF(AND($D199&lt;CM$5+7,$E199&gt;CM$5),"■","")))</x:f>
      </x:c>
      <x:c r="CN199" s="7" t="str">
        <x:f>IF(OR($D199="",CN$5="",'상세일정'!AM199="제외"),"",IF($D199=$E199,IF(AND($D199&gt;=CN$5,$D199&lt;CN$5+7),"◆",""),IF(AND($D199&lt;CN$5+7,$E199&gt;CN$5),"■","")))</x:f>
      </x:c>
      <x:c r="CO199" s="7" t="str">
        <x:f>IF(OR($D199="",CO$5="",'상세일정'!AM199="제외"),"",IF($D199=$E199,IF(AND($D199&gt;=CO$5,$D199&lt;CO$5+7),"◆",""),IF(AND($D199&lt;CO$5+7,$E199&gt;CO$5),"■","")))</x:f>
      </x:c>
      <x:c r="CP199" s="7" t="str">
        <x:f>IF(OR($D199="",CP$5="",'상세일정'!AM199="제외"),"",IF($D199=$E199,IF(AND($D199&gt;=CP$5,$D199&lt;CP$5+7),"◆",""),IF(AND($D199&lt;CP$5+7,$E199&gt;CP$5),"■","")))</x:f>
      </x:c>
      <x:c r="CQ199" s="7" t="str">
        <x:f>IF(OR($D199="",CQ$5="",'상세일정'!AM199="제외"),"",IF($D199=$E199,IF(AND($D199&gt;=CQ$5,$D199&lt;CQ$5+7),"◆",""),IF(AND($D199&lt;CQ$5+7,$E199&gt;CQ$5),"■","")))</x:f>
      </x:c>
      <x:c r="CR199" s="7" t="str">
        <x:f>IF(OR($D199="",CR$5="",'상세일정'!AM199="제외"),"",IF($D199=$E199,IF(AND($D199&gt;=CR$5,$D199&lt;CR$5+7),"◆",""),IF(AND($D199&lt;CR$5+7,$E199&gt;CR$5),"■","")))</x:f>
      </x:c>
      <x:c r="CS199" s="7" t="str">
        <x:f>IF(OR($D199="",CS$5="",'상세일정'!AM199="제외"),"",IF($D199=$E199,IF(AND($D199&gt;=CS$5,$D199&lt;CS$5+7),"◆",""),IF(AND($D199&lt;CS$5+7,$E199&gt;CS$5),"■","")))</x:f>
      </x:c>
      <x:c r="CT199" s="7" t="str">
        <x:f>IF(OR($D199="",CT$5="",'상세일정'!AM199="제외"),"",IF($D199=$E199,IF(AND($D199&gt;=CT$5,$D199&lt;CT$5+7),"◆",""),IF(AND($D199&lt;CT$5+7,$E199&gt;CT$5),"■","")))</x:f>
      </x:c>
      <x:c r="CU199" s="7" t="str">
        <x:f>IF(OR($D199="",CU$5="",'상세일정'!AM199="제외"),"",IF($D199=$E199,IF(AND($D199&gt;=CU$5,$D199&lt;CU$5+7),"◆",""),IF(AND($D199&lt;CU$5+7,$E199&gt;CU$5),"■","")))</x:f>
      </x:c>
      <x:c r="CV199" s="7" t="str">
        <x:f>IF(OR($D199="",CV$5="",'상세일정'!AM199="제외"),"",IF($D199=$E199,IF(AND($D199&gt;=CV$5,$D199&lt;CV$5+7),"◆",""),IF(AND($D199&lt;CV$5+7,$E199&gt;CV$5),"■","")))</x:f>
      </x:c>
      <x:c r="CW199" s="7" t="str">
        <x:f>IF(OR($D199="",CW$5="",'상세일정'!AM199="제외"),"",IF($D199=$E199,IF(AND($D199&gt;=CW$5,$D199&lt;CW$5+7),"◆",""),IF(AND($D199&lt;CW$5+7,$E199&gt;CW$5),"■","")))</x:f>
      </x:c>
      <x:c r="CX199" s="7" t="str">
        <x:f>IF(OR($D199="",CX$5="",'상세일정'!AM199="제외"),"",IF($D199=$E199,IF(AND($D199&gt;=CX$5,$D199&lt;CX$5+7),"◆",""),IF(AND($D199&lt;CX$5+7,$E199&gt;CX$5),"■","")))</x:f>
      </x:c>
      <x:c r="CY199" s="7" t="str">
        <x:f>IF(OR($D199="",CY$5="",'상세일정'!AM199="제외"),"",IF($D199=$E199,IF(AND($D199&gt;=CY$5,$D199&lt;CY$5+7),"◆",""),IF(AND($D199&lt;CY$5+7,$E199&gt;CY$5),"■","")))</x:f>
      </x:c>
      <x:c r="CZ199" s="7" t="str">
        <x:f>IF(OR($D199="",CZ$5="",'상세일정'!AM199="제외"),"",IF($D199=$E199,IF(AND($D199&gt;=CZ$5,$D199&lt;CZ$5+7),"◆",""),IF(AND($D199&lt;CZ$5+7,$E199&gt;CZ$5),"■","")))</x:f>
      </x:c>
      <x:c r="DA199" s="7" t="str">
        <x:f>IF(OR($D199="",DA$5="",'상세일정'!AM199="제외"),"",IF($D199=$E199,IF(AND($D199&gt;=DA$5,$D199&lt;DA$5+7),"◆",""),IF(AND($D199&lt;DA$5+7,$E199&gt;DA$5),"■","")))</x:f>
      </x:c>
      <x:c r="DB199" s="7" t="str">
        <x:f>IF(OR($D199="",DB$5="",'상세일정'!AM199="제외"),"",IF($D199=$E199,IF(AND($D199&gt;=DB$5,$D199&lt;DB$5+7),"◆",""),IF(AND($D199&lt;DB$5+7,$E199&gt;DB$5),"■","")))</x:f>
      </x:c>
      <x:c r="DC199" s="7" t="str">
        <x:f>IF(OR($D199="",DC$5="",'상세일정'!AM199="제외"),"",IF($D199=$E199,IF(AND($D199&gt;=DC$5,$D199&lt;DC$5+7),"◆",""),IF(AND($D199&lt;DC$5+7,$E199&gt;DC$5),"■","")))</x:f>
      </x:c>
      <x:c r="DD199" s="7" t="str">
        <x:f>IF(OR($D199="",DD$5="",'상세일정'!AM199="제외"),"",IF($D199=$E199,IF(AND($D199&gt;=DD$5,$D199&lt;DD$5+7),"◆",""),IF(AND($D199&lt;DD$5+7,$E199&gt;DD$5),"■","")))</x:f>
      </x:c>
      <x:c r="DE199" s="7" t="str">
        <x:f>IF(OR($D199="",DE$5="",'상세일정'!AM199="제외"),"",IF($D199=$E199,IF(AND($D199&gt;=DE$5,$D199&lt;DE$5+7),"◆",""),IF(AND($D199&lt;DE$5+7,$E199&gt;DE$5),"■","")))</x:f>
      </x:c>
    </x:row>
    <x:row r="200" ht="34" customHeight="1">
      <x:c r="A200" s="7" t="str">
        <x:v>MP07</x:v>
      </x:c>
      <x:c r="B200" s="7" t="str">
        <x:v>22 배관 시공</x:v>
      </x:c>
      <x:c r="C200" s="7" t="str">
        <x:v>KGS 배관 중간검사 입회 및 지적조치</x:v>
      </x:c>
      <x:c r="D200" s="10" t="str">
        <x:f>'상세일정'!AJ200</x:f>
      </x:c>
      <x:c r="E200" s="10" t="str">
        <x:f>'상세일정'!AK200</x:f>
      </x:c>
      <x:c r="F200" s="7" t="str">
        <x:f>IF(OR($D200="",F$5="",'상세일정'!AM200="제외"),"",IF($D200=$E200,IF(AND($D200&gt;=F$5,$D200&lt;F$5+7),"◆",""),IF(AND($D200&lt;F$5+7,$E200&gt;F$5),"■","")))</x:f>
      </x:c>
      <x:c r="G200" s="7" t="str">
        <x:f>IF(OR($D200="",G$5="",'상세일정'!AM200="제외"),"",IF($D200=$E200,IF(AND($D200&gt;=G$5,$D200&lt;G$5+7),"◆",""),IF(AND($D200&lt;G$5+7,$E200&gt;G$5),"■","")))</x:f>
      </x:c>
      <x:c r="H200" s="7" t="str">
        <x:f>IF(OR($D200="",H$5="",'상세일정'!AM200="제외"),"",IF($D200=$E200,IF(AND($D200&gt;=H$5,$D200&lt;H$5+7),"◆",""),IF(AND($D200&lt;H$5+7,$E200&gt;H$5),"■","")))</x:f>
      </x:c>
      <x:c r="I200" s="7" t="str">
        <x:f>IF(OR($D200="",I$5="",'상세일정'!AM200="제외"),"",IF($D200=$E200,IF(AND($D200&gt;=I$5,$D200&lt;I$5+7),"◆",""),IF(AND($D200&lt;I$5+7,$E200&gt;I$5),"■","")))</x:f>
      </x:c>
      <x:c r="J200" s="7" t="str">
        <x:f>IF(OR($D200="",J$5="",'상세일정'!AM200="제외"),"",IF($D200=$E200,IF(AND($D200&gt;=J$5,$D200&lt;J$5+7),"◆",""),IF(AND($D200&lt;J$5+7,$E200&gt;J$5),"■","")))</x:f>
      </x:c>
      <x:c r="K200" s="7" t="str">
        <x:f>IF(OR($D200="",K$5="",'상세일정'!AM200="제외"),"",IF($D200=$E200,IF(AND($D200&gt;=K$5,$D200&lt;K$5+7),"◆",""),IF(AND($D200&lt;K$5+7,$E200&gt;K$5),"■","")))</x:f>
      </x:c>
      <x:c r="L200" s="7" t="str">
        <x:f>IF(OR($D200="",L$5="",'상세일정'!AM200="제외"),"",IF($D200=$E200,IF(AND($D200&gt;=L$5,$D200&lt;L$5+7),"◆",""),IF(AND($D200&lt;L$5+7,$E200&gt;L$5),"■","")))</x:f>
      </x:c>
      <x:c r="M200" s="7" t="str">
        <x:f>IF(OR($D200="",M$5="",'상세일정'!AM200="제외"),"",IF($D200=$E200,IF(AND($D200&gt;=M$5,$D200&lt;M$5+7),"◆",""),IF(AND($D200&lt;M$5+7,$E200&gt;M$5),"■","")))</x:f>
      </x:c>
      <x:c r="N200" s="7" t="str">
        <x:f>IF(OR($D200="",N$5="",'상세일정'!AM200="제외"),"",IF($D200=$E200,IF(AND($D200&gt;=N$5,$D200&lt;N$5+7),"◆",""),IF(AND($D200&lt;N$5+7,$E200&gt;N$5),"■","")))</x:f>
      </x:c>
      <x:c r="O200" s="7" t="str">
        <x:f>IF(OR($D200="",O$5="",'상세일정'!AM200="제외"),"",IF($D200=$E200,IF(AND($D200&gt;=O$5,$D200&lt;O$5+7),"◆",""),IF(AND($D200&lt;O$5+7,$E200&gt;O$5),"■","")))</x:f>
      </x:c>
      <x:c r="P200" s="7" t="str">
        <x:f>IF(OR($D200="",P$5="",'상세일정'!AM200="제외"),"",IF($D200=$E200,IF(AND($D200&gt;=P$5,$D200&lt;P$5+7),"◆",""),IF(AND($D200&lt;P$5+7,$E200&gt;P$5),"■","")))</x:f>
      </x:c>
      <x:c r="Q200" s="7" t="str">
        <x:f>IF(OR($D200="",Q$5="",'상세일정'!AM200="제외"),"",IF($D200=$E200,IF(AND($D200&gt;=Q$5,$D200&lt;Q$5+7),"◆",""),IF(AND($D200&lt;Q$5+7,$E200&gt;Q$5),"■","")))</x:f>
      </x:c>
      <x:c r="R200" s="7" t="str">
        <x:f>IF(OR($D200="",R$5="",'상세일정'!AM200="제외"),"",IF($D200=$E200,IF(AND($D200&gt;=R$5,$D200&lt;R$5+7),"◆",""),IF(AND($D200&lt;R$5+7,$E200&gt;R$5),"■","")))</x:f>
      </x:c>
      <x:c r="S200" s="7" t="str">
        <x:f>IF(OR($D200="",S$5="",'상세일정'!AM200="제외"),"",IF($D200=$E200,IF(AND($D200&gt;=S$5,$D200&lt;S$5+7),"◆",""),IF(AND($D200&lt;S$5+7,$E200&gt;S$5),"■","")))</x:f>
      </x:c>
      <x:c r="T200" s="7" t="str">
        <x:f>IF(OR($D200="",T$5="",'상세일정'!AM200="제외"),"",IF($D200=$E200,IF(AND($D200&gt;=T$5,$D200&lt;T$5+7),"◆",""),IF(AND($D200&lt;T$5+7,$E200&gt;T$5),"■","")))</x:f>
      </x:c>
      <x:c r="U200" s="7" t="str">
        <x:f>IF(OR($D200="",U$5="",'상세일정'!AM200="제외"),"",IF($D200=$E200,IF(AND($D200&gt;=U$5,$D200&lt;U$5+7),"◆",""),IF(AND($D200&lt;U$5+7,$E200&gt;U$5),"■","")))</x:f>
      </x:c>
      <x:c r="V200" s="7" t="str">
        <x:f>IF(OR($D200="",V$5="",'상세일정'!AM200="제외"),"",IF($D200=$E200,IF(AND($D200&gt;=V$5,$D200&lt;V$5+7),"◆",""),IF(AND($D200&lt;V$5+7,$E200&gt;V$5),"■","")))</x:f>
      </x:c>
      <x:c r="W200" s="7" t="str">
        <x:f>IF(OR($D200="",W$5="",'상세일정'!AM200="제외"),"",IF($D200=$E200,IF(AND($D200&gt;=W$5,$D200&lt;W$5+7),"◆",""),IF(AND($D200&lt;W$5+7,$E200&gt;W$5),"■","")))</x:f>
      </x:c>
      <x:c r="X200" s="7" t="str">
        <x:f>IF(OR($D200="",X$5="",'상세일정'!AM200="제외"),"",IF($D200=$E200,IF(AND($D200&gt;=X$5,$D200&lt;X$5+7),"◆",""),IF(AND($D200&lt;X$5+7,$E200&gt;X$5),"■","")))</x:f>
      </x:c>
      <x:c r="Y200" s="7" t="str">
        <x:f>IF(OR($D200="",Y$5="",'상세일정'!AM200="제외"),"",IF($D200=$E200,IF(AND($D200&gt;=Y$5,$D200&lt;Y$5+7),"◆",""),IF(AND($D200&lt;Y$5+7,$E200&gt;Y$5),"■","")))</x:f>
      </x:c>
      <x:c r="Z200" s="7" t="str">
        <x:f>IF(OR($D200="",Z$5="",'상세일정'!AM200="제외"),"",IF($D200=$E200,IF(AND($D200&gt;=Z$5,$D200&lt;Z$5+7),"◆",""),IF(AND($D200&lt;Z$5+7,$E200&gt;Z$5),"■","")))</x:f>
      </x:c>
      <x:c r="AA200" s="7" t="str">
        <x:f>IF(OR($D200="",AA$5="",'상세일정'!AM200="제외"),"",IF($D200=$E200,IF(AND($D200&gt;=AA$5,$D200&lt;AA$5+7),"◆",""),IF(AND($D200&lt;AA$5+7,$E200&gt;AA$5),"■","")))</x:f>
      </x:c>
      <x:c r="AB200" s="7" t="str">
        <x:f>IF(OR($D200="",AB$5="",'상세일정'!AM200="제외"),"",IF($D200=$E200,IF(AND($D200&gt;=AB$5,$D200&lt;AB$5+7),"◆",""),IF(AND($D200&lt;AB$5+7,$E200&gt;AB$5),"■","")))</x:f>
      </x:c>
      <x:c r="AC200" s="7" t="str">
        <x:f>IF(OR($D200="",AC$5="",'상세일정'!AM200="제외"),"",IF($D200=$E200,IF(AND($D200&gt;=AC$5,$D200&lt;AC$5+7),"◆",""),IF(AND($D200&lt;AC$5+7,$E200&gt;AC$5),"■","")))</x:f>
      </x:c>
      <x:c r="AD200" s="7" t="str">
        <x:f>IF(OR($D200="",AD$5="",'상세일정'!AM200="제외"),"",IF($D200=$E200,IF(AND($D200&gt;=AD$5,$D200&lt;AD$5+7),"◆",""),IF(AND($D200&lt;AD$5+7,$E200&gt;AD$5),"■","")))</x:f>
      </x:c>
      <x:c r="AE200" s="7" t="str">
        <x:f>IF(OR($D200="",AE$5="",'상세일정'!AM200="제외"),"",IF($D200=$E200,IF(AND($D200&gt;=AE$5,$D200&lt;AE$5+7),"◆",""),IF(AND($D200&lt;AE$5+7,$E200&gt;AE$5),"■","")))</x:f>
      </x:c>
      <x:c r="AF200" s="7" t="str">
        <x:f>IF(OR($D200="",AF$5="",'상세일정'!AM200="제외"),"",IF($D200=$E200,IF(AND($D200&gt;=AF$5,$D200&lt;AF$5+7),"◆",""),IF(AND($D200&lt;AF$5+7,$E200&gt;AF$5),"■","")))</x:f>
      </x:c>
      <x:c r="AG200" s="7" t="str">
        <x:f>IF(OR($D200="",AG$5="",'상세일정'!AM200="제외"),"",IF($D200=$E200,IF(AND($D200&gt;=AG$5,$D200&lt;AG$5+7),"◆",""),IF(AND($D200&lt;AG$5+7,$E200&gt;AG$5),"■","")))</x:f>
      </x:c>
      <x:c r="AH200" s="7" t="str">
        <x:f>IF(OR($D200="",AH$5="",'상세일정'!AM200="제외"),"",IF($D200=$E200,IF(AND($D200&gt;=AH$5,$D200&lt;AH$5+7),"◆",""),IF(AND($D200&lt;AH$5+7,$E200&gt;AH$5),"■","")))</x:f>
      </x:c>
      <x:c r="AI200" s="7" t="str">
        <x:f>IF(OR($D200="",AI$5="",'상세일정'!AM200="제외"),"",IF($D200=$E200,IF(AND($D200&gt;=AI$5,$D200&lt;AI$5+7),"◆",""),IF(AND($D200&lt;AI$5+7,$E200&gt;AI$5),"■","")))</x:f>
      </x:c>
      <x:c r="AJ200" s="7" t="str">
        <x:f>IF(OR($D200="",AJ$5="",'상세일정'!AM200="제외"),"",IF($D200=$E200,IF(AND($D200&gt;=AJ$5,$D200&lt;AJ$5+7),"◆",""),IF(AND($D200&lt;AJ$5+7,$E200&gt;AJ$5),"■","")))</x:f>
      </x:c>
      <x:c r="AK200" s="7" t="str">
        <x:f>IF(OR($D200="",AK$5="",'상세일정'!AM200="제외"),"",IF($D200=$E200,IF(AND($D200&gt;=AK$5,$D200&lt;AK$5+7),"◆",""),IF(AND($D200&lt;AK$5+7,$E200&gt;AK$5),"■","")))</x:f>
      </x:c>
      <x:c r="AL200" s="7" t="str">
        <x:f>IF(OR($D200="",AL$5="",'상세일정'!AM200="제외"),"",IF($D200=$E200,IF(AND($D200&gt;=AL$5,$D200&lt;AL$5+7),"◆",""),IF(AND($D200&lt;AL$5+7,$E200&gt;AL$5),"■","")))</x:f>
      </x:c>
      <x:c r="AM200" s="7" t="str">
        <x:f>IF(OR($D200="",AM$5="",'상세일정'!AM200="제외"),"",IF($D200=$E200,IF(AND($D200&gt;=AM$5,$D200&lt;AM$5+7),"◆",""),IF(AND($D200&lt;AM$5+7,$E200&gt;AM$5),"■","")))</x:f>
      </x:c>
      <x:c r="AN200" s="7" t="str">
        <x:f>IF(OR($D200="",AN$5="",'상세일정'!AM200="제외"),"",IF($D200=$E200,IF(AND($D200&gt;=AN$5,$D200&lt;AN$5+7),"◆",""),IF(AND($D200&lt;AN$5+7,$E200&gt;AN$5),"■","")))</x:f>
      </x:c>
      <x:c r="AO200" s="7" t="str">
        <x:f>IF(OR($D200="",AO$5="",'상세일정'!AM200="제외"),"",IF($D200=$E200,IF(AND($D200&gt;=AO$5,$D200&lt;AO$5+7),"◆",""),IF(AND($D200&lt;AO$5+7,$E200&gt;AO$5),"■","")))</x:f>
      </x:c>
      <x:c r="AP200" s="7" t="str">
        <x:f>IF(OR($D200="",AP$5="",'상세일정'!AM200="제외"),"",IF($D200=$E200,IF(AND($D200&gt;=AP$5,$D200&lt;AP$5+7),"◆",""),IF(AND($D200&lt;AP$5+7,$E200&gt;AP$5),"■","")))</x:f>
      </x:c>
      <x:c r="AQ200" s="7" t="str">
        <x:f>IF(OR($D200="",AQ$5="",'상세일정'!AM200="제외"),"",IF($D200=$E200,IF(AND($D200&gt;=AQ$5,$D200&lt;AQ$5+7),"◆",""),IF(AND($D200&lt;AQ$5+7,$E200&gt;AQ$5),"■","")))</x:f>
      </x:c>
      <x:c r="AR200" s="7" t="str">
        <x:f>IF(OR($D200="",AR$5="",'상세일정'!AM200="제외"),"",IF($D200=$E200,IF(AND($D200&gt;=AR$5,$D200&lt;AR$5+7),"◆",""),IF(AND($D200&lt;AR$5+7,$E200&gt;AR$5),"■","")))</x:f>
      </x:c>
      <x:c r="AS200" s="7" t="str">
        <x:f>IF(OR($D200="",AS$5="",'상세일정'!AM200="제외"),"",IF($D200=$E200,IF(AND($D200&gt;=AS$5,$D200&lt;AS$5+7),"◆",""),IF(AND($D200&lt;AS$5+7,$E200&gt;AS$5),"■","")))</x:f>
      </x:c>
      <x:c r="AT200" s="7" t="str">
        <x:f>IF(OR($D200="",AT$5="",'상세일정'!AM200="제외"),"",IF($D200=$E200,IF(AND($D200&gt;=AT$5,$D200&lt;AT$5+7),"◆",""),IF(AND($D200&lt;AT$5+7,$E200&gt;AT$5),"■","")))</x:f>
      </x:c>
      <x:c r="AU200" s="7" t="str">
        <x:f>IF(OR($D200="",AU$5="",'상세일정'!AM200="제외"),"",IF($D200=$E200,IF(AND($D200&gt;=AU$5,$D200&lt;AU$5+7),"◆",""),IF(AND($D200&lt;AU$5+7,$E200&gt;AU$5),"■","")))</x:f>
      </x:c>
      <x:c r="AV200" s="7" t="str">
        <x:f>IF(OR($D200="",AV$5="",'상세일정'!AM200="제외"),"",IF($D200=$E200,IF(AND($D200&gt;=AV$5,$D200&lt;AV$5+7),"◆",""),IF(AND($D200&lt;AV$5+7,$E200&gt;AV$5),"■","")))</x:f>
      </x:c>
      <x:c r="AW200" s="7" t="str">
        <x:f>IF(OR($D200="",AW$5="",'상세일정'!AM200="제외"),"",IF($D200=$E200,IF(AND($D200&gt;=AW$5,$D200&lt;AW$5+7),"◆",""),IF(AND($D200&lt;AW$5+7,$E200&gt;AW$5),"■","")))</x:f>
      </x:c>
      <x:c r="AX200" s="7" t="str">
        <x:f>IF(OR($D200="",AX$5="",'상세일정'!AM200="제외"),"",IF($D200=$E200,IF(AND($D200&gt;=AX$5,$D200&lt;AX$5+7),"◆",""),IF(AND($D200&lt;AX$5+7,$E200&gt;AX$5),"■","")))</x:f>
      </x:c>
      <x:c r="AY200" s="7" t="str">
        <x:f>IF(OR($D200="",AY$5="",'상세일정'!AM200="제외"),"",IF($D200=$E200,IF(AND($D200&gt;=AY$5,$D200&lt;AY$5+7),"◆",""),IF(AND($D200&lt;AY$5+7,$E200&gt;AY$5),"■","")))</x:f>
      </x:c>
      <x:c r="AZ200" s="7" t="str">
        <x:f>IF(OR($D200="",AZ$5="",'상세일정'!AM200="제외"),"",IF($D200=$E200,IF(AND($D200&gt;=AZ$5,$D200&lt;AZ$5+7),"◆",""),IF(AND($D200&lt;AZ$5+7,$E200&gt;AZ$5),"■","")))</x:f>
      </x:c>
      <x:c r="BA200" s="7" t="str">
        <x:f>IF(OR($D200="",BA$5="",'상세일정'!AM200="제외"),"",IF($D200=$E200,IF(AND($D200&gt;=BA$5,$D200&lt;BA$5+7),"◆",""),IF(AND($D200&lt;BA$5+7,$E200&gt;BA$5),"■","")))</x:f>
      </x:c>
      <x:c r="BB200" s="7" t="str">
        <x:f>IF(OR($D200="",BB$5="",'상세일정'!AM200="제외"),"",IF($D200=$E200,IF(AND($D200&gt;=BB$5,$D200&lt;BB$5+7),"◆",""),IF(AND($D200&lt;BB$5+7,$E200&gt;BB$5),"■","")))</x:f>
      </x:c>
      <x:c r="BC200" s="7" t="str">
        <x:f>IF(OR($D200="",BC$5="",'상세일정'!AM200="제외"),"",IF($D200=$E200,IF(AND($D200&gt;=BC$5,$D200&lt;BC$5+7),"◆",""),IF(AND($D200&lt;BC$5+7,$E200&gt;BC$5),"■","")))</x:f>
      </x:c>
      <x:c r="BD200" s="7" t="str">
        <x:f>IF(OR($D200="",BD$5="",'상세일정'!AM200="제외"),"",IF($D200=$E200,IF(AND($D200&gt;=BD$5,$D200&lt;BD$5+7),"◆",""),IF(AND($D200&lt;BD$5+7,$E200&gt;BD$5),"■","")))</x:f>
      </x:c>
      <x:c r="BE200" s="7" t="str">
        <x:f>IF(OR($D200="",BE$5="",'상세일정'!AM200="제외"),"",IF($D200=$E200,IF(AND($D200&gt;=BE$5,$D200&lt;BE$5+7),"◆",""),IF(AND($D200&lt;BE$5+7,$E200&gt;BE$5),"■","")))</x:f>
      </x:c>
      <x:c r="BF200" s="7" t="str">
        <x:f>IF(OR($D200="",BF$5="",'상세일정'!AM200="제외"),"",IF($D200=$E200,IF(AND($D200&gt;=BF$5,$D200&lt;BF$5+7),"◆",""),IF(AND($D200&lt;BF$5+7,$E200&gt;BF$5),"■","")))</x:f>
      </x:c>
      <x:c r="BG200" s="7" t="str">
        <x:f>IF(OR($D200="",BG$5="",'상세일정'!AM200="제외"),"",IF($D200=$E200,IF(AND($D200&gt;=BG$5,$D200&lt;BG$5+7),"◆",""),IF(AND($D200&lt;BG$5+7,$E200&gt;BG$5),"■","")))</x:f>
      </x:c>
      <x:c r="BH200" s="7" t="str">
        <x:f>IF(OR($D200="",BH$5="",'상세일정'!AM200="제외"),"",IF($D200=$E200,IF(AND($D200&gt;=BH$5,$D200&lt;BH$5+7),"◆",""),IF(AND($D200&lt;BH$5+7,$E200&gt;BH$5),"■","")))</x:f>
      </x:c>
      <x:c r="BI200" s="7" t="str">
        <x:f>IF(OR($D200="",BI$5="",'상세일정'!AM200="제외"),"",IF($D200=$E200,IF(AND($D200&gt;=BI$5,$D200&lt;BI$5+7),"◆",""),IF(AND($D200&lt;BI$5+7,$E200&gt;BI$5),"■","")))</x:f>
      </x:c>
      <x:c r="BJ200" s="7" t="str">
        <x:f>IF(OR($D200="",BJ$5="",'상세일정'!AM200="제외"),"",IF($D200=$E200,IF(AND($D200&gt;=BJ$5,$D200&lt;BJ$5+7),"◆",""),IF(AND($D200&lt;BJ$5+7,$E200&gt;BJ$5),"■","")))</x:f>
      </x:c>
      <x:c r="BK200" s="7" t="str">
        <x:f>IF(OR($D200="",BK$5="",'상세일정'!AM200="제외"),"",IF($D200=$E200,IF(AND($D200&gt;=BK$5,$D200&lt;BK$5+7),"◆",""),IF(AND($D200&lt;BK$5+7,$E200&gt;BK$5),"■","")))</x:f>
      </x:c>
      <x:c r="BL200" s="7" t="str">
        <x:f>IF(OR($D200="",BL$5="",'상세일정'!AM200="제외"),"",IF($D200=$E200,IF(AND($D200&gt;=BL$5,$D200&lt;BL$5+7),"◆",""),IF(AND($D200&lt;BL$5+7,$E200&gt;BL$5),"■","")))</x:f>
      </x:c>
      <x:c r="BM200" s="7" t="str">
        <x:f>IF(OR($D200="",BM$5="",'상세일정'!AM200="제외"),"",IF($D200=$E200,IF(AND($D200&gt;=BM$5,$D200&lt;BM$5+7),"◆",""),IF(AND($D200&lt;BM$5+7,$E200&gt;BM$5),"■","")))</x:f>
      </x:c>
      <x:c r="BN200" s="7" t="str">
        <x:f>IF(OR($D200="",BN$5="",'상세일정'!AM200="제외"),"",IF($D200=$E200,IF(AND($D200&gt;=BN$5,$D200&lt;BN$5+7),"◆",""),IF(AND($D200&lt;BN$5+7,$E200&gt;BN$5),"■","")))</x:f>
      </x:c>
      <x:c r="BO200" s="7" t="str">
        <x:f>IF(OR($D200="",BO$5="",'상세일정'!AM200="제외"),"",IF($D200=$E200,IF(AND($D200&gt;=BO$5,$D200&lt;BO$5+7),"◆",""),IF(AND($D200&lt;BO$5+7,$E200&gt;BO$5),"■","")))</x:f>
      </x:c>
      <x:c r="BP200" s="7" t="str">
        <x:f>IF(OR($D200="",BP$5="",'상세일정'!AM200="제외"),"",IF($D200=$E200,IF(AND($D200&gt;=BP$5,$D200&lt;BP$5+7),"◆",""),IF(AND($D200&lt;BP$5+7,$E200&gt;BP$5),"■","")))</x:f>
      </x:c>
      <x:c r="BQ200" s="7" t="str">
        <x:f>IF(OR($D200="",BQ$5="",'상세일정'!AM200="제외"),"",IF($D200=$E200,IF(AND($D200&gt;=BQ$5,$D200&lt;BQ$5+7),"◆",""),IF(AND($D200&lt;BQ$5+7,$E200&gt;BQ$5),"■","")))</x:f>
      </x:c>
      <x:c r="BR200" s="7" t="str">
        <x:f>IF(OR($D200="",BR$5="",'상세일정'!AM200="제외"),"",IF($D200=$E200,IF(AND($D200&gt;=BR$5,$D200&lt;BR$5+7),"◆",""),IF(AND($D200&lt;BR$5+7,$E200&gt;BR$5),"■","")))</x:f>
      </x:c>
      <x:c r="BS200" s="7" t="str">
        <x:f>IF(OR($D200="",BS$5="",'상세일정'!AM200="제외"),"",IF($D200=$E200,IF(AND($D200&gt;=BS$5,$D200&lt;BS$5+7),"◆",""),IF(AND($D200&lt;BS$5+7,$E200&gt;BS$5),"■","")))</x:f>
      </x:c>
      <x:c r="BT200" s="7" t="str">
        <x:f>IF(OR($D200="",BT$5="",'상세일정'!AM200="제외"),"",IF($D200=$E200,IF(AND($D200&gt;=BT$5,$D200&lt;BT$5+7),"◆",""),IF(AND($D200&lt;BT$5+7,$E200&gt;BT$5),"■","")))</x:f>
      </x:c>
      <x:c r="BU200" s="7" t="str">
        <x:f>IF(OR($D200="",BU$5="",'상세일정'!AM200="제외"),"",IF($D200=$E200,IF(AND($D200&gt;=BU$5,$D200&lt;BU$5+7),"◆",""),IF(AND($D200&lt;BU$5+7,$E200&gt;BU$5),"■","")))</x:f>
      </x:c>
      <x:c r="BV200" s="7" t="str">
        <x:f>IF(OR($D200="",BV$5="",'상세일정'!AM200="제외"),"",IF($D200=$E200,IF(AND($D200&gt;=BV$5,$D200&lt;BV$5+7),"◆",""),IF(AND($D200&lt;BV$5+7,$E200&gt;BV$5),"■","")))</x:f>
      </x:c>
      <x:c r="BW200" s="7" t="str">
        <x:f>IF(OR($D200="",BW$5="",'상세일정'!AM200="제외"),"",IF($D200=$E200,IF(AND($D200&gt;=BW$5,$D200&lt;BW$5+7),"◆",""),IF(AND($D200&lt;BW$5+7,$E200&gt;BW$5),"■","")))</x:f>
      </x:c>
      <x:c r="BX200" s="7" t="str">
        <x:f>IF(OR($D200="",BX$5="",'상세일정'!AM200="제외"),"",IF($D200=$E200,IF(AND($D200&gt;=BX$5,$D200&lt;BX$5+7),"◆",""),IF(AND($D200&lt;BX$5+7,$E200&gt;BX$5),"■","")))</x:f>
      </x:c>
      <x:c r="BY200" s="7" t="str">
        <x:f>IF(OR($D200="",BY$5="",'상세일정'!AM200="제외"),"",IF($D200=$E200,IF(AND($D200&gt;=BY$5,$D200&lt;BY$5+7),"◆",""),IF(AND($D200&lt;BY$5+7,$E200&gt;BY$5),"■","")))</x:f>
      </x:c>
      <x:c r="BZ200" s="7" t="str">
        <x:f>IF(OR($D200="",BZ$5="",'상세일정'!AM200="제외"),"",IF($D200=$E200,IF(AND($D200&gt;=BZ$5,$D200&lt;BZ$5+7),"◆",""),IF(AND($D200&lt;BZ$5+7,$E200&gt;BZ$5),"■","")))</x:f>
      </x:c>
      <x:c r="CA200" s="7" t="str">
        <x:f>IF(OR($D200="",CA$5="",'상세일정'!AM200="제외"),"",IF($D200=$E200,IF(AND($D200&gt;=CA$5,$D200&lt;CA$5+7),"◆",""),IF(AND($D200&lt;CA$5+7,$E200&gt;CA$5),"■","")))</x:f>
      </x:c>
      <x:c r="CB200" s="7" t="str">
        <x:f>IF(OR($D200="",CB$5="",'상세일정'!AM200="제외"),"",IF($D200=$E200,IF(AND($D200&gt;=CB$5,$D200&lt;CB$5+7),"◆",""),IF(AND($D200&lt;CB$5+7,$E200&gt;CB$5),"■","")))</x:f>
      </x:c>
      <x:c r="CC200" s="7" t="str">
        <x:f>IF(OR($D200="",CC$5="",'상세일정'!AM200="제외"),"",IF($D200=$E200,IF(AND($D200&gt;=CC$5,$D200&lt;CC$5+7),"◆",""),IF(AND($D200&lt;CC$5+7,$E200&gt;CC$5),"■","")))</x:f>
      </x:c>
      <x:c r="CD200" s="7" t="str">
        <x:f>IF(OR($D200="",CD$5="",'상세일정'!AM200="제외"),"",IF($D200=$E200,IF(AND($D200&gt;=CD$5,$D200&lt;CD$5+7),"◆",""),IF(AND($D200&lt;CD$5+7,$E200&gt;CD$5),"■","")))</x:f>
      </x:c>
      <x:c r="CE200" s="7" t="str">
        <x:f>IF(OR($D200="",CE$5="",'상세일정'!AM200="제외"),"",IF($D200=$E200,IF(AND($D200&gt;=CE$5,$D200&lt;CE$5+7),"◆",""),IF(AND($D200&lt;CE$5+7,$E200&gt;CE$5),"■","")))</x:f>
      </x:c>
      <x:c r="CF200" s="7" t="str">
        <x:f>IF(OR($D200="",CF$5="",'상세일정'!AM200="제외"),"",IF($D200=$E200,IF(AND($D200&gt;=CF$5,$D200&lt;CF$5+7),"◆",""),IF(AND($D200&lt;CF$5+7,$E200&gt;CF$5),"■","")))</x:f>
      </x:c>
      <x:c r="CG200" s="7" t="str">
        <x:f>IF(OR($D200="",CG$5="",'상세일정'!AM200="제외"),"",IF($D200=$E200,IF(AND($D200&gt;=CG$5,$D200&lt;CG$5+7),"◆",""),IF(AND($D200&lt;CG$5+7,$E200&gt;CG$5),"■","")))</x:f>
      </x:c>
      <x:c r="CH200" s="7" t="str">
        <x:f>IF(OR($D200="",CH$5="",'상세일정'!AM200="제외"),"",IF($D200=$E200,IF(AND($D200&gt;=CH$5,$D200&lt;CH$5+7),"◆",""),IF(AND($D200&lt;CH$5+7,$E200&gt;CH$5),"■","")))</x:f>
      </x:c>
      <x:c r="CI200" s="7" t="str">
        <x:f>IF(OR($D200="",CI$5="",'상세일정'!AM200="제외"),"",IF($D200=$E200,IF(AND($D200&gt;=CI$5,$D200&lt;CI$5+7),"◆",""),IF(AND($D200&lt;CI$5+7,$E200&gt;CI$5),"■","")))</x:f>
      </x:c>
      <x:c r="CJ200" s="7" t="str">
        <x:f>IF(OR($D200="",CJ$5="",'상세일정'!AM200="제외"),"",IF($D200=$E200,IF(AND($D200&gt;=CJ$5,$D200&lt;CJ$5+7),"◆",""),IF(AND($D200&lt;CJ$5+7,$E200&gt;CJ$5),"■","")))</x:f>
      </x:c>
      <x:c r="CK200" s="7" t="str">
        <x:f>IF(OR($D200="",CK$5="",'상세일정'!AM200="제외"),"",IF($D200=$E200,IF(AND($D200&gt;=CK$5,$D200&lt;CK$5+7),"◆",""),IF(AND($D200&lt;CK$5+7,$E200&gt;CK$5),"■","")))</x:f>
      </x:c>
      <x:c r="CL200" s="7" t="str">
        <x:f>IF(OR($D200="",CL$5="",'상세일정'!AM200="제외"),"",IF($D200=$E200,IF(AND($D200&gt;=CL$5,$D200&lt;CL$5+7),"◆",""),IF(AND($D200&lt;CL$5+7,$E200&gt;CL$5),"■","")))</x:f>
      </x:c>
      <x:c r="CM200" s="7" t="str">
        <x:f>IF(OR($D200="",CM$5="",'상세일정'!AM200="제외"),"",IF($D200=$E200,IF(AND($D200&gt;=CM$5,$D200&lt;CM$5+7),"◆",""),IF(AND($D200&lt;CM$5+7,$E200&gt;CM$5),"■","")))</x:f>
      </x:c>
      <x:c r="CN200" s="7" t="str">
        <x:f>IF(OR($D200="",CN$5="",'상세일정'!AM200="제외"),"",IF($D200=$E200,IF(AND($D200&gt;=CN$5,$D200&lt;CN$5+7),"◆",""),IF(AND($D200&lt;CN$5+7,$E200&gt;CN$5),"■","")))</x:f>
      </x:c>
      <x:c r="CO200" s="7" t="str">
        <x:f>IF(OR($D200="",CO$5="",'상세일정'!AM200="제외"),"",IF($D200=$E200,IF(AND($D200&gt;=CO$5,$D200&lt;CO$5+7),"◆",""),IF(AND($D200&lt;CO$5+7,$E200&gt;CO$5),"■","")))</x:f>
      </x:c>
      <x:c r="CP200" s="7" t="str">
        <x:f>IF(OR($D200="",CP$5="",'상세일정'!AM200="제외"),"",IF($D200=$E200,IF(AND($D200&gt;=CP$5,$D200&lt;CP$5+7),"◆",""),IF(AND($D200&lt;CP$5+7,$E200&gt;CP$5),"■","")))</x:f>
      </x:c>
      <x:c r="CQ200" s="7" t="str">
        <x:f>IF(OR($D200="",CQ$5="",'상세일정'!AM200="제외"),"",IF($D200=$E200,IF(AND($D200&gt;=CQ$5,$D200&lt;CQ$5+7),"◆",""),IF(AND($D200&lt;CQ$5+7,$E200&gt;CQ$5),"■","")))</x:f>
      </x:c>
      <x:c r="CR200" s="7" t="str">
        <x:f>IF(OR($D200="",CR$5="",'상세일정'!AM200="제외"),"",IF($D200=$E200,IF(AND($D200&gt;=CR$5,$D200&lt;CR$5+7),"◆",""),IF(AND($D200&lt;CR$5+7,$E200&gt;CR$5),"■","")))</x:f>
      </x:c>
      <x:c r="CS200" s="7" t="str">
        <x:f>IF(OR($D200="",CS$5="",'상세일정'!AM200="제외"),"",IF($D200=$E200,IF(AND($D200&gt;=CS$5,$D200&lt;CS$5+7),"◆",""),IF(AND($D200&lt;CS$5+7,$E200&gt;CS$5),"■","")))</x:f>
      </x:c>
      <x:c r="CT200" s="7" t="str">
        <x:f>IF(OR($D200="",CT$5="",'상세일정'!AM200="제외"),"",IF($D200=$E200,IF(AND($D200&gt;=CT$5,$D200&lt;CT$5+7),"◆",""),IF(AND($D200&lt;CT$5+7,$E200&gt;CT$5),"■","")))</x:f>
      </x:c>
      <x:c r="CU200" s="7" t="str">
        <x:f>IF(OR($D200="",CU$5="",'상세일정'!AM200="제외"),"",IF($D200=$E200,IF(AND($D200&gt;=CU$5,$D200&lt;CU$5+7),"◆",""),IF(AND($D200&lt;CU$5+7,$E200&gt;CU$5),"■","")))</x:f>
      </x:c>
      <x:c r="CV200" s="7" t="str">
        <x:f>IF(OR($D200="",CV$5="",'상세일정'!AM200="제외"),"",IF($D200=$E200,IF(AND($D200&gt;=CV$5,$D200&lt;CV$5+7),"◆",""),IF(AND($D200&lt;CV$5+7,$E200&gt;CV$5),"■","")))</x:f>
      </x:c>
      <x:c r="CW200" s="7" t="str">
        <x:f>IF(OR($D200="",CW$5="",'상세일정'!AM200="제외"),"",IF($D200=$E200,IF(AND($D200&gt;=CW$5,$D200&lt;CW$5+7),"◆",""),IF(AND($D200&lt;CW$5+7,$E200&gt;CW$5),"■","")))</x:f>
      </x:c>
      <x:c r="CX200" s="7" t="str">
        <x:f>IF(OR($D200="",CX$5="",'상세일정'!AM200="제외"),"",IF($D200=$E200,IF(AND($D200&gt;=CX$5,$D200&lt;CX$5+7),"◆",""),IF(AND($D200&lt;CX$5+7,$E200&gt;CX$5),"■","")))</x:f>
      </x:c>
      <x:c r="CY200" s="7" t="str">
        <x:f>IF(OR($D200="",CY$5="",'상세일정'!AM200="제외"),"",IF($D200=$E200,IF(AND($D200&gt;=CY$5,$D200&lt;CY$5+7),"◆",""),IF(AND($D200&lt;CY$5+7,$E200&gt;CY$5),"■","")))</x:f>
      </x:c>
      <x:c r="CZ200" s="7" t="str">
        <x:f>IF(OR($D200="",CZ$5="",'상세일정'!AM200="제외"),"",IF($D200=$E200,IF(AND($D200&gt;=CZ$5,$D200&lt;CZ$5+7),"◆",""),IF(AND($D200&lt;CZ$5+7,$E200&gt;CZ$5),"■","")))</x:f>
      </x:c>
      <x:c r="DA200" s="7" t="str">
        <x:f>IF(OR($D200="",DA$5="",'상세일정'!AM200="제외"),"",IF($D200=$E200,IF(AND($D200&gt;=DA$5,$D200&lt;DA$5+7),"◆",""),IF(AND($D200&lt;DA$5+7,$E200&gt;DA$5),"■","")))</x:f>
      </x:c>
      <x:c r="DB200" s="7" t="str">
        <x:f>IF(OR($D200="",DB$5="",'상세일정'!AM200="제외"),"",IF($D200=$E200,IF(AND($D200&gt;=DB$5,$D200&lt;DB$5+7),"◆",""),IF(AND($D200&lt;DB$5+7,$E200&gt;DB$5),"■","")))</x:f>
      </x:c>
      <x:c r="DC200" s="7" t="str">
        <x:f>IF(OR($D200="",DC$5="",'상세일정'!AM200="제외"),"",IF($D200=$E200,IF(AND($D200&gt;=DC$5,$D200&lt;DC$5+7),"◆",""),IF(AND($D200&lt;DC$5+7,$E200&gt;DC$5),"■","")))</x:f>
      </x:c>
      <x:c r="DD200" s="7" t="str">
        <x:f>IF(OR($D200="",DD$5="",'상세일정'!AM200="제외"),"",IF($D200=$E200,IF(AND($D200&gt;=DD$5,$D200&lt;DD$5+7),"◆",""),IF(AND($D200&lt;DD$5+7,$E200&gt;DD$5),"■","")))</x:f>
      </x:c>
      <x:c r="DE200" s="7" t="str">
        <x:f>IF(OR($D200="",DE$5="",'상세일정'!AM200="제외"),"",IF($D200=$E200,IF(AND($D200&gt;=DE$5,$D200&lt;DE$5+7),"◆",""),IF(AND($D200&lt;DE$5+7,$E200&gt;DE$5),"■","")))</x:f>
      </x:c>
    </x:row>
    <x:row r="201" ht="34" customHeight="1">
      <x:c r="A201" s="7" t="str">
        <x:v>MP08</x:v>
      </x:c>
      <x:c r="B201" s="7" t="str">
        <x:v>22 배관 시공</x:v>
      </x:c>
      <x:c r="C201" s="7" t="str">
        <x:v>세정·플러싱·건조·복구·라인체크</x:v>
      </x:c>
      <x:c r="D201" s="10" t="str">
        <x:f>'상세일정'!AJ201</x:f>
      </x:c>
      <x:c r="E201" s="10" t="str">
        <x:f>'상세일정'!AK201</x:f>
      </x:c>
      <x:c r="F201" s="7" t="str">
        <x:f>IF(OR($D201="",F$5="",'상세일정'!AM201="제외"),"",IF($D201=$E201,IF(AND($D201&gt;=F$5,$D201&lt;F$5+7),"◆",""),IF(AND($D201&lt;F$5+7,$E201&gt;F$5),"■","")))</x:f>
      </x:c>
      <x:c r="G201" s="7" t="str">
        <x:f>IF(OR($D201="",G$5="",'상세일정'!AM201="제외"),"",IF($D201=$E201,IF(AND($D201&gt;=G$5,$D201&lt;G$5+7),"◆",""),IF(AND($D201&lt;G$5+7,$E201&gt;G$5),"■","")))</x:f>
      </x:c>
      <x:c r="H201" s="7" t="str">
        <x:f>IF(OR($D201="",H$5="",'상세일정'!AM201="제외"),"",IF($D201=$E201,IF(AND($D201&gt;=H$5,$D201&lt;H$5+7),"◆",""),IF(AND($D201&lt;H$5+7,$E201&gt;H$5),"■","")))</x:f>
      </x:c>
      <x:c r="I201" s="7" t="str">
        <x:f>IF(OR($D201="",I$5="",'상세일정'!AM201="제외"),"",IF($D201=$E201,IF(AND($D201&gt;=I$5,$D201&lt;I$5+7),"◆",""),IF(AND($D201&lt;I$5+7,$E201&gt;I$5),"■","")))</x:f>
      </x:c>
      <x:c r="J201" s="7" t="str">
        <x:f>IF(OR($D201="",J$5="",'상세일정'!AM201="제외"),"",IF($D201=$E201,IF(AND($D201&gt;=J$5,$D201&lt;J$5+7),"◆",""),IF(AND($D201&lt;J$5+7,$E201&gt;J$5),"■","")))</x:f>
      </x:c>
      <x:c r="K201" s="7" t="str">
        <x:f>IF(OR($D201="",K$5="",'상세일정'!AM201="제외"),"",IF($D201=$E201,IF(AND($D201&gt;=K$5,$D201&lt;K$5+7),"◆",""),IF(AND($D201&lt;K$5+7,$E201&gt;K$5),"■","")))</x:f>
      </x:c>
      <x:c r="L201" s="7" t="str">
        <x:f>IF(OR($D201="",L$5="",'상세일정'!AM201="제외"),"",IF($D201=$E201,IF(AND($D201&gt;=L$5,$D201&lt;L$5+7),"◆",""),IF(AND($D201&lt;L$5+7,$E201&gt;L$5),"■","")))</x:f>
      </x:c>
      <x:c r="M201" s="7" t="str">
        <x:f>IF(OR($D201="",M$5="",'상세일정'!AM201="제외"),"",IF($D201=$E201,IF(AND($D201&gt;=M$5,$D201&lt;M$5+7),"◆",""),IF(AND($D201&lt;M$5+7,$E201&gt;M$5),"■","")))</x:f>
      </x:c>
      <x:c r="N201" s="7" t="str">
        <x:f>IF(OR($D201="",N$5="",'상세일정'!AM201="제외"),"",IF($D201=$E201,IF(AND($D201&gt;=N$5,$D201&lt;N$5+7),"◆",""),IF(AND($D201&lt;N$5+7,$E201&gt;N$5),"■","")))</x:f>
      </x:c>
      <x:c r="O201" s="7" t="str">
        <x:f>IF(OR($D201="",O$5="",'상세일정'!AM201="제외"),"",IF($D201=$E201,IF(AND($D201&gt;=O$5,$D201&lt;O$5+7),"◆",""),IF(AND($D201&lt;O$5+7,$E201&gt;O$5),"■","")))</x:f>
      </x:c>
      <x:c r="P201" s="7" t="str">
        <x:f>IF(OR($D201="",P$5="",'상세일정'!AM201="제외"),"",IF($D201=$E201,IF(AND($D201&gt;=P$5,$D201&lt;P$5+7),"◆",""),IF(AND($D201&lt;P$5+7,$E201&gt;P$5),"■","")))</x:f>
      </x:c>
      <x:c r="Q201" s="7" t="str">
        <x:f>IF(OR($D201="",Q$5="",'상세일정'!AM201="제외"),"",IF($D201=$E201,IF(AND($D201&gt;=Q$5,$D201&lt;Q$5+7),"◆",""),IF(AND($D201&lt;Q$5+7,$E201&gt;Q$5),"■","")))</x:f>
      </x:c>
      <x:c r="R201" s="7" t="str">
        <x:f>IF(OR($D201="",R$5="",'상세일정'!AM201="제외"),"",IF($D201=$E201,IF(AND($D201&gt;=R$5,$D201&lt;R$5+7),"◆",""),IF(AND($D201&lt;R$5+7,$E201&gt;R$5),"■","")))</x:f>
      </x:c>
      <x:c r="S201" s="7" t="str">
        <x:f>IF(OR($D201="",S$5="",'상세일정'!AM201="제외"),"",IF($D201=$E201,IF(AND($D201&gt;=S$5,$D201&lt;S$5+7),"◆",""),IF(AND($D201&lt;S$5+7,$E201&gt;S$5),"■","")))</x:f>
      </x:c>
      <x:c r="T201" s="7" t="str">
        <x:f>IF(OR($D201="",T$5="",'상세일정'!AM201="제외"),"",IF($D201=$E201,IF(AND($D201&gt;=T$5,$D201&lt;T$5+7),"◆",""),IF(AND($D201&lt;T$5+7,$E201&gt;T$5),"■","")))</x:f>
      </x:c>
      <x:c r="U201" s="7" t="str">
        <x:f>IF(OR($D201="",U$5="",'상세일정'!AM201="제외"),"",IF($D201=$E201,IF(AND($D201&gt;=U$5,$D201&lt;U$5+7),"◆",""),IF(AND($D201&lt;U$5+7,$E201&gt;U$5),"■","")))</x:f>
      </x:c>
      <x:c r="V201" s="7" t="str">
        <x:f>IF(OR($D201="",V$5="",'상세일정'!AM201="제외"),"",IF($D201=$E201,IF(AND($D201&gt;=V$5,$D201&lt;V$5+7),"◆",""),IF(AND($D201&lt;V$5+7,$E201&gt;V$5),"■","")))</x:f>
      </x:c>
      <x:c r="W201" s="7" t="str">
        <x:f>IF(OR($D201="",W$5="",'상세일정'!AM201="제외"),"",IF($D201=$E201,IF(AND($D201&gt;=W$5,$D201&lt;W$5+7),"◆",""),IF(AND($D201&lt;W$5+7,$E201&gt;W$5),"■","")))</x:f>
      </x:c>
      <x:c r="X201" s="7" t="str">
        <x:f>IF(OR($D201="",X$5="",'상세일정'!AM201="제외"),"",IF($D201=$E201,IF(AND($D201&gt;=X$5,$D201&lt;X$5+7),"◆",""),IF(AND($D201&lt;X$5+7,$E201&gt;X$5),"■","")))</x:f>
      </x:c>
      <x:c r="Y201" s="7" t="str">
        <x:f>IF(OR($D201="",Y$5="",'상세일정'!AM201="제외"),"",IF($D201=$E201,IF(AND($D201&gt;=Y$5,$D201&lt;Y$5+7),"◆",""),IF(AND($D201&lt;Y$5+7,$E201&gt;Y$5),"■","")))</x:f>
      </x:c>
      <x:c r="Z201" s="7" t="str">
        <x:f>IF(OR($D201="",Z$5="",'상세일정'!AM201="제외"),"",IF($D201=$E201,IF(AND($D201&gt;=Z$5,$D201&lt;Z$5+7),"◆",""),IF(AND($D201&lt;Z$5+7,$E201&gt;Z$5),"■","")))</x:f>
      </x:c>
      <x:c r="AA201" s="7" t="str">
        <x:f>IF(OR($D201="",AA$5="",'상세일정'!AM201="제외"),"",IF($D201=$E201,IF(AND($D201&gt;=AA$5,$D201&lt;AA$5+7),"◆",""),IF(AND($D201&lt;AA$5+7,$E201&gt;AA$5),"■","")))</x:f>
      </x:c>
      <x:c r="AB201" s="7" t="str">
        <x:f>IF(OR($D201="",AB$5="",'상세일정'!AM201="제외"),"",IF($D201=$E201,IF(AND($D201&gt;=AB$5,$D201&lt;AB$5+7),"◆",""),IF(AND($D201&lt;AB$5+7,$E201&gt;AB$5),"■","")))</x:f>
      </x:c>
      <x:c r="AC201" s="7" t="str">
        <x:f>IF(OR($D201="",AC$5="",'상세일정'!AM201="제외"),"",IF($D201=$E201,IF(AND($D201&gt;=AC$5,$D201&lt;AC$5+7),"◆",""),IF(AND($D201&lt;AC$5+7,$E201&gt;AC$5),"■","")))</x:f>
      </x:c>
      <x:c r="AD201" s="7" t="str">
        <x:f>IF(OR($D201="",AD$5="",'상세일정'!AM201="제외"),"",IF($D201=$E201,IF(AND($D201&gt;=AD$5,$D201&lt;AD$5+7),"◆",""),IF(AND($D201&lt;AD$5+7,$E201&gt;AD$5),"■","")))</x:f>
      </x:c>
      <x:c r="AE201" s="7" t="str">
        <x:f>IF(OR($D201="",AE$5="",'상세일정'!AM201="제외"),"",IF($D201=$E201,IF(AND($D201&gt;=AE$5,$D201&lt;AE$5+7),"◆",""),IF(AND($D201&lt;AE$5+7,$E201&gt;AE$5),"■","")))</x:f>
      </x:c>
      <x:c r="AF201" s="7" t="str">
        <x:f>IF(OR($D201="",AF$5="",'상세일정'!AM201="제외"),"",IF($D201=$E201,IF(AND($D201&gt;=AF$5,$D201&lt;AF$5+7),"◆",""),IF(AND($D201&lt;AF$5+7,$E201&gt;AF$5),"■","")))</x:f>
      </x:c>
      <x:c r="AG201" s="7" t="str">
        <x:f>IF(OR($D201="",AG$5="",'상세일정'!AM201="제외"),"",IF($D201=$E201,IF(AND($D201&gt;=AG$5,$D201&lt;AG$5+7),"◆",""),IF(AND($D201&lt;AG$5+7,$E201&gt;AG$5),"■","")))</x:f>
      </x:c>
      <x:c r="AH201" s="7" t="str">
        <x:f>IF(OR($D201="",AH$5="",'상세일정'!AM201="제외"),"",IF($D201=$E201,IF(AND($D201&gt;=AH$5,$D201&lt;AH$5+7),"◆",""),IF(AND($D201&lt;AH$5+7,$E201&gt;AH$5),"■","")))</x:f>
      </x:c>
      <x:c r="AI201" s="7" t="str">
        <x:f>IF(OR($D201="",AI$5="",'상세일정'!AM201="제외"),"",IF($D201=$E201,IF(AND($D201&gt;=AI$5,$D201&lt;AI$5+7),"◆",""),IF(AND($D201&lt;AI$5+7,$E201&gt;AI$5),"■","")))</x:f>
      </x:c>
      <x:c r="AJ201" s="7" t="str">
        <x:f>IF(OR($D201="",AJ$5="",'상세일정'!AM201="제외"),"",IF($D201=$E201,IF(AND($D201&gt;=AJ$5,$D201&lt;AJ$5+7),"◆",""),IF(AND($D201&lt;AJ$5+7,$E201&gt;AJ$5),"■","")))</x:f>
      </x:c>
      <x:c r="AK201" s="7" t="str">
        <x:f>IF(OR($D201="",AK$5="",'상세일정'!AM201="제외"),"",IF($D201=$E201,IF(AND($D201&gt;=AK$5,$D201&lt;AK$5+7),"◆",""),IF(AND($D201&lt;AK$5+7,$E201&gt;AK$5),"■","")))</x:f>
      </x:c>
      <x:c r="AL201" s="7" t="str">
        <x:f>IF(OR($D201="",AL$5="",'상세일정'!AM201="제외"),"",IF($D201=$E201,IF(AND($D201&gt;=AL$5,$D201&lt;AL$5+7),"◆",""),IF(AND($D201&lt;AL$5+7,$E201&gt;AL$5),"■","")))</x:f>
      </x:c>
      <x:c r="AM201" s="7" t="str">
        <x:f>IF(OR($D201="",AM$5="",'상세일정'!AM201="제외"),"",IF($D201=$E201,IF(AND($D201&gt;=AM$5,$D201&lt;AM$5+7),"◆",""),IF(AND($D201&lt;AM$5+7,$E201&gt;AM$5),"■","")))</x:f>
      </x:c>
      <x:c r="AN201" s="7" t="str">
        <x:f>IF(OR($D201="",AN$5="",'상세일정'!AM201="제외"),"",IF($D201=$E201,IF(AND($D201&gt;=AN$5,$D201&lt;AN$5+7),"◆",""),IF(AND($D201&lt;AN$5+7,$E201&gt;AN$5),"■","")))</x:f>
      </x:c>
      <x:c r="AO201" s="7" t="str">
        <x:f>IF(OR($D201="",AO$5="",'상세일정'!AM201="제외"),"",IF($D201=$E201,IF(AND($D201&gt;=AO$5,$D201&lt;AO$5+7),"◆",""),IF(AND($D201&lt;AO$5+7,$E201&gt;AO$5),"■","")))</x:f>
      </x:c>
      <x:c r="AP201" s="7" t="str">
        <x:f>IF(OR($D201="",AP$5="",'상세일정'!AM201="제외"),"",IF($D201=$E201,IF(AND($D201&gt;=AP$5,$D201&lt;AP$5+7),"◆",""),IF(AND($D201&lt;AP$5+7,$E201&gt;AP$5),"■","")))</x:f>
      </x:c>
      <x:c r="AQ201" s="7" t="str">
        <x:f>IF(OR($D201="",AQ$5="",'상세일정'!AM201="제외"),"",IF($D201=$E201,IF(AND($D201&gt;=AQ$5,$D201&lt;AQ$5+7),"◆",""),IF(AND($D201&lt;AQ$5+7,$E201&gt;AQ$5),"■","")))</x:f>
      </x:c>
      <x:c r="AR201" s="7" t="str">
        <x:f>IF(OR($D201="",AR$5="",'상세일정'!AM201="제외"),"",IF($D201=$E201,IF(AND($D201&gt;=AR$5,$D201&lt;AR$5+7),"◆",""),IF(AND($D201&lt;AR$5+7,$E201&gt;AR$5),"■","")))</x:f>
      </x:c>
      <x:c r="AS201" s="7" t="str">
        <x:f>IF(OR($D201="",AS$5="",'상세일정'!AM201="제외"),"",IF($D201=$E201,IF(AND($D201&gt;=AS$5,$D201&lt;AS$5+7),"◆",""),IF(AND($D201&lt;AS$5+7,$E201&gt;AS$5),"■","")))</x:f>
      </x:c>
      <x:c r="AT201" s="7" t="str">
        <x:f>IF(OR($D201="",AT$5="",'상세일정'!AM201="제외"),"",IF($D201=$E201,IF(AND($D201&gt;=AT$5,$D201&lt;AT$5+7),"◆",""),IF(AND($D201&lt;AT$5+7,$E201&gt;AT$5),"■","")))</x:f>
      </x:c>
      <x:c r="AU201" s="7" t="str">
        <x:f>IF(OR($D201="",AU$5="",'상세일정'!AM201="제외"),"",IF($D201=$E201,IF(AND($D201&gt;=AU$5,$D201&lt;AU$5+7),"◆",""),IF(AND($D201&lt;AU$5+7,$E201&gt;AU$5),"■","")))</x:f>
      </x:c>
      <x:c r="AV201" s="7" t="str">
        <x:f>IF(OR($D201="",AV$5="",'상세일정'!AM201="제외"),"",IF($D201=$E201,IF(AND($D201&gt;=AV$5,$D201&lt;AV$5+7),"◆",""),IF(AND($D201&lt;AV$5+7,$E201&gt;AV$5),"■","")))</x:f>
      </x:c>
      <x:c r="AW201" s="7" t="str">
        <x:f>IF(OR($D201="",AW$5="",'상세일정'!AM201="제외"),"",IF($D201=$E201,IF(AND($D201&gt;=AW$5,$D201&lt;AW$5+7),"◆",""),IF(AND($D201&lt;AW$5+7,$E201&gt;AW$5),"■","")))</x:f>
      </x:c>
      <x:c r="AX201" s="7" t="str">
        <x:f>IF(OR($D201="",AX$5="",'상세일정'!AM201="제외"),"",IF($D201=$E201,IF(AND($D201&gt;=AX$5,$D201&lt;AX$5+7),"◆",""),IF(AND($D201&lt;AX$5+7,$E201&gt;AX$5),"■","")))</x:f>
      </x:c>
      <x:c r="AY201" s="7" t="str">
        <x:f>IF(OR($D201="",AY$5="",'상세일정'!AM201="제외"),"",IF($D201=$E201,IF(AND($D201&gt;=AY$5,$D201&lt;AY$5+7),"◆",""),IF(AND($D201&lt;AY$5+7,$E201&gt;AY$5),"■","")))</x:f>
      </x:c>
      <x:c r="AZ201" s="7" t="str">
        <x:f>IF(OR($D201="",AZ$5="",'상세일정'!AM201="제외"),"",IF($D201=$E201,IF(AND($D201&gt;=AZ$5,$D201&lt;AZ$5+7),"◆",""),IF(AND($D201&lt;AZ$5+7,$E201&gt;AZ$5),"■","")))</x:f>
      </x:c>
      <x:c r="BA201" s="7" t="str">
        <x:f>IF(OR($D201="",BA$5="",'상세일정'!AM201="제외"),"",IF($D201=$E201,IF(AND($D201&gt;=BA$5,$D201&lt;BA$5+7),"◆",""),IF(AND($D201&lt;BA$5+7,$E201&gt;BA$5),"■","")))</x:f>
      </x:c>
      <x:c r="BB201" s="7" t="str">
        <x:f>IF(OR($D201="",BB$5="",'상세일정'!AM201="제외"),"",IF($D201=$E201,IF(AND($D201&gt;=BB$5,$D201&lt;BB$5+7),"◆",""),IF(AND($D201&lt;BB$5+7,$E201&gt;BB$5),"■","")))</x:f>
      </x:c>
      <x:c r="BC201" s="7" t="str">
        <x:f>IF(OR($D201="",BC$5="",'상세일정'!AM201="제외"),"",IF($D201=$E201,IF(AND($D201&gt;=BC$5,$D201&lt;BC$5+7),"◆",""),IF(AND($D201&lt;BC$5+7,$E201&gt;BC$5),"■","")))</x:f>
      </x:c>
      <x:c r="BD201" s="7" t="str">
        <x:f>IF(OR($D201="",BD$5="",'상세일정'!AM201="제외"),"",IF($D201=$E201,IF(AND($D201&gt;=BD$5,$D201&lt;BD$5+7),"◆",""),IF(AND($D201&lt;BD$5+7,$E201&gt;BD$5),"■","")))</x:f>
      </x:c>
      <x:c r="BE201" s="7" t="str">
        <x:f>IF(OR($D201="",BE$5="",'상세일정'!AM201="제외"),"",IF($D201=$E201,IF(AND($D201&gt;=BE$5,$D201&lt;BE$5+7),"◆",""),IF(AND($D201&lt;BE$5+7,$E201&gt;BE$5),"■","")))</x:f>
      </x:c>
      <x:c r="BF201" s="7" t="str">
        <x:f>IF(OR($D201="",BF$5="",'상세일정'!AM201="제외"),"",IF($D201=$E201,IF(AND($D201&gt;=BF$5,$D201&lt;BF$5+7),"◆",""),IF(AND($D201&lt;BF$5+7,$E201&gt;BF$5),"■","")))</x:f>
      </x:c>
      <x:c r="BG201" s="7" t="str">
        <x:f>IF(OR($D201="",BG$5="",'상세일정'!AM201="제외"),"",IF($D201=$E201,IF(AND($D201&gt;=BG$5,$D201&lt;BG$5+7),"◆",""),IF(AND($D201&lt;BG$5+7,$E201&gt;BG$5),"■","")))</x:f>
      </x:c>
      <x:c r="BH201" s="7" t="str">
        <x:f>IF(OR($D201="",BH$5="",'상세일정'!AM201="제외"),"",IF($D201=$E201,IF(AND($D201&gt;=BH$5,$D201&lt;BH$5+7),"◆",""),IF(AND($D201&lt;BH$5+7,$E201&gt;BH$5),"■","")))</x:f>
      </x:c>
      <x:c r="BI201" s="7" t="str">
        <x:f>IF(OR($D201="",BI$5="",'상세일정'!AM201="제외"),"",IF($D201=$E201,IF(AND($D201&gt;=BI$5,$D201&lt;BI$5+7),"◆",""),IF(AND($D201&lt;BI$5+7,$E201&gt;BI$5),"■","")))</x:f>
      </x:c>
      <x:c r="BJ201" s="7" t="str">
        <x:f>IF(OR($D201="",BJ$5="",'상세일정'!AM201="제외"),"",IF($D201=$E201,IF(AND($D201&gt;=BJ$5,$D201&lt;BJ$5+7),"◆",""),IF(AND($D201&lt;BJ$5+7,$E201&gt;BJ$5),"■","")))</x:f>
      </x:c>
      <x:c r="BK201" s="7" t="str">
        <x:f>IF(OR($D201="",BK$5="",'상세일정'!AM201="제외"),"",IF($D201=$E201,IF(AND($D201&gt;=BK$5,$D201&lt;BK$5+7),"◆",""),IF(AND($D201&lt;BK$5+7,$E201&gt;BK$5),"■","")))</x:f>
      </x:c>
      <x:c r="BL201" s="7" t="str">
        <x:f>IF(OR($D201="",BL$5="",'상세일정'!AM201="제외"),"",IF($D201=$E201,IF(AND($D201&gt;=BL$5,$D201&lt;BL$5+7),"◆",""),IF(AND($D201&lt;BL$5+7,$E201&gt;BL$5),"■","")))</x:f>
      </x:c>
      <x:c r="BM201" s="7" t="str">
        <x:f>IF(OR($D201="",BM$5="",'상세일정'!AM201="제외"),"",IF($D201=$E201,IF(AND($D201&gt;=BM$5,$D201&lt;BM$5+7),"◆",""),IF(AND($D201&lt;BM$5+7,$E201&gt;BM$5),"■","")))</x:f>
      </x:c>
      <x:c r="BN201" s="7" t="str">
        <x:f>IF(OR($D201="",BN$5="",'상세일정'!AM201="제외"),"",IF($D201=$E201,IF(AND($D201&gt;=BN$5,$D201&lt;BN$5+7),"◆",""),IF(AND($D201&lt;BN$5+7,$E201&gt;BN$5),"■","")))</x:f>
      </x:c>
      <x:c r="BO201" s="7" t="str">
        <x:f>IF(OR($D201="",BO$5="",'상세일정'!AM201="제외"),"",IF($D201=$E201,IF(AND($D201&gt;=BO$5,$D201&lt;BO$5+7),"◆",""),IF(AND($D201&lt;BO$5+7,$E201&gt;BO$5),"■","")))</x:f>
      </x:c>
      <x:c r="BP201" s="7" t="str">
        <x:f>IF(OR($D201="",BP$5="",'상세일정'!AM201="제외"),"",IF($D201=$E201,IF(AND($D201&gt;=BP$5,$D201&lt;BP$5+7),"◆",""),IF(AND($D201&lt;BP$5+7,$E201&gt;BP$5),"■","")))</x:f>
      </x:c>
      <x:c r="BQ201" s="7" t="str">
        <x:f>IF(OR($D201="",BQ$5="",'상세일정'!AM201="제외"),"",IF($D201=$E201,IF(AND($D201&gt;=BQ$5,$D201&lt;BQ$5+7),"◆",""),IF(AND($D201&lt;BQ$5+7,$E201&gt;BQ$5),"■","")))</x:f>
      </x:c>
      <x:c r="BR201" s="7" t="str">
        <x:f>IF(OR($D201="",BR$5="",'상세일정'!AM201="제외"),"",IF($D201=$E201,IF(AND($D201&gt;=BR$5,$D201&lt;BR$5+7),"◆",""),IF(AND($D201&lt;BR$5+7,$E201&gt;BR$5),"■","")))</x:f>
      </x:c>
      <x:c r="BS201" s="7" t="str">
        <x:f>IF(OR($D201="",BS$5="",'상세일정'!AM201="제외"),"",IF($D201=$E201,IF(AND($D201&gt;=BS$5,$D201&lt;BS$5+7),"◆",""),IF(AND($D201&lt;BS$5+7,$E201&gt;BS$5),"■","")))</x:f>
      </x:c>
      <x:c r="BT201" s="7" t="str">
        <x:f>IF(OR($D201="",BT$5="",'상세일정'!AM201="제외"),"",IF($D201=$E201,IF(AND($D201&gt;=BT$5,$D201&lt;BT$5+7),"◆",""),IF(AND($D201&lt;BT$5+7,$E201&gt;BT$5),"■","")))</x:f>
      </x:c>
      <x:c r="BU201" s="7" t="str">
        <x:f>IF(OR($D201="",BU$5="",'상세일정'!AM201="제외"),"",IF($D201=$E201,IF(AND($D201&gt;=BU$5,$D201&lt;BU$5+7),"◆",""),IF(AND($D201&lt;BU$5+7,$E201&gt;BU$5),"■","")))</x:f>
      </x:c>
      <x:c r="BV201" s="7" t="str">
        <x:f>IF(OR($D201="",BV$5="",'상세일정'!AM201="제외"),"",IF($D201=$E201,IF(AND($D201&gt;=BV$5,$D201&lt;BV$5+7),"◆",""),IF(AND($D201&lt;BV$5+7,$E201&gt;BV$5),"■","")))</x:f>
      </x:c>
      <x:c r="BW201" s="7" t="str">
        <x:f>IF(OR($D201="",BW$5="",'상세일정'!AM201="제외"),"",IF($D201=$E201,IF(AND($D201&gt;=BW$5,$D201&lt;BW$5+7),"◆",""),IF(AND($D201&lt;BW$5+7,$E201&gt;BW$5),"■","")))</x:f>
      </x:c>
      <x:c r="BX201" s="7" t="str">
        <x:f>IF(OR($D201="",BX$5="",'상세일정'!AM201="제외"),"",IF($D201=$E201,IF(AND($D201&gt;=BX$5,$D201&lt;BX$5+7),"◆",""),IF(AND($D201&lt;BX$5+7,$E201&gt;BX$5),"■","")))</x:f>
      </x:c>
      <x:c r="BY201" s="7" t="str">
        <x:f>IF(OR($D201="",BY$5="",'상세일정'!AM201="제외"),"",IF($D201=$E201,IF(AND($D201&gt;=BY$5,$D201&lt;BY$5+7),"◆",""),IF(AND($D201&lt;BY$5+7,$E201&gt;BY$5),"■","")))</x:f>
      </x:c>
      <x:c r="BZ201" s="7" t="str">
        <x:f>IF(OR($D201="",BZ$5="",'상세일정'!AM201="제외"),"",IF($D201=$E201,IF(AND($D201&gt;=BZ$5,$D201&lt;BZ$5+7),"◆",""),IF(AND($D201&lt;BZ$5+7,$E201&gt;BZ$5),"■","")))</x:f>
      </x:c>
      <x:c r="CA201" s="7" t="str">
        <x:f>IF(OR($D201="",CA$5="",'상세일정'!AM201="제외"),"",IF($D201=$E201,IF(AND($D201&gt;=CA$5,$D201&lt;CA$5+7),"◆",""),IF(AND($D201&lt;CA$5+7,$E201&gt;CA$5),"■","")))</x:f>
      </x:c>
      <x:c r="CB201" s="7" t="str">
        <x:f>IF(OR($D201="",CB$5="",'상세일정'!AM201="제외"),"",IF($D201=$E201,IF(AND($D201&gt;=CB$5,$D201&lt;CB$5+7),"◆",""),IF(AND($D201&lt;CB$5+7,$E201&gt;CB$5),"■","")))</x:f>
      </x:c>
      <x:c r="CC201" s="7" t="str">
        <x:f>IF(OR($D201="",CC$5="",'상세일정'!AM201="제외"),"",IF($D201=$E201,IF(AND($D201&gt;=CC$5,$D201&lt;CC$5+7),"◆",""),IF(AND($D201&lt;CC$5+7,$E201&gt;CC$5),"■","")))</x:f>
      </x:c>
      <x:c r="CD201" s="7" t="str">
        <x:f>IF(OR($D201="",CD$5="",'상세일정'!AM201="제외"),"",IF($D201=$E201,IF(AND($D201&gt;=CD$5,$D201&lt;CD$5+7),"◆",""),IF(AND($D201&lt;CD$5+7,$E201&gt;CD$5),"■","")))</x:f>
      </x:c>
      <x:c r="CE201" s="7" t="str">
        <x:f>IF(OR($D201="",CE$5="",'상세일정'!AM201="제외"),"",IF($D201=$E201,IF(AND($D201&gt;=CE$5,$D201&lt;CE$5+7),"◆",""),IF(AND($D201&lt;CE$5+7,$E201&gt;CE$5),"■","")))</x:f>
      </x:c>
      <x:c r="CF201" s="7" t="str">
        <x:f>IF(OR($D201="",CF$5="",'상세일정'!AM201="제외"),"",IF($D201=$E201,IF(AND($D201&gt;=CF$5,$D201&lt;CF$5+7),"◆",""),IF(AND($D201&lt;CF$5+7,$E201&gt;CF$5),"■","")))</x:f>
      </x:c>
      <x:c r="CG201" s="7" t="str">
        <x:f>IF(OR($D201="",CG$5="",'상세일정'!AM201="제외"),"",IF($D201=$E201,IF(AND($D201&gt;=CG$5,$D201&lt;CG$5+7),"◆",""),IF(AND($D201&lt;CG$5+7,$E201&gt;CG$5),"■","")))</x:f>
      </x:c>
      <x:c r="CH201" s="7" t="str">
        <x:f>IF(OR($D201="",CH$5="",'상세일정'!AM201="제외"),"",IF($D201=$E201,IF(AND($D201&gt;=CH$5,$D201&lt;CH$5+7),"◆",""),IF(AND($D201&lt;CH$5+7,$E201&gt;CH$5),"■","")))</x:f>
      </x:c>
      <x:c r="CI201" s="7" t="str">
        <x:f>IF(OR($D201="",CI$5="",'상세일정'!AM201="제외"),"",IF($D201=$E201,IF(AND($D201&gt;=CI$5,$D201&lt;CI$5+7),"◆",""),IF(AND($D201&lt;CI$5+7,$E201&gt;CI$5),"■","")))</x:f>
      </x:c>
      <x:c r="CJ201" s="7" t="str">
        <x:f>IF(OR($D201="",CJ$5="",'상세일정'!AM201="제외"),"",IF($D201=$E201,IF(AND($D201&gt;=CJ$5,$D201&lt;CJ$5+7),"◆",""),IF(AND($D201&lt;CJ$5+7,$E201&gt;CJ$5),"■","")))</x:f>
      </x:c>
      <x:c r="CK201" s="7" t="str">
        <x:f>IF(OR($D201="",CK$5="",'상세일정'!AM201="제외"),"",IF($D201=$E201,IF(AND($D201&gt;=CK$5,$D201&lt;CK$5+7),"◆",""),IF(AND($D201&lt;CK$5+7,$E201&gt;CK$5),"■","")))</x:f>
      </x:c>
      <x:c r="CL201" s="7" t="str">
        <x:f>IF(OR($D201="",CL$5="",'상세일정'!AM201="제외"),"",IF($D201=$E201,IF(AND($D201&gt;=CL$5,$D201&lt;CL$5+7),"◆",""),IF(AND($D201&lt;CL$5+7,$E201&gt;CL$5),"■","")))</x:f>
      </x:c>
      <x:c r="CM201" s="7" t="str">
        <x:f>IF(OR($D201="",CM$5="",'상세일정'!AM201="제외"),"",IF($D201=$E201,IF(AND($D201&gt;=CM$5,$D201&lt;CM$5+7),"◆",""),IF(AND($D201&lt;CM$5+7,$E201&gt;CM$5),"■","")))</x:f>
      </x:c>
      <x:c r="CN201" s="7" t="str">
        <x:f>IF(OR($D201="",CN$5="",'상세일정'!AM201="제외"),"",IF($D201=$E201,IF(AND($D201&gt;=CN$5,$D201&lt;CN$5+7),"◆",""),IF(AND($D201&lt;CN$5+7,$E201&gt;CN$5),"■","")))</x:f>
      </x:c>
      <x:c r="CO201" s="7" t="str">
        <x:f>IF(OR($D201="",CO$5="",'상세일정'!AM201="제외"),"",IF($D201=$E201,IF(AND($D201&gt;=CO$5,$D201&lt;CO$5+7),"◆",""),IF(AND($D201&lt;CO$5+7,$E201&gt;CO$5),"■","")))</x:f>
      </x:c>
      <x:c r="CP201" s="7" t="str">
        <x:f>IF(OR($D201="",CP$5="",'상세일정'!AM201="제외"),"",IF($D201=$E201,IF(AND($D201&gt;=CP$5,$D201&lt;CP$5+7),"◆",""),IF(AND($D201&lt;CP$5+7,$E201&gt;CP$5),"■","")))</x:f>
      </x:c>
      <x:c r="CQ201" s="7" t="str">
        <x:f>IF(OR($D201="",CQ$5="",'상세일정'!AM201="제외"),"",IF($D201=$E201,IF(AND($D201&gt;=CQ$5,$D201&lt;CQ$5+7),"◆",""),IF(AND($D201&lt;CQ$5+7,$E201&gt;CQ$5),"■","")))</x:f>
      </x:c>
      <x:c r="CR201" s="7" t="str">
        <x:f>IF(OR($D201="",CR$5="",'상세일정'!AM201="제외"),"",IF($D201=$E201,IF(AND($D201&gt;=CR$5,$D201&lt;CR$5+7),"◆",""),IF(AND($D201&lt;CR$5+7,$E201&gt;CR$5),"■","")))</x:f>
      </x:c>
      <x:c r="CS201" s="7" t="str">
        <x:f>IF(OR($D201="",CS$5="",'상세일정'!AM201="제외"),"",IF($D201=$E201,IF(AND($D201&gt;=CS$5,$D201&lt;CS$5+7),"◆",""),IF(AND($D201&lt;CS$5+7,$E201&gt;CS$5),"■","")))</x:f>
      </x:c>
      <x:c r="CT201" s="7" t="str">
        <x:f>IF(OR($D201="",CT$5="",'상세일정'!AM201="제외"),"",IF($D201=$E201,IF(AND($D201&gt;=CT$5,$D201&lt;CT$5+7),"◆",""),IF(AND($D201&lt;CT$5+7,$E201&gt;CT$5),"■","")))</x:f>
      </x:c>
      <x:c r="CU201" s="7" t="str">
        <x:f>IF(OR($D201="",CU$5="",'상세일정'!AM201="제외"),"",IF($D201=$E201,IF(AND($D201&gt;=CU$5,$D201&lt;CU$5+7),"◆",""),IF(AND($D201&lt;CU$5+7,$E201&gt;CU$5),"■","")))</x:f>
      </x:c>
      <x:c r="CV201" s="7" t="str">
        <x:f>IF(OR($D201="",CV$5="",'상세일정'!AM201="제외"),"",IF($D201=$E201,IF(AND($D201&gt;=CV$5,$D201&lt;CV$5+7),"◆",""),IF(AND($D201&lt;CV$5+7,$E201&gt;CV$5),"■","")))</x:f>
      </x:c>
      <x:c r="CW201" s="7" t="str">
        <x:f>IF(OR($D201="",CW$5="",'상세일정'!AM201="제외"),"",IF($D201=$E201,IF(AND($D201&gt;=CW$5,$D201&lt;CW$5+7),"◆",""),IF(AND($D201&lt;CW$5+7,$E201&gt;CW$5),"■","")))</x:f>
      </x:c>
      <x:c r="CX201" s="7" t="str">
        <x:f>IF(OR($D201="",CX$5="",'상세일정'!AM201="제외"),"",IF($D201=$E201,IF(AND($D201&gt;=CX$5,$D201&lt;CX$5+7),"◆",""),IF(AND($D201&lt;CX$5+7,$E201&gt;CX$5),"■","")))</x:f>
      </x:c>
      <x:c r="CY201" s="7" t="str">
        <x:f>IF(OR($D201="",CY$5="",'상세일정'!AM201="제외"),"",IF($D201=$E201,IF(AND($D201&gt;=CY$5,$D201&lt;CY$5+7),"◆",""),IF(AND($D201&lt;CY$5+7,$E201&gt;CY$5),"■","")))</x:f>
      </x:c>
      <x:c r="CZ201" s="7" t="str">
        <x:f>IF(OR($D201="",CZ$5="",'상세일정'!AM201="제외"),"",IF($D201=$E201,IF(AND($D201&gt;=CZ$5,$D201&lt;CZ$5+7),"◆",""),IF(AND($D201&lt;CZ$5+7,$E201&gt;CZ$5),"■","")))</x:f>
      </x:c>
      <x:c r="DA201" s="7" t="str">
        <x:f>IF(OR($D201="",DA$5="",'상세일정'!AM201="제외"),"",IF($D201=$E201,IF(AND($D201&gt;=DA$5,$D201&lt;DA$5+7),"◆",""),IF(AND($D201&lt;DA$5+7,$E201&gt;DA$5),"■","")))</x:f>
      </x:c>
      <x:c r="DB201" s="7" t="str">
        <x:f>IF(OR($D201="",DB$5="",'상세일정'!AM201="제외"),"",IF($D201=$E201,IF(AND($D201&gt;=DB$5,$D201&lt;DB$5+7),"◆",""),IF(AND($D201&lt;DB$5+7,$E201&gt;DB$5),"■","")))</x:f>
      </x:c>
      <x:c r="DC201" s="7" t="str">
        <x:f>IF(OR($D201="",DC$5="",'상세일정'!AM201="제외"),"",IF($D201=$E201,IF(AND($D201&gt;=DC$5,$D201&lt;DC$5+7),"◆",""),IF(AND($D201&lt;DC$5+7,$E201&gt;DC$5),"■","")))</x:f>
      </x:c>
      <x:c r="DD201" s="7" t="str">
        <x:f>IF(OR($D201="",DD$5="",'상세일정'!AM201="제외"),"",IF($D201=$E201,IF(AND($D201&gt;=DD$5,$D201&lt;DD$5+7),"◆",""),IF(AND($D201&lt;DD$5+7,$E201&gt;DD$5),"■","")))</x:f>
      </x:c>
      <x:c r="DE201" s="7" t="str">
        <x:f>IF(OR($D201="",DE$5="",'상세일정'!AM201="제외"),"",IF($D201=$E201,IF(AND($D201&gt;=DE$5,$D201&lt;DE$5+7),"◆",""),IF(AND($D201&lt;DE$5+7,$E201&gt;DE$5),"■","")))</x:f>
      </x:c>
    </x:row>
    <x:row r="202" ht="34" customHeight="1">
      <x:c r="A202" s="7" t="str">
        <x:v>MP09</x:v>
      </x:c>
      <x:c r="B202" s="7" t="str">
        <x:v>22 배관 시공</x:v>
      </x:c>
      <x:c r="C202" s="7" t="str">
        <x:v>배관 Mechanical completion 확인</x:v>
      </x:c>
      <x:c r="D202" s="10" t="str">
        <x:f>'상세일정'!AJ202</x:f>
      </x:c>
      <x:c r="E202" s="10" t="str">
        <x:f>'상세일정'!AK202</x:f>
      </x:c>
      <x:c r="F202" s="7" t="str">
        <x:f>IF(OR($D202="",F$5="",'상세일정'!AM202="제외"),"",IF($D202=$E202,IF(AND($D202&gt;=F$5,$D202&lt;F$5+7),"◆",""),IF(AND($D202&lt;F$5+7,$E202&gt;F$5),"■","")))</x:f>
      </x:c>
      <x:c r="G202" s="7" t="str">
        <x:f>IF(OR($D202="",G$5="",'상세일정'!AM202="제외"),"",IF($D202=$E202,IF(AND($D202&gt;=G$5,$D202&lt;G$5+7),"◆",""),IF(AND($D202&lt;G$5+7,$E202&gt;G$5),"■","")))</x:f>
      </x:c>
      <x:c r="H202" s="7" t="str">
        <x:f>IF(OR($D202="",H$5="",'상세일정'!AM202="제외"),"",IF($D202=$E202,IF(AND($D202&gt;=H$5,$D202&lt;H$5+7),"◆",""),IF(AND($D202&lt;H$5+7,$E202&gt;H$5),"■","")))</x:f>
      </x:c>
      <x:c r="I202" s="7" t="str">
        <x:f>IF(OR($D202="",I$5="",'상세일정'!AM202="제외"),"",IF($D202=$E202,IF(AND($D202&gt;=I$5,$D202&lt;I$5+7),"◆",""),IF(AND($D202&lt;I$5+7,$E202&gt;I$5),"■","")))</x:f>
      </x:c>
      <x:c r="J202" s="7" t="str">
        <x:f>IF(OR($D202="",J$5="",'상세일정'!AM202="제외"),"",IF($D202=$E202,IF(AND($D202&gt;=J$5,$D202&lt;J$5+7),"◆",""),IF(AND($D202&lt;J$5+7,$E202&gt;J$5),"■","")))</x:f>
      </x:c>
      <x:c r="K202" s="7" t="str">
        <x:f>IF(OR($D202="",K$5="",'상세일정'!AM202="제외"),"",IF($D202=$E202,IF(AND($D202&gt;=K$5,$D202&lt;K$5+7),"◆",""),IF(AND($D202&lt;K$5+7,$E202&gt;K$5),"■","")))</x:f>
      </x:c>
      <x:c r="L202" s="7" t="str">
        <x:f>IF(OR($D202="",L$5="",'상세일정'!AM202="제외"),"",IF($D202=$E202,IF(AND($D202&gt;=L$5,$D202&lt;L$5+7),"◆",""),IF(AND($D202&lt;L$5+7,$E202&gt;L$5),"■","")))</x:f>
      </x:c>
      <x:c r="M202" s="7" t="str">
        <x:f>IF(OR($D202="",M$5="",'상세일정'!AM202="제외"),"",IF($D202=$E202,IF(AND($D202&gt;=M$5,$D202&lt;M$5+7),"◆",""),IF(AND($D202&lt;M$5+7,$E202&gt;M$5),"■","")))</x:f>
      </x:c>
      <x:c r="N202" s="7" t="str">
        <x:f>IF(OR($D202="",N$5="",'상세일정'!AM202="제외"),"",IF($D202=$E202,IF(AND($D202&gt;=N$5,$D202&lt;N$5+7),"◆",""),IF(AND($D202&lt;N$5+7,$E202&gt;N$5),"■","")))</x:f>
      </x:c>
      <x:c r="O202" s="7" t="str">
        <x:f>IF(OR($D202="",O$5="",'상세일정'!AM202="제외"),"",IF($D202=$E202,IF(AND($D202&gt;=O$5,$D202&lt;O$5+7),"◆",""),IF(AND($D202&lt;O$5+7,$E202&gt;O$5),"■","")))</x:f>
      </x:c>
      <x:c r="P202" s="7" t="str">
        <x:f>IF(OR($D202="",P$5="",'상세일정'!AM202="제외"),"",IF($D202=$E202,IF(AND($D202&gt;=P$5,$D202&lt;P$5+7),"◆",""),IF(AND($D202&lt;P$5+7,$E202&gt;P$5),"■","")))</x:f>
      </x:c>
      <x:c r="Q202" s="7" t="str">
        <x:f>IF(OR($D202="",Q$5="",'상세일정'!AM202="제외"),"",IF($D202=$E202,IF(AND($D202&gt;=Q$5,$D202&lt;Q$5+7),"◆",""),IF(AND($D202&lt;Q$5+7,$E202&gt;Q$5),"■","")))</x:f>
      </x:c>
      <x:c r="R202" s="7" t="str">
        <x:f>IF(OR($D202="",R$5="",'상세일정'!AM202="제외"),"",IF($D202=$E202,IF(AND($D202&gt;=R$5,$D202&lt;R$5+7),"◆",""),IF(AND($D202&lt;R$5+7,$E202&gt;R$5),"■","")))</x:f>
      </x:c>
      <x:c r="S202" s="7" t="str">
        <x:f>IF(OR($D202="",S$5="",'상세일정'!AM202="제외"),"",IF($D202=$E202,IF(AND($D202&gt;=S$5,$D202&lt;S$5+7),"◆",""),IF(AND($D202&lt;S$5+7,$E202&gt;S$5),"■","")))</x:f>
      </x:c>
      <x:c r="T202" s="7" t="str">
        <x:f>IF(OR($D202="",T$5="",'상세일정'!AM202="제외"),"",IF($D202=$E202,IF(AND($D202&gt;=T$5,$D202&lt;T$5+7),"◆",""),IF(AND($D202&lt;T$5+7,$E202&gt;T$5),"■","")))</x:f>
      </x:c>
      <x:c r="U202" s="7" t="str">
        <x:f>IF(OR($D202="",U$5="",'상세일정'!AM202="제외"),"",IF($D202=$E202,IF(AND($D202&gt;=U$5,$D202&lt;U$5+7),"◆",""),IF(AND($D202&lt;U$5+7,$E202&gt;U$5),"■","")))</x:f>
      </x:c>
      <x:c r="V202" s="7" t="str">
        <x:f>IF(OR($D202="",V$5="",'상세일정'!AM202="제외"),"",IF($D202=$E202,IF(AND($D202&gt;=V$5,$D202&lt;V$5+7),"◆",""),IF(AND($D202&lt;V$5+7,$E202&gt;V$5),"■","")))</x:f>
      </x:c>
      <x:c r="W202" s="7" t="str">
        <x:f>IF(OR($D202="",W$5="",'상세일정'!AM202="제외"),"",IF($D202=$E202,IF(AND($D202&gt;=W$5,$D202&lt;W$5+7),"◆",""),IF(AND($D202&lt;W$5+7,$E202&gt;W$5),"■","")))</x:f>
      </x:c>
      <x:c r="X202" s="7" t="str">
        <x:f>IF(OR($D202="",X$5="",'상세일정'!AM202="제외"),"",IF($D202=$E202,IF(AND($D202&gt;=X$5,$D202&lt;X$5+7),"◆",""),IF(AND($D202&lt;X$5+7,$E202&gt;X$5),"■","")))</x:f>
      </x:c>
      <x:c r="Y202" s="7" t="str">
        <x:f>IF(OR($D202="",Y$5="",'상세일정'!AM202="제외"),"",IF($D202=$E202,IF(AND($D202&gt;=Y$5,$D202&lt;Y$5+7),"◆",""),IF(AND($D202&lt;Y$5+7,$E202&gt;Y$5),"■","")))</x:f>
      </x:c>
      <x:c r="Z202" s="7" t="str">
        <x:f>IF(OR($D202="",Z$5="",'상세일정'!AM202="제외"),"",IF($D202=$E202,IF(AND($D202&gt;=Z$5,$D202&lt;Z$5+7),"◆",""),IF(AND($D202&lt;Z$5+7,$E202&gt;Z$5),"■","")))</x:f>
      </x:c>
      <x:c r="AA202" s="7" t="str">
        <x:f>IF(OR($D202="",AA$5="",'상세일정'!AM202="제외"),"",IF($D202=$E202,IF(AND($D202&gt;=AA$5,$D202&lt;AA$5+7),"◆",""),IF(AND($D202&lt;AA$5+7,$E202&gt;AA$5),"■","")))</x:f>
      </x:c>
      <x:c r="AB202" s="7" t="str">
        <x:f>IF(OR($D202="",AB$5="",'상세일정'!AM202="제외"),"",IF($D202=$E202,IF(AND($D202&gt;=AB$5,$D202&lt;AB$5+7),"◆",""),IF(AND($D202&lt;AB$5+7,$E202&gt;AB$5),"■","")))</x:f>
      </x:c>
      <x:c r="AC202" s="7" t="str">
        <x:f>IF(OR($D202="",AC$5="",'상세일정'!AM202="제외"),"",IF($D202=$E202,IF(AND($D202&gt;=AC$5,$D202&lt;AC$5+7),"◆",""),IF(AND($D202&lt;AC$5+7,$E202&gt;AC$5),"■","")))</x:f>
      </x:c>
      <x:c r="AD202" s="7" t="str">
        <x:f>IF(OR($D202="",AD$5="",'상세일정'!AM202="제외"),"",IF($D202=$E202,IF(AND($D202&gt;=AD$5,$D202&lt;AD$5+7),"◆",""),IF(AND($D202&lt;AD$5+7,$E202&gt;AD$5),"■","")))</x:f>
      </x:c>
      <x:c r="AE202" s="7" t="str">
        <x:f>IF(OR($D202="",AE$5="",'상세일정'!AM202="제외"),"",IF($D202=$E202,IF(AND($D202&gt;=AE$5,$D202&lt;AE$5+7),"◆",""),IF(AND($D202&lt;AE$5+7,$E202&gt;AE$5),"■","")))</x:f>
      </x:c>
      <x:c r="AF202" s="7" t="str">
        <x:f>IF(OR($D202="",AF$5="",'상세일정'!AM202="제외"),"",IF($D202=$E202,IF(AND($D202&gt;=AF$5,$D202&lt;AF$5+7),"◆",""),IF(AND($D202&lt;AF$5+7,$E202&gt;AF$5),"■","")))</x:f>
      </x:c>
      <x:c r="AG202" s="7" t="str">
        <x:f>IF(OR($D202="",AG$5="",'상세일정'!AM202="제외"),"",IF($D202=$E202,IF(AND($D202&gt;=AG$5,$D202&lt;AG$5+7),"◆",""),IF(AND($D202&lt;AG$5+7,$E202&gt;AG$5),"■","")))</x:f>
      </x:c>
      <x:c r="AH202" s="7" t="str">
        <x:f>IF(OR($D202="",AH$5="",'상세일정'!AM202="제외"),"",IF($D202=$E202,IF(AND($D202&gt;=AH$5,$D202&lt;AH$5+7),"◆",""),IF(AND($D202&lt;AH$5+7,$E202&gt;AH$5),"■","")))</x:f>
      </x:c>
      <x:c r="AI202" s="7" t="str">
        <x:f>IF(OR($D202="",AI$5="",'상세일정'!AM202="제외"),"",IF($D202=$E202,IF(AND($D202&gt;=AI$5,$D202&lt;AI$5+7),"◆",""),IF(AND($D202&lt;AI$5+7,$E202&gt;AI$5),"■","")))</x:f>
      </x:c>
      <x:c r="AJ202" s="7" t="str">
        <x:f>IF(OR($D202="",AJ$5="",'상세일정'!AM202="제외"),"",IF($D202=$E202,IF(AND($D202&gt;=AJ$5,$D202&lt;AJ$5+7),"◆",""),IF(AND($D202&lt;AJ$5+7,$E202&gt;AJ$5),"■","")))</x:f>
      </x:c>
      <x:c r="AK202" s="7" t="str">
        <x:f>IF(OR($D202="",AK$5="",'상세일정'!AM202="제외"),"",IF($D202=$E202,IF(AND($D202&gt;=AK$5,$D202&lt;AK$5+7),"◆",""),IF(AND($D202&lt;AK$5+7,$E202&gt;AK$5),"■","")))</x:f>
      </x:c>
      <x:c r="AL202" s="7" t="str">
        <x:f>IF(OR($D202="",AL$5="",'상세일정'!AM202="제외"),"",IF($D202=$E202,IF(AND($D202&gt;=AL$5,$D202&lt;AL$5+7),"◆",""),IF(AND($D202&lt;AL$5+7,$E202&gt;AL$5),"■","")))</x:f>
      </x:c>
      <x:c r="AM202" s="7" t="str">
        <x:f>IF(OR($D202="",AM$5="",'상세일정'!AM202="제외"),"",IF($D202=$E202,IF(AND($D202&gt;=AM$5,$D202&lt;AM$5+7),"◆",""),IF(AND($D202&lt;AM$5+7,$E202&gt;AM$5),"■","")))</x:f>
      </x:c>
      <x:c r="AN202" s="7" t="str">
        <x:f>IF(OR($D202="",AN$5="",'상세일정'!AM202="제외"),"",IF($D202=$E202,IF(AND($D202&gt;=AN$5,$D202&lt;AN$5+7),"◆",""),IF(AND($D202&lt;AN$5+7,$E202&gt;AN$5),"■","")))</x:f>
      </x:c>
      <x:c r="AO202" s="7" t="str">
        <x:f>IF(OR($D202="",AO$5="",'상세일정'!AM202="제외"),"",IF($D202=$E202,IF(AND($D202&gt;=AO$5,$D202&lt;AO$5+7),"◆",""),IF(AND($D202&lt;AO$5+7,$E202&gt;AO$5),"■","")))</x:f>
      </x:c>
      <x:c r="AP202" s="7" t="str">
        <x:f>IF(OR($D202="",AP$5="",'상세일정'!AM202="제외"),"",IF($D202=$E202,IF(AND($D202&gt;=AP$5,$D202&lt;AP$5+7),"◆",""),IF(AND($D202&lt;AP$5+7,$E202&gt;AP$5),"■","")))</x:f>
      </x:c>
      <x:c r="AQ202" s="7" t="str">
        <x:f>IF(OR($D202="",AQ$5="",'상세일정'!AM202="제외"),"",IF($D202=$E202,IF(AND($D202&gt;=AQ$5,$D202&lt;AQ$5+7),"◆",""),IF(AND($D202&lt;AQ$5+7,$E202&gt;AQ$5),"■","")))</x:f>
      </x:c>
      <x:c r="AR202" s="7" t="str">
        <x:f>IF(OR($D202="",AR$5="",'상세일정'!AM202="제외"),"",IF($D202=$E202,IF(AND($D202&gt;=AR$5,$D202&lt;AR$5+7),"◆",""),IF(AND($D202&lt;AR$5+7,$E202&gt;AR$5),"■","")))</x:f>
      </x:c>
      <x:c r="AS202" s="7" t="str">
        <x:f>IF(OR($D202="",AS$5="",'상세일정'!AM202="제외"),"",IF($D202=$E202,IF(AND($D202&gt;=AS$5,$D202&lt;AS$5+7),"◆",""),IF(AND($D202&lt;AS$5+7,$E202&gt;AS$5),"■","")))</x:f>
      </x:c>
      <x:c r="AT202" s="7" t="str">
        <x:f>IF(OR($D202="",AT$5="",'상세일정'!AM202="제외"),"",IF($D202=$E202,IF(AND($D202&gt;=AT$5,$D202&lt;AT$5+7),"◆",""),IF(AND($D202&lt;AT$5+7,$E202&gt;AT$5),"■","")))</x:f>
      </x:c>
      <x:c r="AU202" s="7" t="str">
        <x:f>IF(OR($D202="",AU$5="",'상세일정'!AM202="제외"),"",IF($D202=$E202,IF(AND($D202&gt;=AU$5,$D202&lt;AU$5+7),"◆",""),IF(AND($D202&lt;AU$5+7,$E202&gt;AU$5),"■","")))</x:f>
      </x:c>
      <x:c r="AV202" s="7" t="str">
        <x:f>IF(OR($D202="",AV$5="",'상세일정'!AM202="제외"),"",IF($D202=$E202,IF(AND($D202&gt;=AV$5,$D202&lt;AV$5+7),"◆",""),IF(AND($D202&lt;AV$5+7,$E202&gt;AV$5),"■","")))</x:f>
      </x:c>
      <x:c r="AW202" s="7" t="str">
        <x:f>IF(OR($D202="",AW$5="",'상세일정'!AM202="제외"),"",IF($D202=$E202,IF(AND($D202&gt;=AW$5,$D202&lt;AW$5+7),"◆",""),IF(AND($D202&lt;AW$5+7,$E202&gt;AW$5),"■","")))</x:f>
      </x:c>
      <x:c r="AX202" s="7" t="str">
        <x:f>IF(OR($D202="",AX$5="",'상세일정'!AM202="제외"),"",IF($D202=$E202,IF(AND($D202&gt;=AX$5,$D202&lt;AX$5+7),"◆",""),IF(AND($D202&lt;AX$5+7,$E202&gt;AX$5),"■","")))</x:f>
      </x:c>
      <x:c r="AY202" s="7" t="str">
        <x:f>IF(OR($D202="",AY$5="",'상세일정'!AM202="제외"),"",IF($D202=$E202,IF(AND($D202&gt;=AY$5,$D202&lt;AY$5+7),"◆",""),IF(AND($D202&lt;AY$5+7,$E202&gt;AY$5),"■","")))</x:f>
      </x:c>
      <x:c r="AZ202" s="7" t="str">
        <x:f>IF(OR($D202="",AZ$5="",'상세일정'!AM202="제외"),"",IF($D202=$E202,IF(AND($D202&gt;=AZ$5,$D202&lt;AZ$5+7),"◆",""),IF(AND($D202&lt;AZ$5+7,$E202&gt;AZ$5),"■","")))</x:f>
      </x:c>
      <x:c r="BA202" s="7" t="str">
        <x:f>IF(OR($D202="",BA$5="",'상세일정'!AM202="제외"),"",IF($D202=$E202,IF(AND($D202&gt;=BA$5,$D202&lt;BA$5+7),"◆",""),IF(AND($D202&lt;BA$5+7,$E202&gt;BA$5),"■","")))</x:f>
      </x:c>
      <x:c r="BB202" s="7" t="str">
        <x:f>IF(OR($D202="",BB$5="",'상세일정'!AM202="제외"),"",IF($D202=$E202,IF(AND($D202&gt;=BB$5,$D202&lt;BB$5+7),"◆",""),IF(AND($D202&lt;BB$5+7,$E202&gt;BB$5),"■","")))</x:f>
      </x:c>
      <x:c r="BC202" s="7" t="str">
        <x:f>IF(OR($D202="",BC$5="",'상세일정'!AM202="제외"),"",IF($D202=$E202,IF(AND($D202&gt;=BC$5,$D202&lt;BC$5+7),"◆",""),IF(AND($D202&lt;BC$5+7,$E202&gt;BC$5),"■","")))</x:f>
      </x:c>
      <x:c r="BD202" s="7" t="str">
        <x:f>IF(OR($D202="",BD$5="",'상세일정'!AM202="제외"),"",IF($D202=$E202,IF(AND($D202&gt;=BD$5,$D202&lt;BD$5+7),"◆",""),IF(AND($D202&lt;BD$5+7,$E202&gt;BD$5),"■","")))</x:f>
      </x:c>
      <x:c r="BE202" s="7" t="str">
        <x:f>IF(OR($D202="",BE$5="",'상세일정'!AM202="제외"),"",IF($D202=$E202,IF(AND($D202&gt;=BE$5,$D202&lt;BE$5+7),"◆",""),IF(AND($D202&lt;BE$5+7,$E202&gt;BE$5),"■","")))</x:f>
      </x:c>
      <x:c r="BF202" s="7" t="str">
        <x:f>IF(OR($D202="",BF$5="",'상세일정'!AM202="제외"),"",IF($D202=$E202,IF(AND($D202&gt;=BF$5,$D202&lt;BF$5+7),"◆",""),IF(AND($D202&lt;BF$5+7,$E202&gt;BF$5),"■","")))</x:f>
      </x:c>
      <x:c r="BG202" s="7" t="str">
        <x:f>IF(OR($D202="",BG$5="",'상세일정'!AM202="제외"),"",IF($D202=$E202,IF(AND($D202&gt;=BG$5,$D202&lt;BG$5+7),"◆",""),IF(AND($D202&lt;BG$5+7,$E202&gt;BG$5),"■","")))</x:f>
      </x:c>
      <x:c r="BH202" s="7" t="str">
        <x:f>IF(OR($D202="",BH$5="",'상세일정'!AM202="제외"),"",IF($D202=$E202,IF(AND($D202&gt;=BH$5,$D202&lt;BH$5+7),"◆",""),IF(AND($D202&lt;BH$5+7,$E202&gt;BH$5),"■","")))</x:f>
      </x:c>
      <x:c r="BI202" s="7" t="str">
        <x:f>IF(OR($D202="",BI$5="",'상세일정'!AM202="제외"),"",IF($D202=$E202,IF(AND($D202&gt;=BI$5,$D202&lt;BI$5+7),"◆",""),IF(AND($D202&lt;BI$5+7,$E202&gt;BI$5),"■","")))</x:f>
      </x:c>
      <x:c r="BJ202" s="7" t="str">
        <x:f>IF(OR($D202="",BJ$5="",'상세일정'!AM202="제외"),"",IF($D202=$E202,IF(AND($D202&gt;=BJ$5,$D202&lt;BJ$5+7),"◆",""),IF(AND($D202&lt;BJ$5+7,$E202&gt;BJ$5),"■","")))</x:f>
      </x:c>
      <x:c r="BK202" s="7" t="str">
        <x:f>IF(OR($D202="",BK$5="",'상세일정'!AM202="제외"),"",IF($D202=$E202,IF(AND($D202&gt;=BK$5,$D202&lt;BK$5+7),"◆",""),IF(AND($D202&lt;BK$5+7,$E202&gt;BK$5),"■","")))</x:f>
      </x:c>
      <x:c r="BL202" s="7" t="str">
        <x:f>IF(OR($D202="",BL$5="",'상세일정'!AM202="제외"),"",IF($D202=$E202,IF(AND($D202&gt;=BL$5,$D202&lt;BL$5+7),"◆",""),IF(AND($D202&lt;BL$5+7,$E202&gt;BL$5),"■","")))</x:f>
      </x:c>
      <x:c r="BM202" s="7" t="str">
        <x:f>IF(OR($D202="",BM$5="",'상세일정'!AM202="제외"),"",IF($D202=$E202,IF(AND($D202&gt;=BM$5,$D202&lt;BM$5+7),"◆",""),IF(AND($D202&lt;BM$5+7,$E202&gt;BM$5),"■","")))</x:f>
      </x:c>
      <x:c r="BN202" s="7" t="str">
        <x:f>IF(OR($D202="",BN$5="",'상세일정'!AM202="제외"),"",IF($D202=$E202,IF(AND($D202&gt;=BN$5,$D202&lt;BN$5+7),"◆",""),IF(AND($D202&lt;BN$5+7,$E202&gt;BN$5),"■","")))</x:f>
      </x:c>
      <x:c r="BO202" s="7" t="str">
        <x:f>IF(OR($D202="",BO$5="",'상세일정'!AM202="제외"),"",IF($D202=$E202,IF(AND($D202&gt;=BO$5,$D202&lt;BO$5+7),"◆",""),IF(AND($D202&lt;BO$5+7,$E202&gt;BO$5),"■","")))</x:f>
      </x:c>
      <x:c r="BP202" s="7" t="str">
        <x:f>IF(OR($D202="",BP$5="",'상세일정'!AM202="제외"),"",IF($D202=$E202,IF(AND($D202&gt;=BP$5,$D202&lt;BP$5+7),"◆",""),IF(AND($D202&lt;BP$5+7,$E202&gt;BP$5),"■","")))</x:f>
      </x:c>
      <x:c r="BQ202" s="7" t="str">
        <x:f>IF(OR($D202="",BQ$5="",'상세일정'!AM202="제외"),"",IF($D202=$E202,IF(AND($D202&gt;=BQ$5,$D202&lt;BQ$5+7),"◆",""),IF(AND($D202&lt;BQ$5+7,$E202&gt;BQ$5),"■","")))</x:f>
      </x:c>
      <x:c r="BR202" s="7" t="str">
        <x:f>IF(OR($D202="",BR$5="",'상세일정'!AM202="제외"),"",IF($D202=$E202,IF(AND($D202&gt;=BR$5,$D202&lt;BR$5+7),"◆",""),IF(AND($D202&lt;BR$5+7,$E202&gt;BR$5),"■","")))</x:f>
      </x:c>
      <x:c r="BS202" s="7" t="str">
        <x:f>IF(OR($D202="",BS$5="",'상세일정'!AM202="제외"),"",IF($D202=$E202,IF(AND($D202&gt;=BS$5,$D202&lt;BS$5+7),"◆",""),IF(AND($D202&lt;BS$5+7,$E202&gt;BS$5),"■","")))</x:f>
      </x:c>
      <x:c r="BT202" s="7" t="str">
        <x:f>IF(OR($D202="",BT$5="",'상세일정'!AM202="제외"),"",IF($D202=$E202,IF(AND($D202&gt;=BT$5,$D202&lt;BT$5+7),"◆",""),IF(AND($D202&lt;BT$5+7,$E202&gt;BT$5),"■","")))</x:f>
      </x:c>
      <x:c r="BU202" s="7" t="str">
        <x:f>IF(OR($D202="",BU$5="",'상세일정'!AM202="제외"),"",IF($D202=$E202,IF(AND($D202&gt;=BU$5,$D202&lt;BU$5+7),"◆",""),IF(AND($D202&lt;BU$5+7,$E202&gt;BU$5),"■","")))</x:f>
      </x:c>
      <x:c r="BV202" s="7" t="str">
        <x:f>IF(OR($D202="",BV$5="",'상세일정'!AM202="제외"),"",IF($D202=$E202,IF(AND($D202&gt;=BV$5,$D202&lt;BV$5+7),"◆",""),IF(AND($D202&lt;BV$5+7,$E202&gt;BV$5),"■","")))</x:f>
      </x:c>
      <x:c r="BW202" s="7" t="str">
        <x:f>IF(OR($D202="",BW$5="",'상세일정'!AM202="제외"),"",IF($D202=$E202,IF(AND($D202&gt;=BW$5,$D202&lt;BW$5+7),"◆",""),IF(AND($D202&lt;BW$5+7,$E202&gt;BW$5),"■","")))</x:f>
      </x:c>
      <x:c r="BX202" s="7" t="str">
        <x:f>IF(OR($D202="",BX$5="",'상세일정'!AM202="제외"),"",IF($D202=$E202,IF(AND($D202&gt;=BX$5,$D202&lt;BX$5+7),"◆",""),IF(AND($D202&lt;BX$5+7,$E202&gt;BX$5),"■","")))</x:f>
      </x:c>
      <x:c r="BY202" s="7" t="str">
        <x:f>IF(OR($D202="",BY$5="",'상세일정'!AM202="제외"),"",IF($D202=$E202,IF(AND($D202&gt;=BY$5,$D202&lt;BY$5+7),"◆",""),IF(AND($D202&lt;BY$5+7,$E202&gt;BY$5),"■","")))</x:f>
      </x:c>
      <x:c r="BZ202" s="7" t="str">
        <x:f>IF(OR($D202="",BZ$5="",'상세일정'!AM202="제외"),"",IF($D202=$E202,IF(AND($D202&gt;=BZ$5,$D202&lt;BZ$5+7),"◆",""),IF(AND($D202&lt;BZ$5+7,$E202&gt;BZ$5),"■","")))</x:f>
      </x:c>
      <x:c r="CA202" s="7" t="str">
        <x:f>IF(OR($D202="",CA$5="",'상세일정'!AM202="제외"),"",IF($D202=$E202,IF(AND($D202&gt;=CA$5,$D202&lt;CA$5+7),"◆",""),IF(AND($D202&lt;CA$5+7,$E202&gt;CA$5),"■","")))</x:f>
      </x:c>
      <x:c r="CB202" s="7" t="str">
        <x:f>IF(OR($D202="",CB$5="",'상세일정'!AM202="제외"),"",IF($D202=$E202,IF(AND($D202&gt;=CB$5,$D202&lt;CB$5+7),"◆",""),IF(AND($D202&lt;CB$5+7,$E202&gt;CB$5),"■","")))</x:f>
      </x:c>
      <x:c r="CC202" s="7" t="str">
        <x:f>IF(OR($D202="",CC$5="",'상세일정'!AM202="제외"),"",IF($D202=$E202,IF(AND($D202&gt;=CC$5,$D202&lt;CC$5+7),"◆",""),IF(AND($D202&lt;CC$5+7,$E202&gt;CC$5),"■","")))</x:f>
      </x:c>
      <x:c r="CD202" s="7" t="str">
        <x:f>IF(OR($D202="",CD$5="",'상세일정'!AM202="제외"),"",IF($D202=$E202,IF(AND($D202&gt;=CD$5,$D202&lt;CD$5+7),"◆",""),IF(AND($D202&lt;CD$5+7,$E202&gt;CD$5),"■","")))</x:f>
      </x:c>
      <x:c r="CE202" s="7" t="str">
        <x:f>IF(OR($D202="",CE$5="",'상세일정'!AM202="제외"),"",IF($D202=$E202,IF(AND($D202&gt;=CE$5,$D202&lt;CE$5+7),"◆",""),IF(AND($D202&lt;CE$5+7,$E202&gt;CE$5),"■","")))</x:f>
      </x:c>
      <x:c r="CF202" s="7" t="str">
        <x:f>IF(OR($D202="",CF$5="",'상세일정'!AM202="제외"),"",IF($D202=$E202,IF(AND($D202&gt;=CF$5,$D202&lt;CF$5+7),"◆",""),IF(AND($D202&lt;CF$5+7,$E202&gt;CF$5),"■","")))</x:f>
      </x:c>
      <x:c r="CG202" s="7" t="str">
        <x:f>IF(OR($D202="",CG$5="",'상세일정'!AM202="제외"),"",IF($D202=$E202,IF(AND($D202&gt;=CG$5,$D202&lt;CG$5+7),"◆",""),IF(AND($D202&lt;CG$5+7,$E202&gt;CG$5),"■","")))</x:f>
      </x:c>
      <x:c r="CH202" s="7" t="str">
        <x:f>IF(OR($D202="",CH$5="",'상세일정'!AM202="제외"),"",IF($D202=$E202,IF(AND($D202&gt;=CH$5,$D202&lt;CH$5+7),"◆",""),IF(AND($D202&lt;CH$5+7,$E202&gt;CH$5),"■","")))</x:f>
      </x:c>
      <x:c r="CI202" s="7" t="str">
        <x:f>IF(OR($D202="",CI$5="",'상세일정'!AM202="제외"),"",IF($D202=$E202,IF(AND($D202&gt;=CI$5,$D202&lt;CI$5+7),"◆",""),IF(AND($D202&lt;CI$5+7,$E202&gt;CI$5),"■","")))</x:f>
      </x:c>
      <x:c r="CJ202" s="7" t="str">
        <x:f>IF(OR($D202="",CJ$5="",'상세일정'!AM202="제외"),"",IF($D202=$E202,IF(AND($D202&gt;=CJ$5,$D202&lt;CJ$5+7),"◆",""),IF(AND($D202&lt;CJ$5+7,$E202&gt;CJ$5),"■","")))</x:f>
      </x:c>
      <x:c r="CK202" s="7" t="str">
        <x:f>IF(OR($D202="",CK$5="",'상세일정'!AM202="제외"),"",IF($D202=$E202,IF(AND($D202&gt;=CK$5,$D202&lt;CK$5+7),"◆",""),IF(AND($D202&lt;CK$5+7,$E202&gt;CK$5),"■","")))</x:f>
      </x:c>
      <x:c r="CL202" s="7" t="str">
        <x:f>IF(OR($D202="",CL$5="",'상세일정'!AM202="제외"),"",IF($D202=$E202,IF(AND($D202&gt;=CL$5,$D202&lt;CL$5+7),"◆",""),IF(AND($D202&lt;CL$5+7,$E202&gt;CL$5),"■","")))</x:f>
      </x:c>
      <x:c r="CM202" s="7" t="str">
        <x:f>IF(OR($D202="",CM$5="",'상세일정'!AM202="제외"),"",IF($D202=$E202,IF(AND($D202&gt;=CM$5,$D202&lt;CM$5+7),"◆",""),IF(AND($D202&lt;CM$5+7,$E202&gt;CM$5),"■","")))</x:f>
      </x:c>
      <x:c r="CN202" s="7" t="str">
        <x:f>IF(OR($D202="",CN$5="",'상세일정'!AM202="제외"),"",IF($D202=$E202,IF(AND($D202&gt;=CN$5,$D202&lt;CN$5+7),"◆",""),IF(AND($D202&lt;CN$5+7,$E202&gt;CN$5),"■","")))</x:f>
      </x:c>
      <x:c r="CO202" s="7" t="str">
        <x:f>IF(OR($D202="",CO$5="",'상세일정'!AM202="제외"),"",IF($D202=$E202,IF(AND($D202&gt;=CO$5,$D202&lt;CO$5+7),"◆",""),IF(AND($D202&lt;CO$5+7,$E202&gt;CO$5),"■","")))</x:f>
      </x:c>
      <x:c r="CP202" s="7" t="str">
        <x:f>IF(OR($D202="",CP$5="",'상세일정'!AM202="제외"),"",IF($D202=$E202,IF(AND($D202&gt;=CP$5,$D202&lt;CP$5+7),"◆",""),IF(AND($D202&lt;CP$5+7,$E202&gt;CP$5),"■","")))</x:f>
      </x:c>
      <x:c r="CQ202" s="7" t="str">
        <x:f>IF(OR($D202="",CQ$5="",'상세일정'!AM202="제외"),"",IF($D202=$E202,IF(AND($D202&gt;=CQ$5,$D202&lt;CQ$5+7),"◆",""),IF(AND($D202&lt;CQ$5+7,$E202&gt;CQ$5),"■","")))</x:f>
      </x:c>
      <x:c r="CR202" s="7" t="str">
        <x:f>IF(OR($D202="",CR$5="",'상세일정'!AM202="제외"),"",IF($D202=$E202,IF(AND($D202&gt;=CR$5,$D202&lt;CR$5+7),"◆",""),IF(AND($D202&lt;CR$5+7,$E202&gt;CR$5),"■","")))</x:f>
      </x:c>
      <x:c r="CS202" s="7" t="str">
        <x:f>IF(OR($D202="",CS$5="",'상세일정'!AM202="제외"),"",IF($D202=$E202,IF(AND($D202&gt;=CS$5,$D202&lt;CS$5+7),"◆",""),IF(AND($D202&lt;CS$5+7,$E202&gt;CS$5),"■","")))</x:f>
      </x:c>
      <x:c r="CT202" s="7" t="str">
        <x:f>IF(OR($D202="",CT$5="",'상세일정'!AM202="제외"),"",IF($D202=$E202,IF(AND($D202&gt;=CT$5,$D202&lt;CT$5+7),"◆",""),IF(AND($D202&lt;CT$5+7,$E202&gt;CT$5),"■","")))</x:f>
      </x:c>
      <x:c r="CU202" s="7" t="str">
        <x:f>IF(OR($D202="",CU$5="",'상세일정'!AM202="제외"),"",IF($D202=$E202,IF(AND($D202&gt;=CU$5,$D202&lt;CU$5+7),"◆",""),IF(AND($D202&lt;CU$5+7,$E202&gt;CU$5),"■","")))</x:f>
      </x:c>
      <x:c r="CV202" s="7" t="str">
        <x:f>IF(OR($D202="",CV$5="",'상세일정'!AM202="제외"),"",IF($D202=$E202,IF(AND($D202&gt;=CV$5,$D202&lt;CV$5+7),"◆",""),IF(AND($D202&lt;CV$5+7,$E202&gt;CV$5),"■","")))</x:f>
      </x:c>
      <x:c r="CW202" s="7" t="str">
        <x:f>IF(OR($D202="",CW$5="",'상세일정'!AM202="제외"),"",IF($D202=$E202,IF(AND($D202&gt;=CW$5,$D202&lt;CW$5+7),"◆",""),IF(AND($D202&lt;CW$5+7,$E202&gt;CW$5),"■","")))</x:f>
      </x:c>
      <x:c r="CX202" s="7" t="str">
        <x:f>IF(OR($D202="",CX$5="",'상세일정'!AM202="제외"),"",IF($D202=$E202,IF(AND($D202&gt;=CX$5,$D202&lt;CX$5+7),"◆",""),IF(AND($D202&lt;CX$5+7,$E202&gt;CX$5),"■","")))</x:f>
      </x:c>
      <x:c r="CY202" s="7" t="str">
        <x:f>IF(OR($D202="",CY$5="",'상세일정'!AM202="제외"),"",IF($D202=$E202,IF(AND($D202&gt;=CY$5,$D202&lt;CY$5+7),"◆",""),IF(AND($D202&lt;CY$5+7,$E202&gt;CY$5),"■","")))</x:f>
      </x:c>
      <x:c r="CZ202" s="7" t="str">
        <x:f>IF(OR($D202="",CZ$5="",'상세일정'!AM202="제외"),"",IF($D202=$E202,IF(AND($D202&gt;=CZ$5,$D202&lt;CZ$5+7),"◆",""),IF(AND($D202&lt;CZ$5+7,$E202&gt;CZ$5),"■","")))</x:f>
      </x:c>
      <x:c r="DA202" s="7" t="str">
        <x:f>IF(OR($D202="",DA$5="",'상세일정'!AM202="제외"),"",IF($D202=$E202,IF(AND($D202&gt;=DA$5,$D202&lt;DA$5+7),"◆",""),IF(AND($D202&lt;DA$5+7,$E202&gt;DA$5),"■","")))</x:f>
      </x:c>
      <x:c r="DB202" s="7" t="str">
        <x:f>IF(OR($D202="",DB$5="",'상세일정'!AM202="제외"),"",IF($D202=$E202,IF(AND($D202&gt;=DB$5,$D202&lt;DB$5+7),"◆",""),IF(AND($D202&lt;DB$5+7,$E202&gt;DB$5),"■","")))</x:f>
      </x:c>
      <x:c r="DC202" s="7" t="str">
        <x:f>IF(OR($D202="",DC$5="",'상세일정'!AM202="제외"),"",IF($D202=$E202,IF(AND($D202&gt;=DC$5,$D202&lt;DC$5+7),"◆",""),IF(AND($D202&lt;DC$5+7,$E202&gt;DC$5),"■","")))</x:f>
      </x:c>
      <x:c r="DD202" s="7" t="str">
        <x:f>IF(OR($D202="",DD$5="",'상세일정'!AM202="제외"),"",IF($D202=$E202,IF(AND($D202&gt;=DD$5,$D202&lt;DD$5+7),"◆",""),IF(AND($D202&lt;DD$5+7,$E202&gt;DD$5),"■","")))</x:f>
      </x:c>
      <x:c r="DE202" s="7" t="str">
        <x:f>IF(OR($D202="",DE$5="",'상세일정'!AM202="제외"),"",IF($D202=$E202,IF(AND($D202&gt;=DE$5,$D202&lt;DE$5+7),"◆",""),IF(AND($D202&lt;DE$5+7,$E202&gt;DE$5),"■","")))</x:f>
      </x:c>
    </x:row>
    <x:row r="203" ht="34" customHeight="1">
      <x:c r="A203" s="7" t="str">
        <x:v>EC01</x:v>
      </x:c>
      <x:c r="B203" s="7" t="str">
        <x:v>23 전기·계장 시공</x:v>
      </x:c>
      <x:c r="C203" s="7" t="str">
        <x:v>수전반·PLC반 반입·설치검측</x:v>
      </x:c>
      <x:c r="D203" s="10" t="str">
        <x:f>'상세일정'!AJ203</x:f>
      </x:c>
      <x:c r="E203" s="10" t="str">
        <x:f>'상세일정'!AK203</x:f>
      </x:c>
      <x:c r="F203" s="7" t="str">
        <x:f>IF(OR($D203="",F$5="",'상세일정'!AM203="제외"),"",IF($D203=$E203,IF(AND($D203&gt;=F$5,$D203&lt;F$5+7),"◆",""),IF(AND($D203&lt;F$5+7,$E203&gt;F$5),"■","")))</x:f>
      </x:c>
      <x:c r="G203" s="7" t="str">
        <x:f>IF(OR($D203="",G$5="",'상세일정'!AM203="제외"),"",IF($D203=$E203,IF(AND($D203&gt;=G$5,$D203&lt;G$5+7),"◆",""),IF(AND($D203&lt;G$5+7,$E203&gt;G$5),"■","")))</x:f>
      </x:c>
      <x:c r="H203" s="7" t="str">
        <x:f>IF(OR($D203="",H$5="",'상세일정'!AM203="제외"),"",IF($D203=$E203,IF(AND($D203&gt;=H$5,$D203&lt;H$5+7),"◆",""),IF(AND($D203&lt;H$5+7,$E203&gt;H$5),"■","")))</x:f>
      </x:c>
      <x:c r="I203" s="7" t="str">
        <x:f>IF(OR($D203="",I$5="",'상세일정'!AM203="제외"),"",IF($D203=$E203,IF(AND($D203&gt;=I$5,$D203&lt;I$5+7),"◆",""),IF(AND($D203&lt;I$5+7,$E203&gt;I$5),"■","")))</x:f>
      </x:c>
      <x:c r="J203" s="7" t="str">
        <x:f>IF(OR($D203="",J$5="",'상세일정'!AM203="제외"),"",IF($D203=$E203,IF(AND($D203&gt;=J$5,$D203&lt;J$5+7),"◆",""),IF(AND($D203&lt;J$5+7,$E203&gt;J$5),"■","")))</x:f>
      </x:c>
      <x:c r="K203" s="7" t="str">
        <x:f>IF(OR($D203="",K$5="",'상세일정'!AM203="제외"),"",IF($D203=$E203,IF(AND($D203&gt;=K$5,$D203&lt;K$5+7),"◆",""),IF(AND($D203&lt;K$5+7,$E203&gt;K$5),"■","")))</x:f>
      </x:c>
      <x:c r="L203" s="7" t="str">
        <x:f>IF(OR($D203="",L$5="",'상세일정'!AM203="제외"),"",IF($D203=$E203,IF(AND($D203&gt;=L$5,$D203&lt;L$5+7),"◆",""),IF(AND($D203&lt;L$5+7,$E203&gt;L$5),"■","")))</x:f>
      </x:c>
      <x:c r="M203" s="7" t="str">
        <x:f>IF(OR($D203="",M$5="",'상세일정'!AM203="제외"),"",IF($D203=$E203,IF(AND($D203&gt;=M$5,$D203&lt;M$5+7),"◆",""),IF(AND($D203&lt;M$5+7,$E203&gt;M$5),"■","")))</x:f>
      </x:c>
      <x:c r="N203" s="7" t="str">
        <x:f>IF(OR($D203="",N$5="",'상세일정'!AM203="제외"),"",IF($D203=$E203,IF(AND($D203&gt;=N$5,$D203&lt;N$5+7),"◆",""),IF(AND($D203&lt;N$5+7,$E203&gt;N$5),"■","")))</x:f>
      </x:c>
      <x:c r="O203" s="7" t="str">
        <x:f>IF(OR($D203="",O$5="",'상세일정'!AM203="제외"),"",IF($D203=$E203,IF(AND($D203&gt;=O$5,$D203&lt;O$5+7),"◆",""),IF(AND($D203&lt;O$5+7,$E203&gt;O$5),"■","")))</x:f>
      </x:c>
      <x:c r="P203" s="7" t="str">
        <x:f>IF(OR($D203="",P$5="",'상세일정'!AM203="제외"),"",IF($D203=$E203,IF(AND($D203&gt;=P$5,$D203&lt;P$5+7),"◆",""),IF(AND($D203&lt;P$5+7,$E203&gt;P$5),"■","")))</x:f>
      </x:c>
      <x:c r="Q203" s="7" t="str">
        <x:f>IF(OR($D203="",Q$5="",'상세일정'!AM203="제외"),"",IF($D203=$E203,IF(AND($D203&gt;=Q$5,$D203&lt;Q$5+7),"◆",""),IF(AND($D203&lt;Q$5+7,$E203&gt;Q$5),"■","")))</x:f>
      </x:c>
      <x:c r="R203" s="7" t="str">
        <x:f>IF(OR($D203="",R$5="",'상세일정'!AM203="제외"),"",IF($D203=$E203,IF(AND($D203&gt;=R$5,$D203&lt;R$5+7),"◆",""),IF(AND($D203&lt;R$5+7,$E203&gt;R$5),"■","")))</x:f>
      </x:c>
      <x:c r="S203" s="7" t="str">
        <x:f>IF(OR($D203="",S$5="",'상세일정'!AM203="제외"),"",IF($D203=$E203,IF(AND($D203&gt;=S$5,$D203&lt;S$5+7),"◆",""),IF(AND($D203&lt;S$5+7,$E203&gt;S$5),"■","")))</x:f>
      </x:c>
      <x:c r="T203" s="7" t="str">
        <x:f>IF(OR($D203="",T$5="",'상세일정'!AM203="제외"),"",IF($D203=$E203,IF(AND($D203&gt;=T$5,$D203&lt;T$5+7),"◆",""),IF(AND($D203&lt;T$5+7,$E203&gt;T$5),"■","")))</x:f>
      </x:c>
      <x:c r="U203" s="7" t="str">
        <x:f>IF(OR($D203="",U$5="",'상세일정'!AM203="제외"),"",IF($D203=$E203,IF(AND($D203&gt;=U$5,$D203&lt;U$5+7),"◆",""),IF(AND($D203&lt;U$5+7,$E203&gt;U$5),"■","")))</x:f>
      </x:c>
      <x:c r="V203" s="7" t="str">
        <x:f>IF(OR($D203="",V$5="",'상세일정'!AM203="제외"),"",IF($D203=$E203,IF(AND($D203&gt;=V$5,$D203&lt;V$5+7),"◆",""),IF(AND($D203&lt;V$5+7,$E203&gt;V$5),"■","")))</x:f>
      </x:c>
      <x:c r="W203" s="7" t="str">
        <x:f>IF(OR($D203="",W$5="",'상세일정'!AM203="제외"),"",IF($D203=$E203,IF(AND($D203&gt;=W$5,$D203&lt;W$5+7),"◆",""),IF(AND($D203&lt;W$5+7,$E203&gt;W$5),"■","")))</x:f>
      </x:c>
      <x:c r="X203" s="7" t="str">
        <x:f>IF(OR($D203="",X$5="",'상세일정'!AM203="제외"),"",IF($D203=$E203,IF(AND($D203&gt;=X$5,$D203&lt;X$5+7),"◆",""),IF(AND($D203&lt;X$5+7,$E203&gt;X$5),"■","")))</x:f>
      </x:c>
      <x:c r="Y203" s="7" t="str">
        <x:f>IF(OR($D203="",Y$5="",'상세일정'!AM203="제외"),"",IF($D203=$E203,IF(AND($D203&gt;=Y$5,$D203&lt;Y$5+7),"◆",""),IF(AND($D203&lt;Y$5+7,$E203&gt;Y$5),"■","")))</x:f>
      </x:c>
      <x:c r="Z203" s="7" t="str">
        <x:f>IF(OR($D203="",Z$5="",'상세일정'!AM203="제외"),"",IF($D203=$E203,IF(AND($D203&gt;=Z$5,$D203&lt;Z$5+7),"◆",""),IF(AND($D203&lt;Z$5+7,$E203&gt;Z$5),"■","")))</x:f>
      </x:c>
      <x:c r="AA203" s="7" t="str">
        <x:f>IF(OR($D203="",AA$5="",'상세일정'!AM203="제외"),"",IF($D203=$E203,IF(AND($D203&gt;=AA$5,$D203&lt;AA$5+7),"◆",""),IF(AND($D203&lt;AA$5+7,$E203&gt;AA$5),"■","")))</x:f>
      </x:c>
      <x:c r="AB203" s="7" t="str">
        <x:f>IF(OR($D203="",AB$5="",'상세일정'!AM203="제외"),"",IF($D203=$E203,IF(AND($D203&gt;=AB$5,$D203&lt;AB$5+7),"◆",""),IF(AND($D203&lt;AB$5+7,$E203&gt;AB$5),"■","")))</x:f>
      </x:c>
      <x:c r="AC203" s="7" t="str">
        <x:f>IF(OR($D203="",AC$5="",'상세일정'!AM203="제외"),"",IF($D203=$E203,IF(AND($D203&gt;=AC$5,$D203&lt;AC$5+7),"◆",""),IF(AND($D203&lt;AC$5+7,$E203&gt;AC$5),"■","")))</x:f>
      </x:c>
      <x:c r="AD203" s="7" t="str">
        <x:f>IF(OR($D203="",AD$5="",'상세일정'!AM203="제외"),"",IF($D203=$E203,IF(AND($D203&gt;=AD$5,$D203&lt;AD$5+7),"◆",""),IF(AND($D203&lt;AD$5+7,$E203&gt;AD$5),"■","")))</x:f>
      </x:c>
      <x:c r="AE203" s="7" t="str">
        <x:f>IF(OR($D203="",AE$5="",'상세일정'!AM203="제외"),"",IF($D203=$E203,IF(AND($D203&gt;=AE$5,$D203&lt;AE$5+7),"◆",""),IF(AND($D203&lt;AE$5+7,$E203&gt;AE$5),"■","")))</x:f>
      </x:c>
      <x:c r="AF203" s="7" t="str">
        <x:f>IF(OR($D203="",AF$5="",'상세일정'!AM203="제외"),"",IF($D203=$E203,IF(AND($D203&gt;=AF$5,$D203&lt;AF$5+7),"◆",""),IF(AND($D203&lt;AF$5+7,$E203&gt;AF$5),"■","")))</x:f>
      </x:c>
      <x:c r="AG203" s="7" t="str">
        <x:f>IF(OR($D203="",AG$5="",'상세일정'!AM203="제외"),"",IF($D203=$E203,IF(AND($D203&gt;=AG$5,$D203&lt;AG$5+7),"◆",""),IF(AND($D203&lt;AG$5+7,$E203&gt;AG$5),"■","")))</x:f>
      </x:c>
      <x:c r="AH203" s="7" t="str">
        <x:f>IF(OR($D203="",AH$5="",'상세일정'!AM203="제외"),"",IF($D203=$E203,IF(AND($D203&gt;=AH$5,$D203&lt;AH$5+7),"◆",""),IF(AND($D203&lt;AH$5+7,$E203&gt;AH$5),"■","")))</x:f>
      </x:c>
      <x:c r="AI203" s="7" t="str">
        <x:f>IF(OR($D203="",AI$5="",'상세일정'!AM203="제외"),"",IF($D203=$E203,IF(AND($D203&gt;=AI$5,$D203&lt;AI$5+7),"◆",""),IF(AND($D203&lt;AI$5+7,$E203&gt;AI$5),"■","")))</x:f>
      </x:c>
      <x:c r="AJ203" s="7" t="str">
        <x:f>IF(OR($D203="",AJ$5="",'상세일정'!AM203="제외"),"",IF($D203=$E203,IF(AND($D203&gt;=AJ$5,$D203&lt;AJ$5+7),"◆",""),IF(AND($D203&lt;AJ$5+7,$E203&gt;AJ$5),"■","")))</x:f>
      </x:c>
      <x:c r="AK203" s="7" t="str">
        <x:f>IF(OR($D203="",AK$5="",'상세일정'!AM203="제외"),"",IF($D203=$E203,IF(AND($D203&gt;=AK$5,$D203&lt;AK$5+7),"◆",""),IF(AND($D203&lt;AK$5+7,$E203&gt;AK$5),"■","")))</x:f>
      </x:c>
      <x:c r="AL203" s="7" t="str">
        <x:f>IF(OR($D203="",AL$5="",'상세일정'!AM203="제외"),"",IF($D203=$E203,IF(AND($D203&gt;=AL$5,$D203&lt;AL$5+7),"◆",""),IF(AND($D203&lt;AL$5+7,$E203&gt;AL$5),"■","")))</x:f>
      </x:c>
      <x:c r="AM203" s="7" t="str">
        <x:f>IF(OR($D203="",AM$5="",'상세일정'!AM203="제외"),"",IF($D203=$E203,IF(AND($D203&gt;=AM$5,$D203&lt;AM$5+7),"◆",""),IF(AND($D203&lt;AM$5+7,$E203&gt;AM$5),"■","")))</x:f>
      </x:c>
      <x:c r="AN203" s="7" t="str">
        <x:f>IF(OR($D203="",AN$5="",'상세일정'!AM203="제외"),"",IF($D203=$E203,IF(AND($D203&gt;=AN$5,$D203&lt;AN$5+7),"◆",""),IF(AND($D203&lt;AN$5+7,$E203&gt;AN$5),"■","")))</x:f>
      </x:c>
      <x:c r="AO203" s="7" t="str">
        <x:f>IF(OR($D203="",AO$5="",'상세일정'!AM203="제외"),"",IF($D203=$E203,IF(AND($D203&gt;=AO$5,$D203&lt;AO$5+7),"◆",""),IF(AND($D203&lt;AO$5+7,$E203&gt;AO$5),"■","")))</x:f>
      </x:c>
      <x:c r="AP203" s="7" t="str">
        <x:f>IF(OR($D203="",AP$5="",'상세일정'!AM203="제외"),"",IF($D203=$E203,IF(AND($D203&gt;=AP$5,$D203&lt;AP$5+7),"◆",""),IF(AND($D203&lt;AP$5+7,$E203&gt;AP$5),"■","")))</x:f>
      </x:c>
      <x:c r="AQ203" s="7" t="str">
        <x:f>IF(OR($D203="",AQ$5="",'상세일정'!AM203="제외"),"",IF($D203=$E203,IF(AND($D203&gt;=AQ$5,$D203&lt;AQ$5+7),"◆",""),IF(AND($D203&lt;AQ$5+7,$E203&gt;AQ$5),"■","")))</x:f>
      </x:c>
      <x:c r="AR203" s="7" t="str">
        <x:f>IF(OR($D203="",AR$5="",'상세일정'!AM203="제외"),"",IF($D203=$E203,IF(AND($D203&gt;=AR$5,$D203&lt;AR$5+7),"◆",""),IF(AND($D203&lt;AR$5+7,$E203&gt;AR$5),"■","")))</x:f>
      </x:c>
      <x:c r="AS203" s="7" t="str">
        <x:f>IF(OR($D203="",AS$5="",'상세일정'!AM203="제외"),"",IF($D203=$E203,IF(AND($D203&gt;=AS$5,$D203&lt;AS$5+7),"◆",""),IF(AND($D203&lt;AS$5+7,$E203&gt;AS$5),"■","")))</x:f>
      </x:c>
      <x:c r="AT203" s="7" t="str">
        <x:f>IF(OR($D203="",AT$5="",'상세일정'!AM203="제외"),"",IF($D203=$E203,IF(AND($D203&gt;=AT$5,$D203&lt;AT$5+7),"◆",""),IF(AND($D203&lt;AT$5+7,$E203&gt;AT$5),"■","")))</x:f>
      </x:c>
      <x:c r="AU203" s="7" t="str">
        <x:f>IF(OR($D203="",AU$5="",'상세일정'!AM203="제외"),"",IF($D203=$E203,IF(AND($D203&gt;=AU$5,$D203&lt;AU$5+7),"◆",""),IF(AND($D203&lt;AU$5+7,$E203&gt;AU$5),"■","")))</x:f>
      </x:c>
      <x:c r="AV203" s="7" t="str">
        <x:f>IF(OR($D203="",AV$5="",'상세일정'!AM203="제외"),"",IF($D203=$E203,IF(AND($D203&gt;=AV$5,$D203&lt;AV$5+7),"◆",""),IF(AND($D203&lt;AV$5+7,$E203&gt;AV$5),"■","")))</x:f>
      </x:c>
      <x:c r="AW203" s="7" t="str">
        <x:f>IF(OR($D203="",AW$5="",'상세일정'!AM203="제외"),"",IF($D203=$E203,IF(AND($D203&gt;=AW$5,$D203&lt;AW$5+7),"◆",""),IF(AND($D203&lt;AW$5+7,$E203&gt;AW$5),"■","")))</x:f>
      </x:c>
      <x:c r="AX203" s="7" t="str">
        <x:f>IF(OR($D203="",AX$5="",'상세일정'!AM203="제외"),"",IF($D203=$E203,IF(AND($D203&gt;=AX$5,$D203&lt;AX$5+7),"◆",""),IF(AND($D203&lt;AX$5+7,$E203&gt;AX$5),"■","")))</x:f>
      </x:c>
      <x:c r="AY203" s="7" t="str">
        <x:f>IF(OR($D203="",AY$5="",'상세일정'!AM203="제외"),"",IF($D203=$E203,IF(AND($D203&gt;=AY$5,$D203&lt;AY$5+7),"◆",""),IF(AND($D203&lt;AY$5+7,$E203&gt;AY$5),"■","")))</x:f>
      </x:c>
      <x:c r="AZ203" s="7" t="str">
        <x:f>IF(OR($D203="",AZ$5="",'상세일정'!AM203="제외"),"",IF($D203=$E203,IF(AND($D203&gt;=AZ$5,$D203&lt;AZ$5+7),"◆",""),IF(AND($D203&lt;AZ$5+7,$E203&gt;AZ$5),"■","")))</x:f>
      </x:c>
      <x:c r="BA203" s="7" t="str">
        <x:f>IF(OR($D203="",BA$5="",'상세일정'!AM203="제외"),"",IF($D203=$E203,IF(AND($D203&gt;=BA$5,$D203&lt;BA$5+7),"◆",""),IF(AND($D203&lt;BA$5+7,$E203&gt;BA$5),"■","")))</x:f>
      </x:c>
      <x:c r="BB203" s="7" t="str">
        <x:f>IF(OR($D203="",BB$5="",'상세일정'!AM203="제외"),"",IF($D203=$E203,IF(AND($D203&gt;=BB$5,$D203&lt;BB$5+7),"◆",""),IF(AND($D203&lt;BB$5+7,$E203&gt;BB$5),"■","")))</x:f>
      </x:c>
      <x:c r="BC203" s="7" t="str">
        <x:f>IF(OR($D203="",BC$5="",'상세일정'!AM203="제외"),"",IF($D203=$E203,IF(AND($D203&gt;=BC$5,$D203&lt;BC$5+7),"◆",""),IF(AND($D203&lt;BC$5+7,$E203&gt;BC$5),"■","")))</x:f>
      </x:c>
      <x:c r="BD203" s="7" t="str">
        <x:f>IF(OR($D203="",BD$5="",'상세일정'!AM203="제외"),"",IF($D203=$E203,IF(AND($D203&gt;=BD$5,$D203&lt;BD$5+7),"◆",""),IF(AND($D203&lt;BD$5+7,$E203&gt;BD$5),"■","")))</x:f>
      </x:c>
      <x:c r="BE203" s="7" t="str">
        <x:f>IF(OR($D203="",BE$5="",'상세일정'!AM203="제외"),"",IF($D203=$E203,IF(AND($D203&gt;=BE$5,$D203&lt;BE$5+7),"◆",""),IF(AND($D203&lt;BE$5+7,$E203&gt;BE$5),"■","")))</x:f>
      </x:c>
      <x:c r="BF203" s="7" t="str">
        <x:f>IF(OR($D203="",BF$5="",'상세일정'!AM203="제외"),"",IF($D203=$E203,IF(AND($D203&gt;=BF$5,$D203&lt;BF$5+7),"◆",""),IF(AND($D203&lt;BF$5+7,$E203&gt;BF$5),"■","")))</x:f>
      </x:c>
      <x:c r="BG203" s="7" t="str">
        <x:f>IF(OR($D203="",BG$5="",'상세일정'!AM203="제외"),"",IF($D203=$E203,IF(AND($D203&gt;=BG$5,$D203&lt;BG$5+7),"◆",""),IF(AND($D203&lt;BG$5+7,$E203&gt;BG$5),"■","")))</x:f>
      </x:c>
      <x:c r="BH203" s="7" t="str">
        <x:f>IF(OR($D203="",BH$5="",'상세일정'!AM203="제외"),"",IF($D203=$E203,IF(AND($D203&gt;=BH$5,$D203&lt;BH$5+7),"◆",""),IF(AND($D203&lt;BH$5+7,$E203&gt;BH$5),"■","")))</x:f>
      </x:c>
      <x:c r="BI203" s="7" t="str">
        <x:f>IF(OR($D203="",BI$5="",'상세일정'!AM203="제외"),"",IF($D203=$E203,IF(AND($D203&gt;=BI$5,$D203&lt;BI$5+7),"◆",""),IF(AND($D203&lt;BI$5+7,$E203&gt;BI$5),"■","")))</x:f>
      </x:c>
      <x:c r="BJ203" s="7" t="str">
        <x:f>IF(OR($D203="",BJ$5="",'상세일정'!AM203="제외"),"",IF($D203=$E203,IF(AND($D203&gt;=BJ$5,$D203&lt;BJ$5+7),"◆",""),IF(AND($D203&lt;BJ$5+7,$E203&gt;BJ$5),"■","")))</x:f>
      </x:c>
      <x:c r="BK203" s="7" t="str">
        <x:f>IF(OR($D203="",BK$5="",'상세일정'!AM203="제외"),"",IF($D203=$E203,IF(AND($D203&gt;=BK$5,$D203&lt;BK$5+7),"◆",""),IF(AND($D203&lt;BK$5+7,$E203&gt;BK$5),"■","")))</x:f>
      </x:c>
      <x:c r="BL203" s="7" t="str">
        <x:f>IF(OR($D203="",BL$5="",'상세일정'!AM203="제외"),"",IF($D203=$E203,IF(AND($D203&gt;=BL$5,$D203&lt;BL$5+7),"◆",""),IF(AND($D203&lt;BL$5+7,$E203&gt;BL$5),"■","")))</x:f>
      </x:c>
      <x:c r="BM203" s="7" t="str">
        <x:f>IF(OR($D203="",BM$5="",'상세일정'!AM203="제외"),"",IF($D203=$E203,IF(AND($D203&gt;=BM$5,$D203&lt;BM$5+7),"◆",""),IF(AND($D203&lt;BM$5+7,$E203&gt;BM$5),"■","")))</x:f>
      </x:c>
      <x:c r="BN203" s="7" t="str">
        <x:f>IF(OR($D203="",BN$5="",'상세일정'!AM203="제외"),"",IF($D203=$E203,IF(AND($D203&gt;=BN$5,$D203&lt;BN$5+7),"◆",""),IF(AND($D203&lt;BN$5+7,$E203&gt;BN$5),"■","")))</x:f>
      </x:c>
      <x:c r="BO203" s="7" t="str">
        <x:f>IF(OR($D203="",BO$5="",'상세일정'!AM203="제외"),"",IF($D203=$E203,IF(AND($D203&gt;=BO$5,$D203&lt;BO$5+7),"◆",""),IF(AND($D203&lt;BO$5+7,$E203&gt;BO$5),"■","")))</x:f>
      </x:c>
      <x:c r="BP203" s="7" t="str">
        <x:f>IF(OR($D203="",BP$5="",'상세일정'!AM203="제외"),"",IF($D203=$E203,IF(AND($D203&gt;=BP$5,$D203&lt;BP$5+7),"◆",""),IF(AND($D203&lt;BP$5+7,$E203&gt;BP$5),"■","")))</x:f>
      </x:c>
      <x:c r="BQ203" s="7" t="str">
        <x:f>IF(OR($D203="",BQ$5="",'상세일정'!AM203="제외"),"",IF($D203=$E203,IF(AND($D203&gt;=BQ$5,$D203&lt;BQ$5+7),"◆",""),IF(AND($D203&lt;BQ$5+7,$E203&gt;BQ$5),"■","")))</x:f>
      </x:c>
      <x:c r="BR203" s="7" t="str">
        <x:f>IF(OR($D203="",BR$5="",'상세일정'!AM203="제외"),"",IF($D203=$E203,IF(AND($D203&gt;=BR$5,$D203&lt;BR$5+7),"◆",""),IF(AND($D203&lt;BR$5+7,$E203&gt;BR$5),"■","")))</x:f>
      </x:c>
      <x:c r="BS203" s="7" t="str">
        <x:f>IF(OR($D203="",BS$5="",'상세일정'!AM203="제외"),"",IF($D203=$E203,IF(AND($D203&gt;=BS$5,$D203&lt;BS$5+7),"◆",""),IF(AND($D203&lt;BS$5+7,$E203&gt;BS$5),"■","")))</x:f>
      </x:c>
      <x:c r="BT203" s="7" t="str">
        <x:f>IF(OR($D203="",BT$5="",'상세일정'!AM203="제외"),"",IF($D203=$E203,IF(AND($D203&gt;=BT$5,$D203&lt;BT$5+7),"◆",""),IF(AND($D203&lt;BT$5+7,$E203&gt;BT$5),"■","")))</x:f>
      </x:c>
      <x:c r="BU203" s="7" t="str">
        <x:f>IF(OR($D203="",BU$5="",'상세일정'!AM203="제외"),"",IF($D203=$E203,IF(AND($D203&gt;=BU$5,$D203&lt;BU$5+7),"◆",""),IF(AND($D203&lt;BU$5+7,$E203&gt;BU$5),"■","")))</x:f>
      </x:c>
      <x:c r="BV203" s="7" t="str">
        <x:f>IF(OR($D203="",BV$5="",'상세일정'!AM203="제외"),"",IF($D203=$E203,IF(AND($D203&gt;=BV$5,$D203&lt;BV$5+7),"◆",""),IF(AND($D203&lt;BV$5+7,$E203&gt;BV$5),"■","")))</x:f>
      </x:c>
      <x:c r="BW203" s="7" t="str">
        <x:f>IF(OR($D203="",BW$5="",'상세일정'!AM203="제외"),"",IF($D203=$E203,IF(AND($D203&gt;=BW$5,$D203&lt;BW$5+7),"◆",""),IF(AND($D203&lt;BW$5+7,$E203&gt;BW$5),"■","")))</x:f>
      </x:c>
      <x:c r="BX203" s="7" t="str">
        <x:f>IF(OR($D203="",BX$5="",'상세일정'!AM203="제외"),"",IF($D203=$E203,IF(AND($D203&gt;=BX$5,$D203&lt;BX$5+7),"◆",""),IF(AND($D203&lt;BX$5+7,$E203&gt;BX$5),"■","")))</x:f>
      </x:c>
      <x:c r="BY203" s="7" t="str">
        <x:f>IF(OR($D203="",BY$5="",'상세일정'!AM203="제외"),"",IF($D203=$E203,IF(AND($D203&gt;=BY$5,$D203&lt;BY$5+7),"◆",""),IF(AND($D203&lt;BY$5+7,$E203&gt;BY$5),"■","")))</x:f>
      </x:c>
      <x:c r="BZ203" s="7" t="str">
        <x:f>IF(OR($D203="",BZ$5="",'상세일정'!AM203="제외"),"",IF($D203=$E203,IF(AND($D203&gt;=BZ$5,$D203&lt;BZ$5+7),"◆",""),IF(AND($D203&lt;BZ$5+7,$E203&gt;BZ$5),"■","")))</x:f>
      </x:c>
      <x:c r="CA203" s="7" t="str">
        <x:f>IF(OR($D203="",CA$5="",'상세일정'!AM203="제외"),"",IF($D203=$E203,IF(AND($D203&gt;=CA$5,$D203&lt;CA$5+7),"◆",""),IF(AND($D203&lt;CA$5+7,$E203&gt;CA$5),"■","")))</x:f>
      </x:c>
      <x:c r="CB203" s="7" t="str">
        <x:f>IF(OR($D203="",CB$5="",'상세일정'!AM203="제외"),"",IF($D203=$E203,IF(AND($D203&gt;=CB$5,$D203&lt;CB$5+7),"◆",""),IF(AND($D203&lt;CB$5+7,$E203&gt;CB$5),"■","")))</x:f>
      </x:c>
      <x:c r="CC203" s="7" t="str">
        <x:f>IF(OR($D203="",CC$5="",'상세일정'!AM203="제외"),"",IF($D203=$E203,IF(AND($D203&gt;=CC$5,$D203&lt;CC$5+7),"◆",""),IF(AND($D203&lt;CC$5+7,$E203&gt;CC$5),"■","")))</x:f>
      </x:c>
      <x:c r="CD203" s="7" t="str">
        <x:f>IF(OR($D203="",CD$5="",'상세일정'!AM203="제외"),"",IF($D203=$E203,IF(AND($D203&gt;=CD$5,$D203&lt;CD$5+7),"◆",""),IF(AND($D203&lt;CD$5+7,$E203&gt;CD$5),"■","")))</x:f>
      </x:c>
      <x:c r="CE203" s="7" t="str">
        <x:f>IF(OR($D203="",CE$5="",'상세일정'!AM203="제외"),"",IF($D203=$E203,IF(AND($D203&gt;=CE$5,$D203&lt;CE$5+7),"◆",""),IF(AND($D203&lt;CE$5+7,$E203&gt;CE$5),"■","")))</x:f>
      </x:c>
      <x:c r="CF203" s="7" t="str">
        <x:f>IF(OR($D203="",CF$5="",'상세일정'!AM203="제외"),"",IF($D203=$E203,IF(AND($D203&gt;=CF$5,$D203&lt;CF$5+7),"◆",""),IF(AND($D203&lt;CF$5+7,$E203&gt;CF$5),"■","")))</x:f>
      </x:c>
      <x:c r="CG203" s="7" t="str">
        <x:f>IF(OR($D203="",CG$5="",'상세일정'!AM203="제외"),"",IF($D203=$E203,IF(AND($D203&gt;=CG$5,$D203&lt;CG$5+7),"◆",""),IF(AND($D203&lt;CG$5+7,$E203&gt;CG$5),"■","")))</x:f>
      </x:c>
      <x:c r="CH203" s="7" t="str">
        <x:f>IF(OR($D203="",CH$5="",'상세일정'!AM203="제외"),"",IF($D203=$E203,IF(AND($D203&gt;=CH$5,$D203&lt;CH$5+7),"◆",""),IF(AND($D203&lt;CH$5+7,$E203&gt;CH$5),"■","")))</x:f>
      </x:c>
      <x:c r="CI203" s="7" t="str">
        <x:f>IF(OR($D203="",CI$5="",'상세일정'!AM203="제외"),"",IF($D203=$E203,IF(AND($D203&gt;=CI$5,$D203&lt;CI$5+7),"◆",""),IF(AND($D203&lt;CI$5+7,$E203&gt;CI$5),"■","")))</x:f>
      </x:c>
      <x:c r="CJ203" s="7" t="str">
        <x:f>IF(OR($D203="",CJ$5="",'상세일정'!AM203="제외"),"",IF($D203=$E203,IF(AND($D203&gt;=CJ$5,$D203&lt;CJ$5+7),"◆",""),IF(AND($D203&lt;CJ$5+7,$E203&gt;CJ$5),"■","")))</x:f>
      </x:c>
      <x:c r="CK203" s="7" t="str">
        <x:f>IF(OR($D203="",CK$5="",'상세일정'!AM203="제외"),"",IF($D203=$E203,IF(AND($D203&gt;=CK$5,$D203&lt;CK$5+7),"◆",""),IF(AND($D203&lt;CK$5+7,$E203&gt;CK$5),"■","")))</x:f>
      </x:c>
      <x:c r="CL203" s="7" t="str">
        <x:f>IF(OR($D203="",CL$5="",'상세일정'!AM203="제외"),"",IF($D203=$E203,IF(AND($D203&gt;=CL$5,$D203&lt;CL$5+7),"◆",""),IF(AND($D203&lt;CL$5+7,$E203&gt;CL$5),"■","")))</x:f>
      </x:c>
      <x:c r="CM203" s="7" t="str">
        <x:f>IF(OR($D203="",CM$5="",'상세일정'!AM203="제외"),"",IF($D203=$E203,IF(AND($D203&gt;=CM$5,$D203&lt;CM$5+7),"◆",""),IF(AND($D203&lt;CM$5+7,$E203&gt;CM$5),"■","")))</x:f>
      </x:c>
      <x:c r="CN203" s="7" t="str">
        <x:f>IF(OR($D203="",CN$5="",'상세일정'!AM203="제외"),"",IF($D203=$E203,IF(AND($D203&gt;=CN$5,$D203&lt;CN$5+7),"◆",""),IF(AND($D203&lt;CN$5+7,$E203&gt;CN$5),"■","")))</x:f>
      </x:c>
      <x:c r="CO203" s="7" t="str">
        <x:f>IF(OR($D203="",CO$5="",'상세일정'!AM203="제외"),"",IF($D203=$E203,IF(AND($D203&gt;=CO$5,$D203&lt;CO$5+7),"◆",""),IF(AND($D203&lt;CO$5+7,$E203&gt;CO$5),"■","")))</x:f>
      </x:c>
      <x:c r="CP203" s="7" t="str">
        <x:f>IF(OR($D203="",CP$5="",'상세일정'!AM203="제외"),"",IF($D203=$E203,IF(AND($D203&gt;=CP$5,$D203&lt;CP$5+7),"◆",""),IF(AND($D203&lt;CP$5+7,$E203&gt;CP$5),"■","")))</x:f>
      </x:c>
      <x:c r="CQ203" s="7" t="str">
        <x:f>IF(OR($D203="",CQ$5="",'상세일정'!AM203="제외"),"",IF($D203=$E203,IF(AND($D203&gt;=CQ$5,$D203&lt;CQ$5+7),"◆",""),IF(AND($D203&lt;CQ$5+7,$E203&gt;CQ$5),"■","")))</x:f>
      </x:c>
      <x:c r="CR203" s="7" t="str">
        <x:f>IF(OR($D203="",CR$5="",'상세일정'!AM203="제외"),"",IF($D203=$E203,IF(AND($D203&gt;=CR$5,$D203&lt;CR$5+7),"◆",""),IF(AND($D203&lt;CR$5+7,$E203&gt;CR$5),"■","")))</x:f>
      </x:c>
      <x:c r="CS203" s="7" t="str">
        <x:f>IF(OR($D203="",CS$5="",'상세일정'!AM203="제외"),"",IF($D203=$E203,IF(AND($D203&gt;=CS$5,$D203&lt;CS$5+7),"◆",""),IF(AND($D203&lt;CS$5+7,$E203&gt;CS$5),"■","")))</x:f>
      </x:c>
      <x:c r="CT203" s="7" t="str">
        <x:f>IF(OR($D203="",CT$5="",'상세일정'!AM203="제외"),"",IF($D203=$E203,IF(AND($D203&gt;=CT$5,$D203&lt;CT$5+7),"◆",""),IF(AND($D203&lt;CT$5+7,$E203&gt;CT$5),"■","")))</x:f>
      </x:c>
      <x:c r="CU203" s="7" t="str">
        <x:f>IF(OR($D203="",CU$5="",'상세일정'!AM203="제외"),"",IF($D203=$E203,IF(AND($D203&gt;=CU$5,$D203&lt;CU$5+7),"◆",""),IF(AND($D203&lt;CU$5+7,$E203&gt;CU$5),"■","")))</x:f>
      </x:c>
      <x:c r="CV203" s="7" t="str">
        <x:f>IF(OR($D203="",CV$5="",'상세일정'!AM203="제외"),"",IF($D203=$E203,IF(AND($D203&gt;=CV$5,$D203&lt;CV$5+7),"◆",""),IF(AND($D203&lt;CV$5+7,$E203&gt;CV$5),"■","")))</x:f>
      </x:c>
      <x:c r="CW203" s="7" t="str">
        <x:f>IF(OR($D203="",CW$5="",'상세일정'!AM203="제외"),"",IF($D203=$E203,IF(AND($D203&gt;=CW$5,$D203&lt;CW$5+7),"◆",""),IF(AND($D203&lt;CW$5+7,$E203&gt;CW$5),"■","")))</x:f>
      </x:c>
      <x:c r="CX203" s="7" t="str">
        <x:f>IF(OR($D203="",CX$5="",'상세일정'!AM203="제외"),"",IF($D203=$E203,IF(AND($D203&gt;=CX$5,$D203&lt;CX$5+7),"◆",""),IF(AND($D203&lt;CX$5+7,$E203&gt;CX$5),"■","")))</x:f>
      </x:c>
      <x:c r="CY203" s="7" t="str">
        <x:f>IF(OR($D203="",CY$5="",'상세일정'!AM203="제외"),"",IF($D203=$E203,IF(AND($D203&gt;=CY$5,$D203&lt;CY$5+7),"◆",""),IF(AND($D203&lt;CY$5+7,$E203&gt;CY$5),"■","")))</x:f>
      </x:c>
      <x:c r="CZ203" s="7" t="str">
        <x:f>IF(OR($D203="",CZ$5="",'상세일정'!AM203="제외"),"",IF($D203=$E203,IF(AND($D203&gt;=CZ$5,$D203&lt;CZ$5+7),"◆",""),IF(AND($D203&lt;CZ$5+7,$E203&gt;CZ$5),"■","")))</x:f>
      </x:c>
      <x:c r="DA203" s="7" t="str">
        <x:f>IF(OR($D203="",DA$5="",'상세일정'!AM203="제외"),"",IF($D203=$E203,IF(AND($D203&gt;=DA$5,$D203&lt;DA$5+7),"◆",""),IF(AND($D203&lt;DA$5+7,$E203&gt;DA$5),"■","")))</x:f>
      </x:c>
      <x:c r="DB203" s="7" t="str">
        <x:f>IF(OR($D203="",DB$5="",'상세일정'!AM203="제외"),"",IF($D203=$E203,IF(AND($D203&gt;=DB$5,$D203&lt;DB$5+7),"◆",""),IF(AND($D203&lt;DB$5+7,$E203&gt;DB$5),"■","")))</x:f>
      </x:c>
      <x:c r="DC203" s="7" t="str">
        <x:f>IF(OR($D203="",DC$5="",'상세일정'!AM203="제외"),"",IF($D203=$E203,IF(AND($D203&gt;=DC$5,$D203&lt;DC$5+7),"◆",""),IF(AND($D203&lt;DC$5+7,$E203&gt;DC$5),"■","")))</x:f>
      </x:c>
      <x:c r="DD203" s="7" t="str">
        <x:f>IF(OR($D203="",DD$5="",'상세일정'!AM203="제외"),"",IF($D203=$E203,IF(AND($D203&gt;=DD$5,$D203&lt;DD$5+7),"◆",""),IF(AND($D203&lt;DD$5+7,$E203&gt;DD$5),"■","")))</x:f>
      </x:c>
      <x:c r="DE203" s="7" t="str">
        <x:f>IF(OR($D203="",DE$5="",'상세일정'!AM203="제외"),"",IF($D203=$E203,IF(AND($D203&gt;=DE$5,$D203&lt;DE$5+7),"◆",""),IF(AND($D203&lt;DE$5+7,$E203&gt;DE$5),"■","")))</x:f>
      </x:c>
    </x:row>
    <x:row r="204" ht="34" customHeight="1">
      <x:c r="A204" s="7" t="str">
        <x:v>EC02</x:v>
      </x:c>
      <x:c r="B204" s="7" t="str">
        <x:v>23 전기·계장 시공</x:v>
      </x:c>
      <x:c r="C204" s="7" t="str">
        <x:v>트레이·전선관·접지·피뢰 시공</x:v>
      </x:c>
      <x:c r="D204" s="10" t="str">
        <x:f>'상세일정'!AJ204</x:f>
      </x:c>
      <x:c r="E204" s="10" t="str">
        <x:f>'상세일정'!AK204</x:f>
      </x:c>
      <x:c r="F204" s="7" t="str">
        <x:f>IF(OR($D204="",F$5="",'상세일정'!AM204="제외"),"",IF($D204=$E204,IF(AND($D204&gt;=F$5,$D204&lt;F$5+7),"◆",""),IF(AND($D204&lt;F$5+7,$E204&gt;F$5),"■","")))</x:f>
      </x:c>
      <x:c r="G204" s="7" t="str">
        <x:f>IF(OR($D204="",G$5="",'상세일정'!AM204="제외"),"",IF($D204=$E204,IF(AND($D204&gt;=G$5,$D204&lt;G$5+7),"◆",""),IF(AND($D204&lt;G$5+7,$E204&gt;G$5),"■","")))</x:f>
      </x:c>
      <x:c r="H204" s="7" t="str">
        <x:f>IF(OR($D204="",H$5="",'상세일정'!AM204="제외"),"",IF($D204=$E204,IF(AND($D204&gt;=H$5,$D204&lt;H$5+7),"◆",""),IF(AND($D204&lt;H$5+7,$E204&gt;H$5),"■","")))</x:f>
      </x:c>
      <x:c r="I204" s="7" t="str">
        <x:f>IF(OR($D204="",I$5="",'상세일정'!AM204="제외"),"",IF($D204=$E204,IF(AND($D204&gt;=I$5,$D204&lt;I$5+7),"◆",""),IF(AND($D204&lt;I$5+7,$E204&gt;I$5),"■","")))</x:f>
      </x:c>
      <x:c r="J204" s="7" t="str">
        <x:f>IF(OR($D204="",J$5="",'상세일정'!AM204="제외"),"",IF($D204=$E204,IF(AND($D204&gt;=J$5,$D204&lt;J$5+7),"◆",""),IF(AND($D204&lt;J$5+7,$E204&gt;J$5),"■","")))</x:f>
      </x:c>
      <x:c r="K204" s="7" t="str">
        <x:f>IF(OR($D204="",K$5="",'상세일정'!AM204="제외"),"",IF($D204=$E204,IF(AND($D204&gt;=K$5,$D204&lt;K$5+7),"◆",""),IF(AND($D204&lt;K$5+7,$E204&gt;K$5),"■","")))</x:f>
      </x:c>
      <x:c r="L204" s="7" t="str">
        <x:f>IF(OR($D204="",L$5="",'상세일정'!AM204="제외"),"",IF($D204=$E204,IF(AND($D204&gt;=L$5,$D204&lt;L$5+7),"◆",""),IF(AND($D204&lt;L$5+7,$E204&gt;L$5),"■","")))</x:f>
      </x:c>
      <x:c r="M204" s="7" t="str">
        <x:f>IF(OR($D204="",M$5="",'상세일정'!AM204="제외"),"",IF($D204=$E204,IF(AND($D204&gt;=M$5,$D204&lt;M$5+7),"◆",""),IF(AND($D204&lt;M$5+7,$E204&gt;M$5),"■","")))</x:f>
      </x:c>
      <x:c r="N204" s="7" t="str">
        <x:f>IF(OR($D204="",N$5="",'상세일정'!AM204="제외"),"",IF($D204=$E204,IF(AND($D204&gt;=N$5,$D204&lt;N$5+7),"◆",""),IF(AND($D204&lt;N$5+7,$E204&gt;N$5),"■","")))</x:f>
      </x:c>
      <x:c r="O204" s="7" t="str">
        <x:f>IF(OR($D204="",O$5="",'상세일정'!AM204="제외"),"",IF($D204=$E204,IF(AND($D204&gt;=O$5,$D204&lt;O$5+7),"◆",""),IF(AND($D204&lt;O$5+7,$E204&gt;O$5),"■","")))</x:f>
      </x:c>
      <x:c r="P204" s="7" t="str">
        <x:f>IF(OR($D204="",P$5="",'상세일정'!AM204="제외"),"",IF($D204=$E204,IF(AND($D204&gt;=P$5,$D204&lt;P$5+7),"◆",""),IF(AND($D204&lt;P$5+7,$E204&gt;P$5),"■","")))</x:f>
      </x:c>
      <x:c r="Q204" s="7" t="str">
        <x:f>IF(OR($D204="",Q$5="",'상세일정'!AM204="제외"),"",IF($D204=$E204,IF(AND($D204&gt;=Q$5,$D204&lt;Q$5+7),"◆",""),IF(AND($D204&lt;Q$5+7,$E204&gt;Q$5),"■","")))</x:f>
      </x:c>
      <x:c r="R204" s="7" t="str">
        <x:f>IF(OR($D204="",R$5="",'상세일정'!AM204="제외"),"",IF($D204=$E204,IF(AND($D204&gt;=R$5,$D204&lt;R$5+7),"◆",""),IF(AND($D204&lt;R$5+7,$E204&gt;R$5),"■","")))</x:f>
      </x:c>
      <x:c r="S204" s="7" t="str">
        <x:f>IF(OR($D204="",S$5="",'상세일정'!AM204="제외"),"",IF($D204=$E204,IF(AND($D204&gt;=S$5,$D204&lt;S$5+7),"◆",""),IF(AND($D204&lt;S$5+7,$E204&gt;S$5),"■","")))</x:f>
      </x:c>
      <x:c r="T204" s="7" t="str">
        <x:f>IF(OR($D204="",T$5="",'상세일정'!AM204="제외"),"",IF($D204=$E204,IF(AND($D204&gt;=T$5,$D204&lt;T$5+7),"◆",""),IF(AND($D204&lt;T$5+7,$E204&gt;T$5),"■","")))</x:f>
      </x:c>
      <x:c r="U204" s="7" t="str">
        <x:f>IF(OR($D204="",U$5="",'상세일정'!AM204="제외"),"",IF($D204=$E204,IF(AND($D204&gt;=U$5,$D204&lt;U$5+7),"◆",""),IF(AND($D204&lt;U$5+7,$E204&gt;U$5),"■","")))</x:f>
      </x:c>
      <x:c r="V204" s="7" t="str">
        <x:f>IF(OR($D204="",V$5="",'상세일정'!AM204="제외"),"",IF($D204=$E204,IF(AND($D204&gt;=V$5,$D204&lt;V$5+7),"◆",""),IF(AND($D204&lt;V$5+7,$E204&gt;V$5),"■","")))</x:f>
      </x:c>
      <x:c r="W204" s="7" t="str">
        <x:f>IF(OR($D204="",W$5="",'상세일정'!AM204="제외"),"",IF($D204=$E204,IF(AND($D204&gt;=W$5,$D204&lt;W$5+7),"◆",""),IF(AND($D204&lt;W$5+7,$E204&gt;W$5),"■","")))</x:f>
      </x:c>
      <x:c r="X204" s="7" t="str">
        <x:f>IF(OR($D204="",X$5="",'상세일정'!AM204="제외"),"",IF($D204=$E204,IF(AND($D204&gt;=X$5,$D204&lt;X$5+7),"◆",""),IF(AND($D204&lt;X$5+7,$E204&gt;X$5),"■","")))</x:f>
      </x:c>
      <x:c r="Y204" s="7" t="str">
        <x:f>IF(OR($D204="",Y$5="",'상세일정'!AM204="제외"),"",IF($D204=$E204,IF(AND($D204&gt;=Y$5,$D204&lt;Y$5+7),"◆",""),IF(AND($D204&lt;Y$5+7,$E204&gt;Y$5),"■","")))</x:f>
      </x:c>
      <x:c r="Z204" s="7" t="str">
        <x:f>IF(OR($D204="",Z$5="",'상세일정'!AM204="제외"),"",IF($D204=$E204,IF(AND($D204&gt;=Z$5,$D204&lt;Z$5+7),"◆",""),IF(AND($D204&lt;Z$5+7,$E204&gt;Z$5),"■","")))</x:f>
      </x:c>
      <x:c r="AA204" s="7" t="str">
        <x:f>IF(OR($D204="",AA$5="",'상세일정'!AM204="제외"),"",IF($D204=$E204,IF(AND($D204&gt;=AA$5,$D204&lt;AA$5+7),"◆",""),IF(AND($D204&lt;AA$5+7,$E204&gt;AA$5),"■","")))</x:f>
      </x:c>
      <x:c r="AB204" s="7" t="str">
        <x:f>IF(OR($D204="",AB$5="",'상세일정'!AM204="제외"),"",IF($D204=$E204,IF(AND($D204&gt;=AB$5,$D204&lt;AB$5+7),"◆",""),IF(AND($D204&lt;AB$5+7,$E204&gt;AB$5),"■","")))</x:f>
      </x:c>
      <x:c r="AC204" s="7" t="str">
        <x:f>IF(OR($D204="",AC$5="",'상세일정'!AM204="제외"),"",IF($D204=$E204,IF(AND($D204&gt;=AC$5,$D204&lt;AC$5+7),"◆",""),IF(AND($D204&lt;AC$5+7,$E204&gt;AC$5),"■","")))</x:f>
      </x:c>
      <x:c r="AD204" s="7" t="str">
        <x:f>IF(OR($D204="",AD$5="",'상세일정'!AM204="제외"),"",IF($D204=$E204,IF(AND($D204&gt;=AD$5,$D204&lt;AD$5+7),"◆",""),IF(AND($D204&lt;AD$5+7,$E204&gt;AD$5),"■","")))</x:f>
      </x:c>
      <x:c r="AE204" s="7" t="str">
        <x:f>IF(OR($D204="",AE$5="",'상세일정'!AM204="제외"),"",IF($D204=$E204,IF(AND($D204&gt;=AE$5,$D204&lt;AE$5+7),"◆",""),IF(AND($D204&lt;AE$5+7,$E204&gt;AE$5),"■","")))</x:f>
      </x:c>
      <x:c r="AF204" s="7" t="str">
        <x:f>IF(OR($D204="",AF$5="",'상세일정'!AM204="제외"),"",IF($D204=$E204,IF(AND($D204&gt;=AF$5,$D204&lt;AF$5+7),"◆",""),IF(AND($D204&lt;AF$5+7,$E204&gt;AF$5),"■","")))</x:f>
      </x:c>
      <x:c r="AG204" s="7" t="str">
        <x:f>IF(OR($D204="",AG$5="",'상세일정'!AM204="제외"),"",IF($D204=$E204,IF(AND($D204&gt;=AG$5,$D204&lt;AG$5+7),"◆",""),IF(AND($D204&lt;AG$5+7,$E204&gt;AG$5),"■","")))</x:f>
      </x:c>
      <x:c r="AH204" s="7" t="str">
        <x:f>IF(OR($D204="",AH$5="",'상세일정'!AM204="제외"),"",IF($D204=$E204,IF(AND($D204&gt;=AH$5,$D204&lt;AH$5+7),"◆",""),IF(AND($D204&lt;AH$5+7,$E204&gt;AH$5),"■","")))</x:f>
      </x:c>
      <x:c r="AI204" s="7" t="str">
        <x:f>IF(OR($D204="",AI$5="",'상세일정'!AM204="제외"),"",IF($D204=$E204,IF(AND($D204&gt;=AI$5,$D204&lt;AI$5+7),"◆",""),IF(AND($D204&lt;AI$5+7,$E204&gt;AI$5),"■","")))</x:f>
      </x:c>
      <x:c r="AJ204" s="7" t="str">
        <x:f>IF(OR($D204="",AJ$5="",'상세일정'!AM204="제외"),"",IF($D204=$E204,IF(AND($D204&gt;=AJ$5,$D204&lt;AJ$5+7),"◆",""),IF(AND($D204&lt;AJ$5+7,$E204&gt;AJ$5),"■","")))</x:f>
      </x:c>
      <x:c r="AK204" s="7" t="str">
        <x:f>IF(OR($D204="",AK$5="",'상세일정'!AM204="제외"),"",IF($D204=$E204,IF(AND($D204&gt;=AK$5,$D204&lt;AK$5+7),"◆",""),IF(AND($D204&lt;AK$5+7,$E204&gt;AK$5),"■","")))</x:f>
      </x:c>
      <x:c r="AL204" s="7" t="str">
        <x:f>IF(OR($D204="",AL$5="",'상세일정'!AM204="제외"),"",IF($D204=$E204,IF(AND($D204&gt;=AL$5,$D204&lt;AL$5+7),"◆",""),IF(AND($D204&lt;AL$5+7,$E204&gt;AL$5),"■","")))</x:f>
      </x:c>
      <x:c r="AM204" s="7" t="str">
        <x:f>IF(OR($D204="",AM$5="",'상세일정'!AM204="제외"),"",IF($D204=$E204,IF(AND($D204&gt;=AM$5,$D204&lt;AM$5+7),"◆",""),IF(AND($D204&lt;AM$5+7,$E204&gt;AM$5),"■","")))</x:f>
      </x:c>
      <x:c r="AN204" s="7" t="str">
        <x:f>IF(OR($D204="",AN$5="",'상세일정'!AM204="제외"),"",IF($D204=$E204,IF(AND($D204&gt;=AN$5,$D204&lt;AN$5+7),"◆",""),IF(AND($D204&lt;AN$5+7,$E204&gt;AN$5),"■","")))</x:f>
      </x:c>
      <x:c r="AO204" s="7" t="str">
        <x:f>IF(OR($D204="",AO$5="",'상세일정'!AM204="제외"),"",IF($D204=$E204,IF(AND($D204&gt;=AO$5,$D204&lt;AO$5+7),"◆",""),IF(AND($D204&lt;AO$5+7,$E204&gt;AO$5),"■","")))</x:f>
      </x:c>
      <x:c r="AP204" s="7" t="str">
        <x:f>IF(OR($D204="",AP$5="",'상세일정'!AM204="제외"),"",IF($D204=$E204,IF(AND($D204&gt;=AP$5,$D204&lt;AP$5+7),"◆",""),IF(AND($D204&lt;AP$5+7,$E204&gt;AP$5),"■","")))</x:f>
      </x:c>
      <x:c r="AQ204" s="7" t="str">
        <x:f>IF(OR($D204="",AQ$5="",'상세일정'!AM204="제외"),"",IF($D204=$E204,IF(AND($D204&gt;=AQ$5,$D204&lt;AQ$5+7),"◆",""),IF(AND($D204&lt;AQ$5+7,$E204&gt;AQ$5),"■","")))</x:f>
      </x:c>
      <x:c r="AR204" s="7" t="str">
        <x:f>IF(OR($D204="",AR$5="",'상세일정'!AM204="제외"),"",IF($D204=$E204,IF(AND($D204&gt;=AR$5,$D204&lt;AR$5+7),"◆",""),IF(AND($D204&lt;AR$5+7,$E204&gt;AR$5),"■","")))</x:f>
      </x:c>
      <x:c r="AS204" s="7" t="str">
        <x:f>IF(OR($D204="",AS$5="",'상세일정'!AM204="제외"),"",IF($D204=$E204,IF(AND($D204&gt;=AS$5,$D204&lt;AS$5+7),"◆",""),IF(AND($D204&lt;AS$5+7,$E204&gt;AS$5),"■","")))</x:f>
      </x:c>
      <x:c r="AT204" s="7" t="str">
        <x:f>IF(OR($D204="",AT$5="",'상세일정'!AM204="제외"),"",IF($D204=$E204,IF(AND($D204&gt;=AT$5,$D204&lt;AT$5+7),"◆",""),IF(AND($D204&lt;AT$5+7,$E204&gt;AT$5),"■","")))</x:f>
      </x:c>
      <x:c r="AU204" s="7" t="str">
        <x:f>IF(OR($D204="",AU$5="",'상세일정'!AM204="제외"),"",IF($D204=$E204,IF(AND($D204&gt;=AU$5,$D204&lt;AU$5+7),"◆",""),IF(AND($D204&lt;AU$5+7,$E204&gt;AU$5),"■","")))</x:f>
      </x:c>
      <x:c r="AV204" s="7" t="str">
        <x:f>IF(OR($D204="",AV$5="",'상세일정'!AM204="제외"),"",IF($D204=$E204,IF(AND($D204&gt;=AV$5,$D204&lt;AV$5+7),"◆",""),IF(AND($D204&lt;AV$5+7,$E204&gt;AV$5),"■","")))</x:f>
      </x:c>
      <x:c r="AW204" s="7" t="str">
        <x:f>IF(OR($D204="",AW$5="",'상세일정'!AM204="제외"),"",IF($D204=$E204,IF(AND($D204&gt;=AW$5,$D204&lt;AW$5+7),"◆",""),IF(AND($D204&lt;AW$5+7,$E204&gt;AW$5),"■","")))</x:f>
      </x:c>
      <x:c r="AX204" s="7" t="str">
        <x:f>IF(OR($D204="",AX$5="",'상세일정'!AM204="제외"),"",IF($D204=$E204,IF(AND($D204&gt;=AX$5,$D204&lt;AX$5+7),"◆",""),IF(AND($D204&lt;AX$5+7,$E204&gt;AX$5),"■","")))</x:f>
      </x:c>
      <x:c r="AY204" s="7" t="str">
        <x:f>IF(OR($D204="",AY$5="",'상세일정'!AM204="제외"),"",IF($D204=$E204,IF(AND($D204&gt;=AY$5,$D204&lt;AY$5+7),"◆",""),IF(AND($D204&lt;AY$5+7,$E204&gt;AY$5),"■","")))</x:f>
      </x:c>
      <x:c r="AZ204" s="7" t="str">
        <x:f>IF(OR($D204="",AZ$5="",'상세일정'!AM204="제외"),"",IF($D204=$E204,IF(AND($D204&gt;=AZ$5,$D204&lt;AZ$5+7),"◆",""),IF(AND($D204&lt;AZ$5+7,$E204&gt;AZ$5),"■","")))</x:f>
      </x:c>
      <x:c r="BA204" s="7" t="str">
        <x:f>IF(OR($D204="",BA$5="",'상세일정'!AM204="제외"),"",IF($D204=$E204,IF(AND($D204&gt;=BA$5,$D204&lt;BA$5+7),"◆",""),IF(AND($D204&lt;BA$5+7,$E204&gt;BA$5),"■","")))</x:f>
      </x:c>
      <x:c r="BB204" s="7" t="str">
        <x:f>IF(OR($D204="",BB$5="",'상세일정'!AM204="제외"),"",IF($D204=$E204,IF(AND($D204&gt;=BB$5,$D204&lt;BB$5+7),"◆",""),IF(AND($D204&lt;BB$5+7,$E204&gt;BB$5),"■","")))</x:f>
      </x:c>
      <x:c r="BC204" s="7" t="str">
        <x:f>IF(OR($D204="",BC$5="",'상세일정'!AM204="제외"),"",IF($D204=$E204,IF(AND($D204&gt;=BC$5,$D204&lt;BC$5+7),"◆",""),IF(AND($D204&lt;BC$5+7,$E204&gt;BC$5),"■","")))</x:f>
      </x:c>
      <x:c r="BD204" s="7" t="str">
        <x:f>IF(OR($D204="",BD$5="",'상세일정'!AM204="제외"),"",IF($D204=$E204,IF(AND($D204&gt;=BD$5,$D204&lt;BD$5+7),"◆",""),IF(AND($D204&lt;BD$5+7,$E204&gt;BD$5),"■","")))</x:f>
      </x:c>
      <x:c r="BE204" s="7" t="str">
        <x:f>IF(OR($D204="",BE$5="",'상세일정'!AM204="제외"),"",IF($D204=$E204,IF(AND($D204&gt;=BE$5,$D204&lt;BE$5+7),"◆",""),IF(AND($D204&lt;BE$5+7,$E204&gt;BE$5),"■","")))</x:f>
      </x:c>
      <x:c r="BF204" s="7" t="str">
        <x:f>IF(OR($D204="",BF$5="",'상세일정'!AM204="제외"),"",IF($D204=$E204,IF(AND($D204&gt;=BF$5,$D204&lt;BF$5+7),"◆",""),IF(AND($D204&lt;BF$5+7,$E204&gt;BF$5),"■","")))</x:f>
      </x:c>
      <x:c r="BG204" s="7" t="str">
        <x:f>IF(OR($D204="",BG$5="",'상세일정'!AM204="제외"),"",IF($D204=$E204,IF(AND($D204&gt;=BG$5,$D204&lt;BG$5+7),"◆",""),IF(AND($D204&lt;BG$5+7,$E204&gt;BG$5),"■","")))</x:f>
      </x:c>
      <x:c r="BH204" s="7" t="str">
        <x:f>IF(OR($D204="",BH$5="",'상세일정'!AM204="제외"),"",IF($D204=$E204,IF(AND($D204&gt;=BH$5,$D204&lt;BH$5+7),"◆",""),IF(AND($D204&lt;BH$5+7,$E204&gt;BH$5),"■","")))</x:f>
      </x:c>
      <x:c r="BI204" s="7" t="str">
        <x:f>IF(OR($D204="",BI$5="",'상세일정'!AM204="제외"),"",IF($D204=$E204,IF(AND($D204&gt;=BI$5,$D204&lt;BI$5+7),"◆",""),IF(AND($D204&lt;BI$5+7,$E204&gt;BI$5),"■","")))</x:f>
      </x:c>
      <x:c r="BJ204" s="7" t="str">
        <x:f>IF(OR($D204="",BJ$5="",'상세일정'!AM204="제외"),"",IF($D204=$E204,IF(AND($D204&gt;=BJ$5,$D204&lt;BJ$5+7),"◆",""),IF(AND($D204&lt;BJ$5+7,$E204&gt;BJ$5),"■","")))</x:f>
      </x:c>
      <x:c r="BK204" s="7" t="str">
        <x:f>IF(OR($D204="",BK$5="",'상세일정'!AM204="제외"),"",IF($D204=$E204,IF(AND($D204&gt;=BK$5,$D204&lt;BK$5+7),"◆",""),IF(AND($D204&lt;BK$5+7,$E204&gt;BK$5),"■","")))</x:f>
      </x:c>
      <x:c r="BL204" s="7" t="str">
        <x:f>IF(OR($D204="",BL$5="",'상세일정'!AM204="제외"),"",IF($D204=$E204,IF(AND($D204&gt;=BL$5,$D204&lt;BL$5+7),"◆",""),IF(AND($D204&lt;BL$5+7,$E204&gt;BL$5),"■","")))</x:f>
      </x:c>
      <x:c r="BM204" s="7" t="str">
        <x:f>IF(OR($D204="",BM$5="",'상세일정'!AM204="제외"),"",IF($D204=$E204,IF(AND($D204&gt;=BM$5,$D204&lt;BM$5+7),"◆",""),IF(AND($D204&lt;BM$5+7,$E204&gt;BM$5),"■","")))</x:f>
      </x:c>
      <x:c r="BN204" s="7" t="str">
        <x:f>IF(OR($D204="",BN$5="",'상세일정'!AM204="제외"),"",IF($D204=$E204,IF(AND($D204&gt;=BN$5,$D204&lt;BN$5+7),"◆",""),IF(AND($D204&lt;BN$5+7,$E204&gt;BN$5),"■","")))</x:f>
      </x:c>
      <x:c r="BO204" s="7" t="str">
        <x:f>IF(OR($D204="",BO$5="",'상세일정'!AM204="제외"),"",IF($D204=$E204,IF(AND($D204&gt;=BO$5,$D204&lt;BO$5+7),"◆",""),IF(AND($D204&lt;BO$5+7,$E204&gt;BO$5),"■","")))</x:f>
      </x:c>
      <x:c r="BP204" s="7" t="str">
        <x:f>IF(OR($D204="",BP$5="",'상세일정'!AM204="제외"),"",IF($D204=$E204,IF(AND($D204&gt;=BP$5,$D204&lt;BP$5+7),"◆",""),IF(AND($D204&lt;BP$5+7,$E204&gt;BP$5),"■","")))</x:f>
      </x:c>
      <x:c r="BQ204" s="7" t="str">
        <x:f>IF(OR($D204="",BQ$5="",'상세일정'!AM204="제외"),"",IF($D204=$E204,IF(AND($D204&gt;=BQ$5,$D204&lt;BQ$5+7),"◆",""),IF(AND($D204&lt;BQ$5+7,$E204&gt;BQ$5),"■","")))</x:f>
      </x:c>
      <x:c r="BR204" s="7" t="str">
        <x:f>IF(OR($D204="",BR$5="",'상세일정'!AM204="제외"),"",IF($D204=$E204,IF(AND($D204&gt;=BR$5,$D204&lt;BR$5+7),"◆",""),IF(AND($D204&lt;BR$5+7,$E204&gt;BR$5),"■","")))</x:f>
      </x:c>
      <x:c r="BS204" s="7" t="str">
        <x:f>IF(OR($D204="",BS$5="",'상세일정'!AM204="제외"),"",IF($D204=$E204,IF(AND($D204&gt;=BS$5,$D204&lt;BS$5+7),"◆",""),IF(AND($D204&lt;BS$5+7,$E204&gt;BS$5),"■","")))</x:f>
      </x:c>
      <x:c r="BT204" s="7" t="str">
        <x:f>IF(OR($D204="",BT$5="",'상세일정'!AM204="제외"),"",IF($D204=$E204,IF(AND($D204&gt;=BT$5,$D204&lt;BT$5+7),"◆",""),IF(AND($D204&lt;BT$5+7,$E204&gt;BT$5),"■","")))</x:f>
      </x:c>
      <x:c r="BU204" s="7" t="str">
        <x:f>IF(OR($D204="",BU$5="",'상세일정'!AM204="제외"),"",IF($D204=$E204,IF(AND($D204&gt;=BU$5,$D204&lt;BU$5+7),"◆",""),IF(AND($D204&lt;BU$5+7,$E204&gt;BU$5),"■","")))</x:f>
      </x:c>
      <x:c r="BV204" s="7" t="str">
        <x:f>IF(OR($D204="",BV$5="",'상세일정'!AM204="제외"),"",IF($D204=$E204,IF(AND($D204&gt;=BV$5,$D204&lt;BV$5+7),"◆",""),IF(AND($D204&lt;BV$5+7,$E204&gt;BV$5),"■","")))</x:f>
      </x:c>
      <x:c r="BW204" s="7" t="str">
        <x:f>IF(OR($D204="",BW$5="",'상세일정'!AM204="제외"),"",IF($D204=$E204,IF(AND($D204&gt;=BW$5,$D204&lt;BW$5+7),"◆",""),IF(AND($D204&lt;BW$5+7,$E204&gt;BW$5),"■","")))</x:f>
      </x:c>
      <x:c r="BX204" s="7" t="str">
        <x:f>IF(OR($D204="",BX$5="",'상세일정'!AM204="제외"),"",IF($D204=$E204,IF(AND($D204&gt;=BX$5,$D204&lt;BX$5+7),"◆",""),IF(AND($D204&lt;BX$5+7,$E204&gt;BX$5),"■","")))</x:f>
      </x:c>
      <x:c r="BY204" s="7" t="str">
        <x:f>IF(OR($D204="",BY$5="",'상세일정'!AM204="제외"),"",IF($D204=$E204,IF(AND($D204&gt;=BY$5,$D204&lt;BY$5+7),"◆",""),IF(AND($D204&lt;BY$5+7,$E204&gt;BY$5),"■","")))</x:f>
      </x:c>
      <x:c r="BZ204" s="7" t="str">
        <x:f>IF(OR($D204="",BZ$5="",'상세일정'!AM204="제외"),"",IF($D204=$E204,IF(AND($D204&gt;=BZ$5,$D204&lt;BZ$5+7),"◆",""),IF(AND($D204&lt;BZ$5+7,$E204&gt;BZ$5),"■","")))</x:f>
      </x:c>
      <x:c r="CA204" s="7" t="str">
        <x:f>IF(OR($D204="",CA$5="",'상세일정'!AM204="제외"),"",IF($D204=$E204,IF(AND($D204&gt;=CA$5,$D204&lt;CA$5+7),"◆",""),IF(AND($D204&lt;CA$5+7,$E204&gt;CA$5),"■","")))</x:f>
      </x:c>
      <x:c r="CB204" s="7" t="str">
        <x:f>IF(OR($D204="",CB$5="",'상세일정'!AM204="제외"),"",IF($D204=$E204,IF(AND($D204&gt;=CB$5,$D204&lt;CB$5+7),"◆",""),IF(AND($D204&lt;CB$5+7,$E204&gt;CB$5),"■","")))</x:f>
      </x:c>
      <x:c r="CC204" s="7" t="str">
        <x:f>IF(OR($D204="",CC$5="",'상세일정'!AM204="제외"),"",IF($D204=$E204,IF(AND($D204&gt;=CC$5,$D204&lt;CC$5+7),"◆",""),IF(AND($D204&lt;CC$5+7,$E204&gt;CC$5),"■","")))</x:f>
      </x:c>
      <x:c r="CD204" s="7" t="str">
        <x:f>IF(OR($D204="",CD$5="",'상세일정'!AM204="제외"),"",IF($D204=$E204,IF(AND($D204&gt;=CD$5,$D204&lt;CD$5+7),"◆",""),IF(AND($D204&lt;CD$5+7,$E204&gt;CD$5),"■","")))</x:f>
      </x:c>
      <x:c r="CE204" s="7" t="str">
        <x:f>IF(OR($D204="",CE$5="",'상세일정'!AM204="제외"),"",IF($D204=$E204,IF(AND($D204&gt;=CE$5,$D204&lt;CE$5+7),"◆",""),IF(AND($D204&lt;CE$5+7,$E204&gt;CE$5),"■","")))</x:f>
      </x:c>
      <x:c r="CF204" s="7" t="str">
        <x:f>IF(OR($D204="",CF$5="",'상세일정'!AM204="제외"),"",IF($D204=$E204,IF(AND($D204&gt;=CF$5,$D204&lt;CF$5+7),"◆",""),IF(AND($D204&lt;CF$5+7,$E204&gt;CF$5),"■","")))</x:f>
      </x:c>
      <x:c r="CG204" s="7" t="str">
        <x:f>IF(OR($D204="",CG$5="",'상세일정'!AM204="제외"),"",IF($D204=$E204,IF(AND($D204&gt;=CG$5,$D204&lt;CG$5+7),"◆",""),IF(AND($D204&lt;CG$5+7,$E204&gt;CG$5),"■","")))</x:f>
      </x:c>
      <x:c r="CH204" s="7" t="str">
        <x:f>IF(OR($D204="",CH$5="",'상세일정'!AM204="제외"),"",IF($D204=$E204,IF(AND($D204&gt;=CH$5,$D204&lt;CH$5+7),"◆",""),IF(AND($D204&lt;CH$5+7,$E204&gt;CH$5),"■","")))</x:f>
      </x:c>
      <x:c r="CI204" s="7" t="str">
        <x:f>IF(OR($D204="",CI$5="",'상세일정'!AM204="제외"),"",IF($D204=$E204,IF(AND($D204&gt;=CI$5,$D204&lt;CI$5+7),"◆",""),IF(AND($D204&lt;CI$5+7,$E204&gt;CI$5),"■","")))</x:f>
      </x:c>
      <x:c r="CJ204" s="7" t="str">
        <x:f>IF(OR($D204="",CJ$5="",'상세일정'!AM204="제외"),"",IF($D204=$E204,IF(AND($D204&gt;=CJ$5,$D204&lt;CJ$5+7),"◆",""),IF(AND($D204&lt;CJ$5+7,$E204&gt;CJ$5),"■","")))</x:f>
      </x:c>
      <x:c r="CK204" s="7" t="str">
        <x:f>IF(OR($D204="",CK$5="",'상세일정'!AM204="제외"),"",IF($D204=$E204,IF(AND($D204&gt;=CK$5,$D204&lt;CK$5+7),"◆",""),IF(AND($D204&lt;CK$5+7,$E204&gt;CK$5),"■","")))</x:f>
      </x:c>
      <x:c r="CL204" s="7" t="str">
        <x:f>IF(OR($D204="",CL$5="",'상세일정'!AM204="제외"),"",IF($D204=$E204,IF(AND($D204&gt;=CL$5,$D204&lt;CL$5+7),"◆",""),IF(AND($D204&lt;CL$5+7,$E204&gt;CL$5),"■","")))</x:f>
      </x:c>
      <x:c r="CM204" s="7" t="str">
        <x:f>IF(OR($D204="",CM$5="",'상세일정'!AM204="제외"),"",IF($D204=$E204,IF(AND($D204&gt;=CM$5,$D204&lt;CM$5+7),"◆",""),IF(AND($D204&lt;CM$5+7,$E204&gt;CM$5),"■","")))</x:f>
      </x:c>
      <x:c r="CN204" s="7" t="str">
        <x:f>IF(OR($D204="",CN$5="",'상세일정'!AM204="제외"),"",IF($D204=$E204,IF(AND($D204&gt;=CN$5,$D204&lt;CN$5+7),"◆",""),IF(AND($D204&lt;CN$5+7,$E204&gt;CN$5),"■","")))</x:f>
      </x:c>
      <x:c r="CO204" s="7" t="str">
        <x:f>IF(OR($D204="",CO$5="",'상세일정'!AM204="제외"),"",IF($D204=$E204,IF(AND($D204&gt;=CO$5,$D204&lt;CO$5+7),"◆",""),IF(AND($D204&lt;CO$5+7,$E204&gt;CO$5),"■","")))</x:f>
      </x:c>
      <x:c r="CP204" s="7" t="str">
        <x:f>IF(OR($D204="",CP$5="",'상세일정'!AM204="제외"),"",IF($D204=$E204,IF(AND($D204&gt;=CP$5,$D204&lt;CP$5+7),"◆",""),IF(AND($D204&lt;CP$5+7,$E204&gt;CP$5),"■","")))</x:f>
      </x:c>
      <x:c r="CQ204" s="7" t="str">
        <x:f>IF(OR($D204="",CQ$5="",'상세일정'!AM204="제외"),"",IF($D204=$E204,IF(AND($D204&gt;=CQ$5,$D204&lt;CQ$5+7),"◆",""),IF(AND($D204&lt;CQ$5+7,$E204&gt;CQ$5),"■","")))</x:f>
      </x:c>
      <x:c r="CR204" s="7" t="str">
        <x:f>IF(OR($D204="",CR$5="",'상세일정'!AM204="제외"),"",IF($D204=$E204,IF(AND($D204&gt;=CR$5,$D204&lt;CR$5+7),"◆",""),IF(AND($D204&lt;CR$5+7,$E204&gt;CR$5),"■","")))</x:f>
      </x:c>
      <x:c r="CS204" s="7" t="str">
        <x:f>IF(OR($D204="",CS$5="",'상세일정'!AM204="제외"),"",IF($D204=$E204,IF(AND($D204&gt;=CS$5,$D204&lt;CS$5+7),"◆",""),IF(AND($D204&lt;CS$5+7,$E204&gt;CS$5),"■","")))</x:f>
      </x:c>
      <x:c r="CT204" s="7" t="str">
        <x:f>IF(OR($D204="",CT$5="",'상세일정'!AM204="제외"),"",IF($D204=$E204,IF(AND($D204&gt;=CT$5,$D204&lt;CT$5+7),"◆",""),IF(AND($D204&lt;CT$5+7,$E204&gt;CT$5),"■","")))</x:f>
      </x:c>
      <x:c r="CU204" s="7" t="str">
        <x:f>IF(OR($D204="",CU$5="",'상세일정'!AM204="제외"),"",IF($D204=$E204,IF(AND($D204&gt;=CU$5,$D204&lt;CU$5+7),"◆",""),IF(AND($D204&lt;CU$5+7,$E204&gt;CU$5),"■","")))</x:f>
      </x:c>
      <x:c r="CV204" s="7" t="str">
        <x:f>IF(OR($D204="",CV$5="",'상세일정'!AM204="제외"),"",IF($D204=$E204,IF(AND($D204&gt;=CV$5,$D204&lt;CV$5+7),"◆",""),IF(AND($D204&lt;CV$5+7,$E204&gt;CV$5),"■","")))</x:f>
      </x:c>
      <x:c r="CW204" s="7" t="str">
        <x:f>IF(OR($D204="",CW$5="",'상세일정'!AM204="제외"),"",IF($D204=$E204,IF(AND($D204&gt;=CW$5,$D204&lt;CW$5+7),"◆",""),IF(AND($D204&lt;CW$5+7,$E204&gt;CW$5),"■","")))</x:f>
      </x:c>
      <x:c r="CX204" s="7" t="str">
        <x:f>IF(OR($D204="",CX$5="",'상세일정'!AM204="제외"),"",IF($D204=$E204,IF(AND($D204&gt;=CX$5,$D204&lt;CX$5+7),"◆",""),IF(AND($D204&lt;CX$5+7,$E204&gt;CX$5),"■","")))</x:f>
      </x:c>
      <x:c r="CY204" s="7" t="str">
        <x:f>IF(OR($D204="",CY$5="",'상세일정'!AM204="제외"),"",IF($D204=$E204,IF(AND($D204&gt;=CY$5,$D204&lt;CY$5+7),"◆",""),IF(AND($D204&lt;CY$5+7,$E204&gt;CY$5),"■","")))</x:f>
      </x:c>
      <x:c r="CZ204" s="7" t="str">
        <x:f>IF(OR($D204="",CZ$5="",'상세일정'!AM204="제외"),"",IF($D204=$E204,IF(AND($D204&gt;=CZ$5,$D204&lt;CZ$5+7),"◆",""),IF(AND($D204&lt;CZ$5+7,$E204&gt;CZ$5),"■","")))</x:f>
      </x:c>
      <x:c r="DA204" s="7" t="str">
        <x:f>IF(OR($D204="",DA$5="",'상세일정'!AM204="제외"),"",IF($D204=$E204,IF(AND($D204&gt;=DA$5,$D204&lt;DA$5+7),"◆",""),IF(AND($D204&lt;DA$5+7,$E204&gt;DA$5),"■","")))</x:f>
      </x:c>
      <x:c r="DB204" s="7" t="str">
        <x:f>IF(OR($D204="",DB$5="",'상세일정'!AM204="제외"),"",IF($D204=$E204,IF(AND($D204&gt;=DB$5,$D204&lt;DB$5+7),"◆",""),IF(AND($D204&lt;DB$5+7,$E204&gt;DB$5),"■","")))</x:f>
      </x:c>
      <x:c r="DC204" s="7" t="str">
        <x:f>IF(OR($D204="",DC$5="",'상세일정'!AM204="제외"),"",IF($D204=$E204,IF(AND($D204&gt;=DC$5,$D204&lt;DC$5+7),"◆",""),IF(AND($D204&lt;DC$5+7,$E204&gt;DC$5),"■","")))</x:f>
      </x:c>
      <x:c r="DD204" s="7" t="str">
        <x:f>IF(OR($D204="",DD$5="",'상세일정'!AM204="제외"),"",IF($D204=$E204,IF(AND($D204&gt;=DD$5,$D204&lt;DD$5+7),"◆",""),IF(AND($D204&lt;DD$5+7,$E204&gt;DD$5),"■","")))</x:f>
      </x:c>
      <x:c r="DE204" s="7" t="str">
        <x:f>IF(OR($D204="",DE$5="",'상세일정'!AM204="제외"),"",IF($D204=$E204,IF(AND($D204&gt;=DE$5,$D204&lt;DE$5+7),"◆",""),IF(AND($D204&lt;DE$5+7,$E204&gt;DE$5),"■","")))</x:f>
      </x:c>
    </x:row>
    <x:row r="205" ht="34" customHeight="1">
      <x:c r="A205" s="7" t="str">
        <x:v>EC03</x:v>
      </x:c>
      <x:c r="B205" s="7" t="str">
        <x:v>23 전기·계장 시공</x:v>
      </x:c>
      <x:c r="C205" s="7" t="str">
        <x:v>전력·제어·통신 케이블 포설 및 결선</x:v>
      </x:c>
      <x:c r="D205" s="10" t="str">
        <x:f>'상세일정'!AJ205</x:f>
      </x:c>
      <x:c r="E205" s="10" t="str">
        <x:f>'상세일정'!AK205</x:f>
      </x:c>
      <x:c r="F205" s="7" t="str">
        <x:f>IF(OR($D205="",F$5="",'상세일정'!AM205="제외"),"",IF($D205=$E205,IF(AND($D205&gt;=F$5,$D205&lt;F$5+7),"◆",""),IF(AND($D205&lt;F$5+7,$E205&gt;F$5),"■","")))</x:f>
      </x:c>
      <x:c r="G205" s="7" t="str">
        <x:f>IF(OR($D205="",G$5="",'상세일정'!AM205="제외"),"",IF($D205=$E205,IF(AND($D205&gt;=G$5,$D205&lt;G$5+7),"◆",""),IF(AND($D205&lt;G$5+7,$E205&gt;G$5),"■","")))</x:f>
      </x:c>
      <x:c r="H205" s="7" t="str">
        <x:f>IF(OR($D205="",H$5="",'상세일정'!AM205="제외"),"",IF($D205=$E205,IF(AND($D205&gt;=H$5,$D205&lt;H$5+7),"◆",""),IF(AND($D205&lt;H$5+7,$E205&gt;H$5),"■","")))</x:f>
      </x:c>
      <x:c r="I205" s="7" t="str">
        <x:f>IF(OR($D205="",I$5="",'상세일정'!AM205="제외"),"",IF($D205=$E205,IF(AND($D205&gt;=I$5,$D205&lt;I$5+7),"◆",""),IF(AND($D205&lt;I$5+7,$E205&gt;I$5),"■","")))</x:f>
      </x:c>
      <x:c r="J205" s="7" t="str">
        <x:f>IF(OR($D205="",J$5="",'상세일정'!AM205="제외"),"",IF($D205=$E205,IF(AND($D205&gt;=J$5,$D205&lt;J$5+7),"◆",""),IF(AND($D205&lt;J$5+7,$E205&gt;J$5),"■","")))</x:f>
      </x:c>
      <x:c r="K205" s="7" t="str">
        <x:f>IF(OR($D205="",K$5="",'상세일정'!AM205="제외"),"",IF($D205=$E205,IF(AND($D205&gt;=K$5,$D205&lt;K$5+7),"◆",""),IF(AND($D205&lt;K$5+7,$E205&gt;K$5),"■","")))</x:f>
      </x:c>
      <x:c r="L205" s="7" t="str">
        <x:f>IF(OR($D205="",L$5="",'상세일정'!AM205="제외"),"",IF($D205=$E205,IF(AND($D205&gt;=L$5,$D205&lt;L$5+7),"◆",""),IF(AND($D205&lt;L$5+7,$E205&gt;L$5),"■","")))</x:f>
      </x:c>
      <x:c r="M205" s="7" t="str">
        <x:f>IF(OR($D205="",M$5="",'상세일정'!AM205="제외"),"",IF($D205=$E205,IF(AND($D205&gt;=M$5,$D205&lt;M$5+7),"◆",""),IF(AND($D205&lt;M$5+7,$E205&gt;M$5),"■","")))</x:f>
      </x:c>
      <x:c r="N205" s="7" t="str">
        <x:f>IF(OR($D205="",N$5="",'상세일정'!AM205="제외"),"",IF($D205=$E205,IF(AND($D205&gt;=N$5,$D205&lt;N$5+7),"◆",""),IF(AND($D205&lt;N$5+7,$E205&gt;N$5),"■","")))</x:f>
      </x:c>
      <x:c r="O205" s="7" t="str">
        <x:f>IF(OR($D205="",O$5="",'상세일정'!AM205="제외"),"",IF($D205=$E205,IF(AND($D205&gt;=O$5,$D205&lt;O$5+7),"◆",""),IF(AND($D205&lt;O$5+7,$E205&gt;O$5),"■","")))</x:f>
      </x:c>
      <x:c r="P205" s="7" t="str">
        <x:f>IF(OR($D205="",P$5="",'상세일정'!AM205="제외"),"",IF($D205=$E205,IF(AND($D205&gt;=P$5,$D205&lt;P$5+7),"◆",""),IF(AND($D205&lt;P$5+7,$E205&gt;P$5),"■","")))</x:f>
      </x:c>
      <x:c r="Q205" s="7" t="str">
        <x:f>IF(OR($D205="",Q$5="",'상세일정'!AM205="제외"),"",IF($D205=$E205,IF(AND($D205&gt;=Q$5,$D205&lt;Q$5+7),"◆",""),IF(AND($D205&lt;Q$5+7,$E205&gt;Q$5),"■","")))</x:f>
      </x:c>
      <x:c r="R205" s="7" t="str">
        <x:f>IF(OR($D205="",R$5="",'상세일정'!AM205="제외"),"",IF($D205=$E205,IF(AND($D205&gt;=R$5,$D205&lt;R$5+7),"◆",""),IF(AND($D205&lt;R$5+7,$E205&gt;R$5),"■","")))</x:f>
      </x:c>
      <x:c r="S205" s="7" t="str">
        <x:f>IF(OR($D205="",S$5="",'상세일정'!AM205="제외"),"",IF($D205=$E205,IF(AND($D205&gt;=S$5,$D205&lt;S$5+7),"◆",""),IF(AND($D205&lt;S$5+7,$E205&gt;S$5),"■","")))</x:f>
      </x:c>
      <x:c r="T205" s="7" t="str">
        <x:f>IF(OR($D205="",T$5="",'상세일정'!AM205="제외"),"",IF($D205=$E205,IF(AND($D205&gt;=T$5,$D205&lt;T$5+7),"◆",""),IF(AND($D205&lt;T$5+7,$E205&gt;T$5),"■","")))</x:f>
      </x:c>
      <x:c r="U205" s="7" t="str">
        <x:f>IF(OR($D205="",U$5="",'상세일정'!AM205="제외"),"",IF($D205=$E205,IF(AND($D205&gt;=U$5,$D205&lt;U$5+7),"◆",""),IF(AND($D205&lt;U$5+7,$E205&gt;U$5),"■","")))</x:f>
      </x:c>
      <x:c r="V205" s="7" t="str">
        <x:f>IF(OR($D205="",V$5="",'상세일정'!AM205="제외"),"",IF($D205=$E205,IF(AND($D205&gt;=V$5,$D205&lt;V$5+7),"◆",""),IF(AND($D205&lt;V$5+7,$E205&gt;V$5),"■","")))</x:f>
      </x:c>
      <x:c r="W205" s="7" t="str">
        <x:f>IF(OR($D205="",W$5="",'상세일정'!AM205="제외"),"",IF($D205=$E205,IF(AND($D205&gt;=W$5,$D205&lt;W$5+7),"◆",""),IF(AND($D205&lt;W$5+7,$E205&gt;W$5),"■","")))</x:f>
      </x:c>
      <x:c r="X205" s="7" t="str">
        <x:f>IF(OR($D205="",X$5="",'상세일정'!AM205="제외"),"",IF($D205=$E205,IF(AND($D205&gt;=X$5,$D205&lt;X$5+7),"◆",""),IF(AND($D205&lt;X$5+7,$E205&gt;X$5),"■","")))</x:f>
      </x:c>
      <x:c r="Y205" s="7" t="str">
        <x:f>IF(OR($D205="",Y$5="",'상세일정'!AM205="제외"),"",IF($D205=$E205,IF(AND($D205&gt;=Y$5,$D205&lt;Y$5+7),"◆",""),IF(AND($D205&lt;Y$5+7,$E205&gt;Y$5),"■","")))</x:f>
      </x:c>
      <x:c r="Z205" s="7" t="str">
        <x:f>IF(OR($D205="",Z$5="",'상세일정'!AM205="제외"),"",IF($D205=$E205,IF(AND($D205&gt;=Z$5,$D205&lt;Z$5+7),"◆",""),IF(AND($D205&lt;Z$5+7,$E205&gt;Z$5),"■","")))</x:f>
      </x:c>
      <x:c r="AA205" s="7" t="str">
        <x:f>IF(OR($D205="",AA$5="",'상세일정'!AM205="제외"),"",IF($D205=$E205,IF(AND($D205&gt;=AA$5,$D205&lt;AA$5+7),"◆",""),IF(AND($D205&lt;AA$5+7,$E205&gt;AA$5),"■","")))</x:f>
      </x:c>
      <x:c r="AB205" s="7" t="str">
        <x:f>IF(OR($D205="",AB$5="",'상세일정'!AM205="제외"),"",IF($D205=$E205,IF(AND($D205&gt;=AB$5,$D205&lt;AB$5+7),"◆",""),IF(AND($D205&lt;AB$5+7,$E205&gt;AB$5),"■","")))</x:f>
      </x:c>
      <x:c r="AC205" s="7" t="str">
        <x:f>IF(OR($D205="",AC$5="",'상세일정'!AM205="제외"),"",IF($D205=$E205,IF(AND($D205&gt;=AC$5,$D205&lt;AC$5+7),"◆",""),IF(AND($D205&lt;AC$5+7,$E205&gt;AC$5),"■","")))</x:f>
      </x:c>
      <x:c r="AD205" s="7" t="str">
        <x:f>IF(OR($D205="",AD$5="",'상세일정'!AM205="제외"),"",IF($D205=$E205,IF(AND($D205&gt;=AD$5,$D205&lt;AD$5+7),"◆",""),IF(AND($D205&lt;AD$5+7,$E205&gt;AD$5),"■","")))</x:f>
      </x:c>
      <x:c r="AE205" s="7" t="str">
        <x:f>IF(OR($D205="",AE$5="",'상세일정'!AM205="제외"),"",IF($D205=$E205,IF(AND($D205&gt;=AE$5,$D205&lt;AE$5+7),"◆",""),IF(AND($D205&lt;AE$5+7,$E205&gt;AE$5),"■","")))</x:f>
      </x:c>
      <x:c r="AF205" s="7" t="str">
        <x:f>IF(OR($D205="",AF$5="",'상세일정'!AM205="제외"),"",IF($D205=$E205,IF(AND($D205&gt;=AF$5,$D205&lt;AF$5+7),"◆",""),IF(AND($D205&lt;AF$5+7,$E205&gt;AF$5),"■","")))</x:f>
      </x:c>
      <x:c r="AG205" s="7" t="str">
        <x:f>IF(OR($D205="",AG$5="",'상세일정'!AM205="제외"),"",IF($D205=$E205,IF(AND($D205&gt;=AG$5,$D205&lt;AG$5+7),"◆",""),IF(AND($D205&lt;AG$5+7,$E205&gt;AG$5),"■","")))</x:f>
      </x:c>
      <x:c r="AH205" s="7" t="str">
        <x:f>IF(OR($D205="",AH$5="",'상세일정'!AM205="제외"),"",IF($D205=$E205,IF(AND($D205&gt;=AH$5,$D205&lt;AH$5+7),"◆",""),IF(AND($D205&lt;AH$5+7,$E205&gt;AH$5),"■","")))</x:f>
      </x:c>
      <x:c r="AI205" s="7" t="str">
        <x:f>IF(OR($D205="",AI$5="",'상세일정'!AM205="제외"),"",IF($D205=$E205,IF(AND($D205&gt;=AI$5,$D205&lt;AI$5+7),"◆",""),IF(AND($D205&lt;AI$5+7,$E205&gt;AI$5),"■","")))</x:f>
      </x:c>
      <x:c r="AJ205" s="7" t="str">
        <x:f>IF(OR($D205="",AJ$5="",'상세일정'!AM205="제외"),"",IF($D205=$E205,IF(AND($D205&gt;=AJ$5,$D205&lt;AJ$5+7),"◆",""),IF(AND($D205&lt;AJ$5+7,$E205&gt;AJ$5),"■","")))</x:f>
      </x:c>
      <x:c r="AK205" s="7" t="str">
        <x:f>IF(OR($D205="",AK$5="",'상세일정'!AM205="제외"),"",IF($D205=$E205,IF(AND($D205&gt;=AK$5,$D205&lt;AK$5+7),"◆",""),IF(AND($D205&lt;AK$5+7,$E205&gt;AK$5),"■","")))</x:f>
      </x:c>
      <x:c r="AL205" s="7" t="str">
        <x:f>IF(OR($D205="",AL$5="",'상세일정'!AM205="제외"),"",IF($D205=$E205,IF(AND($D205&gt;=AL$5,$D205&lt;AL$5+7),"◆",""),IF(AND($D205&lt;AL$5+7,$E205&gt;AL$5),"■","")))</x:f>
      </x:c>
      <x:c r="AM205" s="7" t="str">
        <x:f>IF(OR($D205="",AM$5="",'상세일정'!AM205="제외"),"",IF($D205=$E205,IF(AND($D205&gt;=AM$5,$D205&lt;AM$5+7),"◆",""),IF(AND($D205&lt;AM$5+7,$E205&gt;AM$5),"■","")))</x:f>
      </x:c>
      <x:c r="AN205" s="7" t="str">
        <x:f>IF(OR($D205="",AN$5="",'상세일정'!AM205="제외"),"",IF($D205=$E205,IF(AND($D205&gt;=AN$5,$D205&lt;AN$5+7),"◆",""),IF(AND($D205&lt;AN$5+7,$E205&gt;AN$5),"■","")))</x:f>
      </x:c>
      <x:c r="AO205" s="7" t="str">
        <x:f>IF(OR($D205="",AO$5="",'상세일정'!AM205="제외"),"",IF($D205=$E205,IF(AND($D205&gt;=AO$5,$D205&lt;AO$5+7),"◆",""),IF(AND($D205&lt;AO$5+7,$E205&gt;AO$5),"■","")))</x:f>
      </x:c>
      <x:c r="AP205" s="7" t="str">
        <x:f>IF(OR($D205="",AP$5="",'상세일정'!AM205="제외"),"",IF($D205=$E205,IF(AND($D205&gt;=AP$5,$D205&lt;AP$5+7),"◆",""),IF(AND($D205&lt;AP$5+7,$E205&gt;AP$5),"■","")))</x:f>
      </x:c>
      <x:c r="AQ205" s="7" t="str">
        <x:f>IF(OR($D205="",AQ$5="",'상세일정'!AM205="제외"),"",IF($D205=$E205,IF(AND($D205&gt;=AQ$5,$D205&lt;AQ$5+7),"◆",""),IF(AND($D205&lt;AQ$5+7,$E205&gt;AQ$5),"■","")))</x:f>
      </x:c>
      <x:c r="AR205" s="7" t="str">
        <x:f>IF(OR($D205="",AR$5="",'상세일정'!AM205="제외"),"",IF($D205=$E205,IF(AND($D205&gt;=AR$5,$D205&lt;AR$5+7),"◆",""),IF(AND($D205&lt;AR$5+7,$E205&gt;AR$5),"■","")))</x:f>
      </x:c>
      <x:c r="AS205" s="7" t="str">
        <x:f>IF(OR($D205="",AS$5="",'상세일정'!AM205="제외"),"",IF($D205=$E205,IF(AND($D205&gt;=AS$5,$D205&lt;AS$5+7),"◆",""),IF(AND($D205&lt;AS$5+7,$E205&gt;AS$5),"■","")))</x:f>
      </x:c>
      <x:c r="AT205" s="7" t="str">
        <x:f>IF(OR($D205="",AT$5="",'상세일정'!AM205="제외"),"",IF($D205=$E205,IF(AND($D205&gt;=AT$5,$D205&lt;AT$5+7),"◆",""),IF(AND($D205&lt;AT$5+7,$E205&gt;AT$5),"■","")))</x:f>
      </x:c>
      <x:c r="AU205" s="7" t="str">
        <x:f>IF(OR($D205="",AU$5="",'상세일정'!AM205="제외"),"",IF($D205=$E205,IF(AND($D205&gt;=AU$5,$D205&lt;AU$5+7),"◆",""),IF(AND($D205&lt;AU$5+7,$E205&gt;AU$5),"■","")))</x:f>
      </x:c>
      <x:c r="AV205" s="7" t="str">
        <x:f>IF(OR($D205="",AV$5="",'상세일정'!AM205="제외"),"",IF($D205=$E205,IF(AND($D205&gt;=AV$5,$D205&lt;AV$5+7),"◆",""),IF(AND($D205&lt;AV$5+7,$E205&gt;AV$5),"■","")))</x:f>
      </x:c>
      <x:c r="AW205" s="7" t="str">
        <x:f>IF(OR($D205="",AW$5="",'상세일정'!AM205="제외"),"",IF($D205=$E205,IF(AND($D205&gt;=AW$5,$D205&lt;AW$5+7),"◆",""),IF(AND($D205&lt;AW$5+7,$E205&gt;AW$5),"■","")))</x:f>
      </x:c>
      <x:c r="AX205" s="7" t="str">
        <x:f>IF(OR($D205="",AX$5="",'상세일정'!AM205="제외"),"",IF($D205=$E205,IF(AND($D205&gt;=AX$5,$D205&lt;AX$5+7),"◆",""),IF(AND($D205&lt;AX$5+7,$E205&gt;AX$5),"■","")))</x:f>
      </x:c>
      <x:c r="AY205" s="7" t="str">
        <x:f>IF(OR($D205="",AY$5="",'상세일정'!AM205="제외"),"",IF($D205=$E205,IF(AND($D205&gt;=AY$5,$D205&lt;AY$5+7),"◆",""),IF(AND($D205&lt;AY$5+7,$E205&gt;AY$5),"■","")))</x:f>
      </x:c>
      <x:c r="AZ205" s="7" t="str">
        <x:f>IF(OR($D205="",AZ$5="",'상세일정'!AM205="제외"),"",IF($D205=$E205,IF(AND($D205&gt;=AZ$5,$D205&lt;AZ$5+7),"◆",""),IF(AND($D205&lt;AZ$5+7,$E205&gt;AZ$5),"■","")))</x:f>
      </x:c>
      <x:c r="BA205" s="7" t="str">
        <x:f>IF(OR($D205="",BA$5="",'상세일정'!AM205="제외"),"",IF($D205=$E205,IF(AND($D205&gt;=BA$5,$D205&lt;BA$5+7),"◆",""),IF(AND($D205&lt;BA$5+7,$E205&gt;BA$5),"■","")))</x:f>
      </x:c>
      <x:c r="BB205" s="7" t="str">
        <x:f>IF(OR($D205="",BB$5="",'상세일정'!AM205="제외"),"",IF($D205=$E205,IF(AND($D205&gt;=BB$5,$D205&lt;BB$5+7),"◆",""),IF(AND($D205&lt;BB$5+7,$E205&gt;BB$5),"■","")))</x:f>
      </x:c>
      <x:c r="BC205" s="7" t="str">
        <x:f>IF(OR($D205="",BC$5="",'상세일정'!AM205="제외"),"",IF($D205=$E205,IF(AND($D205&gt;=BC$5,$D205&lt;BC$5+7),"◆",""),IF(AND($D205&lt;BC$5+7,$E205&gt;BC$5),"■","")))</x:f>
      </x:c>
      <x:c r="BD205" s="7" t="str">
        <x:f>IF(OR($D205="",BD$5="",'상세일정'!AM205="제외"),"",IF($D205=$E205,IF(AND($D205&gt;=BD$5,$D205&lt;BD$5+7),"◆",""),IF(AND($D205&lt;BD$5+7,$E205&gt;BD$5),"■","")))</x:f>
      </x:c>
      <x:c r="BE205" s="7" t="str">
        <x:f>IF(OR($D205="",BE$5="",'상세일정'!AM205="제외"),"",IF($D205=$E205,IF(AND($D205&gt;=BE$5,$D205&lt;BE$5+7),"◆",""),IF(AND($D205&lt;BE$5+7,$E205&gt;BE$5),"■","")))</x:f>
      </x:c>
      <x:c r="BF205" s="7" t="str">
        <x:f>IF(OR($D205="",BF$5="",'상세일정'!AM205="제외"),"",IF($D205=$E205,IF(AND($D205&gt;=BF$5,$D205&lt;BF$5+7),"◆",""),IF(AND($D205&lt;BF$5+7,$E205&gt;BF$5),"■","")))</x:f>
      </x:c>
      <x:c r="BG205" s="7" t="str">
        <x:f>IF(OR($D205="",BG$5="",'상세일정'!AM205="제외"),"",IF($D205=$E205,IF(AND($D205&gt;=BG$5,$D205&lt;BG$5+7),"◆",""),IF(AND($D205&lt;BG$5+7,$E205&gt;BG$5),"■","")))</x:f>
      </x:c>
      <x:c r="BH205" s="7" t="str">
        <x:f>IF(OR($D205="",BH$5="",'상세일정'!AM205="제외"),"",IF($D205=$E205,IF(AND($D205&gt;=BH$5,$D205&lt;BH$5+7),"◆",""),IF(AND($D205&lt;BH$5+7,$E205&gt;BH$5),"■","")))</x:f>
      </x:c>
      <x:c r="BI205" s="7" t="str">
        <x:f>IF(OR($D205="",BI$5="",'상세일정'!AM205="제외"),"",IF($D205=$E205,IF(AND($D205&gt;=BI$5,$D205&lt;BI$5+7),"◆",""),IF(AND($D205&lt;BI$5+7,$E205&gt;BI$5),"■","")))</x:f>
      </x:c>
      <x:c r="BJ205" s="7" t="str">
        <x:f>IF(OR($D205="",BJ$5="",'상세일정'!AM205="제외"),"",IF($D205=$E205,IF(AND($D205&gt;=BJ$5,$D205&lt;BJ$5+7),"◆",""),IF(AND($D205&lt;BJ$5+7,$E205&gt;BJ$5),"■","")))</x:f>
      </x:c>
      <x:c r="BK205" s="7" t="str">
        <x:f>IF(OR($D205="",BK$5="",'상세일정'!AM205="제외"),"",IF($D205=$E205,IF(AND($D205&gt;=BK$5,$D205&lt;BK$5+7),"◆",""),IF(AND($D205&lt;BK$5+7,$E205&gt;BK$5),"■","")))</x:f>
      </x:c>
      <x:c r="BL205" s="7" t="str">
        <x:f>IF(OR($D205="",BL$5="",'상세일정'!AM205="제외"),"",IF($D205=$E205,IF(AND($D205&gt;=BL$5,$D205&lt;BL$5+7),"◆",""),IF(AND($D205&lt;BL$5+7,$E205&gt;BL$5),"■","")))</x:f>
      </x:c>
      <x:c r="BM205" s="7" t="str">
        <x:f>IF(OR($D205="",BM$5="",'상세일정'!AM205="제외"),"",IF($D205=$E205,IF(AND($D205&gt;=BM$5,$D205&lt;BM$5+7),"◆",""),IF(AND($D205&lt;BM$5+7,$E205&gt;BM$5),"■","")))</x:f>
      </x:c>
      <x:c r="BN205" s="7" t="str">
        <x:f>IF(OR($D205="",BN$5="",'상세일정'!AM205="제외"),"",IF($D205=$E205,IF(AND($D205&gt;=BN$5,$D205&lt;BN$5+7),"◆",""),IF(AND($D205&lt;BN$5+7,$E205&gt;BN$5),"■","")))</x:f>
      </x:c>
      <x:c r="BO205" s="7" t="str">
        <x:f>IF(OR($D205="",BO$5="",'상세일정'!AM205="제외"),"",IF($D205=$E205,IF(AND($D205&gt;=BO$5,$D205&lt;BO$5+7),"◆",""),IF(AND($D205&lt;BO$5+7,$E205&gt;BO$5),"■","")))</x:f>
      </x:c>
      <x:c r="BP205" s="7" t="str">
        <x:f>IF(OR($D205="",BP$5="",'상세일정'!AM205="제외"),"",IF($D205=$E205,IF(AND($D205&gt;=BP$5,$D205&lt;BP$5+7),"◆",""),IF(AND($D205&lt;BP$5+7,$E205&gt;BP$5),"■","")))</x:f>
      </x:c>
      <x:c r="BQ205" s="7" t="str">
        <x:f>IF(OR($D205="",BQ$5="",'상세일정'!AM205="제외"),"",IF($D205=$E205,IF(AND($D205&gt;=BQ$5,$D205&lt;BQ$5+7),"◆",""),IF(AND($D205&lt;BQ$5+7,$E205&gt;BQ$5),"■","")))</x:f>
      </x:c>
      <x:c r="BR205" s="7" t="str">
        <x:f>IF(OR($D205="",BR$5="",'상세일정'!AM205="제외"),"",IF($D205=$E205,IF(AND($D205&gt;=BR$5,$D205&lt;BR$5+7),"◆",""),IF(AND($D205&lt;BR$5+7,$E205&gt;BR$5),"■","")))</x:f>
      </x:c>
      <x:c r="BS205" s="7" t="str">
        <x:f>IF(OR($D205="",BS$5="",'상세일정'!AM205="제외"),"",IF($D205=$E205,IF(AND($D205&gt;=BS$5,$D205&lt;BS$5+7),"◆",""),IF(AND($D205&lt;BS$5+7,$E205&gt;BS$5),"■","")))</x:f>
      </x:c>
      <x:c r="BT205" s="7" t="str">
        <x:f>IF(OR($D205="",BT$5="",'상세일정'!AM205="제외"),"",IF($D205=$E205,IF(AND($D205&gt;=BT$5,$D205&lt;BT$5+7),"◆",""),IF(AND($D205&lt;BT$5+7,$E205&gt;BT$5),"■","")))</x:f>
      </x:c>
      <x:c r="BU205" s="7" t="str">
        <x:f>IF(OR($D205="",BU$5="",'상세일정'!AM205="제외"),"",IF($D205=$E205,IF(AND($D205&gt;=BU$5,$D205&lt;BU$5+7),"◆",""),IF(AND($D205&lt;BU$5+7,$E205&gt;BU$5),"■","")))</x:f>
      </x:c>
      <x:c r="BV205" s="7" t="str">
        <x:f>IF(OR($D205="",BV$5="",'상세일정'!AM205="제외"),"",IF($D205=$E205,IF(AND($D205&gt;=BV$5,$D205&lt;BV$5+7),"◆",""),IF(AND($D205&lt;BV$5+7,$E205&gt;BV$5),"■","")))</x:f>
      </x:c>
      <x:c r="BW205" s="7" t="str">
        <x:f>IF(OR($D205="",BW$5="",'상세일정'!AM205="제외"),"",IF($D205=$E205,IF(AND($D205&gt;=BW$5,$D205&lt;BW$5+7),"◆",""),IF(AND($D205&lt;BW$5+7,$E205&gt;BW$5),"■","")))</x:f>
      </x:c>
      <x:c r="BX205" s="7" t="str">
        <x:f>IF(OR($D205="",BX$5="",'상세일정'!AM205="제외"),"",IF($D205=$E205,IF(AND($D205&gt;=BX$5,$D205&lt;BX$5+7),"◆",""),IF(AND($D205&lt;BX$5+7,$E205&gt;BX$5),"■","")))</x:f>
      </x:c>
      <x:c r="BY205" s="7" t="str">
        <x:f>IF(OR($D205="",BY$5="",'상세일정'!AM205="제외"),"",IF($D205=$E205,IF(AND($D205&gt;=BY$5,$D205&lt;BY$5+7),"◆",""),IF(AND($D205&lt;BY$5+7,$E205&gt;BY$5),"■","")))</x:f>
      </x:c>
      <x:c r="BZ205" s="7" t="str">
        <x:f>IF(OR($D205="",BZ$5="",'상세일정'!AM205="제외"),"",IF($D205=$E205,IF(AND($D205&gt;=BZ$5,$D205&lt;BZ$5+7),"◆",""),IF(AND($D205&lt;BZ$5+7,$E205&gt;BZ$5),"■","")))</x:f>
      </x:c>
      <x:c r="CA205" s="7" t="str">
        <x:f>IF(OR($D205="",CA$5="",'상세일정'!AM205="제외"),"",IF($D205=$E205,IF(AND($D205&gt;=CA$5,$D205&lt;CA$5+7),"◆",""),IF(AND($D205&lt;CA$5+7,$E205&gt;CA$5),"■","")))</x:f>
      </x:c>
      <x:c r="CB205" s="7" t="str">
        <x:f>IF(OR($D205="",CB$5="",'상세일정'!AM205="제외"),"",IF($D205=$E205,IF(AND($D205&gt;=CB$5,$D205&lt;CB$5+7),"◆",""),IF(AND($D205&lt;CB$5+7,$E205&gt;CB$5),"■","")))</x:f>
      </x:c>
      <x:c r="CC205" s="7" t="str">
        <x:f>IF(OR($D205="",CC$5="",'상세일정'!AM205="제외"),"",IF($D205=$E205,IF(AND($D205&gt;=CC$5,$D205&lt;CC$5+7),"◆",""),IF(AND($D205&lt;CC$5+7,$E205&gt;CC$5),"■","")))</x:f>
      </x:c>
      <x:c r="CD205" s="7" t="str">
        <x:f>IF(OR($D205="",CD$5="",'상세일정'!AM205="제외"),"",IF($D205=$E205,IF(AND($D205&gt;=CD$5,$D205&lt;CD$5+7),"◆",""),IF(AND($D205&lt;CD$5+7,$E205&gt;CD$5),"■","")))</x:f>
      </x:c>
      <x:c r="CE205" s="7" t="str">
        <x:f>IF(OR($D205="",CE$5="",'상세일정'!AM205="제외"),"",IF($D205=$E205,IF(AND($D205&gt;=CE$5,$D205&lt;CE$5+7),"◆",""),IF(AND($D205&lt;CE$5+7,$E205&gt;CE$5),"■","")))</x:f>
      </x:c>
      <x:c r="CF205" s="7" t="str">
        <x:f>IF(OR($D205="",CF$5="",'상세일정'!AM205="제외"),"",IF($D205=$E205,IF(AND($D205&gt;=CF$5,$D205&lt;CF$5+7),"◆",""),IF(AND($D205&lt;CF$5+7,$E205&gt;CF$5),"■","")))</x:f>
      </x:c>
      <x:c r="CG205" s="7" t="str">
        <x:f>IF(OR($D205="",CG$5="",'상세일정'!AM205="제외"),"",IF($D205=$E205,IF(AND($D205&gt;=CG$5,$D205&lt;CG$5+7),"◆",""),IF(AND($D205&lt;CG$5+7,$E205&gt;CG$5),"■","")))</x:f>
      </x:c>
      <x:c r="CH205" s="7" t="str">
        <x:f>IF(OR($D205="",CH$5="",'상세일정'!AM205="제외"),"",IF($D205=$E205,IF(AND($D205&gt;=CH$5,$D205&lt;CH$5+7),"◆",""),IF(AND($D205&lt;CH$5+7,$E205&gt;CH$5),"■","")))</x:f>
      </x:c>
      <x:c r="CI205" s="7" t="str">
        <x:f>IF(OR($D205="",CI$5="",'상세일정'!AM205="제외"),"",IF($D205=$E205,IF(AND($D205&gt;=CI$5,$D205&lt;CI$5+7),"◆",""),IF(AND($D205&lt;CI$5+7,$E205&gt;CI$5),"■","")))</x:f>
      </x:c>
      <x:c r="CJ205" s="7" t="str">
        <x:f>IF(OR($D205="",CJ$5="",'상세일정'!AM205="제외"),"",IF($D205=$E205,IF(AND($D205&gt;=CJ$5,$D205&lt;CJ$5+7),"◆",""),IF(AND($D205&lt;CJ$5+7,$E205&gt;CJ$5),"■","")))</x:f>
      </x:c>
      <x:c r="CK205" s="7" t="str">
        <x:f>IF(OR($D205="",CK$5="",'상세일정'!AM205="제외"),"",IF($D205=$E205,IF(AND($D205&gt;=CK$5,$D205&lt;CK$5+7),"◆",""),IF(AND($D205&lt;CK$5+7,$E205&gt;CK$5),"■","")))</x:f>
      </x:c>
      <x:c r="CL205" s="7" t="str">
        <x:f>IF(OR($D205="",CL$5="",'상세일정'!AM205="제외"),"",IF($D205=$E205,IF(AND($D205&gt;=CL$5,$D205&lt;CL$5+7),"◆",""),IF(AND($D205&lt;CL$5+7,$E205&gt;CL$5),"■","")))</x:f>
      </x:c>
      <x:c r="CM205" s="7" t="str">
        <x:f>IF(OR($D205="",CM$5="",'상세일정'!AM205="제외"),"",IF($D205=$E205,IF(AND($D205&gt;=CM$5,$D205&lt;CM$5+7),"◆",""),IF(AND($D205&lt;CM$5+7,$E205&gt;CM$5),"■","")))</x:f>
      </x:c>
      <x:c r="CN205" s="7" t="str">
        <x:f>IF(OR($D205="",CN$5="",'상세일정'!AM205="제외"),"",IF($D205=$E205,IF(AND($D205&gt;=CN$5,$D205&lt;CN$5+7),"◆",""),IF(AND($D205&lt;CN$5+7,$E205&gt;CN$5),"■","")))</x:f>
      </x:c>
      <x:c r="CO205" s="7" t="str">
        <x:f>IF(OR($D205="",CO$5="",'상세일정'!AM205="제외"),"",IF($D205=$E205,IF(AND($D205&gt;=CO$5,$D205&lt;CO$5+7),"◆",""),IF(AND($D205&lt;CO$5+7,$E205&gt;CO$5),"■","")))</x:f>
      </x:c>
      <x:c r="CP205" s="7" t="str">
        <x:f>IF(OR($D205="",CP$5="",'상세일정'!AM205="제외"),"",IF($D205=$E205,IF(AND($D205&gt;=CP$5,$D205&lt;CP$5+7),"◆",""),IF(AND($D205&lt;CP$5+7,$E205&gt;CP$5),"■","")))</x:f>
      </x:c>
      <x:c r="CQ205" s="7" t="str">
        <x:f>IF(OR($D205="",CQ$5="",'상세일정'!AM205="제외"),"",IF($D205=$E205,IF(AND($D205&gt;=CQ$5,$D205&lt;CQ$5+7),"◆",""),IF(AND($D205&lt;CQ$5+7,$E205&gt;CQ$5),"■","")))</x:f>
      </x:c>
      <x:c r="CR205" s="7" t="str">
        <x:f>IF(OR($D205="",CR$5="",'상세일정'!AM205="제외"),"",IF($D205=$E205,IF(AND($D205&gt;=CR$5,$D205&lt;CR$5+7),"◆",""),IF(AND($D205&lt;CR$5+7,$E205&gt;CR$5),"■","")))</x:f>
      </x:c>
      <x:c r="CS205" s="7" t="str">
        <x:f>IF(OR($D205="",CS$5="",'상세일정'!AM205="제외"),"",IF($D205=$E205,IF(AND($D205&gt;=CS$5,$D205&lt;CS$5+7),"◆",""),IF(AND($D205&lt;CS$5+7,$E205&gt;CS$5),"■","")))</x:f>
      </x:c>
      <x:c r="CT205" s="7" t="str">
        <x:f>IF(OR($D205="",CT$5="",'상세일정'!AM205="제외"),"",IF($D205=$E205,IF(AND($D205&gt;=CT$5,$D205&lt;CT$5+7),"◆",""),IF(AND($D205&lt;CT$5+7,$E205&gt;CT$5),"■","")))</x:f>
      </x:c>
      <x:c r="CU205" s="7" t="str">
        <x:f>IF(OR($D205="",CU$5="",'상세일정'!AM205="제외"),"",IF($D205=$E205,IF(AND($D205&gt;=CU$5,$D205&lt;CU$5+7),"◆",""),IF(AND($D205&lt;CU$5+7,$E205&gt;CU$5),"■","")))</x:f>
      </x:c>
      <x:c r="CV205" s="7" t="str">
        <x:f>IF(OR($D205="",CV$5="",'상세일정'!AM205="제외"),"",IF($D205=$E205,IF(AND($D205&gt;=CV$5,$D205&lt;CV$5+7),"◆",""),IF(AND($D205&lt;CV$5+7,$E205&gt;CV$5),"■","")))</x:f>
      </x:c>
      <x:c r="CW205" s="7" t="str">
        <x:f>IF(OR($D205="",CW$5="",'상세일정'!AM205="제외"),"",IF($D205=$E205,IF(AND($D205&gt;=CW$5,$D205&lt;CW$5+7),"◆",""),IF(AND($D205&lt;CW$5+7,$E205&gt;CW$5),"■","")))</x:f>
      </x:c>
      <x:c r="CX205" s="7" t="str">
        <x:f>IF(OR($D205="",CX$5="",'상세일정'!AM205="제외"),"",IF($D205=$E205,IF(AND($D205&gt;=CX$5,$D205&lt;CX$5+7),"◆",""),IF(AND($D205&lt;CX$5+7,$E205&gt;CX$5),"■","")))</x:f>
      </x:c>
      <x:c r="CY205" s="7" t="str">
        <x:f>IF(OR($D205="",CY$5="",'상세일정'!AM205="제외"),"",IF($D205=$E205,IF(AND($D205&gt;=CY$5,$D205&lt;CY$5+7),"◆",""),IF(AND($D205&lt;CY$5+7,$E205&gt;CY$5),"■","")))</x:f>
      </x:c>
      <x:c r="CZ205" s="7" t="str">
        <x:f>IF(OR($D205="",CZ$5="",'상세일정'!AM205="제외"),"",IF($D205=$E205,IF(AND($D205&gt;=CZ$5,$D205&lt;CZ$5+7),"◆",""),IF(AND($D205&lt;CZ$5+7,$E205&gt;CZ$5),"■","")))</x:f>
      </x:c>
      <x:c r="DA205" s="7" t="str">
        <x:f>IF(OR($D205="",DA$5="",'상세일정'!AM205="제외"),"",IF($D205=$E205,IF(AND($D205&gt;=DA$5,$D205&lt;DA$5+7),"◆",""),IF(AND($D205&lt;DA$5+7,$E205&gt;DA$5),"■","")))</x:f>
      </x:c>
      <x:c r="DB205" s="7" t="str">
        <x:f>IF(OR($D205="",DB$5="",'상세일정'!AM205="제외"),"",IF($D205=$E205,IF(AND($D205&gt;=DB$5,$D205&lt;DB$5+7),"◆",""),IF(AND($D205&lt;DB$5+7,$E205&gt;DB$5),"■","")))</x:f>
      </x:c>
      <x:c r="DC205" s="7" t="str">
        <x:f>IF(OR($D205="",DC$5="",'상세일정'!AM205="제외"),"",IF($D205=$E205,IF(AND($D205&gt;=DC$5,$D205&lt;DC$5+7),"◆",""),IF(AND($D205&lt;DC$5+7,$E205&gt;DC$5),"■","")))</x:f>
      </x:c>
      <x:c r="DD205" s="7" t="str">
        <x:f>IF(OR($D205="",DD$5="",'상세일정'!AM205="제외"),"",IF($D205=$E205,IF(AND($D205&gt;=DD$5,$D205&lt;DD$5+7),"◆",""),IF(AND($D205&lt;DD$5+7,$E205&gt;DD$5),"■","")))</x:f>
      </x:c>
      <x:c r="DE205" s="7" t="str">
        <x:f>IF(OR($D205="",DE$5="",'상세일정'!AM205="제외"),"",IF($D205=$E205,IF(AND($D205&gt;=DE$5,$D205&lt;DE$5+7),"◆",""),IF(AND($D205&lt;DE$5+7,$E205&gt;DE$5),"■","")))</x:f>
      </x:c>
    </x:row>
    <x:row r="206" ht="34" customHeight="1">
      <x:c r="A206" s="7" t="str">
        <x:v>EC04</x:v>
      </x:c>
      <x:c r="B206" s="7" t="str">
        <x:v>23 전기·계장 시공</x:v>
      </x:c>
      <x:c r="C206" s="7" t="str">
        <x:v>가스감지·계기·현장판넬 설치</x:v>
      </x:c>
      <x:c r="D206" s="10" t="str">
        <x:f>'상세일정'!AJ206</x:f>
      </x:c>
      <x:c r="E206" s="10" t="str">
        <x:f>'상세일정'!AK206</x:f>
      </x:c>
      <x:c r="F206" s="7" t="str">
        <x:f>IF(OR($D206="",F$5="",'상세일정'!AM206="제외"),"",IF($D206=$E206,IF(AND($D206&gt;=F$5,$D206&lt;F$5+7),"◆",""),IF(AND($D206&lt;F$5+7,$E206&gt;F$5),"■","")))</x:f>
      </x:c>
      <x:c r="G206" s="7" t="str">
        <x:f>IF(OR($D206="",G$5="",'상세일정'!AM206="제외"),"",IF($D206=$E206,IF(AND($D206&gt;=G$5,$D206&lt;G$5+7),"◆",""),IF(AND($D206&lt;G$5+7,$E206&gt;G$5),"■","")))</x:f>
      </x:c>
      <x:c r="H206" s="7" t="str">
        <x:f>IF(OR($D206="",H$5="",'상세일정'!AM206="제외"),"",IF($D206=$E206,IF(AND($D206&gt;=H$5,$D206&lt;H$5+7),"◆",""),IF(AND($D206&lt;H$5+7,$E206&gt;H$5),"■","")))</x:f>
      </x:c>
      <x:c r="I206" s="7" t="str">
        <x:f>IF(OR($D206="",I$5="",'상세일정'!AM206="제외"),"",IF($D206=$E206,IF(AND($D206&gt;=I$5,$D206&lt;I$5+7),"◆",""),IF(AND($D206&lt;I$5+7,$E206&gt;I$5),"■","")))</x:f>
      </x:c>
      <x:c r="J206" s="7" t="str">
        <x:f>IF(OR($D206="",J$5="",'상세일정'!AM206="제외"),"",IF($D206=$E206,IF(AND($D206&gt;=J$5,$D206&lt;J$5+7),"◆",""),IF(AND($D206&lt;J$5+7,$E206&gt;J$5),"■","")))</x:f>
      </x:c>
      <x:c r="K206" s="7" t="str">
        <x:f>IF(OR($D206="",K$5="",'상세일정'!AM206="제외"),"",IF($D206=$E206,IF(AND($D206&gt;=K$5,$D206&lt;K$5+7),"◆",""),IF(AND($D206&lt;K$5+7,$E206&gt;K$5),"■","")))</x:f>
      </x:c>
      <x:c r="L206" s="7" t="str">
        <x:f>IF(OR($D206="",L$5="",'상세일정'!AM206="제외"),"",IF($D206=$E206,IF(AND($D206&gt;=L$5,$D206&lt;L$5+7),"◆",""),IF(AND($D206&lt;L$5+7,$E206&gt;L$5),"■","")))</x:f>
      </x:c>
      <x:c r="M206" s="7" t="str">
        <x:f>IF(OR($D206="",M$5="",'상세일정'!AM206="제외"),"",IF($D206=$E206,IF(AND($D206&gt;=M$5,$D206&lt;M$5+7),"◆",""),IF(AND($D206&lt;M$5+7,$E206&gt;M$5),"■","")))</x:f>
      </x:c>
      <x:c r="N206" s="7" t="str">
        <x:f>IF(OR($D206="",N$5="",'상세일정'!AM206="제외"),"",IF($D206=$E206,IF(AND($D206&gt;=N$5,$D206&lt;N$5+7),"◆",""),IF(AND($D206&lt;N$5+7,$E206&gt;N$5),"■","")))</x:f>
      </x:c>
      <x:c r="O206" s="7" t="str">
        <x:f>IF(OR($D206="",O$5="",'상세일정'!AM206="제외"),"",IF($D206=$E206,IF(AND($D206&gt;=O$5,$D206&lt;O$5+7),"◆",""),IF(AND($D206&lt;O$5+7,$E206&gt;O$5),"■","")))</x:f>
      </x:c>
      <x:c r="P206" s="7" t="str">
        <x:f>IF(OR($D206="",P$5="",'상세일정'!AM206="제외"),"",IF($D206=$E206,IF(AND($D206&gt;=P$5,$D206&lt;P$5+7),"◆",""),IF(AND($D206&lt;P$5+7,$E206&gt;P$5),"■","")))</x:f>
      </x:c>
      <x:c r="Q206" s="7" t="str">
        <x:f>IF(OR($D206="",Q$5="",'상세일정'!AM206="제외"),"",IF($D206=$E206,IF(AND($D206&gt;=Q$5,$D206&lt;Q$5+7),"◆",""),IF(AND($D206&lt;Q$5+7,$E206&gt;Q$5),"■","")))</x:f>
      </x:c>
      <x:c r="R206" s="7" t="str">
        <x:f>IF(OR($D206="",R$5="",'상세일정'!AM206="제외"),"",IF($D206=$E206,IF(AND($D206&gt;=R$5,$D206&lt;R$5+7),"◆",""),IF(AND($D206&lt;R$5+7,$E206&gt;R$5),"■","")))</x:f>
      </x:c>
      <x:c r="S206" s="7" t="str">
        <x:f>IF(OR($D206="",S$5="",'상세일정'!AM206="제외"),"",IF($D206=$E206,IF(AND($D206&gt;=S$5,$D206&lt;S$5+7),"◆",""),IF(AND($D206&lt;S$5+7,$E206&gt;S$5),"■","")))</x:f>
      </x:c>
      <x:c r="T206" s="7" t="str">
        <x:f>IF(OR($D206="",T$5="",'상세일정'!AM206="제외"),"",IF($D206=$E206,IF(AND($D206&gt;=T$5,$D206&lt;T$5+7),"◆",""),IF(AND($D206&lt;T$5+7,$E206&gt;T$5),"■","")))</x:f>
      </x:c>
      <x:c r="U206" s="7" t="str">
        <x:f>IF(OR($D206="",U$5="",'상세일정'!AM206="제외"),"",IF($D206=$E206,IF(AND($D206&gt;=U$5,$D206&lt;U$5+7),"◆",""),IF(AND($D206&lt;U$5+7,$E206&gt;U$5),"■","")))</x:f>
      </x:c>
      <x:c r="V206" s="7" t="str">
        <x:f>IF(OR($D206="",V$5="",'상세일정'!AM206="제외"),"",IF($D206=$E206,IF(AND($D206&gt;=V$5,$D206&lt;V$5+7),"◆",""),IF(AND($D206&lt;V$5+7,$E206&gt;V$5),"■","")))</x:f>
      </x:c>
      <x:c r="W206" s="7" t="str">
        <x:f>IF(OR($D206="",W$5="",'상세일정'!AM206="제외"),"",IF($D206=$E206,IF(AND($D206&gt;=W$5,$D206&lt;W$5+7),"◆",""),IF(AND($D206&lt;W$5+7,$E206&gt;W$5),"■","")))</x:f>
      </x:c>
      <x:c r="X206" s="7" t="str">
        <x:f>IF(OR($D206="",X$5="",'상세일정'!AM206="제외"),"",IF($D206=$E206,IF(AND($D206&gt;=X$5,$D206&lt;X$5+7),"◆",""),IF(AND($D206&lt;X$5+7,$E206&gt;X$5),"■","")))</x:f>
      </x:c>
      <x:c r="Y206" s="7" t="str">
        <x:f>IF(OR($D206="",Y$5="",'상세일정'!AM206="제외"),"",IF($D206=$E206,IF(AND($D206&gt;=Y$5,$D206&lt;Y$5+7),"◆",""),IF(AND($D206&lt;Y$5+7,$E206&gt;Y$5),"■","")))</x:f>
      </x:c>
      <x:c r="Z206" s="7" t="str">
        <x:f>IF(OR($D206="",Z$5="",'상세일정'!AM206="제외"),"",IF($D206=$E206,IF(AND($D206&gt;=Z$5,$D206&lt;Z$5+7),"◆",""),IF(AND($D206&lt;Z$5+7,$E206&gt;Z$5),"■","")))</x:f>
      </x:c>
      <x:c r="AA206" s="7" t="str">
        <x:f>IF(OR($D206="",AA$5="",'상세일정'!AM206="제외"),"",IF($D206=$E206,IF(AND($D206&gt;=AA$5,$D206&lt;AA$5+7),"◆",""),IF(AND($D206&lt;AA$5+7,$E206&gt;AA$5),"■","")))</x:f>
      </x:c>
      <x:c r="AB206" s="7" t="str">
        <x:f>IF(OR($D206="",AB$5="",'상세일정'!AM206="제외"),"",IF($D206=$E206,IF(AND($D206&gt;=AB$5,$D206&lt;AB$5+7),"◆",""),IF(AND($D206&lt;AB$5+7,$E206&gt;AB$5),"■","")))</x:f>
      </x:c>
      <x:c r="AC206" s="7" t="str">
        <x:f>IF(OR($D206="",AC$5="",'상세일정'!AM206="제외"),"",IF($D206=$E206,IF(AND($D206&gt;=AC$5,$D206&lt;AC$5+7),"◆",""),IF(AND($D206&lt;AC$5+7,$E206&gt;AC$5),"■","")))</x:f>
      </x:c>
      <x:c r="AD206" s="7" t="str">
        <x:f>IF(OR($D206="",AD$5="",'상세일정'!AM206="제외"),"",IF($D206=$E206,IF(AND($D206&gt;=AD$5,$D206&lt;AD$5+7),"◆",""),IF(AND($D206&lt;AD$5+7,$E206&gt;AD$5),"■","")))</x:f>
      </x:c>
      <x:c r="AE206" s="7" t="str">
        <x:f>IF(OR($D206="",AE$5="",'상세일정'!AM206="제외"),"",IF($D206=$E206,IF(AND($D206&gt;=AE$5,$D206&lt;AE$5+7),"◆",""),IF(AND($D206&lt;AE$5+7,$E206&gt;AE$5),"■","")))</x:f>
      </x:c>
      <x:c r="AF206" s="7" t="str">
        <x:f>IF(OR($D206="",AF$5="",'상세일정'!AM206="제외"),"",IF($D206=$E206,IF(AND($D206&gt;=AF$5,$D206&lt;AF$5+7),"◆",""),IF(AND($D206&lt;AF$5+7,$E206&gt;AF$5),"■","")))</x:f>
      </x:c>
      <x:c r="AG206" s="7" t="str">
        <x:f>IF(OR($D206="",AG$5="",'상세일정'!AM206="제외"),"",IF($D206=$E206,IF(AND($D206&gt;=AG$5,$D206&lt;AG$5+7),"◆",""),IF(AND($D206&lt;AG$5+7,$E206&gt;AG$5),"■","")))</x:f>
      </x:c>
      <x:c r="AH206" s="7" t="str">
        <x:f>IF(OR($D206="",AH$5="",'상세일정'!AM206="제외"),"",IF($D206=$E206,IF(AND($D206&gt;=AH$5,$D206&lt;AH$5+7),"◆",""),IF(AND($D206&lt;AH$5+7,$E206&gt;AH$5),"■","")))</x:f>
      </x:c>
      <x:c r="AI206" s="7" t="str">
        <x:f>IF(OR($D206="",AI$5="",'상세일정'!AM206="제외"),"",IF($D206=$E206,IF(AND($D206&gt;=AI$5,$D206&lt;AI$5+7),"◆",""),IF(AND($D206&lt;AI$5+7,$E206&gt;AI$5),"■","")))</x:f>
      </x:c>
      <x:c r="AJ206" s="7" t="str">
        <x:f>IF(OR($D206="",AJ$5="",'상세일정'!AM206="제외"),"",IF($D206=$E206,IF(AND($D206&gt;=AJ$5,$D206&lt;AJ$5+7),"◆",""),IF(AND($D206&lt;AJ$5+7,$E206&gt;AJ$5),"■","")))</x:f>
      </x:c>
      <x:c r="AK206" s="7" t="str">
        <x:f>IF(OR($D206="",AK$5="",'상세일정'!AM206="제외"),"",IF($D206=$E206,IF(AND($D206&gt;=AK$5,$D206&lt;AK$5+7),"◆",""),IF(AND($D206&lt;AK$5+7,$E206&gt;AK$5),"■","")))</x:f>
      </x:c>
      <x:c r="AL206" s="7" t="str">
        <x:f>IF(OR($D206="",AL$5="",'상세일정'!AM206="제외"),"",IF($D206=$E206,IF(AND($D206&gt;=AL$5,$D206&lt;AL$5+7),"◆",""),IF(AND($D206&lt;AL$5+7,$E206&gt;AL$5),"■","")))</x:f>
      </x:c>
      <x:c r="AM206" s="7" t="str">
        <x:f>IF(OR($D206="",AM$5="",'상세일정'!AM206="제외"),"",IF($D206=$E206,IF(AND($D206&gt;=AM$5,$D206&lt;AM$5+7),"◆",""),IF(AND($D206&lt;AM$5+7,$E206&gt;AM$5),"■","")))</x:f>
      </x:c>
      <x:c r="AN206" s="7" t="str">
        <x:f>IF(OR($D206="",AN$5="",'상세일정'!AM206="제외"),"",IF($D206=$E206,IF(AND($D206&gt;=AN$5,$D206&lt;AN$5+7),"◆",""),IF(AND($D206&lt;AN$5+7,$E206&gt;AN$5),"■","")))</x:f>
      </x:c>
      <x:c r="AO206" s="7" t="str">
        <x:f>IF(OR($D206="",AO$5="",'상세일정'!AM206="제외"),"",IF($D206=$E206,IF(AND($D206&gt;=AO$5,$D206&lt;AO$5+7),"◆",""),IF(AND($D206&lt;AO$5+7,$E206&gt;AO$5),"■","")))</x:f>
      </x:c>
      <x:c r="AP206" s="7" t="str">
        <x:f>IF(OR($D206="",AP$5="",'상세일정'!AM206="제외"),"",IF($D206=$E206,IF(AND($D206&gt;=AP$5,$D206&lt;AP$5+7),"◆",""),IF(AND($D206&lt;AP$5+7,$E206&gt;AP$5),"■","")))</x:f>
      </x:c>
      <x:c r="AQ206" s="7" t="str">
        <x:f>IF(OR($D206="",AQ$5="",'상세일정'!AM206="제외"),"",IF($D206=$E206,IF(AND($D206&gt;=AQ$5,$D206&lt;AQ$5+7),"◆",""),IF(AND($D206&lt;AQ$5+7,$E206&gt;AQ$5),"■","")))</x:f>
      </x:c>
      <x:c r="AR206" s="7" t="str">
        <x:f>IF(OR($D206="",AR$5="",'상세일정'!AM206="제외"),"",IF($D206=$E206,IF(AND($D206&gt;=AR$5,$D206&lt;AR$5+7),"◆",""),IF(AND($D206&lt;AR$5+7,$E206&gt;AR$5),"■","")))</x:f>
      </x:c>
      <x:c r="AS206" s="7" t="str">
        <x:f>IF(OR($D206="",AS$5="",'상세일정'!AM206="제외"),"",IF($D206=$E206,IF(AND($D206&gt;=AS$5,$D206&lt;AS$5+7),"◆",""),IF(AND($D206&lt;AS$5+7,$E206&gt;AS$5),"■","")))</x:f>
      </x:c>
      <x:c r="AT206" s="7" t="str">
        <x:f>IF(OR($D206="",AT$5="",'상세일정'!AM206="제외"),"",IF($D206=$E206,IF(AND($D206&gt;=AT$5,$D206&lt;AT$5+7),"◆",""),IF(AND($D206&lt;AT$5+7,$E206&gt;AT$5),"■","")))</x:f>
      </x:c>
      <x:c r="AU206" s="7" t="str">
        <x:f>IF(OR($D206="",AU$5="",'상세일정'!AM206="제외"),"",IF($D206=$E206,IF(AND($D206&gt;=AU$5,$D206&lt;AU$5+7),"◆",""),IF(AND($D206&lt;AU$5+7,$E206&gt;AU$5),"■","")))</x:f>
      </x:c>
      <x:c r="AV206" s="7" t="str">
        <x:f>IF(OR($D206="",AV$5="",'상세일정'!AM206="제외"),"",IF($D206=$E206,IF(AND($D206&gt;=AV$5,$D206&lt;AV$5+7),"◆",""),IF(AND($D206&lt;AV$5+7,$E206&gt;AV$5),"■","")))</x:f>
      </x:c>
      <x:c r="AW206" s="7" t="str">
        <x:f>IF(OR($D206="",AW$5="",'상세일정'!AM206="제외"),"",IF($D206=$E206,IF(AND($D206&gt;=AW$5,$D206&lt;AW$5+7),"◆",""),IF(AND($D206&lt;AW$5+7,$E206&gt;AW$5),"■","")))</x:f>
      </x:c>
      <x:c r="AX206" s="7" t="str">
        <x:f>IF(OR($D206="",AX$5="",'상세일정'!AM206="제외"),"",IF($D206=$E206,IF(AND($D206&gt;=AX$5,$D206&lt;AX$5+7),"◆",""),IF(AND($D206&lt;AX$5+7,$E206&gt;AX$5),"■","")))</x:f>
      </x:c>
      <x:c r="AY206" s="7" t="str">
        <x:f>IF(OR($D206="",AY$5="",'상세일정'!AM206="제외"),"",IF($D206=$E206,IF(AND($D206&gt;=AY$5,$D206&lt;AY$5+7),"◆",""),IF(AND($D206&lt;AY$5+7,$E206&gt;AY$5),"■","")))</x:f>
      </x:c>
      <x:c r="AZ206" s="7" t="str">
        <x:f>IF(OR($D206="",AZ$5="",'상세일정'!AM206="제외"),"",IF($D206=$E206,IF(AND($D206&gt;=AZ$5,$D206&lt;AZ$5+7),"◆",""),IF(AND($D206&lt;AZ$5+7,$E206&gt;AZ$5),"■","")))</x:f>
      </x:c>
      <x:c r="BA206" s="7" t="str">
        <x:f>IF(OR($D206="",BA$5="",'상세일정'!AM206="제외"),"",IF($D206=$E206,IF(AND($D206&gt;=BA$5,$D206&lt;BA$5+7),"◆",""),IF(AND($D206&lt;BA$5+7,$E206&gt;BA$5),"■","")))</x:f>
      </x:c>
      <x:c r="BB206" s="7" t="str">
        <x:f>IF(OR($D206="",BB$5="",'상세일정'!AM206="제외"),"",IF($D206=$E206,IF(AND($D206&gt;=BB$5,$D206&lt;BB$5+7),"◆",""),IF(AND($D206&lt;BB$5+7,$E206&gt;BB$5),"■","")))</x:f>
      </x:c>
      <x:c r="BC206" s="7" t="str">
        <x:f>IF(OR($D206="",BC$5="",'상세일정'!AM206="제외"),"",IF($D206=$E206,IF(AND($D206&gt;=BC$5,$D206&lt;BC$5+7),"◆",""),IF(AND($D206&lt;BC$5+7,$E206&gt;BC$5),"■","")))</x:f>
      </x:c>
      <x:c r="BD206" s="7" t="str">
        <x:f>IF(OR($D206="",BD$5="",'상세일정'!AM206="제외"),"",IF($D206=$E206,IF(AND($D206&gt;=BD$5,$D206&lt;BD$5+7),"◆",""),IF(AND($D206&lt;BD$5+7,$E206&gt;BD$5),"■","")))</x:f>
      </x:c>
      <x:c r="BE206" s="7" t="str">
        <x:f>IF(OR($D206="",BE$5="",'상세일정'!AM206="제외"),"",IF($D206=$E206,IF(AND($D206&gt;=BE$5,$D206&lt;BE$5+7),"◆",""),IF(AND($D206&lt;BE$5+7,$E206&gt;BE$5),"■","")))</x:f>
      </x:c>
      <x:c r="BF206" s="7" t="str">
        <x:f>IF(OR($D206="",BF$5="",'상세일정'!AM206="제외"),"",IF($D206=$E206,IF(AND($D206&gt;=BF$5,$D206&lt;BF$5+7),"◆",""),IF(AND($D206&lt;BF$5+7,$E206&gt;BF$5),"■","")))</x:f>
      </x:c>
      <x:c r="BG206" s="7" t="str">
        <x:f>IF(OR($D206="",BG$5="",'상세일정'!AM206="제외"),"",IF($D206=$E206,IF(AND($D206&gt;=BG$5,$D206&lt;BG$5+7),"◆",""),IF(AND($D206&lt;BG$5+7,$E206&gt;BG$5),"■","")))</x:f>
      </x:c>
      <x:c r="BH206" s="7" t="str">
        <x:f>IF(OR($D206="",BH$5="",'상세일정'!AM206="제외"),"",IF($D206=$E206,IF(AND($D206&gt;=BH$5,$D206&lt;BH$5+7),"◆",""),IF(AND($D206&lt;BH$5+7,$E206&gt;BH$5),"■","")))</x:f>
      </x:c>
      <x:c r="BI206" s="7" t="str">
        <x:f>IF(OR($D206="",BI$5="",'상세일정'!AM206="제외"),"",IF($D206=$E206,IF(AND($D206&gt;=BI$5,$D206&lt;BI$5+7),"◆",""),IF(AND($D206&lt;BI$5+7,$E206&gt;BI$5),"■","")))</x:f>
      </x:c>
      <x:c r="BJ206" s="7" t="str">
        <x:f>IF(OR($D206="",BJ$5="",'상세일정'!AM206="제외"),"",IF($D206=$E206,IF(AND($D206&gt;=BJ$5,$D206&lt;BJ$5+7),"◆",""),IF(AND($D206&lt;BJ$5+7,$E206&gt;BJ$5),"■","")))</x:f>
      </x:c>
      <x:c r="BK206" s="7" t="str">
        <x:f>IF(OR($D206="",BK$5="",'상세일정'!AM206="제외"),"",IF($D206=$E206,IF(AND($D206&gt;=BK$5,$D206&lt;BK$5+7),"◆",""),IF(AND($D206&lt;BK$5+7,$E206&gt;BK$5),"■","")))</x:f>
      </x:c>
      <x:c r="BL206" s="7" t="str">
        <x:f>IF(OR($D206="",BL$5="",'상세일정'!AM206="제외"),"",IF($D206=$E206,IF(AND($D206&gt;=BL$5,$D206&lt;BL$5+7),"◆",""),IF(AND($D206&lt;BL$5+7,$E206&gt;BL$5),"■","")))</x:f>
      </x:c>
      <x:c r="BM206" s="7" t="str">
        <x:f>IF(OR($D206="",BM$5="",'상세일정'!AM206="제외"),"",IF($D206=$E206,IF(AND($D206&gt;=BM$5,$D206&lt;BM$5+7),"◆",""),IF(AND($D206&lt;BM$5+7,$E206&gt;BM$5),"■","")))</x:f>
      </x:c>
      <x:c r="BN206" s="7" t="str">
        <x:f>IF(OR($D206="",BN$5="",'상세일정'!AM206="제외"),"",IF($D206=$E206,IF(AND($D206&gt;=BN$5,$D206&lt;BN$5+7),"◆",""),IF(AND($D206&lt;BN$5+7,$E206&gt;BN$5),"■","")))</x:f>
      </x:c>
      <x:c r="BO206" s="7" t="str">
        <x:f>IF(OR($D206="",BO$5="",'상세일정'!AM206="제외"),"",IF($D206=$E206,IF(AND($D206&gt;=BO$5,$D206&lt;BO$5+7),"◆",""),IF(AND($D206&lt;BO$5+7,$E206&gt;BO$5),"■","")))</x:f>
      </x:c>
      <x:c r="BP206" s="7" t="str">
        <x:f>IF(OR($D206="",BP$5="",'상세일정'!AM206="제외"),"",IF($D206=$E206,IF(AND($D206&gt;=BP$5,$D206&lt;BP$5+7),"◆",""),IF(AND($D206&lt;BP$5+7,$E206&gt;BP$5),"■","")))</x:f>
      </x:c>
      <x:c r="BQ206" s="7" t="str">
        <x:f>IF(OR($D206="",BQ$5="",'상세일정'!AM206="제외"),"",IF($D206=$E206,IF(AND($D206&gt;=BQ$5,$D206&lt;BQ$5+7),"◆",""),IF(AND($D206&lt;BQ$5+7,$E206&gt;BQ$5),"■","")))</x:f>
      </x:c>
      <x:c r="BR206" s="7" t="str">
        <x:f>IF(OR($D206="",BR$5="",'상세일정'!AM206="제외"),"",IF($D206=$E206,IF(AND($D206&gt;=BR$5,$D206&lt;BR$5+7),"◆",""),IF(AND($D206&lt;BR$5+7,$E206&gt;BR$5),"■","")))</x:f>
      </x:c>
      <x:c r="BS206" s="7" t="str">
        <x:f>IF(OR($D206="",BS$5="",'상세일정'!AM206="제외"),"",IF($D206=$E206,IF(AND($D206&gt;=BS$5,$D206&lt;BS$5+7),"◆",""),IF(AND($D206&lt;BS$5+7,$E206&gt;BS$5),"■","")))</x:f>
      </x:c>
      <x:c r="BT206" s="7" t="str">
        <x:f>IF(OR($D206="",BT$5="",'상세일정'!AM206="제외"),"",IF($D206=$E206,IF(AND($D206&gt;=BT$5,$D206&lt;BT$5+7),"◆",""),IF(AND($D206&lt;BT$5+7,$E206&gt;BT$5),"■","")))</x:f>
      </x:c>
      <x:c r="BU206" s="7" t="str">
        <x:f>IF(OR($D206="",BU$5="",'상세일정'!AM206="제외"),"",IF($D206=$E206,IF(AND($D206&gt;=BU$5,$D206&lt;BU$5+7),"◆",""),IF(AND($D206&lt;BU$5+7,$E206&gt;BU$5),"■","")))</x:f>
      </x:c>
      <x:c r="BV206" s="7" t="str">
        <x:f>IF(OR($D206="",BV$5="",'상세일정'!AM206="제외"),"",IF($D206=$E206,IF(AND($D206&gt;=BV$5,$D206&lt;BV$5+7),"◆",""),IF(AND($D206&lt;BV$5+7,$E206&gt;BV$5),"■","")))</x:f>
      </x:c>
      <x:c r="BW206" s="7" t="str">
        <x:f>IF(OR($D206="",BW$5="",'상세일정'!AM206="제외"),"",IF($D206=$E206,IF(AND($D206&gt;=BW$5,$D206&lt;BW$5+7),"◆",""),IF(AND($D206&lt;BW$5+7,$E206&gt;BW$5),"■","")))</x:f>
      </x:c>
      <x:c r="BX206" s="7" t="str">
        <x:f>IF(OR($D206="",BX$5="",'상세일정'!AM206="제외"),"",IF($D206=$E206,IF(AND($D206&gt;=BX$5,$D206&lt;BX$5+7),"◆",""),IF(AND($D206&lt;BX$5+7,$E206&gt;BX$5),"■","")))</x:f>
      </x:c>
      <x:c r="BY206" s="7" t="str">
        <x:f>IF(OR($D206="",BY$5="",'상세일정'!AM206="제외"),"",IF($D206=$E206,IF(AND($D206&gt;=BY$5,$D206&lt;BY$5+7),"◆",""),IF(AND($D206&lt;BY$5+7,$E206&gt;BY$5),"■","")))</x:f>
      </x:c>
      <x:c r="BZ206" s="7" t="str">
        <x:f>IF(OR($D206="",BZ$5="",'상세일정'!AM206="제외"),"",IF($D206=$E206,IF(AND($D206&gt;=BZ$5,$D206&lt;BZ$5+7),"◆",""),IF(AND($D206&lt;BZ$5+7,$E206&gt;BZ$5),"■","")))</x:f>
      </x:c>
      <x:c r="CA206" s="7" t="str">
        <x:f>IF(OR($D206="",CA$5="",'상세일정'!AM206="제외"),"",IF($D206=$E206,IF(AND($D206&gt;=CA$5,$D206&lt;CA$5+7),"◆",""),IF(AND($D206&lt;CA$5+7,$E206&gt;CA$5),"■","")))</x:f>
      </x:c>
      <x:c r="CB206" s="7" t="str">
        <x:f>IF(OR($D206="",CB$5="",'상세일정'!AM206="제외"),"",IF($D206=$E206,IF(AND($D206&gt;=CB$5,$D206&lt;CB$5+7),"◆",""),IF(AND($D206&lt;CB$5+7,$E206&gt;CB$5),"■","")))</x:f>
      </x:c>
      <x:c r="CC206" s="7" t="str">
        <x:f>IF(OR($D206="",CC$5="",'상세일정'!AM206="제외"),"",IF($D206=$E206,IF(AND($D206&gt;=CC$5,$D206&lt;CC$5+7),"◆",""),IF(AND($D206&lt;CC$5+7,$E206&gt;CC$5),"■","")))</x:f>
      </x:c>
      <x:c r="CD206" s="7" t="str">
        <x:f>IF(OR($D206="",CD$5="",'상세일정'!AM206="제외"),"",IF($D206=$E206,IF(AND($D206&gt;=CD$5,$D206&lt;CD$5+7),"◆",""),IF(AND($D206&lt;CD$5+7,$E206&gt;CD$5),"■","")))</x:f>
      </x:c>
      <x:c r="CE206" s="7" t="str">
        <x:f>IF(OR($D206="",CE$5="",'상세일정'!AM206="제외"),"",IF($D206=$E206,IF(AND($D206&gt;=CE$5,$D206&lt;CE$5+7),"◆",""),IF(AND($D206&lt;CE$5+7,$E206&gt;CE$5),"■","")))</x:f>
      </x:c>
      <x:c r="CF206" s="7" t="str">
        <x:f>IF(OR($D206="",CF$5="",'상세일정'!AM206="제외"),"",IF($D206=$E206,IF(AND($D206&gt;=CF$5,$D206&lt;CF$5+7),"◆",""),IF(AND($D206&lt;CF$5+7,$E206&gt;CF$5),"■","")))</x:f>
      </x:c>
      <x:c r="CG206" s="7" t="str">
        <x:f>IF(OR($D206="",CG$5="",'상세일정'!AM206="제외"),"",IF($D206=$E206,IF(AND($D206&gt;=CG$5,$D206&lt;CG$5+7),"◆",""),IF(AND($D206&lt;CG$5+7,$E206&gt;CG$5),"■","")))</x:f>
      </x:c>
      <x:c r="CH206" s="7" t="str">
        <x:f>IF(OR($D206="",CH$5="",'상세일정'!AM206="제외"),"",IF($D206=$E206,IF(AND($D206&gt;=CH$5,$D206&lt;CH$5+7),"◆",""),IF(AND($D206&lt;CH$5+7,$E206&gt;CH$5),"■","")))</x:f>
      </x:c>
      <x:c r="CI206" s="7" t="str">
        <x:f>IF(OR($D206="",CI$5="",'상세일정'!AM206="제외"),"",IF($D206=$E206,IF(AND($D206&gt;=CI$5,$D206&lt;CI$5+7),"◆",""),IF(AND($D206&lt;CI$5+7,$E206&gt;CI$5),"■","")))</x:f>
      </x:c>
      <x:c r="CJ206" s="7" t="str">
        <x:f>IF(OR($D206="",CJ$5="",'상세일정'!AM206="제외"),"",IF($D206=$E206,IF(AND($D206&gt;=CJ$5,$D206&lt;CJ$5+7),"◆",""),IF(AND($D206&lt;CJ$5+7,$E206&gt;CJ$5),"■","")))</x:f>
      </x:c>
      <x:c r="CK206" s="7" t="str">
        <x:f>IF(OR($D206="",CK$5="",'상세일정'!AM206="제외"),"",IF($D206=$E206,IF(AND($D206&gt;=CK$5,$D206&lt;CK$5+7),"◆",""),IF(AND($D206&lt;CK$5+7,$E206&gt;CK$5),"■","")))</x:f>
      </x:c>
      <x:c r="CL206" s="7" t="str">
        <x:f>IF(OR($D206="",CL$5="",'상세일정'!AM206="제외"),"",IF($D206=$E206,IF(AND($D206&gt;=CL$5,$D206&lt;CL$5+7),"◆",""),IF(AND($D206&lt;CL$5+7,$E206&gt;CL$5),"■","")))</x:f>
      </x:c>
      <x:c r="CM206" s="7" t="str">
        <x:f>IF(OR($D206="",CM$5="",'상세일정'!AM206="제외"),"",IF($D206=$E206,IF(AND($D206&gt;=CM$5,$D206&lt;CM$5+7),"◆",""),IF(AND($D206&lt;CM$5+7,$E206&gt;CM$5),"■","")))</x:f>
      </x:c>
      <x:c r="CN206" s="7" t="str">
        <x:f>IF(OR($D206="",CN$5="",'상세일정'!AM206="제외"),"",IF($D206=$E206,IF(AND($D206&gt;=CN$5,$D206&lt;CN$5+7),"◆",""),IF(AND($D206&lt;CN$5+7,$E206&gt;CN$5),"■","")))</x:f>
      </x:c>
      <x:c r="CO206" s="7" t="str">
        <x:f>IF(OR($D206="",CO$5="",'상세일정'!AM206="제외"),"",IF($D206=$E206,IF(AND($D206&gt;=CO$5,$D206&lt;CO$5+7),"◆",""),IF(AND($D206&lt;CO$5+7,$E206&gt;CO$5),"■","")))</x:f>
      </x:c>
      <x:c r="CP206" s="7" t="str">
        <x:f>IF(OR($D206="",CP$5="",'상세일정'!AM206="제외"),"",IF($D206=$E206,IF(AND($D206&gt;=CP$5,$D206&lt;CP$5+7),"◆",""),IF(AND($D206&lt;CP$5+7,$E206&gt;CP$5),"■","")))</x:f>
      </x:c>
      <x:c r="CQ206" s="7" t="str">
        <x:f>IF(OR($D206="",CQ$5="",'상세일정'!AM206="제외"),"",IF($D206=$E206,IF(AND($D206&gt;=CQ$5,$D206&lt;CQ$5+7),"◆",""),IF(AND($D206&lt;CQ$5+7,$E206&gt;CQ$5),"■","")))</x:f>
      </x:c>
      <x:c r="CR206" s="7" t="str">
        <x:f>IF(OR($D206="",CR$5="",'상세일정'!AM206="제외"),"",IF($D206=$E206,IF(AND($D206&gt;=CR$5,$D206&lt;CR$5+7),"◆",""),IF(AND($D206&lt;CR$5+7,$E206&gt;CR$5),"■","")))</x:f>
      </x:c>
      <x:c r="CS206" s="7" t="str">
        <x:f>IF(OR($D206="",CS$5="",'상세일정'!AM206="제외"),"",IF($D206=$E206,IF(AND($D206&gt;=CS$5,$D206&lt;CS$5+7),"◆",""),IF(AND($D206&lt;CS$5+7,$E206&gt;CS$5),"■","")))</x:f>
      </x:c>
      <x:c r="CT206" s="7" t="str">
        <x:f>IF(OR($D206="",CT$5="",'상세일정'!AM206="제외"),"",IF($D206=$E206,IF(AND($D206&gt;=CT$5,$D206&lt;CT$5+7),"◆",""),IF(AND($D206&lt;CT$5+7,$E206&gt;CT$5),"■","")))</x:f>
      </x:c>
      <x:c r="CU206" s="7" t="str">
        <x:f>IF(OR($D206="",CU$5="",'상세일정'!AM206="제외"),"",IF($D206=$E206,IF(AND($D206&gt;=CU$5,$D206&lt;CU$5+7),"◆",""),IF(AND($D206&lt;CU$5+7,$E206&gt;CU$5),"■","")))</x:f>
      </x:c>
      <x:c r="CV206" s="7" t="str">
        <x:f>IF(OR($D206="",CV$5="",'상세일정'!AM206="제외"),"",IF($D206=$E206,IF(AND($D206&gt;=CV$5,$D206&lt;CV$5+7),"◆",""),IF(AND($D206&lt;CV$5+7,$E206&gt;CV$5),"■","")))</x:f>
      </x:c>
      <x:c r="CW206" s="7" t="str">
        <x:f>IF(OR($D206="",CW$5="",'상세일정'!AM206="제외"),"",IF($D206=$E206,IF(AND($D206&gt;=CW$5,$D206&lt;CW$5+7),"◆",""),IF(AND($D206&lt;CW$5+7,$E206&gt;CW$5),"■","")))</x:f>
      </x:c>
      <x:c r="CX206" s="7" t="str">
        <x:f>IF(OR($D206="",CX$5="",'상세일정'!AM206="제외"),"",IF($D206=$E206,IF(AND($D206&gt;=CX$5,$D206&lt;CX$5+7),"◆",""),IF(AND($D206&lt;CX$5+7,$E206&gt;CX$5),"■","")))</x:f>
      </x:c>
      <x:c r="CY206" s="7" t="str">
        <x:f>IF(OR($D206="",CY$5="",'상세일정'!AM206="제외"),"",IF($D206=$E206,IF(AND($D206&gt;=CY$5,$D206&lt;CY$5+7),"◆",""),IF(AND($D206&lt;CY$5+7,$E206&gt;CY$5),"■","")))</x:f>
      </x:c>
      <x:c r="CZ206" s="7" t="str">
        <x:f>IF(OR($D206="",CZ$5="",'상세일정'!AM206="제외"),"",IF($D206=$E206,IF(AND($D206&gt;=CZ$5,$D206&lt;CZ$5+7),"◆",""),IF(AND($D206&lt;CZ$5+7,$E206&gt;CZ$5),"■","")))</x:f>
      </x:c>
      <x:c r="DA206" s="7" t="str">
        <x:f>IF(OR($D206="",DA$5="",'상세일정'!AM206="제외"),"",IF($D206=$E206,IF(AND($D206&gt;=DA$5,$D206&lt;DA$5+7),"◆",""),IF(AND($D206&lt;DA$5+7,$E206&gt;DA$5),"■","")))</x:f>
      </x:c>
      <x:c r="DB206" s="7" t="str">
        <x:f>IF(OR($D206="",DB$5="",'상세일정'!AM206="제외"),"",IF($D206=$E206,IF(AND($D206&gt;=DB$5,$D206&lt;DB$5+7),"◆",""),IF(AND($D206&lt;DB$5+7,$E206&gt;DB$5),"■","")))</x:f>
      </x:c>
      <x:c r="DC206" s="7" t="str">
        <x:f>IF(OR($D206="",DC$5="",'상세일정'!AM206="제외"),"",IF($D206=$E206,IF(AND($D206&gt;=DC$5,$D206&lt;DC$5+7),"◆",""),IF(AND($D206&lt;DC$5+7,$E206&gt;DC$5),"■","")))</x:f>
      </x:c>
      <x:c r="DD206" s="7" t="str">
        <x:f>IF(OR($D206="",DD$5="",'상세일정'!AM206="제외"),"",IF($D206=$E206,IF(AND($D206&gt;=DD$5,$D206&lt;DD$5+7),"◆",""),IF(AND($D206&lt;DD$5+7,$E206&gt;DD$5),"■","")))</x:f>
      </x:c>
      <x:c r="DE206" s="7" t="str">
        <x:f>IF(OR($D206="",DE$5="",'상세일정'!AM206="제외"),"",IF($D206=$E206,IF(AND($D206&gt;=DE$5,$D206&lt;DE$5+7),"◆",""),IF(AND($D206&lt;DE$5+7,$E206&gt;DE$5),"■","")))</x:f>
      </x:c>
    </x:row>
    <x:row r="207" ht="34" customHeight="1">
      <x:c r="A207" s="7" t="str">
        <x:v>EC05</x:v>
      </x:c>
      <x:c r="B207" s="7" t="str">
        <x:v>23 전기·계장 시공</x:v>
      </x:c>
      <x:c r="C207" s="7" t="str">
        <x:v>절연·접지·보호계전 시험</x:v>
      </x:c>
      <x:c r="D207" s="10" t="str">
        <x:f>'상세일정'!AJ207</x:f>
      </x:c>
      <x:c r="E207" s="10" t="str">
        <x:f>'상세일정'!AK207</x:f>
      </x:c>
      <x:c r="F207" s="7" t="str">
        <x:f>IF(OR($D207="",F$5="",'상세일정'!AM207="제외"),"",IF($D207=$E207,IF(AND($D207&gt;=F$5,$D207&lt;F$5+7),"◆",""),IF(AND($D207&lt;F$5+7,$E207&gt;F$5),"■","")))</x:f>
      </x:c>
      <x:c r="G207" s="7" t="str">
        <x:f>IF(OR($D207="",G$5="",'상세일정'!AM207="제외"),"",IF($D207=$E207,IF(AND($D207&gt;=G$5,$D207&lt;G$5+7),"◆",""),IF(AND($D207&lt;G$5+7,$E207&gt;G$5),"■","")))</x:f>
      </x:c>
      <x:c r="H207" s="7" t="str">
        <x:f>IF(OR($D207="",H$5="",'상세일정'!AM207="제외"),"",IF($D207=$E207,IF(AND($D207&gt;=H$5,$D207&lt;H$5+7),"◆",""),IF(AND($D207&lt;H$5+7,$E207&gt;H$5),"■","")))</x:f>
      </x:c>
      <x:c r="I207" s="7" t="str">
        <x:f>IF(OR($D207="",I$5="",'상세일정'!AM207="제외"),"",IF($D207=$E207,IF(AND($D207&gt;=I$5,$D207&lt;I$5+7),"◆",""),IF(AND($D207&lt;I$5+7,$E207&gt;I$5),"■","")))</x:f>
      </x:c>
      <x:c r="J207" s="7" t="str">
        <x:f>IF(OR($D207="",J$5="",'상세일정'!AM207="제외"),"",IF($D207=$E207,IF(AND($D207&gt;=J$5,$D207&lt;J$5+7),"◆",""),IF(AND($D207&lt;J$5+7,$E207&gt;J$5),"■","")))</x:f>
      </x:c>
      <x:c r="K207" s="7" t="str">
        <x:f>IF(OR($D207="",K$5="",'상세일정'!AM207="제외"),"",IF($D207=$E207,IF(AND($D207&gt;=K$5,$D207&lt;K$5+7),"◆",""),IF(AND($D207&lt;K$5+7,$E207&gt;K$5),"■","")))</x:f>
      </x:c>
      <x:c r="L207" s="7" t="str">
        <x:f>IF(OR($D207="",L$5="",'상세일정'!AM207="제외"),"",IF($D207=$E207,IF(AND($D207&gt;=L$5,$D207&lt;L$5+7),"◆",""),IF(AND($D207&lt;L$5+7,$E207&gt;L$5),"■","")))</x:f>
      </x:c>
      <x:c r="M207" s="7" t="str">
        <x:f>IF(OR($D207="",M$5="",'상세일정'!AM207="제외"),"",IF($D207=$E207,IF(AND($D207&gt;=M$5,$D207&lt;M$5+7),"◆",""),IF(AND($D207&lt;M$5+7,$E207&gt;M$5),"■","")))</x:f>
      </x:c>
      <x:c r="N207" s="7" t="str">
        <x:f>IF(OR($D207="",N$5="",'상세일정'!AM207="제외"),"",IF($D207=$E207,IF(AND($D207&gt;=N$5,$D207&lt;N$5+7),"◆",""),IF(AND($D207&lt;N$5+7,$E207&gt;N$5),"■","")))</x:f>
      </x:c>
      <x:c r="O207" s="7" t="str">
        <x:f>IF(OR($D207="",O$5="",'상세일정'!AM207="제외"),"",IF($D207=$E207,IF(AND($D207&gt;=O$5,$D207&lt;O$5+7),"◆",""),IF(AND($D207&lt;O$5+7,$E207&gt;O$5),"■","")))</x:f>
      </x:c>
      <x:c r="P207" s="7" t="str">
        <x:f>IF(OR($D207="",P$5="",'상세일정'!AM207="제외"),"",IF($D207=$E207,IF(AND($D207&gt;=P$5,$D207&lt;P$5+7),"◆",""),IF(AND($D207&lt;P$5+7,$E207&gt;P$5),"■","")))</x:f>
      </x:c>
      <x:c r="Q207" s="7" t="str">
        <x:f>IF(OR($D207="",Q$5="",'상세일정'!AM207="제외"),"",IF($D207=$E207,IF(AND($D207&gt;=Q$5,$D207&lt;Q$5+7),"◆",""),IF(AND($D207&lt;Q$5+7,$E207&gt;Q$5),"■","")))</x:f>
      </x:c>
      <x:c r="R207" s="7" t="str">
        <x:f>IF(OR($D207="",R$5="",'상세일정'!AM207="제외"),"",IF($D207=$E207,IF(AND($D207&gt;=R$5,$D207&lt;R$5+7),"◆",""),IF(AND($D207&lt;R$5+7,$E207&gt;R$5),"■","")))</x:f>
      </x:c>
      <x:c r="S207" s="7" t="str">
        <x:f>IF(OR($D207="",S$5="",'상세일정'!AM207="제외"),"",IF($D207=$E207,IF(AND($D207&gt;=S$5,$D207&lt;S$5+7),"◆",""),IF(AND($D207&lt;S$5+7,$E207&gt;S$5),"■","")))</x:f>
      </x:c>
      <x:c r="T207" s="7" t="str">
        <x:f>IF(OR($D207="",T$5="",'상세일정'!AM207="제외"),"",IF($D207=$E207,IF(AND($D207&gt;=T$5,$D207&lt;T$5+7),"◆",""),IF(AND($D207&lt;T$5+7,$E207&gt;T$5),"■","")))</x:f>
      </x:c>
      <x:c r="U207" s="7" t="str">
        <x:f>IF(OR($D207="",U$5="",'상세일정'!AM207="제외"),"",IF($D207=$E207,IF(AND($D207&gt;=U$5,$D207&lt;U$5+7),"◆",""),IF(AND($D207&lt;U$5+7,$E207&gt;U$5),"■","")))</x:f>
      </x:c>
      <x:c r="V207" s="7" t="str">
        <x:f>IF(OR($D207="",V$5="",'상세일정'!AM207="제외"),"",IF($D207=$E207,IF(AND($D207&gt;=V$5,$D207&lt;V$5+7),"◆",""),IF(AND($D207&lt;V$5+7,$E207&gt;V$5),"■","")))</x:f>
      </x:c>
      <x:c r="W207" s="7" t="str">
        <x:f>IF(OR($D207="",W$5="",'상세일정'!AM207="제외"),"",IF($D207=$E207,IF(AND($D207&gt;=W$5,$D207&lt;W$5+7),"◆",""),IF(AND($D207&lt;W$5+7,$E207&gt;W$5),"■","")))</x:f>
      </x:c>
      <x:c r="X207" s="7" t="str">
        <x:f>IF(OR($D207="",X$5="",'상세일정'!AM207="제외"),"",IF($D207=$E207,IF(AND($D207&gt;=X$5,$D207&lt;X$5+7),"◆",""),IF(AND($D207&lt;X$5+7,$E207&gt;X$5),"■","")))</x:f>
      </x:c>
      <x:c r="Y207" s="7" t="str">
        <x:f>IF(OR($D207="",Y$5="",'상세일정'!AM207="제외"),"",IF($D207=$E207,IF(AND($D207&gt;=Y$5,$D207&lt;Y$5+7),"◆",""),IF(AND($D207&lt;Y$5+7,$E207&gt;Y$5),"■","")))</x:f>
      </x:c>
      <x:c r="Z207" s="7" t="str">
        <x:f>IF(OR($D207="",Z$5="",'상세일정'!AM207="제외"),"",IF($D207=$E207,IF(AND($D207&gt;=Z$5,$D207&lt;Z$5+7),"◆",""),IF(AND($D207&lt;Z$5+7,$E207&gt;Z$5),"■","")))</x:f>
      </x:c>
      <x:c r="AA207" s="7" t="str">
        <x:f>IF(OR($D207="",AA$5="",'상세일정'!AM207="제외"),"",IF($D207=$E207,IF(AND($D207&gt;=AA$5,$D207&lt;AA$5+7),"◆",""),IF(AND($D207&lt;AA$5+7,$E207&gt;AA$5),"■","")))</x:f>
      </x:c>
      <x:c r="AB207" s="7" t="str">
        <x:f>IF(OR($D207="",AB$5="",'상세일정'!AM207="제외"),"",IF($D207=$E207,IF(AND($D207&gt;=AB$5,$D207&lt;AB$5+7),"◆",""),IF(AND($D207&lt;AB$5+7,$E207&gt;AB$5),"■","")))</x:f>
      </x:c>
      <x:c r="AC207" s="7" t="str">
        <x:f>IF(OR($D207="",AC$5="",'상세일정'!AM207="제외"),"",IF($D207=$E207,IF(AND($D207&gt;=AC$5,$D207&lt;AC$5+7),"◆",""),IF(AND($D207&lt;AC$5+7,$E207&gt;AC$5),"■","")))</x:f>
      </x:c>
      <x:c r="AD207" s="7" t="str">
        <x:f>IF(OR($D207="",AD$5="",'상세일정'!AM207="제외"),"",IF($D207=$E207,IF(AND($D207&gt;=AD$5,$D207&lt;AD$5+7),"◆",""),IF(AND($D207&lt;AD$5+7,$E207&gt;AD$5),"■","")))</x:f>
      </x:c>
      <x:c r="AE207" s="7" t="str">
        <x:f>IF(OR($D207="",AE$5="",'상세일정'!AM207="제외"),"",IF($D207=$E207,IF(AND($D207&gt;=AE$5,$D207&lt;AE$5+7),"◆",""),IF(AND($D207&lt;AE$5+7,$E207&gt;AE$5),"■","")))</x:f>
      </x:c>
      <x:c r="AF207" s="7" t="str">
        <x:f>IF(OR($D207="",AF$5="",'상세일정'!AM207="제외"),"",IF($D207=$E207,IF(AND($D207&gt;=AF$5,$D207&lt;AF$5+7),"◆",""),IF(AND($D207&lt;AF$5+7,$E207&gt;AF$5),"■","")))</x:f>
      </x:c>
      <x:c r="AG207" s="7" t="str">
        <x:f>IF(OR($D207="",AG$5="",'상세일정'!AM207="제외"),"",IF($D207=$E207,IF(AND($D207&gt;=AG$5,$D207&lt;AG$5+7),"◆",""),IF(AND($D207&lt;AG$5+7,$E207&gt;AG$5),"■","")))</x:f>
      </x:c>
      <x:c r="AH207" s="7" t="str">
        <x:f>IF(OR($D207="",AH$5="",'상세일정'!AM207="제외"),"",IF($D207=$E207,IF(AND($D207&gt;=AH$5,$D207&lt;AH$5+7),"◆",""),IF(AND($D207&lt;AH$5+7,$E207&gt;AH$5),"■","")))</x:f>
      </x:c>
      <x:c r="AI207" s="7" t="str">
        <x:f>IF(OR($D207="",AI$5="",'상세일정'!AM207="제외"),"",IF($D207=$E207,IF(AND($D207&gt;=AI$5,$D207&lt;AI$5+7),"◆",""),IF(AND($D207&lt;AI$5+7,$E207&gt;AI$5),"■","")))</x:f>
      </x:c>
      <x:c r="AJ207" s="7" t="str">
        <x:f>IF(OR($D207="",AJ$5="",'상세일정'!AM207="제외"),"",IF($D207=$E207,IF(AND($D207&gt;=AJ$5,$D207&lt;AJ$5+7),"◆",""),IF(AND($D207&lt;AJ$5+7,$E207&gt;AJ$5),"■","")))</x:f>
      </x:c>
      <x:c r="AK207" s="7" t="str">
        <x:f>IF(OR($D207="",AK$5="",'상세일정'!AM207="제외"),"",IF($D207=$E207,IF(AND($D207&gt;=AK$5,$D207&lt;AK$5+7),"◆",""),IF(AND($D207&lt;AK$5+7,$E207&gt;AK$5),"■","")))</x:f>
      </x:c>
      <x:c r="AL207" s="7" t="str">
        <x:f>IF(OR($D207="",AL$5="",'상세일정'!AM207="제외"),"",IF($D207=$E207,IF(AND($D207&gt;=AL$5,$D207&lt;AL$5+7),"◆",""),IF(AND($D207&lt;AL$5+7,$E207&gt;AL$5),"■","")))</x:f>
      </x:c>
      <x:c r="AM207" s="7" t="str">
        <x:f>IF(OR($D207="",AM$5="",'상세일정'!AM207="제외"),"",IF($D207=$E207,IF(AND($D207&gt;=AM$5,$D207&lt;AM$5+7),"◆",""),IF(AND($D207&lt;AM$5+7,$E207&gt;AM$5),"■","")))</x:f>
      </x:c>
      <x:c r="AN207" s="7" t="str">
        <x:f>IF(OR($D207="",AN$5="",'상세일정'!AM207="제외"),"",IF($D207=$E207,IF(AND($D207&gt;=AN$5,$D207&lt;AN$5+7),"◆",""),IF(AND($D207&lt;AN$5+7,$E207&gt;AN$5),"■","")))</x:f>
      </x:c>
      <x:c r="AO207" s="7" t="str">
        <x:f>IF(OR($D207="",AO$5="",'상세일정'!AM207="제외"),"",IF($D207=$E207,IF(AND($D207&gt;=AO$5,$D207&lt;AO$5+7),"◆",""),IF(AND($D207&lt;AO$5+7,$E207&gt;AO$5),"■","")))</x:f>
      </x:c>
      <x:c r="AP207" s="7" t="str">
        <x:f>IF(OR($D207="",AP$5="",'상세일정'!AM207="제외"),"",IF($D207=$E207,IF(AND($D207&gt;=AP$5,$D207&lt;AP$5+7),"◆",""),IF(AND($D207&lt;AP$5+7,$E207&gt;AP$5),"■","")))</x:f>
      </x:c>
      <x:c r="AQ207" s="7" t="str">
        <x:f>IF(OR($D207="",AQ$5="",'상세일정'!AM207="제외"),"",IF($D207=$E207,IF(AND($D207&gt;=AQ$5,$D207&lt;AQ$5+7),"◆",""),IF(AND($D207&lt;AQ$5+7,$E207&gt;AQ$5),"■","")))</x:f>
      </x:c>
      <x:c r="AR207" s="7" t="str">
        <x:f>IF(OR($D207="",AR$5="",'상세일정'!AM207="제외"),"",IF($D207=$E207,IF(AND($D207&gt;=AR$5,$D207&lt;AR$5+7),"◆",""),IF(AND($D207&lt;AR$5+7,$E207&gt;AR$5),"■","")))</x:f>
      </x:c>
      <x:c r="AS207" s="7" t="str">
        <x:f>IF(OR($D207="",AS$5="",'상세일정'!AM207="제외"),"",IF($D207=$E207,IF(AND($D207&gt;=AS$5,$D207&lt;AS$5+7),"◆",""),IF(AND($D207&lt;AS$5+7,$E207&gt;AS$5),"■","")))</x:f>
      </x:c>
      <x:c r="AT207" s="7" t="str">
        <x:f>IF(OR($D207="",AT$5="",'상세일정'!AM207="제외"),"",IF($D207=$E207,IF(AND($D207&gt;=AT$5,$D207&lt;AT$5+7),"◆",""),IF(AND($D207&lt;AT$5+7,$E207&gt;AT$5),"■","")))</x:f>
      </x:c>
      <x:c r="AU207" s="7" t="str">
        <x:f>IF(OR($D207="",AU$5="",'상세일정'!AM207="제외"),"",IF($D207=$E207,IF(AND($D207&gt;=AU$5,$D207&lt;AU$5+7),"◆",""),IF(AND($D207&lt;AU$5+7,$E207&gt;AU$5),"■","")))</x:f>
      </x:c>
      <x:c r="AV207" s="7" t="str">
        <x:f>IF(OR($D207="",AV$5="",'상세일정'!AM207="제외"),"",IF($D207=$E207,IF(AND($D207&gt;=AV$5,$D207&lt;AV$5+7),"◆",""),IF(AND($D207&lt;AV$5+7,$E207&gt;AV$5),"■","")))</x:f>
      </x:c>
      <x:c r="AW207" s="7" t="str">
        <x:f>IF(OR($D207="",AW$5="",'상세일정'!AM207="제외"),"",IF($D207=$E207,IF(AND($D207&gt;=AW$5,$D207&lt;AW$5+7),"◆",""),IF(AND($D207&lt;AW$5+7,$E207&gt;AW$5),"■","")))</x:f>
      </x:c>
      <x:c r="AX207" s="7" t="str">
        <x:f>IF(OR($D207="",AX$5="",'상세일정'!AM207="제외"),"",IF($D207=$E207,IF(AND($D207&gt;=AX$5,$D207&lt;AX$5+7),"◆",""),IF(AND($D207&lt;AX$5+7,$E207&gt;AX$5),"■","")))</x:f>
      </x:c>
      <x:c r="AY207" s="7" t="str">
        <x:f>IF(OR($D207="",AY$5="",'상세일정'!AM207="제외"),"",IF($D207=$E207,IF(AND($D207&gt;=AY$5,$D207&lt;AY$5+7),"◆",""),IF(AND($D207&lt;AY$5+7,$E207&gt;AY$5),"■","")))</x:f>
      </x:c>
      <x:c r="AZ207" s="7" t="str">
        <x:f>IF(OR($D207="",AZ$5="",'상세일정'!AM207="제외"),"",IF($D207=$E207,IF(AND($D207&gt;=AZ$5,$D207&lt;AZ$5+7),"◆",""),IF(AND($D207&lt;AZ$5+7,$E207&gt;AZ$5),"■","")))</x:f>
      </x:c>
      <x:c r="BA207" s="7" t="str">
        <x:f>IF(OR($D207="",BA$5="",'상세일정'!AM207="제외"),"",IF($D207=$E207,IF(AND($D207&gt;=BA$5,$D207&lt;BA$5+7),"◆",""),IF(AND($D207&lt;BA$5+7,$E207&gt;BA$5),"■","")))</x:f>
      </x:c>
      <x:c r="BB207" s="7" t="str">
        <x:f>IF(OR($D207="",BB$5="",'상세일정'!AM207="제외"),"",IF($D207=$E207,IF(AND($D207&gt;=BB$5,$D207&lt;BB$5+7),"◆",""),IF(AND($D207&lt;BB$5+7,$E207&gt;BB$5),"■","")))</x:f>
      </x:c>
      <x:c r="BC207" s="7" t="str">
        <x:f>IF(OR($D207="",BC$5="",'상세일정'!AM207="제외"),"",IF($D207=$E207,IF(AND($D207&gt;=BC$5,$D207&lt;BC$5+7),"◆",""),IF(AND($D207&lt;BC$5+7,$E207&gt;BC$5),"■","")))</x:f>
      </x:c>
      <x:c r="BD207" s="7" t="str">
        <x:f>IF(OR($D207="",BD$5="",'상세일정'!AM207="제외"),"",IF($D207=$E207,IF(AND($D207&gt;=BD$5,$D207&lt;BD$5+7),"◆",""),IF(AND($D207&lt;BD$5+7,$E207&gt;BD$5),"■","")))</x:f>
      </x:c>
      <x:c r="BE207" s="7" t="str">
        <x:f>IF(OR($D207="",BE$5="",'상세일정'!AM207="제외"),"",IF($D207=$E207,IF(AND($D207&gt;=BE$5,$D207&lt;BE$5+7),"◆",""),IF(AND($D207&lt;BE$5+7,$E207&gt;BE$5),"■","")))</x:f>
      </x:c>
      <x:c r="BF207" s="7" t="str">
        <x:f>IF(OR($D207="",BF$5="",'상세일정'!AM207="제외"),"",IF($D207=$E207,IF(AND($D207&gt;=BF$5,$D207&lt;BF$5+7),"◆",""),IF(AND($D207&lt;BF$5+7,$E207&gt;BF$5),"■","")))</x:f>
      </x:c>
      <x:c r="BG207" s="7" t="str">
        <x:f>IF(OR($D207="",BG$5="",'상세일정'!AM207="제외"),"",IF($D207=$E207,IF(AND($D207&gt;=BG$5,$D207&lt;BG$5+7),"◆",""),IF(AND($D207&lt;BG$5+7,$E207&gt;BG$5),"■","")))</x:f>
      </x:c>
      <x:c r="BH207" s="7" t="str">
        <x:f>IF(OR($D207="",BH$5="",'상세일정'!AM207="제외"),"",IF($D207=$E207,IF(AND($D207&gt;=BH$5,$D207&lt;BH$5+7),"◆",""),IF(AND($D207&lt;BH$5+7,$E207&gt;BH$5),"■","")))</x:f>
      </x:c>
      <x:c r="BI207" s="7" t="str">
        <x:f>IF(OR($D207="",BI$5="",'상세일정'!AM207="제외"),"",IF($D207=$E207,IF(AND($D207&gt;=BI$5,$D207&lt;BI$5+7),"◆",""),IF(AND($D207&lt;BI$5+7,$E207&gt;BI$5),"■","")))</x:f>
      </x:c>
      <x:c r="BJ207" s="7" t="str">
        <x:f>IF(OR($D207="",BJ$5="",'상세일정'!AM207="제외"),"",IF($D207=$E207,IF(AND($D207&gt;=BJ$5,$D207&lt;BJ$5+7),"◆",""),IF(AND($D207&lt;BJ$5+7,$E207&gt;BJ$5),"■","")))</x:f>
      </x:c>
      <x:c r="BK207" s="7" t="str">
        <x:f>IF(OR($D207="",BK$5="",'상세일정'!AM207="제외"),"",IF($D207=$E207,IF(AND($D207&gt;=BK$5,$D207&lt;BK$5+7),"◆",""),IF(AND($D207&lt;BK$5+7,$E207&gt;BK$5),"■","")))</x:f>
      </x:c>
      <x:c r="BL207" s="7" t="str">
        <x:f>IF(OR($D207="",BL$5="",'상세일정'!AM207="제외"),"",IF($D207=$E207,IF(AND($D207&gt;=BL$5,$D207&lt;BL$5+7),"◆",""),IF(AND($D207&lt;BL$5+7,$E207&gt;BL$5),"■","")))</x:f>
      </x:c>
      <x:c r="BM207" s="7" t="str">
        <x:f>IF(OR($D207="",BM$5="",'상세일정'!AM207="제외"),"",IF($D207=$E207,IF(AND($D207&gt;=BM$5,$D207&lt;BM$5+7),"◆",""),IF(AND($D207&lt;BM$5+7,$E207&gt;BM$5),"■","")))</x:f>
      </x:c>
      <x:c r="BN207" s="7" t="str">
        <x:f>IF(OR($D207="",BN$5="",'상세일정'!AM207="제외"),"",IF($D207=$E207,IF(AND($D207&gt;=BN$5,$D207&lt;BN$5+7),"◆",""),IF(AND($D207&lt;BN$5+7,$E207&gt;BN$5),"■","")))</x:f>
      </x:c>
      <x:c r="BO207" s="7" t="str">
        <x:f>IF(OR($D207="",BO$5="",'상세일정'!AM207="제외"),"",IF($D207=$E207,IF(AND($D207&gt;=BO$5,$D207&lt;BO$5+7),"◆",""),IF(AND($D207&lt;BO$5+7,$E207&gt;BO$5),"■","")))</x:f>
      </x:c>
      <x:c r="BP207" s="7" t="str">
        <x:f>IF(OR($D207="",BP$5="",'상세일정'!AM207="제외"),"",IF($D207=$E207,IF(AND($D207&gt;=BP$5,$D207&lt;BP$5+7),"◆",""),IF(AND($D207&lt;BP$5+7,$E207&gt;BP$5),"■","")))</x:f>
      </x:c>
      <x:c r="BQ207" s="7" t="str">
        <x:f>IF(OR($D207="",BQ$5="",'상세일정'!AM207="제외"),"",IF($D207=$E207,IF(AND($D207&gt;=BQ$5,$D207&lt;BQ$5+7),"◆",""),IF(AND($D207&lt;BQ$5+7,$E207&gt;BQ$5),"■","")))</x:f>
      </x:c>
      <x:c r="BR207" s="7" t="str">
        <x:f>IF(OR($D207="",BR$5="",'상세일정'!AM207="제외"),"",IF($D207=$E207,IF(AND($D207&gt;=BR$5,$D207&lt;BR$5+7),"◆",""),IF(AND($D207&lt;BR$5+7,$E207&gt;BR$5),"■","")))</x:f>
      </x:c>
      <x:c r="BS207" s="7" t="str">
        <x:f>IF(OR($D207="",BS$5="",'상세일정'!AM207="제외"),"",IF($D207=$E207,IF(AND($D207&gt;=BS$5,$D207&lt;BS$5+7),"◆",""),IF(AND($D207&lt;BS$5+7,$E207&gt;BS$5),"■","")))</x:f>
      </x:c>
      <x:c r="BT207" s="7" t="str">
        <x:f>IF(OR($D207="",BT$5="",'상세일정'!AM207="제외"),"",IF($D207=$E207,IF(AND($D207&gt;=BT$5,$D207&lt;BT$5+7),"◆",""),IF(AND($D207&lt;BT$5+7,$E207&gt;BT$5),"■","")))</x:f>
      </x:c>
      <x:c r="BU207" s="7" t="str">
        <x:f>IF(OR($D207="",BU$5="",'상세일정'!AM207="제외"),"",IF($D207=$E207,IF(AND($D207&gt;=BU$5,$D207&lt;BU$5+7),"◆",""),IF(AND($D207&lt;BU$5+7,$E207&gt;BU$5),"■","")))</x:f>
      </x:c>
      <x:c r="BV207" s="7" t="str">
        <x:f>IF(OR($D207="",BV$5="",'상세일정'!AM207="제외"),"",IF($D207=$E207,IF(AND($D207&gt;=BV$5,$D207&lt;BV$5+7),"◆",""),IF(AND($D207&lt;BV$5+7,$E207&gt;BV$5),"■","")))</x:f>
      </x:c>
      <x:c r="BW207" s="7" t="str">
        <x:f>IF(OR($D207="",BW$5="",'상세일정'!AM207="제외"),"",IF($D207=$E207,IF(AND($D207&gt;=BW$5,$D207&lt;BW$5+7),"◆",""),IF(AND($D207&lt;BW$5+7,$E207&gt;BW$5),"■","")))</x:f>
      </x:c>
      <x:c r="BX207" s="7" t="str">
        <x:f>IF(OR($D207="",BX$5="",'상세일정'!AM207="제외"),"",IF($D207=$E207,IF(AND($D207&gt;=BX$5,$D207&lt;BX$5+7),"◆",""),IF(AND($D207&lt;BX$5+7,$E207&gt;BX$5),"■","")))</x:f>
      </x:c>
      <x:c r="BY207" s="7" t="str">
        <x:f>IF(OR($D207="",BY$5="",'상세일정'!AM207="제외"),"",IF($D207=$E207,IF(AND($D207&gt;=BY$5,$D207&lt;BY$5+7),"◆",""),IF(AND($D207&lt;BY$5+7,$E207&gt;BY$5),"■","")))</x:f>
      </x:c>
      <x:c r="BZ207" s="7" t="str">
        <x:f>IF(OR($D207="",BZ$5="",'상세일정'!AM207="제외"),"",IF($D207=$E207,IF(AND($D207&gt;=BZ$5,$D207&lt;BZ$5+7),"◆",""),IF(AND($D207&lt;BZ$5+7,$E207&gt;BZ$5),"■","")))</x:f>
      </x:c>
      <x:c r="CA207" s="7" t="str">
        <x:f>IF(OR($D207="",CA$5="",'상세일정'!AM207="제외"),"",IF($D207=$E207,IF(AND($D207&gt;=CA$5,$D207&lt;CA$5+7),"◆",""),IF(AND($D207&lt;CA$5+7,$E207&gt;CA$5),"■","")))</x:f>
      </x:c>
      <x:c r="CB207" s="7" t="str">
        <x:f>IF(OR($D207="",CB$5="",'상세일정'!AM207="제외"),"",IF($D207=$E207,IF(AND($D207&gt;=CB$5,$D207&lt;CB$5+7),"◆",""),IF(AND($D207&lt;CB$5+7,$E207&gt;CB$5),"■","")))</x:f>
      </x:c>
      <x:c r="CC207" s="7" t="str">
        <x:f>IF(OR($D207="",CC$5="",'상세일정'!AM207="제외"),"",IF($D207=$E207,IF(AND($D207&gt;=CC$5,$D207&lt;CC$5+7),"◆",""),IF(AND($D207&lt;CC$5+7,$E207&gt;CC$5),"■","")))</x:f>
      </x:c>
      <x:c r="CD207" s="7" t="str">
        <x:f>IF(OR($D207="",CD$5="",'상세일정'!AM207="제외"),"",IF($D207=$E207,IF(AND($D207&gt;=CD$5,$D207&lt;CD$5+7),"◆",""),IF(AND($D207&lt;CD$5+7,$E207&gt;CD$5),"■","")))</x:f>
      </x:c>
      <x:c r="CE207" s="7" t="str">
        <x:f>IF(OR($D207="",CE$5="",'상세일정'!AM207="제외"),"",IF($D207=$E207,IF(AND($D207&gt;=CE$5,$D207&lt;CE$5+7),"◆",""),IF(AND($D207&lt;CE$5+7,$E207&gt;CE$5),"■","")))</x:f>
      </x:c>
      <x:c r="CF207" s="7" t="str">
        <x:f>IF(OR($D207="",CF$5="",'상세일정'!AM207="제외"),"",IF($D207=$E207,IF(AND($D207&gt;=CF$5,$D207&lt;CF$5+7),"◆",""),IF(AND($D207&lt;CF$5+7,$E207&gt;CF$5),"■","")))</x:f>
      </x:c>
      <x:c r="CG207" s="7" t="str">
        <x:f>IF(OR($D207="",CG$5="",'상세일정'!AM207="제외"),"",IF($D207=$E207,IF(AND($D207&gt;=CG$5,$D207&lt;CG$5+7),"◆",""),IF(AND($D207&lt;CG$5+7,$E207&gt;CG$5),"■","")))</x:f>
      </x:c>
      <x:c r="CH207" s="7" t="str">
        <x:f>IF(OR($D207="",CH$5="",'상세일정'!AM207="제외"),"",IF($D207=$E207,IF(AND($D207&gt;=CH$5,$D207&lt;CH$5+7),"◆",""),IF(AND($D207&lt;CH$5+7,$E207&gt;CH$5),"■","")))</x:f>
      </x:c>
      <x:c r="CI207" s="7" t="str">
        <x:f>IF(OR($D207="",CI$5="",'상세일정'!AM207="제외"),"",IF($D207=$E207,IF(AND($D207&gt;=CI$5,$D207&lt;CI$5+7),"◆",""),IF(AND($D207&lt;CI$5+7,$E207&gt;CI$5),"■","")))</x:f>
      </x:c>
      <x:c r="CJ207" s="7" t="str">
        <x:f>IF(OR($D207="",CJ$5="",'상세일정'!AM207="제외"),"",IF($D207=$E207,IF(AND($D207&gt;=CJ$5,$D207&lt;CJ$5+7),"◆",""),IF(AND($D207&lt;CJ$5+7,$E207&gt;CJ$5),"■","")))</x:f>
      </x:c>
      <x:c r="CK207" s="7" t="str">
        <x:f>IF(OR($D207="",CK$5="",'상세일정'!AM207="제외"),"",IF($D207=$E207,IF(AND($D207&gt;=CK$5,$D207&lt;CK$5+7),"◆",""),IF(AND($D207&lt;CK$5+7,$E207&gt;CK$5),"■","")))</x:f>
      </x:c>
      <x:c r="CL207" s="7" t="str">
        <x:f>IF(OR($D207="",CL$5="",'상세일정'!AM207="제외"),"",IF($D207=$E207,IF(AND($D207&gt;=CL$5,$D207&lt;CL$5+7),"◆",""),IF(AND($D207&lt;CL$5+7,$E207&gt;CL$5),"■","")))</x:f>
      </x:c>
      <x:c r="CM207" s="7" t="str">
        <x:f>IF(OR($D207="",CM$5="",'상세일정'!AM207="제외"),"",IF($D207=$E207,IF(AND($D207&gt;=CM$5,$D207&lt;CM$5+7),"◆",""),IF(AND($D207&lt;CM$5+7,$E207&gt;CM$5),"■","")))</x:f>
      </x:c>
      <x:c r="CN207" s="7" t="str">
        <x:f>IF(OR($D207="",CN$5="",'상세일정'!AM207="제외"),"",IF($D207=$E207,IF(AND($D207&gt;=CN$5,$D207&lt;CN$5+7),"◆",""),IF(AND($D207&lt;CN$5+7,$E207&gt;CN$5),"■","")))</x:f>
      </x:c>
      <x:c r="CO207" s="7" t="str">
        <x:f>IF(OR($D207="",CO$5="",'상세일정'!AM207="제외"),"",IF($D207=$E207,IF(AND($D207&gt;=CO$5,$D207&lt;CO$5+7),"◆",""),IF(AND($D207&lt;CO$5+7,$E207&gt;CO$5),"■","")))</x:f>
      </x:c>
      <x:c r="CP207" s="7" t="str">
        <x:f>IF(OR($D207="",CP$5="",'상세일정'!AM207="제외"),"",IF($D207=$E207,IF(AND($D207&gt;=CP$5,$D207&lt;CP$5+7),"◆",""),IF(AND($D207&lt;CP$5+7,$E207&gt;CP$5),"■","")))</x:f>
      </x:c>
      <x:c r="CQ207" s="7" t="str">
        <x:f>IF(OR($D207="",CQ$5="",'상세일정'!AM207="제외"),"",IF($D207=$E207,IF(AND($D207&gt;=CQ$5,$D207&lt;CQ$5+7),"◆",""),IF(AND($D207&lt;CQ$5+7,$E207&gt;CQ$5),"■","")))</x:f>
      </x:c>
      <x:c r="CR207" s="7" t="str">
        <x:f>IF(OR($D207="",CR$5="",'상세일정'!AM207="제외"),"",IF($D207=$E207,IF(AND($D207&gt;=CR$5,$D207&lt;CR$5+7),"◆",""),IF(AND($D207&lt;CR$5+7,$E207&gt;CR$5),"■","")))</x:f>
      </x:c>
      <x:c r="CS207" s="7" t="str">
        <x:f>IF(OR($D207="",CS$5="",'상세일정'!AM207="제외"),"",IF($D207=$E207,IF(AND($D207&gt;=CS$5,$D207&lt;CS$5+7),"◆",""),IF(AND($D207&lt;CS$5+7,$E207&gt;CS$5),"■","")))</x:f>
      </x:c>
      <x:c r="CT207" s="7" t="str">
        <x:f>IF(OR($D207="",CT$5="",'상세일정'!AM207="제외"),"",IF($D207=$E207,IF(AND($D207&gt;=CT$5,$D207&lt;CT$5+7),"◆",""),IF(AND($D207&lt;CT$5+7,$E207&gt;CT$5),"■","")))</x:f>
      </x:c>
      <x:c r="CU207" s="7" t="str">
        <x:f>IF(OR($D207="",CU$5="",'상세일정'!AM207="제외"),"",IF($D207=$E207,IF(AND($D207&gt;=CU$5,$D207&lt;CU$5+7),"◆",""),IF(AND($D207&lt;CU$5+7,$E207&gt;CU$5),"■","")))</x:f>
      </x:c>
      <x:c r="CV207" s="7" t="str">
        <x:f>IF(OR($D207="",CV$5="",'상세일정'!AM207="제외"),"",IF($D207=$E207,IF(AND($D207&gt;=CV$5,$D207&lt;CV$5+7),"◆",""),IF(AND($D207&lt;CV$5+7,$E207&gt;CV$5),"■","")))</x:f>
      </x:c>
      <x:c r="CW207" s="7" t="str">
        <x:f>IF(OR($D207="",CW$5="",'상세일정'!AM207="제외"),"",IF($D207=$E207,IF(AND($D207&gt;=CW$5,$D207&lt;CW$5+7),"◆",""),IF(AND($D207&lt;CW$5+7,$E207&gt;CW$5),"■","")))</x:f>
      </x:c>
      <x:c r="CX207" s="7" t="str">
        <x:f>IF(OR($D207="",CX$5="",'상세일정'!AM207="제외"),"",IF($D207=$E207,IF(AND($D207&gt;=CX$5,$D207&lt;CX$5+7),"◆",""),IF(AND($D207&lt;CX$5+7,$E207&gt;CX$5),"■","")))</x:f>
      </x:c>
      <x:c r="CY207" s="7" t="str">
        <x:f>IF(OR($D207="",CY$5="",'상세일정'!AM207="제외"),"",IF($D207=$E207,IF(AND($D207&gt;=CY$5,$D207&lt;CY$5+7),"◆",""),IF(AND($D207&lt;CY$5+7,$E207&gt;CY$5),"■","")))</x:f>
      </x:c>
      <x:c r="CZ207" s="7" t="str">
        <x:f>IF(OR($D207="",CZ$5="",'상세일정'!AM207="제외"),"",IF($D207=$E207,IF(AND($D207&gt;=CZ$5,$D207&lt;CZ$5+7),"◆",""),IF(AND($D207&lt;CZ$5+7,$E207&gt;CZ$5),"■","")))</x:f>
      </x:c>
      <x:c r="DA207" s="7" t="str">
        <x:f>IF(OR($D207="",DA$5="",'상세일정'!AM207="제외"),"",IF($D207=$E207,IF(AND($D207&gt;=DA$5,$D207&lt;DA$5+7),"◆",""),IF(AND($D207&lt;DA$5+7,$E207&gt;DA$5),"■","")))</x:f>
      </x:c>
      <x:c r="DB207" s="7" t="str">
        <x:f>IF(OR($D207="",DB$5="",'상세일정'!AM207="제외"),"",IF($D207=$E207,IF(AND($D207&gt;=DB$5,$D207&lt;DB$5+7),"◆",""),IF(AND($D207&lt;DB$5+7,$E207&gt;DB$5),"■","")))</x:f>
      </x:c>
      <x:c r="DC207" s="7" t="str">
        <x:f>IF(OR($D207="",DC$5="",'상세일정'!AM207="제외"),"",IF($D207=$E207,IF(AND($D207&gt;=DC$5,$D207&lt;DC$5+7),"◆",""),IF(AND($D207&lt;DC$5+7,$E207&gt;DC$5),"■","")))</x:f>
      </x:c>
      <x:c r="DD207" s="7" t="str">
        <x:f>IF(OR($D207="",DD$5="",'상세일정'!AM207="제외"),"",IF($D207=$E207,IF(AND($D207&gt;=DD$5,$D207&lt;DD$5+7),"◆",""),IF(AND($D207&lt;DD$5+7,$E207&gt;DD$5),"■","")))</x:f>
      </x:c>
      <x:c r="DE207" s="7" t="str">
        <x:f>IF(OR($D207="",DE$5="",'상세일정'!AM207="제외"),"",IF($D207=$E207,IF(AND($D207&gt;=DE$5,$D207&lt;DE$5+7),"◆",""),IF(AND($D207&lt;DE$5+7,$E207&gt;DE$5),"■","")))</x:f>
      </x:c>
    </x:row>
    <x:row r="208" ht="34" customHeight="1">
      <x:c r="A208" s="7" t="str">
        <x:v>EC06</x:v>
      </x:c>
      <x:c r="B208" s="7" t="str">
        <x:v>23 전기·계장 시공</x:v>
      </x:c>
      <x:c r="C208" s="7" t="str">
        <x:v>Loop check·통신·PLC I/O 시험</x:v>
      </x:c>
      <x:c r="D208" s="10" t="str">
        <x:f>'상세일정'!AJ208</x:f>
      </x:c>
      <x:c r="E208" s="10" t="str">
        <x:f>'상세일정'!AK208</x:f>
      </x:c>
      <x:c r="F208" s="7" t="str">
        <x:f>IF(OR($D208="",F$5="",'상세일정'!AM208="제외"),"",IF($D208=$E208,IF(AND($D208&gt;=F$5,$D208&lt;F$5+7),"◆",""),IF(AND($D208&lt;F$5+7,$E208&gt;F$5),"■","")))</x:f>
      </x:c>
      <x:c r="G208" s="7" t="str">
        <x:f>IF(OR($D208="",G$5="",'상세일정'!AM208="제외"),"",IF($D208=$E208,IF(AND($D208&gt;=G$5,$D208&lt;G$5+7),"◆",""),IF(AND($D208&lt;G$5+7,$E208&gt;G$5),"■","")))</x:f>
      </x:c>
      <x:c r="H208" s="7" t="str">
        <x:f>IF(OR($D208="",H$5="",'상세일정'!AM208="제외"),"",IF($D208=$E208,IF(AND($D208&gt;=H$5,$D208&lt;H$5+7),"◆",""),IF(AND($D208&lt;H$5+7,$E208&gt;H$5),"■","")))</x:f>
      </x:c>
      <x:c r="I208" s="7" t="str">
        <x:f>IF(OR($D208="",I$5="",'상세일정'!AM208="제외"),"",IF($D208=$E208,IF(AND($D208&gt;=I$5,$D208&lt;I$5+7),"◆",""),IF(AND($D208&lt;I$5+7,$E208&gt;I$5),"■","")))</x:f>
      </x:c>
      <x:c r="J208" s="7" t="str">
        <x:f>IF(OR($D208="",J$5="",'상세일정'!AM208="제외"),"",IF($D208=$E208,IF(AND($D208&gt;=J$5,$D208&lt;J$5+7),"◆",""),IF(AND($D208&lt;J$5+7,$E208&gt;J$5),"■","")))</x:f>
      </x:c>
      <x:c r="K208" s="7" t="str">
        <x:f>IF(OR($D208="",K$5="",'상세일정'!AM208="제외"),"",IF($D208=$E208,IF(AND($D208&gt;=K$5,$D208&lt;K$5+7),"◆",""),IF(AND($D208&lt;K$5+7,$E208&gt;K$5),"■","")))</x:f>
      </x:c>
      <x:c r="L208" s="7" t="str">
        <x:f>IF(OR($D208="",L$5="",'상세일정'!AM208="제외"),"",IF($D208=$E208,IF(AND($D208&gt;=L$5,$D208&lt;L$5+7),"◆",""),IF(AND($D208&lt;L$5+7,$E208&gt;L$5),"■","")))</x:f>
      </x:c>
      <x:c r="M208" s="7" t="str">
        <x:f>IF(OR($D208="",M$5="",'상세일정'!AM208="제외"),"",IF($D208=$E208,IF(AND($D208&gt;=M$5,$D208&lt;M$5+7),"◆",""),IF(AND($D208&lt;M$5+7,$E208&gt;M$5),"■","")))</x:f>
      </x:c>
      <x:c r="N208" s="7" t="str">
        <x:f>IF(OR($D208="",N$5="",'상세일정'!AM208="제외"),"",IF($D208=$E208,IF(AND($D208&gt;=N$5,$D208&lt;N$5+7),"◆",""),IF(AND($D208&lt;N$5+7,$E208&gt;N$5),"■","")))</x:f>
      </x:c>
      <x:c r="O208" s="7" t="str">
        <x:f>IF(OR($D208="",O$5="",'상세일정'!AM208="제외"),"",IF($D208=$E208,IF(AND($D208&gt;=O$5,$D208&lt;O$5+7),"◆",""),IF(AND($D208&lt;O$5+7,$E208&gt;O$5),"■","")))</x:f>
      </x:c>
      <x:c r="P208" s="7" t="str">
        <x:f>IF(OR($D208="",P$5="",'상세일정'!AM208="제외"),"",IF($D208=$E208,IF(AND($D208&gt;=P$5,$D208&lt;P$5+7),"◆",""),IF(AND($D208&lt;P$5+7,$E208&gt;P$5),"■","")))</x:f>
      </x:c>
      <x:c r="Q208" s="7" t="str">
        <x:f>IF(OR($D208="",Q$5="",'상세일정'!AM208="제외"),"",IF($D208=$E208,IF(AND($D208&gt;=Q$5,$D208&lt;Q$5+7),"◆",""),IF(AND($D208&lt;Q$5+7,$E208&gt;Q$5),"■","")))</x:f>
      </x:c>
      <x:c r="R208" s="7" t="str">
        <x:f>IF(OR($D208="",R$5="",'상세일정'!AM208="제외"),"",IF($D208=$E208,IF(AND($D208&gt;=R$5,$D208&lt;R$5+7),"◆",""),IF(AND($D208&lt;R$5+7,$E208&gt;R$5),"■","")))</x:f>
      </x:c>
      <x:c r="S208" s="7" t="str">
        <x:f>IF(OR($D208="",S$5="",'상세일정'!AM208="제외"),"",IF($D208=$E208,IF(AND($D208&gt;=S$5,$D208&lt;S$5+7),"◆",""),IF(AND($D208&lt;S$5+7,$E208&gt;S$5),"■","")))</x:f>
      </x:c>
      <x:c r="T208" s="7" t="str">
        <x:f>IF(OR($D208="",T$5="",'상세일정'!AM208="제외"),"",IF($D208=$E208,IF(AND($D208&gt;=T$5,$D208&lt;T$5+7),"◆",""),IF(AND($D208&lt;T$5+7,$E208&gt;T$5),"■","")))</x:f>
      </x:c>
      <x:c r="U208" s="7" t="str">
        <x:f>IF(OR($D208="",U$5="",'상세일정'!AM208="제외"),"",IF($D208=$E208,IF(AND($D208&gt;=U$5,$D208&lt;U$5+7),"◆",""),IF(AND($D208&lt;U$5+7,$E208&gt;U$5),"■","")))</x:f>
      </x:c>
      <x:c r="V208" s="7" t="str">
        <x:f>IF(OR($D208="",V$5="",'상세일정'!AM208="제외"),"",IF($D208=$E208,IF(AND($D208&gt;=V$5,$D208&lt;V$5+7),"◆",""),IF(AND($D208&lt;V$5+7,$E208&gt;V$5),"■","")))</x:f>
      </x:c>
      <x:c r="W208" s="7" t="str">
        <x:f>IF(OR($D208="",W$5="",'상세일정'!AM208="제외"),"",IF($D208=$E208,IF(AND($D208&gt;=W$5,$D208&lt;W$5+7),"◆",""),IF(AND($D208&lt;W$5+7,$E208&gt;W$5),"■","")))</x:f>
      </x:c>
      <x:c r="X208" s="7" t="str">
        <x:f>IF(OR($D208="",X$5="",'상세일정'!AM208="제외"),"",IF($D208=$E208,IF(AND($D208&gt;=X$5,$D208&lt;X$5+7),"◆",""),IF(AND($D208&lt;X$5+7,$E208&gt;X$5),"■","")))</x:f>
      </x:c>
      <x:c r="Y208" s="7" t="str">
        <x:f>IF(OR($D208="",Y$5="",'상세일정'!AM208="제외"),"",IF($D208=$E208,IF(AND($D208&gt;=Y$5,$D208&lt;Y$5+7),"◆",""),IF(AND($D208&lt;Y$5+7,$E208&gt;Y$5),"■","")))</x:f>
      </x:c>
      <x:c r="Z208" s="7" t="str">
        <x:f>IF(OR($D208="",Z$5="",'상세일정'!AM208="제외"),"",IF($D208=$E208,IF(AND($D208&gt;=Z$5,$D208&lt;Z$5+7),"◆",""),IF(AND($D208&lt;Z$5+7,$E208&gt;Z$5),"■","")))</x:f>
      </x:c>
      <x:c r="AA208" s="7" t="str">
        <x:f>IF(OR($D208="",AA$5="",'상세일정'!AM208="제외"),"",IF($D208=$E208,IF(AND($D208&gt;=AA$5,$D208&lt;AA$5+7),"◆",""),IF(AND($D208&lt;AA$5+7,$E208&gt;AA$5),"■","")))</x:f>
      </x:c>
      <x:c r="AB208" s="7" t="str">
        <x:f>IF(OR($D208="",AB$5="",'상세일정'!AM208="제외"),"",IF($D208=$E208,IF(AND($D208&gt;=AB$5,$D208&lt;AB$5+7),"◆",""),IF(AND($D208&lt;AB$5+7,$E208&gt;AB$5),"■","")))</x:f>
      </x:c>
      <x:c r="AC208" s="7" t="str">
        <x:f>IF(OR($D208="",AC$5="",'상세일정'!AM208="제외"),"",IF($D208=$E208,IF(AND($D208&gt;=AC$5,$D208&lt;AC$5+7),"◆",""),IF(AND($D208&lt;AC$5+7,$E208&gt;AC$5),"■","")))</x:f>
      </x:c>
      <x:c r="AD208" s="7" t="str">
        <x:f>IF(OR($D208="",AD$5="",'상세일정'!AM208="제외"),"",IF($D208=$E208,IF(AND($D208&gt;=AD$5,$D208&lt;AD$5+7),"◆",""),IF(AND($D208&lt;AD$5+7,$E208&gt;AD$5),"■","")))</x:f>
      </x:c>
      <x:c r="AE208" s="7" t="str">
        <x:f>IF(OR($D208="",AE$5="",'상세일정'!AM208="제외"),"",IF($D208=$E208,IF(AND($D208&gt;=AE$5,$D208&lt;AE$5+7),"◆",""),IF(AND($D208&lt;AE$5+7,$E208&gt;AE$5),"■","")))</x:f>
      </x:c>
      <x:c r="AF208" s="7" t="str">
        <x:f>IF(OR($D208="",AF$5="",'상세일정'!AM208="제외"),"",IF($D208=$E208,IF(AND($D208&gt;=AF$5,$D208&lt;AF$5+7),"◆",""),IF(AND($D208&lt;AF$5+7,$E208&gt;AF$5),"■","")))</x:f>
      </x:c>
      <x:c r="AG208" s="7" t="str">
        <x:f>IF(OR($D208="",AG$5="",'상세일정'!AM208="제외"),"",IF($D208=$E208,IF(AND($D208&gt;=AG$5,$D208&lt;AG$5+7),"◆",""),IF(AND($D208&lt;AG$5+7,$E208&gt;AG$5),"■","")))</x:f>
      </x:c>
      <x:c r="AH208" s="7" t="str">
        <x:f>IF(OR($D208="",AH$5="",'상세일정'!AM208="제외"),"",IF($D208=$E208,IF(AND($D208&gt;=AH$5,$D208&lt;AH$5+7),"◆",""),IF(AND($D208&lt;AH$5+7,$E208&gt;AH$5),"■","")))</x:f>
      </x:c>
      <x:c r="AI208" s="7" t="str">
        <x:f>IF(OR($D208="",AI$5="",'상세일정'!AM208="제외"),"",IF($D208=$E208,IF(AND($D208&gt;=AI$5,$D208&lt;AI$5+7),"◆",""),IF(AND($D208&lt;AI$5+7,$E208&gt;AI$5),"■","")))</x:f>
      </x:c>
      <x:c r="AJ208" s="7" t="str">
        <x:f>IF(OR($D208="",AJ$5="",'상세일정'!AM208="제외"),"",IF($D208=$E208,IF(AND($D208&gt;=AJ$5,$D208&lt;AJ$5+7),"◆",""),IF(AND($D208&lt;AJ$5+7,$E208&gt;AJ$5),"■","")))</x:f>
      </x:c>
      <x:c r="AK208" s="7" t="str">
        <x:f>IF(OR($D208="",AK$5="",'상세일정'!AM208="제외"),"",IF($D208=$E208,IF(AND($D208&gt;=AK$5,$D208&lt;AK$5+7),"◆",""),IF(AND($D208&lt;AK$5+7,$E208&gt;AK$5),"■","")))</x:f>
      </x:c>
      <x:c r="AL208" s="7" t="str">
        <x:f>IF(OR($D208="",AL$5="",'상세일정'!AM208="제외"),"",IF($D208=$E208,IF(AND($D208&gt;=AL$5,$D208&lt;AL$5+7),"◆",""),IF(AND($D208&lt;AL$5+7,$E208&gt;AL$5),"■","")))</x:f>
      </x:c>
      <x:c r="AM208" s="7" t="str">
        <x:f>IF(OR($D208="",AM$5="",'상세일정'!AM208="제외"),"",IF($D208=$E208,IF(AND($D208&gt;=AM$5,$D208&lt;AM$5+7),"◆",""),IF(AND($D208&lt;AM$5+7,$E208&gt;AM$5),"■","")))</x:f>
      </x:c>
      <x:c r="AN208" s="7" t="str">
        <x:f>IF(OR($D208="",AN$5="",'상세일정'!AM208="제외"),"",IF($D208=$E208,IF(AND($D208&gt;=AN$5,$D208&lt;AN$5+7),"◆",""),IF(AND($D208&lt;AN$5+7,$E208&gt;AN$5),"■","")))</x:f>
      </x:c>
      <x:c r="AO208" s="7" t="str">
        <x:f>IF(OR($D208="",AO$5="",'상세일정'!AM208="제외"),"",IF($D208=$E208,IF(AND($D208&gt;=AO$5,$D208&lt;AO$5+7),"◆",""),IF(AND($D208&lt;AO$5+7,$E208&gt;AO$5),"■","")))</x:f>
      </x:c>
      <x:c r="AP208" s="7" t="str">
        <x:f>IF(OR($D208="",AP$5="",'상세일정'!AM208="제외"),"",IF($D208=$E208,IF(AND($D208&gt;=AP$5,$D208&lt;AP$5+7),"◆",""),IF(AND($D208&lt;AP$5+7,$E208&gt;AP$5),"■","")))</x:f>
      </x:c>
      <x:c r="AQ208" s="7" t="str">
        <x:f>IF(OR($D208="",AQ$5="",'상세일정'!AM208="제외"),"",IF($D208=$E208,IF(AND($D208&gt;=AQ$5,$D208&lt;AQ$5+7),"◆",""),IF(AND($D208&lt;AQ$5+7,$E208&gt;AQ$5),"■","")))</x:f>
      </x:c>
      <x:c r="AR208" s="7" t="str">
        <x:f>IF(OR($D208="",AR$5="",'상세일정'!AM208="제외"),"",IF($D208=$E208,IF(AND($D208&gt;=AR$5,$D208&lt;AR$5+7),"◆",""),IF(AND($D208&lt;AR$5+7,$E208&gt;AR$5),"■","")))</x:f>
      </x:c>
      <x:c r="AS208" s="7" t="str">
        <x:f>IF(OR($D208="",AS$5="",'상세일정'!AM208="제외"),"",IF($D208=$E208,IF(AND($D208&gt;=AS$5,$D208&lt;AS$5+7),"◆",""),IF(AND($D208&lt;AS$5+7,$E208&gt;AS$5),"■","")))</x:f>
      </x:c>
      <x:c r="AT208" s="7" t="str">
        <x:f>IF(OR($D208="",AT$5="",'상세일정'!AM208="제외"),"",IF($D208=$E208,IF(AND($D208&gt;=AT$5,$D208&lt;AT$5+7),"◆",""),IF(AND($D208&lt;AT$5+7,$E208&gt;AT$5),"■","")))</x:f>
      </x:c>
      <x:c r="AU208" s="7" t="str">
        <x:f>IF(OR($D208="",AU$5="",'상세일정'!AM208="제외"),"",IF($D208=$E208,IF(AND($D208&gt;=AU$5,$D208&lt;AU$5+7),"◆",""),IF(AND($D208&lt;AU$5+7,$E208&gt;AU$5),"■","")))</x:f>
      </x:c>
      <x:c r="AV208" s="7" t="str">
        <x:f>IF(OR($D208="",AV$5="",'상세일정'!AM208="제외"),"",IF($D208=$E208,IF(AND($D208&gt;=AV$5,$D208&lt;AV$5+7),"◆",""),IF(AND($D208&lt;AV$5+7,$E208&gt;AV$5),"■","")))</x:f>
      </x:c>
      <x:c r="AW208" s="7" t="str">
        <x:f>IF(OR($D208="",AW$5="",'상세일정'!AM208="제외"),"",IF($D208=$E208,IF(AND($D208&gt;=AW$5,$D208&lt;AW$5+7),"◆",""),IF(AND($D208&lt;AW$5+7,$E208&gt;AW$5),"■","")))</x:f>
      </x:c>
      <x:c r="AX208" s="7" t="str">
        <x:f>IF(OR($D208="",AX$5="",'상세일정'!AM208="제외"),"",IF($D208=$E208,IF(AND($D208&gt;=AX$5,$D208&lt;AX$5+7),"◆",""),IF(AND($D208&lt;AX$5+7,$E208&gt;AX$5),"■","")))</x:f>
      </x:c>
      <x:c r="AY208" s="7" t="str">
        <x:f>IF(OR($D208="",AY$5="",'상세일정'!AM208="제외"),"",IF($D208=$E208,IF(AND($D208&gt;=AY$5,$D208&lt;AY$5+7),"◆",""),IF(AND($D208&lt;AY$5+7,$E208&gt;AY$5),"■","")))</x:f>
      </x:c>
      <x:c r="AZ208" s="7" t="str">
        <x:f>IF(OR($D208="",AZ$5="",'상세일정'!AM208="제외"),"",IF($D208=$E208,IF(AND($D208&gt;=AZ$5,$D208&lt;AZ$5+7),"◆",""),IF(AND($D208&lt;AZ$5+7,$E208&gt;AZ$5),"■","")))</x:f>
      </x:c>
      <x:c r="BA208" s="7" t="str">
        <x:f>IF(OR($D208="",BA$5="",'상세일정'!AM208="제외"),"",IF($D208=$E208,IF(AND($D208&gt;=BA$5,$D208&lt;BA$5+7),"◆",""),IF(AND($D208&lt;BA$5+7,$E208&gt;BA$5),"■","")))</x:f>
      </x:c>
      <x:c r="BB208" s="7" t="str">
        <x:f>IF(OR($D208="",BB$5="",'상세일정'!AM208="제외"),"",IF($D208=$E208,IF(AND($D208&gt;=BB$5,$D208&lt;BB$5+7),"◆",""),IF(AND($D208&lt;BB$5+7,$E208&gt;BB$5),"■","")))</x:f>
      </x:c>
      <x:c r="BC208" s="7" t="str">
        <x:f>IF(OR($D208="",BC$5="",'상세일정'!AM208="제외"),"",IF($D208=$E208,IF(AND($D208&gt;=BC$5,$D208&lt;BC$5+7),"◆",""),IF(AND($D208&lt;BC$5+7,$E208&gt;BC$5),"■","")))</x:f>
      </x:c>
      <x:c r="BD208" s="7" t="str">
        <x:f>IF(OR($D208="",BD$5="",'상세일정'!AM208="제외"),"",IF($D208=$E208,IF(AND($D208&gt;=BD$5,$D208&lt;BD$5+7),"◆",""),IF(AND($D208&lt;BD$5+7,$E208&gt;BD$5),"■","")))</x:f>
      </x:c>
      <x:c r="BE208" s="7" t="str">
        <x:f>IF(OR($D208="",BE$5="",'상세일정'!AM208="제외"),"",IF($D208=$E208,IF(AND($D208&gt;=BE$5,$D208&lt;BE$5+7),"◆",""),IF(AND($D208&lt;BE$5+7,$E208&gt;BE$5),"■","")))</x:f>
      </x:c>
      <x:c r="BF208" s="7" t="str">
        <x:f>IF(OR($D208="",BF$5="",'상세일정'!AM208="제외"),"",IF($D208=$E208,IF(AND($D208&gt;=BF$5,$D208&lt;BF$5+7),"◆",""),IF(AND($D208&lt;BF$5+7,$E208&gt;BF$5),"■","")))</x:f>
      </x:c>
      <x:c r="BG208" s="7" t="str">
        <x:f>IF(OR($D208="",BG$5="",'상세일정'!AM208="제외"),"",IF($D208=$E208,IF(AND($D208&gt;=BG$5,$D208&lt;BG$5+7),"◆",""),IF(AND($D208&lt;BG$5+7,$E208&gt;BG$5),"■","")))</x:f>
      </x:c>
      <x:c r="BH208" s="7" t="str">
        <x:f>IF(OR($D208="",BH$5="",'상세일정'!AM208="제외"),"",IF($D208=$E208,IF(AND($D208&gt;=BH$5,$D208&lt;BH$5+7),"◆",""),IF(AND($D208&lt;BH$5+7,$E208&gt;BH$5),"■","")))</x:f>
      </x:c>
      <x:c r="BI208" s="7" t="str">
        <x:f>IF(OR($D208="",BI$5="",'상세일정'!AM208="제외"),"",IF($D208=$E208,IF(AND($D208&gt;=BI$5,$D208&lt;BI$5+7),"◆",""),IF(AND($D208&lt;BI$5+7,$E208&gt;BI$5),"■","")))</x:f>
      </x:c>
      <x:c r="BJ208" s="7" t="str">
        <x:f>IF(OR($D208="",BJ$5="",'상세일정'!AM208="제외"),"",IF($D208=$E208,IF(AND($D208&gt;=BJ$5,$D208&lt;BJ$5+7),"◆",""),IF(AND($D208&lt;BJ$5+7,$E208&gt;BJ$5),"■","")))</x:f>
      </x:c>
      <x:c r="BK208" s="7" t="str">
        <x:f>IF(OR($D208="",BK$5="",'상세일정'!AM208="제외"),"",IF($D208=$E208,IF(AND($D208&gt;=BK$5,$D208&lt;BK$5+7),"◆",""),IF(AND($D208&lt;BK$5+7,$E208&gt;BK$5),"■","")))</x:f>
      </x:c>
      <x:c r="BL208" s="7" t="str">
        <x:f>IF(OR($D208="",BL$5="",'상세일정'!AM208="제외"),"",IF($D208=$E208,IF(AND($D208&gt;=BL$5,$D208&lt;BL$5+7),"◆",""),IF(AND($D208&lt;BL$5+7,$E208&gt;BL$5),"■","")))</x:f>
      </x:c>
      <x:c r="BM208" s="7" t="str">
        <x:f>IF(OR($D208="",BM$5="",'상세일정'!AM208="제외"),"",IF($D208=$E208,IF(AND($D208&gt;=BM$5,$D208&lt;BM$5+7),"◆",""),IF(AND($D208&lt;BM$5+7,$E208&gt;BM$5),"■","")))</x:f>
      </x:c>
      <x:c r="BN208" s="7" t="str">
        <x:f>IF(OR($D208="",BN$5="",'상세일정'!AM208="제외"),"",IF($D208=$E208,IF(AND($D208&gt;=BN$5,$D208&lt;BN$5+7),"◆",""),IF(AND($D208&lt;BN$5+7,$E208&gt;BN$5),"■","")))</x:f>
      </x:c>
      <x:c r="BO208" s="7" t="str">
        <x:f>IF(OR($D208="",BO$5="",'상세일정'!AM208="제외"),"",IF($D208=$E208,IF(AND($D208&gt;=BO$5,$D208&lt;BO$5+7),"◆",""),IF(AND($D208&lt;BO$5+7,$E208&gt;BO$5),"■","")))</x:f>
      </x:c>
      <x:c r="BP208" s="7" t="str">
        <x:f>IF(OR($D208="",BP$5="",'상세일정'!AM208="제외"),"",IF($D208=$E208,IF(AND($D208&gt;=BP$5,$D208&lt;BP$5+7),"◆",""),IF(AND($D208&lt;BP$5+7,$E208&gt;BP$5),"■","")))</x:f>
      </x:c>
      <x:c r="BQ208" s="7" t="str">
        <x:f>IF(OR($D208="",BQ$5="",'상세일정'!AM208="제외"),"",IF($D208=$E208,IF(AND($D208&gt;=BQ$5,$D208&lt;BQ$5+7),"◆",""),IF(AND($D208&lt;BQ$5+7,$E208&gt;BQ$5),"■","")))</x:f>
      </x:c>
      <x:c r="BR208" s="7" t="str">
        <x:f>IF(OR($D208="",BR$5="",'상세일정'!AM208="제외"),"",IF($D208=$E208,IF(AND($D208&gt;=BR$5,$D208&lt;BR$5+7),"◆",""),IF(AND($D208&lt;BR$5+7,$E208&gt;BR$5),"■","")))</x:f>
      </x:c>
      <x:c r="BS208" s="7" t="str">
        <x:f>IF(OR($D208="",BS$5="",'상세일정'!AM208="제외"),"",IF($D208=$E208,IF(AND($D208&gt;=BS$5,$D208&lt;BS$5+7),"◆",""),IF(AND($D208&lt;BS$5+7,$E208&gt;BS$5),"■","")))</x:f>
      </x:c>
      <x:c r="BT208" s="7" t="str">
        <x:f>IF(OR($D208="",BT$5="",'상세일정'!AM208="제외"),"",IF($D208=$E208,IF(AND($D208&gt;=BT$5,$D208&lt;BT$5+7),"◆",""),IF(AND($D208&lt;BT$5+7,$E208&gt;BT$5),"■","")))</x:f>
      </x:c>
      <x:c r="BU208" s="7" t="str">
        <x:f>IF(OR($D208="",BU$5="",'상세일정'!AM208="제외"),"",IF($D208=$E208,IF(AND($D208&gt;=BU$5,$D208&lt;BU$5+7),"◆",""),IF(AND($D208&lt;BU$5+7,$E208&gt;BU$5),"■","")))</x:f>
      </x:c>
      <x:c r="BV208" s="7" t="str">
        <x:f>IF(OR($D208="",BV$5="",'상세일정'!AM208="제외"),"",IF($D208=$E208,IF(AND($D208&gt;=BV$5,$D208&lt;BV$5+7),"◆",""),IF(AND($D208&lt;BV$5+7,$E208&gt;BV$5),"■","")))</x:f>
      </x:c>
      <x:c r="BW208" s="7" t="str">
        <x:f>IF(OR($D208="",BW$5="",'상세일정'!AM208="제외"),"",IF($D208=$E208,IF(AND($D208&gt;=BW$5,$D208&lt;BW$5+7),"◆",""),IF(AND($D208&lt;BW$5+7,$E208&gt;BW$5),"■","")))</x:f>
      </x:c>
      <x:c r="BX208" s="7" t="str">
        <x:f>IF(OR($D208="",BX$5="",'상세일정'!AM208="제외"),"",IF($D208=$E208,IF(AND($D208&gt;=BX$5,$D208&lt;BX$5+7),"◆",""),IF(AND($D208&lt;BX$5+7,$E208&gt;BX$5),"■","")))</x:f>
      </x:c>
      <x:c r="BY208" s="7" t="str">
        <x:f>IF(OR($D208="",BY$5="",'상세일정'!AM208="제외"),"",IF($D208=$E208,IF(AND($D208&gt;=BY$5,$D208&lt;BY$5+7),"◆",""),IF(AND($D208&lt;BY$5+7,$E208&gt;BY$5),"■","")))</x:f>
      </x:c>
      <x:c r="BZ208" s="7" t="str">
        <x:f>IF(OR($D208="",BZ$5="",'상세일정'!AM208="제외"),"",IF($D208=$E208,IF(AND($D208&gt;=BZ$5,$D208&lt;BZ$5+7),"◆",""),IF(AND($D208&lt;BZ$5+7,$E208&gt;BZ$5),"■","")))</x:f>
      </x:c>
      <x:c r="CA208" s="7" t="str">
        <x:f>IF(OR($D208="",CA$5="",'상세일정'!AM208="제외"),"",IF($D208=$E208,IF(AND($D208&gt;=CA$5,$D208&lt;CA$5+7),"◆",""),IF(AND($D208&lt;CA$5+7,$E208&gt;CA$5),"■","")))</x:f>
      </x:c>
      <x:c r="CB208" s="7" t="str">
        <x:f>IF(OR($D208="",CB$5="",'상세일정'!AM208="제외"),"",IF($D208=$E208,IF(AND($D208&gt;=CB$5,$D208&lt;CB$5+7),"◆",""),IF(AND($D208&lt;CB$5+7,$E208&gt;CB$5),"■","")))</x:f>
      </x:c>
      <x:c r="CC208" s="7" t="str">
        <x:f>IF(OR($D208="",CC$5="",'상세일정'!AM208="제외"),"",IF($D208=$E208,IF(AND($D208&gt;=CC$5,$D208&lt;CC$5+7),"◆",""),IF(AND($D208&lt;CC$5+7,$E208&gt;CC$5),"■","")))</x:f>
      </x:c>
      <x:c r="CD208" s="7" t="str">
        <x:f>IF(OR($D208="",CD$5="",'상세일정'!AM208="제외"),"",IF($D208=$E208,IF(AND($D208&gt;=CD$5,$D208&lt;CD$5+7),"◆",""),IF(AND($D208&lt;CD$5+7,$E208&gt;CD$5),"■","")))</x:f>
      </x:c>
      <x:c r="CE208" s="7" t="str">
        <x:f>IF(OR($D208="",CE$5="",'상세일정'!AM208="제외"),"",IF($D208=$E208,IF(AND($D208&gt;=CE$5,$D208&lt;CE$5+7),"◆",""),IF(AND($D208&lt;CE$5+7,$E208&gt;CE$5),"■","")))</x:f>
      </x:c>
      <x:c r="CF208" s="7" t="str">
        <x:f>IF(OR($D208="",CF$5="",'상세일정'!AM208="제외"),"",IF($D208=$E208,IF(AND($D208&gt;=CF$5,$D208&lt;CF$5+7),"◆",""),IF(AND($D208&lt;CF$5+7,$E208&gt;CF$5),"■","")))</x:f>
      </x:c>
      <x:c r="CG208" s="7" t="str">
        <x:f>IF(OR($D208="",CG$5="",'상세일정'!AM208="제외"),"",IF($D208=$E208,IF(AND($D208&gt;=CG$5,$D208&lt;CG$5+7),"◆",""),IF(AND($D208&lt;CG$5+7,$E208&gt;CG$5),"■","")))</x:f>
      </x:c>
      <x:c r="CH208" s="7" t="str">
        <x:f>IF(OR($D208="",CH$5="",'상세일정'!AM208="제외"),"",IF($D208=$E208,IF(AND($D208&gt;=CH$5,$D208&lt;CH$5+7),"◆",""),IF(AND($D208&lt;CH$5+7,$E208&gt;CH$5),"■","")))</x:f>
      </x:c>
      <x:c r="CI208" s="7" t="str">
        <x:f>IF(OR($D208="",CI$5="",'상세일정'!AM208="제외"),"",IF($D208=$E208,IF(AND($D208&gt;=CI$5,$D208&lt;CI$5+7),"◆",""),IF(AND($D208&lt;CI$5+7,$E208&gt;CI$5),"■","")))</x:f>
      </x:c>
      <x:c r="CJ208" s="7" t="str">
        <x:f>IF(OR($D208="",CJ$5="",'상세일정'!AM208="제외"),"",IF($D208=$E208,IF(AND($D208&gt;=CJ$5,$D208&lt;CJ$5+7),"◆",""),IF(AND($D208&lt;CJ$5+7,$E208&gt;CJ$5),"■","")))</x:f>
      </x:c>
      <x:c r="CK208" s="7" t="str">
        <x:f>IF(OR($D208="",CK$5="",'상세일정'!AM208="제외"),"",IF($D208=$E208,IF(AND($D208&gt;=CK$5,$D208&lt;CK$5+7),"◆",""),IF(AND($D208&lt;CK$5+7,$E208&gt;CK$5),"■","")))</x:f>
      </x:c>
      <x:c r="CL208" s="7" t="str">
        <x:f>IF(OR($D208="",CL$5="",'상세일정'!AM208="제외"),"",IF($D208=$E208,IF(AND($D208&gt;=CL$5,$D208&lt;CL$5+7),"◆",""),IF(AND($D208&lt;CL$5+7,$E208&gt;CL$5),"■","")))</x:f>
      </x:c>
      <x:c r="CM208" s="7" t="str">
        <x:f>IF(OR($D208="",CM$5="",'상세일정'!AM208="제외"),"",IF($D208=$E208,IF(AND($D208&gt;=CM$5,$D208&lt;CM$5+7),"◆",""),IF(AND($D208&lt;CM$5+7,$E208&gt;CM$5),"■","")))</x:f>
      </x:c>
      <x:c r="CN208" s="7" t="str">
        <x:f>IF(OR($D208="",CN$5="",'상세일정'!AM208="제외"),"",IF($D208=$E208,IF(AND($D208&gt;=CN$5,$D208&lt;CN$5+7),"◆",""),IF(AND($D208&lt;CN$5+7,$E208&gt;CN$5),"■","")))</x:f>
      </x:c>
      <x:c r="CO208" s="7" t="str">
        <x:f>IF(OR($D208="",CO$5="",'상세일정'!AM208="제외"),"",IF($D208=$E208,IF(AND($D208&gt;=CO$5,$D208&lt;CO$5+7),"◆",""),IF(AND($D208&lt;CO$5+7,$E208&gt;CO$5),"■","")))</x:f>
      </x:c>
      <x:c r="CP208" s="7" t="str">
        <x:f>IF(OR($D208="",CP$5="",'상세일정'!AM208="제외"),"",IF($D208=$E208,IF(AND($D208&gt;=CP$5,$D208&lt;CP$5+7),"◆",""),IF(AND($D208&lt;CP$5+7,$E208&gt;CP$5),"■","")))</x:f>
      </x:c>
      <x:c r="CQ208" s="7" t="str">
        <x:f>IF(OR($D208="",CQ$5="",'상세일정'!AM208="제외"),"",IF($D208=$E208,IF(AND($D208&gt;=CQ$5,$D208&lt;CQ$5+7),"◆",""),IF(AND($D208&lt;CQ$5+7,$E208&gt;CQ$5),"■","")))</x:f>
      </x:c>
      <x:c r="CR208" s="7" t="str">
        <x:f>IF(OR($D208="",CR$5="",'상세일정'!AM208="제외"),"",IF($D208=$E208,IF(AND($D208&gt;=CR$5,$D208&lt;CR$5+7),"◆",""),IF(AND($D208&lt;CR$5+7,$E208&gt;CR$5),"■","")))</x:f>
      </x:c>
      <x:c r="CS208" s="7" t="str">
        <x:f>IF(OR($D208="",CS$5="",'상세일정'!AM208="제외"),"",IF($D208=$E208,IF(AND($D208&gt;=CS$5,$D208&lt;CS$5+7),"◆",""),IF(AND($D208&lt;CS$5+7,$E208&gt;CS$5),"■","")))</x:f>
      </x:c>
      <x:c r="CT208" s="7" t="str">
        <x:f>IF(OR($D208="",CT$5="",'상세일정'!AM208="제외"),"",IF($D208=$E208,IF(AND($D208&gt;=CT$5,$D208&lt;CT$5+7),"◆",""),IF(AND($D208&lt;CT$5+7,$E208&gt;CT$5),"■","")))</x:f>
      </x:c>
      <x:c r="CU208" s="7" t="str">
        <x:f>IF(OR($D208="",CU$5="",'상세일정'!AM208="제외"),"",IF($D208=$E208,IF(AND($D208&gt;=CU$5,$D208&lt;CU$5+7),"◆",""),IF(AND($D208&lt;CU$5+7,$E208&gt;CU$5),"■","")))</x:f>
      </x:c>
      <x:c r="CV208" s="7" t="str">
        <x:f>IF(OR($D208="",CV$5="",'상세일정'!AM208="제외"),"",IF($D208=$E208,IF(AND($D208&gt;=CV$5,$D208&lt;CV$5+7),"◆",""),IF(AND($D208&lt;CV$5+7,$E208&gt;CV$5),"■","")))</x:f>
      </x:c>
      <x:c r="CW208" s="7" t="str">
        <x:f>IF(OR($D208="",CW$5="",'상세일정'!AM208="제외"),"",IF($D208=$E208,IF(AND($D208&gt;=CW$5,$D208&lt;CW$5+7),"◆",""),IF(AND($D208&lt;CW$5+7,$E208&gt;CW$5),"■","")))</x:f>
      </x:c>
      <x:c r="CX208" s="7" t="str">
        <x:f>IF(OR($D208="",CX$5="",'상세일정'!AM208="제외"),"",IF($D208=$E208,IF(AND($D208&gt;=CX$5,$D208&lt;CX$5+7),"◆",""),IF(AND($D208&lt;CX$5+7,$E208&gt;CX$5),"■","")))</x:f>
      </x:c>
      <x:c r="CY208" s="7" t="str">
        <x:f>IF(OR($D208="",CY$5="",'상세일정'!AM208="제외"),"",IF($D208=$E208,IF(AND($D208&gt;=CY$5,$D208&lt;CY$5+7),"◆",""),IF(AND($D208&lt;CY$5+7,$E208&gt;CY$5),"■","")))</x:f>
      </x:c>
      <x:c r="CZ208" s="7" t="str">
        <x:f>IF(OR($D208="",CZ$5="",'상세일정'!AM208="제외"),"",IF($D208=$E208,IF(AND($D208&gt;=CZ$5,$D208&lt;CZ$5+7),"◆",""),IF(AND($D208&lt;CZ$5+7,$E208&gt;CZ$5),"■","")))</x:f>
      </x:c>
      <x:c r="DA208" s="7" t="str">
        <x:f>IF(OR($D208="",DA$5="",'상세일정'!AM208="제외"),"",IF($D208=$E208,IF(AND($D208&gt;=DA$5,$D208&lt;DA$5+7),"◆",""),IF(AND($D208&lt;DA$5+7,$E208&gt;DA$5),"■","")))</x:f>
      </x:c>
      <x:c r="DB208" s="7" t="str">
        <x:f>IF(OR($D208="",DB$5="",'상세일정'!AM208="제외"),"",IF($D208=$E208,IF(AND($D208&gt;=DB$5,$D208&lt;DB$5+7),"◆",""),IF(AND($D208&lt;DB$5+7,$E208&gt;DB$5),"■","")))</x:f>
      </x:c>
      <x:c r="DC208" s="7" t="str">
        <x:f>IF(OR($D208="",DC$5="",'상세일정'!AM208="제외"),"",IF($D208=$E208,IF(AND($D208&gt;=DC$5,$D208&lt;DC$5+7),"◆",""),IF(AND($D208&lt;DC$5+7,$E208&gt;DC$5),"■","")))</x:f>
      </x:c>
      <x:c r="DD208" s="7" t="str">
        <x:f>IF(OR($D208="",DD$5="",'상세일정'!AM208="제외"),"",IF($D208=$E208,IF(AND($D208&gt;=DD$5,$D208&lt;DD$5+7),"◆",""),IF(AND($D208&lt;DD$5+7,$E208&gt;DD$5),"■","")))</x:f>
      </x:c>
      <x:c r="DE208" s="7" t="str">
        <x:f>IF(OR($D208="",DE$5="",'상세일정'!AM208="제외"),"",IF($D208=$E208,IF(AND($D208&gt;=DE$5,$D208&lt;DE$5+7),"◆",""),IF(AND($D208&lt;DE$5+7,$E208&gt;DE$5),"■","")))</x:f>
      </x:c>
    </x:row>
    <x:row r="209" ht="34" customHeight="1">
      <x:c r="A209" s="7" t="str">
        <x:v>EC07</x:v>
      </x:c>
      <x:c r="B209" s="7" t="str">
        <x:v>23 전기·계장 시공</x:v>
      </x:c>
      <x:c r="C209" s="7" t="str">
        <x:v>비상정지·인터록·경보 모의시험</x:v>
      </x:c>
      <x:c r="D209" s="10" t="str">
        <x:f>'상세일정'!AJ209</x:f>
      </x:c>
      <x:c r="E209" s="10" t="str">
        <x:f>'상세일정'!AK209</x:f>
      </x:c>
      <x:c r="F209" s="7" t="str">
        <x:f>IF(OR($D209="",F$5="",'상세일정'!AM209="제외"),"",IF($D209=$E209,IF(AND($D209&gt;=F$5,$D209&lt;F$5+7),"◆",""),IF(AND($D209&lt;F$5+7,$E209&gt;F$5),"■","")))</x:f>
      </x:c>
      <x:c r="G209" s="7" t="str">
        <x:f>IF(OR($D209="",G$5="",'상세일정'!AM209="제외"),"",IF($D209=$E209,IF(AND($D209&gt;=G$5,$D209&lt;G$5+7),"◆",""),IF(AND($D209&lt;G$5+7,$E209&gt;G$5),"■","")))</x:f>
      </x:c>
      <x:c r="H209" s="7" t="str">
        <x:f>IF(OR($D209="",H$5="",'상세일정'!AM209="제외"),"",IF($D209=$E209,IF(AND($D209&gt;=H$5,$D209&lt;H$5+7),"◆",""),IF(AND($D209&lt;H$5+7,$E209&gt;H$5),"■","")))</x:f>
      </x:c>
      <x:c r="I209" s="7" t="str">
        <x:f>IF(OR($D209="",I$5="",'상세일정'!AM209="제외"),"",IF($D209=$E209,IF(AND($D209&gt;=I$5,$D209&lt;I$5+7),"◆",""),IF(AND($D209&lt;I$5+7,$E209&gt;I$5),"■","")))</x:f>
      </x:c>
      <x:c r="J209" s="7" t="str">
        <x:f>IF(OR($D209="",J$5="",'상세일정'!AM209="제외"),"",IF($D209=$E209,IF(AND($D209&gt;=J$5,$D209&lt;J$5+7),"◆",""),IF(AND($D209&lt;J$5+7,$E209&gt;J$5),"■","")))</x:f>
      </x:c>
      <x:c r="K209" s="7" t="str">
        <x:f>IF(OR($D209="",K$5="",'상세일정'!AM209="제외"),"",IF($D209=$E209,IF(AND($D209&gt;=K$5,$D209&lt;K$5+7),"◆",""),IF(AND($D209&lt;K$5+7,$E209&gt;K$5),"■","")))</x:f>
      </x:c>
      <x:c r="L209" s="7" t="str">
        <x:f>IF(OR($D209="",L$5="",'상세일정'!AM209="제외"),"",IF($D209=$E209,IF(AND($D209&gt;=L$5,$D209&lt;L$5+7),"◆",""),IF(AND($D209&lt;L$5+7,$E209&gt;L$5),"■","")))</x:f>
      </x:c>
      <x:c r="M209" s="7" t="str">
        <x:f>IF(OR($D209="",M$5="",'상세일정'!AM209="제외"),"",IF($D209=$E209,IF(AND($D209&gt;=M$5,$D209&lt;M$5+7),"◆",""),IF(AND($D209&lt;M$5+7,$E209&gt;M$5),"■","")))</x:f>
      </x:c>
      <x:c r="N209" s="7" t="str">
        <x:f>IF(OR($D209="",N$5="",'상세일정'!AM209="제외"),"",IF($D209=$E209,IF(AND($D209&gt;=N$5,$D209&lt;N$5+7),"◆",""),IF(AND($D209&lt;N$5+7,$E209&gt;N$5),"■","")))</x:f>
      </x:c>
      <x:c r="O209" s="7" t="str">
        <x:f>IF(OR($D209="",O$5="",'상세일정'!AM209="제외"),"",IF($D209=$E209,IF(AND($D209&gt;=O$5,$D209&lt;O$5+7),"◆",""),IF(AND($D209&lt;O$5+7,$E209&gt;O$5),"■","")))</x:f>
      </x:c>
      <x:c r="P209" s="7" t="str">
        <x:f>IF(OR($D209="",P$5="",'상세일정'!AM209="제외"),"",IF($D209=$E209,IF(AND($D209&gt;=P$5,$D209&lt;P$5+7),"◆",""),IF(AND($D209&lt;P$5+7,$E209&gt;P$5),"■","")))</x:f>
      </x:c>
      <x:c r="Q209" s="7" t="str">
        <x:f>IF(OR($D209="",Q$5="",'상세일정'!AM209="제외"),"",IF($D209=$E209,IF(AND($D209&gt;=Q$5,$D209&lt;Q$5+7),"◆",""),IF(AND($D209&lt;Q$5+7,$E209&gt;Q$5),"■","")))</x:f>
      </x:c>
      <x:c r="R209" s="7" t="str">
        <x:f>IF(OR($D209="",R$5="",'상세일정'!AM209="제외"),"",IF($D209=$E209,IF(AND($D209&gt;=R$5,$D209&lt;R$5+7),"◆",""),IF(AND($D209&lt;R$5+7,$E209&gt;R$5),"■","")))</x:f>
      </x:c>
      <x:c r="S209" s="7" t="str">
        <x:f>IF(OR($D209="",S$5="",'상세일정'!AM209="제외"),"",IF($D209=$E209,IF(AND($D209&gt;=S$5,$D209&lt;S$5+7),"◆",""),IF(AND($D209&lt;S$5+7,$E209&gt;S$5),"■","")))</x:f>
      </x:c>
      <x:c r="T209" s="7" t="str">
        <x:f>IF(OR($D209="",T$5="",'상세일정'!AM209="제외"),"",IF($D209=$E209,IF(AND($D209&gt;=T$5,$D209&lt;T$5+7),"◆",""),IF(AND($D209&lt;T$5+7,$E209&gt;T$5),"■","")))</x:f>
      </x:c>
      <x:c r="U209" s="7" t="str">
        <x:f>IF(OR($D209="",U$5="",'상세일정'!AM209="제외"),"",IF($D209=$E209,IF(AND($D209&gt;=U$5,$D209&lt;U$5+7),"◆",""),IF(AND($D209&lt;U$5+7,$E209&gt;U$5),"■","")))</x:f>
      </x:c>
      <x:c r="V209" s="7" t="str">
        <x:f>IF(OR($D209="",V$5="",'상세일정'!AM209="제외"),"",IF($D209=$E209,IF(AND($D209&gt;=V$5,$D209&lt;V$5+7),"◆",""),IF(AND($D209&lt;V$5+7,$E209&gt;V$5),"■","")))</x:f>
      </x:c>
      <x:c r="W209" s="7" t="str">
        <x:f>IF(OR($D209="",W$5="",'상세일정'!AM209="제외"),"",IF($D209=$E209,IF(AND($D209&gt;=W$5,$D209&lt;W$5+7),"◆",""),IF(AND($D209&lt;W$5+7,$E209&gt;W$5),"■","")))</x:f>
      </x:c>
      <x:c r="X209" s="7" t="str">
        <x:f>IF(OR($D209="",X$5="",'상세일정'!AM209="제외"),"",IF($D209=$E209,IF(AND($D209&gt;=X$5,$D209&lt;X$5+7),"◆",""),IF(AND($D209&lt;X$5+7,$E209&gt;X$5),"■","")))</x:f>
      </x:c>
      <x:c r="Y209" s="7" t="str">
        <x:f>IF(OR($D209="",Y$5="",'상세일정'!AM209="제외"),"",IF($D209=$E209,IF(AND($D209&gt;=Y$5,$D209&lt;Y$5+7),"◆",""),IF(AND($D209&lt;Y$5+7,$E209&gt;Y$5),"■","")))</x:f>
      </x:c>
      <x:c r="Z209" s="7" t="str">
        <x:f>IF(OR($D209="",Z$5="",'상세일정'!AM209="제외"),"",IF($D209=$E209,IF(AND($D209&gt;=Z$5,$D209&lt;Z$5+7),"◆",""),IF(AND($D209&lt;Z$5+7,$E209&gt;Z$5),"■","")))</x:f>
      </x:c>
      <x:c r="AA209" s="7" t="str">
        <x:f>IF(OR($D209="",AA$5="",'상세일정'!AM209="제외"),"",IF($D209=$E209,IF(AND($D209&gt;=AA$5,$D209&lt;AA$5+7),"◆",""),IF(AND($D209&lt;AA$5+7,$E209&gt;AA$5),"■","")))</x:f>
      </x:c>
      <x:c r="AB209" s="7" t="str">
        <x:f>IF(OR($D209="",AB$5="",'상세일정'!AM209="제외"),"",IF($D209=$E209,IF(AND($D209&gt;=AB$5,$D209&lt;AB$5+7),"◆",""),IF(AND($D209&lt;AB$5+7,$E209&gt;AB$5),"■","")))</x:f>
      </x:c>
      <x:c r="AC209" s="7" t="str">
        <x:f>IF(OR($D209="",AC$5="",'상세일정'!AM209="제외"),"",IF($D209=$E209,IF(AND($D209&gt;=AC$5,$D209&lt;AC$5+7),"◆",""),IF(AND($D209&lt;AC$5+7,$E209&gt;AC$5),"■","")))</x:f>
      </x:c>
      <x:c r="AD209" s="7" t="str">
        <x:f>IF(OR($D209="",AD$5="",'상세일정'!AM209="제외"),"",IF($D209=$E209,IF(AND($D209&gt;=AD$5,$D209&lt;AD$5+7),"◆",""),IF(AND($D209&lt;AD$5+7,$E209&gt;AD$5),"■","")))</x:f>
      </x:c>
      <x:c r="AE209" s="7" t="str">
        <x:f>IF(OR($D209="",AE$5="",'상세일정'!AM209="제외"),"",IF($D209=$E209,IF(AND($D209&gt;=AE$5,$D209&lt;AE$5+7),"◆",""),IF(AND($D209&lt;AE$5+7,$E209&gt;AE$5),"■","")))</x:f>
      </x:c>
      <x:c r="AF209" s="7" t="str">
        <x:f>IF(OR($D209="",AF$5="",'상세일정'!AM209="제외"),"",IF($D209=$E209,IF(AND($D209&gt;=AF$5,$D209&lt;AF$5+7),"◆",""),IF(AND($D209&lt;AF$5+7,$E209&gt;AF$5),"■","")))</x:f>
      </x:c>
      <x:c r="AG209" s="7" t="str">
        <x:f>IF(OR($D209="",AG$5="",'상세일정'!AM209="제외"),"",IF($D209=$E209,IF(AND($D209&gt;=AG$5,$D209&lt;AG$5+7),"◆",""),IF(AND($D209&lt;AG$5+7,$E209&gt;AG$5),"■","")))</x:f>
      </x:c>
      <x:c r="AH209" s="7" t="str">
        <x:f>IF(OR($D209="",AH$5="",'상세일정'!AM209="제외"),"",IF($D209=$E209,IF(AND($D209&gt;=AH$5,$D209&lt;AH$5+7),"◆",""),IF(AND($D209&lt;AH$5+7,$E209&gt;AH$5),"■","")))</x:f>
      </x:c>
      <x:c r="AI209" s="7" t="str">
        <x:f>IF(OR($D209="",AI$5="",'상세일정'!AM209="제외"),"",IF($D209=$E209,IF(AND($D209&gt;=AI$5,$D209&lt;AI$5+7),"◆",""),IF(AND($D209&lt;AI$5+7,$E209&gt;AI$5),"■","")))</x:f>
      </x:c>
      <x:c r="AJ209" s="7" t="str">
        <x:f>IF(OR($D209="",AJ$5="",'상세일정'!AM209="제외"),"",IF($D209=$E209,IF(AND($D209&gt;=AJ$5,$D209&lt;AJ$5+7),"◆",""),IF(AND($D209&lt;AJ$5+7,$E209&gt;AJ$5),"■","")))</x:f>
      </x:c>
      <x:c r="AK209" s="7" t="str">
        <x:f>IF(OR($D209="",AK$5="",'상세일정'!AM209="제외"),"",IF($D209=$E209,IF(AND($D209&gt;=AK$5,$D209&lt;AK$5+7),"◆",""),IF(AND($D209&lt;AK$5+7,$E209&gt;AK$5),"■","")))</x:f>
      </x:c>
      <x:c r="AL209" s="7" t="str">
        <x:f>IF(OR($D209="",AL$5="",'상세일정'!AM209="제외"),"",IF($D209=$E209,IF(AND($D209&gt;=AL$5,$D209&lt;AL$5+7),"◆",""),IF(AND($D209&lt;AL$5+7,$E209&gt;AL$5),"■","")))</x:f>
      </x:c>
      <x:c r="AM209" s="7" t="str">
        <x:f>IF(OR($D209="",AM$5="",'상세일정'!AM209="제외"),"",IF($D209=$E209,IF(AND($D209&gt;=AM$5,$D209&lt;AM$5+7),"◆",""),IF(AND($D209&lt;AM$5+7,$E209&gt;AM$5),"■","")))</x:f>
      </x:c>
      <x:c r="AN209" s="7" t="str">
        <x:f>IF(OR($D209="",AN$5="",'상세일정'!AM209="제외"),"",IF($D209=$E209,IF(AND($D209&gt;=AN$5,$D209&lt;AN$5+7),"◆",""),IF(AND($D209&lt;AN$5+7,$E209&gt;AN$5),"■","")))</x:f>
      </x:c>
      <x:c r="AO209" s="7" t="str">
        <x:f>IF(OR($D209="",AO$5="",'상세일정'!AM209="제외"),"",IF($D209=$E209,IF(AND($D209&gt;=AO$5,$D209&lt;AO$5+7),"◆",""),IF(AND($D209&lt;AO$5+7,$E209&gt;AO$5),"■","")))</x:f>
      </x:c>
      <x:c r="AP209" s="7" t="str">
        <x:f>IF(OR($D209="",AP$5="",'상세일정'!AM209="제외"),"",IF($D209=$E209,IF(AND($D209&gt;=AP$5,$D209&lt;AP$5+7),"◆",""),IF(AND($D209&lt;AP$5+7,$E209&gt;AP$5),"■","")))</x:f>
      </x:c>
      <x:c r="AQ209" s="7" t="str">
        <x:f>IF(OR($D209="",AQ$5="",'상세일정'!AM209="제외"),"",IF($D209=$E209,IF(AND($D209&gt;=AQ$5,$D209&lt;AQ$5+7),"◆",""),IF(AND($D209&lt;AQ$5+7,$E209&gt;AQ$5),"■","")))</x:f>
      </x:c>
      <x:c r="AR209" s="7" t="str">
        <x:f>IF(OR($D209="",AR$5="",'상세일정'!AM209="제외"),"",IF($D209=$E209,IF(AND($D209&gt;=AR$5,$D209&lt;AR$5+7),"◆",""),IF(AND($D209&lt;AR$5+7,$E209&gt;AR$5),"■","")))</x:f>
      </x:c>
      <x:c r="AS209" s="7" t="str">
        <x:f>IF(OR($D209="",AS$5="",'상세일정'!AM209="제외"),"",IF($D209=$E209,IF(AND($D209&gt;=AS$5,$D209&lt;AS$5+7),"◆",""),IF(AND($D209&lt;AS$5+7,$E209&gt;AS$5),"■","")))</x:f>
      </x:c>
      <x:c r="AT209" s="7" t="str">
        <x:f>IF(OR($D209="",AT$5="",'상세일정'!AM209="제외"),"",IF($D209=$E209,IF(AND($D209&gt;=AT$5,$D209&lt;AT$5+7),"◆",""),IF(AND($D209&lt;AT$5+7,$E209&gt;AT$5),"■","")))</x:f>
      </x:c>
      <x:c r="AU209" s="7" t="str">
        <x:f>IF(OR($D209="",AU$5="",'상세일정'!AM209="제외"),"",IF($D209=$E209,IF(AND($D209&gt;=AU$5,$D209&lt;AU$5+7),"◆",""),IF(AND($D209&lt;AU$5+7,$E209&gt;AU$5),"■","")))</x:f>
      </x:c>
      <x:c r="AV209" s="7" t="str">
        <x:f>IF(OR($D209="",AV$5="",'상세일정'!AM209="제외"),"",IF($D209=$E209,IF(AND($D209&gt;=AV$5,$D209&lt;AV$5+7),"◆",""),IF(AND($D209&lt;AV$5+7,$E209&gt;AV$5),"■","")))</x:f>
      </x:c>
      <x:c r="AW209" s="7" t="str">
        <x:f>IF(OR($D209="",AW$5="",'상세일정'!AM209="제외"),"",IF($D209=$E209,IF(AND($D209&gt;=AW$5,$D209&lt;AW$5+7),"◆",""),IF(AND($D209&lt;AW$5+7,$E209&gt;AW$5),"■","")))</x:f>
      </x:c>
      <x:c r="AX209" s="7" t="str">
        <x:f>IF(OR($D209="",AX$5="",'상세일정'!AM209="제외"),"",IF($D209=$E209,IF(AND($D209&gt;=AX$5,$D209&lt;AX$5+7),"◆",""),IF(AND($D209&lt;AX$5+7,$E209&gt;AX$5),"■","")))</x:f>
      </x:c>
      <x:c r="AY209" s="7" t="str">
        <x:f>IF(OR($D209="",AY$5="",'상세일정'!AM209="제외"),"",IF($D209=$E209,IF(AND($D209&gt;=AY$5,$D209&lt;AY$5+7),"◆",""),IF(AND($D209&lt;AY$5+7,$E209&gt;AY$5),"■","")))</x:f>
      </x:c>
      <x:c r="AZ209" s="7" t="str">
        <x:f>IF(OR($D209="",AZ$5="",'상세일정'!AM209="제외"),"",IF($D209=$E209,IF(AND($D209&gt;=AZ$5,$D209&lt;AZ$5+7),"◆",""),IF(AND($D209&lt;AZ$5+7,$E209&gt;AZ$5),"■","")))</x:f>
      </x:c>
      <x:c r="BA209" s="7" t="str">
        <x:f>IF(OR($D209="",BA$5="",'상세일정'!AM209="제외"),"",IF($D209=$E209,IF(AND($D209&gt;=BA$5,$D209&lt;BA$5+7),"◆",""),IF(AND($D209&lt;BA$5+7,$E209&gt;BA$5),"■","")))</x:f>
      </x:c>
      <x:c r="BB209" s="7" t="str">
        <x:f>IF(OR($D209="",BB$5="",'상세일정'!AM209="제외"),"",IF($D209=$E209,IF(AND($D209&gt;=BB$5,$D209&lt;BB$5+7),"◆",""),IF(AND($D209&lt;BB$5+7,$E209&gt;BB$5),"■","")))</x:f>
      </x:c>
      <x:c r="BC209" s="7" t="str">
        <x:f>IF(OR($D209="",BC$5="",'상세일정'!AM209="제외"),"",IF($D209=$E209,IF(AND($D209&gt;=BC$5,$D209&lt;BC$5+7),"◆",""),IF(AND($D209&lt;BC$5+7,$E209&gt;BC$5),"■","")))</x:f>
      </x:c>
      <x:c r="BD209" s="7" t="str">
        <x:f>IF(OR($D209="",BD$5="",'상세일정'!AM209="제외"),"",IF($D209=$E209,IF(AND($D209&gt;=BD$5,$D209&lt;BD$5+7),"◆",""),IF(AND($D209&lt;BD$5+7,$E209&gt;BD$5),"■","")))</x:f>
      </x:c>
      <x:c r="BE209" s="7" t="str">
        <x:f>IF(OR($D209="",BE$5="",'상세일정'!AM209="제외"),"",IF($D209=$E209,IF(AND($D209&gt;=BE$5,$D209&lt;BE$5+7),"◆",""),IF(AND($D209&lt;BE$5+7,$E209&gt;BE$5),"■","")))</x:f>
      </x:c>
      <x:c r="BF209" s="7" t="str">
        <x:f>IF(OR($D209="",BF$5="",'상세일정'!AM209="제외"),"",IF($D209=$E209,IF(AND($D209&gt;=BF$5,$D209&lt;BF$5+7),"◆",""),IF(AND($D209&lt;BF$5+7,$E209&gt;BF$5),"■","")))</x:f>
      </x:c>
      <x:c r="BG209" s="7" t="str">
        <x:f>IF(OR($D209="",BG$5="",'상세일정'!AM209="제외"),"",IF($D209=$E209,IF(AND($D209&gt;=BG$5,$D209&lt;BG$5+7),"◆",""),IF(AND($D209&lt;BG$5+7,$E209&gt;BG$5),"■","")))</x:f>
      </x:c>
      <x:c r="BH209" s="7" t="str">
        <x:f>IF(OR($D209="",BH$5="",'상세일정'!AM209="제외"),"",IF($D209=$E209,IF(AND($D209&gt;=BH$5,$D209&lt;BH$5+7),"◆",""),IF(AND($D209&lt;BH$5+7,$E209&gt;BH$5),"■","")))</x:f>
      </x:c>
      <x:c r="BI209" s="7" t="str">
        <x:f>IF(OR($D209="",BI$5="",'상세일정'!AM209="제외"),"",IF($D209=$E209,IF(AND($D209&gt;=BI$5,$D209&lt;BI$5+7),"◆",""),IF(AND($D209&lt;BI$5+7,$E209&gt;BI$5),"■","")))</x:f>
      </x:c>
      <x:c r="BJ209" s="7" t="str">
        <x:f>IF(OR($D209="",BJ$5="",'상세일정'!AM209="제외"),"",IF($D209=$E209,IF(AND($D209&gt;=BJ$5,$D209&lt;BJ$5+7),"◆",""),IF(AND($D209&lt;BJ$5+7,$E209&gt;BJ$5),"■","")))</x:f>
      </x:c>
      <x:c r="BK209" s="7" t="str">
        <x:f>IF(OR($D209="",BK$5="",'상세일정'!AM209="제외"),"",IF($D209=$E209,IF(AND($D209&gt;=BK$5,$D209&lt;BK$5+7),"◆",""),IF(AND($D209&lt;BK$5+7,$E209&gt;BK$5),"■","")))</x:f>
      </x:c>
      <x:c r="BL209" s="7" t="str">
        <x:f>IF(OR($D209="",BL$5="",'상세일정'!AM209="제외"),"",IF($D209=$E209,IF(AND($D209&gt;=BL$5,$D209&lt;BL$5+7),"◆",""),IF(AND($D209&lt;BL$5+7,$E209&gt;BL$5),"■","")))</x:f>
      </x:c>
      <x:c r="BM209" s="7" t="str">
        <x:f>IF(OR($D209="",BM$5="",'상세일정'!AM209="제외"),"",IF($D209=$E209,IF(AND($D209&gt;=BM$5,$D209&lt;BM$5+7),"◆",""),IF(AND($D209&lt;BM$5+7,$E209&gt;BM$5),"■","")))</x:f>
      </x:c>
      <x:c r="BN209" s="7" t="str">
        <x:f>IF(OR($D209="",BN$5="",'상세일정'!AM209="제외"),"",IF($D209=$E209,IF(AND($D209&gt;=BN$5,$D209&lt;BN$5+7),"◆",""),IF(AND($D209&lt;BN$5+7,$E209&gt;BN$5),"■","")))</x:f>
      </x:c>
      <x:c r="BO209" s="7" t="str">
        <x:f>IF(OR($D209="",BO$5="",'상세일정'!AM209="제외"),"",IF($D209=$E209,IF(AND($D209&gt;=BO$5,$D209&lt;BO$5+7),"◆",""),IF(AND($D209&lt;BO$5+7,$E209&gt;BO$5),"■","")))</x:f>
      </x:c>
      <x:c r="BP209" s="7" t="str">
        <x:f>IF(OR($D209="",BP$5="",'상세일정'!AM209="제외"),"",IF($D209=$E209,IF(AND($D209&gt;=BP$5,$D209&lt;BP$5+7),"◆",""),IF(AND($D209&lt;BP$5+7,$E209&gt;BP$5),"■","")))</x:f>
      </x:c>
      <x:c r="BQ209" s="7" t="str">
        <x:f>IF(OR($D209="",BQ$5="",'상세일정'!AM209="제외"),"",IF($D209=$E209,IF(AND($D209&gt;=BQ$5,$D209&lt;BQ$5+7),"◆",""),IF(AND($D209&lt;BQ$5+7,$E209&gt;BQ$5),"■","")))</x:f>
      </x:c>
      <x:c r="BR209" s="7" t="str">
        <x:f>IF(OR($D209="",BR$5="",'상세일정'!AM209="제외"),"",IF($D209=$E209,IF(AND($D209&gt;=BR$5,$D209&lt;BR$5+7),"◆",""),IF(AND($D209&lt;BR$5+7,$E209&gt;BR$5),"■","")))</x:f>
      </x:c>
      <x:c r="BS209" s="7" t="str">
        <x:f>IF(OR($D209="",BS$5="",'상세일정'!AM209="제외"),"",IF($D209=$E209,IF(AND($D209&gt;=BS$5,$D209&lt;BS$5+7),"◆",""),IF(AND($D209&lt;BS$5+7,$E209&gt;BS$5),"■","")))</x:f>
      </x:c>
      <x:c r="BT209" s="7" t="str">
        <x:f>IF(OR($D209="",BT$5="",'상세일정'!AM209="제외"),"",IF($D209=$E209,IF(AND($D209&gt;=BT$5,$D209&lt;BT$5+7),"◆",""),IF(AND($D209&lt;BT$5+7,$E209&gt;BT$5),"■","")))</x:f>
      </x:c>
      <x:c r="BU209" s="7" t="str">
        <x:f>IF(OR($D209="",BU$5="",'상세일정'!AM209="제외"),"",IF($D209=$E209,IF(AND($D209&gt;=BU$5,$D209&lt;BU$5+7),"◆",""),IF(AND($D209&lt;BU$5+7,$E209&gt;BU$5),"■","")))</x:f>
      </x:c>
      <x:c r="BV209" s="7" t="str">
        <x:f>IF(OR($D209="",BV$5="",'상세일정'!AM209="제외"),"",IF($D209=$E209,IF(AND($D209&gt;=BV$5,$D209&lt;BV$5+7),"◆",""),IF(AND($D209&lt;BV$5+7,$E209&gt;BV$5),"■","")))</x:f>
      </x:c>
      <x:c r="BW209" s="7" t="str">
        <x:f>IF(OR($D209="",BW$5="",'상세일정'!AM209="제외"),"",IF($D209=$E209,IF(AND($D209&gt;=BW$5,$D209&lt;BW$5+7),"◆",""),IF(AND($D209&lt;BW$5+7,$E209&gt;BW$5),"■","")))</x:f>
      </x:c>
      <x:c r="BX209" s="7" t="str">
        <x:f>IF(OR($D209="",BX$5="",'상세일정'!AM209="제외"),"",IF($D209=$E209,IF(AND($D209&gt;=BX$5,$D209&lt;BX$5+7),"◆",""),IF(AND($D209&lt;BX$5+7,$E209&gt;BX$5),"■","")))</x:f>
      </x:c>
      <x:c r="BY209" s="7" t="str">
        <x:f>IF(OR($D209="",BY$5="",'상세일정'!AM209="제외"),"",IF($D209=$E209,IF(AND($D209&gt;=BY$5,$D209&lt;BY$5+7),"◆",""),IF(AND($D209&lt;BY$5+7,$E209&gt;BY$5),"■","")))</x:f>
      </x:c>
      <x:c r="BZ209" s="7" t="str">
        <x:f>IF(OR($D209="",BZ$5="",'상세일정'!AM209="제외"),"",IF($D209=$E209,IF(AND($D209&gt;=BZ$5,$D209&lt;BZ$5+7),"◆",""),IF(AND($D209&lt;BZ$5+7,$E209&gt;BZ$5),"■","")))</x:f>
      </x:c>
      <x:c r="CA209" s="7" t="str">
        <x:f>IF(OR($D209="",CA$5="",'상세일정'!AM209="제외"),"",IF($D209=$E209,IF(AND($D209&gt;=CA$5,$D209&lt;CA$5+7),"◆",""),IF(AND($D209&lt;CA$5+7,$E209&gt;CA$5),"■","")))</x:f>
      </x:c>
      <x:c r="CB209" s="7" t="str">
        <x:f>IF(OR($D209="",CB$5="",'상세일정'!AM209="제외"),"",IF($D209=$E209,IF(AND($D209&gt;=CB$5,$D209&lt;CB$5+7),"◆",""),IF(AND($D209&lt;CB$5+7,$E209&gt;CB$5),"■","")))</x:f>
      </x:c>
      <x:c r="CC209" s="7" t="str">
        <x:f>IF(OR($D209="",CC$5="",'상세일정'!AM209="제외"),"",IF($D209=$E209,IF(AND($D209&gt;=CC$5,$D209&lt;CC$5+7),"◆",""),IF(AND($D209&lt;CC$5+7,$E209&gt;CC$5),"■","")))</x:f>
      </x:c>
      <x:c r="CD209" s="7" t="str">
        <x:f>IF(OR($D209="",CD$5="",'상세일정'!AM209="제외"),"",IF($D209=$E209,IF(AND($D209&gt;=CD$5,$D209&lt;CD$5+7),"◆",""),IF(AND($D209&lt;CD$5+7,$E209&gt;CD$5),"■","")))</x:f>
      </x:c>
      <x:c r="CE209" s="7" t="str">
        <x:f>IF(OR($D209="",CE$5="",'상세일정'!AM209="제외"),"",IF($D209=$E209,IF(AND($D209&gt;=CE$5,$D209&lt;CE$5+7),"◆",""),IF(AND($D209&lt;CE$5+7,$E209&gt;CE$5),"■","")))</x:f>
      </x:c>
      <x:c r="CF209" s="7" t="str">
        <x:f>IF(OR($D209="",CF$5="",'상세일정'!AM209="제외"),"",IF($D209=$E209,IF(AND($D209&gt;=CF$5,$D209&lt;CF$5+7),"◆",""),IF(AND($D209&lt;CF$5+7,$E209&gt;CF$5),"■","")))</x:f>
      </x:c>
      <x:c r="CG209" s="7" t="str">
        <x:f>IF(OR($D209="",CG$5="",'상세일정'!AM209="제외"),"",IF($D209=$E209,IF(AND($D209&gt;=CG$5,$D209&lt;CG$5+7),"◆",""),IF(AND($D209&lt;CG$5+7,$E209&gt;CG$5),"■","")))</x:f>
      </x:c>
      <x:c r="CH209" s="7" t="str">
        <x:f>IF(OR($D209="",CH$5="",'상세일정'!AM209="제외"),"",IF($D209=$E209,IF(AND($D209&gt;=CH$5,$D209&lt;CH$5+7),"◆",""),IF(AND($D209&lt;CH$5+7,$E209&gt;CH$5),"■","")))</x:f>
      </x:c>
      <x:c r="CI209" s="7" t="str">
        <x:f>IF(OR($D209="",CI$5="",'상세일정'!AM209="제외"),"",IF($D209=$E209,IF(AND($D209&gt;=CI$5,$D209&lt;CI$5+7),"◆",""),IF(AND($D209&lt;CI$5+7,$E209&gt;CI$5),"■","")))</x:f>
      </x:c>
      <x:c r="CJ209" s="7" t="str">
        <x:f>IF(OR($D209="",CJ$5="",'상세일정'!AM209="제외"),"",IF($D209=$E209,IF(AND($D209&gt;=CJ$5,$D209&lt;CJ$5+7),"◆",""),IF(AND($D209&lt;CJ$5+7,$E209&gt;CJ$5),"■","")))</x:f>
      </x:c>
      <x:c r="CK209" s="7" t="str">
        <x:f>IF(OR($D209="",CK$5="",'상세일정'!AM209="제외"),"",IF($D209=$E209,IF(AND($D209&gt;=CK$5,$D209&lt;CK$5+7),"◆",""),IF(AND($D209&lt;CK$5+7,$E209&gt;CK$5),"■","")))</x:f>
      </x:c>
      <x:c r="CL209" s="7" t="str">
        <x:f>IF(OR($D209="",CL$5="",'상세일정'!AM209="제외"),"",IF($D209=$E209,IF(AND($D209&gt;=CL$5,$D209&lt;CL$5+7),"◆",""),IF(AND($D209&lt;CL$5+7,$E209&gt;CL$5),"■","")))</x:f>
      </x:c>
      <x:c r="CM209" s="7" t="str">
        <x:f>IF(OR($D209="",CM$5="",'상세일정'!AM209="제외"),"",IF($D209=$E209,IF(AND($D209&gt;=CM$5,$D209&lt;CM$5+7),"◆",""),IF(AND($D209&lt;CM$5+7,$E209&gt;CM$5),"■","")))</x:f>
      </x:c>
      <x:c r="CN209" s="7" t="str">
        <x:f>IF(OR($D209="",CN$5="",'상세일정'!AM209="제외"),"",IF($D209=$E209,IF(AND($D209&gt;=CN$5,$D209&lt;CN$5+7),"◆",""),IF(AND($D209&lt;CN$5+7,$E209&gt;CN$5),"■","")))</x:f>
      </x:c>
      <x:c r="CO209" s="7" t="str">
        <x:f>IF(OR($D209="",CO$5="",'상세일정'!AM209="제외"),"",IF($D209=$E209,IF(AND($D209&gt;=CO$5,$D209&lt;CO$5+7),"◆",""),IF(AND($D209&lt;CO$5+7,$E209&gt;CO$5),"■","")))</x:f>
      </x:c>
      <x:c r="CP209" s="7" t="str">
        <x:f>IF(OR($D209="",CP$5="",'상세일정'!AM209="제외"),"",IF($D209=$E209,IF(AND($D209&gt;=CP$5,$D209&lt;CP$5+7),"◆",""),IF(AND($D209&lt;CP$5+7,$E209&gt;CP$5),"■","")))</x:f>
      </x:c>
      <x:c r="CQ209" s="7" t="str">
        <x:f>IF(OR($D209="",CQ$5="",'상세일정'!AM209="제외"),"",IF($D209=$E209,IF(AND($D209&gt;=CQ$5,$D209&lt;CQ$5+7),"◆",""),IF(AND($D209&lt;CQ$5+7,$E209&gt;CQ$5),"■","")))</x:f>
      </x:c>
      <x:c r="CR209" s="7" t="str">
        <x:f>IF(OR($D209="",CR$5="",'상세일정'!AM209="제외"),"",IF($D209=$E209,IF(AND($D209&gt;=CR$5,$D209&lt;CR$5+7),"◆",""),IF(AND($D209&lt;CR$5+7,$E209&gt;CR$5),"■","")))</x:f>
      </x:c>
      <x:c r="CS209" s="7" t="str">
        <x:f>IF(OR($D209="",CS$5="",'상세일정'!AM209="제외"),"",IF($D209=$E209,IF(AND($D209&gt;=CS$5,$D209&lt;CS$5+7),"◆",""),IF(AND($D209&lt;CS$5+7,$E209&gt;CS$5),"■","")))</x:f>
      </x:c>
      <x:c r="CT209" s="7" t="str">
        <x:f>IF(OR($D209="",CT$5="",'상세일정'!AM209="제외"),"",IF($D209=$E209,IF(AND($D209&gt;=CT$5,$D209&lt;CT$5+7),"◆",""),IF(AND($D209&lt;CT$5+7,$E209&gt;CT$5),"■","")))</x:f>
      </x:c>
      <x:c r="CU209" s="7" t="str">
        <x:f>IF(OR($D209="",CU$5="",'상세일정'!AM209="제외"),"",IF($D209=$E209,IF(AND($D209&gt;=CU$5,$D209&lt;CU$5+7),"◆",""),IF(AND($D209&lt;CU$5+7,$E209&gt;CU$5),"■","")))</x:f>
      </x:c>
      <x:c r="CV209" s="7" t="str">
        <x:f>IF(OR($D209="",CV$5="",'상세일정'!AM209="제외"),"",IF($D209=$E209,IF(AND($D209&gt;=CV$5,$D209&lt;CV$5+7),"◆",""),IF(AND($D209&lt;CV$5+7,$E209&gt;CV$5),"■","")))</x:f>
      </x:c>
      <x:c r="CW209" s="7" t="str">
        <x:f>IF(OR($D209="",CW$5="",'상세일정'!AM209="제외"),"",IF($D209=$E209,IF(AND($D209&gt;=CW$5,$D209&lt;CW$5+7),"◆",""),IF(AND($D209&lt;CW$5+7,$E209&gt;CW$5),"■","")))</x:f>
      </x:c>
      <x:c r="CX209" s="7" t="str">
        <x:f>IF(OR($D209="",CX$5="",'상세일정'!AM209="제외"),"",IF($D209=$E209,IF(AND($D209&gt;=CX$5,$D209&lt;CX$5+7),"◆",""),IF(AND($D209&lt;CX$5+7,$E209&gt;CX$5),"■","")))</x:f>
      </x:c>
      <x:c r="CY209" s="7" t="str">
        <x:f>IF(OR($D209="",CY$5="",'상세일정'!AM209="제외"),"",IF($D209=$E209,IF(AND($D209&gt;=CY$5,$D209&lt;CY$5+7),"◆",""),IF(AND($D209&lt;CY$5+7,$E209&gt;CY$5),"■","")))</x:f>
      </x:c>
      <x:c r="CZ209" s="7" t="str">
        <x:f>IF(OR($D209="",CZ$5="",'상세일정'!AM209="제외"),"",IF($D209=$E209,IF(AND($D209&gt;=CZ$5,$D209&lt;CZ$5+7),"◆",""),IF(AND($D209&lt;CZ$5+7,$E209&gt;CZ$5),"■","")))</x:f>
      </x:c>
      <x:c r="DA209" s="7" t="str">
        <x:f>IF(OR($D209="",DA$5="",'상세일정'!AM209="제외"),"",IF($D209=$E209,IF(AND($D209&gt;=DA$5,$D209&lt;DA$5+7),"◆",""),IF(AND($D209&lt;DA$5+7,$E209&gt;DA$5),"■","")))</x:f>
      </x:c>
      <x:c r="DB209" s="7" t="str">
        <x:f>IF(OR($D209="",DB$5="",'상세일정'!AM209="제외"),"",IF($D209=$E209,IF(AND($D209&gt;=DB$5,$D209&lt;DB$5+7),"◆",""),IF(AND($D209&lt;DB$5+7,$E209&gt;DB$5),"■","")))</x:f>
      </x:c>
      <x:c r="DC209" s="7" t="str">
        <x:f>IF(OR($D209="",DC$5="",'상세일정'!AM209="제외"),"",IF($D209=$E209,IF(AND($D209&gt;=DC$5,$D209&lt;DC$5+7),"◆",""),IF(AND($D209&lt;DC$5+7,$E209&gt;DC$5),"■","")))</x:f>
      </x:c>
      <x:c r="DD209" s="7" t="str">
        <x:f>IF(OR($D209="",DD$5="",'상세일정'!AM209="제외"),"",IF($D209=$E209,IF(AND($D209&gt;=DD$5,$D209&lt;DD$5+7),"◆",""),IF(AND($D209&lt;DD$5+7,$E209&gt;DD$5),"■","")))</x:f>
      </x:c>
      <x:c r="DE209" s="7" t="str">
        <x:f>IF(OR($D209="",DE$5="",'상세일정'!AM209="제외"),"",IF($D209=$E209,IF(AND($D209&gt;=DE$5,$D209&lt;DE$5+7),"◆",""),IF(AND($D209&lt;DE$5+7,$E209&gt;DE$5),"■","")))</x:f>
      </x:c>
    </x:row>
    <x:row r="210" ht="34" customHeight="1">
      <x:c r="A210" s="7" t="str">
        <x:v>PW01</x:v>
      </x:c>
      <x:c r="B210" s="7" t="str">
        <x:v>24 수전·유틸리티 인입</x:v>
      </x:c>
      <x:c r="C210" s="7" t="str">
        <x:v>전기사용 신청·계약전력 및 공급일정 확정</x:v>
      </x:c>
      <x:c r="D210" s="10" t="str">
        <x:f>'상세일정'!AJ210</x:f>
      </x:c>
      <x:c r="E210" s="10" t="str">
        <x:f>'상세일정'!AK210</x:f>
      </x:c>
      <x:c r="F210" s="7" t="str">
        <x:f>IF(OR($D210="",F$5="",'상세일정'!AM210="제외"),"",IF($D210=$E210,IF(AND($D210&gt;=F$5,$D210&lt;F$5+7),"◆",""),IF(AND($D210&lt;F$5+7,$E210&gt;F$5),"■","")))</x:f>
      </x:c>
      <x:c r="G210" s="7" t="str">
        <x:f>IF(OR($D210="",G$5="",'상세일정'!AM210="제외"),"",IF($D210=$E210,IF(AND($D210&gt;=G$5,$D210&lt;G$5+7),"◆",""),IF(AND($D210&lt;G$5+7,$E210&gt;G$5),"■","")))</x:f>
      </x:c>
      <x:c r="H210" s="7" t="str">
        <x:f>IF(OR($D210="",H$5="",'상세일정'!AM210="제외"),"",IF($D210=$E210,IF(AND($D210&gt;=H$5,$D210&lt;H$5+7),"◆",""),IF(AND($D210&lt;H$5+7,$E210&gt;H$5),"■","")))</x:f>
      </x:c>
      <x:c r="I210" s="7" t="str">
        <x:f>IF(OR($D210="",I$5="",'상세일정'!AM210="제외"),"",IF($D210=$E210,IF(AND($D210&gt;=I$5,$D210&lt;I$5+7),"◆",""),IF(AND($D210&lt;I$5+7,$E210&gt;I$5),"■","")))</x:f>
      </x:c>
      <x:c r="J210" s="7" t="str">
        <x:f>IF(OR($D210="",J$5="",'상세일정'!AM210="제외"),"",IF($D210=$E210,IF(AND($D210&gt;=J$5,$D210&lt;J$5+7),"◆",""),IF(AND($D210&lt;J$5+7,$E210&gt;J$5),"■","")))</x:f>
      </x:c>
      <x:c r="K210" s="7" t="str">
        <x:f>IF(OR($D210="",K$5="",'상세일정'!AM210="제외"),"",IF($D210=$E210,IF(AND($D210&gt;=K$5,$D210&lt;K$5+7),"◆",""),IF(AND($D210&lt;K$5+7,$E210&gt;K$5),"■","")))</x:f>
      </x:c>
      <x:c r="L210" s="7" t="str">
        <x:f>IF(OR($D210="",L$5="",'상세일정'!AM210="제외"),"",IF($D210=$E210,IF(AND($D210&gt;=L$5,$D210&lt;L$5+7),"◆",""),IF(AND($D210&lt;L$5+7,$E210&gt;L$5),"■","")))</x:f>
      </x:c>
      <x:c r="M210" s="7" t="str">
        <x:f>IF(OR($D210="",M$5="",'상세일정'!AM210="제외"),"",IF($D210=$E210,IF(AND($D210&gt;=M$5,$D210&lt;M$5+7),"◆",""),IF(AND($D210&lt;M$5+7,$E210&gt;M$5),"■","")))</x:f>
      </x:c>
      <x:c r="N210" s="7" t="str">
        <x:f>IF(OR($D210="",N$5="",'상세일정'!AM210="제외"),"",IF($D210=$E210,IF(AND($D210&gt;=N$5,$D210&lt;N$5+7),"◆",""),IF(AND($D210&lt;N$5+7,$E210&gt;N$5),"■","")))</x:f>
      </x:c>
      <x:c r="O210" s="7" t="str">
        <x:f>IF(OR($D210="",O$5="",'상세일정'!AM210="제외"),"",IF($D210=$E210,IF(AND($D210&gt;=O$5,$D210&lt;O$5+7),"◆",""),IF(AND($D210&lt;O$5+7,$E210&gt;O$5),"■","")))</x:f>
      </x:c>
      <x:c r="P210" s="7" t="str">
        <x:f>IF(OR($D210="",P$5="",'상세일정'!AM210="제외"),"",IF($D210=$E210,IF(AND($D210&gt;=P$5,$D210&lt;P$5+7),"◆",""),IF(AND($D210&lt;P$5+7,$E210&gt;P$5),"■","")))</x:f>
      </x:c>
      <x:c r="Q210" s="7" t="str">
        <x:f>IF(OR($D210="",Q$5="",'상세일정'!AM210="제외"),"",IF($D210=$E210,IF(AND($D210&gt;=Q$5,$D210&lt;Q$5+7),"◆",""),IF(AND($D210&lt;Q$5+7,$E210&gt;Q$5),"■","")))</x:f>
      </x:c>
      <x:c r="R210" s="7" t="str">
        <x:f>IF(OR($D210="",R$5="",'상세일정'!AM210="제외"),"",IF($D210=$E210,IF(AND($D210&gt;=R$5,$D210&lt;R$5+7),"◆",""),IF(AND($D210&lt;R$5+7,$E210&gt;R$5),"■","")))</x:f>
      </x:c>
      <x:c r="S210" s="7" t="str">
        <x:f>IF(OR($D210="",S$5="",'상세일정'!AM210="제외"),"",IF($D210=$E210,IF(AND($D210&gt;=S$5,$D210&lt;S$5+7),"◆",""),IF(AND($D210&lt;S$5+7,$E210&gt;S$5),"■","")))</x:f>
      </x:c>
      <x:c r="T210" s="7" t="str">
        <x:f>IF(OR($D210="",T$5="",'상세일정'!AM210="제외"),"",IF($D210=$E210,IF(AND($D210&gt;=T$5,$D210&lt;T$5+7),"◆",""),IF(AND($D210&lt;T$5+7,$E210&gt;T$5),"■","")))</x:f>
      </x:c>
      <x:c r="U210" s="7" t="str">
        <x:f>IF(OR($D210="",U$5="",'상세일정'!AM210="제외"),"",IF($D210=$E210,IF(AND($D210&gt;=U$5,$D210&lt;U$5+7),"◆",""),IF(AND($D210&lt;U$5+7,$E210&gt;U$5),"■","")))</x:f>
      </x:c>
      <x:c r="V210" s="7" t="str">
        <x:f>IF(OR($D210="",V$5="",'상세일정'!AM210="제외"),"",IF($D210=$E210,IF(AND($D210&gt;=V$5,$D210&lt;V$5+7),"◆",""),IF(AND($D210&lt;V$5+7,$E210&gt;V$5),"■","")))</x:f>
      </x:c>
      <x:c r="W210" s="7" t="str">
        <x:f>IF(OR($D210="",W$5="",'상세일정'!AM210="제외"),"",IF($D210=$E210,IF(AND($D210&gt;=W$5,$D210&lt;W$5+7),"◆",""),IF(AND($D210&lt;W$5+7,$E210&gt;W$5),"■","")))</x:f>
      </x:c>
      <x:c r="X210" s="7" t="str">
        <x:f>IF(OR($D210="",X$5="",'상세일정'!AM210="제외"),"",IF($D210=$E210,IF(AND($D210&gt;=X$5,$D210&lt;X$5+7),"◆",""),IF(AND($D210&lt;X$5+7,$E210&gt;X$5),"■","")))</x:f>
      </x:c>
      <x:c r="Y210" s="7" t="str">
        <x:f>IF(OR($D210="",Y$5="",'상세일정'!AM210="제외"),"",IF($D210=$E210,IF(AND($D210&gt;=Y$5,$D210&lt;Y$5+7),"◆",""),IF(AND($D210&lt;Y$5+7,$E210&gt;Y$5),"■","")))</x:f>
      </x:c>
      <x:c r="Z210" s="7" t="str">
        <x:f>IF(OR($D210="",Z$5="",'상세일정'!AM210="제외"),"",IF($D210=$E210,IF(AND($D210&gt;=Z$5,$D210&lt;Z$5+7),"◆",""),IF(AND($D210&lt;Z$5+7,$E210&gt;Z$5),"■","")))</x:f>
      </x:c>
      <x:c r="AA210" s="7" t="str">
        <x:f>IF(OR($D210="",AA$5="",'상세일정'!AM210="제외"),"",IF($D210=$E210,IF(AND($D210&gt;=AA$5,$D210&lt;AA$5+7),"◆",""),IF(AND($D210&lt;AA$5+7,$E210&gt;AA$5),"■","")))</x:f>
      </x:c>
      <x:c r="AB210" s="7" t="str">
        <x:f>IF(OR($D210="",AB$5="",'상세일정'!AM210="제외"),"",IF($D210=$E210,IF(AND($D210&gt;=AB$5,$D210&lt;AB$5+7),"◆",""),IF(AND($D210&lt;AB$5+7,$E210&gt;AB$5),"■","")))</x:f>
      </x:c>
      <x:c r="AC210" s="7" t="str">
        <x:f>IF(OR($D210="",AC$5="",'상세일정'!AM210="제외"),"",IF($D210=$E210,IF(AND($D210&gt;=AC$5,$D210&lt;AC$5+7),"◆",""),IF(AND($D210&lt;AC$5+7,$E210&gt;AC$5),"■","")))</x:f>
      </x:c>
      <x:c r="AD210" s="7" t="str">
        <x:f>IF(OR($D210="",AD$5="",'상세일정'!AM210="제외"),"",IF($D210=$E210,IF(AND($D210&gt;=AD$5,$D210&lt;AD$5+7),"◆",""),IF(AND($D210&lt;AD$5+7,$E210&gt;AD$5),"■","")))</x:f>
      </x:c>
      <x:c r="AE210" s="7" t="str">
        <x:f>IF(OR($D210="",AE$5="",'상세일정'!AM210="제외"),"",IF($D210=$E210,IF(AND($D210&gt;=AE$5,$D210&lt;AE$5+7),"◆",""),IF(AND($D210&lt;AE$5+7,$E210&gt;AE$5),"■","")))</x:f>
      </x:c>
      <x:c r="AF210" s="7" t="str">
        <x:f>IF(OR($D210="",AF$5="",'상세일정'!AM210="제외"),"",IF($D210=$E210,IF(AND($D210&gt;=AF$5,$D210&lt;AF$5+7),"◆",""),IF(AND($D210&lt;AF$5+7,$E210&gt;AF$5),"■","")))</x:f>
      </x:c>
      <x:c r="AG210" s="7" t="str">
        <x:f>IF(OR($D210="",AG$5="",'상세일정'!AM210="제외"),"",IF($D210=$E210,IF(AND($D210&gt;=AG$5,$D210&lt;AG$5+7),"◆",""),IF(AND($D210&lt;AG$5+7,$E210&gt;AG$5),"■","")))</x:f>
      </x:c>
      <x:c r="AH210" s="7" t="str">
        <x:f>IF(OR($D210="",AH$5="",'상세일정'!AM210="제외"),"",IF($D210=$E210,IF(AND($D210&gt;=AH$5,$D210&lt;AH$5+7),"◆",""),IF(AND($D210&lt;AH$5+7,$E210&gt;AH$5),"■","")))</x:f>
      </x:c>
      <x:c r="AI210" s="7" t="str">
        <x:f>IF(OR($D210="",AI$5="",'상세일정'!AM210="제외"),"",IF($D210=$E210,IF(AND($D210&gt;=AI$5,$D210&lt;AI$5+7),"◆",""),IF(AND($D210&lt;AI$5+7,$E210&gt;AI$5),"■","")))</x:f>
      </x:c>
      <x:c r="AJ210" s="7" t="str">
        <x:f>IF(OR($D210="",AJ$5="",'상세일정'!AM210="제외"),"",IF($D210=$E210,IF(AND($D210&gt;=AJ$5,$D210&lt;AJ$5+7),"◆",""),IF(AND($D210&lt;AJ$5+7,$E210&gt;AJ$5),"■","")))</x:f>
      </x:c>
      <x:c r="AK210" s="7" t="str">
        <x:f>IF(OR($D210="",AK$5="",'상세일정'!AM210="제외"),"",IF($D210=$E210,IF(AND($D210&gt;=AK$5,$D210&lt;AK$5+7),"◆",""),IF(AND($D210&lt;AK$5+7,$E210&gt;AK$5),"■","")))</x:f>
      </x:c>
      <x:c r="AL210" s="7" t="str">
        <x:f>IF(OR($D210="",AL$5="",'상세일정'!AM210="제외"),"",IF($D210=$E210,IF(AND($D210&gt;=AL$5,$D210&lt;AL$5+7),"◆",""),IF(AND($D210&lt;AL$5+7,$E210&gt;AL$5),"■","")))</x:f>
      </x:c>
      <x:c r="AM210" s="7" t="str">
        <x:f>IF(OR($D210="",AM$5="",'상세일정'!AM210="제외"),"",IF($D210=$E210,IF(AND($D210&gt;=AM$5,$D210&lt;AM$5+7),"◆",""),IF(AND($D210&lt;AM$5+7,$E210&gt;AM$5),"■","")))</x:f>
      </x:c>
      <x:c r="AN210" s="7" t="str">
        <x:f>IF(OR($D210="",AN$5="",'상세일정'!AM210="제외"),"",IF($D210=$E210,IF(AND($D210&gt;=AN$5,$D210&lt;AN$5+7),"◆",""),IF(AND($D210&lt;AN$5+7,$E210&gt;AN$5),"■","")))</x:f>
      </x:c>
      <x:c r="AO210" s="7" t="str">
        <x:f>IF(OR($D210="",AO$5="",'상세일정'!AM210="제외"),"",IF($D210=$E210,IF(AND($D210&gt;=AO$5,$D210&lt;AO$5+7),"◆",""),IF(AND($D210&lt;AO$5+7,$E210&gt;AO$5),"■","")))</x:f>
      </x:c>
      <x:c r="AP210" s="7" t="str">
        <x:f>IF(OR($D210="",AP$5="",'상세일정'!AM210="제외"),"",IF($D210=$E210,IF(AND($D210&gt;=AP$5,$D210&lt;AP$5+7),"◆",""),IF(AND($D210&lt;AP$5+7,$E210&gt;AP$5),"■","")))</x:f>
      </x:c>
      <x:c r="AQ210" s="7" t="str">
        <x:f>IF(OR($D210="",AQ$5="",'상세일정'!AM210="제외"),"",IF($D210=$E210,IF(AND($D210&gt;=AQ$5,$D210&lt;AQ$5+7),"◆",""),IF(AND($D210&lt;AQ$5+7,$E210&gt;AQ$5),"■","")))</x:f>
      </x:c>
      <x:c r="AR210" s="7" t="str">
        <x:f>IF(OR($D210="",AR$5="",'상세일정'!AM210="제외"),"",IF($D210=$E210,IF(AND($D210&gt;=AR$5,$D210&lt;AR$5+7),"◆",""),IF(AND($D210&lt;AR$5+7,$E210&gt;AR$5),"■","")))</x:f>
      </x:c>
      <x:c r="AS210" s="7" t="str">
        <x:f>IF(OR($D210="",AS$5="",'상세일정'!AM210="제외"),"",IF($D210=$E210,IF(AND($D210&gt;=AS$5,$D210&lt;AS$5+7),"◆",""),IF(AND($D210&lt;AS$5+7,$E210&gt;AS$5),"■","")))</x:f>
      </x:c>
      <x:c r="AT210" s="7" t="str">
        <x:f>IF(OR($D210="",AT$5="",'상세일정'!AM210="제외"),"",IF($D210=$E210,IF(AND($D210&gt;=AT$5,$D210&lt;AT$5+7),"◆",""),IF(AND($D210&lt;AT$5+7,$E210&gt;AT$5),"■","")))</x:f>
      </x:c>
      <x:c r="AU210" s="7" t="str">
        <x:f>IF(OR($D210="",AU$5="",'상세일정'!AM210="제외"),"",IF($D210=$E210,IF(AND($D210&gt;=AU$5,$D210&lt;AU$5+7),"◆",""),IF(AND($D210&lt;AU$5+7,$E210&gt;AU$5),"■","")))</x:f>
      </x:c>
      <x:c r="AV210" s="7" t="str">
        <x:f>IF(OR($D210="",AV$5="",'상세일정'!AM210="제외"),"",IF($D210=$E210,IF(AND($D210&gt;=AV$5,$D210&lt;AV$5+7),"◆",""),IF(AND($D210&lt;AV$5+7,$E210&gt;AV$5),"■","")))</x:f>
      </x:c>
      <x:c r="AW210" s="7" t="str">
        <x:f>IF(OR($D210="",AW$5="",'상세일정'!AM210="제외"),"",IF($D210=$E210,IF(AND($D210&gt;=AW$5,$D210&lt;AW$5+7),"◆",""),IF(AND($D210&lt;AW$5+7,$E210&gt;AW$5),"■","")))</x:f>
      </x:c>
      <x:c r="AX210" s="7" t="str">
        <x:f>IF(OR($D210="",AX$5="",'상세일정'!AM210="제외"),"",IF($D210=$E210,IF(AND($D210&gt;=AX$5,$D210&lt;AX$5+7),"◆",""),IF(AND($D210&lt;AX$5+7,$E210&gt;AX$5),"■","")))</x:f>
      </x:c>
      <x:c r="AY210" s="7" t="str">
        <x:f>IF(OR($D210="",AY$5="",'상세일정'!AM210="제외"),"",IF($D210=$E210,IF(AND($D210&gt;=AY$5,$D210&lt;AY$5+7),"◆",""),IF(AND($D210&lt;AY$5+7,$E210&gt;AY$5),"■","")))</x:f>
      </x:c>
      <x:c r="AZ210" s="7" t="str">
        <x:f>IF(OR($D210="",AZ$5="",'상세일정'!AM210="제외"),"",IF($D210=$E210,IF(AND($D210&gt;=AZ$5,$D210&lt;AZ$5+7),"◆",""),IF(AND($D210&lt;AZ$5+7,$E210&gt;AZ$5),"■","")))</x:f>
      </x:c>
      <x:c r="BA210" s="7" t="str">
        <x:f>IF(OR($D210="",BA$5="",'상세일정'!AM210="제외"),"",IF($D210=$E210,IF(AND($D210&gt;=BA$5,$D210&lt;BA$5+7),"◆",""),IF(AND($D210&lt;BA$5+7,$E210&gt;BA$5),"■","")))</x:f>
      </x:c>
      <x:c r="BB210" s="7" t="str">
        <x:f>IF(OR($D210="",BB$5="",'상세일정'!AM210="제외"),"",IF($D210=$E210,IF(AND($D210&gt;=BB$5,$D210&lt;BB$5+7),"◆",""),IF(AND($D210&lt;BB$5+7,$E210&gt;BB$5),"■","")))</x:f>
      </x:c>
      <x:c r="BC210" s="7" t="str">
        <x:f>IF(OR($D210="",BC$5="",'상세일정'!AM210="제외"),"",IF($D210=$E210,IF(AND($D210&gt;=BC$5,$D210&lt;BC$5+7),"◆",""),IF(AND($D210&lt;BC$5+7,$E210&gt;BC$5),"■","")))</x:f>
      </x:c>
      <x:c r="BD210" s="7" t="str">
        <x:f>IF(OR($D210="",BD$5="",'상세일정'!AM210="제외"),"",IF($D210=$E210,IF(AND($D210&gt;=BD$5,$D210&lt;BD$5+7),"◆",""),IF(AND($D210&lt;BD$5+7,$E210&gt;BD$5),"■","")))</x:f>
      </x:c>
      <x:c r="BE210" s="7" t="str">
        <x:f>IF(OR($D210="",BE$5="",'상세일정'!AM210="제외"),"",IF($D210=$E210,IF(AND($D210&gt;=BE$5,$D210&lt;BE$5+7),"◆",""),IF(AND($D210&lt;BE$5+7,$E210&gt;BE$5),"■","")))</x:f>
      </x:c>
      <x:c r="BF210" s="7" t="str">
        <x:f>IF(OR($D210="",BF$5="",'상세일정'!AM210="제외"),"",IF($D210=$E210,IF(AND($D210&gt;=BF$5,$D210&lt;BF$5+7),"◆",""),IF(AND($D210&lt;BF$5+7,$E210&gt;BF$5),"■","")))</x:f>
      </x:c>
      <x:c r="BG210" s="7" t="str">
        <x:f>IF(OR($D210="",BG$5="",'상세일정'!AM210="제외"),"",IF($D210=$E210,IF(AND($D210&gt;=BG$5,$D210&lt;BG$5+7),"◆",""),IF(AND($D210&lt;BG$5+7,$E210&gt;BG$5),"■","")))</x:f>
      </x:c>
      <x:c r="BH210" s="7" t="str">
        <x:f>IF(OR($D210="",BH$5="",'상세일정'!AM210="제외"),"",IF($D210=$E210,IF(AND($D210&gt;=BH$5,$D210&lt;BH$5+7),"◆",""),IF(AND($D210&lt;BH$5+7,$E210&gt;BH$5),"■","")))</x:f>
      </x:c>
      <x:c r="BI210" s="7" t="str">
        <x:f>IF(OR($D210="",BI$5="",'상세일정'!AM210="제외"),"",IF($D210=$E210,IF(AND($D210&gt;=BI$5,$D210&lt;BI$5+7),"◆",""),IF(AND($D210&lt;BI$5+7,$E210&gt;BI$5),"■","")))</x:f>
      </x:c>
      <x:c r="BJ210" s="7" t="str">
        <x:f>IF(OR($D210="",BJ$5="",'상세일정'!AM210="제외"),"",IF($D210=$E210,IF(AND($D210&gt;=BJ$5,$D210&lt;BJ$5+7),"◆",""),IF(AND($D210&lt;BJ$5+7,$E210&gt;BJ$5),"■","")))</x:f>
      </x:c>
      <x:c r="BK210" s="7" t="str">
        <x:f>IF(OR($D210="",BK$5="",'상세일정'!AM210="제외"),"",IF($D210=$E210,IF(AND($D210&gt;=BK$5,$D210&lt;BK$5+7),"◆",""),IF(AND($D210&lt;BK$5+7,$E210&gt;BK$5),"■","")))</x:f>
      </x:c>
      <x:c r="BL210" s="7" t="str">
        <x:f>IF(OR($D210="",BL$5="",'상세일정'!AM210="제외"),"",IF($D210=$E210,IF(AND($D210&gt;=BL$5,$D210&lt;BL$5+7),"◆",""),IF(AND($D210&lt;BL$5+7,$E210&gt;BL$5),"■","")))</x:f>
      </x:c>
      <x:c r="BM210" s="7" t="str">
        <x:f>IF(OR($D210="",BM$5="",'상세일정'!AM210="제외"),"",IF($D210=$E210,IF(AND($D210&gt;=BM$5,$D210&lt;BM$5+7),"◆",""),IF(AND($D210&lt;BM$5+7,$E210&gt;BM$5),"■","")))</x:f>
      </x:c>
      <x:c r="BN210" s="7" t="str">
        <x:f>IF(OR($D210="",BN$5="",'상세일정'!AM210="제외"),"",IF($D210=$E210,IF(AND($D210&gt;=BN$5,$D210&lt;BN$5+7),"◆",""),IF(AND($D210&lt;BN$5+7,$E210&gt;BN$5),"■","")))</x:f>
      </x:c>
      <x:c r="BO210" s="7" t="str">
        <x:f>IF(OR($D210="",BO$5="",'상세일정'!AM210="제외"),"",IF($D210=$E210,IF(AND($D210&gt;=BO$5,$D210&lt;BO$5+7),"◆",""),IF(AND($D210&lt;BO$5+7,$E210&gt;BO$5),"■","")))</x:f>
      </x:c>
      <x:c r="BP210" s="7" t="str">
        <x:f>IF(OR($D210="",BP$5="",'상세일정'!AM210="제외"),"",IF($D210=$E210,IF(AND($D210&gt;=BP$5,$D210&lt;BP$5+7),"◆",""),IF(AND($D210&lt;BP$5+7,$E210&gt;BP$5),"■","")))</x:f>
      </x:c>
      <x:c r="BQ210" s="7" t="str">
        <x:f>IF(OR($D210="",BQ$5="",'상세일정'!AM210="제외"),"",IF($D210=$E210,IF(AND($D210&gt;=BQ$5,$D210&lt;BQ$5+7),"◆",""),IF(AND($D210&lt;BQ$5+7,$E210&gt;BQ$5),"■","")))</x:f>
      </x:c>
      <x:c r="BR210" s="7" t="str">
        <x:f>IF(OR($D210="",BR$5="",'상세일정'!AM210="제외"),"",IF($D210=$E210,IF(AND($D210&gt;=BR$5,$D210&lt;BR$5+7),"◆",""),IF(AND($D210&lt;BR$5+7,$E210&gt;BR$5),"■","")))</x:f>
      </x:c>
      <x:c r="BS210" s="7" t="str">
        <x:f>IF(OR($D210="",BS$5="",'상세일정'!AM210="제외"),"",IF($D210=$E210,IF(AND($D210&gt;=BS$5,$D210&lt;BS$5+7),"◆",""),IF(AND($D210&lt;BS$5+7,$E210&gt;BS$5),"■","")))</x:f>
      </x:c>
      <x:c r="BT210" s="7" t="str">
        <x:f>IF(OR($D210="",BT$5="",'상세일정'!AM210="제외"),"",IF($D210=$E210,IF(AND($D210&gt;=BT$5,$D210&lt;BT$5+7),"◆",""),IF(AND($D210&lt;BT$5+7,$E210&gt;BT$5),"■","")))</x:f>
      </x:c>
      <x:c r="BU210" s="7" t="str">
        <x:f>IF(OR($D210="",BU$5="",'상세일정'!AM210="제외"),"",IF($D210=$E210,IF(AND($D210&gt;=BU$5,$D210&lt;BU$5+7),"◆",""),IF(AND($D210&lt;BU$5+7,$E210&gt;BU$5),"■","")))</x:f>
      </x:c>
      <x:c r="BV210" s="7" t="str">
        <x:f>IF(OR($D210="",BV$5="",'상세일정'!AM210="제외"),"",IF($D210=$E210,IF(AND($D210&gt;=BV$5,$D210&lt;BV$5+7),"◆",""),IF(AND($D210&lt;BV$5+7,$E210&gt;BV$5),"■","")))</x:f>
      </x:c>
      <x:c r="BW210" s="7" t="str">
        <x:f>IF(OR($D210="",BW$5="",'상세일정'!AM210="제외"),"",IF($D210=$E210,IF(AND($D210&gt;=BW$5,$D210&lt;BW$5+7),"◆",""),IF(AND($D210&lt;BW$5+7,$E210&gt;BW$5),"■","")))</x:f>
      </x:c>
      <x:c r="BX210" s="7" t="str">
        <x:f>IF(OR($D210="",BX$5="",'상세일정'!AM210="제외"),"",IF($D210=$E210,IF(AND($D210&gt;=BX$5,$D210&lt;BX$5+7),"◆",""),IF(AND($D210&lt;BX$5+7,$E210&gt;BX$5),"■","")))</x:f>
      </x:c>
      <x:c r="BY210" s="7" t="str">
        <x:f>IF(OR($D210="",BY$5="",'상세일정'!AM210="제외"),"",IF($D210=$E210,IF(AND($D210&gt;=BY$5,$D210&lt;BY$5+7),"◆",""),IF(AND($D210&lt;BY$5+7,$E210&gt;BY$5),"■","")))</x:f>
      </x:c>
      <x:c r="BZ210" s="7" t="str">
        <x:f>IF(OR($D210="",BZ$5="",'상세일정'!AM210="제외"),"",IF($D210=$E210,IF(AND($D210&gt;=BZ$5,$D210&lt;BZ$5+7),"◆",""),IF(AND($D210&lt;BZ$5+7,$E210&gt;BZ$5),"■","")))</x:f>
      </x:c>
      <x:c r="CA210" s="7" t="str">
        <x:f>IF(OR($D210="",CA$5="",'상세일정'!AM210="제외"),"",IF($D210=$E210,IF(AND($D210&gt;=CA$5,$D210&lt;CA$5+7),"◆",""),IF(AND($D210&lt;CA$5+7,$E210&gt;CA$5),"■","")))</x:f>
      </x:c>
      <x:c r="CB210" s="7" t="str">
        <x:f>IF(OR($D210="",CB$5="",'상세일정'!AM210="제외"),"",IF($D210=$E210,IF(AND($D210&gt;=CB$5,$D210&lt;CB$5+7),"◆",""),IF(AND($D210&lt;CB$5+7,$E210&gt;CB$5),"■","")))</x:f>
      </x:c>
      <x:c r="CC210" s="7" t="str">
        <x:f>IF(OR($D210="",CC$5="",'상세일정'!AM210="제외"),"",IF($D210=$E210,IF(AND($D210&gt;=CC$5,$D210&lt;CC$5+7),"◆",""),IF(AND($D210&lt;CC$5+7,$E210&gt;CC$5),"■","")))</x:f>
      </x:c>
      <x:c r="CD210" s="7" t="str">
        <x:f>IF(OR($D210="",CD$5="",'상세일정'!AM210="제외"),"",IF($D210=$E210,IF(AND($D210&gt;=CD$5,$D210&lt;CD$5+7),"◆",""),IF(AND($D210&lt;CD$5+7,$E210&gt;CD$5),"■","")))</x:f>
      </x:c>
      <x:c r="CE210" s="7" t="str">
        <x:f>IF(OR($D210="",CE$5="",'상세일정'!AM210="제외"),"",IF($D210=$E210,IF(AND($D210&gt;=CE$5,$D210&lt;CE$5+7),"◆",""),IF(AND($D210&lt;CE$5+7,$E210&gt;CE$5),"■","")))</x:f>
      </x:c>
      <x:c r="CF210" s="7" t="str">
        <x:f>IF(OR($D210="",CF$5="",'상세일정'!AM210="제외"),"",IF($D210=$E210,IF(AND($D210&gt;=CF$5,$D210&lt;CF$5+7),"◆",""),IF(AND($D210&lt;CF$5+7,$E210&gt;CF$5),"■","")))</x:f>
      </x:c>
      <x:c r="CG210" s="7" t="str">
        <x:f>IF(OR($D210="",CG$5="",'상세일정'!AM210="제외"),"",IF($D210=$E210,IF(AND($D210&gt;=CG$5,$D210&lt;CG$5+7),"◆",""),IF(AND($D210&lt;CG$5+7,$E210&gt;CG$5),"■","")))</x:f>
      </x:c>
      <x:c r="CH210" s="7" t="str">
        <x:f>IF(OR($D210="",CH$5="",'상세일정'!AM210="제외"),"",IF($D210=$E210,IF(AND($D210&gt;=CH$5,$D210&lt;CH$5+7),"◆",""),IF(AND($D210&lt;CH$5+7,$E210&gt;CH$5),"■","")))</x:f>
      </x:c>
      <x:c r="CI210" s="7" t="str">
        <x:f>IF(OR($D210="",CI$5="",'상세일정'!AM210="제외"),"",IF($D210=$E210,IF(AND($D210&gt;=CI$5,$D210&lt;CI$5+7),"◆",""),IF(AND($D210&lt;CI$5+7,$E210&gt;CI$5),"■","")))</x:f>
      </x:c>
      <x:c r="CJ210" s="7" t="str">
        <x:f>IF(OR($D210="",CJ$5="",'상세일정'!AM210="제외"),"",IF($D210=$E210,IF(AND($D210&gt;=CJ$5,$D210&lt;CJ$5+7),"◆",""),IF(AND($D210&lt;CJ$5+7,$E210&gt;CJ$5),"■","")))</x:f>
      </x:c>
      <x:c r="CK210" s="7" t="str">
        <x:f>IF(OR($D210="",CK$5="",'상세일정'!AM210="제외"),"",IF($D210=$E210,IF(AND($D210&gt;=CK$5,$D210&lt;CK$5+7),"◆",""),IF(AND($D210&lt;CK$5+7,$E210&gt;CK$5),"■","")))</x:f>
      </x:c>
      <x:c r="CL210" s="7" t="str">
        <x:f>IF(OR($D210="",CL$5="",'상세일정'!AM210="제외"),"",IF($D210=$E210,IF(AND($D210&gt;=CL$5,$D210&lt;CL$5+7),"◆",""),IF(AND($D210&lt;CL$5+7,$E210&gt;CL$5),"■","")))</x:f>
      </x:c>
      <x:c r="CM210" s="7" t="str">
        <x:f>IF(OR($D210="",CM$5="",'상세일정'!AM210="제외"),"",IF($D210=$E210,IF(AND($D210&gt;=CM$5,$D210&lt;CM$5+7),"◆",""),IF(AND($D210&lt;CM$5+7,$E210&gt;CM$5),"■","")))</x:f>
      </x:c>
      <x:c r="CN210" s="7" t="str">
        <x:f>IF(OR($D210="",CN$5="",'상세일정'!AM210="제외"),"",IF($D210=$E210,IF(AND($D210&gt;=CN$5,$D210&lt;CN$5+7),"◆",""),IF(AND($D210&lt;CN$5+7,$E210&gt;CN$5),"■","")))</x:f>
      </x:c>
      <x:c r="CO210" s="7" t="str">
        <x:f>IF(OR($D210="",CO$5="",'상세일정'!AM210="제외"),"",IF($D210=$E210,IF(AND($D210&gt;=CO$5,$D210&lt;CO$5+7),"◆",""),IF(AND($D210&lt;CO$5+7,$E210&gt;CO$5),"■","")))</x:f>
      </x:c>
      <x:c r="CP210" s="7" t="str">
        <x:f>IF(OR($D210="",CP$5="",'상세일정'!AM210="제외"),"",IF($D210=$E210,IF(AND($D210&gt;=CP$5,$D210&lt;CP$5+7),"◆",""),IF(AND($D210&lt;CP$5+7,$E210&gt;CP$5),"■","")))</x:f>
      </x:c>
      <x:c r="CQ210" s="7" t="str">
        <x:f>IF(OR($D210="",CQ$5="",'상세일정'!AM210="제외"),"",IF($D210=$E210,IF(AND($D210&gt;=CQ$5,$D210&lt;CQ$5+7),"◆",""),IF(AND($D210&lt;CQ$5+7,$E210&gt;CQ$5),"■","")))</x:f>
      </x:c>
      <x:c r="CR210" s="7" t="str">
        <x:f>IF(OR($D210="",CR$5="",'상세일정'!AM210="제외"),"",IF($D210=$E210,IF(AND($D210&gt;=CR$5,$D210&lt;CR$5+7),"◆",""),IF(AND($D210&lt;CR$5+7,$E210&gt;CR$5),"■","")))</x:f>
      </x:c>
      <x:c r="CS210" s="7" t="str">
        <x:f>IF(OR($D210="",CS$5="",'상세일정'!AM210="제외"),"",IF($D210=$E210,IF(AND($D210&gt;=CS$5,$D210&lt;CS$5+7),"◆",""),IF(AND($D210&lt;CS$5+7,$E210&gt;CS$5),"■","")))</x:f>
      </x:c>
      <x:c r="CT210" s="7" t="str">
        <x:f>IF(OR($D210="",CT$5="",'상세일정'!AM210="제외"),"",IF($D210=$E210,IF(AND($D210&gt;=CT$5,$D210&lt;CT$5+7),"◆",""),IF(AND($D210&lt;CT$5+7,$E210&gt;CT$5),"■","")))</x:f>
      </x:c>
      <x:c r="CU210" s="7" t="str">
        <x:f>IF(OR($D210="",CU$5="",'상세일정'!AM210="제외"),"",IF($D210=$E210,IF(AND($D210&gt;=CU$5,$D210&lt;CU$5+7),"◆",""),IF(AND($D210&lt;CU$5+7,$E210&gt;CU$5),"■","")))</x:f>
      </x:c>
      <x:c r="CV210" s="7" t="str">
        <x:f>IF(OR($D210="",CV$5="",'상세일정'!AM210="제외"),"",IF($D210=$E210,IF(AND($D210&gt;=CV$5,$D210&lt;CV$5+7),"◆",""),IF(AND($D210&lt;CV$5+7,$E210&gt;CV$5),"■","")))</x:f>
      </x:c>
      <x:c r="CW210" s="7" t="str">
        <x:f>IF(OR($D210="",CW$5="",'상세일정'!AM210="제외"),"",IF($D210=$E210,IF(AND($D210&gt;=CW$5,$D210&lt;CW$5+7),"◆",""),IF(AND($D210&lt;CW$5+7,$E210&gt;CW$5),"■","")))</x:f>
      </x:c>
      <x:c r="CX210" s="7" t="str">
        <x:f>IF(OR($D210="",CX$5="",'상세일정'!AM210="제외"),"",IF($D210=$E210,IF(AND($D210&gt;=CX$5,$D210&lt;CX$5+7),"◆",""),IF(AND($D210&lt;CX$5+7,$E210&gt;CX$5),"■","")))</x:f>
      </x:c>
      <x:c r="CY210" s="7" t="str">
        <x:f>IF(OR($D210="",CY$5="",'상세일정'!AM210="제외"),"",IF($D210=$E210,IF(AND($D210&gt;=CY$5,$D210&lt;CY$5+7),"◆",""),IF(AND($D210&lt;CY$5+7,$E210&gt;CY$5),"■","")))</x:f>
      </x:c>
      <x:c r="CZ210" s="7" t="str">
        <x:f>IF(OR($D210="",CZ$5="",'상세일정'!AM210="제외"),"",IF($D210=$E210,IF(AND($D210&gt;=CZ$5,$D210&lt;CZ$5+7),"◆",""),IF(AND($D210&lt;CZ$5+7,$E210&gt;CZ$5),"■","")))</x:f>
      </x:c>
      <x:c r="DA210" s="7" t="str">
        <x:f>IF(OR($D210="",DA$5="",'상세일정'!AM210="제외"),"",IF($D210=$E210,IF(AND($D210&gt;=DA$5,$D210&lt;DA$5+7),"◆",""),IF(AND($D210&lt;DA$5+7,$E210&gt;DA$5),"■","")))</x:f>
      </x:c>
      <x:c r="DB210" s="7" t="str">
        <x:f>IF(OR($D210="",DB$5="",'상세일정'!AM210="제외"),"",IF($D210=$E210,IF(AND($D210&gt;=DB$5,$D210&lt;DB$5+7),"◆",""),IF(AND($D210&lt;DB$5+7,$E210&gt;DB$5),"■","")))</x:f>
      </x:c>
      <x:c r="DC210" s="7" t="str">
        <x:f>IF(OR($D210="",DC$5="",'상세일정'!AM210="제외"),"",IF($D210=$E210,IF(AND($D210&gt;=DC$5,$D210&lt;DC$5+7),"◆",""),IF(AND($D210&lt;DC$5+7,$E210&gt;DC$5),"■","")))</x:f>
      </x:c>
      <x:c r="DD210" s="7" t="str">
        <x:f>IF(OR($D210="",DD$5="",'상세일정'!AM210="제외"),"",IF($D210=$E210,IF(AND($D210&gt;=DD$5,$D210&lt;DD$5+7),"◆",""),IF(AND($D210&lt;DD$5+7,$E210&gt;DD$5),"■","")))</x:f>
      </x:c>
      <x:c r="DE210" s="7" t="str">
        <x:f>IF(OR($D210="",DE$5="",'상세일정'!AM210="제외"),"",IF($D210=$E210,IF(AND($D210&gt;=DE$5,$D210&lt;DE$5+7),"◆",""),IF(AND($D210&lt;DE$5+7,$E210&gt;DE$5),"■","")))</x:f>
      </x:c>
    </x:row>
    <x:row r="211" ht="34" customHeight="1">
      <x:c r="A211" s="7" t="str">
        <x:v>PW02</x:v>
      </x:c>
      <x:c r="B211" s="7" t="str">
        <x:v>24 수전·유틸리티 인입</x:v>
      </x:c>
      <x:c r="C211" s="7" t="str">
        <x:v>공급시설 공사비·부담금 납부 및 인입공사</x:v>
      </x:c>
      <x:c r="D211" s="10" t="str">
        <x:f>'상세일정'!AJ211</x:f>
      </x:c>
      <x:c r="E211" s="10" t="str">
        <x:f>'상세일정'!AK211</x:f>
      </x:c>
      <x:c r="F211" s="7" t="str">
        <x:f>IF(OR($D211="",F$5="",'상세일정'!AM211="제외"),"",IF($D211=$E211,IF(AND($D211&gt;=F$5,$D211&lt;F$5+7),"◆",""),IF(AND($D211&lt;F$5+7,$E211&gt;F$5),"■","")))</x:f>
      </x:c>
      <x:c r="G211" s="7" t="str">
        <x:f>IF(OR($D211="",G$5="",'상세일정'!AM211="제외"),"",IF($D211=$E211,IF(AND($D211&gt;=G$5,$D211&lt;G$5+7),"◆",""),IF(AND($D211&lt;G$5+7,$E211&gt;G$5),"■","")))</x:f>
      </x:c>
      <x:c r="H211" s="7" t="str">
        <x:f>IF(OR($D211="",H$5="",'상세일정'!AM211="제외"),"",IF($D211=$E211,IF(AND($D211&gt;=H$5,$D211&lt;H$5+7),"◆",""),IF(AND($D211&lt;H$5+7,$E211&gt;H$5),"■","")))</x:f>
      </x:c>
      <x:c r="I211" s="7" t="str">
        <x:f>IF(OR($D211="",I$5="",'상세일정'!AM211="제외"),"",IF($D211=$E211,IF(AND($D211&gt;=I$5,$D211&lt;I$5+7),"◆",""),IF(AND($D211&lt;I$5+7,$E211&gt;I$5),"■","")))</x:f>
      </x:c>
      <x:c r="J211" s="7" t="str">
        <x:f>IF(OR($D211="",J$5="",'상세일정'!AM211="제외"),"",IF($D211=$E211,IF(AND($D211&gt;=J$5,$D211&lt;J$5+7),"◆",""),IF(AND($D211&lt;J$5+7,$E211&gt;J$5),"■","")))</x:f>
      </x:c>
      <x:c r="K211" s="7" t="str">
        <x:f>IF(OR($D211="",K$5="",'상세일정'!AM211="제외"),"",IF($D211=$E211,IF(AND($D211&gt;=K$5,$D211&lt;K$5+7),"◆",""),IF(AND($D211&lt;K$5+7,$E211&gt;K$5),"■","")))</x:f>
      </x:c>
      <x:c r="L211" s="7" t="str">
        <x:f>IF(OR($D211="",L$5="",'상세일정'!AM211="제외"),"",IF($D211=$E211,IF(AND($D211&gt;=L$5,$D211&lt;L$5+7),"◆",""),IF(AND($D211&lt;L$5+7,$E211&gt;L$5),"■","")))</x:f>
      </x:c>
      <x:c r="M211" s="7" t="str">
        <x:f>IF(OR($D211="",M$5="",'상세일정'!AM211="제외"),"",IF($D211=$E211,IF(AND($D211&gt;=M$5,$D211&lt;M$5+7),"◆",""),IF(AND($D211&lt;M$5+7,$E211&gt;M$5),"■","")))</x:f>
      </x:c>
      <x:c r="N211" s="7" t="str">
        <x:f>IF(OR($D211="",N$5="",'상세일정'!AM211="제외"),"",IF($D211=$E211,IF(AND($D211&gt;=N$5,$D211&lt;N$5+7),"◆",""),IF(AND($D211&lt;N$5+7,$E211&gt;N$5),"■","")))</x:f>
      </x:c>
      <x:c r="O211" s="7" t="str">
        <x:f>IF(OR($D211="",O$5="",'상세일정'!AM211="제외"),"",IF($D211=$E211,IF(AND($D211&gt;=O$5,$D211&lt;O$5+7),"◆",""),IF(AND($D211&lt;O$5+7,$E211&gt;O$5),"■","")))</x:f>
      </x:c>
      <x:c r="P211" s="7" t="str">
        <x:f>IF(OR($D211="",P$5="",'상세일정'!AM211="제외"),"",IF($D211=$E211,IF(AND($D211&gt;=P$5,$D211&lt;P$5+7),"◆",""),IF(AND($D211&lt;P$5+7,$E211&gt;P$5),"■","")))</x:f>
      </x:c>
      <x:c r="Q211" s="7" t="str">
        <x:f>IF(OR($D211="",Q$5="",'상세일정'!AM211="제외"),"",IF($D211=$E211,IF(AND($D211&gt;=Q$5,$D211&lt;Q$5+7),"◆",""),IF(AND($D211&lt;Q$5+7,$E211&gt;Q$5),"■","")))</x:f>
      </x:c>
      <x:c r="R211" s="7" t="str">
        <x:f>IF(OR($D211="",R$5="",'상세일정'!AM211="제외"),"",IF($D211=$E211,IF(AND($D211&gt;=R$5,$D211&lt;R$5+7),"◆",""),IF(AND($D211&lt;R$5+7,$E211&gt;R$5),"■","")))</x:f>
      </x:c>
      <x:c r="S211" s="7" t="str">
        <x:f>IF(OR($D211="",S$5="",'상세일정'!AM211="제외"),"",IF($D211=$E211,IF(AND($D211&gt;=S$5,$D211&lt;S$5+7),"◆",""),IF(AND($D211&lt;S$5+7,$E211&gt;S$5),"■","")))</x:f>
      </x:c>
      <x:c r="T211" s="7" t="str">
        <x:f>IF(OR($D211="",T$5="",'상세일정'!AM211="제외"),"",IF($D211=$E211,IF(AND($D211&gt;=T$5,$D211&lt;T$5+7),"◆",""),IF(AND($D211&lt;T$5+7,$E211&gt;T$5),"■","")))</x:f>
      </x:c>
      <x:c r="U211" s="7" t="str">
        <x:f>IF(OR($D211="",U$5="",'상세일정'!AM211="제외"),"",IF($D211=$E211,IF(AND($D211&gt;=U$5,$D211&lt;U$5+7),"◆",""),IF(AND($D211&lt;U$5+7,$E211&gt;U$5),"■","")))</x:f>
      </x:c>
      <x:c r="V211" s="7" t="str">
        <x:f>IF(OR($D211="",V$5="",'상세일정'!AM211="제외"),"",IF($D211=$E211,IF(AND($D211&gt;=V$5,$D211&lt;V$5+7),"◆",""),IF(AND($D211&lt;V$5+7,$E211&gt;V$5),"■","")))</x:f>
      </x:c>
      <x:c r="W211" s="7" t="str">
        <x:f>IF(OR($D211="",W$5="",'상세일정'!AM211="제외"),"",IF($D211=$E211,IF(AND($D211&gt;=W$5,$D211&lt;W$5+7),"◆",""),IF(AND($D211&lt;W$5+7,$E211&gt;W$5),"■","")))</x:f>
      </x:c>
      <x:c r="X211" s="7" t="str">
        <x:f>IF(OR($D211="",X$5="",'상세일정'!AM211="제외"),"",IF($D211=$E211,IF(AND($D211&gt;=X$5,$D211&lt;X$5+7),"◆",""),IF(AND($D211&lt;X$5+7,$E211&gt;X$5),"■","")))</x:f>
      </x:c>
      <x:c r="Y211" s="7" t="str">
        <x:f>IF(OR($D211="",Y$5="",'상세일정'!AM211="제외"),"",IF($D211=$E211,IF(AND($D211&gt;=Y$5,$D211&lt;Y$5+7),"◆",""),IF(AND($D211&lt;Y$5+7,$E211&gt;Y$5),"■","")))</x:f>
      </x:c>
      <x:c r="Z211" s="7" t="str">
        <x:f>IF(OR($D211="",Z$5="",'상세일정'!AM211="제외"),"",IF($D211=$E211,IF(AND($D211&gt;=Z$5,$D211&lt;Z$5+7),"◆",""),IF(AND($D211&lt;Z$5+7,$E211&gt;Z$5),"■","")))</x:f>
      </x:c>
      <x:c r="AA211" s="7" t="str">
        <x:f>IF(OR($D211="",AA$5="",'상세일정'!AM211="제외"),"",IF($D211=$E211,IF(AND($D211&gt;=AA$5,$D211&lt;AA$5+7),"◆",""),IF(AND($D211&lt;AA$5+7,$E211&gt;AA$5),"■","")))</x:f>
      </x:c>
      <x:c r="AB211" s="7" t="str">
        <x:f>IF(OR($D211="",AB$5="",'상세일정'!AM211="제외"),"",IF($D211=$E211,IF(AND($D211&gt;=AB$5,$D211&lt;AB$5+7),"◆",""),IF(AND($D211&lt;AB$5+7,$E211&gt;AB$5),"■","")))</x:f>
      </x:c>
      <x:c r="AC211" s="7" t="str">
        <x:f>IF(OR($D211="",AC$5="",'상세일정'!AM211="제외"),"",IF($D211=$E211,IF(AND($D211&gt;=AC$5,$D211&lt;AC$5+7),"◆",""),IF(AND($D211&lt;AC$5+7,$E211&gt;AC$5),"■","")))</x:f>
      </x:c>
      <x:c r="AD211" s="7" t="str">
        <x:f>IF(OR($D211="",AD$5="",'상세일정'!AM211="제외"),"",IF($D211=$E211,IF(AND($D211&gt;=AD$5,$D211&lt;AD$5+7),"◆",""),IF(AND($D211&lt;AD$5+7,$E211&gt;AD$5),"■","")))</x:f>
      </x:c>
      <x:c r="AE211" s="7" t="str">
        <x:f>IF(OR($D211="",AE$5="",'상세일정'!AM211="제외"),"",IF($D211=$E211,IF(AND($D211&gt;=AE$5,$D211&lt;AE$5+7),"◆",""),IF(AND($D211&lt;AE$5+7,$E211&gt;AE$5),"■","")))</x:f>
      </x:c>
      <x:c r="AF211" s="7" t="str">
        <x:f>IF(OR($D211="",AF$5="",'상세일정'!AM211="제외"),"",IF($D211=$E211,IF(AND($D211&gt;=AF$5,$D211&lt;AF$5+7),"◆",""),IF(AND($D211&lt;AF$5+7,$E211&gt;AF$5),"■","")))</x:f>
      </x:c>
      <x:c r="AG211" s="7" t="str">
        <x:f>IF(OR($D211="",AG$5="",'상세일정'!AM211="제외"),"",IF($D211=$E211,IF(AND($D211&gt;=AG$5,$D211&lt;AG$5+7),"◆",""),IF(AND($D211&lt;AG$5+7,$E211&gt;AG$5),"■","")))</x:f>
      </x:c>
      <x:c r="AH211" s="7" t="str">
        <x:f>IF(OR($D211="",AH$5="",'상세일정'!AM211="제외"),"",IF($D211=$E211,IF(AND($D211&gt;=AH$5,$D211&lt;AH$5+7),"◆",""),IF(AND($D211&lt;AH$5+7,$E211&gt;AH$5),"■","")))</x:f>
      </x:c>
      <x:c r="AI211" s="7" t="str">
        <x:f>IF(OR($D211="",AI$5="",'상세일정'!AM211="제외"),"",IF($D211=$E211,IF(AND($D211&gt;=AI$5,$D211&lt;AI$5+7),"◆",""),IF(AND($D211&lt;AI$5+7,$E211&gt;AI$5),"■","")))</x:f>
      </x:c>
      <x:c r="AJ211" s="7" t="str">
        <x:f>IF(OR($D211="",AJ$5="",'상세일정'!AM211="제외"),"",IF($D211=$E211,IF(AND($D211&gt;=AJ$5,$D211&lt;AJ$5+7),"◆",""),IF(AND($D211&lt;AJ$5+7,$E211&gt;AJ$5),"■","")))</x:f>
      </x:c>
      <x:c r="AK211" s="7" t="str">
        <x:f>IF(OR($D211="",AK$5="",'상세일정'!AM211="제외"),"",IF($D211=$E211,IF(AND($D211&gt;=AK$5,$D211&lt;AK$5+7),"◆",""),IF(AND($D211&lt;AK$5+7,$E211&gt;AK$5),"■","")))</x:f>
      </x:c>
      <x:c r="AL211" s="7" t="str">
        <x:f>IF(OR($D211="",AL$5="",'상세일정'!AM211="제외"),"",IF($D211=$E211,IF(AND($D211&gt;=AL$5,$D211&lt;AL$5+7),"◆",""),IF(AND($D211&lt;AL$5+7,$E211&gt;AL$5),"■","")))</x:f>
      </x:c>
      <x:c r="AM211" s="7" t="str">
        <x:f>IF(OR($D211="",AM$5="",'상세일정'!AM211="제외"),"",IF($D211=$E211,IF(AND($D211&gt;=AM$5,$D211&lt;AM$5+7),"◆",""),IF(AND($D211&lt;AM$5+7,$E211&gt;AM$5),"■","")))</x:f>
      </x:c>
      <x:c r="AN211" s="7" t="str">
        <x:f>IF(OR($D211="",AN$5="",'상세일정'!AM211="제외"),"",IF($D211=$E211,IF(AND($D211&gt;=AN$5,$D211&lt;AN$5+7),"◆",""),IF(AND($D211&lt;AN$5+7,$E211&gt;AN$5),"■","")))</x:f>
      </x:c>
      <x:c r="AO211" s="7" t="str">
        <x:f>IF(OR($D211="",AO$5="",'상세일정'!AM211="제외"),"",IF($D211=$E211,IF(AND($D211&gt;=AO$5,$D211&lt;AO$5+7),"◆",""),IF(AND($D211&lt;AO$5+7,$E211&gt;AO$5),"■","")))</x:f>
      </x:c>
      <x:c r="AP211" s="7" t="str">
        <x:f>IF(OR($D211="",AP$5="",'상세일정'!AM211="제외"),"",IF($D211=$E211,IF(AND($D211&gt;=AP$5,$D211&lt;AP$5+7),"◆",""),IF(AND($D211&lt;AP$5+7,$E211&gt;AP$5),"■","")))</x:f>
      </x:c>
      <x:c r="AQ211" s="7" t="str">
        <x:f>IF(OR($D211="",AQ$5="",'상세일정'!AM211="제외"),"",IF($D211=$E211,IF(AND($D211&gt;=AQ$5,$D211&lt;AQ$5+7),"◆",""),IF(AND($D211&lt;AQ$5+7,$E211&gt;AQ$5),"■","")))</x:f>
      </x:c>
      <x:c r="AR211" s="7" t="str">
        <x:f>IF(OR($D211="",AR$5="",'상세일정'!AM211="제외"),"",IF($D211=$E211,IF(AND($D211&gt;=AR$5,$D211&lt;AR$5+7),"◆",""),IF(AND($D211&lt;AR$5+7,$E211&gt;AR$5),"■","")))</x:f>
      </x:c>
      <x:c r="AS211" s="7" t="str">
        <x:f>IF(OR($D211="",AS$5="",'상세일정'!AM211="제외"),"",IF($D211=$E211,IF(AND($D211&gt;=AS$5,$D211&lt;AS$5+7),"◆",""),IF(AND($D211&lt;AS$5+7,$E211&gt;AS$5),"■","")))</x:f>
      </x:c>
      <x:c r="AT211" s="7" t="str">
        <x:f>IF(OR($D211="",AT$5="",'상세일정'!AM211="제외"),"",IF($D211=$E211,IF(AND($D211&gt;=AT$5,$D211&lt;AT$5+7),"◆",""),IF(AND($D211&lt;AT$5+7,$E211&gt;AT$5),"■","")))</x:f>
      </x:c>
      <x:c r="AU211" s="7" t="str">
        <x:f>IF(OR($D211="",AU$5="",'상세일정'!AM211="제외"),"",IF($D211=$E211,IF(AND($D211&gt;=AU$5,$D211&lt;AU$5+7),"◆",""),IF(AND($D211&lt;AU$5+7,$E211&gt;AU$5),"■","")))</x:f>
      </x:c>
      <x:c r="AV211" s="7" t="str">
        <x:f>IF(OR($D211="",AV$5="",'상세일정'!AM211="제외"),"",IF($D211=$E211,IF(AND($D211&gt;=AV$5,$D211&lt;AV$5+7),"◆",""),IF(AND($D211&lt;AV$5+7,$E211&gt;AV$5),"■","")))</x:f>
      </x:c>
      <x:c r="AW211" s="7" t="str">
        <x:f>IF(OR($D211="",AW$5="",'상세일정'!AM211="제외"),"",IF($D211=$E211,IF(AND($D211&gt;=AW$5,$D211&lt;AW$5+7),"◆",""),IF(AND($D211&lt;AW$5+7,$E211&gt;AW$5),"■","")))</x:f>
      </x:c>
      <x:c r="AX211" s="7" t="str">
        <x:f>IF(OR($D211="",AX$5="",'상세일정'!AM211="제외"),"",IF($D211=$E211,IF(AND($D211&gt;=AX$5,$D211&lt;AX$5+7),"◆",""),IF(AND($D211&lt;AX$5+7,$E211&gt;AX$5),"■","")))</x:f>
      </x:c>
      <x:c r="AY211" s="7" t="str">
        <x:f>IF(OR($D211="",AY$5="",'상세일정'!AM211="제외"),"",IF($D211=$E211,IF(AND($D211&gt;=AY$5,$D211&lt;AY$5+7),"◆",""),IF(AND($D211&lt;AY$5+7,$E211&gt;AY$5),"■","")))</x:f>
      </x:c>
      <x:c r="AZ211" s="7" t="str">
        <x:f>IF(OR($D211="",AZ$5="",'상세일정'!AM211="제외"),"",IF($D211=$E211,IF(AND($D211&gt;=AZ$5,$D211&lt;AZ$5+7),"◆",""),IF(AND($D211&lt;AZ$5+7,$E211&gt;AZ$5),"■","")))</x:f>
      </x:c>
      <x:c r="BA211" s="7" t="str">
        <x:f>IF(OR($D211="",BA$5="",'상세일정'!AM211="제외"),"",IF($D211=$E211,IF(AND($D211&gt;=BA$5,$D211&lt;BA$5+7),"◆",""),IF(AND($D211&lt;BA$5+7,$E211&gt;BA$5),"■","")))</x:f>
      </x:c>
      <x:c r="BB211" s="7" t="str">
        <x:f>IF(OR($D211="",BB$5="",'상세일정'!AM211="제외"),"",IF($D211=$E211,IF(AND($D211&gt;=BB$5,$D211&lt;BB$5+7),"◆",""),IF(AND($D211&lt;BB$5+7,$E211&gt;BB$5),"■","")))</x:f>
      </x:c>
      <x:c r="BC211" s="7" t="str">
        <x:f>IF(OR($D211="",BC$5="",'상세일정'!AM211="제외"),"",IF($D211=$E211,IF(AND($D211&gt;=BC$5,$D211&lt;BC$5+7),"◆",""),IF(AND($D211&lt;BC$5+7,$E211&gt;BC$5),"■","")))</x:f>
      </x:c>
      <x:c r="BD211" s="7" t="str">
        <x:f>IF(OR($D211="",BD$5="",'상세일정'!AM211="제외"),"",IF($D211=$E211,IF(AND($D211&gt;=BD$5,$D211&lt;BD$5+7),"◆",""),IF(AND($D211&lt;BD$5+7,$E211&gt;BD$5),"■","")))</x:f>
      </x:c>
      <x:c r="BE211" s="7" t="str">
        <x:f>IF(OR($D211="",BE$5="",'상세일정'!AM211="제외"),"",IF($D211=$E211,IF(AND($D211&gt;=BE$5,$D211&lt;BE$5+7),"◆",""),IF(AND($D211&lt;BE$5+7,$E211&gt;BE$5),"■","")))</x:f>
      </x:c>
      <x:c r="BF211" s="7" t="str">
        <x:f>IF(OR($D211="",BF$5="",'상세일정'!AM211="제외"),"",IF($D211=$E211,IF(AND($D211&gt;=BF$5,$D211&lt;BF$5+7),"◆",""),IF(AND($D211&lt;BF$5+7,$E211&gt;BF$5),"■","")))</x:f>
      </x:c>
      <x:c r="BG211" s="7" t="str">
        <x:f>IF(OR($D211="",BG$5="",'상세일정'!AM211="제외"),"",IF($D211=$E211,IF(AND($D211&gt;=BG$5,$D211&lt;BG$5+7),"◆",""),IF(AND($D211&lt;BG$5+7,$E211&gt;BG$5),"■","")))</x:f>
      </x:c>
      <x:c r="BH211" s="7" t="str">
        <x:f>IF(OR($D211="",BH$5="",'상세일정'!AM211="제외"),"",IF($D211=$E211,IF(AND($D211&gt;=BH$5,$D211&lt;BH$5+7),"◆",""),IF(AND($D211&lt;BH$5+7,$E211&gt;BH$5),"■","")))</x:f>
      </x:c>
      <x:c r="BI211" s="7" t="str">
        <x:f>IF(OR($D211="",BI$5="",'상세일정'!AM211="제외"),"",IF($D211=$E211,IF(AND($D211&gt;=BI$5,$D211&lt;BI$5+7),"◆",""),IF(AND($D211&lt;BI$5+7,$E211&gt;BI$5),"■","")))</x:f>
      </x:c>
      <x:c r="BJ211" s="7" t="str">
        <x:f>IF(OR($D211="",BJ$5="",'상세일정'!AM211="제외"),"",IF($D211=$E211,IF(AND($D211&gt;=BJ$5,$D211&lt;BJ$5+7),"◆",""),IF(AND($D211&lt;BJ$5+7,$E211&gt;BJ$5),"■","")))</x:f>
      </x:c>
      <x:c r="BK211" s="7" t="str">
        <x:f>IF(OR($D211="",BK$5="",'상세일정'!AM211="제외"),"",IF($D211=$E211,IF(AND($D211&gt;=BK$5,$D211&lt;BK$5+7),"◆",""),IF(AND($D211&lt;BK$5+7,$E211&gt;BK$5),"■","")))</x:f>
      </x:c>
      <x:c r="BL211" s="7" t="str">
        <x:f>IF(OR($D211="",BL$5="",'상세일정'!AM211="제외"),"",IF($D211=$E211,IF(AND($D211&gt;=BL$5,$D211&lt;BL$5+7),"◆",""),IF(AND($D211&lt;BL$5+7,$E211&gt;BL$5),"■","")))</x:f>
      </x:c>
      <x:c r="BM211" s="7" t="str">
        <x:f>IF(OR($D211="",BM$5="",'상세일정'!AM211="제외"),"",IF($D211=$E211,IF(AND($D211&gt;=BM$5,$D211&lt;BM$5+7),"◆",""),IF(AND($D211&lt;BM$5+7,$E211&gt;BM$5),"■","")))</x:f>
      </x:c>
      <x:c r="BN211" s="7" t="str">
        <x:f>IF(OR($D211="",BN$5="",'상세일정'!AM211="제외"),"",IF($D211=$E211,IF(AND($D211&gt;=BN$5,$D211&lt;BN$5+7),"◆",""),IF(AND($D211&lt;BN$5+7,$E211&gt;BN$5),"■","")))</x:f>
      </x:c>
      <x:c r="BO211" s="7" t="str">
        <x:f>IF(OR($D211="",BO$5="",'상세일정'!AM211="제외"),"",IF($D211=$E211,IF(AND($D211&gt;=BO$5,$D211&lt;BO$5+7),"◆",""),IF(AND($D211&lt;BO$5+7,$E211&gt;BO$5),"■","")))</x:f>
      </x:c>
      <x:c r="BP211" s="7" t="str">
        <x:f>IF(OR($D211="",BP$5="",'상세일정'!AM211="제외"),"",IF($D211=$E211,IF(AND($D211&gt;=BP$5,$D211&lt;BP$5+7),"◆",""),IF(AND($D211&lt;BP$5+7,$E211&gt;BP$5),"■","")))</x:f>
      </x:c>
      <x:c r="BQ211" s="7" t="str">
        <x:f>IF(OR($D211="",BQ$5="",'상세일정'!AM211="제외"),"",IF($D211=$E211,IF(AND($D211&gt;=BQ$5,$D211&lt;BQ$5+7),"◆",""),IF(AND($D211&lt;BQ$5+7,$E211&gt;BQ$5),"■","")))</x:f>
      </x:c>
      <x:c r="BR211" s="7" t="str">
        <x:f>IF(OR($D211="",BR$5="",'상세일정'!AM211="제외"),"",IF($D211=$E211,IF(AND($D211&gt;=BR$5,$D211&lt;BR$5+7),"◆",""),IF(AND($D211&lt;BR$5+7,$E211&gt;BR$5),"■","")))</x:f>
      </x:c>
      <x:c r="BS211" s="7" t="str">
        <x:f>IF(OR($D211="",BS$5="",'상세일정'!AM211="제외"),"",IF($D211=$E211,IF(AND($D211&gt;=BS$5,$D211&lt;BS$5+7),"◆",""),IF(AND($D211&lt;BS$5+7,$E211&gt;BS$5),"■","")))</x:f>
      </x:c>
      <x:c r="BT211" s="7" t="str">
        <x:f>IF(OR($D211="",BT$5="",'상세일정'!AM211="제외"),"",IF($D211=$E211,IF(AND($D211&gt;=BT$5,$D211&lt;BT$5+7),"◆",""),IF(AND($D211&lt;BT$5+7,$E211&gt;BT$5),"■","")))</x:f>
      </x:c>
      <x:c r="BU211" s="7" t="str">
        <x:f>IF(OR($D211="",BU$5="",'상세일정'!AM211="제외"),"",IF($D211=$E211,IF(AND($D211&gt;=BU$5,$D211&lt;BU$5+7),"◆",""),IF(AND($D211&lt;BU$5+7,$E211&gt;BU$5),"■","")))</x:f>
      </x:c>
      <x:c r="BV211" s="7" t="str">
        <x:f>IF(OR($D211="",BV$5="",'상세일정'!AM211="제외"),"",IF($D211=$E211,IF(AND($D211&gt;=BV$5,$D211&lt;BV$5+7),"◆",""),IF(AND($D211&lt;BV$5+7,$E211&gt;BV$5),"■","")))</x:f>
      </x:c>
      <x:c r="BW211" s="7" t="str">
        <x:f>IF(OR($D211="",BW$5="",'상세일정'!AM211="제외"),"",IF($D211=$E211,IF(AND($D211&gt;=BW$5,$D211&lt;BW$5+7),"◆",""),IF(AND($D211&lt;BW$5+7,$E211&gt;BW$5),"■","")))</x:f>
      </x:c>
      <x:c r="BX211" s="7" t="str">
        <x:f>IF(OR($D211="",BX$5="",'상세일정'!AM211="제외"),"",IF($D211=$E211,IF(AND($D211&gt;=BX$5,$D211&lt;BX$5+7),"◆",""),IF(AND($D211&lt;BX$5+7,$E211&gt;BX$5),"■","")))</x:f>
      </x:c>
      <x:c r="BY211" s="7" t="str">
        <x:f>IF(OR($D211="",BY$5="",'상세일정'!AM211="제외"),"",IF($D211=$E211,IF(AND($D211&gt;=BY$5,$D211&lt;BY$5+7),"◆",""),IF(AND($D211&lt;BY$5+7,$E211&gt;BY$5),"■","")))</x:f>
      </x:c>
      <x:c r="BZ211" s="7" t="str">
        <x:f>IF(OR($D211="",BZ$5="",'상세일정'!AM211="제외"),"",IF($D211=$E211,IF(AND($D211&gt;=BZ$5,$D211&lt;BZ$5+7),"◆",""),IF(AND($D211&lt;BZ$5+7,$E211&gt;BZ$5),"■","")))</x:f>
      </x:c>
      <x:c r="CA211" s="7" t="str">
        <x:f>IF(OR($D211="",CA$5="",'상세일정'!AM211="제외"),"",IF($D211=$E211,IF(AND($D211&gt;=CA$5,$D211&lt;CA$5+7),"◆",""),IF(AND($D211&lt;CA$5+7,$E211&gt;CA$5),"■","")))</x:f>
      </x:c>
      <x:c r="CB211" s="7" t="str">
        <x:f>IF(OR($D211="",CB$5="",'상세일정'!AM211="제외"),"",IF($D211=$E211,IF(AND($D211&gt;=CB$5,$D211&lt;CB$5+7),"◆",""),IF(AND($D211&lt;CB$5+7,$E211&gt;CB$5),"■","")))</x:f>
      </x:c>
      <x:c r="CC211" s="7" t="str">
        <x:f>IF(OR($D211="",CC$5="",'상세일정'!AM211="제외"),"",IF($D211=$E211,IF(AND($D211&gt;=CC$5,$D211&lt;CC$5+7),"◆",""),IF(AND($D211&lt;CC$5+7,$E211&gt;CC$5),"■","")))</x:f>
      </x:c>
      <x:c r="CD211" s="7" t="str">
        <x:f>IF(OR($D211="",CD$5="",'상세일정'!AM211="제외"),"",IF($D211=$E211,IF(AND($D211&gt;=CD$5,$D211&lt;CD$5+7),"◆",""),IF(AND($D211&lt;CD$5+7,$E211&gt;CD$5),"■","")))</x:f>
      </x:c>
      <x:c r="CE211" s="7" t="str">
        <x:f>IF(OR($D211="",CE$5="",'상세일정'!AM211="제외"),"",IF($D211=$E211,IF(AND($D211&gt;=CE$5,$D211&lt;CE$5+7),"◆",""),IF(AND($D211&lt;CE$5+7,$E211&gt;CE$5),"■","")))</x:f>
      </x:c>
      <x:c r="CF211" s="7" t="str">
        <x:f>IF(OR($D211="",CF$5="",'상세일정'!AM211="제외"),"",IF($D211=$E211,IF(AND($D211&gt;=CF$5,$D211&lt;CF$5+7),"◆",""),IF(AND($D211&lt;CF$5+7,$E211&gt;CF$5),"■","")))</x:f>
      </x:c>
      <x:c r="CG211" s="7" t="str">
        <x:f>IF(OR($D211="",CG$5="",'상세일정'!AM211="제외"),"",IF($D211=$E211,IF(AND($D211&gt;=CG$5,$D211&lt;CG$5+7),"◆",""),IF(AND($D211&lt;CG$5+7,$E211&gt;CG$5),"■","")))</x:f>
      </x:c>
      <x:c r="CH211" s="7" t="str">
        <x:f>IF(OR($D211="",CH$5="",'상세일정'!AM211="제외"),"",IF($D211=$E211,IF(AND($D211&gt;=CH$5,$D211&lt;CH$5+7),"◆",""),IF(AND($D211&lt;CH$5+7,$E211&gt;CH$5),"■","")))</x:f>
      </x:c>
      <x:c r="CI211" s="7" t="str">
        <x:f>IF(OR($D211="",CI$5="",'상세일정'!AM211="제외"),"",IF($D211=$E211,IF(AND($D211&gt;=CI$5,$D211&lt;CI$5+7),"◆",""),IF(AND($D211&lt;CI$5+7,$E211&gt;CI$5),"■","")))</x:f>
      </x:c>
      <x:c r="CJ211" s="7" t="str">
        <x:f>IF(OR($D211="",CJ$5="",'상세일정'!AM211="제외"),"",IF($D211=$E211,IF(AND($D211&gt;=CJ$5,$D211&lt;CJ$5+7),"◆",""),IF(AND($D211&lt;CJ$5+7,$E211&gt;CJ$5),"■","")))</x:f>
      </x:c>
      <x:c r="CK211" s="7" t="str">
        <x:f>IF(OR($D211="",CK$5="",'상세일정'!AM211="제외"),"",IF($D211=$E211,IF(AND($D211&gt;=CK$5,$D211&lt;CK$5+7),"◆",""),IF(AND($D211&lt;CK$5+7,$E211&gt;CK$5),"■","")))</x:f>
      </x:c>
      <x:c r="CL211" s="7" t="str">
        <x:f>IF(OR($D211="",CL$5="",'상세일정'!AM211="제외"),"",IF($D211=$E211,IF(AND($D211&gt;=CL$5,$D211&lt;CL$5+7),"◆",""),IF(AND($D211&lt;CL$5+7,$E211&gt;CL$5),"■","")))</x:f>
      </x:c>
      <x:c r="CM211" s="7" t="str">
        <x:f>IF(OR($D211="",CM$5="",'상세일정'!AM211="제외"),"",IF($D211=$E211,IF(AND($D211&gt;=CM$5,$D211&lt;CM$5+7),"◆",""),IF(AND($D211&lt;CM$5+7,$E211&gt;CM$5),"■","")))</x:f>
      </x:c>
      <x:c r="CN211" s="7" t="str">
        <x:f>IF(OR($D211="",CN$5="",'상세일정'!AM211="제외"),"",IF($D211=$E211,IF(AND($D211&gt;=CN$5,$D211&lt;CN$5+7),"◆",""),IF(AND($D211&lt;CN$5+7,$E211&gt;CN$5),"■","")))</x:f>
      </x:c>
      <x:c r="CO211" s="7" t="str">
        <x:f>IF(OR($D211="",CO$5="",'상세일정'!AM211="제외"),"",IF($D211=$E211,IF(AND($D211&gt;=CO$5,$D211&lt;CO$5+7),"◆",""),IF(AND($D211&lt;CO$5+7,$E211&gt;CO$5),"■","")))</x:f>
      </x:c>
      <x:c r="CP211" s="7" t="str">
        <x:f>IF(OR($D211="",CP$5="",'상세일정'!AM211="제외"),"",IF($D211=$E211,IF(AND($D211&gt;=CP$5,$D211&lt;CP$5+7),"◆",""),IF(AND($D211&lt;CP$5+7,$E211&gt;CP$5),"■","")))</x:f>
      </x:c>
      <x:c r="CQ211" s="7" t="str">
        <x:f>IF(OR($D211="",CQ$5="",'상세일정'!AM211="제외"),"",IF($D211=$E211,IF(AND($D211&gt;=CQ$5,$D211&lt;CQ$5+7),"◆",""),IF(AND($D211&lt;CQ$5+7,$E211&gt;CQ$5),"■","")))</x:f>
      </x:c>
      <x:c r="CR211" s="7" t="str">
        <x:f>IF(OR($D211="",CR$5="",'상세일정'!AM211="제외"),"",IF($D211=$E211,IF(AND($D211&gt;=CR$5,$D211&lt;CR$5+7),"◆",""),IF(AND($D211&lt;CR$5+7,$E211&gt;CR$5),"■","")))</x:f>
      </x:c>
      <x:c r="CS211" s="7" t="str">
        <x:f>IF(OR($D211="",CS$5="",'상세일정'!AM211="제외"),"",IF($D211=$E211,IF(AND($D211&gt;=CS$5,$D211&lt;CS$5+7),"◆",""),IF(AND($D211&lt;CS$5+7,$E211&gt;CS$5),"■","")))</x:f>
      </x:c>
      <x:c r="CT211" s="7" t="str">
        <x:f>IF(OR($D211="",CT$5="",'상세일정'!AM211="제외"),"",IF($D211=$E211,IF(AND($D211&gt;=CT$5,$D211&lt;CT$5+7),"◆",""),IF(AND($D211&lt;CT$5+7,$E211&gt;CT$5),"■","")))</x:f>
      </x:c>
      <x:c r="CU211" s="7" t="str">
        <x:f>IF(OR($D211="",CU$5="",'상세일정'!AM211="제외"),"",IF($D211=$E211,IF(AND($D211&gt;=CU$5,$D211&lt;CU$5+7),"◆",""),IF(AND($D211&lt;CU$5+7,$E211&gt;CU$5),"■","")))</x:f>
      </x:c>
      <x:c r="CV211" s="7" t="str">
        <x:f>IF(OR($D211="",CV$5="",'상세일정'!AM211="제외"),"",IF($D211=$E211,IF(AND($D211&gt;=CV$5,$D211&lt;CV$5+7),"◆",""),IF(AND($D211&lt;CV$5+7,$E211&gt;CV$5),"■","")))</x:f>
      </x:c>
      <x:c r="CW211" s="7" t="str">
        <x:f>IF(OR($D211="",CW$5="",'상세일정'!AM211="제외"),"",IF($D211=$E211,IF(AND($D211&gt;=CW$5,$D211&lt;CW$5+7),"◆",""),IF(AND($D211&lt;CW$5+7,$E211&gt;CW$5),"■","")))</x:f>
      </x:c>
      <x:c r="CX211" s="7" t="str">
        <x:f>IF(OR($D211="",CX$5="",'상세일정'!AM211="제외"),"",IF($D211=$E211,IF(AND($D211&gt;=CX$5,$D211&lt;CX$5+7),"◆",""),IF(AND($D211&lt;CX$5+7,$E211&gt;CX$5),"■","")))</x:f>
      </x:c>
      <x:c r="CY211" s="7" t="str">
        <x:f>IF(OR($D211="",CY$5="",'상세일정'!AM211="제외"),"",IF($D211=$E211,IF(AND($D211&gt;=CY$5,$D211&lt;CY$5+7),"◆",""),IF(AND($D211&lt;CY$5+7,$E211&gt;CY$5),"■","")))</x:f>
      </x:c>
      <x:c r="CZ211" s="7" t="str">
        <x:f>IF(OR($D211="",CZ$5="",'상세일정'!AM211="제외"),"",IF($D211=$E211,IF(AND($D211&gt;=CZ$5,$D211&lt;CZ$5+7),"◆",""),IF(AND($D211&lt;CZ$5+7,$E211&gt;CZ$5),"■","")))</x:f>
      </x:c>
      <x:c r="DA211" s="7" t="str">
        <x:f>IF(OR($D211="",DA$5="",'상세일정'!AM211="제외"),"",IF($D211=$E211,IF(AND($D211&gt;=DA$5,$D211&lt;DA$5+7),"◆",""),IF(AND($D211&lt;DA$5+7,$E211&gt;DA$5),"■","")))</x:f>
      </x:c>
      <x:c r="DB211" s="7" t="str">
        <x:f>IF(OR($D211="",DB$5="",'상세일정'!AM211="제외"),"",IF($D211=$E211,IF(AND($D211&gt;=DB$5,$D211&lt;DB$5+7),"◆",""),IF(AND($D211&lt;DB$5+7,$E211&gt;DB$5),"■","")))</x:f>
      </x:c>
      <x:c r="DC211" s="7" t="str">
        <x:f>IF(OR($D211="",DC$5="",'상세일정'!AM211="제외"),"",IF($D211=$E211,IF(AND($D211&gt;=DC$5,$D211&lt;DC$5+7),"◆",""),IF(AND($D211&lt;DC$5+7,$E211&gt;DC$5),"■","")))</x:f>
      </x:c>
      <x:c r="DD211" s="7" t="str">
        <x:f>IF(OR($D211="",DD$5="",'상세일정'!AM211="제외"),"",IF($D211=$E211,IF(AND($D211&gt;=DD$5,$D211&lt;DD$5+7),"◆",""),IF(AND($D211&lt;DD$5+7,$E211&gt;DD$5),"■","")))</x:f>
      </x:c>
      <x:c r="DE211" s="7" t="str">
        <x:f>IF(OR($D211="",DE$5="",'상세일정'!AM211="제외"),"",IF($D211=$E211,IF(AND($D211&gt;=DE$5,$D211&lt;DE$5+7),"◆",""),IF(AND($D211&lt;DE$5+7,$E211&gt;DE$5),"■","")))</x:f>
      </x:c>
    </x:row>
    <x:row r="212" ht="34" customHeight="1">
      <x:c r="A212" s="7" t="str">
        <x:v>PW03</x:v>
      </x:c>
      <x:c r="B212" s="7" t="str">
        <x:v>24 수전·유틸리티 인입</x:v>
      </x:c>
      <x:c r="C212" s="7" t="str">
        <x:v>전기 안전관리자·감리 신고 및 검사자료 준비</x:v>
      </x:c>
      <x:c r="D212" s="10" t="str">
        <x:f>'상세일정'!AJ212</x:f>
      </x:c>
      <x:c r="E212" s="10" t="str">
        <x:f>'상세일정'!AK212</x:f>
      </x:c>
      <x:c r="F212" s="7" t="str">
        <x:f>IF(OR($D212="",F$5="",'상세일정'!AM212="제외"),"",IF($D212=$E212,IF(AND($D212&gt;=F$5,$D212&lt;F$5+7),"◆",""),IF(AND($D212&lt;F$5+7,$E212&gt;F$5),"■","")))</x:f>
      </x:c>
      <x:c r="G212" s="7" t="str">
        <x:f>IF(OR($D212="",G$5="",'상세일정'!AM212="제외"),"",IF($D212=$E212,IF(AND($D212&gt;=G$5,$D212&lt;G$5+7),"◆",""),IF(AND($D212&lt;G$5+7,$E212&gt;G$5),"■","")))</x:f>
      </x:c>
      <x:c r="H212" s="7" t="str">
        <x:f>IF(OR($D212="",H$5="",'상세일정'!AM212="제외"),"",IF($D212=$E212,IF(AND($D212&gt;=H$5,$D212&lt;H$5+7),"◆",""),IF(AND($D212&lt;H$5+7,$E212&gt;H$5),"■","")))</x:f>
      </x:c>
      <x:c r="I212" s="7" t="str">
        <x:f>IF(OR($D212="",I$5="",'상세일정'!AM212="제외"),"",IF($D212=$E212,IF(AND($D212&gt;=I$5,$D212&lt;I$5+7),"◆",""),IF(AND($D212&lt;I$5+7,$E212&gt;I$5),"■","")))</x:f>
      </x:c>
      <x:c r="J212" s="7" t="str">
        <x:f>IF(OR($D212="",J$5="",'상세일정'!AM212="제외"),"",IF($D212=$E212,IF(AND($D212&gt;=J$5,$D212&lt;J$5+7),"◆",""),IF(AND($D212&lt;J$5+7,$E212&gt;J$5),"■","")))</x:f>
      </x:c>
      <x:c r="K212" s="7" t="str">
        <x:f>IF(OR($D212="",K$5="",'상세일정'!AM212="제외"),"",IF($D212=$E212,IF(AND($D212&gt;=K$5,$D212&lt;K$5+7),"◆",""),IF(AND($D212&lt;K$5+7,$E212&gt;K$5),"■","")))</x:f>
      </x:c>
      <x:c r="L212" s="7" t="str">
        <x:f>IF(OR($D212="",L$5="",'상세일정'!AM212="제외"),"",IF($D212=$E212,IF(AND($D212&gt;=L$5,$D212&lt;L$5+7),"◆",""),IF(AND($D212&lt;L$5+7,$E212&gt;L$5),"■","")))</x:f>
      </x:c>
      <x:c r="M212" s="7" t="str">
        <x:f>IF(OR($D212="",M$5="",'상세일정'!AM212="제외"),"",IF($D212=$E212,IF(AND($D212&gt;=M$5,$D212&lt;M$5+7),"◆",""),IF(AND($D212&lt;M$5+7,$E212&gt;M$5),"■","")))</x:f>
      </x:c>
      <x:c r="N212" s="7" t="str">
        <x:f>IF(OR($D212="",N$5="",'상세일정'!AM212="제외"),"",IF($D212=$E212,IF(AND($D212&gt;=N$5,$D212&lt;N$5+7),"◆",""),IF(AND($D212&lt;N$5+7,$E212&gt;N$5),"■","")))</x:f>
      </x:c>
      <x:c r="O212" s="7" t="str">
        <x:f>IF(OR($D212="",O$5="",'상세일정'!AM212="제외"),"",IF($D212=$E212,IF(AND($D212&gt;=O$5,$D212&lt;O$5+7),"◆",""),IF(AND($D212&lt;O$5+7,$E212&gt;O$5),"■","")))</x:f>
      </x:c>
      <x:c r="P212" s="7" t="str">
        <x:f>IF(OR($D212="",P$5="",'상세일정'!AM212="제외"),"",IF($D212=$E212,IF(AND($D212&gt;=P$5,$D212&lt;P$5+7),"◆",""),IF(AND($D212&lt;P$5+7,$E212&gt;P$5),"■","")))</x:f>
      </x:c>
      <x:c r="Q212" s="7" t="str">
        <x:f>IF(OR($D212="",Q$5="",'상세일정'!AM212="제외"),"",IF($D212=$E212,IF(AND($D212&gt;=Q$5,$D212&lt;Q$5+7),"◆",""),IF(AND($D212&lt;Q$5+7,$E212&gt;Q$5),"■","")))</x:f>
      </x:c>
      <x:c r="R212" s="7" t="str">
        <x:f>IF(OR($D212="",R$5="",'상세일정'!AM212="제외"),"",IF($D212=$E212,IF(AND($D212&gt;=R$5,$D212&lt;R$5+7),"◆",""),IF(AND($D212&lt;R$5+7,$E212&gt;R$5),"■","")))</x:f>
      </x:c>
      <x:c r="S212" s="7" t="str">
        <x:f>IF(OR($D212="",S$5="",'상세일정'!AM212="제외"),"",IF($D212=$E212,IF(AND($D212&gt;=S$5,$D212&lt;S$5+7),"◆",""),IF(AND($D212&lt;S$5+7,$E212&gt;S$5),"■","")))</x:f>
      </x:c>
      <x:c r="T212" s="7" t="str">
        <x:f>IF(OR($D212="",T$5="",'상세일정'!AM212="제외"),"",IF($D212=$E212,IF(AND($D212&gt;=T$5,$D212&lt;T$5+7),"◆",""),IF(AND($D212&lt;T$5+7,$E212&gt;T$5),"■","")))</x:f>
      </x:c>
      <x:c r="U212" s="7" t="str">
        <x:f>IF(OR($D212="",U$5="",'상세일정'!AM212="제외"),"",IF($D212=$E212,IF(AND($D212&gt;=U$5,$D212&lt;U$5+7),"◆",""),IF(AND($D212&lt;U$5+7,$E212&gt;U$5),"■","")))</x:f>
      </x:c>
      <x:c r="V212" s="7" t="str">
        <x:f>IF(OR($D212="",V$5="",'상세일정'!AM212="제외"),"",IF($D212=$E212,IF(AND($D212&gt;=V$5,$D212&lt;V$5+7),"◆",""),IF(AND($D212&lt;V$5+7,$E212&gt;V$5),"■","")))</x:f>
      </x:c>
      <x:c r="W212" s="7" t="str">
        <x:f>IF(OR($D212="",W$5="",'상세일정'!AM212="제외"),"",IF($D212=$E212,IF(AND($D212&gt;=W$5,$D212&lt;W$5+7),"◆",""),IF(AND($D212&lt;W$5+7,$E212&gt;W$5),"■","")))</x:f>
      </x:c>
      <x:c r="X212" s="7" t="str">
        <x:f>IF(OR($D212="",X$5="",'상세일정'!AM212="제외"),"",IF($D212=$E212,IF(AND($D212&gt;=X$5,$D212&lt;X$5+7),"◆",""),IF(AND($D212&lt;X$5+7,$E212&gt;X$5),"■","")))</x:f>
      </x:c>
      <x:c r="Y212" s="7" t="str">
        <x:f>IF(OR($D212="",Y$5="",'상세일정'!AM212="제외"),"",IF($D212=$E212,IF(AND($D212&gt;=Y$5,$D212&lt;Y$5+7),"◆",""),IF(AND($D212&lt;Y$5+7,$E212&gt;Y$5),"■","")))</x:f>
      </x:c>
      <x:c r="Z212" s="7" t="str">
        <x:f>IF(OR($D212="",Z$5="",'상세일정'!AM212="제외"),"",IF($D212=$E212,IF(AND($D212&gt;=Z$5,$D212&lt;Z$5+7),"◆",""),IF(AND($D212&lt;Z$5+7,$E212&gt;Z$5),"■","")))</x:f>
      </x:c>
      <x:c r="AA212" s="7" t="str">
        <x:f>IF(OR($D212="",AA$5="",'상세일정'!AM212="제외"),"",IF($D212=$E212,IF(AND($D212&gt;=AA$5,$D212&lt;AA$5+7),"◆",""),IF(AND($D212&lt;AA$5+7,$E212&gt;AA$5),"■","")))</x:f>
      </x:c>
      <x:c r="AB212" s="7" t="str">
        <x:f>IF(OR($D212="",AB$5="",'상세일정'!AM212="제외"),"",IF($D212=$E212,IF(AND($D212&gt;=AB$5,$D212&lt;AB$5+7),"◆",""),IF(AND($D212&lt;AB$5+7,$E212&gt;AB$5),"■","")))</x:f>
      </x:c>
      <x:c r="AC212" s="7" t="str">
        <x:f>IF(OR($D212="",AC$5="",'상세일정'!AM212="제외"),"",IF($D212=$E212,IF(AND($D212&gt;=AC$5,$D212&lt;AC$5+7),"◆",""),IF(AND($D212&lt;AC$5+7,$E212&gt;AC$5),"■","")))</x:f>
      </x:c>
      <x:c r="AD212" s="7" t="str">
        <x:f>IF(OR($D212="",AD$5="",'상세일정'!AM212="제외"),"",IF($D212=$E212,IF(AND($D212&gt;=AD$5,$D212&lt;AD$5+7),"◆",""),IF(AND($D212&lt;AD$5+7,$E212&gt;AD$5),"■","")))</x:f>
      </x:c>
      <x:c r="AE212" s="7" t="str">
        <x:f>IF(OR($D212="",AE$5="",'상세일정'!AM212="제외"),"",IF($D212=$E212,IF(AND($D212&gt;=AE$5,$D212&lt;AE$5+7),"◆",""),IF(AND($D212&lt;AE$5+7,$E212&gt;AE$5),"■","")))</x:f>
      </x:c>
      <x:c r="AF212" s="7" t="str">
        <x:f>IF(OR($D212="",AF$5="",'상세일정'!AM212="제외"),"",IF($D212=$E212,IF(AND($D212&gt;=AF$5,$D212&lt;AF$5+7),"◆",""),IF(AND($D212&lt;AF$5+7,$E212&gt;AF$5),"■","")))</x:f>
      </x:c>
      <x:c r="AG212" s="7" t="str">
        <x:f>IF(OR($D212="",AG$5="",'상세일정'!AM212="제외"),"",IF($D212=$E212,IF(AND($D212&gt;=AG$5,$D212&lt;AG$5+7),"◆",""),IF(AND($D212&lt;AG$5+7,$E212&gt;AG$5),"■","")))</x:f>
      </x:c>
      <x:c r="AH212" s="7" t="str">
        <x:f>IF(OR($D212="",AH$5="",'상세일정'!AM212="제외"),"",IF($D212=$E212,IF(AND($D212&gt;=AH$5,$D212&lt;AH$5+7),"◆",""),IF(AND($D212&lt;AH$5+7,$E212&gt;AH$5),"■","")))</x:f>
      </x:c>
      <x:c r="AI212" s="7" t="str">
        <x:f>IF(OR($D212="",AI$5="",'상세일정'!AM212="제외"),"",IF($D212=$E212,IF(AND($D212&gt;=AI$5,$D212&lt;AI$5+7),"◆",""),IF(AND($D212&lt;AI$5+7,$E212&gt;AI$5),"■","")))</x:f>
      </x:c>
      <x:c r="AJ212" s="7" t="str">
        <x:f>IF(OR($D212="",AJ$5="",'상세일정'!AM212="제외"),"",IF($D212=$E212,IF(AND($D212&gt;=AJ$5,$D212&lt;AJ$5+7),"◆",""),IF(AND($D212&lt;AJ$5+7,$E212&gt;AJ$5),"■","")))</x:f>
      </x:c>
      <x:c r="AK212" s="7" t="str">
        <x:f>IF(OR($D212="",AK$5="",'상세일정'!AM212="제외"),"",IF($D212=$E212,IF(AND($D212&gt;=AK$5,$D212&lt;AK$5+7),"◆",""),IF(AND($D212&lt;AK$5+7,$E212&gt;AK$5),"■","")))</x:f>
      </x:c>
      <x:c r="AL212" s="7" t="str">
        <x:f>IF(OR($D212="",AL$5="",'상세일정'!AM212="제외"),"",IF($D212=$E212,IF(AND($D212&gt;=AL$5,$D212&lt;AL$5+7),"◆",""),IF(AND($D212&lt;AL$5+7,$E212&gt;AL$5),"■","")))</x:f>
      </x:c>
      <x:c r="AM212" s="7" t="str">
        <x:f>IF(OR($D212="",AM$5="",'상세일정'!AM212="제외"),"",IF($D212=$E212,IF(AND($D212&gt;=AM$5,$D212&lt;AM$5+7),"◆",""),IF(AND($D212&lt;AM$5+7,$E212&gt;AM$5),"■","")))</x:f>
      </x:c>
      <x:c r="AN212" s="7" t="str">
        <x:f>IF(OR($D212="",AN$5="",'상세일정'!AM212="제외"),"",IF($D212=$E212,IF(AND($D212&gt;=AN$5,$D212&lt;AN$5+7),"◆",""),IF(AND($D212&lt;AN$5+7,$E212&gt;AN$5),"■","")))</x:f>
      </x:c>
      <x:c r="AO212" s="7" t="str">
        <x:f>IF(OR($D212="",AO$5="",'상세일정'!AM212="제외"),"",IF($D212=$E212,IF(AND($D212&gt;=AO$5,$D212&lt;AO$5+7),"◆",""),IF(AND($D212&lt;AO$5+7,$E212&gt;AO$5),"■","")))</x:f>
      </x:c>
      <x:c r="AP212" s="7" t="str">
        <x:f>IF(OR($D212="",AP$5="",'상세일정'!AM212="제외"),"",IF($D212=$E212,IF(AND($D212&gt;=AP$5,$D212&lt;AP$5+7),"◆",""),IF(AND($D212&lt;AP$5+7,$E212&gt;AP$5),"■","")))</x:f>
      </x:c>
      <x:c r="AQ212" s="7" t="str">
        <x:f>IF(OR($D212="",AQ$5="",'상세일정'!AM212="제외"),"",IF($D212=$E212,IF(AND($D212&gt;=AQ$5,$D212&lt;AQ$5+7),"◆",""),IF(AND($D212&lt;AQ$5+7,$E212&gt;AQ$5),"■","")))</x:f>
      </x:c>
      <x:c r="AR212" s="7" t="str">
        <x:f>IF(OR($D212="",AR$5="",'상세일정'!AM212="제외"),"",IF($D212=$E212,IF(AND($D212&gt;=AR$5,$D212&lt;AR$5+7),"◆",""),IF(AND($D212&lt;AR$5+7,$E212&gt;AR$5),"■","")))</x:f>
      </x:c>
      <x:c r="AS212" s="7" t="str">
        <x:f>IF(OR($D212="",AS$5="",'상세일정'!AM212="제외"),"",IF($D212=$E212,IF(AND($D212&gt;=AS$5,$D212&lt;AS$5+7),"◆",""),IF(AND($D212&lt;AS$5+7,$E212&gt;AS$5),"■","")))</x:f>
      </x:c>
      <x:c r="AT212" s="7" t="str">
        <x:f>IF(OR($D212="",AT$5="",'상세일정'!AM212="제외"),"",IF($D212=$E212,IF(AND($D212&gt;=AT$5,$D212&lt;AT$5+7),"◆",""),IF(AND($D212&lt;AT$5+7,$E212&gt;AT$5),"■","")))</x:f>
      </x:c>
      <x:c r="AU212" s="7" t="str">
        <x:f>IF(OR($D212="",AU$5="",'상세일정'!AM212="제외"),"",IF($D212=$E212,IF(AND($D212&gt;=AU$5,$D212&lt;AU$5+7),"◆",""),IF(AND($D212&lt;AU$5+7,$E212&gt;AU$5),"■","")))</x:f>
      </x:c>
      <x:c r="AV212" s="7" t="str">
        <x:f>IF(OR($D212="",AV$5="",'상세일정'!AM212="제외"),"",IF($D212=$E212,IF(AND($D212&gt;=AV$5,$D212&lt;AV$5+7),"◆",""),IF(AND($D212&lt;AV$5+7,$E212&gt;AV$5),"■","")))</x:f>
      </x:c>
      <x:c r="AW212" s="7" t="str">
        <x:f>IF(OR($D212="",AW$5="",'상세일정'!AM212="제외"),"",IF($D212=$E212,IF(AND($D212&gt;=AW$5,$D212&lt;AW$5+7),"◆",""),IF(AND($D212&lt;AW$5+7,$E212&gt;AW$5),"■","")))</x:f>
      </x:c>
      <x:c r="AX212" s="7" t="str">
        <x:f>IF(OR($D212="",AX$5="",'상세일정'!AM212="제외"),"",IF($D212=$E212,IF(AND($D212&gt;=AX$5,$D212&lt;AX$5+7),"◆",""),IF(AND($D212&lt;AX$5+7,$E212&gt;AX$5),"■","")))</x:f>
      </x:c>
      <x:c r="AY212" s="7" t="str">
        <x:f>IF(OR($D212="",AY$5="",'상세일정'!AM212="제외"),"",IF($D212=$E212,IF(AND($D212&gt;=AY$5,$D212&lt;AY$5+7),"◆",""),IF(AND($D212&lt;AY$5+7,$E212&gt;AY$5),"■","")))</x:f>
      </x:c>
      <x:c r="AZ212" s="7" t="str">
        <x:f>IF(OR($D212="",AZ$5="",'상세일정'!AM212="제외"),"",IF($D212=$E212,IF(AND($D212&gt;=AZ$5,$D212&lt;AZ$5+7),"◆",""),IF(AND($D212&lt;AZ$5+7,$E212&gt;AZ$5),"■","")))</x:f>
      </x:c>
      <x:c r="BA212" s="7" t="str">
        <x:f>IF(OR($D212="",BA$5="",'상세일정'!AM212="제외"),"",IF($D212=$E212,IF(AND($D212&gt;=BA$5,$D212&lt;BA$5+7),"◆",""),IF(AND($D212&lt;BA$5+7,$E212&gt;BA$5),"■","")))</x:f>
      </x:c>
      <x:c r="BB212" s="7" t="str">
        <x:f>IF(OR($D212="",BB$5="",'상세일정'!AM212="제외"),"",IF($D212=$E212,IF(AND($D212&gt;=BB$5,$D212&lt;BB$5+7),"◆",""),IF(AND($D212&lt;BB$5+7,$E212&gt;BB$5),"■","")))</x:f>
      </x:c>
      <x:c r="BC212" s="7" t="str">
        <x:f>IF(OR($D212="",BC$5="",'상세일정'!AM212="제외"),"",IF($D212=$E212,IF(AND($D212&gt;=BC$5,$D212&lt;BC$5+7),"◆",""),IF(AND($D212&lt;BC$5+7,$E212&gt;BC$5),"■","")))</x:f>
      </x:c>
      <x:c r="BD212" s="7" t="str">
        <x:f>IF(OR($D212="",BD$5="",'상세일정'!AM212="제외"),"",IF($D212=$E212,IF(AND($D212&gt;=BD$5,$D212&lt;BD$5+7),"◆",""),IF(AND($D212&lt;BD$5+7,$E212&gt;BD$5),"■","")))</x:f>
      </x:c>
      <x:c r="BE212" s="7" t="str">
        <x:f>IF(OR($D212="",BE$5="",'상세일정'!AM212="제외"),"",IF($D212=$E212,IF(AND($D212&gt;=BE$5,$D212&lt;BE$5+7),"◆",""),IF(AND($D212&lt;BE$5+7,$E212&gt;BE$5),"■","")))</x:f>
      </x:c>
      <x:c r="BF212" s="7" t="str">
        <x:f>IF(OR($D212="",BF$5="",'상세일정'!AM212="제외"),"",IF($D212=$E212,IF(AND($D212&gt;=BF$5,$D212&lt;BF$5+7),"◆",""),IF(AND($D212&lt;BF$5+7,$E212&gt;BF$5),"■","")))</x:f>
      </x:c>
      <x:c r="BG212" s="7" t="str">
        <x:f>IF(OR($D212="",BG$5="",'상세일정'!AM212="제외"),"",IF($D212=$E212,IF(AND($D212&gt;=BG$5,$D212&lt;BG$5+7),"◆",""),IF(AND($D212&lt;BG$5+7,$E212&gt;BG$5),"■","")))</x:f>
      </x:c>
      <x:c r="BH212" s="7" t="str">
        <x:f>IF(OR($D212="",BH$5="",'상세일정'!AM212="제외"),"",IF($D212=$E212,IF(AND($D212&gt;=BH$5,$D212&lt;BH$5+7),"◆",""),IF(AND($D212&lt;BH$5+7,$E212&gt;BH$5),"■","")))</x:f>
      </x:c>
      <x:c r="BI212" s="7" t="str">
        <x:f>IF(OR($D212="",BI$5="",'상세일정'!AM212="제외"),"",IF($D212=$E212,IF(AND($D212&gt;=BI$5,$D212&lt;BI$5+7),"◆",""),IF(AND($D212&lt;BI$5+7,$E212&gt;BI$5),"■","")))</x:f>
      </x:c>
      <x:c r="BJ212" s="7" t="str">
        <x:f>IF(OR($D212="",BJ$5="",'상세일정'!AM212="제외"),"",IF($D212=$E212,IF(AND($D212&gt;=BJ$5,$D212&lt;BJ$5+7),"◆",""),IF(AND($D212&lt;BJ$5+7,$E212&gt;BJ$5),"■","")))</x:f>
      </x:c>
      <x:c r="BK212" s="7" t="str">
        <x:f>IF(OR($D212="",BK$5="",'상세일정'!AM212="제외"),"",IF($D212=$E212,IF(AND($D212&gt;=BK$5,$D212&lt;BK$5+7),"◆",""),IF(AND($D212&lt;BK$5+7,$E212&gt;BK$5),"■","")))</x:f>
      </x:c>
      <x:c r="BL212" s="7" t="str">
        <x:f>IF(OR($D212="",BL$5="",'상세일정'!AM212="제외"),"",IF($D212=$E212,IF(AND($D212&gt;=BL$5,$D212&lt;BL$5+7),"◆",""),IF(AND($D212&lt;BL$5+7,$E212&gt;BL$5),"■","")))</x:f>
      </x:c>
      <x:c r="BM212" s="7" t="str">
        <x:f>IF(OR($D212="",BM$5="",'상세일정'!AM212="제외"),"",IF($D212=$E212,IF(AND($D212&gt;=BM$5,$D212&lt;BM$5+7),"◆",""),IF(AND($D212&lt;BM$5+7,$E212&gt;BM$5),"■","")))</x:f>
      </x:c>
      <x:c r="BN212" s="7" t="str">
        <x:f>IF(OR($D212="",BN$5="",'상세일정'!AM212="제외"),"",IF($D212=$E212,IF(AND($D212&gt;=BN$5,$D212&lt;BN$5+7),"◆",""),IF(AND($D212&lt;BN$5+7,$E212&gt;BN$5),"■","")))</x:f>
      </x:c>
      <x:c r="BO212" s="7" t="str">
        <x:f>IF(OR($D212="",BO$5="",'상세일정'!AM212="제외"),"",IF($D212=$E212,IF(AND($D212&gt;=BO$5,$D212&lt;BO$5+7),"◆",""),IF(AND($D212&lt;BO$5+7,$E212&gt;BO$5),"■","")))</x:f>
      </x:c>
      <x:c r="BP212" s="7" t="str">
        <x:f>IF(OR($D212="",BP$5="",'상세일정'!AM212="제외"),"",IF($D212=$E212,IF(AND($D212&gt;=BP$5,$D212&lt;BP$5+7),"◆",""),IF(AND($D212&lt;BP$5+7,$E212&gt;BP$5),"■","")))</x:f>
      </x:c>
      <x:c r="BQ212" s="7" t="str">
        <x:f>IF(OR($D212="",BQ$5="",'상세일정'!AM212="제외"),"",IF($D212=$E212,IF(AND($D212&gt;=BQ$5,$D212&lt;BQ$5+7),"◆",""),IF(AND($D212&lt;BQ$5+7,$E212&gt;BQ$5),"■","")))</x:f>
      </x:c>
      <x:c r="BR212" s="7" t="str">
        <x:f>IF(OR($D212="",BR$5="",'상세일정'!AM212="제외"),"",IF($D212=$E212,IF(AND($D212&gt;=BR$5,$D212&lt;BR$5+7),"◆",""),IF(AND($D212&lt;BR$5+7,$E212&gt;BR$5),"■","")))</x:f>
      </x:c>
      <x:c r="BS212" s="7" t="str">
        <x:f>IF(OR($D212="",BS$5="",'상세일정'!AM212="제외"),"",IF($D212=$E212,IF(AND($D212&gt;=BS$5,$D212&lt;BS$5+7),"◆",""),IF(AND($D212&lt;BS$5+7,$E212&gt;BS$5),"■","")))</x:f>
      </x:c>
      <x:c r="BT212" s="7" t="str">
        <x:f>IF(OR($D212="",BT$5="",'상세일정'!AM212="제외"),"",IF($D212=$E212,IF(AND($D212&gt;=BT$5,$D212&lt;BT$5+7),"◆",""),IF(AND($D212&lt;BT$5+7,$E212&gt;BT$5),"■","")))</x:f>
      </x:c>
      <x:c r="BU212" s="7" t="str">
        <x:f>IF(OR($D212="",BU$5="",'상세일정'!AM212="제외"),"",IF($D212=$E212,IF(AND($D212&gt;=BU$5,$D212&lt;BU$5+7),"◆",""),IF(AND($D212&lt;BU$5+7,$E212&gt;BU$5),"■","")))</x:f>
      </x:c>
      <x:c r="BV212" s="7" t="str">
        <x:f>IF(OR($D212="",BV$5="",'상세일정'!AM212="제외"),"",IF($D212=$E212,IF(AND($D212&gt;=BV$5,$D212&lt;BV$5+7),"◆",""),IF(AND($D212&lt;BV$5+7,$E212&gt;BV$5),"■","")))</x:f>
      </x:c>
      <x:c r="BW212" s="7" t="str">
        <x:f>IF(OR($D212="",BW$5="",'상세일정'!AM212="제외"),"",IF($D212=$E212,IF(AND($D212&gt;=BW$5,$D212&lt;BW$5+7),"◆",""),IF(AND($D212&lt;BW$5+7,$E212&gt;BW$5),"■","")))</x:f>
      </x:c>
      <x:c r="BX212" s="7" t="str">
        <x:f>IF(OR($D212="",BX$5="",'상세일정'!AM212="제외"),"",IF($D212=$E212,IF(AND($D212&gt;=BX$5,$D212&lt;BX$5+7),"◆",""),IF(AND($D212&lt;BX$5+7,$E212&gt;BX$5),"■","")))</x:f>
      </x:c>
      <x:c r="BY212" s="7" t="str">
        <x:f>IF(OR($D212="",BY$5="",'상세일정'!AM212="제외"),"",IF($D212=$E212,IF(AND($D212&gt;=BY$5,$D212&lt;BY$5+7),"◆",""),IF(AND($D212&lt;BY$5+7,$E212&gt;BY$5),"■","")))</x:f>
      </x:c>
      <x:c r="BZ212" s="7" t="str">
        <x:f>IF(OR($D212="",BZ$5="",'상세일정'!AM212="제외"),"",IF($D212=$E212,IF(AND($D212&gt;=BZ$5,$D212&lt;BZ$5+7),"◆",""),IF(AND($D212&lt;BZ$5+7,$E212&gt;BZ$5),"■","")))</x:f>
      </x:c>
      <x:c r="CA212" s="7" t="str">
        <x:f>IF(OR($D212="",CA$5="",'상세일정'!AM212="제외"),"",IF($D212=$E212,IF(AND($D212&gt;=CA$5,$D212&lt;CA$5+7),"◆",""),IF(AND($D212&lt;CA$5+7,$E212&gt;CA$5),"■","")))</x:f>
      </x:c>
      <x:c r="CB212" s="7" t="str">
        <x:f>IF(OR($D212="",CB$5="",'상세일정'!AM212="제외"),"",IF($D212=$E212,IF(AND($D212&gt;=CB$5,$D212&lt;CB$5+7),"◆",""),IF(AND($D212&lt;CB$5+7,$E212&gt;CB$5),"■","")))</x:f>
      </x:c>
      <x:c r="CC212" s="7" t="str">
        <x:f>IF(OR($D212="",CC$5="",'상세일정'!AM212="제외"),"",IF($D212=$E212,IF(AND($D212&gt;=CC$5,$D212&lt;CC$5+7),"◆",""),IF(AND($D212&lt;CC$5+7,$E212&gt;CC$5),"■","")))</x:f>
      </x:c>
      <x:c r="CD212" s="7" t="str">
        <x:f>IF(OR($D212="",CD$5="",'상세일정'!AM212="제외"),"",IF($D212=$E212,IF(AND($D212&gt;=CD$5,$D212&lt;CD$5+7),"◆",""),IF(AND($D212&lt;CD$5+7,$E212&gt;CD$5),"■","")))</x:f>
      </x:c>
      <x:c r="CE212" s="7" t="str">
        <x:f>IF(OR($D212="",CE$5="",'상세일정'!AM212="제외"),"",IF($D212=$E212,IF(AND($D212&gt;=CE$5,$D212&lt;CE$5+7),"◆",""),IF(AND($D212&lt;CE$5+7,$E212&gt;CE$5),"■","")))</x:f>
      </x:c>
      <x:c r="CF212" s="7" t="str">
        <x:f>IF(OR($D212="",CF$5="",'상세일정'!AM212="제외"),"",IF($D212=$E212,IF(AND($D212&gt;=CF$5,$D212&lt;CF$5+7),"◆",""),IF(AND($D212&lt;CF$5+7,$E212&gt;CF$5),"■","")))</x:f>
      </x:c>
      <x:c r="CG212" s="7" t="str">
        <x:f>IF(OR($D212="",CG$5="",'상세일정'!AM212="제외"),"",IF($D212=$E212,IF(AND($D212&gt;=CG$5,$D212&lt;CG$5+7),"◆",""),IF(AND($D212&lt;CG$5+7,$E212&gt;CG$5),"■","")))</x:f>
      </x:c>
      <x:c r="CH212" s="7" t="str">
        <x:f>IF(OR($D212="",CH$5="",'상세일정'!AM212="제외"),"",IF($D212=$E212,IF(AND($D212&gt;=CH$5,$D212&lt;CH$5+7),"◆",""),IF(AND($D212&lt;CH$5+7,$E212&gt;CH$5),"■","")))</x:f>
      </x:c>
      <x:c r="CI212" s="7" t="str">
        <x:f>IF(OR($D212="",CI$5="",'상세일정'!AM212="제외"),"",IF($D212=$E212,IF(AND($D212&gt;=CI$5,$D212&lt;CI$5+7),"◆",""),IF(AND($D212&lt;CI$5+7,$E212&gt;CI$5),"■","")))</x:f>
      </x:c>
      <x:c r="CJ212" s="7" t="str">
        <x:f>IF(OR($D212="",CJ$5="",'상세일정'!AM212="제외"),"",IF($D212=$E212,IF(AND($D212&gt;=CJ$5,$D212&lt;CJ$5+7),"◆",""),IF(AND($D212&lt;CJ$5+7,$E212&gt;CJ$5),"■","")))</x:f>
      </x:c>
      <x:c r="CK212" s="7" t="str">
        <x:f>IF(OR($D212="",CK$5="",'상세일정'!AM212="제외"),"",IF($D212=$E212,IF(AND($D212&gt;=CK$5,$D212&lt;CK$5+7),"◆",""),IF(AND($D212&lt;CK$5+7,$E212&gt;CK$5),"■","")))</x:f>
      </x:c>
      <x:c r="CL212" s="7" t="str">
        <x:f>IF(OR($D212="",CL$5="",'상세일정'!AM212="제외"),"",IF($D212=$E212,IF(AND($D212&gt;=CL$5,$D212&lt;CL$5+7),"◆",""),IF(AND($D212&lt;CL$5+7,$E212&gt;CL$5),"■","")))</x:f>
      </x:c>
      <x:c r="CM212" s="7" t="str">
        <x:f>IF(OR($D212="",CM$5="",'상세일정'!AM212="제외"),"",IF($D212=$E212,IF(AND($D212&gt;=CM$5,$D212&lt;CM$5+7),"◆",""),IF(AND($D212&lt;CM$5+7,$E212&gt;CM$5),"■","")))</x:f>
      </x:c>
      <x:c r="CN212" s="7" t="str">
        <x:f>IF(OR($D212="",CN$5="",'상세일정'!AM212="제외"),"",IF($D212=$E212,IF(AND($D212&gt;=CN$5,$D212&lt;CN$5+7),"◆",""),IF(AND($D212&lt;CN$5+7,$E212&gt;CN$5),"■","")))</x:f>
      </x:c>
      <x:c r="CO212" s="7" t="str">
        <x:f>IF(OR($D212="",CO$5="",'상세일정'!AM212="제외"),"",IF($D212=$E212,IF(AND($D212&gt;=CO$5,$D212&lt;CO$5+7),"◆",""),IF(AND($D212&lt;CO$5+7,$E212&gt;CO$5),"■","")))</x:f>
      </x:c>
      <x:c r="CP212" s="7" t="str">
        <x:f>IF(OR($D212="",CP$5="",'상세일정'!AM212="제외"),"",IF($D212=$E212,IF(AND($D212&gt;=CP$5,$D212&lt;CP$5+7),"◆",""),IF(AND($D212&lt;CP$5+7,$E212&gt;CP$5),"■","")))</x:f>
      </x:c>
      <x:c r="CQ212" s="7" t="str">
        <x:f>IF(OR($D212="",CQ$5="",'상세일정'!AM212="제외"),"",IF($D212=$E212,IF(AND($D212&gt;=CQ$5,$D212&lt;CQ$5+7),"◆",""),IF(AND($D212&lt;CQ$5+7,$E212&gt;CQ$5),"■","")))</x:f>
      </x:c>
      <x:c r="CR212" s="7" t="str">
        <x:f>IF(OR($D212="",CR$5="",'상세일정'!AM212="제외"),"",IF($D212=$E212,IF(AND($D212&gt;=CR$5,$D212&lt;CR$5+7),"◆",""),IF(AND($D212&lt;CR$5+7,$E212&gt;CR$5),"■","")))</x:f>
      </x:c>
      <x:c r="CS212" s="7" t="str">
        <x:f>IF(OR($D212="",CS$5="",'상세일정'!AM212="제외"),"",IF($D212=$E212,IF(AND($D212&gt;=CS$5,$D212&lt;CS$5+7),"◆",""),IF(AND($D212&lt;CS$5+7,$E212&gt;CS$5),"■","")))</x:f>
      </x:c>
      <x:c r="CT212" s="7" t="str">
        <x:f>IF(OR($D212="",CT$5="",'상세일정'!AM212="제외"),"",IF($D212=$E212,IF(AND($D212&gt;=CT$5,$D212&lt;CT$5+7),"◆",""),IF(AND($D212&lt;CT$5+7,$E212&gt;CT$5),"■","")))</x:f>
      </x:c>
      <x:c r="CU212" s="7" t="str">
        <x:f>IF(OR($D212="",CU$5="",'상세일정'!AM212="제외"),"",IF($D212=$E212,IF(AND($D212&gt;=CU$5,$D212&lt;CU$5+7),"◆",""),IF(AND($D212&lt;CU$5+7,$E212&gt;CU$5),"■","")))</x:f>
      </x:c>
      <x:c r="CV212" s="7" t="str">
        <x:f>IF(OR($D212="",CV$5="",'상세일정'!AM212="제외"),"",IF($D212=$E212,IF(AND($D212&gt;=CV$5,$D212&lt;CV$5+7),"◆",""),IF(AND($D212&lt;CV$5+7,$E212&gt;CV$5),"■","")))</x:f>
      </x:c>
      <x:c r="CW212" s="7" t="str">
        <x:f>IF(OR($D212="",CW$5="",'상세일정'!AM212="제외"),"",IF($D212=$E212,IF(AND($D212&gt;=CW$5,$D212&lt;CW$5+7),"◆",""),IF(AND($D212&lt;CW$5+7,$E212&gt;CW$5),"■","")))</x:f>
      </x:c>
      <x:c r="CX212" s="7" t="str">
        <x:f>IF(OR($D212="",CX$5="",'상세일정'!AM212="제외"),"",IF($D212=$E212,IF(AND($D212&gt;=CX$5,$D212&lt;CX$5+7),"◆",""),IF(AND($D212&lt;CX$5+7,$E212&gt;CX$5),"■","")))</x:f>
      </x:c>
      <x:c r="CY212" s="7" t="str">
        <x:f>IF(OR($D212="",CY$5="",'상세일정'!AM212="제외"),"",IF($D212=$E212,IF(AND($D212&gt;=CY$5,$D212&lt;CY$5+7),"◆",""),IF(AND($D212&lt;CY$5+7,$E212&gt;CY$5),"■","")))</x:f>
      </x:c>
      <x:c r="CZ212" s="7" t="str">
        <x:f>IF(OR($D212="",CZ$5="",'상세일정'!AM212="제외"),"",IF($D212=$E212,IF(AND($D212&gt;=CZ$5,$D212&lt;CZ$5+7),"◆",""),IF(AND($D212&lt;CZ$5+7,$E212&gt;CZ$5),"■","")))</x:f>
      </x:c>
      <x:c r="DA212" s="7" t="str">
        <x:f>IF(OR($D212="",DA$5="",'상세일정'!AM212="제외"),"",IF($D212=$E212,IF(AND($D212&gt;=DA$5,$D212&lt;DA$5+7),"◆",""),IF(AND($D212&lt;DA$5+7,$E212&gt;DA$5),"■","")))</x:f>
      </x:c>
      <x:c r="DB212" s="7" t="str">
        <x:f>IF(OR($D212="",DB$5="",'상세일정'!AM212="제외"),"",IF($D212=$E212,IF(AND($D212&gt;=DB$5,$D212&lt;DB$5+7),"◆",""),IF(AND($D212&lt;DB$5+7,$E212&gt;DB$5),"■","")))</x:f>
      </x:c>
      <x:c r="DC212" s="7" t="str">
        <x:f>IF(OR($D212="",DC$5="",'상세일정'!AM212="제외"),"",IF($D212=$E212,IF(AND($D212&gt;=DC$5,$D212&lt;DC$5+7),"◆",""),IF(AND($D212&lt;DC$5+7,$E212&gt;DC$5),"■","")))</x:f>
      </x:c>
      <x:c r="DD212" s="7" t="str">
        <x:f>IF(OR($D212="",DD$5="",'상세일정'!AM212="제외"),"",IF($D212=$E212,IF(AND($D212&gt;=DD$5,$D212&lt;DD$5+7),"◆",""),IF(AND($D212&lt;DD$5+7,$E212&gt;DD$5),"■","")))</x:f>
      </x:c>
      <x:c r="DE212" s="7" t="str">
        <x:f>IF(OR($D212="",DE$5="",'상세일정'!AM212="제외"),"",IF($D212=$E212,IF(AND($D212&gt;=DE$5,$D212&lt;DE$5+7),"◆",""),IF(AND($D212&lt;DE$5+7,$E212&gt;DE$5),"■","")))</x:f>
      </x:c>
    </x:row>
    <x:row r="213" ht="34" customHeight="1">
      <x:c r="A213" s="7" t="str">
        <x:v>EN01</x:v>
      </x:c>
      <x:c r="B213" s="7" t="str">
        <x:v>24 수전·유틸리티 인입</x:v>
      </x:c>
      <x:c r="C213" s="7" t="str">
        <x:v>사용전검사 신청·수검·보완조치</x:v>
      </x:c>
      <x:c r="D213" s="10" t="str">
        <x:f>'상세일정'!AJ213</x:f>
      </x:c>
      <x:c r="E213" s="10" t="str">
        <x:f>'상세일정'!AK213</x:f>
      </x:c>
      <x:c r="F213" s="7" t="str">
        <x:f>IF(OR($D213="",F$5="",'상세일정'!AM213="제외"),"",IF($D213=$E213,IF(AND($D213&gt;=F$5,$D213&lt;F$5+7),"◆",""),IF(AND($D213&lt;F$5+7,$E213&gt;F$5),"■","")))</x:f>
      </x:c>
      <x:c r="G213" s="7" t="str">
        <x:f>IF(OR($D213="",G$5="",'상세일정'!AM213="제외"),"",IF($D213=$E213,IF(AND($D213&gt;=G$5,$D213&lt;G$5+7),"◆",""),IF(AND($D213&lt;G$5+7,$E213&gt;G$5),"■","")))</x:f>
      </x:c>
      <x:c r="H213" s="7" t="str">
        <x:f>IF(OR($D213="",H$5="",'상세일정'!AM213="제외"),"",IF($D213=$E213,IF(AND($D213&gt;=H$5,$D213&lt;H$5+7),"◆",""),IF(AND($D213&lt;H$5+7,$E213&gt;H$5),"■","")))</x:f>
      </x:c>
      <x:c r="I213" s="7" t="str">
        <x:f>IF(OR($D213="",I$5="",'상세일정'!AM213="제외"),"",IF($D213=$E213,IF(AND($D213&gt;=I$5,$D213&lt;I$5+7),"◆",""),IF(AND($D213&lt;I$5+7,$E213&gt;I$5),"■","")))</x:f>
      </x:c>
      <x:c r="J213" s="7" t="str">
        <x:f>IF(OR($D213="",J$5="",'상세일정'!AM213="제외"),"",IF($D213=$E213,IF(AND($D213&gt;=J$5,$D213&lt;J$5+7),"◆",""),IF(AND($D213&lt;J$5+7,$E213&gt;J$5),"■","")))</x:f>
      </x:c>
      <x:c r="K213" s="7" t="str">
        <x:f>IF(OR($D213="",K$5="",'상세일정'!AM213="제외"),"",IF($D213=$E213,IF(AND($D213&gt;=K$5,$D213&lt;K$5+7),"◆",""),IF(AND($D213&lt;K$5+7,$E213&gt;K$5),"■","")))</x:f>
      </x:c>
      <x:c r="L213" s="7" t="str">
        <x:f>IF(OR($D213="",L$5="",'상세일정'!AM213="제외"),"",IF($D213=$E213,IF(AND($D213&gt;=L$5,$D213&lt;L$5+7),"◆",""),IF(AND($D213&lt;L$5+7,$E213&gt;L$5),"■","")))</x:f>
      </x:c>
      <x:c r="M213" s="7" t="str">
        <x:f>IF(OR($D213="",M$5="",'상세일정'!AM213="제외"),"",IF($D213=$E213,IF(AND($D213&gt;=M$5,$D213&lt;M$5+7),"◆",""),IF(AND($D213&lt;M$5+7,$E213&gt;M$5),"■","")))</x:f>
      </x:c>
      <x:c r="N213" s="7" t="str">
        <x:f>IF(OR($D213="",N$5="",'상세일정'!AM213="제외"),"",IF($D213=$E213,IF(AND($D213&gt;=N$5,$D213&lt;N$5+7),"◆",""),IF(AND($D213&lt;N$5+7,$E213&gt;N$5),"■","")))</x:f>
      </x:c>
      <x:c r="O213" s="7" t="str">
        <x:f>IF(OR($D213="",O$5="",'상세일정'!AM213="제외"),"",IF($D213=$E213,IF(AND($D213&gt;=O$5,$D213&lt;O$5+7),"◆",""),IF(AND($D213&lt;O$5+7,$E213&gt;O$5),"■","")))</x:f>
      </x:c>
      <x:c r="P213" s="7" t="str">
        <x:f>IF(OR($D213="",P$5="",'상세일정'!AM213="제외"),"",IF($D213=$E213,IF(AND($D213&gt;=P$5,$D213&lt;P$5+7),"◆",""),IF(AND($D213&lt;P$5+7,$E213&gt;P$5),"■","")))</x:f>
      </x:c>
      <x:c r="Q213" s="7" t="str">
        <x:f>IF(OR($D213="",Q$5="",'상세일정'!AM213="제외"),"",IF($D213=$E213,IF(AND($D213&gt;=Q$5,$D213&lt;Q$5+7),"◆",""),IF(AND($D213&lt;Q$5+7,$E213&gt;Q$5),"■","")))</x:f>
      </x:c>
      <x:c r="R213" s="7" t="str">
        <x:f>IF(OR($D213="",R$5="",'상세일정'!AM213="제외"),"",IF($D213=$E213,IF(AND($D213&gt;=R$5,$D213&lt;R$5+7),"◆",""),IF(AND($D213&lt;R$5+7,$E213&gt;R$5),"■","")))</x:f>
      </x:c>
      <x:c r="S213" s="7" t="str">
        <x:f>IF(OR($D213="",S$5="",'상세일정'!AM213="제외"),"",IF($D213=$E213,IF(AND($D213&gt;=S$5,$D213&lt;S$5+7),"◆",""),IF(AND($D213&lt;S$5+7,$E213&gt;S$5),"■","")))</x:f>
      </x:c>
      <x:c r="T213" s="7" t="str">
        <x:f>IF(OR($D213="",T$5="",'상세일정'!AM213="제외"),"",IF($D213=$E213,IF(AND($D213&gt;=T$5,$D213&lt;T$5+7),"◆",""),IF(AND($D213&lt;T$5+7,$E213&gt;T$5),"■","")))</x:f>
      </x:c>
      <x:c r="U213" s="7" t="str">
        <x:f>IF(OR($D213="",U$5="",'상세일정'!AM213="제외"),"",IF($D213=$E213,IF(AND($D213&gt;=U$5,$D213&lt;U$5+7),"◆",""),IF(AND($D213&lt;U$5+7,$E213&gt;U$5),"■","")))</x:f>
      </x:c>
      <x:c r="V213" s="7" t="str">
        <x:f>IF(OR($D213="",V$5="",'상세일정'!AM213="제외"),"",IF($D213=$E213,IF(AND($D213&gt;=V$5,$D213&lt;V$5+7),"◆",""),IF(AND($D213&lt;V$5+7,$E213&gt;V$5),"■","")))</x:f>
      </x:c>
      <x:c r="W213" s="7" t="str">
        <x:f>IF(OR($D213="",W$5="",'상세일정'!AM213="제외"),"",IF($D213=$E213,IF(AND($D213&gt;=W$5,$D213&lt;W$5+7),"◆",""),IF(AND($D213&lt;W$5+7,$E213&gt;W$5),"■","")))</x:f>
      </x:c>
      <x:c r="X213" s="7" t="str">
        <x:f>IF(OR($D213="",X$5="",'상세일정'!AM213="제외"),"",IF($D213=$E213,IF(AND($D213&gt;=X$5,$D213&lt;X$5+7),"◆",""),IF(AND($D213&lt;X$5+7,$E213&gt;X$5),"■","")))</x:f>
      </x:c>
      <x:c r="Y213" s="7" t="str">
        <x:f>IF(OR($D213="",Y$5="",'상세일정'!AM213="제외"),"",IF($D213=$E213,IF(AND($D213&gt;=Y$5,$D213&lt;Y$5+7),"◆",""),IF(AND($D213&lt;Y$5+7,$E213&gt;Y$5),"■","")))</x:f>
      </x:c>
      <x:c r="Z213" s="7" t="str">
        <x:f>IF(OR($D213="",Z$5="",'상세일정'!AM213="제외"),"",IF($D213=$E213,IF(AND($D213&gt;=Z$5,$D213&lt;Z$5+7),"◆",""),IF(AND($D213&lt;Z$5+7,$E213&gt;Z$5),"■","")))</x:f>
      </x:c>
      <x:c r="AA213" s="7" t="str">
        <x:f>IF(OR($D213="",AA$5="",'상세일정'!AM213="제외"),"",IF($D213=$E213,IF(AND($D213&gt;=AA$5,$D213&lt;AA$5+7),"◆",""),IF(AND($D213&lt;AA$5+7,$E213&gt;AA$5),"■","")))</x:f>
      </x:c>
      <x:c r="AB213" s="7" t="str">
        <x:f>IF(OR($D213="",AB$5="",'상세일정'!AM213="제외"),"",IF($D213=$E213,IF(AND($D213&gt;=AB$5,$D213&lt;AB$5+7),"◆",""),IF(AND($D213&lt;AB$5+7,$E213&gt;AB$5),"■","")))</x:f>
      </x:c>
      <x:c r="AC213" s="7" t="str">
        <x:f>IF(OR($D213="",AC$5="",'상세일정'!AM213="제외"),"",IF($D213=$E213,IF(AND($D213&gt;=AC$5,$D213&lt;AC$5+7),"◆",""),IF(AND($D213&lt;AC$5+7,$E213&gt;AC$5),"■","")))</x:f>
      </x:c>
      <x:c r="AD213" s="7" t="str">
        <x:f>IF(OR($D213="",AD$5="",'상세일정'!AM213="제외"),"",IF($D213=$E213,IF(AND($D213&gt;=AD$5,$D213&lt;AD$5+7),"◆",""),IF(AND($D213&lt;AD$5+7,$E213&gt;AD$5),"■","")))</x:f>
      </x:c>
      <x:c r="AE213" s="7" t="str">
        <x:f>IF(OR($D213="",AE$5="",'상세일정'!AM213="제외"),"",IF($D213=$E213,IF(AND($D213&gt;=AE$5,$D213&lt;AE$5+7),"◆",""),IF(AND($D213&lt;AE$5+7,$E213&gt;AE$5),"■","")))</x:f>
      </x:c>
      <x:c r="AF213" s="7" t="str">
        <x:f>IF(OR($D213="",AF$5="",'상세일정'!AM213="제외"),"",IF($D213=$E213,IF(AND($D213&gt;=AF$5,$D213&lt;AF$5+7),"◆",""),IF(AND($D213&lt;AF$5+7,$E213&gt;AF$5),"■","")))</x:f>
      </x:c>
      <x:c r="AG213" s="7" t="str">
        <x:f>IF(OR($D213="",AG$5="",'상세일정'!AM213="제외"),"",IF($D213=$E213,IF(AND($D213&gt;=AG$5,$D213&lt;AG$5+7),"◆",""),IF(AND($D213&lt;AG$5+7,$E213&gt;AG$5),"■","")))</x:f>
      </x:c>
      <x:c r="AH213" s="7" t="str">
        <x:f>IF(OR($D213="",AH$5="",'상세일정'!AM213="제외"),"",IF($D213=$E213,IF(AND($D213&gt;=AH$5,$D213&lt;AH$5+7),"◆",""),IF(AND($D213&lt;AH$5+7,$E213&gt;AH$5),"■","")))</x:f>
      </x:c>
      <x:c r="AI213" s="7" t="str">
        <x:f>IF(OR($D213="",AI$5="",'상세일정'!AM213="제외"),"",IF($D213=$E213,IF(AND($D213&gt;=AI$5,$D213&lt;AI$5+7),"◆",""),IF(AND($D213&lt;AI$5+7,$E213&gt;AI$5),"■","")))</x:f>
      </x:c>
      <x:c r="AJ213" s="7" t="str">
        <x:f>IF(OR($D213="",AJ$5="",'상세일정'!AM213="제외"),"",IF($D213=$E213,IF(AND($D213&gt;=AJ$5,$D213&lt;AJ$5+7),"◆",""),IF(AND($D213&lt;AJ$5+7,$E213&gt;AJ$5),"■","")))</x:f>
      </x:c>
      <x:c r="AK213" s="7" t="str">
        <x:f>IF(OR($D213="",AK$5="",'상세일정'!AM213="제외"),"",IF($D213=$E213,IF(AND($D213&gt;=AK$5,$D213&lt;AK$5+7),"◆",""),IF(AND($D213&lt;AK$5+7,$E213&gt;AK$5),"■","")))</x:f>
      </x:c>
      <x:c r="AL213" s="7" t="str">
        <x:f>IF(OR($D213="",AL$5="",'상세일정'!AM213="제외"),"",IF($D213=$E213,IF(AND($D213&gt;=AL$5,$D213&lt;AL$5+7),"◆",""),IF(AND($D213&lt;AL$5+7,$E213&gt;AL$5),"■","")))</x:f>
      </x:c>
      <x:c r="AM213" s="7" t="str">
        <x:f>IF(OR($D213="",AM$5="",'상세일정'!AM213="제외"),"",IF($D213=$E213,IF(AND($D213&gt;=AM$5,$D213&lt;AM$5+7),"◆",""),IF(AND($D213&lt;AM$5+7,$E213&gt;AM$5),"■","")))</x:f>
      </x:c>
      <x:c r="AN213" s="7" t="str">
        <x:f>IF(OR($D213="",AN$5="",'상세일정'!AM213="제외"),"",IF($D213=$E213,IF(AND($D213&gt;=AN$5,$D213&lt;AN$5+7),"◆",""),IF(AND($D213&lt;AN$5+7,$E213&gt;AN$5),"■","")))</x:f>
      </x:c>
      <x:c r="AO213" s="7" t="str">
        <x:f>IF(OR($D213="",AO$5="",'상세일정'!AM213="제외"),"",IF($D213=$E213,IF(AND($D213&gt;=AO$5,$D213&lt;AO$5+7),"◆",""),IF(AND($D213&lt;AO$5+7,$E213&gt;AO$5),"■","")))</x:f>
      </x:c>
      <x:c r="AP213" s="7" t="str">
        <x:f>IF(OR($D213="",AP$5="",'상세일정'!AM213="제외"),"",IF($D213=$E213,IF(AND($D213&gt;=AP$5,$D213&lt;AP$5+7),"◆",""),IF(AND($D213&lt;AP$5+7,$E213&gt;AP$5),"■","")))</x:f>
      </x:c>
      <x:c r="AQ213" s="7" t="str">
        <x:f>IF(OR($D213="",AQ$5="",'상세일정'!AM213="제외"),"",IF($D213=$E213,IF(AND($D213&gt;=AQ$5,$D213&lt;AQ$5+7),"◆",""),IF(AND($D213&lt;AQ$5+7,$E213&gt;AQ$5),"■","")))</x:f>
      </x:c>
      <x:c r="AR213" s="7" t="str">
        <x:f>IF(OR($D213="",AR$5="",'상세일정'!AM213="제외"),"",IF($D213=$E213,IF(AND($D213&gt;=AR$5,$D213&lt;AR$5+7),"◆",""),IF(AND($D213&lt;AR$5+7,$E213&gt;AR$5),"■","")))</x:f>
      </x:c>
      <x:c r="AS213" s="7" t="str">
        <x:f>IF(OR($D213="",AS$5="",'상세일정'!AM213="제외"),"",IF($D213=$E213,IF(AND($D213&gt;=AS$5,$D213&lt;AS$5+7),"◆",""),IF(AND($D213&lt;AS$5+7,$E213&gt;AS$5),"■","")))</x:f>
      </x:c>
      <x:c r="AT213" s="7" t="str">
        <x:f>IF(OR($D213="",AT$5="",'상세일정'!AM213="제외"),"",IF($D213=$E213,IF(AND($D213&gt;=AT$5,$D213&lt;AT$5+7),"◆",""),IF(AND($D213&lt;AT$5+7,$E213&gt;AT$5),"■","")))</x:f>
      </x:c>
      <x:c r="AU213" s="7" t="str">
        <x:f>IF(OR($D213="",AU$5="",'상세일정'!AM213="제외"),"",IF($D213=$E213,IF(AND($D213&gt;=AU$5,$D213&lt;AU$5+7),"◆",""),IF(AND($D213&lt;AU$5+7,$E213&gt;AU$5),"■","")))</x:f>
      </x:c>
      <x:c r="AV213" s="7" t="str">
        <x:f>IF(OR($D213="",AV$5="",'상세일정'!AM213="제외"),"",IF($D213=$E213,IF(AND($D213&gt;=AV$5,$D213&lt;AV$5+7),"◆",""),IF(AND($D213&lt;AV$5+7,$E213&gt;AV$5),"■","")))</x:f>
      </x:c>
      <x:c r="AW213" s="7" t="str">
        <x:f>IF(OR($D213="",AW$5="",'상세일정'!AM213="제외"),"",IF($D213=$E213,IF(AND($D213&gt;=AW$5,$D213&lt;AW$5+7),"◆",""),IF(AND($D213&lt;AW$5+7,$E213&gt;AW$5),"■","")))</x:f>
      </x:c>
      <x:c r="AX213" s="7" t="str">
        <x:f>IF(OR($D213="",AX$5="",'상세일정'!AM213="제외"),"",IF($D213=$E213,IF(AND($D213&gt;=AX$5,$D213&lt;AX$5+7),"◆",""),IF(AND($D213&lt;AX$5+7,$E213&gt;AX$5),"■","")))</x:f>
      </x:c>
      <x:c r="AY213" s="7" t="str">
        <x:f>IF(OR($D213="",AY$5="",'상세일정'!AM213="제외"),"",IF($D213=$E213,IF(AND($D213&gt;=AY$5,$D213&lt;AY$5+7),"◆",""),IF(AND($D213&lt;AY$5+7,$E213&gt;AY$5),"■","")))</x:f>
      </x:c>
      <x:c r="AZ213" s="7" t="str">
        <x:f>IF(OR($D213="",AZ$5="",'상세일정'!AM213="제외"),"",IF($D213=$E213,IF(AND($D213&gt;=AZ$5,$D213&lt;AZ$5+7),"◆",""),IF(AND($D213&lt;AZ$5+7,$E213&gt;AZ$5),"■","")))</x:f>
      </x:c>
      <x:c r="BA213" s="7" t="str">
        <x:f>IF(OR($D213="",BA$5="",'상세일정'!AM213="제외"),"",IF($D213=$E213,IF(AND($D213&gt;=BA$5,$D213&lt;BA$5+7),"◆",""),IF(AND($D213&lt;BA$5+7,$E213&gt;BA$5),"■","")))</x:f>
      </x:c>
      <x:c r="BB213" s="7" t="str">
        <x:f>IF(OR($D213="",BB$5="",'상세일정'!AM213="제외"),"",IF($D213=$E213,IF(AND($D213&gt;=BB$5,$D213&lt;BB$5+7),"◆",""),IF(AND($D213&lt;BB$5+7,$E213&gt;BB$5),"■","")))</x:f>
      </x:c>
      <x:c r="BC213" s="7" t="str">
        <x:f>IF(OR($D213="",BC$5="",'상세일정'!AM213="제외"),"",IF($D213=$E213,IF(AND($D213&gt;=BC$5,$D213&lt;BC$5+7),"◆",""),IF(AND($D213&lt;BC$5+7,$E213&gt;BC$5),"■","")))</x:f>
      </x:c>
      <x:c r="BD213" s="7" t="str">
        <x:f>IF(OR($D213="",BD$5="",'상세일정'!AM213="제외"),"",IF($D213=$E213,IF(AND($D213&gt;=BD$5,$D213&lt;BD$5+7),"◆",""),IF(AND($D213&lt;BD$5+7,$E213&gt;BD$5),"■","")))</x:f>
      </x:c>
      <x:c r="BE213" s="7" t="str">
        <x:f>IF(OR($D213="",BE$5="",'상세일정'!AM213="제외"),"",IF($D213=$E213,IF(AND($D213&gt;=BE$5,$D213&lt;BE$5+7),"◆",""),IF(AND($D213&lt;BE$5+7,$E213&gt;BE$5),"■","")))</x:f>
      </x:c>
      <x:c r="BF213" s="7" t="str">
        <x:f>IF(OR($D213="",BF$5="",'상세일정'!AM213="제외"),"",IF($D213=$E213,IF(AND($D213&gt;=BF$5,$D213&lt;BF$5+7),"◆",""),IF(AND($D213&lt;BF$5+7,$E213&gt;BF$5),"■","")))</x:f>
      </x:c>
      <x:c r="BG213" s="7" t="str">
        <x:f>IF(OR($D213="",BG$5="",'상세일정'!AM213="제외"),"",IF($D213=$E213,IF(AND($D213&gt;=BG$5,$D213&lt;BG$5+7),"◆",""),IF(AND($D213&lt;BG$5+7,$E213&gt;BG$5),"■","")))</x:f>
      </x:c>
      <x:c r="BH213" s="7" t="str">
        <x:f>IF(OR($D213="",BH$5="",'상세일정'!AM213="제외"),"",IF($D213=$E213,IF(AND($D213&gt;=BH$5,$D213&lt;BH$5+7),"◆",""),IF(AND($D213&lt;BH$5+7,$E213&gt;BH$5),"■","")))</x:f>
      </x:c>
      <x:c r="BI213" s="7" t="str">
        <x:f>IF(OR($D213="",BI$5="",'상세일정'!AM213="제외"),"",IF($D213=$E213,IF(AND($D213&gt;=BI$5,$D213&lt;BI$5+7),"◆",""),IF(AND($D213&lt;BI$5+7,$E213&gt;BI$5),"■","")))</x:f>
      </x:c>
      <x:c r="BJ213" s="7" t="str">
        <x:f>IF(OR($D213="",BJ$5="",'상세일정'!AM213="제외"),"",IF($D213=$E213,IF(AND($D213&gt;=BJ$5,$D213&lt;BJ$5+7),"◆",""),IF(AND($D213&lt;BJ$5+7,$E213&gt;BJ$5),"■","")))</x:f>
      </x:c>
      <x:c r="BK213" s="7" t="str">
        <x:f>IF(OR($D213="",BK$5="",'상세일정'!AM213="제외"),"",IF($D213=$E213,IF(AND($D213&gt;=BK$5,$D213&lt;BK$5+7),"◆",""),IF(AND($D213&lt;BK$5+7,$E213&gt;BK$5),"■","")))</x:f>
      </x:c>
      <x:c r="BL213" s="7" t="str">
        <x:f>IF(OR($D213="",BL$5="",'상세일정'!AM213="제외"),"",IF($D213=$E213,IF(AND($D213&gt;=BL$5,$D213&lt;BL$5+7),"◆",""),IF(AND($D213&lt;BL$5+7,$E213&gt;BL$5),"■","")))</x:f>
      </x:c>
      <x:c r="BM213" s="7" t="str">
        <x:f>IF(OR($D213="",BM$5="",'상세일정'!AM213="제외"),"",IF($D213=$E213,IF(AND($D213&gt;=BM$5,$D213&lt;BM$5+7),"◆",""),IF(AND($D213&lt;BM$5+7,$E213&gt;BM$5),"■","")))</x:f>
      </x:c>
      <x:c r="BN213" s="7" t="str">
        <x:f>IF(OR($D213="",BN$5="",'상세일정'!AM213="제외"),"",IF($D213=$E213,IF(AND($D213&gt;=BN$5,$D213&lt;BN$5+7),"◆",""),IF(AND($D213&lt;BN$5+7,$E213&gt;BN$5),"■","")))</x:f>
      </x:c>
      <x:c r="BO213" s="7" t="str">
        <x:f>IF(OR($D213="",BO$5="",'상세일정'!AM213="제외"),"",IF($D213=$E213,IF(AND($D213&gt;=BO$5,$D213&lt;BO$5+7),"◆",""),IF(AND($D213&lt;BO$5+7,$E213&gt;BO$5),"■","")))</x:f>
      </x:c>
      <x:c r="BP213" s="7" t="str">
        <x:f>IF(OR($D213="",BP$5="",'상세일정'!AM213="제외"),"",IF($D213=$E213,IF(AND($D213&gt;=BP$5,$D213&lt;BP$5+7),"◆",""),IF(AND($D213&lt;BP$5+7,$E213&gt;BP$5),"■","")))</x:f>
      </x:c>
      <x:c r="BQ213" s="7" t="str">
        <x:f>IF(OR($D213="",BQ$5="",'상세일정'!AM213="제외"),"",IF($D213=$E213,IF(AND($D213&gt;=BQ$5,$D213&lt;BQ$5+7),"◆",""),IF(AND($D213&lt;BQ$5+7,$E213&gt;BQ$5),"■","")))</x:f>
      </x:c>
      <x:c r="BR213" s="7" t="str">
        <x:f>IF(OR($D213="",BR$5="",'상세일정'!AM213="제외"),"",IF($D213=$E213,IF(AND($D213&gt;=BR$5,$D213&lt;BR$5+7),"◆",""),IF(AND($D213&lt;BR$5+7,$E213&gt;BR$5),"■","")))</x:f>
      </x:c>
      <x:c r="BS213" s="7" t="str">
        <x:f>IF(OR($D213="",BS$5="",'상세일정'!AM213="제외"),"",IF($D213=$E213,IF(AND($D213&gt;=BS$5,$D213&lt;BS$5+7),"◆",""),IF(AND($D213&lt;BS$5+7,$E213&gt;BS$5),"■","")))</x:f>
      </x:c>
      <x:c r="BT213" s="7" t="str">
        <x:f>IF(OR($D213="",BT$5="",'상세일정'!AM213="제외"),"",IF($D213=$E213,IF(AND($D213&gt;=BT$5,$D213&lt;BT$5+7),"◆",""),IF(AND($D213&lt;BT$5+7,$E213&gt;BT$5),"■","")))</x:f>
      </x:c>
      <x:c r="BU213" s="7" t="str">
        <x:f>IF(OR($D213="",BU$5="",'상세일정'!AM213="제외"),"",IF($D213=$E213,IF(AND($D213&gt;=BU$5,$D213&lt;BU$5+7),"◆",""),IF(AND($D213&lt;BU$5+7,$E213&gt;BU$5),"■","")))</x:f>
      </x:c>
      <x:c r="BV213" s="7" t="str">
        <x:f>IF(OR($D213="",BV$5="",'상세일정'!AM213="제외"),"",IF($D213=$E213,IF(AND($D213&gt;=BV$5,$D213&lt;BV$5+7),"◆",""),IF(AND($D213&lt;BV$5+7,$E213&gt;BV$5),"■","")))</x:f>
      </x:c>
      <x:c r="BW213" s="7" t="str">
        <x:f>IF(OR($D213="",BW$5="",'상세일정'!AM213="제외"),"",IF($D213=$E213,IF(AND($D213&gt;=BW$5,$D213&lt;BW$5+7),"◆",""),IF(AND($D213&lt;BW$5+7,$E213&gt;BW$5),"■","")))</x:f>
      </x:c>
      <x:c r="BX213" s="7" t="str">
        <x:f>IF(OR($D213="",BX$5="",'상세일정'!AM213="제외"),"",IF($D213=$E213,IF(AND($D213&gt;=BX$5,$D213&lt;BX$5+7),"◆",""),IF(AND($D213&lt;BX$5+7,$E213&gt;BX$5),"■","")))</x:f>
      </x:c>
      <x:c r="BY213" s="7" t="str">
        <x:f>IF(OR($D213="",BY$5="",'상세일정'!AM213="제외"),"",IF($D213=$E213,IF(AND($D213&gt;=BY$5,$D213&lt;BY$5+7),"◆",""),IF(AND($D213&lt;BY$5+7,$E213&gt;BY$5),"■","")))</x:f>
      </x:c>
      <x:c r="BZ213" s="7" t="str">
        <x:f>IF(OR($D213="",BZ$5="",'상세일정'!AM213="제외"),"",IF($D213=$E213,IF(AND($D213&gt;=BZ$5,$D213&lt;BZ$5+7),"◆",""),IF(AND($D213&lt;BZ$5+7,$E213&gt;BZ$5),"■","")))</x:f>
      </x:c>
      <x:c r="CA213" s="7" t="str">
        <x:f>IF(OR($D213="",CA$5="",'상세일정'!AM213="제외"),"",IF($D213=$E213,IF(AND($D213&gt;=CA$5,$D213&lt;CA$5+7),"◆",""),IF(AND($D213&lt;CA$5+7,$E213&gt;CA$5),"■","")))</x:f>
      </x:c>
      <x:c r="CB213" s="7" t="str">
        <x:f>IF(OR($D213="",CB$5="",'상세일정'!AM213="제외"),"",IF($D213=$E213,IF(AND($D213&gt;=CB$5,$D213&lt;CB$5+7),"◆",""),IF(AND($D213&lt;CB$5+7,$E213&gt;CB$5),"■","")))</x:f>
      </x:c>
      <x:c r="CC213" s="7" t="str">
        <x:f>IF(OR($D213="",CC$5="",'상세일정'!AM213="제외"),"",IF($D213=$E213,IF(AND($D213&gt;=CC$5,$D213&lt;CC$5+7),"◆",""),IF(AND($D213&lt;CC$5+7,$E213&gt;CC$5),"■","")))</x:f>
      </x:c>
      <x:c r="CD213" s="7" t="str">
        <x:f>IF(OR($D213="",CD$5="",'상세일정'!AM213="제외"),"",IF($D213=$E213,IF(AND($D213&gt;=CD$5,$D213&lt;CD$5+7),"◆",""),IF(AND($D213&lt;CD$5+7,$E213&gt;CD$5),"■","")))</x:f>
      </x:c>
      <x:c r="CE213" s="7" t="str">
        <x:f>IF(OR($D213="",CE$5="",'상세일정'!AM213="제외"),"",IF($D213=$E213,IF(AND($D213&gt;=CE$5,$D213&lt;CE$5+7),"◆",""),IF(AND($D213&lt;CE$5+7,$E213&gt;CE$5),"■","")))</x:f>
      </x:c>
      <x:c r="CF213" s="7" t="str">
        <x:f>IF(OR($D213="",CF$5="",'상세일정'!AM213="제외"),"",IF($D213=$E213,IF(AND($D213&gt;=CF$5,$D213&lt;CF$5+7),"◆",""),IF(AND($D213&lt;CF$5+7,$E213&gt;CF$5),"■","")))</x:f>
      </x:c>
      <x:c r="CG213" s="7" t="str">
        <x:f>IF(OR($D213="",CG$5="",'상세일정'!AM213="제외"),"",IF($D213=$E213,IF(AND($D213&gt;=CG$5,$D213&lt;CG$5+7),"◆",""),IF(AND($D213&lt;CG$5+7,$E213&gt;CG$5),"■","")))</x:f>
      </x:c>
      <x:c r="CH213" s="7" t="str">
        <x:f>IF(OR($D213="",CH$5="",'상세일정'!AM213="제외"),"",IF($D213=$E213,IF(AND($D213&gt;=CH$5,$D213&lt;CH$5+7),"◆",""),IF(AND($D213&lt;CH$5+7,$E213&gt;CH$5),"■","")))</x:f>
      </x:c>
      <x:c r="CI213" s="7" t="str">
        <x:f>IF(OR($D213="",CI$5="",'상세일정'!AM213="제외"),"",IF($D213=$E213,IF(AND($D213&gt;=CI$5,$D213&lt;CI$5+7),"◆",""),IF(AND($D213&lt;CI$5+7,$E213&gt;CI$5),"■","")))</x:f>
      </x:c>
      <x:c r="CJ213" s="7" t="str">
        <x:f>IF(OR($D213="",CJ$5="",'상세일정'!AM213="제외"),"",IF($D213=$E213,IF(AND($D213&gt;=CJ$5,$D213&lt;CJ$5+7),"◆",""),IF(AND($D213&lt;CJ$5+7,$E213&gt;CJ$5),"■","")))</x:f>
      </x:c>
      <x:c r="CK213" s="7" t="str">
        <x:f>IF(OR($D213="",CK$5="",'상세일정'!AM213="제외"),"",IF($D213=$E213,IF(AND($D213&gt;=CK$5,$D213&lt;CK$5+7),"◆",""),IF(AND($D213&lt;CK$5+7,$E213&gt;CK$5),"■","")))</x:f>
      </x:c>
      <x:c r="CL213" s="7" t="str">
        <x:f>IF(OR($D213="",CL$5="",'상세일정'!AM213="제외"),"",IF($D213=$E213,IF(AND($D213&gt;=CL$5,$D213&lt;CL$5+7),"◆",""),IF(AND($D213&lt;CL$5+7,$E213&gt;CL$5),"■","")))</x:f>
      </x:c>
      <x:c r="CM213" s="7" t="str">
        <x:f>IF(OR($D213="",CM$5="",'상세일정'!AM213="제외"),"",IF($D213=$E213,IF(AND($D213&gt;=CM$5,$D213&lt;CM$5+7),"◆",""),IF(AND($D213&lt;CM$5+7,$E213&gt;CM$5),"■","")))</x:f>
      </x:c>
      <x:c r="CN213" s="7" t="str">
        <x:f>IF(OR($D213="",CN$5="",'상세일정'!AM213="제외"),"",IF($D213=$E213,IF(AND($D213&gt;=CN$5,$D213&lt;CN$5+7),"◆",""),IF(AND($D213&lt;CN$5+7,$E213&gt;CN$5),"■","")))</x:f>
      </x:c>
      <x:c r="CO213" s="7" t="str">
        <x:f>IF(OR($D213="",CO$5="",'상세일정'!AM213="제외"),"",IF($D213=$E213,IF(AND($D213&gt;=CO$5,$D213&lt;CO$5+7),"◆",""),IF(AND($D213&lt;CO$5+7,$E213&gt;CO$5),"■","")))</x:f>
      </x:c>
      <x:c r="CP213" s="7" t="str">
        <x:f>IF(OR($D213="",CP$5="",'상세일정'!AM213="제외"),"",IF($D213=$E213,IF(AND($D213&gt;=CP$5,$D213&lt;CP$5+7),"◆",""),IF(AND($D213&lt;CP$5+7,$E213&gt;CP$5),"■","")))</x:f>
      </x:c>
      <x:c r="CQ213" s="7" t="str">
        <x:f>IF(OR($D213="",CQ$5="",'상세일정'!AM213="제외"),"",IF($D213=$E213,IF(AND($D213&gt;=CQ$5,$D213&lt;CQ$5+7),"◆",""),IF(AND($D213&lt;CQ$5+7,$E213&gt;CQ$5),"■","")))</x:f>
      </x:c>
      <x:c r="CR213" s="7" t="str">
        <x:f>IF(OR($D213="",CR$5="",'상세일정'!AM213="제외"),"",IF($D213=$E213,IF(AND($D213&gt;=CR$5,$D213&lt;CR$5+7),"◆",""),IF(AND($D213&lt;CR$5+7,$E213&gt;CR$5),"■","")))</x:f>
      </x:c>
      <x:c r="CS213" s="7" t="str">
        <x:f>IF(OR($D213="",CS$5="",'상세일정'!AM213="제외"),"",IF($D213=$E213,IF(AND($D213&gt;=CS$5,$D213&lt;CS$5+7),"◆",""),IF(AND($D213&lt;CS$5+7,$E213&gt;CS$5),"■","")))</x:f>
      </x:c>
      <x:c r="CT213" s="7" t="str">
        <x:f>IF(OR($D213="",CT$5="",'상세일정'!AM213="제외"),"",IF($D213=$E213,IF(AND($D213&gt;=CT$5,$D213&lt;CT$5+7),"◆",""),IF(AND($D213&lt;CT$5+7,$E213&gt;CT$5),"■","")))</x:f>
      </x:c>
      <x:c r="CU213" s="7" t="str">
        <x:f>IF(OR($D213="",CU$5="",'상세일정'!AM213="제외"),"",IF($D213=$E213,IF(AND($D213&gt;=CU$5,$D213&lt;CU$5+7),"◆",""),IF(AND($D213&lt;CU$5+7,$E213&gt;CU$5),"■","")))</x:f>
      </x:c>
      <x:c r="CV213" s="7" t="str">
        <x:f>IF(OR($D213="",CV$5="",'상세일정'!AM213="제외"),"",IF($D213=$E213,IF(AND($D213&gt;=CV$5,$D213&lt;CV$5+7),"◆",""),IF(AND($D213&lt;CV$5+7,$E213&gt;CV$5),"■","")))</x:f>
      </x:c>
      <x:c r="CW213" s="7" t="str">
        <x:f>IF(OR($D213="",CW$5="",'상세일정'!AM213="제외"),"",IF($D213=$E213,IF(AND($D213&gt;=CW$5,$D213&lt;CW$5+7),"◆",""),IF(AND($D213&lt;CW$5+7,$E213&gt;CW$5),"■","")))</x:f>
      </x:c>
      <x:c r="CX213" s="7" t="str">
        <x:f>IF(OR($D213="",CX$5="",'상세일정'!AM213="제외"),"",IF($D213=$E213,IF(AND($D213&gt;=CX$5,$D213&lt;CX$5+7),"◆",""),IF(AND($D213&lt;CX$5+7,$E213&gt;CX$5),"■","")))</x:f>
      </x:c>
      <x:c r="CY213" s="7" t="str">
        <x:f>IF(OR($D213="",CY$5="",'상세일정'!AM213="제외"),"",IF($D213=$E213,IF(AND($D213&gt;=CY$5,$D213&lt;CY$5+7),"◆",""),IF(AND($D213&lt;CY$5+7,$E213&gt;CY$5),"■","")))</x:f>
      </x:c>
      <x:c r="CZ213" s="7" t="str">
        <x:f>IF(OR($D213="",CZ$5="",'상세일정'!AM213="제외"),"",IF($D213=$E213,IF(AND($D213&gt;=CZ$5,$D213&lt;CZ$5+7),"◆",""),IF(AND($D213&lt;CZ$5+7,$E213&gt;CZ$5),"■","")))</x:f>
      </x:c>
      <x:c r="DA213" s="7" t="str">
        <x:f>IF(OR($D213="",DA$5="",'상세일정'!AM213="제외"),"",IF($D213=$E213,IF(AND($D213&gt;=DA$5,$D213&lt;DA$5+7),"◆",""),IF(AND($D213&lt;DA$5+7,$E213&gt;DA$5),"■","")))</x:f>
      </x:c>
      <x:c r="DB213" s="7" t="str">
        <x:f>IF(OR($D213="",DB$5="",'상세일정'!AM213="제외"),"",IF($D213=$E213,IF(AND($D213&gt;=DB$5,$D213&lt;DB$5+7),"◆",""),IF(AND($D213&lt;DB$5+7,$E213&gt;DB$5),"■","")))</x:f>
      </x:c>
      <x:c r="DC213" s="7" t="str">
        <x:f>IF(OR($D213="",DC$5="",'상세일정'!AM213="제외"),"",IF($D213=$E213,IF(AND($D213&gt;=DC$5,$D213&lt;DC$5+7),"◆",""),IF(AND($D213&lt;DC$5+7,$E213&gt;DC$5),"■","")))</x:f>
      </x:c>
      <x:c r="DD213" s="7" t="str">
        <x:f>IF(OR($D213="",DD$5="",'상세일정'!AM213="제외"),"",IF($D213=$E213,IF(AND($D213&gt;=DD$5,$D213&lt;DD$5+7),"◆",""),IF(AND($D213&lt;DD$5+7,$E213&gt;DD$5),"■","")))</x:f>
      </x:c>
      <x:c r="DE213" s="7" t="str">
        <x:f>IF(OR($D213="",DE$5="",'상세일정'!AM213="제외"),"",IF($D213=$E213,IF(AND($D213&gt;=DE$5,$D213&lt;DE$5+7),"◆",""),IF(AND($D213&lt;DE$5+7,$E213&gt;DE$5),"■","")))</x:f>
      </x:c>
    </x:row>
    <x:row r="214" ht="34" customHeight="1">
      <x:c r="A214" s="7" t="str">
        <x:v>EN02</x:v>
      </x:c>
      <x:c r="B214" s="7" t="str">
        <x:v>24 수전·유틸리티 인입</x:v>
      </x:c>
      <x:c r="C214" s="7" t="str">
        <x:v>계량기 설치·수전 및 전원 투입 승인</x:v>
      </x:c>
      <x:c r="D214" s="10" t="str">
        <x:f>'상세일정'!AJ214</x:f>
      </x:c>
      <x:c r="E214" s="10" t="str">
        <x:f>'상세일정'!AK214</x:f>
      </x:c>
      <x:c r="F214" s="7" t="str">
        <x:f>IF(OR($D214="",F$5="",'상세일정'!AM214="제외"),"",IF($D214=$E214,IF(AND($D214&gt;=F$5,$D214&lt;F$5+7),"◆",""),IF(AND($D214&lt;F$5+7,$E214&gt;F$5),"■","")))</x:f>
      </x:c>
      <x:c r="G214" s="7" t="str">
        <x:f>IF(OR($D214="",G$5="",'상세일정'!AM214="제외"),"",IF($D214=$E214,IF(AND($D214&gt;=G$5,$D214&lt;G$5+7),"◆",""),IF(AND($D214&lt;G$5+7,$E214&gt;G$5),"■","")))</x:f>
      </x:c>
      <x:c r="H214" s="7" t="str">
        <x:f>IF(OR($D214="",H$5="",'상세일정'!AM214="제외"),"",IF($D214=$E214,IF(AND($D214&gt;=H$5,$D214&lt;H$5+7),"◆",""),IF(AND($D214&lt;H$5+7,$E214&gt;H$5),"■","")))</x:f>
      </x:c>
      <x:c r="I214" s="7" t="str">
        <x:f>IF(OR($D214="",I$5="",'상세일정'!AM214="제외"),"",IF($D214=$E214,IF(AND($D214&gt;=I$5,$D214&lt;I$5+7),"◆",""),IF(AND($D214&lt;I$5+7,$E214&gt;I$5),"■","")))</x:f>
      </x:c>
      <x:c r="J214" s="7" t="str">
        <x:f>IF(OR($D214="",J$5="",'상세일정'!AM214="제외"),"",IF($D214=$E214,IF(AND($D214&gt;=J$5,$D214&lt;J$5+7),"◆",""),IF(AND($D214&lt;J$5+7,$E214&gt;J$5),"■","")))</x:f>
      </x:c>
      <x:c r="K214" s="7" t="str">
        <x:f>IF(OR($D214="",K$5="",'상세일정'!AM214="제외"),"",IF($D214=$E214,IF(AND($D214&gt;=K$5,$D214&lt;K$5+7),"◆",""),IF(AND($D214&lt;K$5+7,$E214&gt;K$5),"■","")))</x:f>
      </x:c>
      <x:c r="L214" s="7" t="str">
        <x:f>IF(OR($D214="",L$5="",'상세일정'!AM214="제외"),"",IF($D214=$E214,IF(AND($D214&gt;=L$5,$D214&lt;L$5+7),"◆",""),IF(AND($D214&lt;L$5+7,$E214&gt;L$5),"■","")))</x:f>
      </x:c>
      <x:c r="M214" s="7" t="str">
        <x:f>IF(OR($D214="",M$5="",'상세일정'!AM214="제외"),"",IF($D214=$E214,IF(AND($D214&gt;=M$5,$D214&lt;M$5+7),"◆",""),IF(AND($D214&lt;M$5+7,$E214&gt;M$5),"■","")))</x:f>
      </x:c>
      <x:c r="N214" s="7" t="str">
        <x:f>IF(OR($D214="",N$5="",'상세일정'!AM214="제외"),"",IF($D214=$E214,IF(AND($D214&gt;=N$5,$D214&lt;N$5+7),"◆",""),IF(AND($D214&lt;N$5+7,$E214&gt;N$5),"■","")))</x:f>
      </x:c>
      <x:c r="O214" s="7" t="str">
        <x:f>IF(OR($D214="",O$5="",'상세일정'!AM214="제외"),"",IF($D214=$E214,IF(AND($D214&gt;=O$5,$D214&lt;O$5+7),"◆",""),IF(AND($D214&lt;O$5+7,$E214&gt;O$5),"■","")))</x:f>
      </x:c>
      <x:c r="P214" s="7" t="str">
        <x:f>IF(OR($D214="",P$5="",'상세일정'!AM214="제외"),"",IF($D214=$E214,IF(AND($D214&gt;=P$5,$D214&lt;P$5+7),"◆",""),IF(AND($D214&lt;P$5+7,$E214&gt;P$5),"■","")))</x:f>
      </x:c>
      <x:c r="Q214" s="7" t="str">
        <x:f>IF(OR($D214="",Q$5="",'상세일정'!AM214="제외"),"",IF($D214=$E214,IF(AND($D214&gt;=Q$5,$D214&lt;Q$5+7),"◆",""),IF(AND($D214&lt;Q$5+7,$E214&gt;Q$5),"■","")))</x:f>
      </x:c>
      <x:c r="R214" s="7" t="str">
        <x:f>IF(OR($D214="",R$5="",'상세일정'!AM214="제외"),"",IF($D214=$E214,IF(AND($D214&gt;=R$5,$D214&lt;R$5+7),"◆",""),IF(AND($D214&lt;R$5+7,$E214&gt;R$5),"■","")))</x:f>
      </x:c>
      <x:c r="S214" s="7" t="str">
        <x:f>IF(OR($D214="",S$5="",'상세일정'!AM214="제외"),"",IF($D214=$E214,IF(AND($D214&gt;=S$5,$D214&lt;S$5+7),"◆",""),IF(AND($D214&lt;S$5+7,$E214&gt;S$5),"■","")))</x:f>
      </x:c>
      <x:c r="T214" s="7" t="str">
        <x:f>IF(OR($D214="",T$5="",'상세일정'!AM214="제외"),"",IF($D214=$E214,IF(AND($D214&gt;=T$5,$D214&lt;T$5+7),"◆",""),IF(AND($D214&lt;T$5+7,$E214&gt;T$5),"■","")))</x:f>
      </x:c>
      <x:c r="U214" s="7" t="str">
        <x:f>IF(OR($D214="",U$5="",'상세일정'!AM214="제외"),"",IF($D214=$E214,IF(AND($D214&gt;=U$5,$D214&lt;U$5+7),"◆",""),IF(AND($D214&lt;U$5+7,$E214&gt;U$5),"■","")))</x:f>
      </x:c>
      <x:c r="V214" s="7" t="str">
        <x:f>IF(OR($D214="",V$5="",'상세일정'!AM214="제외"),"",IF($D214=$E214,IF(AND($D214&gt;=V$5,$D214&lt;V$5+7),"◆",""),IF(AND($D214&lt;V$5+7,$E214&gt;V$5),"■","")))</x:f>
      </x:c>
      <x:c r="W214" s="7" t="str">
        <x:f>IF(OR($D214="",W$5="",'상세일정'!AM214="제외"),"",IF($D214=$E214,IF(AND($D214&gt;=W$5,$D214&lt;W$5+7),"◆",""),IF(AND($D214&lt;W$5+7,$E214&gt;W$5),"■","")))</x:f>
      </x:c>
      <x:c r="X214" s="7" t="str">
        <x:f>IF(OR($D214="",X$5="",'상세일정'!AM214="제외"),"",IF($D214=$E214,IF(AND($D214&gt;=X$5,$D214&lt;X$5+7),"◆",""),IF(AND($D214&lt;X$5+7,$E214&gt;X$5),"■","")))</x:f>
      </x:c>
      <x:c r="Y214" s="7" t="str">
        <x:f>IF(OR($D214="",Y$5="",'상세일정'!AM214="제외"),"",IF($D214=$E214,IF(AND($D214&gt;=Y$5,$D214&lt;Y$5+7),"◆",""),IF(AND($D214&lt;Y$5+7,$E214&gt;Y$5),"■","")))</x:f>
      </x:c>
      <x:c r="Z214" s="7" t="str">
        <x:f>IF(OR($D214="",Z$5="",'상세일정'!AM214="제외"),"",IF($D214=$E214,IF(AND($D214&gt;=Z$5,$D214&lt;Z$5+7),"◆",""),IF(AND($D214&lt;Z$5+7,$E214&gt;Z$5),"■","")))</x:f>
      </x:c>
      <x:c r="AA214" s="7" t="str">
        <x:f>IF(OR($D214="",AA$5="",'상세일정'!AM214="제외"),"",IF($D214=$E214,IF(AND($D214&gt;=AA$5,$D214&lt;AA$5+7),"◆",""),IF(AND($D214&lt;AA$5+7,$E214&gt;AA$5),"■","")))</x:f>
      </x:c>
      <x:c r="AB214" s="7" t="str">
        <x:f>IF(OR($D214="",AB$5="",'상세일정'!AM214="제외"),"",IF($D214=$E214,IF(AND($D214&gt;=AB$5,$D214&lt;AB$5+7),"◆",""),IF(AND($D214&lt;AB$5+7,$E214&gt;AB$5),"■","")))</x:f>
      </x:c>
      <x:c r="AC214" s="7" t="str">
        <x:f>IF(OR($D214="",AC$5="",'상세일정'!AM214="제외"),"",IF($D214=$E214,IF(AND($D214&gt;=AC$5,$D214&lt;AC$5+7),"◆",""),IF(AND($D214&lt;AC$5+7,$E214&gt;AC$5),"■","")))</x:f>
      </x:c>
      <x:c r="AD214" s="7" t="str">
        <x:f>IF(OR($D214="",AD$5="",'상세일정'!AM214="제외"),"",IF($D214=$E214,IF(AND($D214&gt;=AD$5,$D214&lt;AD$5+7),"◆",""),IF(AND($D214&lt;AD$5+7,$E214&gt;AD$5),"■","")))</x:f>
      </x:c>
      <x:c r="AE214" s="7" t="str">
        <x:f>IF(OR($D214="",AE$5="",'상세일정'!AM214="제외"),"",IF($D214=$E214,IF(AND($D214&gt;=AE$5,$D214&lt;AE$5+7),"◆",""),IF(AND($D214&lt;AE$5+7,$E214&gt;AE$5),"■","")))</x:f>
      </x:c>
      <x:c r="AF214" s="7" t="str">
        <x:f>IF(OR($D214="",AF$5="",'상세일정'!AM214="제외"),"",IF($D214=$E214,IF(AND($D214&gt;=AF$5,$D214&lt;AF$5+7),"◆",""),IF(AND($D214&lt;AF$5+7,$E214&gt;AF$5),"■","")))</x:f>
      </x:c>
      <x:c r="AG214" s="7" t="str">
        <x:f>IF(OR($D214="",AG$5="",'상세일정'!AM214="제외"),"",IF($D214=$E214,IF(AND($D214&gt;=AG$5,$D214&lt;AG$5+7),"◆",""),IF(AND($D214&lt;AG$5+7,$E214&gt;AG$5),"■","")))</x:f>
      </x:c>
      <x:c r="AH214" s="7" t="str">
        <x:f>IF(OR($D214="",AH$5="",'상세일정'!AM214="제외"),"",IF($D214=$E214,IF(AND($D214&gt;=AH$5,$D214&lt;AH$5+7),"◆",""),IF(AND($D214&lt;AH$5+7,$E214&gt;AH$5),"■","")))</x:f>
      </x:c>
      <x:c r="AI214" s="7" t="str">
        <x:f>IF(OR($D214="",AI$5="",'상세일정'!AM214="제외"),"",IF($D214=$E214,IF(AND($D214&gt;=AI$5,$D214&lt;AI$5+7),"◆",""),IF(AND($D214&lt;AI$5+7,$E214&gt;AI$5),"■","")))</x:f>
      </x:c>
      <x:c r="AJ214" s="7" t="str">
        <x:f>IF(OR($D214="",AJ$5="",'상세일정'!AM214="제외"),"",IF($D214=$E214,IF(AND($D214&gt;=AJ$5,$D214&lt;AJ$5+7),"◆",""),IF(AND($D214&lt;AJ$5+7,$E214&gt;AJ$5),"■","")))</x:f>
      </x:c>
      <x:c r="AK214" s="7" t="str">
        <x:f>IF(OR($D214="",AK$5="",'상세일정'!AM214="제외"),"",IF($D214=$E214,IF(AND($D214&gt;=AK$5,$D214&lt;AK$5+7),"◆",""),IF(AND($D214&lt;AK$5+7,$E214&gt;AK$5),"■","")))</x:f>
      </x:c>
      <x:c r="AL214" s="7" t="str">
        <x:f>IF(OR($D214="",AL$5="",'상세일정'!AM214="제외"),"",IF($D214=$E214,IF(AND($D214&gt;=AL$5,$D214&lt;AL$5+7),"◆",""),IF(AND($D214&lt;AL$5+7,$E214&gt;AL$5),"■","")))</x:f>
      </x:c>
      <x:c r="AM214" s="7" t="str">
        <x:f>IF(OR($D214="",AM$5="",'상세일정'!AM214="제외"),"",IF($D214=$E214,IF(AND($D214&gt;=AM$5,$D214&lt;AM$5+7),"◆",""),IF(AND($D214&lt;AM$5+7,$E214&gt;AM$5),"■","")))</x:f>
      </x:c>
      <x:c r="AN214" s="7" t="str">
        <x:f>IF(OR($D214="",AN$5="",'상세일정'!AM214="제외"),"",IF($D214=$E214,IF(AND($D214&gt;=AN$5,$D214&lt;AN$5+7),"◆",""),IF(AND($D214&lt;AN$5+7,$E214&gt;AN$5),"■","")))</x:f>
      </x:c>
      <x:c r="AO214" s="7" t="str">
        <x:f>IF(OR($D214="",AO$5="",'상세일정'!AM214="제외"),"",IF($D214=$E214,IF(AND($D214&gt;=AO$5,$D214&lt;AO$5+7),"◆",""),IF(AND($D214&lt;AO$5+7,$E214&gt;AO$5),"■","")))</x:f>
      </x:c>
      <x:c r="AP214" s="7" t="str">
        <x:f>IF(OR($D214="",AP$5="",'상세일정'!AM214="제외"),"",IF($D214=$E214,IF(AND($D214&gt;=AP$5,$D214&lt;AP$5+7),"◆",""),IF(AND($D214&lt;AP$5+7,$E214&gt;AP$5),"■","")))</x:f>
      </x:c>
      <x:c r="AQ214" s="7" t="str">
        <x:f>IF(OR($D214="",AQ$5="",'상세일정'!AM214="제외"),"",IF($D214=$E214,IF(AND($D214&gt;=AQ$5,$D214&lt;AQ$5+7),"◆",""),IF(AND($D214&lt;AQ$5+7,$E214&gt;AQ$5),"■","")))</x:f>
      </x:c>
      <x:c r="AR214" s="7" t="str">
        <x:f>IF(OR($D214="",AR$5="",'상세일정'!AM214="제외"),"",IF($D214=$E214,IF(AND($D214&gt;=AR$5,$D214&lt;AR$5+7),"◆",""),IF(AND($D214&lt;AR$5+7,$E214&gt;AR$5),"■","")))</x:f>
      </x:c>
      <x:c r="AS214" s="7" t="str">
        <x:f>IF(OR($D214="",AS$5="",'상세일정'!AM214="제외"),"",IF($D214=$E214,IF(AND($D214&gt;=AS$5,$D214&lt;AS$5+7),"◆",""),IF(AND($D214&lt;AS$5+7,$E214&gt;AS$5),"■","")))</x:f>
      </x:c>
      <x:c r="AT214" s="7" t="str">
        <x:f>IF(OR($D214="",AT$5="",'상세일정'!AM214="제외"),"",IF($D214=$E214,IF(AND($D214&gt;=AT$5,$D214&lt;AT$5+7),"◆",""),IF(AND($D214&lt;AT$5+7,$E214&gt;AT$5),"■","")))</x:f>
      </x:c>
      <x:c r="AU214" s="7" t="str">
        <x:f>IF(OR($D214="",AU$5="",'상세일정'!AM214="제외"),"",IF($D214=$E214,IF(AND($D214&gt;=AU$5,$D214&lt;AU$5+7),"◆",""),IF(AND($D214&lt;AU$5+7,$E214&gt;AU$5),"■","")))</x:f>
      </x:c>
      <x:c r="AV214" s="7" t="str">
        <x:f>IF(OR($D214="",AV$5="",'상세일정'!AM214="제외"),"",IF($D214=$E214,IF(AND($D214&gt;=AV$5,$D214&lt;AV$5+7),"◆",""),IF(AND($D214&lt;AV$5+7,$E214&gt;AV$5),"■","")))</x:f>
      </x:c>
      <x:c r="AW214" s="7" t="str">
        <x:f>IF(OR($D214="",AW$5="",'상세일정'!AM214="제외"),"",IF($D214=$E214,IF(AND($D214&gt;=AW$5,$D214&lt;AW$5+7),"◆",""),IF(AND($D214&lt;AW$5+7,$E214&gt;AW$5),"■","")))</x:f>
      </x:c>
      <x:c r="AX214" s="7" t="str">
        <x:f>IF(OR($D214="",AX$5="",'상세일정'!AM214="제외"),"",IF($D214=$E214,IF(AND($D214&gt;=AX$5,$D214&lt;AX$5+7),"◆",""),IF(AND($D214&lt;AX$5+7,$E214&gt;AX$5),"■","")))</x:f>
      </x:c>
      <x:c r="AY214" s="7" t="str">
        <x:f>IF(OR($D214="",AY$5="",'상세일정'!AM214="제외"),"",IF($D214=$E214,IF(AND($D214&gt;=AY$5,$D214&lt;AY$5+7),"◆",""),IF(AND($D214&lt;AY$5+7,$E214&gt;AY$5),"■","")))</x:f>
      </x:c>
      <x:c r="AZ214" s="7" t="str">
        <x:f>IF(OR($D214="",AZ$5="",'상세일정'!AM214="제외"),"",IF($D214=$E214,IF(AND($D214&gt;=AZ$5,$D214&lt;AZ$5+7),"◆",""),IF(AND($D214&lt;AZ$5+7,$E214&gt;AZ$5),"■","")))</x:f>
      </x:c>
      <x:c r="BA214" s="7" t="str">
        <x:f>IF(OR($D214="",BA$5="",'상세일정'!AM214="제외"),"",IF($D214=$E214,IF(AND($D214&gt;=BA$5,$D214&lt;BA$5+7),"◆",""),IF(AND($D214&lt;BA$5+7,$E214&gt;BA$5),"■","")))</x:f>
      </x:c>
      <x:c r="BB214" s="7" t="str">
        <x:f>IF(OR($D214="",BB$5="",'상세일정'!AM214="제외"),"",IF($D214=$E214,IF(AND($D214&gt;=BB$5,$D214&lt;BB$5+7),"◆",""),IF(AND($D214&lt;BB$5+7,$E214&gt;BB$5),"■","")))</x:f>
      </x:c>
      <x:c r="BC214" s="7" t="str">
        <x:f>IF(OR($D214="",BC$5="",'상세일정'!AM214="제외"),"",IF($D214=$E214,IF(AND($D214&gt;=BC$5,$D214&lt;BC$5+7),"◆",""),IF(AND($D214&lt;BC$5+7,$E214&gt;BC$5),"■","")))</x:f>
      </x:c>
      <x:c r="BD214" s="7" t="str">
        <x:f>IF(OR($D214="",BD$5="",'상세일정'!AM214="제외"),"",IF($D214=$E214,IF(AND($D214&gt;=BD$5,$D214&lt;BD$5+7),"◆",""),IF(AND($D214&lt;BD$5+7,$E214&gt;BD$5),"■","")))</x:f>
      </x:c>
      <x:c r="BE214" s="7" t="str">
        <x:f>IF(OR($D214="",BE$5="",'상세일정'!AM214="제외"),"",IF($D214=$E214,IF(AND($D214&gt;=BE$5,$D214&lt;BE$5+7),"◆",""),IF(AND($D214&lt;BE$5+7,$E214&gt;BE$5),"■","")))</x:f>
      </x:c>
      <x:c r="BF214" s="7" t="str">
        <x:f>IF(OR($D214="",BF$5="",'상세일정'!AM214="제외"),"",IF($D214=$E214,IF(AND($D214&gt;=BF$5,$D214&lt;BF$5+7),"◆",""),IF(AND($D214&lt;BF$5+7,$E214&gt;BF$5),"■","")))</x:f>
      </x:c>
      <x:c r="BG214" s="7" t="str">
        <x:f>IF(OR($D214="",BG$5="",'상세일정'!AM214="제외"),"",IF($D214=$E214,IF(AND($D214&gt;=BG$5,$D214&lt;BG$5+7),"◆",""),IF(AND($D214&lt;BG$5+7,$E214&gt;BG$5),"■","")))</x:f>
      </x:c>
      <x:c r="BH214" s="7" t="str">
        <x:f>IF(OR($D214="",BH$5="",'상세일정'!AM214="제외"),"",IF($D214=$E214,IF(AND($D214&gt;=BH$5,$D214&lt;BH$5+7),"◆",""),IF(AND($D214&lt;BH$5+7,$E214&gt;BH$5),"■","")))</x:f>
      </x:c>
      <x:c r="BI214" s="7" t="str">
        <x:f>IF(OR($D214="",BI$5="",'상세일정'!AM214="제외"),"",IF($D214=$E214,IF(AND($D214&gt;=BI$5,$D214&lt;BI$5+7),"◆",""),IF(AND($D214&lt;BI$5+7,$E214&gt;BI$5),"■","")))</x:f>
      </x:c>
      <x:c r="BJ214" s="7" t="str">
        <x:f>IF(OR($D214="",BJ$5="",'상세일정'!AM214="제외"),"",IF($D214=$E214,IF(AND($D214&gt;=BJ$5,$D214&lt;BJ$5+7),"◆",""),IF(AND($D214&lt;BJ$5+7,$E214&gt;BJ$5),"■","")))</x:f>
      </x:c>
      <x:c r="BK214" s="7" t="str">
        <x:f>IF(OR($D214="",BK$5="",'상세일정'!AM214="제외"),"",IF($D214=$E214,IF(AND($D214&gt;=BK$5,$D214&lt;BK$5+7),"◆",""),IF(AND($D214&lt;BK$5+7,$E214&gt;BK$5),"■","")))</x:f>
      </x:c>
      <x:c r="BL214" s="7" t="str">
        <x:f>IF(OR($D214="",BL$5="",'상세일정'!AM214="제외"),"",IF($D214=$E214,IF(AND($D214&gt;=BL$5,$D214&lt;BL$5+7),"◆",""),IF(AND($D214&lt;BL$5+7,$E214&gt;BL$5),"■","")))</x:f>
      </x:c>
      <x:c r="BM214" s="7" t="str">
        <x:f>IF(OR($D214="",BM$5="",'상세일정'!AM214="제외"),"",IF($D214=$E214,IF(AND($D214&gt;=BM$5,$D214&lt;BM$5+7),"◆",""),IF(AND($D214&lt;BM$5+7,$E214&gt;BM$5),"■","")))</x:f>
      </x:c>
      <x:c r="BN214" s="7" t="str">
        <x:f>IF(OR($D214="",BN$5="",'상세일정'!AM214="제외"),"",IF($D214=$E214,IF(AND($D214&gt;=BN$5,$D214&lt;BN$5+7),"◆",""),IF(AND($D214&lt;BN$5+7,$E214&gt;BN$5),"■","")))</x:f>
      </x:c>
      <x:c r="BO214" s="7" t="str">
        <x:f>IF(OR($D214="",BO$5="",'상세일정'!AM214="제외"),"",IF($D214=$E214,IF(AND($D214&gt;=BO$5,$D214&lt;BO$5+7),"◆",""),IF(AND($D214&lt;BO$5+7,$E214&gt;BO$5),"■","")))</x:f>
      </x:c>
      <x:c r="BP214" s="7" t="str">
        <x:f>IF(OR($D214="",BP$5="",'상세일정'!AM214="제외"),"",IF($D214=$E214,IF(AND($D214&gt;=BP$5,$D214&lt;BP$5+7),"◆",""),IF(AND($D214&lt;BP$5+7,$E214&gt;BP$5),"■","")))</x:f>
      </x:c>
      <x:c r="BQ214" s="7" t="str">
        <x:f>IF(OR($D214="",BQ$5="",'상세일정'!AM214="제외"),"",IF($D214=$E214,IF(AND($D214&gt;=BQ$5,$D214&lt;BQ$5+7),"◆",""),IF(AND($D214&lt;BQ$5+7,$E214&gt;BQ$5),"■","")))</x:f>
      </x:c>
      <x:c r="BR214" s="7" t="str">
        <x:f>IF(OR($D214="",BR$5="",'상세일정'!AM214="제외"),"",IF($D214=$E214,IF(AND($D214&gt;=BR$5,$D214&lt;BR$5+7),"◆",""),IF(AND($D214&lt;BR$5+7,$E214&gt;BR$5),"■","")))</x:f>
      </x:c>
      <x:c r="BS214" s="7" t="str">
        <x:f>IF(OR($D214="",BS$5="",'상세일정'!AM214="제외"),"",IF($D214=$E214,IF(AND($D214&gt;=BS$5,$D214&lt;BS$5+7),"◆",""),IF(AND($D214&lt;BS$5+7,$E214&gt;BS$5),"■","")))</x:f>
      </x:c>
      <x:c r="BT214" s="7" t="str">
        <x:f>IF(OR($D214="",BT$5="",'상세일정'!AM214="제외"),"",IF($D214=$E214,IF(AND($D214&gt;=BT$5,$D214&lt;BT$5+7),"◆",""),IF(AND($D214&lt;BT$5+7,$E214&gt;BT$5),"■","")))</x:f>
      </x:c>
      <x:c r="BU214" s="7" t="str">
        <x:f>IF(OR($D214="",BU$5="",'상세일정'!AM214="제외"),"",IF($D214=$E214,IF(AND($D214&gt;=BU$5,$D214&lt;BU$5+7),"◆",""),IF(AND($D214&lt;BU$5+7,$E214&gt;BU$5),"■","")))</x:f>
      </x:c>
      <x:c r="BV214" s="7" t="str">
        <x:f>IF(OR($D214="",BV$5="",'상세일정'!AM214="제외"),"",IF($D214=$E214,IF(AND($D214&gt;=BV$5,$D214&lt;BV$5+7),"◆",""),IF(AND($D214&lt;BV$5+7,$E214&gt;BV$5),"■","")))</x:f>
      </x:c>
      <x:c r="BW214" s="7" t="str">
        <x:f>IF(OR($D214="",BW$5="",'상세일정'!AM214="제외"),"",IF($D214=$E214,IF(AND($D214&gt;=BW$5,$D214&lt;BW$5+7),"◆",""),IF(AND($D214&lt;BW$5+7,$E214&gt;BW$5),"■","")))</x:f>
      </x:c>
      <x:c r="BX214" s="7" t="str">
        <x:f>IF(OR($D214="",BX$5="",'상세일정'!AM214="제외"),"",IF($D214=$E214,IF(AND($D214&gt;=BX$5,$D214&lt;BX$5+7),"◆",""),IF(AND($D214&lt;BX$5+7,$E214&gt;BX$5),"■","")))</x:f>
      </x:c>
      <x:c r="BY214" s="7" t="str">
        <x:f>IF(OR($D214="",BY$5="",'상세일정'!AM214="제외"),"",IF($D214=$E214,IF(AND($D214&gt;=BY$5,$D214&lt;BY$5+7),"◆",""),IF(AND($D214&lt;BY$5+7,$E214&gt;BY$5),"■","")))</x:f>
      </x:c>
      <x:c r="BZ214" s="7" t="str">
        <x:f>IF(OR($D214="",BZ$5="",'상세일정'!AM214="제외"),"",IF($D214=$E214,IF(AND($D214&gt;=BZ$5,$D214&lt;BZ$5+7),"◆",""),IF(AND($D214&lt;BZ$5+7,$E214&gt;BZ$5),"■","")))</x:f>
      </x:c>
      <x:c r="CA214" s="7" t="str">
        <x:f>IF(OR($D214="",CA$5="",'상세일정'!AM214="제외"),"",IF($D214=$E214,IF(AND($D214&gt;=CA$5,$D214&lt;CA$5+7),"◆",""),IF(AND($D214&lt;CA$5+7,$E214&gt;CA$5),"■","")))</x:f>
      </x:c>
      <x:c r="CB214" s="7" t="str">
        <x:f>IF(OR($D214="",CB$5="",'상세일정'!AM214="제외"),"",IF($D214=$E214,IF(AND($D214&gt;=CB$5,$D214&lt;CB$5+7),"◆",""),IF(AND($D214&lt;CB$5+7,$E214&gt;CB$5),"■","")))</x:f>
      </x:c>
      <x:c r="CC214" s="7" t="str">
        <x:f>IF(OR($D214="",CC$5="",'상세일정'!AM214="제외"),"",IF($D214=$E214,IF(AND($D214&gt;=CC$5,$D214&lt;CC$5+7),"◆",""),IF(AND($D214&lt;CC$5+7,$E214&gt;CC$5),"■","")))</x:f>
      </x:c>
      <x:c r="CD214" s="7" t="str">
        <x:f>IF(OR($D214="",CD$5="",'상세일정'!AM214="제외"),"",IF($D214=$E214,IF(AND($D214&gt;=CD$5,$D214&lt;CD$5+7),"◆",""),IF(AND($D214&lt;CD$5+7,$E214&gt;CD$5),"■","")))</x:f>
      </x:c>
      <x:c r="CE214" s="7" t="str">
        <x:f>IF(OR($D214="",CE$5="",'상세일정'!AM214="제외"),"",IF($D214=$E214,IF(AND($D214&gt;=CE$5,$D214&lt;CE$5+7),"◆",""),IF(AND($D214&lt;CE$5+7,$E214&gt;CE$5),"■","")))</x:f>
      </x:c>
      <x:c r="CF214" s="7" t="str">
        <x:f>IF(OR($D214="",CF$5="",'상세일정'!AM214="제외"),"",IF($D214=$E214,IF(AND($D214&gt;=CF$5,$D214&lt;CF$5+7),"◆",""),IF(AND($D214&lt;CF$5+7,$E214&gt;CF$5),"■","")))</x:f>
      </x:c>
      <x:c r="CG214" s="7" t="str">
        <x:f>IF(OR($D214="",CG$5="",'상세일정'!AM214="제외"),"",IF($D214=$E214,IF(AND($D214&gt;=CG$5,$D214&lt;CG$5+7),"◆",""),IF(AND($D214&lt;CG$5+7,$E214&gt;CG$5),"■","")))</x:f>
      </x:c>
      <x:c r="CH214" s="7" t="str">
        <x:f>IF(OR($D214="",CH$5="",'상세일정'!AM214="제외"),"",IF($D214=$E214,IF(AND($D214&gt;=CH$5,$D214&lt;CH$5+7),"◆",""),IF(AND($D214&lt;CH$5+7,$E214&gt;CH$5),"■","")))</x:f>
      </x:c>
      <x:c r="CI214" s="7" t="str">
        <x:f>IF(OR($D214="",CI$5="",'상세일정'!AM214="제외"),"",IF($D214=$E214,IF(AND($D214&gt;=CI$5,$D214&lt;CI$5+7),"◆",""),IF(AND($D214&lt;CI$5+7,$E214&gt;CI$5),"■","")))</x:f>
      </x:c>
      <x:c r="CJ214" s="7" t="str">
        <x:f>IF(OR($D214="",CJ$5="",'상세일정'!AM214="제외"),"",IF($D214=$E214,IF(AND($D214&gt;=CJ$5,$D214&lt;CJ$5+7),"◆",""),IF(AND($D214&lt;CJ$5+7,$E214&gt;CJ$5),"■","")))</x:f>
      </x:c>
      <x:c r="CK214" s="7" t="str">
        <x:f>IF(OR($D214="",CK$5="",'상세일정'!AM214="제외"),"",IF($D214=$E214,IF(AND($D214&gt;=CK$5,$D214&lt;CK$5+7),"◆",""),IF(AND($D214&lt;CK$5+7,$E214&gt;CK$5),"■","")))</x:f>
      </x:c>
      <x:c r="CL214" s="7" t="str">
        <x:f>IF(OR($D214="",CL$5="",'상세일정'!AM214="제외"),"",IF($D214=$E214,IF(AND($D214&gt;=CL$5,$D214&lt;CL$5+7),"◆",""),IF(AND($D214&lt;CL$5+7,$E214&gt;CL$5),"■","")))</x:f>
      </x:c>
      <x:c r="CM214" s="7" t="str">
        <x:f>IF(OR($D214="",CM$5="",'상세일정'!AM214="제외"),"",IF($D214=$E214,IF(AND($D214&gt;=CM$5,$D214&lt;CM$5+7),"◆",""),IF(AND($D214&lt;CM$5+7,$E214&gt;CM$5),"■","")))</x:f>
      </x:c>
      <x:c r="CN214" s="7" t="str">
        <x:f>IF(OR($D214="",CN$5="",'상세일정'!AM214="제외"),"",IF($D214=$E214,IF(AND($D214&gt;=CN$5,$D214&lt;CN$5+7),"◆",""),IF(AND($D214&lt;CN$5+7,$E214&gt;CN$5),"■","")))</x:f>
      </x:c>
      <x:c r="CO214" s="7" t="str">
        <x:f>IF(OR($D214="",CO$5="",'상세일정'!AM214="제외"),"",IF($D214=$E214,IF(AND($D214&gt;=CO$5,$D214&lt;CO$5+7),"◆",""),IF(AND($D214&lt;CO$5+7,$E214&gt;CO$5),"■","")))</x:f>
      </x:c>
      <x:c r="CP214" s="7" t="str">
        <x:f>IF(OR($D214="",CP$5="",'상세일정'!AM214="제외"),"",IF($D214=$E214,IF(AND($D214&gt;=CP$5,$D214&lt;CP$5+7),"◆",""),IF(AND($D214&lt;CP$5+7,$E214&gt;CP$5),"■","")))</x:f>
      </x:c>
      <x:c r="CQ214" s="7" t="str">
        <x:f>IF(OR($D214="",CQ$5="",'상세일정'!AM214="제외"),"",IF($D214=$E214,IF(AND($D214&gt;=CQ$5,$D214&lt;CQ$5+7),"◆",""),IF(AND($D214&lt;CQ$5+7,$E214&gt;CQ$5),"■","")))</x:f>
      </x:c>
      <x:c r="CR214" s="7" t="str">
        <x:f>IF(OR($D214="",CR$5="",'상세일정'!AM214="제외"),"",IF($D214=$E214,IF(AND($D214&gt;=CR$5,$D214&lt;CR$5+7),"◆",""),IF(AND($D214&lt;CR$5+7,$E214&gt;CR$5),"■","")))</x:f>
      </x:c>
      <x:c r="CS214" s="7" t="str">
        <x:f>IF(OR($D214="",CS$5="",'상세일정'!AM214="제외"),"",IF($D214=$E214,IF(AND($D214&gt;=CS$5,$D214&lt;CS$5+7),"◆",""),IF(AND($D214&lt;CS$5+7,$E214&gt;CS$5),"■","")))</x:f>
      </x:c>
      <x:c r="CT214" s="7" t="str">
        <x:f>IF(OR($D214="",CT$5="",'상세일정'!AM214="제외"),"",IF($D214=$E214,IF(AND($D214&gt;=CT$5,$D214&lt;CT$5+7),"◆",""),IF(AND($D214&lt;CT$5+7,$E214&gt;CT$5),"■","")))</x:f>
      </x:c>
      <x:c r="CU214" s="7" t="str">
        <x:f>IF(OR($D214="",CU$5="",'상세일정'!AM214="제외"),"",IF($D214=$E214,IF(AND($D214&gt;=CU$5,$D214&lt;CU$5+7),"◆",""),IF(AND($D214&lt;CU$5+7,$E214&gt;CU$5),"■","")))</x:f>
      </x:c>
      <x:c r="CV214" s="7" t="str">
        <x:f>IF(OR($D214="",CV$5="",'상세일정'!AM214="제외"),"",IF($D214=$E214,IF(AND($D214&gt;=CV$5,$D214&lt;CV$5+7),"◆",""),IF(AND($D214&lt;CV$5+7,$E214&gt;CV$5),"■","")))</x:f>
      </x:c>
      <x:c r="CW214" s="7" t="str">
        <x:f>IF(OR($D214="",CW$5="",'상세일정'!AM214="제외"),"",IF($D214=$E214,IF(AND($D214&gt;=CW$5,$D214&lt;CW$5+7),"◆",""),IF(AND($D214&lt;CW$5+7,$E214&gt;CW$5),"■","")))</x:f>
      </x:c>
      <x:c r="CX214" s="7" t="str">
        <x:f>IF(OR($D214="",CX$5="",'상세일정'!AM214="제외"),"",IF($D214=$E214,IF(AND($D214&gt;=CX$5,$D214&lt;CX$5+7),"◆",""),IF(AND($D214&lt;CX$5+7,$E214&gt;CX$5),"■","")))</x:f>
      </x:c>
      <x:c r="CY214" s="7" t="str">
        <x:f>IF(OR($D214="",CY$5="",'상세일정'!AM214="제외"),"",IF($D214=$E214,IF(AND($D214&gt;=CY$5,$D214&lt;CY$5+7),"◆",""),IF(AND($D214&lt;CY$5+7,$E214&gt;CY$5),"■","")))</x:f>
      </x:c>
      <x:c r="CZ214" s="7" t="str">
        <x:f>IF(OR($D214="",CZ$5="",'상세일정'!AM214="제외"),"",IF($D214=$E214,IF(AND($D214&gt;=CZ$5,$D214&lt;CZ$5+7),"◆",""),IF(AND($D214&lt;CZ$5+7,$E214&gt;CZ$5),"■","")))</x:f>
      </x:c>
      <x:c r="DA214" s="7" t="str">
        <x:f>IF(OR($D214="",DA$5="",'상세일정'!AM214="제외"),"",IF($D214=$E214,IF(AND($D214&gt;=DA$5,$D214&lt;DA$5+7),"◆",""),IF(AND($D214&lt;DA$5+7,$E214&gt;DA$5),"■","")))</x:f>
      </x:c>
      <x:c r="DB214" s="7" t="str">
        <x:f>IF(OR($D214="",DB$5="",'상세일정'!AM214="제외"),"",IF($D214=$E214,IF(AND($D214&gt;=DB$5,$D214&lt;DB$5+7),"◆",""),IF(AND($D214&lt;DB$5+7,$E214&gt;DB$5),"■","")))</x:f>
      </x:c>
      <x:c r="DC214" s="7" t="str">
        <x:f>IF(OR($D214="",DC$5="",'상세일정'!AM214="제외"),"",IF($D214=$E214,IF(AND($D214&gt;=DC$5,$D214&lt;DC$5+7),"◆",""),IF(AND($D214&lt;DC$5+7,$E214&gt;DC$5),"■","")))</x:f>
      </x:c>
      <x:c r="DD214" s="7" t="str">
        <x:f>IF(OR($D214="",DD$5="",'상세일정'!AM214="제외"),"",IF($D214=$E214,IF(AND($D214&gt;=DD$5,$D214&lt;DD$5+7),"◆",""),IF(AND($D214&lt;DD$5+7,$E214&gt;DD$5),"■","")))</x:f>
      </x:c>
      <x:c r="DE214" s="7" t="str">
        <x:f>IF(OR($D214="",DE$5="",'상세일정'!AM214="제외"),"",IF($D214=$E214,IF(AND($D214&gt;=DE$5,$D214&lt;DE$5+7),"◆",""),IF(AND($D214&lt;DE$5+7,$E214&gt;DE$5),"■","")))</x:f>
      </x:c>
    </x:row>
    <x:row r="215" ht="34" customHeight="1">
      <x:c r="A215" s="7" t="str">
        <x:v>TI01</x:v>
      </x:c>
      <x:c r="B215" s="7" t="str">
        <x:v>24 수전·유틸리티 인입</x:v>
      </x:c>
      <x:c r="C215" s="7" t="str">
        <x:v>원료가스·용수·하수·통신 인입공사 협의</x:v>
      </x:c>
      <x:c r="D215" s="10" t="str">
        <x:f>'상세일정'!AJ215</x:f>
      </x:c>
      <x:c r="E215" s="10" t="str">
        <x:f>'상세일정'!AK215</x:f>
      </x:c>
      <x:c r="F215" s="7" t="str">
        <x:f>IF(OR($D215="",F$5="",'상세일정'!AM215="제외"),"",IF($D215=$E215,IF(AND($D215&gt;=F$5,$D215&lt;F$5+7),"◆",""),IF(AND($D215&lt;F$5+7,$E215&gt;F$5),"■","")))</x:f>
      </x:c>
      <x:c r="G215" s="7" t="str">
        <x:f>IF(OR($D215="",G$5="",'상세일정'!AM215="제외"),"",IF($D215=$E215,IF(AND($D215&gt;=G$5,$D215&lt;G$5+7),"◆",""),IF(AND($D215&lt;G$5+7,$E215&gt;G$5),"■","")))</x:f>
      </x:c>
      <x:c r="H215" s="7" t="str">
        <x:f>IF(OR($D215="",H$5="",'상세일정'!AM215="제외"),"",IF($D215=$E215,IF(AND($D215&gt;=H$5,$D215&lt;H$5+7),"◆",""),IF(AND($D215&lt;H$5+7,$E215&gt;H$5),"■","")))</x:f>
      </x:c>
      <x:c r="I215" s="7" t="str">
        <x:f>IF(OR($D215="",I$5="",'상세일정'!AM215="제외"),"",IF($D215=$E215,IF(AND($D215&gt;=I$5,$D215&lt;I$5+7),"◆",""),IF(AND($D215&lt;I$5+7,$E215&gt;I$5),"■","")))</x:f>
      </x:c>
      <x:c r="J215" s="7" t="str">
        <x:f>IF(OR($D215="",J$5="",'상세일정'!AM215="제외"),"",IF($D215=$E215,IF(AND($D215&gt;=J$5,$D215&lt;J$5+7),"◆",""),IF(AND($D215&lt;J$5+7,$E215&gt;J$5),"■","")))</x:f>
      </x:c>
      <x:c r="K215" s="7" t="str">
        <x:f>IF(OR($D215="",K$5="",'상세일정'!AM215="제외"),"",IF($D215=$E215,IF(AND($D215&gt;=K$5,$D215&lt;K$5+7),"◆",""),IF(AND($D215&lt;K$5+7,$E215&gt;K$5),"■","")))</x:f>
      </x:c>
      <x:c r="L215" s="7" t="str">
        <x:f>IF(OR($D215="",L$5="",'상세일정'!AM215="제외"),"",IF($D215=$E215,IF(AND($D215&gt;=L$5,$D215&lt;L$5+7),"◆",""),IF(AND($D215&lt;L$5+7,$E215&gt;L$5),"■","")))</x:f>
      </x:c>
      <x:c r="M215" s="7" t="str">
        <x:f>IF(OR($D215="",M$5="",'상세일정'!AM215="제외"),"",IF($D215=$E215,IF(AND($D215&gt;=M$5,$D215&lt;M$5+7),"◆",""),IF(AND($D215&lt;M$5+7,$E215&gt;M$5),"■","")))</x:f>
      </x:c>
      <x:c r="N215" s="7" t="str">
        <x:f>IF(OR($D215="",N$5="",'상세일정'!AM215="제외"),"",IF($D215=$E215,IF(AND($D215&gt;=N$5,$D215&lt;N$5+7),"◆",""),IF(AND($D215&lt;N$5+7,$E215&gt;N$5),"■","")))</x:f>
      </x:c>
      <x:c r="O215" s="7" t="str">
        <x:f>IF(OR($D215="",O$5="",'상세일정'!AM215="제외"),"",IF($D215=$E215,IF(AND($D215&gt;=O$5,$D215&lt;O$5+7),"◆",""),IF(AND($D215&lt;O$5+7,$E215&gt;O$5),"■","")))</x:f>
      </x:c>
      <x:c r="P215" s="7" t="str">
        <x:f>IF(OR($D215="",P$5="",'상세일정'!AM215="제외"),"",IF($D215=$E215,IF(AND($D215&gt;=P$5,$D215&lt;P$5+7),"◆",""),IF(AND($D215&lt;P$5+7,$E215&gt;P$5),"■","")))</x:f>
      </x:c>
      <x:c r="Q215" s="7" t="str">
        <x:f>IF(OR($D215="",Q$5="",'상세일정'!AM215="제외"),"",IF($D215=$E215,IF(AND($D215&gt;=Q$5,$D215&lt;Q$5+7),"◆",""),IF(AND($D215&lt;Q$5+7,$E215&gt;Q$5),"■","")))</x:f>
      </x:c>
      <x:c r="R215" s="7" t="str">
        <x:f>IF(OR($D215="",R$5="",'상세일정'!AM215="제외"),"",IF($D215=$E215,IF(AND($D215&gt;=R$5,$D215&lt;R$5+7),"◆",""),IF(AND($D215&lt;R$5+7,$E215&gt;R$5),"■","")))</x:f>
      </x:c>
      <x:c r="S215" s="7" t="str">
        <x:f>IF(OR($D215="",S$5="",'상세일정'!AM215="제외"),"",IF($D215=$E215,IF(AND($D215&gt;=S$5,$D215&lt;S$5+7),"◆",""),IF(AND($D215&lt;S$5+7,$E215&gt;S$5),"■","")))</x:f>
      </x:c>
      <x:c r="T215" s="7" t="str">
        <x:f>IF(OR($D215="",T$5="",'상세일정'!AM215="제외"),"",IF($D215=$E215,IF(AND($D215&gt;=T$5,$D215&lt;T$5+7),"◆",""),IF(AND($D215&lt;T$5+7,$E215&gt;T$5),"■","")))</x:f>
      </x:c>
      <x:c r="U215" s="7" t="str">
        <x:f>IF(OR($D215="",U$5="",'상세일정'!AM215="제외"),"",IF($D215=$E215,IF(AND($D215&gt;=U$5,$D215&lt;U$5+7),"◆",""),IF(AND($D215&lt;U$5+7,$E215&gt;U$5),"■","")))</x:f>
      </x:c>
      <x:c r="V215" s="7" t="str">
        <x:f>IF(OR($D215="",V$5="",'상세일정'!AM215="제외"),"",IF($D215=$E215,IF(AND($D215&gt;=V$5,$D215&lt;V$5+7),"◆",""),IF(AND($D215&lt;V$5+7,$E215&gt;V$5),"■","")))</x:f>
      </x:c>
      <x:c r="W215" s="7" t="str">
        <x:f>IF(OR($D215="",W$5="",'상세일정'!AM215="제외"),"",IF($D215=$E215,IF(AND($D215&gt;=W$5,$D215&lt;W$5+7),"◆",""),IF(AND($D215&lt;W$5+7,$E215&gt;W$5),"■","")))</x:f>
      </x:c>
      <x:c r="X215" s="7" t="str">
        <x:f>IF(OR($D215="",X$5="",'상세일정'!AM215="제외"),"",IF($D215=$E215,IF(AND($D215&gt;=X$5,$D215&lt;X$5+7),"◆",""),IF(AND($D215&lt;X$5+7,$E215&gt;X$5),"■","")))</x:f>
      </x:c>
      <x:c r="Y215" s="7" t="str">
        <x:f>IF(OR($D215="",Y$5="",'상세일정'!AM215="제외"),"",IF($D215=$E215,IF(AND($D215&gt;=Y$5,$D215&lt;Y$5+7),"◆",""),IF(AND($D215&lt;Y$5+7,$E215&gt;Y$5),"■","")))</x:f>
      </x:c>
      <x:c r="Z215" s="7" t="str">
        <x:f>IF(OR($D215="",Z$5="",'상세일정'!AM215="제외"),"",IF($D215=$E215,IF(AND($D215&gt;=Z$5,$D215&lt;Z$5+7),"◆",""),IF(AND($D215&lt;Z$5+7,$E215&gt;Z$5),"■","")))</x:f>
      </x:c>
      <x:c r="AA215" s="7" t="str">
        <x:f>IF(OR($D215="",AA$5="",'상세일정'!AM215="제외"),"",IF($D215=$E215,IF(AND($D215&gt;=AA$5,$D215&lt;AA$5+7),"◆",""),IF(AND($D215&lt;AA$5+7,$E215&gt;AA$5),"■","")))</x:f>
      </x:c>
      <x:c r="AB215" s="7" t="str">
        <x:f>IF(OR($D215="",AB$5="",'상세일정'!AM215="제외"),"",IF($D215=$E215,IF(AND($D215&gt;=AB$5,$D215&lt;AB$5+7),"◆",""),IF(AND($D215&lt;AB$5+7,$E215&gt;AB$5),"■","")))</x:f>
      </x:c>
      <x:c r="AC215" s="7" t="str">
        <x:f>IF(OR($D215="",AC$5="",'상세일정'!AM215="제외"),"",IF($D215=$E215,IF(AND($D215&gt;=AC$5,$D215&lt;AC$5+7),"◆",""),IF(AND($D215&lt;AC$5+7,$E215&gt;AC$5),"■","")))</x:f>
      </x:c>
      <x:c r="AD215" s="7" t="str">
        <x:f>IF(OR($D215="",AD$5="",'상세일정'!AM215="제외"),"",IF($D215=$E215,IF(AND($D215&gt;=AD$5,$D215&lt;AD$5+7),"◆",""),IF(AND($D215&lt;AD$5+7,$E215&gt;AD$5),"■","")))</x:f>
      </x:c>
      <x:c r="AE215" s="7" t="str">
        <x:f>IF(OR($D215="",AE$5="",'상세일정'!AM215="제외"),"",IF($D215=$E215,IF(AND($D215&gt;=AE$5,$D215&lt;AE$5+7),"◆",""),IF(AND($D215&lt;AE$5+7,$E215&gt;AE$5),"■","")))</x:f>
      </x:c>
      <x:c r="AF215" s="7" t="str">
        <x:f>IF(OR($D215="",AF$5="",'상세일정'!AM215="제외"),"",IF($D215=$E215,IF(AND($D215&gt;=AF$5,$D215&lt;AF$5+7),"◆",""),IF(AND($D215&lt;AF$5+7,$E215&gt;AF$5),"■","")))</x:f>
      </x:c>
      <x:c r="AG215" s="7" t="str">
        <x:f>IF(OR($D215="",AG$5="",'상세일정'!AM215="제외"),"",IF($D215=$E215,IF(AND($D215&gt;=AG$5,$D215&lt;AG$5+7),"◆",""),IF(AND($D215&lt;AG$5+7,$E215&gt;AG$5),"■","")))</x:f>
      </x:c>
      <x:c r="AH215" s="7" t="str">
        <x:f>IF(OR($D215="",AH$5="",'상세일정'!AM215="제외"),"",IF($D215=$E215,IF(AND($D215&gt;=AH$5,$D215&lt;AH$5+7),"◆",""),IF(AND($D215&lt;AH$5+7,$E215&gt;AH$5),"■","")))</x:f>
      </x:c>
      <x:c r="AI215" s="7" t="str">
        <x:f>IF(OR($D215="",AI$5="",'상세일정'!AM215="제외"),"",IF($D215=$E215,IF(AND($D215&gt;=AI$5,$D215&lt;AI$5+7),"◆",""),IF(AND($D215&lt;AI$5+7,$E215&gt;AI$5),"■","")))</x:f>
      </x:c>
      <x:c r="AJ215" s="7" t="str">
        <x:f>IF(OR($D215="",AJ$5="",'상세일정'!AM215="제외"),"",IF($D215=$E215,IF(AND($D215&gt;=AJ$5,$D215&lt;AJ$5+7),"◆",""),IF(AND($D215&lt;AJ$5+7,$E215&gt;AJ$5),"■","")))</x:f>
      </x:c>
      <x:c r="AK215" s="7" t="str">
        <x:f>IF(OR($D215="",AK$5="",'상세일정'!AM215="제외"),"",IF($D215=$E215,IF(AND($D215&gt;=AK$5,$D215&lt;AK$5+7),"◆",""),IF(AND($D215&lt;AK$5+7,$E215&gt;AK$5),"■","")))</x:f>
      </x:c>
      <x:c r="AL215" s="7" t="str">
        <x:f>IF(OR($D215="",AL$5="",'상세일정'!AM215="제외"),"",IF($D215=$E215,IF(AND($D215&gt;=AL$5,$D215&lt;AL$5+7),"◆",""),IF(AND($D215&lt;AL$5+7,$E215&gt;AL$5),"■","")))</x:f>
      </x:c>
      <x:c r="AM215" s="7" t="str">
        <x:f>IF(OR($D215="",AM$5="",'상세일정'!AM215="제외"),"",IF($D215=$E215,IF(AND($D215&gt;=AM$5,$D215&lt;AM$5+7),"◆",""),IF(AND($D215&lt;AM$5+7,$E215&gt;AM$5),"■","")))</x:f>
      </x:c>
      <x:c r="AN215" s="7" t="str">
        <x:f>IF(OR($D215="",AN$5="",'상세일정'!AM215="제외"),"",IF($D215=$E215,IF(AND($D215&gt;=AN$5,$D215&lt;AN$5+7),"◆",""),IF(AND($D215&lt;AN$5+7,$E215&gt;AN$5),"■","")))</x:f>
      </x:c>
      <x:c r="AO215" s="7" t="str">
        <x:f>IF(OR($D215="",AO$5="",'상세일정'!AM215="제외"),"",IF($D215=$E215,IF(AND($D215&gt;=AO$5,$D215&lt;AO$5+7),"◆",""),IF(AND($D215&lt;AO$5+7,$E215&gt;AO$5),"■","")))</x:f>
      </x:c>
      <x:c r="AP215" s="7" t="str">
        <x:f>IF(OR($D215="",AP$5="",'상세일정'!AM215="제외"),"",IF($D215=$E215,IF(AND($D215&gt;=AP$5,$D215&lt;AP$5+7),"◆",""),IF(AND($D215&lt;AP$5+7,$E215&gt;AP$5),"■","")))</x:f>
      </x:c>
      <x:c r="AQ215" s="7" t="str">
        <x:f>IF(OR($D215="",AQ$5="",'상세일정'!AM215="제외"),"",IF($D215=$E215,IF(AND($D215&gt;=AQ$5,$D215&lt;AQ$5+7),"◆",""),IF(AND($D215&lt;AQ$5+7,$E215&gt;AQ$5),"■","")))</x:f>
      </x:c>
      <x:c r="AR215" s="7" t="str">
        <x:f>IF(OR($D215="",AR$5="",'상세일정'!AM215="제외"),"",IF($D215=$E215,IF(AND($D215&gt;=AR$5,$D215&lt;AR$5+7),"◆",""),IF(AND($D215&lt;AR$5+7,$E215&gt;AR$5),"■","")))</x:f>
      </x:c>
      <x:c r="AS215" s="7" t="str">
        <x:f>IF(OR($D215="",AS$5="",'상세일정'!AM215="제외"),"",IF($D215=$E215,IF(AND($D215&gt;=AS$5,$D215&lt;AS$5+7),"◆",""),IF(AND($D215&lt;AS$5+7,$E215&gt;AS$5),"■","")))</x:f>
      </x:c>
      <x:c r="AT215" s="7" t="str">
        <x:f>IF(OR($D215="",AT$5="",'상세일정'!AM215="제외"),"",IF($D215=$E215,IF(AND($D215&gt;=AT$5,$D215&lt;AT$5+7),"◆",""),IF(AND($D215&lt;AT$5+7,$E215&gt;AT$5),"■","")))</x:f>
      </x:c>
      <x:c r="AU215" s="7" t="str">
        <x:f>IF(OR($D215="",AU$5="",'상세일정'!AM215="제외"),"",IF($D215=$E215,IF(AND($D215&gt;=AU$5,$D215&lt;AU$5+7),"◆",""),IF(AND($D215&lt;AU$5+7,$E215&gt;AU$5),"■","")))</x:f>
      </x:c>
      <x:c r="AV215" s="7" t="str">
        <x:f>IF(OR($D215="",AV$5="",'상세일정'!AM215="제외"),"",IF($D215=$E215,IF(AND($D215&gt;=AV$5,$D215&lt;AV$5+7),"◆",""),IF(AND($D215&lt;AV$5+7,$E215&gt;AV$5),"■","")))</x:f>
      </x:c>
      <x:c r="AW215" s="7" t="str">
        <x:f>IF(OR($D215="",AW$5="",'상세일정'!AM215="제외"),"",IF($D215=$E215,IF(AND($D215&gt;=AW$5,$D215&lt;AW$5+7),"◆",""),IF(AND($D215&lt;AW$5+7,$E215&gt;AW$5),"■","")))</x:f>
      </x:c>
      <x:c r="AX215" s="7" t="str">
        <x:f>IF(OR($D215="",AX$5="",'상세일정'!AM215="제외"),"",IF($D215=$E215,IF(AND($D215&gt;=AX$5,$D215&lt;AX$5+7),"◆",""),IF(AND($D215&lt;AX$5+7,$E215&gt;AX$5),"■","")))</x:f>
      </x:c>
      <x:c r="AY215" s="7" t="str">
        <x:f>IF(OR($D215="",AY$5="",'상세일정'!AM215="제외"),"",IF($D215=$E215,IF(AND($D215&gt;=AY$5,$D215&lt;AY$5+7),"◆",""),IF(AND($D215&lt;AY$5+7,$E215&gt;AY$5),"■","")))</x:f>
      </x:c>
      <x:c r="AZ215" s="7" t="str">
        <x:f>IF(OR($D215="",AZ$5="",'상세일정'!AM215="제외"),"",IF($D215=$E215,IF(AND($D215&gt;=AZ$5,$D215&lt;AZ$5+7),"◆",""),IF(AND($D215&lt;AZ$5+7,$E215&gt;AZ$5),"■","")))</x:f>
      </x:c>
      <x:c r="BA215" s="7" t="str">
        <x:f>IF(OR($D215="",BA$5="",'상세일정'!AM215="제외"),"",IF($D215=$E215,IF(AND($D215&gt;=BA$5,$D215&lt;BA$5+7),"◆",""),IF(AND($D215&lt;BA$5+7,$E215&gt;BA$5),"■","")))</x:f>
      </x:c>
      <x:c r="BB215" s="7" t="str">
        <x:f>IF(OR($D215="",BB$5="",'상세일정'!AM215="제외"),"",IF($D215=$E215,IF(AND($D215&gt;=BB$5,$D215&lt;BB$5+7),"◆",""),IF(AND($D215&lt;BB$5+7,$E215&gt;BB$5),"■","")))</x:f>
      </x:c>
      <x:c r="BC215" s="7" t="str">
        <x:f>IF(OR($D215="",BC$5="",'상세일정'!AM215="제외"),"",IF($D215=$E215,IF(AND($D215&gt;=BC$5,$D215&lt;BC$5+7),"◆",""),IF(AND($D215&lt;BC$5+7,$E215&gt;BC$5),"■","")))</x:f>
      </x:c>
      <x:c r="BD215" s="7" t="str">
        <x:f>IF(OR($D215="",BD$5="",'상세일정'!AM215="제외"),"",IF($D215=$E215,IF(AND($D215&gt;=BD$5,$D215&lt;BD$5+7),"◆",""),IF(AND($D215&lt;BD$5+7,$E215&gt;BD$5),"■","")))</x:f>
      </x:c>
      <x:c r="BE215" s="7" t="str">
        <x:f>IF(OR($D215="",BE$5="",'상세일정'!AM215="제외"),"",IF($D215=$E215,IF(AND($D215&gt;=BE$5,$D215&lt;BE$5+7),"◆",""),IF(AND($D215&lt;BE$5+7,$E215&gt;BE$5),"■","")))</x:f>
      </x:c>
      <x:c r="BF215" s="7" t="str">
        <x:f>IF(OR($D215="",BF$5="",'상세일정'!AM215="제외"),"",IF($D215=$E215,IF(AND($D215&gt;=BF$5,$D215&lt;BF$5+7),"◆",""),IF(AND($D215&lt;BF$5+7,$E215&gt;BF$5),"■","")))</x:f>
      </x:c>
      <x:c r="BG215" s="7" t="str">
        <x:f>IF(OR($D215="",BG$5="",'상세일정'!AM215="제외"),"",IF($D215=$E215,IF(AND($D215&gt;=BG$5,$D215&lt;BG$5+7),"◆",""),IF(AND($D215&lt;BG$5+7,$E215&gt;BG$5),"■","")))</x:f>
      </x:c>
      <x:c r="BH215" s="7" t="str">
        <x:f>IF(OR($D215="",BH$5="",'상세일정'!AM215="제외"),"",IF($D215=$E215,IF(AND($D215&gt;=BH$5,$D215&lt;BH$5+7),"◆",""),IF(AND($D215&lt;BH$5+7,$E215&gt;BH$5),"■","")))</x:f>
      </x:c>
      <x:c r="BI215" s="7" t="str">
        <x:f>IF(OR($D215="",BI$5="",'상세일정'!AM215="제외"),"",IF($D215=$E215,IF(AND($D215&gt;=BI$5,$D215&lt;BI$5+7),"◆",""),IF(AND($D215&lt;BI$5+7,$E215&gt;BI$5),"■","")))</x:f>
      </x:c>
      <x:c r="BJ215" s="7" t="str">
        <x:f>IF(OR($D215="",BJ$5="",'상세일정'!AM215="제외"),"",IF($D215=$E215,IF(AND($D215&gt;=BJ$5,$D215&lt;BJ$5+7),"◆",""),IF(AND($D215&lt;BJ$5+7,$E215&gt;BJ$5),"■","")))</x:f>
      </x:c>
      <x:c r="BK215" s="7" t="str">
        <x:f>IF(OR($D215="",BK$5="",'상세일정'!AM215="제외"),"",IF($D215=$E215,IF(AND($D215&gt;=BK$5,$D215&lt;BK$5+7),"◆",""),IF(AND($D215&lt;BK$5+7,$E215&gt;BK$5),"■","")))</x:f>
      </x:c>
      <x:c r="BL215" s="7" t="str">
        <x:f>IF(OR($D215="",BL$5="",'상세일정'!AM215="제외"),"",IF($D215=$E215,IF(AND($D215&gt;=BL$5,$D215&lt;BL$5+7),"◆",""),IF(AND($D215&lt;BL$5+7,$E215&gt;BL$5),"■","")))</x:f>
      </x:c>
      <x:c r="BM215" s="7" t="str">
        <x:f>IF(OR($D215="",BM$5="",'상세일정'!AM215="제외"),"",IF($D215=$E215,IF(AND($D215&gt;=BM$5,$D215&lt;BM$5+7),"◆",""),IF(AND($D215&lt;BM$5+7,$E215&gt;BM$5),"■","")))</x:f>
      </x:c>
      <x:c r="BN215" s="7" t="str">
        <x:f>IF(OR($D215="",BN$5="",'상세일정'!AM215="제외"),"",IF($D215=$E215,IF(AND($D215&gt;=BN$5,$D215&lt;BN$5+7),"◆",""),IF(AND($D215&lt;BN$5+7,$E215&gt;BN$5),"■","")))</x:f>
      </x:c>
      <x:c r="BO215" s="7" t="str">
        <x:f>IF(OR($D215="",BO$5="",'상세일정'!AM215="제외"),"",IF($D215=$E215,IF(AND($D215&gt;=BO$5,$D215&lt;BO$5+7),"◆",""),IF(AND($D215&lt;BO$5+7,$E215&gt;BO$5),"■","")))</x:f>
      </x:c>
      <x:c r="BP215" s="7" t="str">
        <x:f>IF(OR($D215="",BP$5="",'상세일정'!AM215="제외"),"",IF($D215=$E215,IF(AND($D215&gt;=BP$5,$D215&lt;BP$5+7),"◆",""),IF(AND($D215&lt;BP$5+7,$E215&gt;BP$5),"■","")))</x:f>
      </x:c>
      <x:c r="BQ215" s="7" t="str">
        <x:f>IF(OR($D215="",BQ$5="",'상세일정'!AM215="제외"),"",IF($D215=$E215,IF(AND($D215&gt;=BQ$5,$D215&lt;BQ$5+7),"◆",""),IF(AND($D215&lt;BQ$5+7,$E215&gt;BQ$5),"■","")))</x:f>
      </x:c>
      <x:c r="BR215" s="7" t="str">
        <x:f>IF(OR($D215="",BR$5="",'상세일정'!AM215="제외"),"",IF($D215=$E215,IF(AND($D215&gt;=BR$5,$D215&lt;BR$5+7),"◆",""),IF(AND($D215&lt;BR$5+7,$E215&gt;BR$5),"■","")))</x:f>
      </x:c>
      <x:c r="BS215" s="7" t="str">
        <x:f>IF(OR($D215="",BS$5="",'상세일정'!AM215="제외"),"",IF($D215=$E215,IF(AND($D215&gt;=BS$5,$D215&lt;BS$5+7),"◆",""),IF(AND($D215&lt;BS$5+7,$E215&gt;BS$5),"■","")))</x:f>
      </x:c>
      <x:c r="BT215" s="7" t="str">
        <x:f>IF(OR($D215="",BT$5="",'상세일정'!AM215="제외"),"",IF($D215=$E215,IF(AND($D215&gt;=BT$5,$D215&lt;BT$5+7),"◆",""),IF(AND($D215&lt;BT$5+7,$E215&gt;BT$5),"■","")))</x:f>
      </x:c>
      <x:c r="BU215" s="7" t="str">
        <x:f>IF(OR($D215="",BU$5="",'상세일정'!AM215="제외"),"",IF($D215=$E215,IF(AND($D215&gt;=BU$5,$D215&lt;BU$5+7),"◆",""),IF(AND($D215&lt;BU$5+7,$E215&gt;BU$5),"■","")))</x:f>
      </x:c>
      <x:c r="BV215" s="7" t="str">
        <x:f>IF(OR($D215="",BV$5="",'상세일정'!AM215="제외"),"",IF($D215=$E215,IF(AND($D215&gt;=BV$5,$D215&lt;BV$5+7),"◆",""),IF(AND($D215&lt;BV$5+7,$E215&gt;BV$5),"■","")))</x:f>
      </x:c>
      <x:c r="BW215" s="7" t="str">
        <x:f>IF(OR($D215="",BW$5="",'상세일정'!AM215="제외"),"",IF($D215=$E215,IF(AND($D215&gt;=BW$5,$D215&lt;BW$5+7),"◆",""),IF(AND($D215&lt;BW$5+7,$E215&gt;BW$5),"■","")))</x:f>
      </x:c>
      <x:c r="BX215" s="7" t="str">
        <x:f>IF(OR($D215="",BX$5="",'상세일정'!AM215="제외"),"",IF($D215=$E215,IF(AND($D215&gt;=BX$5,$D215&lt;BX$5+7),"◆",""),IF(AND($D215&lt;BX$5+7,$E215&gt;BX$5),"■","")))</x:f>
      </x:c>
      <x:c r="BY215" s="7" t="str">
        <x:f>IF(OR($D215="",BY$5="",'상세일정'!AM215="제외"),"",IF($D215=$E215,IF(AND($D215&gt;=BY$5,$D215&lt;BY$5+7),"◆",""),IF(AND($D215&lt;BY$5+7,$E215&gt;BY$5),"■","")))</x:f>
      </x:c>
      <x:c r="BZ215" s="7" t="str">
        <x:f>IF(OR($D215="",BZ$5="",'상세일정'!AM215="제외"),"",IF($D215=$E215,IF(AND($D215&gt;=BZ$5,$D215&lt;BZ$5+7),"◆",""),IF(AND($D215&lt;BZ$5+7,$E215&gt;BZ$5),"■","")))</x:f>
      </x:c>
      <x:c r="CA215" s="7" t="str">
        <x:f>IF(OR($D215="",CA$5="",'상세일정'!AM215="제외"),"",IF($D215=$E215,IF(AND($D215&gt;=CA$5,$D215&lt;CA$5+7),"◆",""),IF(AND($D215&lt;CA$5+7,$E215&gt;CA$5),"■","")))</x:f>
      </x:c>
      <x:c r="CB215" s="7" t="str">
        <x:f>IF(OR($D215="",CB$5="",'상세일정'!AM215="제외"),"",IF($D215=$E215,IF(AND($D215&gt;=CB$5,$D215&lt;CB$5+7),"◆",""),IF(AND($D215&lt;CB$5+7,$E215&gt;CB$5),"■","")))</x:f>
      </x:c>
      <x:c r="CC215" s="7" t="str">
        <x:f>IF(OR($D215="",CC$5="",'상세일정'!AM215="제외"),"",IF($D215=$E215,IF(AND($D215&gt;=CC$5,$D215&lt;CC$5+7),"◆",""),IF(AND($D215&lt;CC$5+7,$E215&gt;CC$5),"■","")))</x:f>
      </x:c>
      <x:c r="CD215" s="7" t="str">
        <x:f>IF(OR($D215="",CD$5="",'상세일정'!AM215="제외"),"",IF($D215=$E215,IF(AND($D215&gt;=CD$5,$D215&lt;CD$5+7),"◆",""),IF(AND($D215&lt;CD$5+7,$E215&gt;CD$5),"■","")))</x:f>
      </x:c>
      <x:c r="CE215" s="7" t="str">
        <x:f>IF(OR($D215="",CE$5="",'상세일정'!AM215="제외"),"",IF($D215=$E215,IF(AND($D215&gt;=CE$5,$D215&lt;CE$5+7),"◆",""),IF(AND($D215&lt;CE$5+7,$E215&gt;CE$5),"■","")))</x:f>
      </x:c>
      <x:c r="CF215" s="7" t="str">
        <x:f>IF(OR($D215="",CF$5="",'상세일정'!AM215="제외"),"",IF($D215=$E215,IF(AND($D215&gt;=CF$5,$D215&lt;CF$5+7),"◆",""),IF(AND($D215&lt;CF$5+7,$E215&gt;CF$5),"■","")))</x:f>
      </x:c>
      <x:c r="CG215" s="7" t="str">
        <x:f>IF(OR($D215="",CG$5="",'상세일정'!AM215="제외"),"",IF($D215=$E215,IF(AND($D215&gt;=CG$5,$D215&lt;CG$5+7),"◆",""),IF(AND($D215&lt;CG$5+7,$E215&gt;CG$5),"■","")))</x:f>
      </x:c>
      <x:c r="CH215" s="7" t="str">
        <x:f>IF(OR($D215="",CH$5="",'상세일정'!AM215="제외"),"",IF($D215=$E215,IF(AND($D215&gt;=CH$5,$D215&lt;CH$5+7),"◆",""),IF(AND($D215&lt;CH$5+7,$E215&gt;CH$5),"■","")))</x:f>
      </x:c>
      <x:c r="CI215" s="7" t="str">
        <x:f>IF(OR($D215="",CI$5="",'상세일정'!AM215="제외"),"",IF($D215=$E215,IF(AND($D215&gt;=CI$5,$D215&lt;CI$5+7),"◆",""),IF(AND($D215&lt;CI$5+7,$E215&gt;CI$5),"■","")))</x:f>
      </x:c>
      <x:c r="CJ215" s="7" t="str">
        <x:f>IF(OR($D215="",CJ$5="",'상세일정'!AM215="제외"),"",IF($D215=$E215,IF(AND($D215&gt;=CJ$5,$D215&lt;CJ$5+7),"◆",""),IF(AND($D215&lt;CJ$5+7,$E215&gt;CJ$5),"■","")))</x:f>
      </x:c>
      <x:c r="CK215" s="7" t="str">
        <x:f>IF(OR($D215="",CK$5="",'상세일정'!AM215="제외"),"",IF($D215=$E215,IF(AND($D215&gt;=CK$5,$D215&lt;CK$5+7),"◆",""),IF(AND($D215&lt;CK$5+7,$E215&gt;CK$5),"■","")))</x:f>
      </x:c>
      <x:c r="CL215" s="7" t="str">
        <x:f>IF(OR($D215="",CL$5="",'상세일정'!AM215="제외"),"",IF($D215=$E215,IF(AND($D215&gt;=CL$5,$D215&lt;CL$5+7),"◆",""),IF(AND($D215&lt;CL$5+7,$E215&gt;CL$5),"■","")))</x:f>
      </x:c>
      <x:c r="CM215" s="7" t="str">
        <x:f>IF(OR($D215="",CM$5="",'상세일정'!AM215="제외"),"",IF($D215=$E215,IF(AND($D215&gt;=CM$5,$D215&lt;CM$5+7),"◆",""),IF(AND($D215&lt;CM$5+7,$E215&gt;CM$5),"■","")))</x:f>
      </x:c>
      <x:c r="CN215" s="7" t="str">
        <x:f>IF(OR($D215="",CN$5="",'상세일정'!AM215="제외"),"",IF($D215=$E215,IF(AND($D215&gt;=CN$5,$D215&lt;CN$5+7),"◆",""),IF(AND($D215&lt;CN$5+7,$E215&gt;CN$5),"■","")))</x:f>
      </x:c>
      <x:c r="CO215" s="7" t="str">
        <x:f>IF(OR($D215="",CO$5="",'상세일정'!AM215="제외"),"",IF($D215=$E215,IF(AND($D215&gt;=CO$5,$D215&lt;CO$5+7),"◆",""),IF(AND($D215&lt;CO$5+7,$E215&gt;CO$5),"■","")))</x:f>
      </x:c>
      <x:c r="CP215" s="7" t="str">
        <x:f>IF(OR($D215="",CP$5="",'상세일정'!AM215="제외"),"",IF($D215=$E215,IF(AND($D215&gt;=CP$5,$D215&lt;CP$5+7),"◆",""),IF(AND($D215&lt;CP$5+7,$E215&gt;CP$5),"■","")))</x:f>
      </x:c>
      <x:c r="CQ215" s="7" t="str">
        <x:f>IF(OR($D215="",CQ$5="",'상세일정'!AM215="제외"),"",IF($D215=$E215,IF(AND($D215&gt;=CQ$5,$D215&lt;CQ$5+7),"◆",""),IF(AND($D215&lt;CQ$5+7,$E215&gt;CQ$5),"■","")))</x:f>
      </x:c>
      <x:c r="CR215" s="7" t="str">
        <x:f>IF(OR($D215="",CR$5="",'상세일정'!AM215="제외"),"",IF($D215=$E215,IF(AND($D215&gt;=CR$5,$D215&lt;CR$5+7),"◆",""),IF(AND($D215&lt;CR$5+7,$E215&gt;CR$5),"■","")))</x:f>
      </x:c>
      <x:c r="CS215" s="7" t="str">
        <x:f>IF(OR($D215="",CS$5="",'상세일정'!AM215="제외"),"",IF($D215=$E215,IF(AND($D215&gt;=CS$5,$D215&lt;CS$5+7),"◆",""),IF(AND($D215&lt;CS$5+7,$E215&gt;CS$5),"■","")))</x:f>
      </x:c>
      <x:c r="CT215" s="7" t="str">
        <x:f>IF(OR($D215="",CT$5="",'상세일정'!AM215="제외"),"",IF($D215=$E215,IF(AND($D215&gt;=CT$5,$D215&lt;CT$5+7),"◆",""),IF(AND($D215&lt;CT$5+7,$E215&gt;CT$5),"■","")))</x:f>
      </x:c>
      <x:c r="CU215" s="7" t="str">
        <x:f>IF(OR($D215="",CU$5="",'상세일정'!AM215="제외"),"",IF($D215=$E215,IF(AND($D215&gt;=CU$5,$D215&lt;CU$5+7),"◆",""),IF(AND($D215&lt;CU$5+7,$E215&gt;CU$5),"■","")))</x:f>
      </x:c>
      <x:c r="CV215" s="7" t="str">
        <x:f>IF(OR($D215="",CV$5="",'상세일정'!AM215="제외"),"",IF($D215=$E215,IF(AND($D215&gt;=CV$5,$D215&lt;CV$5+7),"◆",""),IF(AND($D215&lt;CV$5+7,$E215&gt;CV$5),"■","")))</x:f>
      </x:c>
      <x:c r="CW215" s="7" t="str">
        <x:f>IF(OR($D215="",CW$5="",'상세일정'!AM215="제외"),"",IF($D215=$E215,IF(AND($D215&gt;=CW$5,$D215&lt;CW$5+7),"◆",""),IF(AND($D215&lt;CW$5+7,$E215&gt;CW$5),"■","")))</x:f>
      </x:c>
      <x:c r="CX215" s="7" t="str">
        <x:f>IF(OR($D215="",CX$5="",'상세일정'!AM215="제외"),"",IF($D215=$E215,IF(AND($D215&gt;=CX$5,$D215&lt;CX$5+7),"◆",""),IF(AND($D215&lt;CX$5+7,$E215&gt;CX$5),"■","")))</x:f>
      </x:c>
      <x:c r="CY215" s="7" t="str">
        <x:f>IF(OR($D215="",CY$5="",'상세일정'!AM215="제외"),"",IF($D215=$E215,IF(AND($D215&gt;=CY$5,$D215&lt;CY$5+7),"◆",""),IF(AND($D215&lt;CY$5+7,$E215&gt;CY$5),"■","")))</x:f>
      </x:c>
      <x:c r="CZ215" s="7" t="str">
        <x:f>IF(OR($D215="",CZ$5="",'상세일정'!AM215="제외"),"",IF($D215=$E215,IF(AND($D215&gt;=CZ$5,$D215&lt;CZ$5+7),"◆",""),IF(AND($D215&lt;CZ$5+7,$E215&gt;CZ$5),"■","")))</x:f>
      </x:c>
      <x:c r="DA215" s="7" t="str">
        <x:f>IF(OR($D215="",DA$5="",'상세일정'!AM215="제외"),"",IF($D215=$E215,IF(AND($D215&gt;=DA$5,$D215&lt;DA$5+7),"◆",""),IF(AND($D215&lt;DA$5+7,$E215&gt;DA$5),"■","")))</x:f>
      </x:c>
      <x:c r="DB215" s="7" t="str">
        <x:f>IF(OR($D215="",DB$5="",'상세일정'!AM215="제외"),"",IF($D215=$E215,IF(AND($D215&gt;=DB$5,$D215&lt;DB$5+7),"◆",""),IF(AND($D215&lt;DB$5+7,$E215&gt;DB$5),"■","")))</x:f>
      </x:c>
      <x:c r="DC215" s="7" t="str">
        <x:f>IF(OR($D215="",DC$5="",'상세일정'!AM215="제외"),"",IF($D215=$E215,IF(AND($D215&gt;=DC$5,$D215&lt;DC$5+7),"◆",""),IF(AND($D215&lt;DC$5+7,$E215&gt;DC$5),"■","")))</x:f>
      </x:c>
      <x:c r="DD215" s="7" t="str">
        <x:f>IF(OR($D215="",DD$5="",'상세일정'!AM215="제외"),"",IF($D215=$E215,IF(AND($D215&gt;=DD$5,$D215&lt;DD$5+7),"◆",""),IF(AND($D215&lt;DD$5+7,$E215&gt;DD$5),"■","")))</x:f>
      </x:c>
      <x:c r="DE215" s="7" t="str">
        <x:f>IF(OR($D215="",DE$5="",'상세일정'!AM215="제외"),"",IF($D215=$E215,IF(AND($D215&gt;=DE$5,$D215&lt;DE$5+7),"◆",""),IF(AND($D215&lt;DE$5+7,$E215&gt;DE$5),"■","")))</x:f>
      </x:c>
    </x:row>
    <x:row r="216" ht="34" customHeight="1">
      <x:c r="A216" s="7" t="str">
        <x:v>TI02</x:v>
      </x:c>
      <x:c r="B216" s="7" t="str">
        <x:v>24 수전·유틸리티 인입</x:v>
      </x:c>
      <x:c r="C216" s="7" t="str">
        <x:v>인입 배관·계량·차단·유틸리티 시공</x:v>
      </x:c>
      <x:c r="D216" s="10" t="str">
        <x:f>'상세일정'!AJ216</x:f>
      </x:c>
      <x:c r="E216" s="10" t="str">
        <x:f>'상세일정'!AK216</x:f>
      </x:c>
      <x:c r="F216" s="7" t="str">
        <x:f>IF(OR($D216="",F$5="",'상세일정'!AM216="제외"),"",IF($D216=$E216,IF(AND($D216&gt;=F$5,$D216&lt;F$5+7),"◆",""),IF(AND($D216&lt;F$5+7,$E216&gt;F$5),"■","")))</x:f>
      </x:c>
      <x:c r="G216" s="7" t="str">
        <x:f>IF(OR($D216="",G$5="",'상세일정'!AM216="제외"),"",IF($D216=$E216,IF(AND($D216&gt;=G$5,$D216&lt;G$5+7),"◆",""),IF(AND($D216&lt;G$5+7,$E216&gt;G$5),"■","")))</x:f>
      </x:c>
      <x:c r="H216" s="7" t="str">
        <x:f>IF(OR($D216="",H$5="",'상세일정'!AM216="제외"),"",IF($D216=$E216,IF(AND($D216&gt;=H$5,$D216&lt;H$5+7),"◆",""),IF(AND($D216&lt;H$5+7,$E216&gt;H$5),"■","")))</x:f>
      </x:c>
      <x:c r="I216" s="7" t="str">
        <x:f>IF(OR($D216="",I$5="",'상세일정'!AM216="제외"),"",IF($D216=$E216,IF(AND($D216&gt;=I$5,$D216&lt;I$5+7),"◆",""),IF(AND($D216&lt;I$5+7,$E216&gt;I$5),"■","")))</x:f>
      </x:c>
      <x:c r="J216" s="7" t="str">
        <x:f>IF(OR($D216="",J$5="",'상세일정'!AM216="제외"),"",IF($D216=$E216,IF(AND($D216&gt;=J$5,$D216&lt;J$5+7),"◆",""),IF(AND($D216&lt;J$5+7,$E216&gt;J$5),"■","")))</x:f>
      </x:c>
      <x:c r="K216" s="7" t="str">
        <x:f>IF(OR($D216="",K$5="",'상세일정'!AM216="제외"),"",IF($D216=$E216,IF(AND($D216&gt;=K$5,$D216&lt;K$5+7),"◆",""),IF(AND($D216&lt;K$5+7,$E216&gt;K$5),"■","")))</x:f>
      </x:c>
      <x:c r="L216" s="7" t="str">
        <x:f>IF(OR($D216="",L$5="",'상세일정'!AM216="제외"),"",IF($D216=$E216,IF(AND($D216&gt;=L$5,$D216&lt;L$5+7),"◆",""),IF(AND($D216&lt;L$5+7,$E216&gt;L$5),"■","")))</x:f>
      </x:c>
      <x:c r="M216" s="7" t="str">
        <x:f>IF(OR($D216="",M$5="",'상세일정'!AM216="제외"),"",IF($D216=$E216,IF(AND($D216&gt;=M$5,$D216&lt;M$5+7),"◆",""),IF(AND($D216&lt;M$5+7,$E216&gt;M$5),"■","")))</x:f>
      </x:c>
      <x:c r="N216" s="7" t="str">
        <x:f>IF(OR($D216="",N$5="",'상세일정'!AM216="제외"),"",IF($D216=$E216,IF(AND($D216&gt;=N$5,$D216&lt;N$5+7),"◆",""),IF(AND($D216&lt;N$5+7,$E216&gt;N$5),"■","")))</x:f>
      </x:c>
      <x:c r="O216" s="7" t="str">
        <x:f>IF(OR($D216="",O$5="",'상세일정'!AM216="제외"),"",IF($D216=$E216,IF(AND($D216&gt;=O$5,$D216&lt;O$5+7),"◆",""),IF(AND($D216&lt;O$5+7,$E216&gt;O$5),"■","")))</x:f>
      </x:c>
      <x:c r="P216" s="7" t="str">
        <x:f>IF(OR($D216="",P$5="",'상세일정'!AM216="제외"),"",IF($D216=$E216,IF(AND($D216&gt;=P$5,$D216&lt;P$5+7),"◆",""),IF(AND($D216&lt;P$5+7,$E216&gt;P$5),"■","")))</x:f>
      </x:c>
      <x:c r="Q216" s="7" t="str">
        <x:f>IF(OR($D216="",Q$5="",'상세일정'!AM216="제외"),"",IF($D216=$E216,IF(AND($D216&gt;=Q$5,$D216&lt;Q$5+7),"◆",""),IF(AND($D216&lt;Q$5+7,$E216&gt;Q$5),"■","")))</x:f>
      </x:c>
      <x:c r="R216" s="7" t="str">
        <x:f>IF(OR($D216="",R$5="",'상세일정'!AM216="제외"),"",IF($D216=$E216,IF(AND($D216&gt;=R$5,$D216&lt;R$5+7),"◆",""),IF(AND($D216&lt;R$5+7,$E216&gt;R$5),"■","")))</x:f>
      </x:c>
      <x:c r="S216" s="7" t="str">
        <x:f>IF(OR($D216="",S$5="",'상세일정'!AM216="제외"),"",IF($D216=$E216,IF(AND($D216&gt;=S$5,$D216&lt;S$5+7),"◆",""),IF(AND($D216&lt;S$5+7,$E216&gt;S$5),"■","")))</x:f>
      </x:c>
      <x:c r="T216" s="7" t="str">
        <x:f>IF(OR($D216="",T$5="",'상세일정'!AM216="제외"),"",IF($D216=$E216,IF(AND($D216&gt;=T$5,$D216&lt;T$5+7),"◆",""),IF(AND($D216&lt;T$5+7,$E216&gt;T$5),"■","")))</x:f>
      </x:c>
      <x:c r="U216" s="7" t="str">
        <x:f>IF(OR($D216="",U$5="",'상세일정'!AM216="제외"),"",IF($D216=$E216,IF(AND($D216&gt;=U$5,$D216&lt;U$5+7),"◆",""),IF(AND($D216&lt;U$5+7,$E216&gt;U$5),"■","")))</x:f>
      </x:c>
      <x:c r="V216" s="7" t="str">
        <x:f>IF(OR($D216="",V$5="",'상세일정'!AM216="제외"),"",IF($D216=$E216,IF(AND($D216&gt;=V$5,$D216&lt;V$5+7),"◆",""),IF(AND($D216&lt;V$5+7,$E216&gt;V$5),"■","")))</x:f>
      </x:c>
      <x:c r="W216" s="7" t="str">
        <x:f>IF(OR($D216="",W$5="",'상세일정'!AM216="제외"),"",IF($D216=$E216,IF(AND($D216&gt;=W$5,$D216&lt;W$5+7),"◆",""),IF(AND($D216&lt;W$5+7,$E216&gt;W$5),"■","")))</x:f>
      </x:c>
      <x:c r="X216" s="7" t="str">
        <x:f>IF(OR($D216="",X$5="",'상세일정'!AM216="제외"),"",IF($D216=$E216,IF(AND($D216&gt;=X$5,$D216&lt;X$5+7),"◆",""),IF(AND($D216&lt;X$5+7,$E216&gt;X$5),"■","")))</x:f>
      </x:c>
      <x:c r="Y216" s="7" t="str">
        <x:f>IF(OR($D216="",Y$5="",'상세일정'!AM216="제외"),"",IF($D216=$E216,IF(AND($D216&gt;=Y$5,$D216&lt;Y$5+7),"◆",""),IF(AND($D216&lt;Y$5+7,$E216&gt;Y$5),"■","")))</x:f>
      </x:c>
      <x:c r="Z216" s="7" t="str">
        <x:f>IF(OR($D216="",Z$5="",'상세일정'!AM216="제외"),"",IF($D216=$E216,IF(AND($D216&gt;=Z$5,$D216&lt;Z$5+7),"◆",""),IF(AND($D216&lt;Z$5+7,$E216&gt;Z$5),"■","")))</x:f>
      </x:c>
      <x:c r="AA216" s="7" t="str">
        <x:f>IF(OR($D216="",AA$5="",'상세일정'!AM216="제외"),"",IF($D216=$E216,IF(AND($D216&gt;=AA$5,$D216&lt;AA$5+7),"◆",""),IF(AND($D216&lt;AA$5+7,$E216&gt;AA$5),"■","")))</x:f>
      </x:c>
      <x:c r="AB216" s="7" t="str">
        <x:f>IF(OR($D216="",AB$5="",'상세일정'!AM216="제외"),"",IF($D216=$E216,IF(AND($D216&gt;=AB$5,$D216&lt;AB$5+7),"◆",""),IF(AND($D216&lt;AB$5+7,$E216&gt;AB$5),"■","")))</x:f>
      </x:c>
      <x:c r="AC216" s="7" t="str">
        <x:f>IF(OR($D216="",AC$5="",'상세일정'!AM216="제외"),"",IF($D216=$E216,IF(AND($D216&gt;=AC$5,$D216&lt;AC$5+7),"◆",""),IF(AND($D216&lt;AC$5+7,$E216&gt;AC$5),"■","")))</x:f>
      </x:c>
      <x:c r="AD216" s="7" t="str">
        <x:f>IF(OR($D216="",AD$5="",'상세일정'!AM216="제외"),"",IF($D216=$E216,IF(AND($D216&gt;=AD$5,$D216&lt;AD$5+7),"◆",""),IF(AND($D216&lt;AD$5+7,$E216&gt;AD$5),"■","")))</x:f>
      </x:c>
      <x:c r="AE216" s="7" t="str">
        <x:f>IF(OR($D216="",AE$5="",'상세일정'!AM216="제외"),"",IF($D216=$E216,IF(AND($D216&gt;=AE$5,$D216&lt;AE$5+7),"◆",""),IF(AND($D216&lt;AE$5+7,$E216&gt;AE$5),"■","")))</x:f>
      </x:c>
      <x:c r="AF216" s="7" t="str">
        <x:f>IF(OR($D216="",AF$5="",'상세일정'!AM216="제외"),"",IF($D216=$E216,IF(AND($D216&gt;=AF$5,$D216&lt;AF$5+7),"◆",""),IF(AND($D216&lt;AF$5+7,$E216&gt;AF$5),"■","")))</x:f>
      </x:c>
      <x:c r="AG216" s="7" t="str">
        <x:f>IF(OR($D216="",AG$5="",'상세일정'!AM216="제외"),"",IF($D216=$E216,IF(AND($D216&gt;=AG$5,$D216&lt;AG$5+7),"◆",""),IF(AND($D216&lt;AG$5+7,$E216&gt;AG$5),"■","")))</x:f>
      </x:c>
      <x:c r="AH216" s="7" t="str">
        <x:f>IF(OR($D216="",AH$5="",'상세일정'!AM216="제외"),"",IF($D216=$E216,IF(AND($D216&gt;=AH$5,$D216&lt;AH$5+7),"◆",""),IF(AND($D216&lt;AH$5+7,$E216&gt;AH$5),"■","")))</x:f>
      </x:c>
      <x:c r="AI216" s="7" t="str">
        <x:f>IF(OR($D216="",AI$5="",'상세일정'!AM216="제외"),"",IF($D216=$E216,IF(AND($D216&gt;=AI$5,$D216&lt;AI$5+7),"◆",""),IF(AND($D216&lt;AI$5+7,$E216&gt;AI$5),"■","")))</x:f>
      </x:c>
      <x:c r="AJ216" s="7" t="str">
        <x:f>IF(OR($D216="",AJ$5="",'상세일정'!AM216="제외"),"",IF($D216=$E216,IF(AND($D216&gt;=AJ$5,$D216&lt;AJ$5+7),"◆",""),IF(AND($D216&lt;AJ$5+7,$E216&gt;AJ$5),"■","")))</x:f>
      </x:c>
      <x:c r="AK216" s="7" t="str">
        <x:f>IF(OR($D216="",AK$5="",'상세일정'!AM216="제외"),"",IF($D216=$E216,IF(AND($D216&gt;=AK$5,$D216&lt;AK$5+7),"◆",""),IF(AND($D216&lt;AK$5+7,$E216&gt;AK$5),"■","")))</x:f>
      </x:c>
      <x:c r="AL216" s="7" t="str">
        <x:f>IF(OR($D216="",AL$5="",'상세일정'!AM216="제외"),"",IF($D216=$E216,IF(AND($D216&gt;=AL$5,$D216&lt;AL$5+7),"◆",""),IF(AND($D216&lt;AL$5+7,$E216&gt;AL$5),"■","")))</x:f>
      </x:c>
      <x:c r="AM216" s="7" t="str">
        <x:f>IF(OR($D216="",AM$5="",'상세일정'!AM216="제외"),"",IF($D216=$E216,IF(AND($D216&gt;=AM$5,$D216&lt;AM$5+7),"◆",""),IF(AND($D216&lt;AM$5+7,$E216&gt;AM$5),"■","")))</x:f>
      </x:c>
      <x:c r="AN216" s="7" t="str">
        <x:f>IF(OR($D216="",AN$5="",'상세일정'!AM216="제외"),"",IF($D216=$E216,IF(AND($D216&gt;=AN$5,$D216&lt;AN$5+7),"◆",""),IF(AND($D216&lt;AN$5+7,$E216&gt;AN$5),"■","")))</x:f>
      </x:c>
      <x:c r="AO216" s="7" t="str">
        <x:f>IF(OR($D216="",AO$5="",'상세일정'!AM216="제외"),"",IF($D216=$E216,IF(AND($D216&gt;=AO$5,$D216&lt;AO$5+7),"◆",""),IF(AND($D216&lt;AO$5+7,$E216&gt;AO$5),"■","")))</x:f>
      </x:c>
      <x:c r="AP216" s="7" t="str">
        <x:f>IF(OR($D216="",AP$5="",'상세일정'!AM216="제외"),"",IF($D216=$E216,IF(AND($D216&gt;=AP$5,$D216&lt;AP$5+7),"◆",""),IF(AND($D216&lt;AP$5+7,$E216&gt;AP$5),"■","")))</x:f>
      </x:c>
      <x:c r="AQ216" s="7" t="str">
        <x:f>IF(OR($D216="",AQ$5="",'상세일정'!AM216="제외"),"",IF($D216=$E216,IF(AND($D216&gt;=AQ$5,$D216&lt;AQ$5+7),"◆",""),IF(AND($D216&lt;AQ$5+7,$E216&gt;AQ$5),"■","")))</x:f>
      </x:c>
      <x:c r="AR216" s="7" t="str">
        <x:f>IF(OR($D216="",AR$5="",'상세일정'!AM216="제외"),"",IF($D216=$E216,IF(AND($D216&gt;=AR$5,$D216&lt;AR$5+7),"◆",""),IF(AND($D216&lt;AR$5+7,$E216&gt;AR$5),"■","")))</x:f>
      </x:c>
      <x:c r="AS216" s="7" t="str">
        <x:f>IF(OR($D216="",AS$5="",'상세일정'!AM216="제외"),"",IF($D216=$E216,IF(AND($D216&gt;=AS$5,$D216&lt;AS$5+7),"◆",""),IF(AND($D216&lt;AS$5+7,$E216&gt;AS$5),"■","")))</x:f>
      </x:c>
      <x:c r="AT216" s="7" t="str">
        <x:f>IF(OR($D216="",AT$5="",'상세일정'!AM216="제외"),"",IF($D216=$E216,IF(AND($D216&gt;=AT$5,$D216&lt;AT$5+7),"◆",""),IF(AND($D216&lt;AT$5+7,$E216&gt;AT$5),"■","")))</x:f>
      </x:c>
      <x:c r="AU216" s="7" t="str">
        <x:f>IF(OR($D216="",AU$5="",'상세일정'!AM216="제외"),"",IF($D216=$E216,IF(AND($D216&gt;=AU$5,$D216&lt;AU$5+7),"◆",""),IF(AND($D216&lt;AU$5+7,$E216&gt;AU$5),"■","")))</x:f>
      </x:c>
      <x:c r="AV216" s="7" t="str">
        <x:f>IF(OR($D216="",AV$5="",'상세일정'!AM216="제외"),"",IF($D216=$E216,IF(AND($D216&gt;=AV$5,$D216&lt;AV$5+7),"◆",""),IF(AND($D216&lt;AV$5+7,$E216&gt;AV$5),"■","")))</x:f>
      </x:c>
      <x:c r="AW216" s="7" t="str">
        <x:f>IF(OR($D216="",AW$5="",'상세일정'!AM216="제외"),"",IF($D216=$E216,IF(AND($D216&gt;=AW$5,$D216&lt;AW$5+7),"◆",""),IF(AND($D216&lt;AW$5+7,$E216&gt;AW$5),"■","")))</x:f>
      </x:c>
      <x:c r="AX216" s="7" t="str">
        <x:f>IF(OR($D216="",AX$5="",'상세일정'!AM216="제외"),"",IF($D216=$E216,IF(AND($D216&gt;=AX$5,$D216&lt;AX$5+7),"◆",""),IF(AND($D216&lt;AX$5+7,$E216&gt;AX$5),"■","")))</x:f>
      </x:c>
      <x:c r="AY216" s="7" t="str">
        <x:f>IF(OR($D216="",AY$5="",'상세일정'!AM216="제외"),"",IF($D216=$E216,IF(AND($D216&gt;=AY$5,$D216&lt;AY$5+7),"◆",""),IF(AND($D216&lt;AY$5+7,$E216&gt;AY$5),"■","")))</x:f>
      </x:c>
      <x:c r="AZ216" s="7" t="str">
        <x:f>IF(OR($D216="",AZ$5="",'상세일정'!AM216="제외"),"",IF($D216=$E216,IF(AND($D216&gt;=AZ$5,$D216&lt;AZ$5+7),"◆",""),IF(AND($D216&lt;AZ$5+7,$E216&gt;AZ$5),"■","")))</x:f>
      </x:c>
      <x:c r="BA216" s="7" t="str">
        <x:f>IF(OR($D216="",BA$5="",'상세일정'!AM216="제외"),"",IF($D216=$E216,IF(AND($D216&gt;=BA$5,$D216&lt;BA$5+7),"◆",""),IF(AND($D216&lt;BA$5+7,$E216&gt;BA$5),"■","")))</x:f>
      </x:c>
      <x:c r="BB216" s="7" t="str">
        <x:f>IF(OR($D216="",BB$5="",'상세일정'!AM216="제외"),"",IF($D216=$E216,IF(AND($D216&gt;=BB$5,$D216&lt;BB$5+7),"◆",""),IF(AND($D216&lt;BB$5+7,$E216&gt;BB$5),"■","")))</x:f>
      </x:c>
      <x:c r="BC216" s="7" t="str">
        <x:f>IF(OR($D216="",BC$5="",'상세일정'!AM216="제외"),"",IF($D216=$E216,IF(AND($D216&gt;=BC$5,$D216&lt;BC$5+7),"◆",""),IF(AND($D216&lt;BC$5+7,$E216&gt;BC$5),"■","")))</x:f>
      </x:c>
      <x:c r="BD216" s="7" t="str">
        <x:f>IF(OR($D216="",BD$5="",'상세일정'!AM216="제외"),"",IF($D216=$E216,IF(AND($D216&gt;=BD$5,$D216&lt;BD$5+7),"◆",""),IF(AND($D216&lt;BD$5+7,$E216&gt;BD$5),"■","")))</x:f>
      </x:c>
      <x:c r="BE216" s="7" t="str">
        <x:f>IF(OR($D216="",BE$5="",'상세일정'!AM216="제외"),"",IF($D216=$E216,IF(AND($D216&gt;=BE$5,$D216&lt;BE$5+7),"◆",""),IF(AND($D216&lt;BE$5+7,$E216&gt;BE$5),"■","")))</x:f>
      </x:c>
      <x:c r="BF216" s="7" t="str">
        <x:f>IF(OR($D216="",BF$5="",'상세일정'!AM216="제외"),"",IF($D216=$E216,IF(AND($D216&gt;=BF$5,$D216&lt;BF$5+7),"◆",""),IF(AND($D216&lt;BF$5+7,$E216&gt;BF$5),"■","")))</x:f>
      </x:c>
      <x:c r="BG216" s="7" t="str">
        <x:f>IF(OR($D216="",BG$5="",'상세일정'!AM216="제외"),"",IF($D216=$E216,IF(AND($D216&gt;=BG$5,$D216&lt;BG$5+7),"◆",""),IF(AND($D216&lt;BG$5+7,$E216&gt;BG$5),"■","")))</x:f>
      </x:c>
      <x:c r="BH216" s="7" t="str">
        <x:f>IF(OR($D216="",BH$5="",'상세일정'!AM216="제외"),"",IF($D216=$E216,IF(AND($D216&gt;=BH$5,$D216&lt;BH$5+7),"◆",""),IF(AND($D216&lt;BH$5+7,$E216&gt;BH$5),"■","")))</x:f>
      </x:c>
      <x:c r="BI216" s="7" t="str">
        <x:f>IF(OR($D216="",BI$5="",'상세일정'!AM216="제외"),"",IF($D216=$E216,IF(AND($D216&gt;=BI$5,$D216&lt;BI$5+7),"◆",""),IF(AND($D216&lt;BI$5+7,$E216&gt;BI$5),"■","")))</x:f>
      </x:c>
      <x:c r="BJ216" s="7" t="str">
        <x:f>IF(OR($D216="",BJ$5="",'상세일정'!AM216="제외"),"",IF($D216=$E216,IF(AND($D216&gt;=BJ$5,$D216&lt;BJ$5+7),"◆",""),IF(AND($D216&lt;BJ$5+7,$E216&gt;BJ$5),"■","")))</x:f>
      </x:c>
      <x:c r="BK216" s="7" t="str">
        <x:f>IF(OR($D216="",BK$5="",'상세일정'!AM216="제외"),"",IF($D216=$E216,IF(AND($D216&gt;=BK$5,$D216&lt;BK$5+7),"◆",""),IF(AND($D216&lt;BK$5+7,$E216&gt;BK$5),"■","")))</x:f>
      </x:c>
      <x:c r="BL216" s="7" t="str">
        <x:f>IF(OR($D216="",BL$5="",'상세일정'!AM216="제외"),"",IF($D216=$E216,IF(AND($D216&gt;=BL$5,$D216&lt;BL$5+7),"◆",""),IF(AND($D216&lt;BL$5+7,$E216&gt;BL$5),"■","")))</x:f>
      </x:c>
      <x:c r="BM216" s="7" t="str">
        <x:f>IF(OR($D216="",BM$5="",'상세일정'!AM216="제외"),"",IF($D216=$E216,IF(AND($D216&gt;=BM$5,$D216&lt;BM$5+7),"◆",""),IF(AND($D216&lt;BM$5+7,$E216&gt;BM$5),"■","")))</x:f>
      </x:c>
      <x:c r="BN216" s="7" t="str">
        <x:f>IF(OR($D216="",BN$5="",'상세일정'!AM216="제외"),"",IF($D216=$E216,IF(AND($D216&gt;=BN$5,$D216&lt;BN$5+7),"◆",""),IF(AND($D216&lt;BN$5+7,$E216&gt;BN$5),"■","")))</x:f>
      </x:c>
      <x:c r="BO216" s="7" t="str">
        <x:f>IF(OR($D216="",BO$5="",'상세일정'!AM216="제외"),"",IF($D216=$E216,IF(AND($D216&gt;=BO$5,$D216&lt;BO$5+7),"◆",""),IF(AND($D216&lt;BO$5+7,$E216&gt;BO$5),"■","")))</x:f>
      </x:c>
      <x:c r="BP216" s="7" t="str">
        <x:f>IF(OR($D216="",BP$5="",'상세일정'!AM216="제외"),"",IF($D216=$E216,IF(AND($D216&gt;=BP$5,$D216&lt;BP$5+7),"◆",""),IF(AND($D216&lt;BP$5+7,$E216&gt;BP$5),"■","")))</x:f>
      </x:c>
      <x:c r="BQ216" s="7" t="str">
        <x:f>IF(OR($D216="",BQ$5="",'상세일정'!AM216="제외"),"",IF($D216=$E216,IF(AND($D216&gt;=BQ$5,$D216&lt;BQ$5+7),"◆",""),IF(AND($D216&lt;BQ$5+7,$E216&gt;BQ$5),"■","")))</x:f>
      </x:c>
      <x:c r="BR216" s="7" t="str">
        <x:f>IF(OR($D216="",BR$5="",'상세일정'!AM216="제외"),"",IF($D216=$E216,IF(AND($D216&gt;=BR$5,$D216&lt;BR$5+7),"◆",""),IF(AND($D216&lt;BR$5+7,$E216&gt;BR$5),"■","")))</x:f>
      </x:c>
      <x:c r="BS216" s="7" t="str">
        <x:f>IF(OR($D216="",BS$5="",'상세일정'!AM216="제외"),"",IF($D216=$E216,IF(AND($D216&gt;=BS$5,$D216&lt;BS$5+7),"◆",""),IF(AND($D216&lt;BS$5+7,$E216&gt;BS$5),"■","")))</x:f>
      </x:c>
      <x:c r="BT216" s="7" t="str">
        <x:f>IF(OR($D216="",BT$5="",'상세일정'!AM216="제외"),"",IF($D216=$E216,IF(AND($D216&gt;=BT$5,$D216&lt;BT$5+7),"◆",""),IF(AND($D216&lt;BT$5+7,$E216&gt;BT$5),"■","")))</x:f>
      </x:c>
      <x:c r="BU216" s="7" t="str">
        <x:f>IF(OR($D216="",BU$5="",'상세일정'!AM216="제외"),"",IF($D216=$E216,IF(AND($D216&gt;=BU$5,$D216&lt;BU$5+7),"◆",""),IF(AND($D216&lt;BU$5+7,$E216&gt;BU$5),"■","")))</x:f>
      </x:c>
      <x:c r="BV216" s="7" t="str">
        <x:f>IF(OR($D216="",BV$5="",'상세일정'!AM216="제외"),"",IF($D216=$E216,IF(AND($D216&gt;=BV$5,$D216&lt;BV$5+7),"◆",""),IF(AND($D216&lt;BV$5+7,$E216&gt;BV$5),"■","")))</x:f>
      </x:c>
      <x:c r="BW216" s="7" t="str">
        <x:f>IF(OR($D216="",BW$5="",'상세일정'!AM216="제외"),"",IF($D216=$E216,IF(AND($D216&gt;=BW$5,$D216&lt;BW$5+7),"◆",""),IF(AND($D216&lt;BW$5+7,$E216&gt;BW$5),"■","")))</x:f>
      </x:c>
      <x:c r="BX216" s="7" t="str">
        <x:f>IF(OR($D216="",BX$5="",'상세일정'!AM216="제외"),"",IF($D216=$E216,IF(AND($D216&gt;=BX$5,$D216&lt;BX$5+7),"◆",""),IF(AND($D216&lt;BX$5+7,$E216&gt;BX$5),"■","")))</x:f>
      </x:c>
      <x:c r="BY216" s="7" t="str">
        <x:f>IF(OR($D216="",BY$5="",'상세일정'!AM216="제외"),"",IF($D216=$E216,IF(AND($D216&gt;=BY$5,$D216&lt;BY$5+7),"◆",""),IF(AND($D216&lt;BY$5+7,$E216&gt;BY$5),"■","")))</x:f>
      </x:c>
      <x:c r="BZ216" s="7" t="str">
        <x:f>IF(OR($D216="",BZ$5="",'상세일정'!AM216="제외"),"",IF($D216=$E216,IF(AND($D216&gt;=BZ$5,$D216&lt;BZ$5+7),"◆",""),IF(AND($D216&lt;BZ$5+7,$E216&gt;BZ$5),"■","")))</x:f>
      </x:c>
      <x:c r="CA216" s="7" t="str">
        <x:f>IF(OR($D216="",CA$5="",'상세일정'!AM216="제외"),"",IF($D216=$E216,IF(AND($D216&gt;=CA$5,$D216&lt;CA$5+7),"◆",""),IF(AND($D216&lt;CA$5+7,$E216&gt;CA$5),"■","")))</x:f>
      </x:c>
      <x:c r="CB216" s="7" t="str">
        <x:f>IF(OR($D216="",CB$5="",'상세일정'!AM216="제외"),"",IF($D216=$E216,IF(AND($D216&gt;=CB$5,$D216&lt;CB$5+7),"◆",""),IF(AND($D216&lt;CB$5+7,$E216&gt;CB$5),"■","")))</x:f>
      </x:c>
      <x:c r="CC216" s="7" t="str">
        <x:f>IF(OR($D216="",CC$5="",'상세일정'!AM216="제외"),"",IF($D216=$E216,IF(AND($D216&gt;=CC$5,$D216&lt;CC$5+7),"◆",""),IF(AND($D216&lt;CC$5+7,$E216&gt;CC$5),"■","")))</x:f>
      </x:c>
      <x:c r="CD216" s="7" t="str">
        <x:f>IF(OR($D216="",CD$5="",'상세일정'!AM216="제외"),"",IF($D216=$E216,IF(AND($D216&gt;=CD$5,$D216&lt;CD$5+7),"◆",""),IF(AND($D216&lt;CD$5+7,$E216&gt;CD$5),"■","")))</x:f>
      </x:c>
      <x:c r="CE216" s="7" t="str">
        <x:f>IF(OR($D216="",CE$5="",'상세일정'!AM216="제외"),"",IF($D216=$E216,IF(AND($D216&gt;=CE$5,$D216&lt;CE$5+7),"◆",""),IF(AND($D216&lt;CE$5+7,$E216&gt;CE$5),"■","")))</x:f>
      </x:c>
      <x:c r="CF216" s="7" t="str">
        <x:f>IF(OR($D216="",CF$5="",'상세일정'!AM216="제외"),"",IF($D216=$E216,IF(AND($D216&gt;=CF$5,$D216&lt;CF$5+7),"◆",""),IF(AND($D216&lt;CF$5+7,$E216&gt;CF$5),"■","")))</x:f>
      </x:c>
      <x:c r="CG216" s="7" t="str">
        <x:f>IF(OR($D216="",CG$5="",'상세일정'!AM216="제외"),"",IF($D216=$E216,IF(AND($D216&gt;=CG$5,$D216&lt;CG$5+7),"◆",""),IF(AND($D216&lt;CG$5+7,$E216&gt;CG$5),"■","")))</x:f>
      </x:c>
      <x:c r="CH216" s="7" t="str">
        <x:f>IF(OR($D216="",CH$5="",'상세일정'!AM216="제외"),"",IF($D216=$E216,IF(AND($D216&gt;=CH$5,$D216&lt;CH$5+7),"◆",""),IF(AND($D216&lt;CH$5+7,$E216&gt;CH$5),"■","")))</x:f>
      </x:c>
      <x:c r="CI216" s="7" t="str">
        <x:f>IF(OR($D216="",CI$5="",'상세일정'!AM216="제외"),"",IF($D216=$E216,IF(AND($D216&gt;=CI$5,$D216&lt;CI$5+7),"◆",""),IF(AND($D216&lt;CI$5+7,$E216&gt;CI$5),"■","")))</x:f>
      </x:c>
      <x:c r="CJ216" s="7" t="str">
        <x:f>IF(OR($D216="",CJ$5="",'상세일정'!AM216="제외"),"",IF($D216=$E216,IF(AND($D216&gt;=CJ$5,$D216&lt;CJ$5+7),"◆",""),IF(AND($D216&lt;CJ$5+7,$E216&gt;CJ$5),"■","")))</x:f>
      </x:c>
      <x:c r="CK216" s="7" t="str">
        <x:f>IF(OR($D216="",CK$5="",'상세일정'!AM216="제외"),"",IF($D216=$E216,IF(AND($D216&gt;=CK$5,$D216&lt;CK$5+7),"◆",""),IF(AND($D216&lt;CK$5+7,$E216&gt;CK$5),"■","")))</x:f>
      </x:c>
      <x:c r="CL216" s="7" t="str">
        <x:f>IF(OR($D216="",CL$5="",'상세일정'!AM216="제외"),"",IF($D216=$E216,IF(AND($D216&gt;=CL$5,$D216&lt;CL$5+7),"◆",""),IF(AND($D216&lt;CL$5+7,$E216&gt;CL$5),"■","")))</x:f>
      </x:c>
      <x:c r="CM216" s="7" t="str">
        <x:f>IF(OR($D216="",CM$5="",'상세일정'!AM216="제외"),"",IF($D216=$E216,IF(AND($D216&gt;=CM$5,$D216&lt;CM$5+7),"◆",""),IF(AND($D216&lt;CM$5+7,$E216&gt;CM$5),"■","")))</x:f>
      </x:c>
      <x:c r="CN216" s="7" t="str">
        <x:f>IF(OR($D216="",CN$5="",'상세일정'!AM216="제외"),"",IF($D216=$E216,IF(AND($D216&gt;=CN$5,$D216&lt;CN$5+7),"◆",""),IF(AND($D216&lt;CN$5+7,$E216&gt;CN$5),"■","")))</x:f>
      </x:c>
      <x:c r="CO216" s="7" t="str">
        <x:f>IF(OR($D216="",CO$5="",'상세일정'!AM216="제외"),"",IF($D216=$E216,IF(AND($D216&gt;=CO$5,$D216&lt;CO$5+7),"◆",""),IF(AND($D216&lt;CO$5+7,$E216&gt;CO$5),"■","")))</x:f>
      </x:c>
      <x:c r="CP216" s="7" t="str">
        <x:f>IF(OR($D216="",CP$5="",'상세일정'!AM216="제외"),"",IF($D216=$E216,IF(AND($D216&gt;=CP$5,$D216&lt;CP$5+7),"◆",""),IF(AND($D216&lt;CP$5+7,$E216&gt;CP$5),"■","")))</x:f>
      </x:c>
      <x:c r="CQ216" s="7" t="str">
        <x:f>IF(OR($D216="",CQ$5="",'상세일정'!AM216="제외"),"",IF($D216=$E216,IF(AND($D216&gt;=CQ$5,$D216&lt;CQ$5+7),"◆",""),IF(AND($D216&lt;CQ$5+7,$E216&gt;CQ$5),"■","")))</x:f>
      </x:c>
      <x:c r="CR216" s="7" t="str">
        <x:f>IF(OR($D216="",CR$5="",'상세일정'!AM216="제외"),"",IF($D216=$E216,IF(AND($D216&gt;=CR$5,$D216&lt;CR$5+7),"◆",""),IF(AND($D216&lt;CR$5+7,$E216&gt;CR$5),"■","")))</x:f>
      </x:c>
      <x:c r="CS216" s="7" t="str">
        <x:f>IF(OR($D216="",CS$5="",'상세일정'!AM216="제외"),"",IF($D216=$E216,IF(AND($D216&gt;=CS$5,$D216&lt;CS$5+7),"◆",""),IF(AND($D216&lt;CS$5+7,$E216&gt;CS$5),"■","")))</x:f>
      </x:c>
      <x:c r="CT216" s="7" t="str">
        <x:f>IF(OR($D216="",CT$5="",'상세일정'!AM216="제외"),"",IF($D216=$E216,IF(AND($D216&gt;=CT$5,$D216&lt;CT$5+7),"◆",""),IF(AND($D216&lt;CT$5+7,$E216&gt;CT$5),"■","")))</x:f>
      </x:c>
      <x:c r="CU216" s="7" t="str">
        <x:f>IF(OR($D216="",CU$5="",'상세일정'!AM216="제외"),"",IF($D216=$E216,IF(AND($D216&gt;=CU$5,$D216&lt;CU$5+7),"◆",""),IF(AND($D216&lt;CU$5+7,$E216&gt;CU$5),"■","")))</x:f>
      </x:c>
      <x:c r="CV216" s="7" t="str">
        <x:f>IF(OR($D216="",CV$5="",'상세일정'!AM216="제외"),"",IF($D216=$E216,IF(AND($D216&gt;=CV$5,$D216&lt;CV$5+7),"◆",""),IF(AND($D216&lt;CV$5+7,$E216&gt;CV$5),"■","")))</x:f>
      </x:c>
      <x:c r="CW216" s="7" t="str">
        <x:f>IF(OR($D216="",CW$5="",'상세일정'!AM216="제외"),"",IF($D216=$E216,IF(AND($D216&gt;=CW$5,$D216&lt;CW$5+7),"◆",""),IF(AND($D216&lt;CW$5+7,$E216&gt;CW$5),"■","")))</x:f>
      </x:c>
      <x:c r="CX216" s="7" t="str">
        <x:f>IF(OR($D216="",CX$5="",'상세일정'!AM216="제외"),"",IF($D216=$E216,IF(AND($D216&gt;=CX$5,$D216&lt;CX$5+7),"◆",""),IF(AND($D216&lt;CX$5+7,$E216&gt;CX$5),"■","")))</x:f>
      </x:c>
      <x:c r="CY216" s="7" t="str">
        <x:f>IF(OR($D216="",CY$5="",'상세일정'!AM216="제외"),"",IF($D216=$E216,IF(AND($D216&gt;=CY$5,$D216&lt;CY$5+7),"◆",""),IF(AND($D216&lt;CY$5+7,$E216&gt;CY$5),"■","")))</x:f>
      </x:c>
      <x:c r="CZ216" s="7" t="str">
        <x:f>IF(OR($D216="",CZ$5="",'상세일정'!AM216="제외"),"",IF($D216=$E216,IF(AND($D216&gt;=CZ$5,$D216&lt;CZ$5+7),"◆",""),IF(AND($D216&lt;CZ$5+7,$E216&gt;CZ$5),"■","")))</x:f>
      </x:c>
      <x:c r="DA216" s="7" t="str">
        <x:f>IF(OR($D216="",DA$5="",'상세일정'!AM216="제외"),"",IF($D216=$E216,IF(AND($D216&gt;=DA$5,$D216&lt;DA$5+7),"◆",""),IF(AND($D216&lt;DA$5+7,$E216&gt;DA$5),"■","")))</x:f>
      </x:c>
      <x:c r="DB216" s="7" t="str">
        <x:f>IF(OR($D216="",DB$5="",'상세일정'!AM216="제외"),"",IF($D216=$E216,IF(AND($D216&gt;=DB$5,$D216&lt;DB$5+7),"◆",""),IF(AND($D216&lt;DB$5+7,$E216&gt;DB$5),"■","")))</x:f>
      </x:c>
      <x:c r="DC216" s="7" t="str">
        <x:f>IF(OR($D216="",DC$5="",'상세일정'!AM216="제외"),"",IF($D216=$E216,IF(AND($D216&gt;=DC$5,$D216&lt;DC$5+7),"◆",""),IF(AND($D216&lt;DC$5+7,$E216&gt;DC$5),"■","")))</x:f>
      </x:c>
      <x:c r="DD216" s="7" t="str">
        <x:f>IF(OR($D216="",DD$5="",'상세일정'!AM216="제외"),"",IF($D216=$E216,IF(AND($D216&gt;=DD$5,$D216&lt;DD$5+7),"◆",""),IF(AND($D216&lt;DD$5+7,$E216&gt;DD$5),"■","")))</x:f>
      </x:c>
      <x:c r="DE216" s="7" t="str">
        <x:f>IF(OR($D216="",DE$5="",'상세일정'!AM216="제외"),"",IF($D216=$E216,IF(AND($D216&gt;=DE$5,$D216&lt;DE$5+7),"◆",""),IF(AND($D216&lt;DE$5+7,$E216&gt;DE$5),"■","")))</x:f>
      </x:c>
    </x:row>
    <x:row r="217" ht="34" customHeight="1">
      <x:c r="A217" s="7" t="str">
        <x:v>TI03</x:v>
      </x:c>
      <x:c r="B217" s="7" t="str">
        <x:v>24 수전·유틸리티 인입</x:v>
      </x:c>
      <x:c r="C217" s="7" t="str">
        <x:v>인입 검사·공급 가능조건 확인</x:v>
      </x:c>
      <x:c r="D217" s="10" t="str">
        <x:f>'상세일정'!AJ217</x:f>
      </x:c>
      <x:c r="E217" s="10" t="str">
        <x:f>'상세일정'!AK217</x:f>
      </x:c>
      <x:c r="F217" s="7" t="str">
        <x:f>IF(OR($D217="",F$5="",'상세일정'!AM217="제외"),"",IF($D217=$E217,IF(AND($D217&gt;=F$5,$D217&lt;F$5+7),"◆",""),IF(AND($D217&lt;F$5+7,$E217&gt;F$5),"■","")))</x:f>
      </x:c>
      <x:c r="G217" s="7" t="str">
        <x:f>IF(OR($D217="",G$5="",'상세일정'!AM217="제외"),"",IF($D217=$E217,IF(AND($D217&gt;=G$5,$D217&lt;G$5+7),"◆",""),IF(AND($D217&lt;G$5+7,$E217&gt;G$5),"■","")))</x:f>
      </x:c>
      <x:c r="H217" s="7" t="str">
        <x:f>IF(OR($D217="",H$5="",'상세일정'!AM217="제외"),"",IF($D217=$E217,IF(AND($D217&gt;=H$5,$D217&lt;H$5+7),"◆",""),IF(AND($D217&lt;H$5+7,$E217&gt;H$5),"■","")))</x:f>
      </x:c>
      <x:c r="I217" s="7" t="str">
        <x:f>IF(OR($D217="",I$5="",'상세일정'!AM217="제외"),"",IF($D217=$E217,IF(AND($D217&gt;=I$5,$D217&lt;I$5+7),"◆",""),IF(AND($D217&lt;I$5+7,$E217&gt;I$5),"■","")))</x:f>
      </x:c>
      <x:c r="J217" s="7" t="str">
        <x:f>IF(OR($D217="",J$5="",'상세일정'!AM217="제외"),"",IF($D217=$E217,IF(AND($D217&gt;=J$5,$D217&lt;J$5+7),"◆",""),IF(AND($D217&lt;J$5+7,$E217&gt;J$5),"■","")))</x:f>
      </x:c>
      <x:c r="K217" s="7" t="str">
        <x:f>IF(OR($D217="",K$5="",'상세일정'!AM217="제외"),"",IF($D217=$E217,IF(AND($D217&gt;=K$5,$D217&lt;K$5+7),"◆",""),IF(AND($D217&lt;K$5+7,$E217&gt;K$5),"■","")))</x:f>
      </x:c>
      <x:c r="L217" s="7" t="str">
        <x:f>IF(OR($D217="",L$5="",'상세일정'!AM217="제외"),"",IF($D217=$E217,IF(AND($D217&gt;=L$5,$D217&lt;L$5+7),"◆",""),IF(AND($D217&lt;L$5+7,$E217&gt;L$5),"■","")))</x:f>
      </x:c>
      <x:c r="M217" s="7" t="str">
        <x:f>IF(OR($D217="",M$5="",'상세일정'!AM217="제외"),"",IF($D217=$E217,IF(AND($D217&gt;=M$5,$D217&lt;M$5+7),"◆",""),IF(AND($D217&lt;M$5+7,$E217&gt;M$5),"■","")))</x:f>
      </x:c>
      <x:c r="N217" s="7" t="str">
        <x:f>IF(OR($D217="",N$5="",'상세일정'!AM217="제외"),"",IF($D217=$E217,IF(AND($D217&gt;=N$5,$D217&lt;N$5+7),"◆",""),IF(AND($D217&lt;N$5+7,$E217&gt;N$5),"■","")))</x:f>
      </x:c>
      <x:c r="O217" s="7" t="str">
        <x:f>IF(OR($D217="",O$5="",'상세일정'!AM217="제외"),"",IF($D217=$E217,IF(AND($D217&gt;=O$5,$D217&lt;O$5+7),"◆",""),IF(AND($D217&lt;O$5+7,$E217&gt;O$5),"■","")))</x:f>
      </x:c>
      <x:c r="P217" s="7" t="str">
        <x:f>IF(OR($D217="",P$5="",'상세일정'!AM217="제외"),"",IF($D217=$E217,IF(AND($D217&gt;=P$5,$D217&lt;P$5+7),"◆",""),IF(AND($D217&lt;P$5+7,$E217&gt;P$5),"■","")))</x:f>
      </x:c>
      <x:c r="Q217" s="7" t="str">
        <x:f>IF(OR($D217="",Q$5="",'상세일정'!AM217="제외"),"",IF($D217=$E217,IF(AND($D217&gt;=Q$5,$D217&lt;Q$5+7),"◆",""),IF(AND($D217&lt;Q$5+7,$E217&gt;Q$5),"■","")))</x:f>
      </x:c>
      <x:c r="R217" s="7" t="str">
        <x:f>IF(OR($D217="",R$5="",'상세일정'!AM217="제외"),"",IF($D217=$E217,IF(AND($D217&gt;=R$5,$D217&lt;R$5+7),"◆",""),IF(AND($D217&lt;R$5+7,$E217&gt;R$5),"■","")))</x:f>
      </x:c>
      <x:c r="S217" s="7" t="str">
        <x:f>IF(OR($D217="",S$5="",'상세일정'!AM217="제외"),"",IF($D217=$E217,IF(AND($D217&gt;=S$5,$D217&lt;S$5+7),"◆",""),IF(AND($D217&lt;S$5+7,$E217&gt;S$5),"■","")))</x:f>
      </x:c>
      <x:c r="T217" s="7" t="str">
        <x:f>IF(OR($D217="",T$5="",'상세일정'!AM217="제외"),"",IF($D217=$E217,IF(AND($D217&gt;=T$5,$D217&lt;T$5+7),"◆",""),IF(AND($D217&lt;T$5+7,$E217&gt;T$5),"■","")))</x:f>
      </x:c>
      <x:c r="U217" s="7" t="str">
        <x:f>IF(OR($D217="",U$5="",'상세일정'!AM217="제외"),"",IF($D217=$E217,IF(AND($D217&gt;=U$5,$D217&lt;U$5+7),"◆",""),IF(AND($D217&lt;U$5+7,$E217&gt;U$5),"■","")))</x:f>
      </x:c>
      <x:c r="V217" s="7" t="str">
        <x:f>IF(OR($D217="",V$5="",'상세일정'!AM217="제외"),"",IF($D217=$E217,IF(AND($D217&gt;=V$5,$D217&lt;V$5+7),"◆",""),IF(AND($D217&lt;V$5+7,$E217&gt;V$5),"■","")))</x:f>
      </x:c>
      <x:c r="W217" s="7" t="str">
        <x:f>IF(OR($D217="",W$5="",'상세일정'!AM217="제외"),"",IF($D217=$E217,IF(AND($D217&gt;=W$5,$D217&lt;W$5+7),"◆",""),IF(AND($D217&lt;W$5+7,$E217&gt;W$5),"■","")))</x:f>
      </x:c>
      <x:c r="X217" s="7" t="str">
        <x:f>IF(OR($D217="",X$5="",'상세일정'!AM217="제외"),"",IF($D217=$E217,IF(AND($D217&gt;=X$5,$D217&lt;X$5+7),"◆",""),IF(AND($D217&lt;X$5+7,$E217&gt;X$5),"■","")))</x:f>
      </x:c>
      <x:c r="Y217" s="7" t="str">
        <x:f>IF(OR($D217="",Y$5="",'상세일정'!AM217="제외"),"",IF($D217=$E217,IF(AND($D217&gt;=Y$5,$D217&lt;Y$5+7),"◆",""),IF(AND($D217&lt;Y$5+7,$E217&gt;Y$5),"■","")))</x:f>
      </x:c>
      <x:c r="Z217" s="7" t="str">
        <x:f>IF(OR($D217="",Z$5="",'상세일정'!AM217="제외"),"",IF($D217=$E217,IF(AND($D217&gt;=Z$5,$D217&lt;Z$5+7),"◆",""),IF(AND($D217&lt;Z$5+7,$E217&gt;Z$5),"■","")))</x:f>
      </x:c>
      <x:c r="AA217" s="7" t="str">
        <x:f>IF(OR($D217="",AA$5="",'상세일정'!AM217="제외"),"",IF($D217=$E217,IF(AND($D217&gt;=AA$5,$D217&lt;AA$5+7),"◆",""),IF(AND($D217&lt;AA$5+7,$E217&gt;AA$5),"■","")))</x:f>
      </x:c>
      <x:c r="AB217" s="7" t="str">
        <x:f>IF(OR($D217="",AB$5="",'상세일정'!AM217="제외"),"",IF($D217=$E217,IF(AND($D217&gt;=AB$5,$D217&lt;AB$5+7),"◆",""),IF(AND($D217&lt;AB$5+7,$E217&gt;AB$5),"■","")))</x:f>
      </x:c>
      <x:c r="AC217" s="7" t="str">
        <x:f>IF(OR($D217="",AC$5="",'상세일정'!AM217="제외"),"",IF($D217=$E217,IF(AND($D217&gt;=AC$5,$D217&lt;AC$5+7),"◆",""),IF(AND($D217&lt;AC$5+7,$E217&gt;AC$5),"■","")))</x:f>
      </x:c>
      <x:c r="AD217" s="7" t="str">
        <x:f>IF(OR($D217="",AD$5="",'상세일정'!AM217="제외"),"",IF($D217=$E217,IF(AND($D217&gt;=AD$5,$D217&lt;AD$5+7),"◆",""),IF(AND($D217&lt;AD$5+7,$E217&gt;AD$5),"■","")))</x:f>
      </x:c>
      <x:c r="AE217" s="7" t="str">
        <x:f>IF(OR($D217="",AE$5="",'상세일정'!AM217="제외"),"",IF($D217=$E217,IF(AND($D217&gt;=AE$5,$D217&lt;AE$5+7),"◆",""),IF(AND($D217&lt;AE$5+7,$E217&gt;AE$5),"■","")))</x:f>
      </x:c>
      <x:c r="AF217" s="7" t="str">
        <x:f>IF(OR($D217="",AF$5="",'상세일정'!AM217="제외"),"",IF($D217=$E217,IF(AND($D217&gt;=AF$5,$D217&lt;AF$5+7),"◆",""),IF(AND($D217&lt;AF$5+7,$E217&gt;AF$5),"■","")))</x:f>
      </x:c>
      <x:c r="AG217" s="7" t="str">
        <x:f>IF(OR($D217="",AG$5="",'상세일정'!AM217="제외"),"",IF($D217=$E217,IF(AND($D217&gt;=AG$5,$D217&lt;AG$5+7),"◆",""),IF(AND($D217&lt;AG$5+7,$E217&gt;AG$5),"■","")))</x:f>
      </x:c>
      <x:c r="AH217" s="7" t="str">
        <x:f>IF(OR($D217="",AH$5="",'상세일정'!AM217="제외"),"",IF($D217=$E217,IF(AND($D217&gt;=AH$5,$D217&lt;AH$5+7),"◆",""),IF(AND($D217&lt;AH$5+7,$E217&gt;AH$5),"■","")))</x:f>
      </x:c>
      <x:c r="AI217" s="7" t="str">
        <x:f>IF(OR($D217="",AI$5="",'상세일정'!AM217="제외"),"",IF($D217=$E217,IF(AND($D217&gt;=AI$5,$D217&lt;AI$5+7),"◆",""),IF(AND($D217&lt;AI$5+7,$E217&gt;AI$5),"■","")))</x:f>
      </x:c>
      <x:c r="AJ217" s="7" t="str">
        <x:f>IF(OR($D217="",AJ$5="",'상세일정'!AM217="제외"),"",IF($D217=$E217,IF(AND($D217&gt;=AJ$5,$D217&lt;AJ$5+7),"◆",""),IF(AND($D217&lt;AJ$5+7,$E217&gt;AJ$5),"■","")))</x:f>
      </x:c>
      <x:c r="AK217" s="7" t="str">
        <x:f>IF(OR($D217="",AK$5="",'상세일정'!AM217="제외"),"",IF($D217=$E217,IF(AND($D217&gt;=AK$5,$D217&lt;AK$5+7),"◆",""),IF(AND($D217&lt;AK$5+7,$E217&gt;AK$5),"■","")))</x:f>
      </x:c>
      <x:c r="AL217" s="7" t="str">
        <x:f>IF(OR($D217="",AL$5="",'상세일정'!AM217="제외"),"",IF($D217=$E217,IF(AND($D217&gt;=AL$5,$D217&lt;AL$5+7),"◆",""),IF(AND($D217&lt;AL$5+7,$E217&gt;AL$5),"■","")))</x:f>
      </x:c>
      <x:c r="AM217" s="7" t="str">
        <x:f>IF(OR($D217="",AM$5="",'상세일정'!AM217="제외"),"",IF($D217=$E217,IF(AND($D217&gt;=AM$5,$D217&lt;AM$5+7),"◆",""),IF(AND($D217&lt;AM$5+7,$E217&gt;AM$5),"■","")))</x:f>
      </x:c>
      <x:c r="AN217" s="7" t="str">
        <x:f>IF(OR($D217="",AN$5="",'상세일정'!AM217="제외"),"",IF($D217=$E217,IF(AND($D217&gt;=AN$5,$D217&lt;AN$5+7),"◆",""),IF(AND($D217&lt;AN$5+7,$E217&gt;AN$5),"■","")))</x:f>
      </x:c>
      <x:c r="AO217" s="7" t="str">
        <x:f>IF(OR($D217="",AO$5="",'상세일정'!AM217="제외"),"",IF($D217=$E217,IF(AND($D217&gt;=AO$5,$D217&lt;AO$5+7),"◆",""),IF(AND($D217&lt;AO$5+7,$E217&gt;AO$5),"■","")))</x:f>
      </x:c>
      <x:c r="AP217" s="7" t="str">
        <x:f>IF(OR($D217="",AP$5="",'상세일정'!AM217="제외"),"",IF($D217=$E217,IF(AND($D217&gt;=AP$5,$D217&lt;AP$5+7),"◆",""),IF(AND($D217&lt;AP$5+7,$E217&gt;AP$5),"■","")))</x:f>
      </x:c>
      <x:c r="AQ217" s="7" t="str">
        <x:f>IF(OR($D217="",AQ$5="",'상세일정'!AM217="제외"),"",IF($D217=$E217,IF(AND($D217&gt;=AQ$5,$D217&lt;AQ$5+7),"◆",""),IF(AND($D217&lt;AQ$5+7,$E217&gt;AQ$5),"■","")))</x:f>
      </x:c>
      <x:c r="AR217" s="7" t="str">
        <x:f>IF(OR($D217="",AR$5="",'상세일정'!AM217="제외"),"",IF($D217=$E217,IF(AND($D217&gt;=AR$5,$D217&lt;AR$5+7),"◆",""),IF(AND($D217&lt;AR$5+7,$E217&gt;AR$5),"■","")))</x:f>
      </x:c>
      <x:c r="AS217" s="7" t="str">
        <x:f>IF(OR($D217="",AS$5="",'상세일정'!AM217="제외"),"",IF($D217=$E217,IF(AND($D217&gt;=AS$5,$D217&lt;AS$5+7),"◆",""),IF(AND($D217&lt;AS$5+7,$E217&gt;AS$5),"■","")))</x:f>
      </x:c>
      <x:c r="AT217" s="7" t="str">
        <x:f>IF(OR($D217="",AT$5="",'상세일정'!AM217="제외"),"",IF($D217=$E217,IF(AND($D217&gt;=AT$5,$D217&lt;AT$5+7),"◆",""),IF(AND($D217&lt;AT$5+7,$E217&gt;AT$5),"■","")))</x:f>
      </x:c>
      <x:c r="AU217" s="7" t="str">
        <x:f>IF(OR($D217="",AU$5="",'상세일정'!AM217="제외"),"",IF($D217=$E217,IF(AND($D217&gt;=AU$5,$D217&lt;AU$5+7),"◆",""),IF(AND($D217&lt;AU$5+7,$E217&gt;AU$5),"■","")))</x:f>
      </x:c>
      <x:c r="AV217" s="7" t="str">
        <x:f>IF(OR($D217="",AV$5="",'상세일정'!AM217="제외"),"",IF($D217=$E217,IF(AND($D217&gt;=AV$5,$D217&lt;AV$5+7),"◆",""),IF(AND($D217&lt;AV$5+7,$E217&gt;AV$5),"■","")))</x:f>
      </x:c>
      <x:c r="AW217" s="7" t="str">
        <x:f>IF(OR($D217="",AW$5="",'상세일정'!AM217="제외"),"",IF($D217=$E217,IF(AND($D217&gt;=AW$5,$D217&lt;AW$5+7),"◆",""),IF(AND($D217&lt;AW$5+7,$E217&gt;AW$5),"■","")))</x:f>
      </x:c>
      <x:c r="AX217" s="7" t="str">
        <x:f>IF(OR($D217="",AX$5="",'상세일정'!AM217="제외"),"",IF($D217=$E217,IF(AND($D217&gt;=AX$5,$D217&lt;AX$5+7),"◆",""),IF(AND($D217&lt;AX$5+7,$E217&gt;AX$5),"■","")))</x:f>
      </x:c>
      <x:c r="AY217" s="7" t="str">
        <x:f>IF(OR($D217="",AY$5="",'상세일정'!AM217="제외"),"",IF($D217=$E217,IF(AND($D217&gt;=AY$5,$D217&lt;AY$5+7),"◆",""),IF(AND($D217&lt;AY$5+7,$E217&gt;AY$5),"■","")))</x:f>
      </x:c>
      <x:c r="AZ217" s="7" t="str">
        <x:f>IF(OR($D217="",AZ$5="",'상세일정'!AM217="제외"),"",IF($D217=$E217,IF(AND($D217&gt;=AZ$5,$D217&lt;AZ$5+7),"◆",""),IF(AND($D217&lt;AZ$5+7,$E217&gt;AZ$5),"■","")))</x:f>
      </x:c>
      <x:c r="BA217" s="7" t="str">
        <x:f>IF(OR($D217="",BA$5="",'상세일정'!AM217="제외"),"",IF($D217=$E217,IF(AND($D217&gt;=BA$5,$D217&lt;BA$5+7),"◆",""),IF(AND($D217&lt;BA$5+7,$E217&gt;BA$5),"■","")))</x:f>
      </x:c>
      <x:c r="BB217" s="7" t="str">
        <x:f>IF(OR($D217="",BB$5="",'상세일정'!AM217="제외"),"",IF($D217=$E217,IF(AND($D217&gt;=BB$5,$D217&lt;BB$5+7),"◆",""),IF(AND($D217&lt;BB$5+7,$E217&gt;BB$5),"■","")))</x:f>
      </x:c>
      <x:c r="BC217" s="7" t="str">
        <x:f>IF(OR($D217="",BC$5="",'상세일정'!AM217="제외"),"",IF($D217=$E217,IF(AND($D217&gt;=BC$5,$D217&lt;BC$5+7),"◆",""),IF(AND($D217&lt;BC$5+7,$E217&gt;BC$5),"■","")))</x:f>
      </x:c>
      <x:c r="BD217" s="7" t="str">
        <x:f>IF(OR($D217="",BD$5="",'상세일정'!AM217="제외"),"",IF($D217=$E217,IF(AND($D217&gt;=BD$5,$D217&lt;BD$5+7),"◆",""),IF(AND($D217&lt;BD$5+7,$E217&gt;BD$5),"■","")))</x:f>
      </x:c>
      <x:c r="BE217" s="7" t="str">
        <x:f>IF(OR($D217="",BE$5="",'상세일정'!AM217="제외"),"",IF($D217=$E217,IF(AND($D217&gt;=BE$5,$D217&lt;BE$5+7),"◆",""),IF(AND($D217&lt;BE$5+7,$E217&gt;BE$5),"■","")))</x:f>
      </x:c>
      <x:c r="BF217" s="7" t="str">
        <x:f>IF(OR($D217="",BF$5="",'상세일정'!AM217="제외"),"",IF($D217=$E217,IF(AND($D217&gt;=BF$5,$D217&lt;BF$5+7),"◆",""),IF(AND($D217&lt;BF$5+7,$E217&gt;BF$5),"■","")))</x:f>
      </x:c>
      <x:c r="BG217" s="7" t="str">
        <x:f>IF(OR($D217="",BG$5="",'상세일정'!AM217="제외"),"",IF($D217=$E217,IF(AND($D217&gt;=BG$5,$D217&lt;BG$5+7),"◆",""),IF(AND($D217&lt;BG$5+7,$E217&gt;BG$5),"■","")))</x:f>
      </x:c>
      <x:c r="BH217" s="7" t="str">
        <x:f>IF(OR($D217="",BH$5="",'상세일정'!AM217="제외"),"",IF($D217=$E217,IF(AND($D217&gt;=BH$5,$D217&lt;BH$5+7),"◆",""),IF(AND($D217&lt;BH$5+7,$E217&gt;BH$5),"■","")))</x:f>
      </x:c>
      <x:c r="BI217" s="7" t="str">
        <x:f>IF(OR($D217="",BI$5="",'상세일정'!AM217="제외"),"",IF($D217=$E217,IF(AND($D217&gt;=BI$5,$D217&lt;BI$5+7),"◆",""),IF(AND($D217&lt;BI$5+7,$E217&gt;BI$5),"■","")))</x:f>
      </x:c>
      <x:c r="BJ217" s="7" t="str">
        <x:f>IF(OR($D217="",BJ$5="",'상세일정'!AM217="제외"),"",IF($D217=$E217,IF(AND($D217&gt;=BJ$5,$D217&lt;BJ$5+7),"◆",""),IF(AND($D217&lt;BJ$5+7,$E217&gt;BJ$5),"■","")))</x:f>
      </x:c>
      <x:c r="BK217" s="7" t="str">
        <x:f>IF(OR($D217="",BK$5="",'상세일정'!AM217="제외"),"",IF($D217=$E217,IF(AND($D217&gt;=BK$5,$D217&lt;BK$5+7),"◆",""),IF(AND($D217&lt;BK$5+7,$E217&gt;BK$5),"■","")))</x:f>
      </x:c>
      <x:c r="BL217" s="7" t="str">
        <x:f>IF(OR($D217="",BL$5="",'상세일정'!AM217="제외"),"",IF($D217=$E217,IF(AND($D217&gt;=BL$5,$D217&lt;BL$5+7),"◆",""),IF(AND($D217&lt;BL$5+7,$E217&gt;BL$5),"■","")))</x:f>
      </x:c>
      <x:c r="BM217" s="7" t="str">
        <x:f>IF(OR($D217="",BM$5="",'상세일정'!AM217="제외"),"",IF($D217=$E217,IF(AND($D217&gt;=BM$5,$D217&lt;BM$5+7),"◆",""),IF(AND($D217&lt;BM$5+7,$E217&gt;BM$5),"■","")))</x:f>
      </x:c>
      <x:c r="BN217" s="7" t="str">
        <x:f>IF(OR($D217="",BN$5="",'상세일정'!AM217="제외"),"",IF($D217=$E217,IF(AND($D217&gt;=BN$5,$D217&lt;BN$5+7),"◆",""),IF(AND($D217&lt;BN$5+7,$E217&gt;BN$5),"■","")))</x:f>
      </x:c>
      <x:c r="BO217" s="7" t="str">
        <x:f>IF(OR($D217="",BO$5="",'상세일정'!AM217="제외"),"",IF($D217=$E217,IF(AND($D217&gt;=BO$5,$D217&lt;BO$5+7),"◆",""),IF(AND($D217&lt;BO$5+7,$E217&gt;BO$5),"■","")))</x:f>
      </x:c>
      <x:c r="BP217" s="7" t="str">
        <x:f>IF(OR($D217="",BP$5="",'상세일정'!AM217="제외"),"",IF($D217=$E217,IF(AND($D217&gt;=BP$5,$D217&lt;BP$5+7),"◆",""),IF(AND($D217&lt;BP$5+7,$E217&gt;BP$5),"■","")))</x:f>
      </x:c>
      <x:c r="BQ217" s="7" t="str">
        <x:f>IF(OR($D217="",BQ$5="",'상세일정'!AM217="제외"),"",IF($D217=$E217,IF(AND($D217&gt;=BQ$5,$D217&lt;BQ$5+7),"◆",""),IF(AND($D217&lt;BQ$5+7,$E217&gt;BQ$5),"■","")))</x:f>
      </x:c>
      <x:c r="BR217" s="7" t="str">
        <x:f>IF(OR($D217="",BR$5="",'상세일정'!AM217="제외"),"",IF($D217=$E217,IF(AND($D217&gt;=BR$5,$D217&lt;BR$5+7),"◆",""),IF(AND($D217&lt;BR$5+7,$E217&gt;BR$5),"■","")))</x:f>
      </x:c>
      <x:c r="BS217" s="7" t="str">
        <x:f>IF(OR($D217="",BS$5="",'상세일정'!AM217="제외"),"",IF($D217=$E217,IF(AND($D217&gt;=BS$5,$D217&lt;BS$5+7),"◆",""),IF(AND($D217&lt;BS$5+7,$E217&gt;BS$5),"■","")))</x:f>
      </x:c>
      <x:c r="BT217" s="7" t="str">
        <x:f>IF(OR($D217="",BT$5="",'상세일정'!AM217="제외"),"",IF($D217=$E217,IF(AND($D217&gt;=BT$5,$D217&lt;BT$5+7),"◆",""),IF(AND($D217&lt;BT$5+7,$E217&gt;BT$5),"■","")))</x:f>
      </x:c>
      <x:c r="BU217" s="7" t="str">
        <x:f>IF(OR($D217="",BU$5="",'상세일정'!AM217="제외"),"",IF($D217=$E217,IF(AND($D217&gt;=BU$5,$D217&lt;BU$5+7),"◆",""),IF(AND($D217&lt;BU$5+7,$E217&gt;BU$5),"■","")))</x:f>
      </x:c>
      <x:c r="BV217" s="7" t="str">
        <x:f>IF(OR($D217="",BV$5="",'상세일정'!AM217="제외"),"",IF($D217=$E217,IF(AND($D217&gt;=BV$5,$D217&lt;BV$5+7),"◆",""),IF(AND($D217&lt;BV$5+7,$E217&gt;BV$5),"■","")))</x:f>
      </x:c>
      <x:c r="BW217" s="7" t="str">
        <x:f>IF(OR($D217="",BW$5="",'상세일정'!AM217="제외"),"",IF($D217=$E217,IF(AND($D217&gt;=BW$5,$D217&lt;BW$5+7),"◆",""),IF(AND($D217&lt;BW$5+7,$E217&gt;BW$5),"■","")))</x:f>
      </x:c>
      <x:c r="BX217" s="7" t="str">
        <x:f>IF(OR($D217="",BX$5="",'상세일정'!AM217="제외"),"",IF($D217=$E217,IF(AND($D217&gt;=BX$5,$D217&lt;BX$5+7),"◆",""),IF(AND($D217&lt;BX$5+7,$E217&gt;BX$5),"■","")))</x:f>
      </x:c>
      <x:c r="BY217" s="7" t="str">
        <x:f>IF(OR($D217="",BY$5="",'상세일정'!AM217="제외"),"",IF($D217=$E217,IF(AND($D217&gt;=BY$5,$D217&lt;BY$5+7),"◆",""),IF(AND($D217&lt;BY$5+7,$E217&gt;BY$5),"■","")))</x:f>
      </x:c>
      <x:c r="BZ217" s="7" t="str">
        <x:f>IF(OR($D217="",BZ$5="",'상세일정'!AM217="제외"),"",IF($D217=$E217,IF(AND($D217&gt;=BZ$5,$D217&lt;BZ$5+7),"◆",""),IF(AND($D217&lt;BZ$5+7,$E217&gt;BZ$5),"■","")))</x:f>
      </x:c>
      <x:c r="CA217" s="7" t="str">
        <x:f>IF(OR($D217="",CA$5="",'상세일정'!AM217="제외"),"",IF($D217=$E217,IF(AND($D217&gt;=CA$5,$D217&lt;CA$5+7),"◆",""),IF(AND($D217&lt;CA$5+7,$E217&gt;CA$5),"■","")))</x:f>
      </x:c>
      <x:c r="CB217" s="7" t="str">
        <x:f>IF(OR($D217="",CB$5="",'상세일정'!AM217="제외"),"",IF($D217=$E217,IF(AND($D217&gt;=CB$5,$D217&lt;CB$5+7),"◆",""),IF(AND($D217&lt;CB$5+7,$E217&gt;CB$5),"■","")))</x:f>
      </x:c>
      <x:c r="CC217" s="7" t="str">
        <x:f>IF(OR($D217="",CC$5="",'상세일정'!AM217="제외"),"",IF($D217=$E217,IF(AND($D217&gt;=CC$5,$D217&lt;CC$5+7),"◆",""),IF(AND($D217&lt;CC$5+7,$E217&gt;CC$5),"■","")))</x:f>
      </x:c>
      <x:c r="CD217" s="7" t="str">
        <x:f>IF(OR($D217="",CD$5="",'상세일정'!AM217="제외"),"",IF($D217=$E217,IF(AND($D217&gt;=CD$5,$D217&lt;CD$5+7),"◆",""),IF(AND($D217&lt;CD$5+7,$E217&gt;CD$5),"■","")))</x:f>
      </x:c>
      <x:c r="CE217" s="7" t="str">
        <x:f>IF(OR($D217="",CE$5="",'상세일정'!AM217="제외"),"",IF($D217=$E217,IF(AND($D217&gt;=CE$5,$D217&lt;CE$5+7),"◆",""),IF(AND($D217&lt;CE$5+7,$E217&gt;CE$5),"■","")))</x:f>
      </x:c>
      <x:c r="CF217" s="7" t="str">
        <x:f>IF(OR($D217="",CF$5="",'상세일정'!AM217="제외"),"",IF($D217=$E217,IF(AND($D217&gt;=CF$5,$D217&lt;CF$5+7),"◆",""),IF(AND($D217&lt;CF$5+7,$E217&gt;CF$5),"■","")))</x:f>
      </x:c>
      <x:c r="CG217" s="7" t="str">
        <x:f>IF(OR($D217="",CG$5="",'상세일정'!AM217="제외"),"",IF($D217=$E217,IF(AND($D217&gt;=CG$5,$D217&lt;CG$5+7),"◆",""),IF(AND($D217&lt;CG$5+7,$E217&gt;CG$5),"■","")))</x:f>
      </x:c>
      <x:c r="CH217" s="7" t="str">
        <x:f>IF(OR($D217="",CH$5="",'상세일정'!AM217="제외"),"",IF($D217=$E217,IF(AND($D217&gt;=CH$5,$D217&lt;CH$5+7),"◆",""),IF(AND($D217&lt;CH$5+7,$E217&gt;CH$5),"■","")))</x:f>
      </x:c>
      <x:c r="CI217" s="7" t="str">
        <x:f>IF(OR($D217="",CI$5="",'상세일정'!AM217="제외"),"",IF($D217=$E217,IF(AND($D217&gt;=CI$5,$D217&lt;CI$5+7),"◆",""),IF(AND($D217&lt;CI$5+7,$E217&gt;CI$5),"■","")))</x:f>
      </x:c>
      <x:c r="CJ217" s="7" t="str">
        <x:f>IF(OR($D217="",CJ$5="",'상세일정'!AM217="제외"),"",IF($D217=$E217,IF(AND($D217&gt;=CJ$5,$D217&lt;CJ$5+7),"◆",""),IF(AND($D217&lt;CJ$5+7,$E217&gt;CJ$5),"■","")))</x:f>
      </x:c>
      <x:c r="CK217" s="7" t="str">
        <x:f>IF(OR($D217="",CK$5="",'상세일정'!AM217="제외"),"",IF($D217=$E217,IF(AND($D217&gt;=CK$5,$D217&lt;CK$5+7),"◆",""),IF(AND($D217&lt;CK$5+7,$E217&gt;CK$5),"■","")))</x:f>
      </x:c>
      <x:c r="CL217" s="7" t="str">
        <x:f>IF(OR($D217="",CL$5="",'상세일정'!AM217="제외"),"",IF($D217=$E217,IF(AND($D217&gt;=CL$5,$D217&lt;CL$5+7),"◆",""),IF(AND($D217&lt;CL$5+7,$E217&gt;CL$5),"■","")))</x:f>
      </x:c>
      <x:c r="CM217" s="7" t="str">
        <x:f>IF(OR($D217="",CM$5="",'상세일정'!AM217="제외"),"",IF($D217=$E217,IF(AND($D217&gt;=CM$5,$D217&lt;CM$5+7),"◆",""),IF(AND($D217&lt;CM$5+7,$E217&gt;CM$5),"■","")))</x:f>
      </x:c>
      <x:c r="CN217" s="7" t="str">
        <x:f>IF(OR($D217="",CN$5="",'상세일정'!AM217="제외"),"",IF($D217=$E217,IF(AND($D217&gt;=CN$5,$D217&lt;CN$5+7),"◆",""),IF(AND($D217&lt;CN$5+7,$E217&gt;CN$5),"■","")))</x:f>
      </x:c>
      <x:c r="CO217" s="7" t="str">
        <x:f>IF(OR($D217="",CO$5="",'상세일정'!AM217="제외"),"",IF($D217=$E217,IF(AND($D217&gt;=CO$5,$D217&lt;CO$5+7),"◆",""),IF(AND($D217&lt;CO$5+7,$E217&gt;CO$5),"■","")))</x:f>
      </x:c>
      <x:c r="CP217" s="7" t="str">
        <x:f>IF(OR($D217="",CP$5="",'상세일정'!AM217="제외"),"",IF($D217=$E217,IF(AND($D217&gt;=CP$5,$D217&lt;CP$5+7),"◆",""),IF(AND($D217&lt;CP$5+7,$E217&gt;CP$5),"■","")))</x:f>
      </x:c>
      <x:c r="CQ217" s="7" t="str">
        <x:f>IF(OR($D217="",CQ$5="",'상세일정'!AM217="제외"),"",IF($D217=$E217,IF(AND($D217&gt;=CQ$5,$D217&lt;CQ$5+7),"◆",""),IF(AND($D217&lt;CQ$5+7,$E217&gt;CQ$5),"■","")))</x:f>
      </x:c>
      <x:c r="CR217" s="7" t="str">
        <x:f>IF(OR($D217="",CR$5="",'상세일정'!AM217="제외"),"",IF($D217=$E217,IF(AND($D217&gt;=CR$5,$D217&lt;CR$5+7),"◆",""),IF(AND($D217&lt;CR$5+7,$E217&gt;CR$5),"■","")))</x:f>
      </x:c>
      <x:c r="CS217" s="7" t="str">
        <x:f>IF(OR($D217="",CS$5="",'상세일정'!AM217="제외"),"",IF($D217=$E217,IF(AND($D217&gt;=CS$5,$D217&lt;CS$5+7),"◆",""),IF(AND($D217&lt;CS$5+7,$E217&gt;CS$5),"■","")))</x:f>
      </x:c>
      <x:c r="CT217" s="7" t="str">
        <x:f>IF(OR($D217="",CT$5="",'상세일정'!AM217="제외"),"",IF($D217=$E217,IF(AND($D217&gt;=CT$5,$D217&lt;CT$5+7),"◆",""),IF(AND($D217&lt;CT$5+7,$E217&gt;CT$5),"■","")))</x:f>
      </x:c>
      <x:c r="CU217" s="7" t="str">
        <x:f>IF(OR($D217="",CU$5="",'상세일정'!AM217="제외"),"",IF($D217=$E217,IF(AND($D217&gt;=CU$5,$D217&lt;CU$5+7),"◆",""),IF(AND($D217&lt;CU$5+7,$E217&gt;CU$5),"■","")))</x:f>
      </x:c>
      <x:c r="CV217" s="7" t="str">
        <x:f>IF(OR($D217="",CV$5="",'상세일정'!AM217="제외"),"",IF($D217=$E217,IF(AND($D217&gt;=CV$5,$D217&lt;CV$5+7),"◆",""),IF(AND($D217&lt;CV$5+7,$E217&gt;CV$5),"■","")))</x:f>
      </x:c>
      <x:c r="CW217" s="7" t="str">
        <x:f>IF(OR($D217="",CW$5="",'상세일정'!AM217="제외"),"",IF($D217=$E217,IF(AND($D217&gt;=CW$5,$D217&lt;CW$5+7),"◆",""),IF(AND($D217&lt;CW$5+7,$E217&gt;CW$5),"■","")))</x:f>
      </x:c>
      <x:c r="CX217" s="7" t="str">
        <x:f>IF(OR($D217="",CX$5="",'상세일정'!AM217="제외"),"",IF($D217=$E217,IF(AND($D217&gt;=CX$5,$D217&lt;CX$5+7),"◆",""),IF(AND($D217&lt;CX$5+7,$E217&gt;CX$5),"■","")))</x:f>
      </x:c>
      <x:c r="CY217" s="7" t="str">
        <x:f>IF(OR($D217="",CY$5="",'상세일정'!AM217="제외"),"",IF($D217=$E217,IF(AND($D217&gt;=CY$5,$D217&lt;CY$5+7),"◆",""),IF(AND($D217&lt;CY$5+7,$E217&gt;CY$5),"■","")))</x:f>
      </x:c>
      <x:c r="CZ217" s="7" t="str">
        <x:f>IF(OR($D217="",CZ$5="",'상세일정'!AM217="제외"),"",IF($D217=$E217,IF(AND($D217&gt;=CZ$5,$D217&lt;CZ$5+7),"◆",""),IF(AND($D217&lt;CZ$5+7,$E217&gt;CZ$5),"■","")))</x:f>
      </x:c>
      <x:c r="DA217" s="7" t="str">
        <x:f>IF(OR($D217="",DA$5="",'상세일정'!AM217="제외"),"",IF($D217=$E217,IF(AND($D217&gt;=DA$5,$D217&lt;DA$5+7),"◆",""),IF(AND($D217&lt;DA$5+7,$E217&gt;DA$5),"■","")))</x:f>
      </x:c>
      <x:c r="DB217" s="7" t="str">
        <x:f>IF(OR($D217="",DB$5="",'상세일정'!AM217="제외"),"",IF($D217=$E217,IF(AND($D217&gt;=DB$5,$D217&lt;DB$5+7),"◆",""),IF(AND($D217&lt;DB$5+7,$E217&gt;DB$5),"■","")))</x:f>
      </x:c>
      <x:c r="DC217" s="7" t="str">
        <x:f>IF(OR($D217="",DC$5="",'상세일정'!AM217="제외"),"",IF($D217=$E217,IF(AND($D217&gt;=DC$5,$D217&lt;DC$5+7),"◆",""),IF(AND($D217&lt;DC$5+7,$E217&gt;DC$5),"■","")))</x:f>
      </x:c>
      <x:c r="DD217" s="7" t="str">
        <x:f>IF(OR($D217="",DD$5="",'상세일정'!AM217="제외"),"",IF($D217=$E217,IF(AND($D217&gt;=DD$5,$D217&lt;DD$5+7),"◆",""),IF(AND($D217&lt;DD$5+7,$E217&gt;DD$5),"■","")))</x:f>
      </x:c>
      <x:c r="DE217" s="7" t="str">
        <x:f>IF(OR($D217="",DE$5="",'상세일정'!AM217="제외"),"",IF($D217=$E217,IF(AND($D217&gt;=DE$5,$D217&lt;DE$5+7),"◆",""),IF(AND($D217&lt;DE$5+7,$E217&gt;DE$5),"■","")))</x:f>
      </x:c>
    </x:row>
    <x:row r="218" ht="34" customHeight="1">
      <x:c r="A218" s="7" t="str">
        <x:v>QC01</x:v>
      </x:c>
      <x:c r="B218" s="7" t="str">
        <x:v>25 검사·운전 준비</x:v>
      </x:c>
      <x:c r="C218" s="7" t="str">
        <x:v>해당 제품 법정검사 대상·설계/생산단계 일정 협의</x:v>
      </x:c>
      <x:c r="D218" s="10" t="str">
        <x:f>'상세일정'!AJ218</x:f>
      </x:c>
      <x:c r="E218" s="10" t="str">
        <x:f>'상세일정'!AK218</x:f>
      </x:c>
      <x:c r="F218" s="7" t="str">
        <x:f>IF(OR($D218="",F$5="",'상세일정'!AM218="제외"),"",IF($D218=$E218,IF(AND($D218&gt;=F$5,$D218&lt;F$5+7),"◆",""),IF(AND($D218&lt;F$5+7,$E218&gt;F$5),"■","")))</x:f>
      </x:c>
      <x:c r="G218" s="7" t="str">
        <x:f>IF(OR($D218="",G$5="",'상세일정'!AM218="제외"),"",IF($D218=$E218,IF(AND($D218&gt;=G$5,$D218&lt;G$5+7),"◆",""),IF(AND($D218&lt;G$5+7,$E218&gt;G$5),"■","")))</x:f>
      </x:c>
      <x:c r="H218" s="7" t="str">
        <x:f>IF(OR($D218="",H$5="",'상세일정'!AM218="제외"),"",IF($D218=$E218,IF(AND($D218&gt;=H$5,$D218&lt;H$5+7),"◆",""),IF(AND($D218&lt;H$5+7,$E218&gt;H$5),"■","")))</x:f>
      </x:c>
      <x:c r="I218" s="7" t="str">
        <x:f>IF(OR($D218="",I$5="",'상세일정'!AM218="제외"),"",IF($D218=$E218,IF(AND($D218&gt;=I$5,$D218&lt;I$5+7),"◆",""),IF(AND($D218&lt;I$5+7,$E218&gt;I$5),"■","")))</x:f>
      </x:c>
      <x:c r="J218" s="7" t="str">
        <x:f>IF(OR($D218="",J$5="",'상세일정'!AM218="제외"),"",IF($D218=$E218,IF(AND($D218&gt;=J$5,$D218&lt;J$5+7),"◆",""),IF(AND($D218&lt;J$5+7,$E218&gt;J$5),"■","")))</x:f>
      </x:c>
      <x:c r="K218" s="7" t="str">
        <x:f>IF(OR($D218="",K$5="",'상세일정'!AM218="제외"),"",IF($D218=$E218,IF(AND($D218&gt;=K$5,$D218&lt;K$5+7),"◆",""),IF(AND($D218&lt;K$5+7,$E218&gt;K$5),"■","")))</x:f>
      </x:c>
      <x:c r="L218" s="7" t="str">
        <x:f>IF(OR($D218="",L$5="",'상세일정'!AM218="제외"),"",IF($D218=$E218,IF(AND($D218&gt;=L$5,$D218&lt;L$5+7),"◆",""),IF(AND($D218&lt;L$5+7,$E218&gt;L$5),"■","")))</x:f>
      </x:c>
      <x:c r="M218" s="7" t="str">
        <x:f>IF(OR($D218="",M$5="",'상세일정'!AM218="제외"),"",IF($D218=$E218,IF(AND($D218&gt;=M$5,$D218&lt;M$5+7),"◆",""),IF(AND($D218&lt;M$5+7,$E218&gt;M$5),"■","")))</x:f>
      </x:c>
      <x:c r="N218" s="7" t="str">
        <x:f>IF(OR($D218="",N$5="",'상세일정'!AM218="제외"),"",IF($D218=$E218,IF(AND($D218&gt;=N$5,$D218&lt;N$5+7),"◆",""),IF(AND($D218&lt;N$5+7,$E218&gt;N$5),"■","")))</x:f>
      </x:c>
      <x:c r="O218" s="7" t="str">
        <x:f>IF(OR($D218="",O$5="",'상세일정'!AM218="제외"),"",IF($D218=$E218,IF(AND($D218&gt;=O$5,$D218&lt;O$5+7),"◆",""),IF(AND($D218&lt;O$5+7,$E218&gt;O$5),"■","")))</x:f>
      </x:c>
      <x:c r="P218" s="7" t="str">
        <x:f>IF(OR($D218="",P$5="",'상세일정'!AM218="제외"),"",IF($D218=$E218,IF(AND($D218&gt;=P$5,$D218&lt;P$5+7),"◆",""),IF(AND($D218&lt;P$5+7,$E218&gt;P$5),"■","")))</x:f>
      </x:c>
      <x:c r="Q218" s="7" t="str">
        <x:f>IF(OR($D218="",Q$5="",'상세일정'!AM218="제외"),"",IF($D218=$E218,IF(AND($D218&gt;=Q$5,$D218&lt;Q$5+7),"◆",""),IF(AND($D218&lt;Q$5+7,$E218&gt;Q$5),"■","")))</x:f>
      </x:c>
      <x:c r="R218" s="7" t="str">
        <x:f>IF(OR($D218="",R$5="",'상세일정'!AM218="제외"),"",IF($D218=$E218,IF(AND($D218&gt;=R$5,$D218&lt;R$5+7),"◆",""),IF(AND($D218&lt;R$5+7,$E218&gt;R$5),"■","")))</x:f>
      </x:c>
      <x:c r="S218" s="7" t="str">
        <x:f>IF(OR($D218="",S$5="",'상세일정'!AM218="제외"),"",IF($D218=$E218,IF(AND($D218&gt;=S$5,$D218&lt;S$5+7),"◆",""),IF(AND($D218&lt;S$5+7,$E218&gt;S$5),"■","")))</x:f>
      </x:c>
      <x:c r="T218" s="7" t="str">
        <x:f>IF(OR($D218="",T$5="",'상세일정'!AM218="제외"),"",IF($D218=$E218,IF(AND($D218&gt;=T$5,$D218&lt;T$5+7),"◆",""),IF(AND($D218&lt;T$5+7,$E218&gt;T$5),"■","")))</x:f>
      </x:c>
      <x:c r="U218" s="7" t="str">
        <x:f>IF(OR($D218="",U$5="",'상세일정'!AM218="제외"),"",IF($D218=$E218,IF(AND($D218&gt;=U$5,$D218&lt;U$5+7),"◆",""),IF(AND($D218&lt;U$5+7,$E218&gt;U$5),"■","")))</x:f>
      </x:c>
      <x:c r="V218" s="7" t="str">
        <x:f>IF(OR($D218="",V$5="",'상세일정'!AM218="제외"),"",IF($D218=$E218,IF(AND($D218&gt;=V$5,$D218&lt;V$5+7),"◆",""),IF(AND($D218&lt;V$5+7,$E218&gt;V$5),"■","")))</x:f>
      </x:c>
      <x:c r="W218" s="7" t="str">
        <x:f>IF(OR($D218="",W$5="",'상세일정'!AM218="제외"),"",IF($D218=$E218,IF(AND($D218&gt;=W$5,$D218&lt;W$5+7),"◆",""),IF(AND($D218&lt;W$5+7,$E218&gt;W$5),"■","")))</x:f>
      </x:c>
      <x:c r="X218" s="7" t="str">
        <x:f>IF(OR($D218="",X$5="",'상세일정'!AM218="제외"),"",IF($D218=$E218,IF(AND($D218&gt;=X$5,$D218&lt;X$5+7),"◆",""),IF(AND($D218&lt;X$5+7,$E218&gt;X$5),"■","")))</x:f>
      </x:c>
      <x:c r="Y218" s="7" t="str">
        <x:f>IF(OR($D218="",Y$5="",'상세일정'!AM218="제외"),"",IF($D218=$E218,IF(AND($D218&gt;=Y$5,$D218&lt;Y$5+7),"◆",""),IF(AND($D218&lt;Y$5+7,$E218&gt;Y$5),"■","")))</x:f>
      </x:c>
      <x:c r="Z218" s="7" t="str">
        <x:f>IF(OR($D218="",Z$5="",'상세일정'!AM218="제외"),"",IF($D218=$E218,IF(AND($D218&gt;=Z$5,$D218&lt;Z$5+7),"◆",""),IF(AND($D218&lt;Z$5+7,$E218&gt;Z$5),"■","")))</x:f>
      </x:c>
      <x:c r="AA218" s="7" t="str">
        <x:f>IF(OR($D218="",AA$5="",'상세일정'!AM218="제외"),"",IF($D218=$E218,IF(AND($D218&gt;=AA$5,$D218&lt;AA$5+7),"◆",""),IF(AND($D218&lt;AA$5+7,$E218&gt;AA$5),"■","")))</x:f>
      </x:c>
      <x:c r="AB218" s="7" t="str">
        <x:f>IF(OR($D218="",AB$5="",'상세일정'!AM218="제외"),"",IF($D218=$E218,IF(AND($D218&gt;=AB$5,$D218&lt;AB$5+7),"◆",""),IF(AND($D218&lt;AB$5+7,$E218&gt;AB$5),"■","")))</x:f>
      </x:c>
      <x:c r="AC218" s="7" t="str">
        <x:f>IF(OR($D218="",AC$5="",'상세일정'!AM218="제외"),"",IF($D218=$E218,IF(AND($D218&gt;=AC$5,$D218&lt;AC$5+7),"◆",""),IF(AND($D218&lt;AC$5+7,$E218&gt;AC$5),"■","")))</x:f>
      </x:c>
      <x:c r="AD218" s="7" t="str">
        <x:f>IF(OR($D218="",AD$5="",'상세일정'!AM218="제외"),"",IF($D218=$E218,IF(AND($D218&gt;=AD$5,$D218&lt;AD$5+7),"◆",""),IF(AND($D218&lt;AD$5+7,$E218&gt;AD$5),"■","")))</x:f>
      </x:c>
      <x:c r="AE218" s="7" t="str">
        <x:f>IF(OR($D218="",AE$5="",'상세일정'!AM218="제외"),"",IF($D218=$E218,IF(AND($D218&gt;=AE$5,$D218&lt;AE$5+7),"◆",""),IF(AND($D218&lt;AE$5+7,$E218&gt;AE$5),"■","")))</x:f>
      </x:c>
      <x:c r="AF218" s="7" t="str">
        <x:f>IF(OR($D218="",AF$5="",'상세일정'!AM218="제외"),"",IF($D218=$E218,IF(AND($D218&gt;=AF$5,$D218&lt;AF$5+7),"◆",""),IF(AND($D218&lt;AF$5+7,$E218&gt;AF$5),"■","")))</x:f>
      </x:c>
      <x:c r="AG218" s="7" t="str">
        <x:f>IF(OR($D218="",AG$5="",'상세일정'!AM218="제외"),"",IF($D218=$E218,IF(AND($D218&gt;=AG$5,$D218&lt;AG$5+7),"◆",""),IF(AND($D218&lt;AG$5+7,$E218&gt;AG$5),"■","")))</x:f>
      </x:c>
      <x:c r="AH218" s="7" t="str">
        <x:f>IF(OR($D218="",AH$5="",'상세일정'!AM218="제외"),"",IF($D218=$E218,IF(AND($D218&gt;=AH$5,$D218&lt;AH$5+7),"◆",""),IF(AND($D218&lt;AH$5+7,$E218&gt;AH$5),"■","")))</x:f>
      </x:c>
      <x:c r="AI218" s="7" t="str">
        <x:f>IF(OR($D218="",AI$5="",'상세일정'!AM218="제외"),"",IF($D218=$E218,IF(AND($D218&gt;=AI$5,$D218&lt;AI$5+7),"◆",""),IF(AND($D218&lt;AI$5+7,$E218&gt;AI$5),"■","")))</x:f>
      </x:c>
      <x:c r="AJ218" s="7" t="str">
        <x:f>IF(OR($D218="",AJ$5="",'상세일정'!AM218="제외"),"",IF($D218=$E218,IF(AND($D218&gt;=AJ$5,$D218&lt;AJ$5+7),"◆",""),IF(AND($D218&lt;AJ$5+7,$E218&gt;AJ$5),"■","")))</x:f>
      </x:c>
      <x:c r="AK218" s="7" t="str">
        <x:f>IF(OR($D218="",AK$5="",'상세일정'!AM218="제외"),"",IF($D218=$E218,IF(AND($D218&gt;=AK$5,$D218&lt;AK$5+7),"◆",""),IF(AND($D218&lt;AK$5+7,$E218&gt;AK$5),"■","")))</x:f>
      </x:c>
      <x:c r="AL218" s="7" t="str">
        <x:f>IF(OR($D218="",AL$5="",'상세일정'!AM218="제외"),"",IF($D218=$E218,IF(AND($D218&gt;=AL$5,$D218&lt;AL$5+7),"◆",""),IF(AND($D218&lt;AL$5+7,$E218&gt;AL$5),"■","")))</x:f>
      </x:c>
      <x:c r="AM218" s="7" t="str">
        <x:f>IF(OR($D218="",AM$5="",'상세일정'!AM218="제외"),"",IF($D218=$E218,IF(AND($D218&gt;=AM$5,$D218&lt;AM$5+7),"◆",""),IF(AND($D218&lt;AM$5+7,$E218&gt;AM$5),"■","")))</x:f>
      </x:c>
      <x:c r="AN218" s="7" t="str">
        <x:f>IF(OR($D218="",AN$5="",'상세일정'!AM218="제외"),"",IF($D218=$E218,IF(AND($D218&gt;=AN$5,$D218&lt;AN$5+7),"◆",""),IF(AND($D218&lt;AN$5+7,$E218&gt;AN$5),"■","")))</x:f>
      </x:c>
      <x:c r="AO218" s="7" t="str">
        <x:f>IF(OR($D218="",AO$5="",'상세일정'!AM218="제외"),"",IF($D218=$E218,IF(AND($D218&gt;=AO$5,$D218&lt;AO$5+7),"◆",""),IF(AND($D218&lt;AO$5+7,$E218&gt;AO$5),"■","")))</x:f>
      </x:c>
      <x:c r="AP218" s="7" t="str">
        <x:f>IF(OR($D218="",AP$5="",'상세일정'!AM218="제외"),"",IF($D218=$E218,IF(AND($D218&gt;=AP$5,$D218&lt;AP$5+7),"◆",""),IF(AND($D218&lt;AP$5+7,$E218&gt;AP$5),"■","")))</x:f>
      </x:c>
      <x:c r="AQ218" s="7" t="str">
        <x:f>IF(OR($D218="",AQ$5="",'상세일정'!AM218="제외"),"",IF($D218=$E218,IF(AND($D218&gt;=AQ$5,$D218&lt;AQ$5+7),"◆",""),IF(AND($D218&lt;AQ$5+7,$E218&gt;AQ$5),"■","")))</x:f>
      </x:c>
      <x:c r="AR218" s="7" t="str">
        <x:f>IF(OR($D218="",AR$5="",'상세일정'!AM218="제외"),"",IF($D218=$E218,IF(AND($D218&gt;=AR$5,$D218&lt;AR$5+7),"◆",""),IF(AND($D218&lt;AR$5+7,$E218&gt;AR$5),"■","")))</x:f>
      </x:c>
      <x:c r="AS218" s="7" t="str">
        <x:f>IF(OR($D218="",AS$5="",'상세일정'!AM218="제외"),"",IF($D218=$E218,IF(AND($D218&gt;=AS$5,$D218&lt;AS$5+7),"◆",""),IF(AND($D218&lt;AS$5+7,$E218&gt;AS$5),"■","")))</x:f>
      </x:c>
      <x:c r="AT218" s="7" t="str">
        <x:f>IF(OR($D218="",AT$5="",'상세일정'!AM218="제외"),"",IF($D218=$E218,IF(AND($D218&gt;=AT$5,$D218&lt;AT$5+7),"◆",""),IF(AND($D218&lt;AT$5+7,$E218&gt;AT$5),"■","")))</x:f>
      </x:c>
      <x:c r="AU218" s="7" t="str">
        <x:f>IF(OR($D218="",AU$5="",'상세일정'!AM218="제외"),"",IF($D218=$E218,IF(AND($D218&gt;=AU$5,$D218&lt;AU$5+7),"◆",""),IF(AND($D218&lt;AU$5+7,$E218&gt;AU$5),"■","")))</x:f>
      </x:c>
      <x:c r="AV218" s="7" t="str">
        <x:f>IF(OR($D218="",AV$5="",'상세일정'!AM218="제외"),"",IF($D218=$E218,IF(AND($D218&gt;=AV$5,$D218&lt;AV$5+7),"◆",""),IF(AND($D218&lt;AV$5+7,$E218&gt;AV$5),"■","")))</x:f>
      </x:c>
      <x:c r="AW218" s="7" t="str">
        <x:f>IF(OR($D218="",AW$5="",'상세일정'!AM218="제외"),"",IF($D218=$E218,IF(AND($D218&gt;=AW$5,$D218&lt;AW$5+7),"◆",""),IF(AND($D218&lt;AW$5+7,$E218&gt;AW$5),"■","")))</x:f>
      </x:c>
      <x:c r="AX218" s="7" t="str">
        <x:f>IF(OR($D218="",AX$5="",'상세일정'!AM218="제외"),"",IF($D218=$E218,IF(AND($D218&gt;=AX$5,$D218&lt;AX$5+7),"◆",""),IF(AND($D218&lt;AX$5+7,$E218&gt;AX$5),"■","")))</x:f>
      </x:c>
      <x:c r="AY218" s="7" t="str">
        <x:f>IF(OR($D218="",AY$5="",'상세일정'!AM218="제외"),"",IF($D218=$E218,IF(AND($D218&gt;=AY$5,$D218&lt;AY$5+7),"◆",""),IF(AND($D218&lt;AY$5+7,$E218&gt;AY$5),"■","")))</x:f>
      </x:c>
      <x:c r="AZ218" s="7" t="str">
        <x:f>IF(OR($D218="",AZ$5="",'상세일정'!AM218="제외"),"",IF($D218=$E218,IF(AND($D218&gt;=AZ$5,$D218&lt;AZ$5+7),"◆",""),IF(AND($D218&lt;AZ$5+7,$E218&gt;AZ$5),"■","")))</x:f>
      </x:c>
      <x:c r="BA218" s="7" t="str">
        <x:f>IF(OR($D218="",BA$5="",'상세일정'!AM218="제외"),"",IF($D218=$E218,IF(AND($D218&gt;=BA$5,$D218&lt;BA$5+7),"◆",""),IF(AND($D218&lt;BA$5+7,$E218&gt;BA$5),"■","")))</x:f>
      </x:c>
      <x:c r="BB218" s="7" t="str">
        <x:f>IF(OR($D218="",BB$5="",'상세일정'!AM218="제외"),"",IF($D218=$E218,IF(AND($D218&gt;=BB$5,$D218&lt;BB$5+7),"◆",""),IF(AND($D218&lt;BB$5+7,$E218&gt;BB$5),"■","")))</x:f>
      </x:c>
      <x:c r="BC218" s="7" t="str">
        <x:f>IF(OR($D218="",BC$5="",'상세일정'!AM218="제외"),"",IF($D218=$E218,IF(AND($D218&gt;=BC$5,$D218&lt;BC$5+7),"◆",""),IF(AND($D218&lt;BC$5+7,$E218&gt;BC$5),"■","")))</x:f>
      </x:c>
      <x:c r="BD218" s="7" t="str">
        <x:f>IF(OR($D218="",BD$5="",'상세일정'!AM218="제외"),"",IF($D218=$E218,IF(AND($D218&gt;=BD$5,$D218&lt;BD$5+7),"◆",""),IF(AND($D218&lt;BD$5+7,$E218&gt;BD$5),"■","")))</x:f>
      </x:c>
      <x:c r="BE218" s="7" t="str">
        <x:f>IF(OR($D218="",BE$5="",'상세일정'!AM218="제외"),"",IF($D218=$E218,IF(AND($D218&gt;=BE$5,$D218&lt;BE$5+7),"◆",""),IF(AND($D218&lt;BE$5+7,$E218&gt;BE$5),"■","")))</x:f>
      </x:c>
      <x:c r="BF218" s="7" t="str">
        <x:f>IF(OR($D218="",BF$5="",'상세일정'!AM218="제외"),"",IF($D218=$E218,IF(AND($D218&gt;=BF$5,$D218&lt;BF$5+7),"◆",""),IF(AND($D218&lt;BF$5+7,$E218&gt;BF$5),"■","")))</x:f>
      </x:c>
      <x:c r="BG218" s="7" t="str">
        <x:f>IF(OR($D218="",BG$5="",'상세일정'!AM218="제외"),"",IF($D218=$E218,IF(AND($D218&gt;=BG$5,$D218&lt;BG$5+7),"◆",""),IF(AND($D218&lt;BG$5+7,$E218&gt;BG$5),"■","")))</x:f>
      </x:c>
      <x:c r="BH218" s="7" t="str">
        <x:f>IF(OR($D218="",BH$5="",'상세일정'!AM218="제외"),"",IF($D218=$E218,IF(AND($D218&gt;=BH$5,$D218&lt;BH$5+7),"◆",""),IF(AND($D218&lt;BH$5+7,$E218&gt;BH$5),"■","")))</x:f>
      </x:c>
      <x:c r="BI218" s="7" t="str">
        <x:f>IF(OR($D218="",BI$5="",'상세일정'!AM218="제외"),"",IF($D218=$E218,IF(AND($D218&gt;=BI$5,$D218&lt;BI$5+7),"◆",""),IF(AND($D218&lt;BI$5+7,$E218&gt;BI$5),"■","")))</x:f>
      </x:c>
      <x:c r="BJ218" s="7" t="str">
        <x:f>IF(OR($D218="",BJ$5="",'상세일정'!AM218="제외"),"",IF($D218=$E218,IF(AND($D218&gt;=BJ$5,$D218&lt;BJ$5+7),"◆",""),IF(AND($D218&lt;BJ$5+7,$E218&gt;BJ$5),"■","")))</x:f>
      </x:c>
      <x:c r="BK218" s="7" t="str">
        <x:f>IF(OR($D218="",BK$5="",'상세일정'!AM218="제외"),"",IF($D218=$E218,IF(AND($D218&gt;=BK$5,$D218&lt;BK$5+7),"◆",""),IF(AND($D218&lt;BK$5+7,$E218&gt;BK$5),"■","")))</x:f>
      </x:c>
      <x:c r="BL218" s="7" t="str">
        <x:f>IF(OR($D218="",BL$5="",'상세일정'!AM218="제외"),"",IF($D218=$E218,IF(AND($D218&gt;=BL$5,$D218&lt;BL$5+7),"◆",""),IF(AND($D218&lt;BL$5+7,$E218&gt;BL$5),"■","")))</x:f>
      </x:c>
      <x:c r="BM218" s="7" t="str">
        <x:f>IF(OR($D218="",BM$5="",'상세일정'!AM218="제외"),"",IF($D218=$E218,IF(AND($D218&gt;=BM$5,$D218&lt;BM$5+7),"◆",""),IF(AND($D218&lt;BM$5+7,$E218&gt;BM$5),"■","")))</x:f>
      </x:c>
      <x:c r="BN218" s="7" t="str">
        <x:f>IF(OR($D218="",BN$5="",'상세일정'!AM218="제외"),"",IF($D218=$E218,IF(AND($D218&gt;=BN$5,$D218&lt;BN$5+7),"◆",""),IF(AND($D218&lt;BN$5+7,$E218&gt;BN$5),"■","")))</x:f>
      </x:c>
      <x:c r="BO218" s="7" t="str">
        <x:f>IF(OR($D218="",BO$5="",'상세일정'!AM218="제외"),"",IF($D218=$E218,IF(AND($D218&gt;=BO$5,$D218&lt;BO$5+7),"◆",""),IF(AND($D218&lt;BO$5+7,$E218&gt;BO$5),"■","")))</x:f>
      </x:c>
      <x:c r="BP218" s="7" t="str">
        <x:f>IF(OR($D218="",BP$5="",'상세일정'!AM218="제외"),"",IF($D218=$E218,IF(AND($D218&gt;=BP$5,$D218&lt;BP$5+7),"◆",""),IF(AND($D218&lt;BP$5+7,$E218&gt;BP$5),"■","")))</x:f>
      </x:c>
      <x:c r="BQ218" s="7" t="str">
        <x:f>IF(OR($D218="",BQ$5="",'상세일정'!AM218="제외"),"",IF($D218=$E218,IF(AND($D218&gt;=BQ$5,$D218&lt;BQ$5+7),"◆",""),IF(AND($D218&lt;BQ$5+7,$E218&gt;BQ$5),"■","")))</x:f>
      </x:c>
      <x:c r="BR218" s="7" t="str">
        <x:f>IF(OR($D218="",BR$5="",'상세일정'!AM218="제외"),"",IF($D218=$E218,IF(AND($D218&gt;=BR$5,$D218&lt;BR$5+7),"◆",""),IF(AND($D218&lt;BR$5+7,$E218&gt;BR$5),"■","")))</x:f>
      </x:c>
      <x:c r="BS218" s="7" t="str">
        <x:f>IF(OR($D218="",BS$5="",'상세일정'!AM218="제외"),"",IF($D218=$E218,IF(AND($D218&gt;=BS$5,$D218&lt;BS$5+7),"◆",""),IF(AND($D218&lt;BS$5+7,$E218&gt;BS$5),"■","")))</x:f>
      </x:c>
      <x:c r="BT218" s="7" t="str">
        <x:f>IF(OR($D218="",BT$5="",'상세일정'!AM218="제외"),"",IF($D218=$E218,IF(AND($D218&gt;=BT$5,$D218&lt;BT$5+7),"◆",""),IF(AND($D218&lt;BT$5+7,$E218&gt;BT$5),"■","")))</x:f>
      </x:c>
      <x:c r="BU218" s="7" t="str">
        <x:f>IF(OR($D218="",BU$5="",'상세일정'!AM218="제외"),"",IF($D218=$E218,IF(AND($D218&gt;=BU$5,$D218&lt;BU$5+7),"◆",""),IF(AND($D218&lt;BU$5+7,$E218&gt;BU$5),"■","")))</x:f>
      </x:c>
      <x:c r="BV218" s="7" t="str">
        <x:f>IF(OR($D218="",BV$5="",'상세일정'!AM218="제외"),"",IF($D218=$E218,IF(AND($D218&gt;=BV$5,$D218&lt;BV$5+7),"◆",""),IF(AND($D218&lt;BV$5+7,$E218&gt;BV$5),"■","")))</x:f>
      </x:c>
      <x:c r="BW218" s="7" t="str">
        <x:f>IF(OR($D218="",BW$5="",'상세일정'!AM218="제외"),"",IF($D218=$E218,IF(AND($D218&gt;=BW$5,$D218&lt;BW$5+7),"◆",""),IF(AND($D218&lt;BW$5+7,$E218&gt;BW$5),"■","")))</x:f>
      </x:c>
      <x:c r="BX218" s="7" t="str">
        <x:f>IF(OR($D218="",BX$5="",'상세일정'!AM218="제외"),"",IF($D218=$E218,IF(AND($D218&gt;=BX$5,$D218&lt;BX$5+7),"◆",""),IF(AND($D218&lt;BX$5+7,$E218&gt;BX$5),"■","")))</x:f>
      </x:c>
      <x:c r="BY218" s="7" t="str">
        <x:f>IF(OR($D218="",BY$5="",'상세일정'!AM218="제외"),"",IF($D218=$E218,IF(AND($D218&gt;=BY$5,$D218&lt;BY$5+7),"◆",""),IF(AND($D218&lt;BY$5+7,$E218&gt;BY$5),"■","")))</x:f>
      </x:c>
      <x:c r="BZ218" s="7" t="str">
        <x:f>IF(OR($D218="",BZ$5="",'상세일정'!AM218="제외"),"",IF($D218=$E218,IF(AND($D218&gt;=BZ$5,$D218&lt;BZ$5+7),"◆",""),IF(AND($D218&lt;BZ$5+7,$E218&gt;BZ$5),"■","")))</x:f>
      </x:c>
      <x:c r="CA218" s="7" t="str">
        <x:f>IF(OR($D218="",CA$5="",'상세일정'!AM218="제외"),"",IF($D218=$E218,IF(AND($D218&gt;=CA$5,$D218&lt;CA$5+7),"◆",""),IF(AND($D218&lt;CA$5+7,$E218&gt;CA$5),"■","")))</x:f>
      </x:c>
      <x:c r="CB218" s="7" t="str">
        <x:f>IF(OR($D218="",CB$5="",'상세일정'!AM218="제외"),"",IF($D218=$E218,IF(AND($D218&gt;=CB$5,$D218&lt;CB$5+7),"◆",""),IF(AND($D218&lt;CB$5+7,$E218&gt;CB$5),"■","")))</x:f>
      </x:c>
      <x:c r="CC218" s="7" t="str">
        <x:f>IF(OR($D218="",CC$5="",'상세일정'!AM218="제외"),"",IF($D218=$E218,IF(AND($D218&gt;=CC$5,$D218&lt;CC$5+7),"◆",""),IF(AND($D218&lt;CC$5+7,$E218&gt;CC$5),"■","")))</x:f>
      </x:c>
      <x:c r="CD218" s="7" t="str">
        <x:f>IF(OR($D218="",CD$5="",'상세일정'!AM218="제외"),"",IF($D218=$E218,IF(AND($D218&gt;=CD$5,$D218&lt;CD$5+7),"◆",""),IF(AND($D218&lt;CD$5+7,$E218&gt;CD$5),"■","")))</x:f>
      </x:c>
      <x:c r="CE218" s="7" t="str">
        <x:f>IF(OR($D218="",CE$5="",'상세일정'!AM218="제외"),"",IF($D218=$E218,IF(AND($D218&gt;=CE$5,$D218&lt;CE$5+7),"◆",""),IF(AND($D218&lt;CE$5+7,$E218&gt;CE$5),"■","")))</x:f>
      </x:c>
      <x:c r="CF218" s="7" t="str">
        <x:f>IF(OR($D218="",CF$5="",'상세일정'!AM218="제외"),"",IF($D218=$E218,IF(AND($D218&gt;=CF$5,$D218&lt;CF$5+7),"◆",""),IF(AND($D218&lt;CF$5+7,$E218&gt;CF$5),"■","")))</x:f>
      </x:c>
      <x:c r="CG218" s="7" t="str">
        <x:f>IF(OR($D218="",CG$5="",'상세일정'!AM218="제외"),"",IF($D218=$E218,IF(AND($D218&gt;=CG$5,$D218&lt;CG$5+7),"◆",""),IF(AND($D218&lt;CG$5+7,$E218&gt;CG$5),"■","")))</x:f>
      </x:c>
      <x:c r="CH218" s="7" t="str">
        <x:f>IF(OR($D218="",CH$5="",'상세일정'!AM218="제외"),"",IF($D218=$E218,IF(AND($D218&gt;=CH$5,$D218&lt;CH$5+7),"◆",""),IF(AND($D218&lt;CH$5+7,$E218&gt;CH$5),"■","")))</x:f>
      </x:c>
      <x:c r="CI218" s="7" t="str">
        <x:f>IF(OR($D218="",CI$5="",'상세일정'!AM218="제외"),"",IF($D218=$E218,IF(AND($D218&gt;=CI$5,$D218&lt;CI$5+7),"◆",""),IF(AND($D218&lt;CI$5+7,$E218&gt;CI$5),"■","")))</x:f>
      </x:c>
      <x:c r="CJ218" s="7" t="str">
        <x:f>IF(OR($D218="",CJ$5="",'상세일정'!AM218="제외"),"",IF($D218=$E218,IF(AND($D218&gt;=CJ$5,$D218&lt;CJ$5+7),"◆",""),IF(AND($D218&lt;CJ$5+7,$E218&gt;CJ$5),"■","")))</x:f>
      </x:c>
      <x:c r="CK218" s="7" t="str">
        <x:f>IF(OR($D218="",CK$5="",'상세일정'!AM218="제외"),"",IF($D218=$E218,IF(AND($D218&gt;=CK$5,$D218&lt;CK$5+7),"◆",""),IF(AND($D218&lt;CK$5+7,$E218&gt;CK$5),"■","")))</x:f>
      </x:c>
      <x:c r="CL218" s="7" t="str">
        <x:f>IF(OR($D218="",CL$5="",'상세일정'!AM218="제외"),"",IF($D218=$E218,IF(AND($D218&gt;=CL$5,$D218&lt;CL$5+7),"◆",""),IF(AND($D218&lt;CL$5+7,$E218&gt;CL$5),"■","")))</x:f>
      </x:c>
      <x:c r="CM218" s="7" t="str">
        <x:f>IF(OR($D218="",CM$5="",'상세일정'!AM218="제외"),"",IF($D218=$E218,IF(AND($D218&gt;=CM$5,$D218&lt;CM$5+7),"◆",""),IF(AND($D218&lt;CM$5+7,$E218&gt;CM$5),"■","")))</x:f>
      </x:c>
      <x:c r="CN218" s="7" t="str">
        <x:f>IF(OR($D218="",CN$5="",'상세일정'!AM218="제외"),"",IF($D218=$E218,IF(AND($D218&gt;=CN$5,$D218&lt;CN$5+7),"◆",""),IF(AND($D218&lt;CN$5+7,$E218&gt;CN$5),"■","")))</x:f>
      </x:c>
      <x:c r="CO218" s="7" t="str">
        <x:f>IF(OR($D218="",CO$5="",'상세일정'!AM218="제외"),"",IF($D218=$E218,IF(AND($D218&gt;=CO$5,$D218&lt;CO$5+7),"◆",""),IF(AND($D218&lt;CO$5+7,$E218&gt;CO$5),"■","")))</x:f>
      </x:c>
      <x:c r="CP218" s="7" t="str">
        <x:f>IF(OR($D218="",CP$5="",'상세일정'!AM218="제외"),"",IF($D218=$E218,IF(AND($D218&gt;=CP$5,$D218&lt;CP$5+7),"◆",""),IF(AND($D218&lt;CP$5+7,$E218&gt;CP$5),"■","")))</x:f>
      </x:c>
      <x:c r="CQ218" s="7" t="str">
        <x:f>IF(OR($D218="",CQ$5="",'상세일정'!AM218="제외"),"",IF($D218=$E218,IF(AND($D218&gt;=CQ$5,$D218&lt;CQ$5+7),"◆",""),IF(AND($D218&lt;CQ$5+7,$E218&gt;CQ$5),"■","")))</x:f>
      </x:c>
      <x:c r="CR218" s="7" t="str">
        <x:f>IF(OR($D218="",CR$5="",'상세일정'!AM218="제외"),"",IF($D218=$E218,IF(AND($D218&gt;=CR$5,$D218&lt;CR$5+7),"◆",""),IF(AND($D218&lt;CR$5+7,$E218&gt;CR$5),"■","")))</x:f>
      </x:c>
      <x:c r="CS218" s="7" t="str">
        <x:f>IF(OR($D218="",CS$5="",'상세일정'!AM218="제외"),"",IF($D218=$E218,IF(AND($D218&gt;=CS$5,$D218&lt;CS$5+7),"◆",""),IF(AND($D218&lt;CS$5+7,$E218&gt;CS$5),"■","")))</x:f>
      </x:c>
      <x:c r="CT218" s="7" t="str">
        <x:f>IF(OR($D218="",CT$5="",'상세일정'!AM218="제외"),"",IF($D218=$E218,IF(AND($D218&gt;=CT$5,$D218&lt;CT$5+7),"◆",""),IF(AND($D218&lt;CT$5+7,$E218&gt;CT$5),"■","")))</x:f>
      </x:c>
      <x:c r="CU218" s="7" t="str">
        <x:f>IF(OR($D218="",CU$5="",'상세일정'!AM218="제외"),"",IF($D218=$E218,IF(AND($D218&gt;=CU$5,$D218&lt;CU$5+7),"◆",""),IF(AND($D218&lt;CU$5+7,$E218&gt;CU$5),"■","")))</x:f>
      </x:c>
      <x:c r="CV218" s="7" t="str">
        <x:f>IF(OR($D218="",CV$5="",'상세일정'!AM218="제외"),"",IF($D218=$E218,IF(AND($D218&gt;=CV$5,$D218&lt;CV$5+7),"◆",""),IF(AND($D218&lt;CV$5+7,$E218&gt;CV$5),"■","")))</x:f>
      </x:c>
      <x:c r="CW218" s="7" t="str">
        <x:f>IF(OR($D218="",CW$5="",'상세일정'!AM218="제외"),"",IF($D218=$E218,IF(AND($D218&gt;=CW$5,$D218&lt;CW$5+7),"◆",""),IF(AND($D218&lt;CW$5+7,$E218&gt;CW$5),"■","")))</x:f>
      </x:c>
      <x:c r="CX218" s="7" t="str">
        <x:f>IF(OR($D218="",CX$5="",'상세일정'!AM218="제외"),"",IF($D218=$E218,IF(AND($D218&gt;=CX$5,$D218&lt;CX$5+7),"◆",""),IF(AND($D218&lt;CX$5+7,$E218&gt;CX$5),"■","")))</x:f>
      </x:c>
      <x:c r="CY218" s="7" t="str">
        <x:f>IF(OR($D218="",CY$5="",'상세일정'!AM218="제외"),"",IF($D218=$E218,IF(AND($D218&gt;=CY$5,$D218&lt;CY$5+7),"◆",""),IF(AND($D218&lt;CY$5+7,$E218&gt;CY$5),"■","")))</x:f>
      </x:c>
      <x:c r="CZ218" s="7" t="str">
        <x:f>IF(OR($D218="",CZ$5="",'상세일정'!AM218="제외"),"",IF($D218=$E218,IF(AND($D218&gt;=CZ$5,$D218&lt;CZ$5+7),"◆",""),IF(AND($D218&lt;CZ$5+7,$E218&gt;CZ$5),"■","")))</x:f>
      </x:c>
      <x:c r="DA218" s="7" t="str">
        <x:f>IF(OR($D218="",DA$5="",'상세일정'!AM218="제외"),"",IF($D218=$E218,IF(AND($D218&gt;=DA$5,$D218&lt;DA$5+7),"◆",""),IF(AND($D218&lt;DA$5+7,$E218&gt;DA$5),"■","")))</x:f>
      </x:c>
      <x:c r="DB218" s="7" t="str">
        <x:f>IF(OR($D218="",DB$5="",'상세일정'!AM218="제외"),"",IF($D218=$E218,IF(AND($D218&gt;=DB$5,$D218&lt;DB$5+7),"◆",""),IF(AND($D218&lt;DB$5+7,$E218&gt;DB$5),"■","")))</x:f>
      </x:c>
      <x:c r="DC218" s="7" t="str">
        <x:f>IF(OR($D218="",DC$5="",'상세일정'!AM218="제외"),"",IF($D218=$E218,IF(AND($D218&gt;=DC$5,$D218&lt;DC$5+7),"◆",""),IF(AND($D218&lt;DC$5+7,$E218&gt;DC$5),"■","")))</x:f>
      </x:c>
      <x:c r="DD218" s="7" t="str">
        <x:f>IF(OR($D218="",DD$5="",'상세일정'!AM218="제외"),"",IF($D218=$E218,IF(AND($D218&gt;=DD$5,$D218&lt;DD$5+7),"◆",""),IF(AND($D218&lt;DD$5+7,$E218&gt;DD$5),"■","")))</x:f>
      </x:c>
      <x:c r="DE218" s="7" t="str">
        <x:f>IF(OR($D218="",DE$5="",'상세일정'!AM218="제외"),"",IF($D218=$E218,IF(AND($D218&gt;=DE$5,$D218&lt;DE$5+7),"◆",""),IF(AND($D218&lt;DE$5+7,$E218&gt;DE$5),"■","")))</x:f>
      </x:c>
    </x:row>
    <x:row r="219" ht="34" customHeight="1">
      <x:c r="A219" s="7" t="str">
        <x:v>QC02</x:v>
      </x:c>
      <x:c r="B219" s="7" t="str">
        <x:v>25 검사·운전 준비</x:v>
      </x:c>
      <x:c r="C219" s="7" t="str">
        <x:v>벤더 제조·설계단계 검사 증빙 확보</x:v>
      </x:c>
      <x:c r="D219" s="10" t="str">
        <x:f>'상세일정'!AJ219</x:f>
      </x:c>
      <x:c r="E219" s="10" t="str">
        <x:f>'상세일정'!AK219</x:f>
      </x:c>
      <x:c r="F219" s="7" t="str">
        <x:f>IF(OR($D219="",F$5="",'상세일정'!AM219="제외"),"",IF($D219=$E219,IF(AND($D219&gt;=F$5,$D219&lt;F$5+7),"◆",""),IF(AND($D219&lt;F$5+7,$E219&gt;F$5),"■","")))</x:f>
      </x:c>
      <x:c r="G219" s="7" t="str">
        <x:f>IF(OR($D219="",G$5="",'상세일정'!AM219="제외"),"",IF($D219=$E219,IF(AND($D219&gt;=G$5,$D219&lt;G$5+7),"◆",""),IF(AND($D219&lt;G$5+7,$E219&gt;G$5),"■","")))</x:f>
      </x:c>
      <x:c r="H219" s="7" t="str">
        <x:f>IF(OR($D219="",H$5="",'상세일정'!AM219="제외"),"",IF($D219=$E219,IF(AND($D219&gt;=H$5,$D219&lt;H$5+7),"◆",""),IF(AND($D219&lt;H$5+7,$E219&gt;H$5),"■","")))</x:f>
      </x:c>
      <x:c r="I219" s="7" t="str">
        <x:f>IF(OR($D219="",I$5="",'상세일정'!AM219="제외"),"",IF($D219=$E219,IF(AND($D219&gt;=I$5,$D219&lt;I$5+7),"◆",""),IF(AND($D219&lt;I$5+7,$E219&gt;I$5),"■","")))</x:f>
      </x:c>
      <x:c r="J219" s="7" t="str">
        <x:f>IF(OR($D219="",J$5="",'상세일정'!AM219="제외"),"",IF($D219=$E219,IF(AND($D219&gt;=J$5,$D219&lt;J$5+7),"◆",""),IF(AND($D219&lt;J$5+7,$E219&gt;J$5),"■","")))</x:f>
      </x:c>
      <x:c r="K219" s="7" t="str">
        <x:f>IF(OR($D219="",K$5="",'상세일정'!AM219="제외"),"",IF($D219=$E219,IF(AND($D219&gt;=K$5,$D219&lt;K$5+7),"◆",""),IF(AND($D219&lt;K$5+7,$E219&gt;K$5),"■","")))</x:f>
      </x:c>
      <x:c r="L219" s="7" t="str">
        <x:f>IF(OR($D219="",L$5="",'상세일정'!AM219="제외"),"",IF($D219=$E219,IF(AND($D219&gt;=L$5,$D219&lt;L$5+7),"◆",""),IF(AND($D219&lt;L$5+7,$E219&gt;L$5),"■","")))</x:f>
      </x:c>
      <x:c r="M219" s="7" t="str">
        <x:f>IF(OR($D219="",M$5="",'상세일정'!AM219="제외"),"",IF($D219=$E219,IF(AND($D219&gt;=M$5,$D219&lt;M$5+7),"◆",""),IF(AND($D219&lt;M$5+7,$E219&gt;M$5),"■","")))</x:f>
      </x:c>
      <x:c r="N219" s="7" t="str">
        <x:f>IF(OR($D219="",N$5="",'상세일정'!AM219="제외"),"",IF($D219=$E219,IF(AND($D219&gt;=N$5,$D219&lt;N$5+7),"◆",""),IF(AND($D219&lt;N$5+7,$E219&gt;N$5),"■","")))</x:f>
      </x:c>
      <x:c r="O219" s="7" t="str">
        <x:f>IF(OR($D219="",O$5="",'상세일정'!AM219="제외"),"",IF($D219=$E219,IF(AND($D219&gt;=O$5,$D219&lt;O$5+7),"◆",""),IF(AND($D219&lt;O$5+7,$E219&gt;O$5),"■","")))</x:f>
      </x:c>
      <x:c r="P219" s="7" t="str">
        <x:f>IF(OR($D219="",P$5="",'상세일정'!AM219="제외"),"",IF($D219=$E219,IF(AND($D219&gt;=P$5,$D219&lt;P$5+7),"◆",""),IF(AND($D219&lt;P$5+7,$E219&gt;P$5),"■","")))</x:f>
      </x:c>
      <x:c r="Q219" s="7" t="str">
        <x:f>IF(OR($D219="",Q$5="",'상세일정'!AM219="제외"),"",IF($D219=$E219,IF(AND($D219&gt;=Q$5,$D219&lt;Q$5+7),"◆",""),IF(AND($D219&lt;Q$5+7,$E219&gt;Q$5),"■","")))</x:f>
      </x:c>
      <x:c r="R219" s="7" t="str">
        <x:f>IF(OR($D219="",R$5="",'상세일정'!AM219="제외"),"",IF($D219=$E219,IF(AND($D219&gt;=R$5,$D219&lt;R$5+7),"◆",""),IF(AND($D219&lt;R$5+7,$E219&gt;R$5),"■","")))</x:f>
      </x:c>
      <x:c r="S219" s="7" t="str">
        <x:f>IF(OR($D219="",S$5="",'상세일정'!AM219="제외"),"",IF($D219=$E219,IF(AND($D219&gt;=S$5,$D219&lt;S$5+7),"◆",""),IF(AND($D219&lt;S$5+7,$E219&gt;S$5),"■","")))</x:f>
      </x:c>
      <x:c r="T219" s="7" t="str">
        <x:f>IF(OR($D219="",T$5="",'상세일정'!AM219="제외"),"",IF($D219=$E219,IF(AND($D219&gt;=T$5,$D219&lt;T$5+7),"◆",""),IF(AND($D219&lt;T$5+7,$E219&gt;T$5),"■","")))</x:f>
      </x:c>
      <x:c r="U219" s="7" t="str">
        <x:f>IF(OR($D219="",U$5="",'상세일정'!AM219="제외"),"",IF($D219=$E219,IF(AND($D219&gt;=U$5,$D219&lt;U$5+7),"◆",""),IF(AND($D219&lt;U$5+7,$E219&gt;U$5),"■","")))</x:f>
      </x:c>
      <x:c r="V219" s="7" t="str">
        <x:f>IF(OR($D219="",V$5="",'상세일정'!AM219="제외"),"",IF($D219=$E219,IF(AND($D219&gt;=V$5,$D219&lt;V$5+7),"◆",""),IF(AND($D219&lt;V$5+7,$E219&gt;V$5),"■","")))</x:f>
      </x:c>
      <x:c r="W219" s="7" t="str">
        <x:f>IF(OR($D219="",W$5="",'상세일정'!AM219="제외"),"",IF($D219=$E219,IF(AND($D219&gt;=W$5,$D219&lt;W$5+7),"◆",""),IF(AND($D219&lt;W$5+7,$E219&gt;W$5),"■","")))</x:f>
      </x:c>
      <x:c r="X219" s="7" t="str">
        <x:f>IF(OR($D219="",X$5="",'상세일정'!AM219="제외"),"",IF($D219=$E219,IF(AND($D219&gt;=X$5,$D219&lt;X$5+7),"◆",""),IF(AND($D219&lt;X$5+7,$E219&gt;X$5),"■","")))</x:f>
      </x:c>
      <x:c r="Y219" s="7" t="str">
        <x:f>IF(OR($D219="",Y$5="",'상세일정'!AM219="제외"),"",IF($D219=$E219,IF(AND($D219&gt;=Y$5,$D219&lt;Y$5+7),"◆",""),IF(AND($D219&lt;Y$5+7,$E219&gt;Y$5),"■","")))</x:f>
      </x:c>
      <x:c r="Z219" s="7" t="str">
        <x:f>IF(OR($D219="",Z$5="",'상세일정'!AM219="제외"),"",IF($D219=$E219,IF(AND($D219&gt;=Z$5,$D219&lt;Z$5+7),"◆",""),IF(AND($D219&lt;Z$5+7,$E219&gt;Z$5),"■","")))</x:f>
      </x:c>
      <x:c r="AA219" s="7" t="str">
        <x:f>IF(OR($D219="",AA$5="",'상세일정'!AM219="제외"),"",IF($D219=$E219,IF(AND($D219&gt;=AA$5,$D219&lt;AA$5+7),"◆",""),IF(AND($D219&lt;AA$5+7,$E219&gt;AA$5),"■","")))</x:f>
      </x:c>
      <x:c r="AB219" s="7" t="str">
        <x:f>IF(OR($D219="",AB$5="",'상세일정'!AM219="제외"),"",IF($D219=$E219,IF(AND($D219&gt;=AB$5,$D219&lt;AB$5+7),"◆",""),IF(AND($D219&lt;AB$5+7,$E219&gt;AB$5),"■","")))</x:f>
      </x:c>
      <x:c r="AC219" s="7" t="str">
        <x:f>IF(OR($D219="",AC$5="",'상세일정'!AM219="제외"),"",IF($D219=$E219,IF(AND($D219&gt;=AC$5,$D219&lt;AC$5+7),"◆",""),IF(AND($D219&lt;AC$5+7,$E219&gt;AC$5),"■","")))</x:f>
      </x:c>
      <x:c r="AD219" s="7" t="str">
        <x:f>IF(OR($D219="",AD$5="",'상세일정'!AM219="제외"),"",IF($D219=$E219,IF(AND($D219&gt;=AD$5,$D219&lt;AD$5+7),"◆",""),IF(AND($D219&lt;AD$5+7,$E219&gt;AD$5),"■","")))</x:f>
      </x:c>
      <x:c r="AE219" s="7" t="str">
        <x:f>IF(OR($D219="",AE$5="",'상세일정'!AM219="제외"),"",IF($D219=$E219,IF(AND($D219&gt;=AE$5,$D219&lt;AE$5+7),"◆",""),IF(AND($D219&lt;AE$5+7,$E219&gt;AE$5),"■","")))</x:f>
      </x:c>
      <x:c r="AF219" s="7" t="str">
        <x:f>IF(OR($D219="",AF$5="",'상세일정'!AM219="제외"),"",IF($D219=$E219,IF(AND($D219&gt;=AF$5,$D219&lt;AF$5+7),"◆",""),IF(AND($D219&lt;AF$5+7,$E219&gt;AF$5),"■","")))</x:f>
      </x:c>
      <x:c r="AG219" s="7" t="str">
        <x:f>IF(OR($D219="",AG$5="",'상세일정'!AM219="제외"),"",IF($D219=$E219,IF(AND($D219&gt;=AG$5,$D219&lt;AG$5+7),"◆",""),IF(AND($D219&lt;AG$5+7,$E219&gt;AG$5),"■","")))</x:f>
      </x:c>
      <x:c r="AH219" s="7" t="str">
        <x:f>IF(OR($D219="",AH$5="",'상세일정'!AM219="제외"),"",IF($D219=$E219,IF(AND($D219&gt;=AH$5,$D219&lt;AH$5+7),"◆",""),IF(AND($D219&lt;AH$5+7,$E219&gt;AH$5),"■","")))</x:f>
      </x:c>
      <x:c r="AI219" s="7" t="str">
        <x:f>IF(OR($D219="",AI$5="",'상세일정'!AM219="제외"),"",IF($D219=$E219,IF(AND($D219&gt;=AI$5,$D219&lt;AI$5+7),"◆",""),IF(AND($D219&lt;AI$5+7,$E219&gt;AI$5),"■","")))</x:f>
      </x:c>
      <x:c r="AJ219" s="7" t="str">
        <x:f>IF(OR($D219="",AJ$5="",'상세일정'!AM219="제외"),"",IF($D219=$E219,IF(AND($D219&gt;=AJ$5,$D219&lt;AJ$5+7),"◆",""),IF(AND($D219&lt;AJ$5+7,$E219&gt;AJ$5),"■","")))</x:f>
      </x:c>
      <x:c r="AK219" s="7" t="str">
        <x:f>IF(OR($D219="",AK$5="",'상세일정'!AM219="제외"),"",IF($D219=$E219,IF(AND($D219&gt;=AK$5,$D219&lt;AK$5+7),"◆",""),IF(AND($D219&lt;AK$5+7,$E219&gt;AK$5),"■","")))</x:f>
      </x:c>
      <x:c r="AL219" s="7" t="str">
        <x:f>IF(OR($D219="",AL$5="",'상세일정'!AM219="제외"),"",IF($D219=$E219,IF(AND($D219&gt;=AL$5,$D219&lt;AL$5+7),"◆",""),IF(AND($D219&lt;AL$5+7,$E219&gt;AL$5),"■","")))</x:f>
      </x:c>
      <x:c r="AM219" s="7" t="str">
        <x:f>IF(OR($D219="",AM$5="",'상세일정'!AM219="제외"),"",IF($D219=$E219,IF(AND($D219&gt;=AM$5,$D219&lt;AM$5+7),"◆",""),IF(AND($D219&lt;AM$5+7,$E219&gt;AM$5),"■","")))</x:f>
      </x:c>
      <x:c r="AN219" s="7" t="str">
        <x:f>IF(OR($D219="",AN$5="",'상세일정'!AM219="제외"),"",IF($D219=$E219,IF(AND($D219&gt;=AN$5,$D219&lt;AN$5+7),"◆",""),IF(AND($D219&lt;AN$5+7,$E219&gt;AN$5),"■","")))</x:f>
      </x:c>
      <x:c r="AO219" s="7" t="str">
        <x:f>IF(OR($D219="",AO$5="",'상세일정'!AM219="제외"),"",IF($D219=$E219,IF(AND($D219&gt;=AO$5,$D219&lt;AO$5+7),"◆",""),IF(AND($D219&lt;AO$5+7,$E219&gt;AO$5),"■","")))</x:f>
      </x:c>
      <x:c r="AP219" s="7" t="str">
        <x:f>IF(OR($D219="",AP$5="",'상세일정'!AM219="제외"),"",IF($D219=$E219,IF(AND($D219&gt;=AP$5,$D219&lt;AP$5+7),"◆",""),IF(AND($D219&lt;AP$5+7,$E219&gt;AP$5),"■","")))</x:f>
      </x:c>
      <x:c r="AQ219" s="7" t="str">
        <x:f>IF(OR($D219="",AQ$5="",'상세일정'!AM219="제외"),"",IF($D219=$E219,IF(AND($D219&gt;=AQ$5,$D219&lt;AQ$5+7),"◆",""),IF(AND($D219&lt;AQ$5+7,$E219&gt;AQ$5),"■","")))</x:f>
      </x:c>
      <x:c r="AR219" s="7" t="str">
        <x:f>IF(OR($D219="",AR$5="",'상세일정'!AM219="제외"),"",IF($D219=$E219,IF(AND($D219&gt;=AR$5,$D219&lt;AR$5+7),"◆",""),IF(AND($D219&lt;AR$5+7,$E219&gt;AR$5),"■","")))</x:f>
      </x:c>
      <x:c r="AS219" s="7" t="str">
        <x:f>IF(OR($D219="",AS$5="",'상세일정'!AM219="제외"),"",IF($D219=$E219,IF(AND($D219&gt;=AS$5,$D219&lt;AS$5+7),"◆",""),IF(AND($D219&lt;AS$5+7,$E219&gt;AS$5),"■","")))</x:f>
      </x:c>
      <x:c r="AT219" s="7" t="str">
        <x:f>IF(OR($D219="",AT$5="",'상세일정'!AM219="제외"),"",IF($D219=$E219,IF(AND($D219&gt;=AT$5,$D219&lt;AT$5+7),"◆",""),IF(AND($D219&lt;AT$5+7,$E219&gt;AT$5),"■","")))</x:f>
      </x:c>
      <x:c r="AU219" s="7" t="str">
        <x:f>IF(OR($D219="",AU$5="",'상세일정'!AM219="제외"),"",IF($D219=$E219,IF(AND($D219&gt;=AU$5,$D219&lt;AU$5+7),"◆",""),IF(AND($D219&lt;AU$5+7,$E219&gt;AU$5),"■","")))</x:f>
      </x:c>
      <x:c r="AV219" s="7" t="str">
        <x:f>IF(OR($D219="",AV$5="",'상세일정'!AM219="제외"),"",IF($D219=$E219,IF(AND($D219&gt;=AV$5,$D219&lt;AV$5+7),"◆",""),IF(AND($D219&lt;AV$5+7,$E219&gt;AV$5),"■","")))</x:f>
      </x:c>
      <x:c r="AW219" s="7" t="str">
        <x:f>IF(OR($D219="",AW$5="",'상세일정'!AM219="제외"),"",IF($D219=$E219,IF(AND($D219&gt;=AW$5,$D219&lt;AW$5+7),"◆",""),IF(AND($D219&lt;AW$5+7,$E219&gt;AW$5),"■","")))</x:f>
      </x:c>
      <x:c r="AX219" s="7" t="str">
        <x:f>IF(OR($D219="",AX$5="",'상세일정'!AM219="제외"),"",IF($D219=$E219,IF(AND($D219&gt;=AX$5,$D219&lt;AX$5+7),"◆",""),IF(AND($D219&lt;AX$5+7,$E219&gt;AX$5),"■","")))</x:f>
      </x:c>
      <x:c r="AY219" s="7" t="str">
        <x:f>IF(OR($D219="",AY$5="",'상세일정'!AM219="제외"),"",IF($D219=$E219,IF(AND($D219&gt;=AY$5,$D219&lt;AY$5+7),"◆",""),IF(AND($D219&lt;AY$5+7,$E219&gt;AY$5),"■","")))</x:f>
      </x:c>
      <x:c r="AZ219" s="7" t="str">
        <x:f>IF(OR($D219="",AZ$5="",'상세일정'!AM219="제외"),"",IF($D219=$E219,IF(AND($D219&gt;=AZ$5,$D219&lt;AZ$5+7),"◆",""),IF(AND($D219&lt;AZ$5+7,$E219&gt;AZ$5),"■","")))</x:f>
      </x:c>
      <x:c r="BA219" s="7" t="str">
        <x:f>IF(OR($D219="",BA$5="",'상세일정'!AM219="제외"),"",IF($D219=$E219,IF(AND($D219&gt;=BA$5,$D219&lt;BA$5+7),"◆",""),IF(AND($D219&lt;BA$5+7,$E219&gt;BA$5),"■","")))</x:f>
      </x:c>
      <x:c r="BB219" s="7" t="str">
        <x:f>IF(OR($D219="",BB$5="",'상세일정'!AM219="제외"),"",IF($D219=$E219,IF(AND($D219&gt;=BB$5,$D219&lt;BB$5+7),"◆",""),IF(AND($D219&lt;BB$5+7,$E219&gt;BB$5),"■","")))</x:f>
      </x:c>
      <x:c r="BC219" s="7" t="str">
        <x:f>IF(OR($D219="",BC$5="",'상세일정'!AM219="제외"),"",IF($D219=$E219,IF(AND($D219&gt;=BC$5,$D219&lt;BC$5+7),"◆",""),IF(AND($D219&lt;BC$5+7,$E219&gt;BC$5),"■","")))</x:f>
      </x:c>
      <x:c r="BD219" s="7" t="str">
        <x:f>IF(OR($D219="",BD$5="",'상세일정'!AM219="제외"),"",IF($D219=$E219,IF(AND($D219&gt;=BD$5,$D219&lt;BD$5+7),"◆",""),IF(AND($D219&lt;BD$5+7,$E219&gt;BD$5),"■","")))</x:f>
      </x:c>
      <x:c r="BE219" s="7" t="str">
        <x:f>IF(OR($D219="",BE$5="",'상세일정'!AM219="제외"),"",IF($D219=$E219,IF(AND($D219&gt;=BE$5,$D219&lt;BE$5+7),"◆",""),IF(AND($D219&lt;BE$5+7,$E219&gt;BE$5),"■","")))</x:f>
      </x:c>
      <x:c r="BF219" s="7" t="str">
        <x:f>IF(OR($D219="",BF$5="",'상세일정'!AM219="제외"),"",IF($D219=$E219,IF(AND($D219&gt;=BF$5,$D219&lt;BF$5+7),"◆",""),IF(AND($D219&lt;BF$5+7,$E219&gt;BF$5),"■","")))</x:f>
      </x:c>
      <x:c r="BG219" s="7" t="str">
        <x:f>IF(OR($D219="",BG$5="",'상세일정'!AM219="제외"),"",IF($D219=$E219,IF(AND($D219&gt;=BG$5,$D219&lt;BG$5+7),"◆",""),IF(AND($D219&lt;BG$5+7,$E219&gt;BG$5),"■","")))</x:f>
      </x:c>
      <x:c r="BH219" s="7" t="str">
        <x:f>IF(OR($D219="",BH$5="",'상세일정'!AM219="제외"),"",IF($D219=$E219,IF(AND($D219&gt;=BH$5,$D219&lt;BH$5+7),"◆",""),IF(AND($D219&lt;BH$5+7,$E219&gt;BH$5),"■","")))</x:f>
      </x:c>
      <x:c r="BI219" s="7" t="str">
        <x:f>IF(OR($D219="",BI$5="",'상세일정'!AM219="제외"),"",IF($D219=$E219,IF(AND($D219&gt;=BI$5,$D219&lt;BI$5+7),"◆",""),IF(AND($D219&lt;BI$5+7,$E219&gt;BI$5),"■","")))</x:f>
      </x:c>
      <x:c r="BJ219" s="7" t="str">
        <x:f>IF(OR($D219="",BJ$5="",'상세일정'!AM219="제외"),"",IF($D219=$E219,IF(AND($D219&gt;=BJ$5,$D219&lt;BJ$5+7),"◆",""),IF(AND($D219&lt;BJ$5+7,$E219&gt;BJ$5),"■","")))</x:f>
      </x:c>
      <x:c r="BK219" s="7" t="str">
        <x:f>IF(OR($D219="",BK$5="",'상세일정'!AM219="제외"),"",IF($D219=$E219,IF(AND($D219&gt;=BK$5,$D219&lt;BK$5+7),"◆",""),IF(AND($D219&lt;BK$5+7,$E219&gt;BK$5),"■","")))</x:f>
      </x:c>
      <x:c r="BL219" s="7" t="str">
        <x:f>IF(OR($D219="",BL$5="",'상세일정'!AM219="제외"),"",IF($D219=$E219,IF(AND($D219&gt;=BL$5,$D219&lt;BL$5+7),"◆",""),IF(AND($D219&lt;BL$5+7,$E219&gt;BL$5),"■","")))</x:f>
      </x:c>
      <x:c r="BM219" s="7" t="str">
        <x:f>IF(OR($D219="",BM$5="",'상세일정'!AM219="제외"),"",IF($D219=$E219,IF(AND($D219&gt;=BM$5,$D219&lt;BM$5+7),"◆",""),IF(AND($D219&lt;BM$5+7,$E219&gt;BM$5),"■","")))</x:f>
      </x:c>
      <x:c r="BN219" s="7" t="str">
        <x:f>IF(OR($D219="",BN$5="",'상세일정'!AM219="제외"),"",IF($D219=$E219,IF(AND($D219&gt;=BN$5,$D219&lt;BN$5+7),"◆",""),IF(AND($D219&lt;BN$5+7,$E219&gt;BN$5),"■","")))</x:f>
      </x:c>
      <x:c r="BO219" s="7" t="str">
        <x:f>IF(OR($D219="",BO$5="",'상세일정'!AM219="제외"),"",IF($D219=$E219,IF(AND($D219&gt;=BO$5,$D219&lt;BO$5+7),"◆",""),IF(AND($D219&lt;BO$5+7,$E219&gt;BO$5),"■","")))</x:f>
      </x:c>
      <x:c r="BP219" s="7" t="str">
        <x:f>IF(OR($D219="",BP$5="",'상세일정'!AM219="제외"),"",IF($D219=$E219,IF(AND($D219&gt;=BP$5,$D219&lt;BP$5+7),"◆",""),IF(AND($D219&lt;BP$5+7,$E219&gt;BP$5),"■","")))</x:f>
      </x:c>
      <x:c r="BQ219" s="7" t="str">
        <x:f>IF(OR($D219="",BQ$5="",'상세일정'!AM219="제외"),"",IF($D219=$E219,IF(AND($D219&gt;=BQ$5,$D219&lt;BQ$5+7),"◆",""),IF(AND($D219&lt;BQ$5+7,$E219&gt;BQ$5),"■","")))</x:f>
      </x:c>
      <x:c r="BR219" s="7" t="str">
        <x:f>IF(OR($D219="",BR$5="",'상세일정'!AM219="제외"),"",IF($D219=$E219,IF(AND($D219&gt;=BR$5,$D219&lt;BR$5+7),"◆",""),IF(AND($D219&lt;BR$5+7,$E219&gt;BR$5),"■","")))</x:f>
      </x:c>
      <x:c r="BS219" s="7" t="str">
        <x:f>IF(OR($D219="",BS$5="",'상세일정'!AM219="제외"),"",IF($D219=$E219,IF(AND($D219&gt;=BS$5,$D219&lt;BS$5+7),"◆",""),IF(AND($D219&lt;BS$5+7,$E219&gt;BS$5),"■","")))</x:f>
      </x:c>
      <x:c r="BT219" s="7" t="str">
        <x:f>IF(OR($D219="",BT$5="",'상세일정'!AM219="제외"),"",IF($D219=$E219,IF(AND($D219&gt;=BT$5,$D219&lt;BT$5+7),"◆",""),IF(AND($D219&lt;BT$5+7,$E219&gt;BT$5),"■","")))</x:f>
      </x:c>
      <x:c r="BU219" s="7" t="str">
        <x:f>IF(OR($D219="",BU$5="",'상세일정'!AM219="제외"),"",IF($D219=$E219,IF(AND($D219&gt;=BU$5,$D219&lt;BU$5+7),"◆",""),IF(AND($D219&lt;BU$5+7,$E219&gt;BU$5),"■","")))</x:f>
      </x:c>
      <x:c r="BV219" s="7" t="str">
        <x:f>IF(OR($D219="",BV$5="",'상세일정'!AM219="제외"),"",IF($D219=$E219,IF(AND($D219&gt;=BV$5,$D219&lt;BV$5+7),"◆",""),IF(AND($D219&lt;BV$5+7,$E219&gt;BV$5),"■","")))</x:f>
      </x:c>
      <x:c r="BW219" s="7" t="str">
        <x:f>IF(OR($D219="",BW$5="",'상세일정'!AM219="제외"),"",IF($D219=$E219,IF(AND($D219&gt;=BW$5,$D219&lt;BW$5+7),"◆",""),IF(AND($D219&lt;BW$5+7,$E219&gt;BW$5),"■","")))</x:f>
      </x:c>
      <x:c r="BX219" s="7" t="str">
        <x:f>IF(OR($D219="",BX$5="",'상세일정'!AM219="제외"),"",IF($D219=$E219,IF(AND($D219&gt;=BX$5,$D219&lt;BX$5+7),"◆",""),IF(AND($D219&lt;BX$5+7,$E219&gt;BX$5),"■","")))</x:f>
      </x:c>
      <x:c r="BY219" s="7" t="str">
        <x:f>IF(OR($D219="",BY$5="",'상세일정'!AM219="제외"),"",IF($D219=$E219,IF(AND($D219&gt;=BY$5,$D219&lt;BY$5+7),"◆",""),IF(AND($D219&lt;BY$5+7,$E219&gt;BY$5),"■","")))</x:f>
      </x:c>
      <x:c r="BZ219" s="7" t="str">
        <x:f>IF(OR($D219="",BZ$5="",'상세일정'!AM219="제외"),"",IF($D219=$E219,IF(AND($D219&gt;=BZ$5,$D219&lt;BZ$5+7),"◆",""),IF(AND($D219&lt;BZ$5+7,$E219&gt;BZ$5),"■","")))</x:f>
      </x:c>
      <x:c r="CA219" s="7" t="str">
        <x:f>IF(OR($D219="",CA$5="",'상세일정'!AM219="제외"),"",IF($D219=$E219,IF(AND($D219&gt;=CA$5,$D219&lt;CA$5+7),"◆",""),IF(AND($D219&lt;CA$5+7,$E219&gt;CA$5),"■","")))</x:f>
      </x:c>
      <x:c r="CB219" s="7" t="str">
        <x:f>IF(OR($D219="",CB$5="",'상세일정'!AM219="제외"),"",IF($D219=$E219,IF(AND($D219&gt;=CB$5,$D219&lt;CB$5+7),"◆",""),IF(AND($D219&lt;CB$5+7,$E219&gt;CB$5),"■","")))</x:f>
      </x:c>
      <x:c r="CC219" s="7" t="str">
        <x:f>IF(OR($D219="",CC$5="",'상세일정'!AM219="제외"),"",IF($D219=$E219,IF(AND($D219&gt;=CC$5,$D219&lt;CC$5+7),"◆",""),IF(AND($D219&lt;CC$5+7,$E219&gt;CC$5),"■","")))</x:f>
      </x:c>
      <x:c r="CD219" s="7" t="str">
        <x:f>IF(OR($D219="",CD$5="",'상세일정'!AM219="제외"),"",IF($D219=$E219,IF(AND($D219&gt;=CD$5,$D219&lt;CD$5+7),"◆",""),IF(AND($D219&lt;CD$5+7,$E219&gt;CD$5),"■","")))</x:f>
      </x:c>
      <x:c r="CE219" s="7" t="str">
        <x:f>IF(OR($D219="",CE$5="",'상세일정'!AM219="제외"),"",IF($D219=$E219,IF(AND($D219&gt;=CE$5,$D219&lt;CE$5+7),"◆",""),IF(AND($D219&lt;CE$5+7,$E219&gt;CE$5),"■","")))</x:f>
      </x:c>
      <x:c r="CF219" s="7" t="str">
        <x:f>IF(OR($D219="",CF$5="",'상세일정'!AM219="제외"),"",IF($D219=$E219,IF(AND($D219&gt;=CF$5,$D219&lt;CF$5+7),"◆",""),IF(AND($D219&lt;CF$5+7,$E219&gt;CF$5),"■","")))</x:f>
      </x:c>
      <x:c r="CG219" s="7" t="str">
        <x:f>IF(OR($D219="",CG$5="",'상세일정'!AM219="제외"),"",IF($D219=$E219,IF(AND($D219&gt;=CG$5,$D219&lt;CG$5+7),"◆",""),IF(AND($D219&lt;CG$5+7,$E219&gt;CG$5),"■","")))</x:f>
      </x:c>
      <x:c r="CH219" s="7" t="str">
        <x:f>IF(OR($D219="",CH$5="",'상세일정'!AM219="제외"),"",IF($D219=$E219,IF(AND($D219&gt;=CH$5,$D219&lt;CH$5+7),"◆",""),IF(AND($D219&lt;CH$5+7,$E219&gt;CH$5),"■","")))</x:f>
      </x:c>
      <x:c r="CI219" s="7" t="str">
        <x:f>IF(OR($D219="",CI$5="",'상세일정'!AM219="제외"),"",IF($D219=$E219,IF(AND($D219&gt;=CI$5,$D219&lt;CI$5+7),"◆",""),IF(AND($D219&lt;CI$5+7,$E219&gt;CI$5),"■","")))</x:f>
      </x:c>
      <x:c r="CJ219" s="7" t="str">
        <x:f>IF(OR($D219="",CJ$5="",'상세일정'!AM219="제외"),"",IF($D219=$E219,IF(AND($D219&gt;=CJ$5,$D219&lt;CJ$5+7),"◆",""),IF(AND($D219&lt;CJ$5+7,$E219&gt;CJ$5),"■","")))</x:f>
      </x:c>
      <x:c r="CK219" s="7" t="str">
        <x:f>IF(OR($D219="",CK$5="",'상세일정'!AM219="제외"),"",IF($D219=$E219,IF(AND($D219&gt;=CK$5,$D219&lt;CK$5+7),"◆",""),IF(AND($D219&lt;CK$5+7,$E219&gt;CK$5),"■","")))</x:f>
      </x:c>
      <x:c r="CL219" s="7" t="str">
        <x:f>IF(OR($D219="",CL$5="",'상세일정'!AM219="제외"),"",IF($D219=$E219,IF(AND($D219&gt;=CL$5,$D219&lt;CL$5+7),"◆",""),IF(AND($D219&lt;CL$5+7,$E219&gt;CL$5),"■","")))</x:f>
      </x:c>
      <x:c r="CM219" s="7" t="str">
        <x:f>IF(OR($D219="",CM$5="",'상세일정'!AM219="제외"),"",IF($D219=$E219,IF(AND($D219&gt;=CM$5,$D219&lt;CM$5+7),"◆",""),IF(AND($D219&lt;CM$5+7,$E219&gt;CM$5),"■","")))</x:f>
      </x:c>
      <x:c r="CN219" s="7" t="str">
        <x:f>IF(OR($D219="",CN$5="",'상세일정'!AM219="제외"),"",IF($D219=$E219,IF(AND($D219&gt;=CN$5,$D219&lt;CN$5+7),"◆",""),IF(AND($D219&lt;CN$5+7,$E219&gt;CN$5),"■","")))</x:f>
      </x:c>
      <x:c r="CO219" s="7" t="str">
        <x:f>IF(OR($D219="",CO$5="",'상세일정'!AM219="제외"),"",IF($D219=$E219,IF(AND($D219&gt;=CO$5,$D219&lt;CO$5+7),"◆",""),IF(AND($D219&lt;CO$5+7,$E219&gt;CO$5),"■","")))</x:f>
      </x:c>
      <x:c r="CP219" s="7" t="str">
        <x:f>IF(OR($D219="",CP$5="",'상세일정'!AM219="제외"),"",IF($D219=$E219,IF(AND($D219&gt;=CP$5,$D219&lt;CP$5+7),"◆",""),IF(AND($D219&lt;CP$5+7,$E219&gt;CP$5),"■","")))</x:f>
      </x:c>
      <x:c r="CQ219" s="7" t="str">
        <x:f>IF(OR($D219="",CQ$5="",'상세일정'!AM219="제외"),"",IF($D219=$E219,IF(AND($D219&gt;=CQ$5,$D219&lt;CQ$5+7),"◆",""),IF(AND($D219&lt;CQ$5+7,$E219&gt;CQ$5),"■","")))</x:f>
      </x:c>
      <x:c r="CR219" s="7" t="str">
        <x:f>IF(OR($D219="",CR$5="",'상세일정'!AM219="제외"),"",IF($D219=$E219,IF(AND($D219&gt;=CR$5,$D219&lt;CR$5+7),"◆",""),IF(AND($D219&lt;CR$5+7,$E219&gt;CR$5),"■","")))</x:f>
      </x:c>
      <x:c r="CS219" s="7" t="str">
        <x:f>IF(OR($D219="",CS$5="",'상세일정'!AM219="제외"),"",IF($D219=$E219,IF(AND($D219&gt;=CS$5,$D219&lt;CS$5+7),"◆",""),IF(AND($D219&lt;CS$5+7,$E219&gt;CS$5),"■","")))</x:f>
      </x:c>
      <x:c r="CT219" s="7" t="str">
        <x:f>IF(OR($D219="",CT$5="",'상세일정'!AM219="제외"),"",IF($D219=$E219,IF(AND($D219&gt;=CT$5,$D219&lt;CT$5+7),"◆",""),IF(AND($D219&lt;CT$5+7,$E219&gt;CT$5),"■","")))</x:f>
      </x:c>
      <x:c r="CU219" s="7" t="str">
        <x:f>IF(OR($D219="",CU$5="",'상세일정'!AM219="제외"),"",IF($D219=$E219,IF(AND($D219&gt;=CU$5,$D219&lt;CU$5+7),"◆",""),IF(AND($D219&lt;CU$5+7,$E219&gt;CU$5),"■","")))</x:f>
      </x:c>
      <x:c r="CV219" s="7" t="str">
        <x:f>IF(OR($D219="",CV$5="",'상세일정'!AM219="제외"),"",IF($D219=$E219,IF(AND($D219&gt;=CV$5,$D219&lt;CV$5+7),"◆",""),IF(AND($D219&lt;CV$5+7,$E219&gt;CV$5),"■","")))</x:f>
      </x:c>
      <x:c r="CW219" s="7" t="str">
        <x:f>IF(OR($D219="",CW$5="",'상세일정'!AM219="제외"),"",IF($D219=$E219,IF(AND($D219&gt;=CW$5,$D219&lt;CW$5+7),"◆",""),IF(AND($D219&lt;CW$5+7,$E219&gt;CW$5),"■","")))</x:f>
      </x:c>
      <x:c r="CX219" s="7" t="str">
        <x:f>IF(OR($D219="",CX$5="",'상세일정'!AM219="제외"),"",IF($D219=$E219,IF(AND($D219&gt;=CX$5,$D219&lt;CX$5+7),"◆",""),IF(AND($D219&lt;CX$5+7,$E219&gt;CX$5),"■","")))</x:f>
      </x:c>
      <x:c r="CY219" s="7" t="str">
        <x:f>IF(OR($D219="",CY$5="",'상세일정'!AM219="제외"),"",IF($D219=$E219,IF(AND($D219&gt;=CY$5,$D219&lt;CY$5+7),"◆",""),IF(AND($D219&lt;CY$5+7,$E219&gt;CY$5),"■","")))</x:f>
      </x:c>
      <x:c r="CZ219" s="7" t="str">
        <x:f>IF(OR($D219="",CZ$5="",'상세일정'!AM219="제외"),"",IF($D219=$E219,IF(AND($D219&gt;=CZ$5,$D219&lt;CZ$5+7),"◆",""),IF(AND($D219&lt;CZ$5+7,$E219&gt;CZ$5),"■","")))</x:f>
      </x:c>
      <x:c r="DA219" s="7" t="str">
        <x:f>IF(OR($D219="",DA$5="",'상세일정'!AM219="제외"),"",IF($D219=$E219,IF(AND($D219&gt;=DA$5,$D219&lt;DA$5+7),"◆",""),IF(AND($D219&lt;DA$5+7,$E219&gt;DA$5),"■","")))</x:f>
      </x:c>
      <x:c r="DB219" s="7" t="str">
        <x:f>IF(OR($D219="",DB$5="",'상세일정'!AM219="제외"),"",IF($D219=$E219,IF(AND($D219&gt;=DB$5,$D219&lt;DB$5+7),"◆",""),IF(AND($D219&lt;DB$5+7,$E219&gt;DB$5),"■","")))</x:f>
      </x:c>
      <x:c r="DC219" s="7" t="str">
        <x:f>IF(OR($D219="",DC$5="",'상세일정'!AM219="제외"),"",IF($D219=$E219,IF(AND($D219&gt;=DC$5,$D219&lt;DC$5+7),"◆",""),IF(AND($D219&lt;DC$5+7,$E219&gt;DC$5),"■","")))</x:f>
      </x:c>
      <x:c r="DD219" s="7" t="str">
        <x:f>IF(OR($D219="",DD$5="",'상세일정'!AM219="제외"),"",IF($D219=$E219,IF(AND($D219&gt;=DD$5,$D219&lt;DD$5+7),"◆",""),IF(AND($D219&lt;DD$5+7,$E219&gt;DD$5),"■","")))</x:f>
      </x:c>
      <x:c r="DE219" s="7" t="str">
        <x:f>IF(OR($D219="",DE$5="",'상세일정'!AM219="제외"),"",IF($D219=$E219,IF(AND($D219&gt;=DE$5,$D219&lt;DE$5+7),"◆",""),IF(AND($D219&lt;DE$5+7,$E219&gt;DE$5),"■","")))</x:f>
      </x:c>
    </x:row>
    <x:row r="220" ht="34" customHeight="1">
      <x:c r="A220" s="7" t="str">
        <x:v>QC03</x:v>
      </x:c>
      <x:c r="B220" s="7" t="str">
        <x:v>25 검사·운전 준비</x:v>
      </x:c>
      <x:c r="C220" s="7" t="str">
        <x:v>현장 검사대상 설비·도서 일치 확인</x:v>
      </x:c>
      <x:c r="D220" s="10" t="str">
        <x:f>'상세일정'!AJ220</x:f>
      </x:c>
      <x:c r="E220" s="10" t="str">
        <x:f>'상세일정'!AK220</x:f>
      </x:c>
      <x:c r="F220" s="7" t="str">
        <x:f>IF(OR($D220="",F$5="",'상세일정'!AM220="제외"),"",IF($D220=$E220,IF(AND($D220&gt;=F$5,$D220&lt;F$5+7),"◆",""),IF(AND($D220&lt;F$5+7,$E220&gt;F$5),"■","")))</x:f>
      </x:c>
      <x:c r="G220" s="7" t="str">
        <x:f>IF(OR($D220="",G$5="",'상세일정'!AM220="제외"),"",IF($D220=$E220,IF(AND($D220&gt;=G$5,$D220&lt;G$5+7),"◆",""),IF(AND($D220&lt;G$5+7,$E220&gt;G$5),"■","")))</x:f>
      </x:c>
      <x:c r="H220" s="7" t="str">
        <x:f>IF(OR($D220="",H$5="",'상세일정'!AM220="제외"),"",IF($D220=$E220,IF(AND($D220&gt;=H$5,$D220&lt;H$5+7),"◆",""),IF(AND($D220&lt;H$5+7,$E220&gt;H$5),"■","")))</x:f>
      </x:c>
      <x:c r="I220" s="7" t="str">
        <x:f>IF(OR($D220="",I$5="",'상세일정'!AM220="제외"),"",IF($D220=$E220,IF(AND($D220&gt;=I$5,$D220&lt;I$5+7),"◆",""),IF(AND($D220&lt;I$5+7,$E220&gt;I$5),"■","")))</x:f>
      </x:c>
      <x:c r="J220" s="7" t="str">
        <x:f>IF(OR($D220="",J$5="",'상세일정'!AM220="제외"),"",IF($D220=$E220,IF(AND($D220&gt;=J$5,$D220&lt;J$5+7),"◆",""),IF(AND($D220&lt;J$5+7,$E220&gt;J$5),"■","")))</x:f>
      </x:c>
      <x:c r="K220" s="7" t="str">
        <x:f>IF(OR($D220="",K$5="",'상세일정'!AM220="제외"),"",IF($D220=$E220,IF(AND($D220&gt;=K$5,$D220&lt;K$5+7),"◆",""),IF(AND($D220&lt;K$5+7,$E220&gt;K$5),"■","")))</x:f>
      </x:c>
      <x:c r="L220" s="7" t="str">
        <x:f>IF(OR($D220="",L$5="",'상세일정'!AM220="제외"),"",IF($D220=$E220,IF(AND($D220&gt;=L$5,$D220&lt;L$5+7),"◆",""),IF(AND($D220&lt;L$5+7,$E220&gt;L$5),"■","")))</x:f>
      </x:c>
      <x:c r="M220" s="7" t="str">
        <x:f>IF(OR($D220="",M$5="",'상세일정'!AM220="제외"),"",IF($D220=$E220,IF(AND($D220&gt;=M$5,$D220&lt;M$5+7),"◆",""),IF(AND($D220&lt;M$5+7,$E220&gt;M$5),"■","")))</x:f>
      </x:c>
      <x:c r="N220" s="7" t="str">
        <x:f>IF(OR($D220="",N$5="",'상세일정'!AM220="제외"),"",IF($D220=$E220,IF(AND($D220&gt;=N$5,$D220&lt;N$5+7),"◆",""),IF(AND($D220&lt;N$5+7,$E220&gt;N$5),"■","")))</x:f>
      </x:c>
      <x:c r="O220" s="7" t="str">
        <x:f>IF(OR($D220="",O$5="",'상세일정'!AM220="제외"),"",IF($D220=$E220,IF(AND($D220&gt;=O$5,$D220&lt;O$5+7),"◆",""),IF(AND($D220&lt;O$5+7,$E220&gt;O$5),"■","")))</x:f>
      </x:c>
      <x:c r="P220" s="7" t="str">
        <x:f>IF(OR($D220="",P$5="",'상세일정'!AM220="제외"),"",IF($D220=$E220,IF(AND($D220&gt;=P$5,$D220&lt;P$5+7),"◆",""),IF(AND($D220&lt;P$5+7,$E220&gt;P$5),"■","")))</x:f>
      </x:c>
      <x:c r="Q220" s="7" t="str">
        <x:f>IF(OR($D220="",Q$5="",'상세일정'!AM220="제외"),"",IF($D220=$E220,IF(AND($D220&gt;=Q$5,$D220&lt;Q$5+7),"◆",""),IF(AND($D220&lt;Q$5+7,$E220&gt;Q$5),"■","")))</x:f>
      </x:c>
      <x:c r="R220" s="7" t="str">
        <x:f>IF(OR($D220="",R$5="",'상세일정'!AM220="제외"),"",IF($D220=$E220,IF(AND($D220&gt;=R$5,$D220&lt;R$5+7),"◆",""),IF(AND($D220&lt;R$5+7,$E220&gt;R$5),"■","")))</x:f>
      </x:c>
      <x:c r="S220" s="7" t="str">
        <x:f>IF(OR($D220="",S$5="",'상세일정'!AM220="제외"),"",IF($D220=$E220,IF(AND($D220&gt;=S$5,$D220&lt;S$5+7),"◆",""),IF(AND($D220&lt;S$5+7,$E220&gt;S$5),"■","")))</x:f>
      </x:c>
      <x:c r="T220" s="7" t="str">
        <x:f>IF(OR($D220="",T$5="",'상세일정'!AM220="제외"),"",IF($D220=$E220,IF(AND($D220&gt;=T$5,$D220&lt;T$5+7),"◆",""),IF(AND($D220&lt;T$5+7,$E220&gt;T$5),"■","")))</x:f>
      </x:c>
      <x:c r="U220" s="7" t="str">
        <x:f>IF(OR($D220="",U$5="",'상세일정'!AM220="제외"),"",IF($D220=$E220,IF(AND($D220&gt;=U$5,$D220&lt;U$5+7),"◆",""),IF(AND($D220&lt;U$5+7,$E220&gt;U$5),"■","")))</x:f>
      </x:c>
      <x:c r="V220" s="7" t="str">
        <x:f>IF(OR($D220="",V$5="",'상세일정'!AM220="제외"),"",IF($D220=$E220,IF(AND($D220&gt;=V$5,$D220&lt;V$5+7),"◆",""),IF(AND($D220&lt;V$5+7,$E220&gt;V$5),"■","")))</x:f>
      </x:c>
      <x:c r="W220" s="7" t="str">
        <x:f>IF(OR($D220="",W$5="",'상세일정'!AM220="제외"),"",IF($D220=$E220,IF(AND($D220&gt;=W$5,$D220&lt;W$5+7),"◆",""),IF(AND($D220&lt;W$5+7,$E220&gt;W$5),"■","")))</x:f>
      </x:c>
      <x:c r="X220" s="7" t="str">
        <x:f>IF(OR($D220="",X$5="",'상세일정'!AM220="제외"),"",IF($D220=$E220,IF(AND($D220&gt;=X$5,$D220&lt;X$5+7),"◆",""),IF(AND($D220&lt;X$5+7,$E220&gt;X$5),"■","")))</x:f>
      </x:c>
      <x:c r="Y220" s="7" t="str">
        <x:f>IF(OR($D220="",Y$5="",'상세일정'!AM220="제외"),"",IF($D220=$E220,IF(AND($D220&gt;=Y$5,$D220&lt;Y$5+7),"◆",""),IF(AND($D220&lt;Y$5+7,$E220&gt;Y$5),"■","")))</x:f>
      </x:c>
      <x:c r="Z220" s="7" t="str">
        <x:f>IF(OR($D220="",Z$5="",'상세일정'!AM220="제외"),"",IF($D220=$E220,IF(AND($D220&gt;=Z$5,$D220&lt;Z$5+7),"◆",""),IF(AND($D220&lt;Z$5+7,$E220&gt;Z$5),"■","")))</x:f>
      </x:c>
      <x:c r="AA220" s="7" t="str">
        <x:f>IF(OR($D220="",AA$5="",'상세일정'!AM220="제외"),"",IF($D220=$E220,IF(AND($D220&gt;=AA$5,$D220&lt;AA$5+7),"◆",""),IF(AND($D220&lt;AA$5+7,$E220&gt;AA$5),"■","")))</x:f>
      </x:c>
      <x:c r="AB220" s="7" t="str">
        <x:f>IF(OR($D220="",AB$5="",'상세일정'!AM220="제외"),"",IF($D220=$E220,IF(AND($D220&gt;=AB$5,$D220&lt;AB$5+7),"◆",""),IF(AND($D220&lt;AB$5+7,$E220&gt;AB$5),"■","")))</x:f>
      </x:c>
      <x:c r="AC220" s="7" t="str">
        <x:f>IF(OR($D220="",AC$5="",'상세일정'!AM220="제외"),"",IF($D220=$E220,IF(AND($D220&gt;=AC$5,$D220&lt;AC$5+7),"◆",""),IF(AND($D220&lt;AC$5+7,$E220&gt;AC$5),"■","")))</x:f>
      </x:c>
      <x:c r="AD220" s="7" t="str">
        <x:f>IF(OR($D220="",AD$5="",'상세일정'!AM220="제외"),"",IF($D220=$E220,IF(AND($D220&gt;=AD$5,$D220&lt;AD$5+7),"◆",""),IF(AND($D220&lt;AD$5+7,$E220&gt;AD$5),"■","")))</x:f>
      </x:c>
      <x:c r="AE220" s="7" t="str">
        <x:f>IF(OR($D220="",AE$5="",'상세일정'!AM220="제외"),"",IF($D220=$E220,IF(AND($D220&gt;=AE$5,$D220&lt;AE$5+7),"◆",""),IF(AND($D220&lt;AE$5+7,$E220&gt;AE$5),"■","")))</x:f>
      </x:c>
      <x:c r="AF220" s="7" t="str">
        <x:f>IF(OR($D220="",AF$5="",'상세일정'!AM220="제외"),"",IF($D220=$E220,IF(AND($D220&gt;=AF$5,$D220&lt;AF$5+7),"◆",""),IF(AND($D220&lt;AF$5+7,$E220&gt;AF$5),"■","")))</x:f>
      </x:c>
      <x:c r="AG220" s="7" t="str">
        <x:f>IF(OR($D220="",AG$5="",'상세일정'!AM220="제외"),"",IF($D220=$E220,IF(AND($D220&gt;=AG$5,$D220&lt;AG$5+7),"◆",""),IF(AND($D220&lt;AG$5+7,$E220&gt;AG$5),"■","")))</x:f>
      </x:c>
      <x:c r="AH220" s="7" t="str">
        <x:f>IF(OR($D220="",AH$5="",'상세일정'!AM220="제외"),"",IF($D220=$E220,IF(AND($D220&gt;=AH$5,$D220&lt;AH$5+7),"◆",""),IF(AND($D220&lt;AH$5+7,$E220&gt;AH$5),"■","")))</x:f>
      </x:c>
      <x:c r="AI220" s="7" t="str">
        <x:f>IF(OR($D220="",AI$5="",'상세일정'!AM220="제외"),"",IF($D220=$E220,IF(AND($D220&gt;=AI$5,$D220&lt;AI$5+7),"◆",""),IF(AND($D220&lt;AI$5+7,$E220&gt;AI$5),"■","")))</x:f>
      </x:c>
      <x:c r="AJ220" s="7" t="str">
        <x:f>IF(OR($D220="",AJ$5="",'상세일정'!AM220="제외"),"",IF($D220=$E220,IF(AND($D220&gt;=AJ$5,$D220&lt;AJ$5+7),"◆",""),IF(AND($D220&lt;AJ$5+7,$E220&gt;AJ$5),"■","")))</x:f>
      </x:c>
      <x:c r="AK220" s="7" t="str">
        <x:f>IF(OR($D220="",AK$5="",'상세일정'!AM220="제외"),"",IF($D220=$E220,IF(AND($D220&gt;=AK$5,$D220&lt;AK$5+7),"◆",""),IF(AND($D220&lt;AK$5+7,$E220&gt;AK$5),"■","")))</x:f>
      </x:c>
      <x:c r="AL220" s="7" t="str">
        <x:f>IF(OR($D220="",AL$5="",'상세일정'!AM220="제외"),"",IF($D220=$E220,IF(AND($D220&gt;=AL$5,$D220&lt;AL$5+7),"◆",""),IF(AND($D220&lt;AL$5+7,$E220&gt;AL$5),"■","")))</x:f>
      </x:c>
      <x:c r="AM220" s="7" t="str">
        <x:f>IF(OR($D220="",AM$5="",'상세일정'!AM220="제외"),"",IF($D220=$E220,IF(AND($D220&gt;=AM$5,$D220&lt;AM$5+7),"◆",""),IF(AND($D220&lt;AM$5+7,$E220&gt;AM$5),"■","")))</x:f>
      </x:c>
      <x:c r="AN220" s="7" t="str">
        <x:f>IF(OR($D220="",AN$5="",'상세일정'!AM220="제외"),"",IF($D220=$E220,IF(AND($D220&gt;=AN$5,$D220&lt;AN$5+7),"◆",""),IF(AND($D220&lt;AN$5+7,$E220&gt;AN$5),"■","")))</x:f>
      </x:c>
      <x:c r="AO220" s="7" t="str">
        <x:f>IF(OR($D220="",AO$5="",'상세일정'!AM220="제외"),"",IF($D220=$E220,IF(AND($D220&gt;=AO$5,$D220&lt;AO$5+7),"◆",""),IF(AND($D220&lt;AO$5+7,$E220&gt;AO$5),"■","")))</x:f>
      </x:c>
      <x:c r="AP220" s="7" t="str">
        <x:f>IF(OR($D220="",AP$5="",'상세일정'!AM220="제외"),"",IF($D220=$E220,IF(AND($D220&gt;=AP$5,$D220&lt;AP$5+7),"◆",""),IF(AND($D220&lt;AP$5+7,$E220&gt;AP$5),"■","")))</x:f>
      </x:c>
      <x:c r="AQ220" s="7" t="str">
        <x:f>IF(OR($D220="",AQ$5="",'상세일정'!AM220="제외"),"",IF($D220=$E220,IF(AND($D220&gt;=AQ$5,$D220&lt;AQ$5+7),"◆",""),IF(AND($D220&lt;AQ$5+7,$E220&gt;AQ$5),"■","")))</x:f>
      </x:c>
      <x:c r="AR220" s="7" t="str">
        <x:f>IF(OR($D220="",AR$5="",'상세일정'!AM220="제외"),"",IF($D220=$E220,IF(AND($D220&gt;=AR$5,$D220&lt;AR$5+7),"◆",""),IF(AND($D220&lt;AR$5+7,$E220&gt;AR$5),"■","")))</x:f>
      </x:c>
      <x:c r="AS220" s="7" t="str">
        <x:f>IF(OR($D220="",AS$5="",'상세일정'!AM220="제외"),"",IF($D220=$E220,IF(AND($D220&gt;=AS$5,$D220&lt;AS$5+7),"◆",""),IF(AND($D220&lt;AS$5+7,$E220&gt;AS$5),"■","")))</x:f>
      </x:c>
      <x:c r="AT220" s="7" t="str">
        <x:f>IF(OR($D220="",AT$5="",'상세일정'!AM220="제외"),"",IF($D220=$E220,IF(AND($D220&gt;=AT$5,$D220&lt;AT$5+7),"◆",""),IF(AND($D220&lt;AT$5+7,$E220&gt;AT$5),"■","")))</x:f>
      </x:c>
      <x:c r="AU220" s="7" t="str">
        <x:f>IF(OR($D220="",AU$5="",'상세일정'!AM220="제외"),"",IF($D220=$E220,IF(AND($D220&gt;=AU$5,$D220&lt;AU$5+7),"◆",""),IF(AND($D220&lt;AU$5+7,$E220&gt;AU$5),"■","")))</x:f>
      </x:c>
      <x:c r="AV220" s="7" t="str">
        <x:f>IF(OR($D220="",AV$5="",'상세일정'!AM220="제외"),"",IF($D220=$E220,IF(AND($D220&gt;=AV$5,$D220&lt;AV$5+7),"◆",""),IF(AND($D220&lt;AV$5+7,$E220&gt;AV$5),"■","")))</x:f>
      </x:c>
      <x:c r="AW220" s="7" t="str">
        <x:f>IF(OR($D220="",AW$5="",'상세일정'!AM220="제외"),"",IF($D220=$E220,IF(AND($D220&gt;=AW$5,$D220&lt;AW$5+7),"◆",""),IF(AND($D220&lt;AW$5+7,$E220&gt;AW$5),"■","")))</x:f>
      </x:c>
      <x:c r="AX220" s="7" t="str">
        <x:f>IF(OR($D220="",AX$5="",'상세일정'!AM220="제외"),"",IF($D220=$E220,IF(AND($D220&gt;=AX$5,$D220&lt;AX$5+7),"◆",""),IF(AND($D220&lt;AX$5+7,$E220&gt;AX$5),"■","")))</x:f>
      </x:c>
      <x:c r="AY220" s="7" t="str">
        <x:f>IF(OR($D220="",AY$5="",'상세일정'!AM220="제외"),"",IF($D220=$E220,IF(AND($D220&gt;=AY$5,$D220&lt;AY$5+7),"◆",""),IF(AND($D220&lt;AY$5+7,$E220&gt;AY$5),"■","")))</x:f>
      </x:c>
      <x:c r="AZ220" s="7" t="str">
        <x:f>IF(OR($D220="",AZ$5="",'상세일정'!AM220="제외"),"",IF($D220=$E220,IF(AND($D220&gt;=AZ$5,$D220&lt;AZ$5+7),"◆",""),IF(AND($D220&lt;AZ$5+7,$E220&gt;AZ$5),"■","")))</x:f>
      </x:c>
      <x:c r="BA220" s="7" t="str">
        <x:f>IF(OR($D220="",BA$5="",'상세일정'!AM220="제외"),"",IF($D220=$E220,IF(AND($D220&gt;=BA$5,$D220&lt;BA$5+7),"◆",""),IF(AND($D220&lt;BA$5+7,$E220&gt;BA$5),"■","")))</x:f>
      </x:c>
      <x:c r="BB220" s="7" t="str">
        <x:f>IF(OR($D220="",BB$5="",'상세일정'!AM220="제외"),"",IF($D220=$E220,IF(AND($D220&gt;=BB$5,$D220&lt;BB$5+7),"◆",""),IF(AND($D220&lt;BB$5+7,$E220&gt;BB$5),"■","")))</x:f>
      </x:c>
      <x:c r="BC220" s="7" t="str">
        <x:f>IF(OR($D220="",BC$5="",'상세일정'!AM220="제외"),"",IF($D220=$E220,IF(AND($D220&gt;=BC$5,$D220&lt;BC$5+7),"◆",""),IF(AND($D220&lt;BC$5+7,$E220&gt;BC$5),"■","")))</x:f>
      </x:c>
      <x:c r="BD220" s="7" t="str">
        <x:f>IF(OR($D220="",BD$5="",'상세일정'!AM220="제외"),"",IF($D220=$E220,IF(AND($D220&gt;=BD$5,$D220&lt;BD$5+7),"◆",""),IF(AND($D220&lt;BD$5+7,$E220&gt;BD$5),"■","")))</x:f>
      </x:c>
      <x:c r="BE220" s="7" t="str">
        <x:f>IF(OR($D220="",BE$5="",'상세일정'!AM220="제외"),"",IF($D220=$E220,IF(AND($D220&gt;=BE$5,$D220&lt;BE$5+7),"◆",""),IF(AND($D220&lt;BE$5+7,$E220&gt;BE$5),"■","")))</x:f>
      </x:c>
      <x:c r="BF220" s="7" t="str">
        <x:f>IF(OR($D220="",BF$5="",'상세일정'!AM220="제외"),"",IF($D220=$E220,IF(AND($D220&gt;=BF$5,$D220&lt;BF$5+7),"◆",""),IF(AND($D220&lt;BF$5+7,$E220&gt;BF$5),"■","")))</x:f>
      </x:c>
      <x:c r="BG220" s="7" t="str">
        <x:f>IF(OR($D220="",BG$5="",'상세일정'!AM220="제외"),"",IF($D220=$E220,IF(AND($D220&gt;=BG$5,$D220&lt;BG$5+7),"◆",""),IF(AND($D220&lt;BG$5+7,$E220&gt;BG$5),"■","")))</x:f>
      </x:c>
      <x:c r="BH220" s="7" t="str">
        <x:f>IF(OR($D220="",BH$5="",'상세일정'!AM220="제외"),"",IF($D220=$E220,IF(AND($D220&gt;=BH$5,$D220&lt;BH$5+7),"◆",""),IF(AND($D220&lt;BH$5+7,$E220&gt;BH$5),"■","")))</x:f>
      </x:c>
      <x:c r="BI220" s="7" t="str">
        <x:f>IF(OR($D220="",BI$5="",'상세일정'!AM220="제외"),"",IF($D220=$E220,IF(AND($D220&gt;=BI$5,$D220&lt;BI$5+7),"◆",""),IF(AND($D220&lt;BI$5+7,$E220&gt;BI$5),"■","")))</x:f>
      </x:c>
      <x:c r="BJ220" s="7" t="str">
        <x:f>IF(OR($D220="",BJ$5="",'상세일정'!AM220="제외"),"",IF($D220=$E220,IF(AND($D220&gt;=BJ$5,$D220&lt;BJ$5+7),"◆",""),IF(AND($D220&lt;BJ$5+7,$E220&gt;BJ$5),"■","")))</x:f>
      </x:c>
      <x:c r="BK220" s="7" t="str">
        <x:f>IF(OR($D220="",BK$5="",'상세일정'!AM220="제외"),"",IF($D220=$E220,IF(AND($D220&gt;=BK$5,$D220&lt;BK$5+7),"◆",""),IF(AND($D220&lt;BK$5+7,$E220&gt;BK$5),"■","")))</x:f>
      </x:c>
      <x:c r="BL220" s="7" t="str">
        <x:f>IF(OR($D220="",BL$5="",'상세일정'!AM220="제외"),"",IF($D220=$E220,IF(AND($D220&gt;=BL$5,$D220&lt;BL$5+7),"◆",""),IF(AND($D220&lt;BL$5+7,$E220&gt;BL$5),"■","")))</x:f>
      </x:c>
      <x:c r="BM220" s="7" t="str">
        <x:f>IF(OR($D220="",BM$5="",'상세일정'!AM220="제외"),"",IF($D220=$E220,IF(AND($D220&gt;=BM$5,$D220&lt;BM$5+7),"◆",""),IF(AND($D220&lt;BM$5+7,$E220&gt;BM$5),"■","")))</x:f>
      </x:c>
      <x:c r="BN220" s="7" t="str">
        <x:f>IF(OR($D220="",BN$5="",'상세일정'!AM220="제외"),"",IF($D220=$E220,IF(AND($D220&gt;=BN$5,$D220&lt;BN$5+7),"◆",""),IF(AND($D220&lt;BN$5+7,$E220&gt;BN$5),"■","")))</x:f>
      </x:c>
      <x:c r="BO220" s="7" t="str">
        <x:f>IF(OR($D220="",BO$5="",'상세일정'!AM220="제외"),"",IF($D220=$E220,IF(AND($D220&gt;=BO$5,$D220&lt;BO$5+7),"◆",""),IF(AND($D220&lt;BO$5+7,$E220&gt;BO$5),"■","")))</x:f>
      </x:c>
      <x:c r="BP220" s="7" t="str">
        <x:f>IF(OR($D220="",BP$5="",'상세일정'!AM220="제외"),"",IF($D220=$E220,IF(AND($D220&gt;=BP$5,$D220&lt;BP$5+7),"◆",""),IF(AND($D220&lt;BP$5+7,$E220&gt;BP$5),"■","")))</x:f>
      </x:c>
      <x:c r="BQ220" s="7" t="str">
        <x:f>IF(OR($D220="",BQ$5="",'상세일정'!AM220="제외"),"",IF($D220=$E220,IF(AND($D220&gt;=BQ$5,$D220&lt;BQ$5+7),"◆",""),IF(AND($D220&lt;BQ$5+7,$E220&gt;BQ$5),"■","")))</x:f>
      </x:c>
      <x:c r="BR220" s="7" t="str">
        <x:f>IF(OR($D220="",BR$5="",'상세일정'!AM220="제외"),"",IF($D220=$E220,IF(AND($D220&gt;=BR$5,$D220&lt;BR$5+7),"◆",""),IF(AND($D220&lt;BR$5+7,$E220&gt;BR$5),"■","")))</x:f>
      </x:c>
      <x:c r="BS220" s="7" t="str">
        <x:f>IF(OR($D220="",BS$5="",'상세일정'!AM220="제외"),"",IF($D220=$E220,IF(AND($D220&gt;=BS$5,$D220&lt;BS$5+7),"◆",""),IF(AND($D220&lt;BS$5+7,$E220&gt;BS$5),"■","")))</x:f>
      </x:c>
      <x:c r="BT220" s="7" t="str">
        <x:f>IF(OR($D220="",BT$5="",'상세일정'!AM220="제외"),"",IF($D220=$E220,IF(AND($D220&gt;=BT$5,$D220&lt;BT$5+7),"◆",""),IF(AND($D220&lt;BT$5+7,$E220&gt;BT$5),"■","")))</x:f>
      </x:c>
      <x:c r="BU220" s="7" t="str">
        <x:f>IF(OR($D220="",BU$5="",'상세일정'!AM220="제외"),"",IF($D220=$E220,IF(AND($D220&gt;=BU$5,$D220&lt;BU$5+7),"◆",""),IF(AND($D220&lt;BU$5+7,$E220&gt;BU$5),"■","")))</x:f>
      </x:c>
      <x:c r="BV220" s="7" t="str">
        <x:f>IF(OR($D220="",BV$5="",'상세일정'!AM220="제외"),"",IF($D220=$E220,IF(AND($D220&gt;=BV$5,$D220&lt;BV$5+7),"◆",""),IF(AND($D220&lt;BV$5+7,$E220&gt;BV$5),"■","")))</x:f>
      </x:c>
      <x:c r="BW220" s="7" t="str">
        <x:f>IF(OR($D220="",BW$5="",'상세일정'!AM220="제외"),"",IF($D220=$E220,IF(AND($D220&gt;=BW$5,$D220&lt;BW$5+7),"◆",""),IF(AND($D220&lt;BW$5+7,$E220&gt;BW$5),"■","")))</x:f>
      </x:c>
      <x:c r="BX220" s="7" t="str">
        <x:f>IF(OR($D220="",BX$5="",'상세일정'!AM220="제외"),"",IF($D220=$E220,IF(AND($D220&gt;=BX$5,$D220&lt;BX$5+7),"◆",""),IF(AND($D220&lt;BX$5+7,$E220&gt;BX$5),"■","")))</x:f>
      </x:c>
      <x:c r="BY220" s="7" t="str">
        <x:f>IF(OR($D220="",BY$5="",'상세일정'!AM220="제외"),"",IF($D220=$E220,IF(AND($D220&gt;=BY$5,$D220&lt;BY$5+7),"◆",""),IF(AND($D220&lt;BY$5+7,$E220&gt;BY$5),"■","")))</x:f>
      </x:c>
      <x:c r="BZ220" s="7" t="str">
        <x:f>IF(OR($D220="",BZ$5="",'상세일정'!AM220="제외"),"",IF($D220=$E220,IF(AND($D220&gt;=BZ$5,$D220&lt;BZ$5+7),"◆",""),IF(AND($D220&lt;BZ$5+7,$E220&gt;BZ$5),"■","")))</x:f>
      </x:c>
      <x:c r="CA220" s="7" t="str">
        <x:f>IF(OR($D220="",CA$5="",'상세일정'!AM220="제외"),"",IF($D220=$E220,IF(AND($D220&gt;=CA$5,$D220&lt;CA$5+7),"◆",""),IF(AND($D220&lt;CA$5+7,$E220&gt;CA$5),"■","")))</x:f>
      </x:c>
      <x:c r="CB220" s="7" t="str">
        <x:f>IF(OR($D220="",CB$5="",'상세일정'!AM220="제외"),"",IF($D220=$E220,IF(AND($D220&gt;=CB$5,$D220&lt;CB$5+7),"◆",""),IF(AND($D220&lt;CB$5+7,$E220&gt;CB$5),"■","")))</x:f>
      </x:c>
      <x:c r="CC220" s="7" t="str">
        <x:f>IF(OR($D220="",CC$5="",'상세일정'!AM220="제외"),"",IF($D220=$E220,IF(AND($D220&gt;=CC$5,$D220&lt;CC$5+7),"◆",""),IF(AND($D220&lt;CC$5+7,$E220&gt;CC$5),"■","")))</x:f>
      </x:c>
      <x:c r="CD220" s="7" t="str">
        <x:f>IF(OR($D220="",CD$5="",'상세일정'!AM220="제외"),"",IF($D220=$E220,IF(AND($D220&gt;=CD$5,$D220&lt;CD$5+7),"◆",""),IF(AND($D220&lt;CD$5+7,$E220&gt;CD$5),"■","")))</x:f>
      </x:c>
      <x:c r="CE220" s="7" t="str">
        <x:f>IF(OR($D220="",CE$5="",'상세일정'!AM220="제외"),"",IF($D220=$E220,IF(AND($D220&gt;=CE$5,$D220&lt;CE$5+7),"◆",""),IF(AND($D220&lt;CE$5+7,$E220&gt;CE$5),"■","")))</x:f>
      </x:c>
      <x:c r="CF220" s="7" t="str">
        <x:f>IF(OR($D220="",CF$5="",'상세일정'!AM220="제외"),"",IF($D220=$E220,IF(AND($D220&gt;=CF$5,$D220&lt;CF$5+7),"◆",""),IF(AND($D220&lt;CF$5+7,$E220&gt;CF$5),"■","")))</x:f>
      </x:c>
      <x:c r="CG220" s="7" t="str">
        <x:f>IF(OR($D220="",CG$5="",'상세일정'!AM220="제외"),"",IF($D220=$E220,IF(AND($D220&gt;=CG$5,$D220&lt;CG$5+7),"◆",""),IF(AND($D220&lt;CG$5+7,$E220&gt;CG$5),"■","")))</x:f>
      </x:c>
      <x:c r="CH220" s="7" t="str">
        <x:f>IF(OR($D220="",CH$5="",'상세일정'!AM220="제외"),"",IF($D220=$E220,IF(AND($D220&gt;=CH$5,$D220&lt;CH$5+7),"◆",""),IF(AND($D220&lt;CH$5+7,$E220&gt;CH$5),"■","")))</x:f>
      </x:c>
      <x:c r="CI220" s="7" t="str">
        <x:f>IF(OR($D220="",CI$5="",'상세일정'!AM220="제외"),"",IF($D220=$E220,IF(AND($D220&gt;=CI$5,$D220&lt;CI$5+7),"◆",""),IF(AND($D220&lt;CI$5+7,$E220&gt;CI$5),"■","")))</x:f>
      </x:c>
      <x:c r="CJ220" s="7" t="str">
        <x:f>IF(OR($D220="",CJ$5="",'상세일정'!AM220="제외"),"",IF($D220=$E220,IF(AND($D220&gt;=CJ$5,$D220&lt;CJ$5+7),"◆",""),IF(AND($D220&lt;CJ$5+7,$E220&gt;CJ$5),"■","")))</x:f>
      </x:c>
      <x:c r="CK220" s="7" t="str">
        <x:f>IF(OR($D220="",CK$5="",'상세일정'!AM220="제외"),"",IF($D220=$E220,IF(AND($D220&gt;=CK$5,$D220&lt;CK$5+7),"◆",""),IF(AND($D220&lt;CK$5+7,$E220&gt;CK$5),"■","")))</x:f>
      </x:c>
      <x:c r="CL220" s="7" t="str">
        <x:f>IF(OR($D220="",CL$5="",'상세일정'!AM220="제외"),"",IF($D220=$E220,IF(AND($D220&gt;=CL$5,$D220&lt;CL$5+7),"◆",""),IF(AND($D220&lt;CL$5+7,$E220&gt;CL$5),"■","")))</x:f>
      </x:c>
      <x:c r="CM220" s="7" t="str">
        <x:f>IF(OR($D220="",CM$5="",'상세일정'!AM220="제외"),"",IF($D220=$E220,IF(AND($D220&gt;=CM$5,$D220&lt;CM$5+7),"◆",""),IF(AND($D220&lt;CM$5+7,$E220&gt;CM$5),"■","")))</x:f>
      </x:c>
      <x:c r="CN220" s="7" t="str">
        <x:f>IF(OR($D220="",CN$5="",'상세일정'!AM220="제외"),"",IF($D220=$E220,IF(AND($D220&gt;=CN$5,$D220&lt;CN$5+7),"◆",""),IF(AND($D220&lt;CN$5+7,$E220&gt;CN$5),"■","")))</x:f>
      </x:c>
      <x:c r="CO220" s="7" t="str">
        <x:f>IF(OR($D220="",CO$5="",'상세일정'!AM220="제외"),"",IF($D220=$E220,IF(AND($D220&gt;=CO$5,$D220&lt;CO$5+7),"◆",""),IF(AND($D220&lt;CO$5+7,$E220&gt;CO$5),"■","")))</x:f>
      </x:c>
      <x:c r="CP220" s="7" t="str">
        <x:f>IF(OR($D220="",CP$5="",'상세일정'!AM220="제외"),"",IF($D220=$E220,IF(AND($D220&gt;=CP$5,$D220&lt;CP$5+7),"◆",""),IF(AND($D220&lt;CP$5+7,$E220&gt;CP$5),"■","")))</x:f>
      </x:c>
      <x:c r="CQ220" s="7" t="str">
        <x:f>IF(OR($D220="",CQ$5="",'상세일정'!AM220="제외"),"",IF($D220=$E220,IF(AND($D220&gt;=CQ$5,$D220&lt;CQ$5+7),"◆",""),IF(AND($D220&lt;CQ$5+7,$E220&gt;CQ$5),"■","")))</x:f>
      </x:c>
      <x:c r="CR220" s="7" t="str">
        <x:f>IF(OR($D220="",CR$5="",'상세일정'!AM220="제외"),"",IF($D220=$E220,IF(AND($D220&gt;=CR$5,$D220&lt;CR$5+7),"◆",""),IF(AND($D220&lt;CR$5+7,$E220&gt;CR$5),"■","")))</x:f>
      </x:c>
      <x:c r="CS220" s="7" t="str">
        <x:f>IF(OR($D220="",CS$5="",'상세일정'!AM220="제외"),"",IF($D220=$E220,IF(AND($D220&gt;=CS$5,$D220&lt;CS$5+7),"◆",""),IF(AND($D220&lt;CS$5+7,$E220&gt;CS$5),"■","")))</x:f>
      </x:c>
      <x:c r="CT220" s="7" t="str">
        <x:f>IF(OR($D220="",CT$5="",'상세일정'!AM220="제외"),"",IF($D220=$E220,IF(AND($D220&gt;=CT$5,$D220&lt;CT$5+7),"◆",""),IF(AND($D220&lt;CT$5+7,$E220&gt;CT$5),"■","")))</x:f>
      </x:c>
      <x:c r="CU220" s="7" t="str">
        <x:f>IF(OR($D220="",CU$5="",'상세일정'!AM220="제외"),"",IF($D220=$E220,IF(AND($D220&gt;=CU$5,$D220&lt;CU$5+7),"◆",""),IF(AND($D220&lt;CU$5+7,$E220&gt;CU$5),"■","")))</x:f>
      </x:c>
      <x:c r="CV220" s="7" t="str">
        <x:f>IF(OR($D220="",CV$5="",'상세일정'!AM220="제외"),"",IF($D220=$E220,IF(AND($D220&gt;=CV$5,$D220&lt;CV$5+7),"◆",""),IF(AND($D220&lt;CV$5+7,$E220&gt;CV$5),"■","")))</x:f>
      </x:c>
      <x:c r="CW220" s="7" t="str">
        <x:f>IF(OR($D220="",CW$5="",'상세일정'!AM220="제외"),"",IF($D220=$E220,IF(AND($D220&gt;=CW$5,$D220&lt;CW$5+7),"◆",""),IF(AND($D220&lt;CW$5+7,$E220&gt;CW$5),"■","")))</x:f>
      </x:c>
      <x:c r="CX220" s="7" t="str">
        <x:f>IF(OR($D220="",CX$5="",'상세일정'!AM220="제외"),"",IF($D220=$E220,IF(AND($D220&gt;=CX$5,$D220&lt;CX$5+7),"◆",""),IF(AND($D220&lt;CX$5+7,$E220&gt;CX$5),"■","")))</x:f>
      </x:c>
      <x:c r="CY220" s="7" t="str">
        <x:f>IF(OR($D220="",CY$5="",'상세일정'!AM220="제외"),"",IF($D220=$E220,IF(AND($D220&gt;=CY$5,$D220&lt;CY$5+7),"◆",""),IF(AND($D220&lt;CY$5+7,$E220&gt;CY$5),"■","")))</x:f>
      </x:c>
      <x:c r="CZ220" s="7" t="str">
        <x:f>IF(OR($D220="",CZ$5="",'상세일정'!AM220="제외"),"",IF($D220=$E220,IF(AND($D220&gt;=CZ$5,$D220&lt;CZ$5+7),"◆",""),IF(AND($D220&lt;CZ$5+7,$E220&gt;CZ$5),"■","")))</x:f>
      </x:c>
      <x:c r="DA220" s="7" t="str">
        <x:f>IF(OR($D220="",DA$5="",'상세일정'!AM220="제외"),"",IF($D220=$E220,IF(AND($D220&gt;=DA$5,$D220&lt;DA$5+7),"◆",""),IF(AND($D220&lt;DA$5+7,$E220&gt;DA$5),"■","")))</x:f>
      </x:c>
      <x:c r="DB220" s="7" t="str">
        <x:f>IF(OR($D220="",DB$5="",'상세일정'!AM220="제외"),"",IF($D220=$E220,IF(AND($D220&gt;=DB$5,$D220&lt;DB$5+7),"◆",""),IF(AND($D220&lt;DB$5+7,$E220&gt;DB$5),"■","")))</x:f>
      </x:c>
      <x:c r="DC220" s="7" t="str">
        <x:f>IF(OR($D220="",DC$5="",'상세일정'!AM220="제외"),"",IF($D220=$E220,IF(AND($D220&gt;=DC$5,$D220&lt;DC$5+7),"◆",""),IF(AND($D220&lt;DC$5+7,$E220&gt;DC$5),"■","")))</x:f>
      </x:c>
      <x:c r="DD220" s="7" t="str">
        <x:f>IF(OR($D220="",DD$5="",'상세일정'!AM220="제외"),"",IF($D220=$E220,IF(AND($D220&gt;=DD$5,$D220&lt;DD$5+7),"◆",""),IF(AND($D220&lt;DD$5+7,$E220&gt;DD$5),"■","")))</x:f>
      </x:c>
      <x:c r="DE220" s="7" t="str">
        <x:f>IF(OR($D220="",DE$5="",'상세일정'!AM220="제외"),"",IF($D220=$E220,IF(AND($D220&gt;=DE$5,$D220&lt;DE$5+7),"◆",""),IF(AND($D220&lt;DE$5+7,$E220&gt;DE$5),"■","")))</x:f>
      </x:c>
    </x:row>
    <x:row r="221" ht="34" customHeight="1">
      <x:c r="A221" s="7" t="str">
        <x:v>OP01</x:v>
      </x:c>
      <x:c r="B221" s="7" t="str">
        <x:v>25 검사·운전 준비</x:v>
      </x:c>
      <x:c r="C221" s="7" t="str">
        <x:v>운전조직·안전관리자 자격·교육 계획 확정</x:v>
      </x:c>
      <x:c r="D221" s="10" t="str">
        <x:f>'상세일정'!AJ221</x:f>
      </x:c>
      <x:c r="E221" s="10" t="str">
        <x:f>'상세일정'!AK221</x:f>
      </x:c>
      <x:c r="F221" s="7" t="str">
        <x:f>IF(OR($D221="",F$5="",'상세일정'!AM221="제외"),"",IF($D221=$E221,IF(AND($D221&gt;=F$5,$D221&lt;F$5+7),"◆",""),IF(AND($D221&lt;F$5+7,$E221&gt;F$5),"■","")))</x:f>
      </x:c>
      <x:c r="G221" s="7" t="str">
        <x:f>IF(OR($D221="",G$5="",'상세일정'!AM221="제외"),"",IF($D221=$E221,IF(AND($D221&gt;=G$5,$D221&lt;G$5+7),"◆",""),IF(AND($D221&lt;G$5+7,$E221&gt;G$5),"■","")))</x:f>
      </x:c>
      <x:c r="H221" s="7" t="str">
        <x:f>IF(OR($D221="",H$5="",'상세일정'!AM221="제외"),"",IF($D221=$E221,IF(AND($D221&gt;=H$5,$D221&lt;H$5+7),"◆",""),IF(AND($D221&lt;H$5+7,$E221&gt;H$5),"■","")))</x:f>
      </x:c>
      <x:c r="I221" s="7" t="str">
        <x:f>IF(OR($D221="",I$5="",'상세일정'!AM221="제외"),"",IF($D221=$E221,IF(AND($D221&gt;=I$5,$D221&lt;I$5+7),"◆",""),IF(AND($D221&lt;I$5+7,$E221&gt;I$5),"■","")))</x:f>
      </x:c>
      <x:c r="J221" s="7" t="str">
        <x:f>IF(OR($D221="",J$5="",'상세일정'!AM221="제외"),"",IF($D221=$E221,IF(AND($D221&gt;=J$5,$D221&lt;J$5+7),"◆",""),IF(AND($D221&lt;J$5+7,$E221&gt;J$5),"■","")))</x:f>
      </x:c>
      <x:c r="K221" s="7" t="str">
        <x:f>IF(OR($D221="",K$5="",'상세일정'!AM221="제외"),"",IF($D221=$E221,IF(AND($D221&gt;=K$5,$D221&lt;K$5+7),"◆",""),IF(AND($D221&lt;K$5+7,$E221&gt;K$5),"■","")))</x:f>
      </x:c>
      <x:c r="L221" s="7" t="str">
        <x:f>IF(OR($D221="",L$5="",'상세일정'!AM221="제외"),"",IF($D221=$E221,IF(AND($D221&gt;=L$5,$D221&lt;L$5+7),"◆",""),IF(AND($D221&lt;L$5+7,$E221&gt;L$5),"■","")))</x:f>
      </x:c>
      <x:c r="M221" s="7" t="str">
        <x:f>IF(OR($D221="",M$5="",'상세일정'!AM221="제외"),"",IF($D221=$E221,IF(AND($D221&gt;=M$5,$D221&lt;M$5+7),"◆",""),IF(AND($D221&lt;M$5+7,$E221&gt;M$5),"■","")))</x:f>
      </x:c>
      <x:c r="N221" s="7" t="str">
        <x:f>IF(OR($D221="",N$5="",'상세일정'!AM221="제외"),"",IF($D221=$E221,IF(AND($D221&gt;=N$5,$D221&lt;N$5+7),"◆",""),IF(AND($D221&lt;N$5+7,$E221&gt;N$5),"■","")))</x:f>
      </x:c>
      <x:c r="O221" s="7" t="str">
        <x:f>IF(OR($D221="",O$5="",'상세일정'!AM221="제외"),"",IF($D221=$E221,IF(AND($D221&gt;=O$5,$D221&lt;O$5+7),"◆",""),IF(AND($D221&lt;O$5+7,$E221&gt;O$5),"■","")))</x:f>
      </x:c>
      <x:c r="P221" s="7" t="str">
        <x:f>IF(OR($D221="",P$5="",'상세일정'!AM221="제외"),"",IF($D221=$E221,IF(AND($D221&gt;=P$5,$D221&lt;P$5+7),"◆",""),IF(AND($D221&lt;P$5+7,$E221&gt;P$5),"■","")))</x:f>
      </x:c>
      <x:c r="Q221" s="7" t="str">
        <x:f>IF(OR($D221="",Q$5="",'상세일정'!AM221="제외"),"",IF($D221=$E221,IF(AND($D221&gt;=Q$5,$D221&lt;Q$5+7),"◆",""),IF(AND($D221&lt;Q$5+7,$E221&gt;Q$5),"■","")))</x:f>
      </x:c>
      <x:c r="R221" s="7" t="str">
        <x:f>IF(OR($D221="",R$5="",'상세일정'!AM221="제외"),"",IF($D221=$E221,IF(AND($D221&gt;=R$5,$D221&lt;R$5+7),"◆",""),IF(AND($D221&lt;R$5+7,$E221&gt;R$5),"■","")))</x:f>
      </x:c>
      <x:c r="S221" s="7" t="str">
        <x:f>IF(OR($D221="",S$5="",'상세일정'!AM221="제외"),"",IF($D221=$E221,IF(AND($D221&gt;=S$5,$D221&lt;S$5+7),"◆",""),IF(AND($D221&lt;S$5+7,$E221&gt;S$5),"■","")))</x:f>
      </x:c>
      <x:c r="T221" s="7" t="str">
        <x:f>IF(OR($D221="",T$5="",'상세일정'!AM221="제외"),"",IF($D221=$E221,IF(AND($D221&gt;=T$5,$D221&lt;T$5+7),"◆",""),IF(AND($D221&lt;T$5+7,$E221&gt;T$5),"■","")))</x:f>
      </x:c>
      <x:c r="U221" s="7" t="str">
        <x:f>IF(OR($D221="",U$5="",'상세일정'!AM221="제외"),"",IF($D221=$E221,IF(AND($D221&gt;=U$5,$D221&lt;U$5+7),"◆",""),IF(AND($D221&lt;U$5+7,$E221&gt;U$5),"■","")))</x:f>
      </x:c>
      <x:c r="V221" s="7" t="str">
        <x:f>IF(OR($D221="",V$5="",'상세일정'!AM221="제외"),"",IF($D221=$E221,IF(AND($D221&gt;=V$5,$D221&lt;V$5+7),"◆",""),IF(AND($D221&lt;V$5+7,$E221&gt;V$5),"■","")))</x:f>
      </x:c>
      <x:c r="W221" s="7" t="str">
        <x:f>IF(OR($D221="",W$5="",'상세일정'!AM221="제외"),"",IF($D221=$E221,IF(AND($D221&gt;=W$5,$D221&lt;W$5+7),"◆",""),IF(AND($D221&lt;W$5+7,$E221&gt;W$5),"■","")))</x:f>
      </x:c>
      <x:c r="X221" s="7" t="str">
        <x:f>IF(OR($D221="",X$5="",'상세일정'!AM221="제외"),"",IF($D221=$E221,IF(AND($D221&gt;=X$5,$D221&lt;X$5+7),"◆",""),IF(AND($D221&lt;X$5+7,$E221&gt;X$5),"■","")))</x:f>
      </x:c>
      <x:c r="Y221" s="7" t="str">
        <x:f>IF(OR($D221="",Y$5="",'상세일정'!AM221="제외"),"",IF($D221=$E221,IF(AND($D221&gt;=Y$5,$D221&lt;Y$5+7),"◆",""),IF(AND($D221&lt;Y$5+7,$E221&gt;Y$5),"■","")))</x:f>
      </x:c>
      <x:c r="Z221" s="7" t="str">
        <x:f>IF(OR($D221="",Z$5="",'상세일정'!AM221="제외"),"",IF($D221=$E221,IF(AND($D221&gt;=Z$5,$D221&lt;Z$5+7),"◆",""),IF(AND($D221&lt;Z$5+7,$E221&gt;Z$5),"■","")))</x:f>
      </x:c>
      <x:c r="AA221" s="7" t="str">
        <x:f>IF(OR($D221="",AA$5="",'상세일정'!AM221="제외"),"",IF($D221=$E221,IF(AND($D221&gt;=AA$5,$D221&lt;AA$5+7),"◆",""),IF(AND($D221&lt;AA$5+7,$E221&gt;AA$5),"■","")))</x:f>
      </x:c>
      <x:c r="AB221" s="7" t="str">
        <x:f>IF(OR($D221="",AB$5="",'상세일정'!AM221="제외"),"",IF($D221=$E221,IF(AND($D221&gt;=AB$5,$D221&lt;AB$5+7),"◆",""),IF(AND($D221&lt;AB$5+7,$E221&gt;AB$5),"■","")))</x:f>
      </x:c>
      <x:c r="AC221" s="7" t="str">
        <x:f>IF(OR($D221="",AC$5="",'상세일정'!AM221="제외"),"",IF($D221=$E221,IF(AND($D221&gt;=AC$5,$D221&lt;AC$5+7),"◆",""),IF(AND($D221&lt;AC$5+7,$E221&gt;AC$5),"■","")))</x:f>
      </x:c>
      <x:c r="AD221" s="7" t="str">
        <x:f>IF(OR($D221="",AD$5="",'상세일정'!AM221="제외"),"",IF($D221=$E221,IF(AND($D221&gt;=AD$5,$D221&lt;AD$5+7),"◆",""),IF(AND($D221&lt;AD$5+7,$E221&gt;AD$5),"■","")))</x:f>
      </x:c>
      <x:c r="AE221" s="7" t="str">
        <x:f>IF(OR($D221="",AE$5="",'상세일정'!AM221="제외"),"",IF($D221=$E221,IF(AND($D221&gt;=AE$5,$D221&lt;AE$5+7),"◆",""),IF(AND($D221&lt;AE$5+7,$E221&gt;AE$5),"■","")))</x:f>
      </x:c>
      <x:c r="AF221" s="7" t="str">
        <x:f>IF(OR($D221="",AF$5="",'상세일정'!AM221="제외"),"",IF($D221=$E221,IF(AND($D221&gt;=AF$5,$D221&lt;AF$5+7),"◆",""),IF(AND($D221&lt;AF$5+7,$E221&gt;AF$5),"■","")))</x:f>
      </x:c>
      <x:c r="AG221" s="7" t="str">
        <x:f>IF(OR($D221="",AG$5="",'상세일정'!AM221="제외"),"",IF($D221=$E221,IF(AND($D221&gt;=AG$5,$D221&lt;AG$5+7),"◆",""),IF(AND($D221&lt;AG$5+7,$E221&gt;AG$5),"■","")))</x:f>
      </x:c>
      <x:c r="AH221" s="7" t="str">
        <x:f>IF(OR($D221="",AH$5="",'상세일정'!AM221="제외"),"",IF($D221=$E221,IF(AND($D221&gt;=AH$5,$D221&lt;AH$5+7),"◆",""),IF(AND($D221&lt;AH$5+7,$E221&gt;AH$5),"■","")))</x:f>
      </x:c>
      <x:c r="AI221" s="7" t="str">
        <x:f>IF(OR($D221="",AI$5="",'상세일정'!AM221="제외"),"",IF($D221=$E221,IF(AND($D221&gt;=AI$5,$D221&lt;AI$5+7),"◆",""),IF(AND($D221&lt;AI$5+7,$E221&gt;AI$5),"■","")))</x:f>
      </x:c>
      <x:c r="AJ221" s="7" t="str">
        <x:f>IF(OR($D221="",AJ$5="",'상세일정'!AM221="제외"),"",IF($D221=$E221,IF(AND($D221&gt;=AJ$5,$D221&lt;AJ$5+7),"◆",""),IF(AND($D221&lt;AJ$5+7,$E221&gt;AJ$5),"■","")))</x:f>
      </x:c>
      <x:c r="AK221" s="7" t="str">
        <x:f>IF(OR($D221="",AK$5="",'상세일정'!AM221="제외"),"",IF($D221=$E221,IF(AND($D221&gt;=AK$5,$D221&lt;AK$5+7),"◆",""),IF(AND($D221&lt;AK$5+7,$E221&gt;AK$5),"■","")))</x:f>
      </x:c>
      <x:c r="AL221" s="7" t="str">
        <x:f>IF(OR($D221="",AL$5="",'상세일정'!AM221="제외"),"",IF($D221=$E221,IF(AND($D221&gt;=AL$5,$D221&lt;AL$5+7),"◆",""),IF(AND($D221&lt;AL$5+7,$E221&gt;AL$5),"■","")))</x:f>
      </x:c>
      <x:c r="AM221" s="7" t="str">
        <x:f>IF(OR($D221="",AM$5="",'상세일정'!AM221="제외"),"",IF($D221=$E221,IF(AND($D221&gt;=AM$5,$D221&lt;AM$5+7),"◆",""),IF(AND($D221&lt;AM$5+7,$E221&gt;AM$5),"■","")))</x:f>
      </x:c>
      <x:c r="AN221" s="7" t="str">
        <x:f>IF(OR($D221="",AN$5="",'상세일정'!AM221="제외"),"",IF($D221=$E221,IF(AND($D221&gt;=AN$5,$D221&lt;AN$5+7),"◆",""),IF(AND($D221&lt;AN$5+7,$E221&gt;AN$5),"■","")))</x:f>
      </x:c>
      <x:c r="AO221" s="7" t="str">
        <x:f>IF(OR($D221="",AO$5="",'상세일정'!AM221="제외"),"",IF($D221=$E221,IF(AND($D221&gt;=AO$5,$D221&lt;AO$5+7),"◆",""),IF(AND($D221&lt;AO$5+7,$E221&gt;AO$5),"■","")))</x:f>
      </x:c>
      <x:c r="AP221" s="7" t="str">
        <x:f>IF(OR($D221="",AP$5="",'상세일정'!AM221="제외"),"",IF($D221=$E221,IF(AND($D221&gt;=AP$5,$D221&lt;AP$5+7),"◆",""),IF(AND($D221&lt;AP$5+7,$E221&gt;AP$5),"■","")))</x:f>
      </x:c>
      <x:c r="AQ221" s="7" t="str">
        <x:f>IF(OR($D221="",AQ$5="",'상세일정'!AM221="제외"),"",IF($D221=$E221,IF(AND($D221&gt;=AQ$5,$D221&lt;AQ$5+7),"◆",""),IF(AND($D221&lt;AQ$5+7,$E221&gt;AQ$5),"■","")))</x:f>
      </x:c>
      <x:c r="AR221" s="7" t="str">
        <x:f>IF(OR($D221="",AR$5="",'상세일정'!AM221="제외"),"",IF($D221=$E221,IF(AND($D221&gt;=AR$5,$D221&lt;AR$5+7),"◆",""),IF(AND($D221&lt;AR$5+7,$E221&gt;AR$5),"■","")))</x:f>
      </x:c>
      <x:c r="AS221" s="7" t="str">
        <x:f>IF(OR($D221="",AS$5="",'상세일정'!AM221="제외"),"",IF($D221=$E221,IF(AND($D221&gt;=AS$5,$D221&lt;AS$5+7),"◆",""),IF(AND($D221&lt;AS$5+7,$E221&gt;AS$5),"■","")))</x:f>
      </x:c>
      <x:c r="AT221" s="7" t="str">
        <x:f>IF(OR($D221="",AT$5="",'상세일정'!AM221="제외"),"",IF($D221=$E221,IF(AND($D221&gt;=AT$5,$D221&lt;AT$5+7),"◆",""),IF(AND($D221&lt;AT$5+7,$E221&gt;AT$5),"■","")))</x:f>
      </x:c>
      <x:c r="AU221" s="7" t="str">
        <x:f>IF(OR($D221="",AU$5="",'상세일정'!AM221="제외"),"",IF($D221=$E221,IF(AND($D221&gt;=AU$5,$D221&lt;AU$5+7),"◆",""),IF(AND($D221&lt;AU$5+7,$E221&gt;AU$5),"■","")))</x:f>
      </x:c>
      <x:c r="AV221" s="7" t="str">
        <x:f>IF(OR($D221="",AV$5="",'상세일정'!AM221="제외"),"",IF($D221=$E221,IF(AND($D221&gt;=AV$5,$D221&lt;AV$5+7),"◆",""),IF(AND($D221&lt;AV$5+7,$E221&gt;AV$5),"■","")))</x:f>
      </x:c>
      <x:c r="AW221" s="7" t="str">
        <x:f>IF(OR($D221="",AW$5="",'상세일정'!AM221="제외"),"",IF($D221=$E221,IF(AND($D221&gt;=AW$5,$D221&lt;AW$5+7),"◆",""),IF(AND($D221&lt;AW$5+7,$E221&gt;AW$5),"■","")))</x:f>
      </x:c>
      <x:c r="AX221" s="7" t="str">
        <x:f>IF(OR($D221="",AX$5="",'상세일정'!AM221="제외"),"",IF($D221=$E221,IF(AND($D221&gt;=AX$5,$D221&lt;AX$5+7),"◆",""),IF(AND($D221&lt;AX$5+7,$E221&gt;AX$5),"■","")))</x:f>
      </x:c>
      <x:c r="AY221" s="7" t="str">
        <x:f>IF(OR($D221="",AY$5="",'상세일정'!AM221="제외"),"",IF($D221=$E221,IF(AND($D221&gt;=AY$5,$D221&lt;AY$5+7),"◆",""),IF(AND($D221&lt;AY$5+7,$E221&gt;AY$5),"■","")))</x:f>
      </x:c>
      <x:c r="AZ221" s="7" t="str">
        <x:f>IF(OR($D221="",AZ$5="",'상세일정'!AM221="제외"),"",IF($D221=$E221,IF(AND($D221&gt;=AZ$5,$D221&lt;AZ$5+7),"◆",""),IF(AND($D221&lt;AZ$5+7,$E221&gt;AZ$5),"■","")))</x:f>
      </x:c>
      <x:c r="BA221" s="7" t="str">
        <x:f>IF(OR($D221="",BA$5="",'상세일정'!AM221="제외"),"",IF($D221=$E221,IF(AND($D221&gt;=BA$5,$D221&lt;BA$5+7),"◆",""),IF(AND($D221&lt;BA$5+7,$E221&gt;BA$5),"■","")))</x:f>
      </x:c>
      <x:c r="BB221" s="7" t="str">
        <x:f>IF(OR($D221="",BB$5="",'상세일정'!AM221="제외"),"",IF($D221=$E221,IF(AND($D221&gt;=BB$5,$D221&lt;BB$5+7),"◆",""),IF(AND($D221&lt;BB$5+7,$E221&gt;BB$5),"■","")))</x:f>
      </x:c>
      <x:c r="BC221" s="7" t="str">
        <x:f>IF(OR($D221="",BC$5="",'상세일정'!AM221="제외"),"",IF($D221=$E221,IF(AND($D221&gt;=BC$5,$D221&lt;BC$5+7),"◆",""),IF(AND($D221&lt;BC$5+7,$E221&gt;BC$5),"■","")))</x:f>
      </x:c>
      <x:c r="BD221" s="7" t="str">
        <x:f>IF(OR($D221="",BD$5="",'상세일정'!AM221="제외"),"",IF($D221=$E221,IF(AND($D221&gt;=BD$5,$D221&lt;BD$5+7),"◆",""),IF(AND($D221&lt;BD$5+7,$E221&gt;BD$5),"■","")))</x:f>
      </x:c>
      <x:c r="BE221" s="7" t="str">
        <x:f>IF(OR($D221="",BE$5="",'상세일정'!AM221="제외"),"",IF($D221=$E221,IF(AND($D221&gt;=BE$5,$D221&lt;BE$5+7),"◆",""),IF(AND($D221&lt;BE$5+7,$E221&gt;BE$5),"■","")))</x:f>
      </x:c>
      <x:c r="BF221" s="7" t="str">
        <x:f>IF(OR($D221="",BF$5="",'상세일정'!AM221="제외"),"",IF($D221=$E221,IF(AND($D221&gt;=BF$5,$D221&lt;BF$5+7),"◆",""),IF(AND($D221&lt;BF$5+7,$E221&gt;BF$5),"■","")))</x:f>
      </x:c>
      <x:c r="BG221" s="7" t="str">
        <x:f>IF(OR($D221="",BG$5="",'상세일정'!AM221="제외"),"",IF($D221=$E221,IF(AND($D221&gt;=BG$5,$D221&lt;BG$5+7),"◆",""),IF(AND($D221&lt;BG$5+7,$E221&gt;BG$5),"■","")))</x:f>
      </x:c>
      <x:c r="BH221" s="7" t="str">
        <x:f>IF(OR($D221="",BH$5="",'상세일정'!AM221="제외"),"",IF($D221=$E221,IF(AND($D221&gt;=BH$5,$D221&lt;BH$5+7),"◆",""),IF(AND($D221&lt;BH$5+7,$E221&gt;BH$5),"■","")))</x:f>
      </x:c>
      <x:c r="BI221" s="7" t="str">
        <x:f>IF(OR($D221="",BI$5="",'상세일정'!AM221="제외"),"",IF($D221=$E221,IF(AND($D221&gt;=BI$5,$D221&lt;BI$5+7),"◆",""),IF(AND($D221&lt;BI$5+7,$E221&gt;BI$5),"■","")))</x:f>
      </x:c>
      <x:c r="BJ221" s="7" t="str">
        <x:f>IF(OR($D221="",BJ$5="",'상세일정'!AM221="제외"),"",IF($D221=$E221,IF(AND($D221&gt;=BJ$5,$D221&lt;BJ$5+7),"◆",""),IF(AND($D221&lt;BJ$5+7,$E221&gt;BJ$5),"■","")))</x:f>
      </x:c>
      <x:c r="BK221" s="7" t="str">
        <x:f>IF(OR($D221="",BK$5="",'상세일정'!AM221="제외"),"",IF($D221=$E221,IF(AND($D221&gt;=BK$5,$D221&lt;BK$5+7),"◆",""),IF(AND($D221&lt;BK$5+7,$E221&gt;BK$5),"■","")))</x:f>
      </x:c>
      <x:c r="BL221" s="7" t="str">
        <x:f>IF(OR($D221="",BL$5="",'상세일정'!AM221="제외"),"",IF($D221=$E221,IF(AND($D221&gt;=BL$5,$D221&lt;BL$5+7),"◆",""),IF(AND($D221&lt;BL$5+7,$E221&gt;BL$5),"■","")))</x:f>
      </x:c>
      <x:c r="BM221" s="7" t="str">
        <x:f>IF(OR($D221="",BM$5="",'상세일정'!AM221="제외"),"",IF($D221=$E221,IF(AND($D221&gt;=BM$5,$D221&lt;BM$5+7),"◆",""),IF(AND($D221&lt;BM$5+7,$E221&gt;BM$5),"■","")))</x:f>
      </x:c>
      <x:c r="BN221" s="7" t="str">
        <x:f>IF(OR($D221="",BN$5="",'상세일정'!AM221="제외"),"",IF($D221=$E221,IF(AND($D221&gt;=BN$5,$D221&lt;BN$5+7),"◆",""),IF(AND($D221&lt;BN$5+7,$E221&gt;BN$5),"■","")))</x:f>
      </x:c>
      <x:c r="BO221" s="7" t="str">
        <x:f>IF(OR($D221="",BO$5="",'상세일정'!AM221="제외"),"",IF($D221=$E221,IF(AND($D221&gt;=BO$5,$D221&lt;BO$5+7),"◆",""),IF(AND($D221&lt;BO$5+7,$E221&gt;BO$5),"■","")))</x:f>
      </x:c>
      <x:c r="BP221" s="7" t="str">
        <x:f>IF(OR($D221="",BP$5="",'상세일정'!AM221="제외"),"",IF($D221=$E221,IF(AND($D221&gt;=BP$5,$D221&lt;BP$5+7),"◆",""),IF(AND($D221&lt;BP$5+7,$E221&gt;BP$5),"■","")))</x:f>
      </x:c>
      <x:c r="BQ221" s="7" t="str">
        <x:f>IF(OR($D221="",BQ$5="",'상세일정'!AM221="제외"),"",IF($D221=$E221,IF(AND($D221&gt;=BQ$5,$D221&lt;BQ$5+7),"◆",""),IF(AND($D221&lt;BQ$5+7,$E221&gt;BQ$5),"■","")))</x:f>
      </x:c>
      <x:c r="BR221" s="7" t="str">
        <x:f>IF(OR($D221="",BR$5="",'상세일정'!AM221="제외"),"",IF($D221=$E221,IF(AND($D221&gt;=BR$5,$D221&lt;BR$5+7),"◆",""),IF(AND($D221&lt;BR$5+7,$E221&gt;BR$5),"■","")))</x:f>
      </x:c>
      <x:c r="BS221" s="7" t="str">
        <x:f>IF(OR($D221="",BS$5="",'상세일정'!AM221="제외"),"",IF($D221=$E221,IF(AND($D221&gt;=BS$5,$D221&lt;BS$5+7),"◆",""),IF(AND($D221&lt;BS$5+7,$E221&gt;BS$5),"■","")))</x:f>
      </x:c>
      <x:c r="BT221" s="7" t="str">
        <x:f>IF(OR($D221="",BT$5="",'상세일정'!AM221="제외"),"",IF($D221=$E221,IF(AND($D221&gt;=BT$5,$D221&lt;BT$5+7),"◆",""),IF(AND($D221&lt;BT$5+7,$E221&gt;BT$5),"■","")))</x:f>
      </x:c>
      <x:c r="BU221" s="7" t="str">
        <x:f>IF(OR($D221="",BU$5="",'상세일정'!AM221="제외"),"",IF($D221=$E221,IF(AND($D221&gt;=BU$5,$D221&lt;BU$5+7),"◆",""),IF(AND($D221&lt;BU$5+7,$E221&gt;BU$5),"■","")))</x:f>
      </x:c>
      <x:c r="BV221" s="7" t="str">
        <x:f>IF(OR($D221="",BV$5="",'상세일정'!AM221="제외"),"",IF($D221=$E221,IF(AND($D221&gt;=BV$5,$D221&lt;BV$5+7),"◆",""),IF(AND($D221&lt;BV$5+7,$E221&gt;BV$5),"■","")))</x:f>
      </x:c>
      <x:c r="BW221" s="7" t="str">
        <x:f>IF(OR($D221="",BW$5="",'상세일정'!AM221="제외"),"",IF($D221=$E221,IF(AND($D221&gt;=BW$5,$D221&lt;BW$5+7),"◆",""),IF(AND($D221&lt;BW$5+7,$E221&gt;BW$5),"■","")))</x:f>
      </x:c>
      <x:c r="BX221" s="7" t="str">
        <x:f>IF(OR($D221="",BX$5="",'상세일정'!AM221="제외"),"",IF($D221=$E221,IF(AND($D221&gt;=BX$5,$D221&lt;BX$5+7),"◆",""),IF(AND($D221&lt;BX$5+7,$E221&gt;BX$5),"■","")))</x:f>
      </x:c>
      <x:c r="BY221" s="7" t="str">
        <x:f>IF(OR($D221="",BY$5="",'상세일정'!AM221="제외"),"",IF($D221=$E221,IF(AND($D221&gt;=BY$5,$D221&lt;BY$5+7),"◆",""),IF(AND($D221&lt;BY$5+7,$E221&gt;BY$5),"■","")))</x:f>
      </x:c>
      <x:c r="BZ221" s="7" t="str">
        <x:f>IF(OR($D221="",BZ$5="",'상세일정'!AM221="제외"),"",IF($D221=$E221,IF(AND($D221&gt;=BZ$5,$D221&lt;BZ$5+7),"◆",""),IF(AND($D221&lt;BZ$5+7,$E221&gt;BZ$5),"■","")))</x:f>
      </x:c>
      <x:c r="CA221" s="7" t="str">
        <x:f>IF(OR($D221="",CA$5="",'상세일정'!AM221="제외"),"",IF($D221=$E221,IF(AND($D221&gt;=CA$5,$D221&lt;CA$5+7),"◆",""),IF(AND($D221&lt;CA$5+7,$E221&gt;CA$5),"■","")))</x:f>
      </x:c>
      <x:c r="CB221" s="7" t="str">
        <x:f>IF(OR($D221="",CB$5="",'상세일정'!AM221="제외"),"",IF($D221=$E221,IF(AND($D221&gt;=CB$5,$D221&lt;CB$5+7),"◆",""),IF(AND($D221&lt;CB$5+7,$E221&gt;CB$5),"■","")))</x:f>
      </x:c>
      <x:c r="CC221" s="7" t="str">
        <x:f>IF(OR($D221="",CC$5="",'상세일정'!AM221="제외"),"",IF($D221=$E221,IF(AND($D221&gt;=CC$5,$D221&lt;CC$5+7),"◆",""),IF(AND($D221&lt;CC$5+7,$E221&gt;CC$5),"■","")))</x:f>
      </x:c>
      <x:c r="CD221" s="7" t="str">
        <x:f>IF(OR($D221="",CD$5="",'상세일정'!AM221="제외"),"",IF($D221=$E221,IF(AND($D221&gt;=CD$5,$D221&lt;CD$5+7),"◆",""),IF(AND($D221&lt;CD$5+7,$E221&gt;CD$5),"■","")))</x:f>
      </x:c>
      <x:c r="CE221" s="7" t="str">
        <x:f>IF(OR($D221="",CE$5="",'상세일정'!AM221="제외"),"",IF($D221=$E221,IF(AND($D221&gt;=CE$5,$D221&lt;CE$5+7),"◆",""),IF(AND($D221&lt;CE$5+7,$E221&gt;CE$5),"■","")))</x:f>
      </x:c>
      <x:c r="CF221" s="7" t="str">
        <x:f>IF(OR($D221="",CF$5="",'상세일정'!AM221="제외"),"",IF($D221=$E221,IF(AND($D221&gt;=CF$5,$D221&lt;CF$5+7),"◆",""),IF(AND($D221&lt;CF$5+7,$E221&gt;CF$5),"■","")))</x:f>
      </x:c>
      <x:c r="CG221" s="7" t="str">
        <x:f>IF(OR($D221="",CG$5="",'상세일정'!AM221="제외"),"",IF($D221=$E221,IF(AND($D221&gt;=CG$5,$D221&lt;CG$5+7),"◆",""),IF(AND($D221&lt;CG$5+7,$E221&gt;CG$5),"■","")))</x:f>
      </x:c>
      <x:c r="CH221" s="7" t="str">
        <x:f>IF(OR($D221="",CH$5="",'상세일정'!AM221="제외"),"",IF($D221=$E221,IF(AND($D221&gt;=CH$5,$D221&lt;CH$5+7),"◆",""),IF(AND($D221&lt;CH$5+7,$E221&gt;CH$5),"■","")))</x:f>
      </x:c>
      <x:c r="CI221" s="7" t="str">
        <x:f>IF(OR($D221="",CI$5="",'상세일정'!AM221="제외"),"",IF($D221=$E221,IF(AND($D221&gt;=CI$5,$D221&lt;CI$5+7),"◆",""),IF(AND($D221&lt;CI$5+7,$E221&gt;CI$5),"■","")))</x:f>
      </x:c>
      <x:c r="CJ221" s="7" t="str">
        <x:f>IF(OR($D221="",CJ$5="",'상세일정'!AM221="제외"),"",IF($D221=$E221,IF(AND($D221&gt;=CJ$5,$D221&lt;CJ$5+7),"◆",""),IF(AND($D221&lt;CJ$5+7,$E221&gt;CJ$5),"■","")))</x:f>
      </x:c>
      <x:c r="CK221" s="7" t="str">
        <x:f>IF(OR($D221="",CK$5="",'상세일정'!AM221="제외"),"",IF($D221=$E221,IF(AND($D221&gt;=CK$5,$D221&lt;CK$5+7),"◆",""),IF(AND($D221&lt;CK$5+7,$E221&gt;CK$5),"■","")))</x:f>
      </x:c>
      <x:c r="CL221" s="7" t="str">
        <x:f>IF(OR($D221="",CL$5="",'상세일정'!AM221="제외"),"",IF($D221=$E221,IF(AND($D221&gt;=CL$5,$D221&lt;CL$5+7),"◆",""),IF(AND($D221&lt;CL$5+7,$E221&gt;CL$5),"■","")))</x:f>
      </x:c>
      <x:c r="CM221" s="7" t="str">
        <x:f>IF(OR($D221="",CM$5="",'상세일정'!AM221="제외"),"",IF($D221=$E221,IF(AND($D221&gt;=CM$5,$D221&lt;CM$5+7),"◆",""),IF(AND($D221&lt;CM$5+7,$E221&gt;CM$5),"■","")))</x:f>
      </x:c>
      <x:c r="CN221" s="7" t="str">
        <x:f>IF(OR($D221="",CN$5="",'상세일정'!AM221="제외"),"",IF($D221=$E221,IF(AND($D221&gt;=CN$5,$D221&lt;CN$5+7),"◆",""),IF(AND($D221&lt;CN$5+7,$E221&gt;CN$5),"■","")))</x:f>
      </x:c>
      <x:c r="CO221" s="7" t="str">
        <x:f>IF(OR($D221="",CO$5="",'상세일정'!AM221="제외"),"",IF($D221=$E221,IF(AND($D221&gt;=CO$5,$D221&lt;CO$5+7),"◆",""),IF(AND($D221&lt;CO$5+7,$E221&gt;CO$5),"■","")))</x:f>
      </x:c>
      <x:c r="CP221" s="7" t="str">
        <x:f>IF(OR($D221="",CP$5="",'상세일정'!AM221="제외"),"",IF($D221=$E221,IF(AND($D221&gt;=CP$5,$D221&lt;CP$5+7),"◆",""),IF(AND($D221&lt;CP$5+7,$E221&gt;CP$5),"■","")))</x:f>
      </x:c>
      <x:c r="CQ221" s="7" t="str">
        <x:f>IF(OR($D221="",CQ$5="",'상세일정'!AM221="제외"),"",IF($D221=$E221,IF(AND($D221&gt;=CQ$5,$D221&lt;CQ$5+7),"◆",""),IF(AND($D221&lt;CQ$5+7,$E221&gt;CQ$5),"■","")))</x:f>
      </x:c>
      <x:c r="CR221" s="7" t="str">
        <x:f>IF(OR($D221="",CR$5="",'상세일정'!AM221="제외"),"",IF($D221=$E221,IF(AND($D221&gt;=CR$5,$D221&lt;CR$5+7),"◆",""),IF(AND($D221&lt;CR$5+7,$E221&gt;CR$5),"■","")))</x:f>
      </x:c>
      <x:c r="CS221" s="7" t="str">
        <x:f>IF(OR($D221="",CS$5="",'상세일정'!AM221="제외"),"",IF($D221=$E221,IF(AND($D221&gt;=CS$5,$D221&lt;CS$5+7),"◆",""),IF(AND($D221&lt;CS$5+7,$E221&gt;CS$5),"■","")))</x:f>
      </x:c>
      <x:c r="CT221" s="7" t="str">
        <x:f>IF(OR($D221="",CT$5="",'상세일정'!AM221="제외"),"",IF($D221=$E221,IF(AND($D221&gt;=CT$5,$D221&lt;CT$5+7),"◆",""),IF(AND($D221&lt;CT$5+7,$E221&gt;CT$5),"■","")))</x:f>
      </x:c>
      <x:c r="CU221" s="7" t="str">
        <x:f>IF(OR($D221="",CU$5="",'상세일정'!AM221="제외"),"",IF($D221=$E221,IF(AND($D221&gt;=CU$5,$D221&lt;CU$5+7),"◆",""),IF(AND($D221&lt;CU$5+7,$E221&gt;CU$5),"■","")))</x:f>
      </x:c>
      <x:c r="CV221" s="7" t="str">
        <x:f>IF(OR($D221="",CV$5="",'상세일정'!AM221="제외"),"",IF($D221=$E221,IF(AND($D221&gt;=CV$5,$D221&lt;CV$5+7),"◆",""),IF(AND($D221&lt;CV$5+7,$E221&gt;CV$5),"■","")))</x:f>
      </x:c>
      <x:c r="CW221" s="7" t="str">
        <x:f>IF(OR($D221="",CW$5="",'상세일정'!AM221="제외"),"",IF($D221=$E221,IF(AND($D221&gt;=CW$5,$D221&lt;CW$5+7),"◆",""),IF(AND($D221&lt;CW$5+7,$E221&gt;CW$5),"■","")))</x:f>
      </x:c>
      <x:c r="CX221" s="7" t="str">
        <x:f>IF(OR($D221="",CX$5="",'상세일정'!AM221="제외"),"",IF($D221=$E221,IF(AND($D221&gt;=CX$5,$D221&lt;CX$5+7),"◆",""),IF(AND($D221&lt;CX$5+7,$E221&gt;CX$5),"■","")))</x:f>
      </x:c>
      <x:c r="CY221" s="7" t="str">
        <x:f>IF(OR($D221="",CY$5="",'상세일정'!AM221="제외"),"",IF($D221=$E221,IF(AND($D221&gt;=CY$5,$D221&lt;CY$5+7),"◆",""),IF(AND($D221&lt;CY$5+7,$E221&gt;CY$5),"■","")))</x:f>
      </x:c>
      <x:c r="CZ221" s="7" t="str">
        <x:f>IF(OR($D221="",CZ$5="",'상세일정'!AM221="제외"),"",IF($D221=$E221,IF(AND($D221&gt;=CZ$5,$D221&lt;CZ$5+7),"◆",""),IF(AND($D221&lt;CZ$5+7,$E221&gt;CZ$5),"■","")))</x:f>
      </x:c>
      <x:c r="DA221" s="7" t="str">
        <x:f>IF(OR($D221="",DA$5="",'상세일정'!AM221="제외"),"",IF($D221=$E221,IF(AND($D221&gt;=DA$5,$D221&lt;DA$5+7),"◆",""),IF(AND($D221&lt;DA$5+7,$E221&gt;DA$5),"■","")))</x:f>
      </x:c>
      <x:c r="DB221" s="7" t="str">
        <x:f>IF(OR($D221="",DB$5="",'상세일정'!AM221="제외"),"",IF($D221=$E221,IF(AND($D221&gt;=DB$5,$D221&lt;DB$5+7),"◆",""),IF(AND($D221&lt;DB$5+7,$E221&gt;DB$5),"■","")))</x:f>
      </x:c>
      <x:c r="DC221" s="7" t="str">
        <x:f>IF(OR($D221="",DC$5="",'상세일정'!AM221="제외"),"",IF($D221=$E221,IF(AND($D221&gt;=DC$5,$D221&lt;DC$5+7),"◆",""),IF(AND($D221&lt;DC$5+7,$E221&gt;DC$5),"■","")))</x:f>
      </x:c>
      <x:c r="DD221" s="7" t="str">
        <x:f>IF(OR($D221="",DD$5="",'상세일정'!AM221="제외"),"",IF($D221=$E221,IF(AND($D221&gt;=DD$5,$D221&lt;DD$5+7),"◆",""),IF(AND($D221&lt;DD$5+7,$E221&gt;DD$5),"■","")))</x:f>
      </x:c>
      <x:c r="DE221" s="7" t="str">
        <x:f>IF(OR($D221="",DE$5="",'상세일정'!AM221="제외"),"",IF($D221=$E221,IF(AND($D221&gt;=DE$5,$D221&lt;DE$5+7),"◆",""),IF(AND($D221&lt;DE$5+7,$E221&gt;DE$5),"■","")))</x:f>
      </x:c>
    </x:row>
    <x:row r="222" ht="34" customHeight="1">
      <x:c r="A222" s="7" t="str">
        <x:v>OP02</x:v>
      </x:c>
      <x:c r="B222" s="7" t="str">
        <x:v>25 검사·운전 준비</x:v>
      </x:c>
      <x:c r="C222" s="7" t="str">
        <x:v>운전·정비·비상대응 절차 및 안전관리규정 작성</x:v>
      </x:c>
      <x:c r="D222" s="10" t="str">
        <x:f>'상세일정'!AJ222</x:f>
      </x:c>
      <x:c r="E222" s="10" t="str">
        <x:f>'상세일정'!AK222</x:f>
      </x:c>
      <x:c r="F222" s="7" t="str">
        <x:f>IF(OR($D222="",F$5="",'상세일정'!AM222="제외"),"",IF($D222=$E222,IF(AND($D222&gt;=F$5,$D222&lt;F$5+7),"◆",""),IF(AND($D222&lt;F$5+7,$E222&gt;F$5),"■","")))</x:f>
      </x:c>
      <x:c r="G222" s="7" t="str">
        <x:f>IF(OR($D222="",G$5="",'상세일정'!AM222="제외"),"",IF($D222=$E222,IF(AND($D222&gt;=G$5,$D222&lt;G$5+7),"◆",""),IF(AND($D222&lt;G$5+7,$E222&gt;G$5),"■","")))</x:f>
      </x:c>
      <x:c r="H222" s="7" t="str">
        <x:f>IF(OR($D222="",H$5="",'상세일정'!AM222="제외"),"",IF($D222=$E222,IF(AND($D222&gt;=H$5,$D222&lt;H$5+7),"◆",""),IF(AND($D222&lt;H$5+7,$E222&gt;H$5),"■","")))</x:f>
      </x:c>
      <x:c r="I222" s="7" t="str">
        <x:f>IF(OR($D222="",I$5="",'상세일정'!AM222="제외"),"",IF($D222=$E222,IF(AND($D222&gt;=I$5,$D222&lt;I$5+7),"◆",""),IF(AND($D222&lt;I$5+7,$E222&gt;I$5),"■","")))</x:f>
      </x:c>
      <x:c r="J222" s="7" t="str">
        <x:f>IF(OR($D222="",J$5="",'상세일정'!AM222="제외"),"",IF($D222=$E222,IF(AND($D222&gt;=J$5,$D222&lt;J$5+7),"◆",""),IF(AND($D222&lt;J$5+7,$E222&gt;J$5),"■","")))</x:f>
      </x:c>
      <x:c r="K222" s="7" t="str">
        <x:f>IF(OR($D222="",K$5="",'상세일정'!AM222="제외"),"",IF($D222=$E222,IF(AND($D222&gt;=K$5,$D222&lt;K$5+7),"◆",""),IF(AND($D222&lt;K$5+7,$E222&gt;K$5),"■","")))</x:f>
      </x:c>
      <x:c r="L222" s="7" t="str">
        <x:f>IF(OR($D222="",L$5="",'상세일정'!AM222="제외"),"",IF($D222=$E222,IF(AND($D222&gt;=L$5,$D222&lt;L$5+7),"◆",""),IF(AND($D222&lt;L$5+7,$E222&gt;L$5),"■","")))</x:f>
      </x:c>
      <x:c r="M222" s="7" t="str">
        <x:f>IF(OR($D222="",M$5="",'상세일정'!AM222="제외"),"",IF($D222=$E222,IF(AND($D222&gt;=M$5,$D222&lt;M$5+7),"◆",""),IF(AND($D222&lt;M$5+7,$E222&gt;M$5),"■","")))</x:f>
      </x:c>
      <x:c r="N222" s="7" t="str">
        <x:f>IF(OR($D222="",N$5="",'상세일정'!AM222="제외"),"",IF($D222=$E222,IF(AND($D222&gt;=N$5,$D222&lt;N$5+7),"◆",""),IF(AND($D222&lt;N$5+7,$E222&gt;N$5),"■","")))</x:f>
      </x:c>
      <x:c r="O222" s="7" t="str">
        <x:f>IF(OR($D222="",O$5="",'상세일정'!AM222="제외"),"",IF($D222=$E222,IF(AND($D222&gt;=O$5,$D222&lt;O$5+7),"◆",""),IF(AND($D222&lt;O$5+7,$E222&gt;O$5),"■","")))</x:f>
      </x:c>
      <x:c r="P222" s="7" t="str">
        <x:f>IF(OR($D222="",P$5="",'상세일정'!AM222="제외"),"",IF($D222=$E222,IF(AND($D222&gt;=P$5,$D222&lt;P$5+7),"◆",""),IF(AND($D222&lt;P$5+7,$E222&gt;P$5),"■","")))</x:f>
      </x:c>
      <x:c r="Q222" s="7" t="str">
        <x:f>IF(OR($D222="",Q$5="",'상세일정'!AM222="제외"),"",IF($D222=$E222,IF(AND($D222&gt;=Q$5,$D222&lt;Q$5+7),"◆",""),IF(AND($D222&lt;Q$5+7,$E222&gt;Q$5),"■","")))</x:f>
      </x:c>
      <x:c r="R222" s="7" t="str">
        <x:f>IF(OR($D222="",R$5="",'상세일정'!AM222="제외"),"",IF($D222=$E222,IF(AND($D222&gt;=R$5,$D222&lt;R$5+7),"◆",""),IF(AND($D222&lt;R$5+7,$E222&gt;R$5),"■","")))</x:f>
      </x:c>
      <x:c r="S222" s="7" t="str">
        <x:f>IF(OR($D222="",S$5="",'상세일정'!AM222="제외"),"",IF($D222=$E222,IF(AND($D222&gt;=S$5,$D222&lt;S$5+7),"◆",""),IF(AND($D222&lt;S$5+7,$E222&gt;S$5),"■","")))</x:f>
      </x:c>
      <x:c r="T222" s="7" t="str">
        <x:f>IF(OR($D222="",T$5="",'상세일정'!AM222="제외"),"",IF($D222=$E222,IF(AND($D222&gt;=T$5,$D222&lt;T$5+7),"◆",""),IF(AND($D222&lt;T$5+7,$E222&gt;T$5),"■","")))</x:f>
      </x:c>
      <x:c r="U222" s="7" t="str">
        <x:f>IF(OR($D222="",U$5="",'상세일정'!AM222="제외"),"",IF($D222=$E222,IF(AND($D222&gt;=U$5,$D222&lt;U$5+7),"◆",""),IF(AND($D222&lt;U$5+7,$E222&gt;U$5),"■","")))</x:f>
      </x:c>
      <x:c r="V222" s="7" t="str">
        <x:f>IF(OR($D222="",V$5="",'상세일정'!AM222="제외"),"",IF($D222=$E222,IF(AND($D222&gt;=V$5,$D222&lt;V$5+7),"◆",""),IF(AND($D222&lt;V$5+7,$E222&gt;V$5),"■","")))</x:f>
      </x:c>
      <x:c r="W222" s="7" t="str">
        <x:f>IF(OR($D222="",W$5="",'상세일정'!AM222="제외"),"",IF($D222=$E222,IF(AND($D222&gt;=W$5,$D222&lt;W$5+7),"◆",""),IF(AND($D222&lt;W$5+7,$E222&gt;W$5),"■","")))</x:f>
      </x:c>
      <x:c r="X222" s="7" t="str">
        <x:f>IF(OR($D222="",X$5="",'상세일정'!AM222="제외"),"",IF($D222=$E222,IF(AND($D222&gt;=X$5,$D222&lt;X$5+7),"◆",""),IF(AND($D222&lt;X$5+7,$E222&gt;X$5),"■","")))</x:f>
      </x:c>
      <x:c r="Y222" s="7" t="str">
        <x:f>IF(OR($D222="",Y$5="",'상세일정'!AM222="제외"),"",IF($D222=$E222,IF(AND($D222&gt;=Y$5,$D222&lt;Y$5+7),"◆",""),IF(AND($D222&lt;Y$5+7,$E222&gt;Y$5),"■","")))</x:f>
      </x:c>
      <x:c r="Z222" s="7" t="str">
        <x:f>IF(OR($D222="",Z$5="",'상세일정'!AM222="제외"),"",IF($D222=$E222,IF(AND($D222&gt;=Z$5,$D222&lt;Z$5+7),"◆",""),IF(AND($D222&lt;Z$5+7,$E222&gt;Z$5),"■","")))</x:f>
      </x:c>
      <x:c r="AA222" s="7" t="str">
        <x:f>IF(OR($D222="",AA$5="",'상세일정'!AM222="제외"),"",IF($D222=$E222,IF(AND($D222&gt;=AA$5,$D222&lt;AA$5+7),"◆",""),IF(AND($D222&lt;AA$5+7,$E222&gt;AA$5),"■","")))</x:f>
      </x:c>
      <x:c r="AB222" s="7" t="str">
        <x:f>IF(OR($D222="",AB$5="",'상세일정'!AM222="제외"),"",IF($D222=$E222,IF(AND($D222&gt;=AB$5,$D222&lt;AB$5+7),"◆",""),IF(AND($D222&lt;AB$5+7,$E222&gt;AB$5),"■","")))</x:f>
      </x:c>
      <x:c r="AC222" s="7" t="str">
        <x:f>IF(OR($D222="",AC$5="",'상세일정'!AM222="제외"),"",IF($D222=$E222,IF(AND($D222&gt;=AC$5,$D222&lt;AC$5+7),"◆",""),IF(AND($D222&lt;AC$5+7,$E222&gt;AC$5),"■","")))</x:f>
      </x:c>
      <x:c r="AD222" s="7" t="str">
        <x:f>IF(OR($D222="",AD$5="",'상세일정'!AM222="제외"),"",IF($D222=$E222,IF(AND($D222&gt;=AD$5,$D222&lt;AD$5+7),"◆",""),IF(AND($D222&lt;AD$5+7,$E222&gt;AD$5),"■","")))</x:f>
      </x:c>
      <x:c r="AE222" s="7" t="str">
        <x:f>IF(OR($D222="",AE$5="",'상세일정'!AM222="제외"),"",IF($D222=$E222,IF(AND($D222&gt;=AE$5,$D222&lt;AE$5+7),"◆",""),IF(AND($D222&lt;AE$5+7,$E222&gt;AE$5),"■","")))</x:f>
      </x:c>
      <x:c r="AF222" s="7" t="str">
        <x:f>IF(OR($D222="",AF$5="",'상세일정'!AM222="제외"),"",IF($D222=$E222,IF(AND($D222&gt;=AF$5,$D222&lt;AF$5+7),"◆",""),IF(AND($D222&lt;AF$5+7,$E222&gt;AF$5),"■","")))</x:f>
      </x:c>
      <x:c r="AG222" s="7" t="str">
        <x:f>IF(OR($D222="",AG$5="",'상세일정'!AM222="제외"),"",IF($D222=$E222,IF(AND($D222&gt;=AG$5,$D222&lt;AG$5+7),"◆",""),IF(AND($D222&lt;AG$5+7,$E222&gt;AG$5),"■","")))</x:f>
      </x:c>
      <x:c r="AH222" s="7" t="str">
        <x:f>IF(OR($D222="",AH$5="",'상세일정'!AM222="제외"),"",IF($D222=$E222,IF(AND($D222&gt;=AH$5,$D222&lt;AH$5+7),"◆",""),IF(AND($D222&lt;AH$5+7,$E222&gt;AH$5),"■","")))</x:f>
      </x:c>
      <x:c r="AI222" s="7" t="str">
        <x:f>IF(OR($D222="",AI$5="",'상세일정'!AM222="제외"),"",IF($D222=$E222,IF(AND($D222&gt;=AI$5,$D222&lt;AI$5+7),"◆",""),IF(AND($D222&lt;AI$5+7,$E222&gt;AI$5),"■","")))</x:f>
      </x:c>
      <x:c r="AJ222" s="7" t="str">
        <x:f>IF(OR($D222="",AJ$5="",'상세일정'!AM222="제외"),"",IF($D222=$E222,IF(AND($D222&gt;=AJ$5,$D222&lt;AJ$5+7),"◆",""),IF(AND($D222&lt;AJ$5+7,$E222&gt;AJ$5),"■","")))</x:f>
      </x:c>
      <x:c r="AK222" s="7" t="str">
        <x:f>IF(OR($D222="",AK$5="",'상세일정'!AM222="제외"),"",IF($D222=$E222,IF(AND($D222&gt;=AK$5,$D222&lt;AK$5+7),"◆",""),IF(AND($D222&lt;AK$5+7,$E222&gt;AK$5),"■","")))</x:f>
      </x:c>
      <x:c r="AL222" s="7" t="str">
        <x:f>IF(OR($D222="",AL$5="",'상세일정'!AM222="제외"),"",IF($D222=$E222,IF(AND($D222&gt;=AL$5,$D222&lt;AL$5+7),"◆",""),IF(AND($D222&lt;AL$5+7,$E222&gt;AL$5),"■","")))</x:f>
      </x:c>
      <x:c r="AM222" s="7" t="str">
        <x:f>IF(OR($D222="",AM$5="",'상세일정'!AM222="제외"),"",IF($D222=$E222,IF(AND($D222&gt;=AM$5,$D222&lt;AM$5+7),"◆",""),IF(AND($D222&lt;AM$5+7,$E222&gt;AM$5),"■","")))</x:f>
      </x:c>
      <x:c r="AN222" s="7" t="str">
        <x:f>IF(OR($D222="",AN$5="",'상세일정'!AM222="제외"),"",IF($D222=$E222,IF(AND($D222&gt;=AN$5,$D222&lt;AN$5+7),"◆",""),IF(AND($D222&lt;AN$5+7,$E222&gt;AN$5),"■","")))</x:f>
      </x:c>
      <x:c r="AO222" s="7" t="str">
        <x:f>IF(OR($D222="",AO$5="",'상세일정'!AM222="제외"),"",IF($D222=$E222,IF(AND($D222&gt;=AO$5,$D222&lt;AO$5+7),"◆",""),IF(AND($D222&lt;AO$5+7,$E222&gt;AO$5),"■","")))</x:f>
      </x:c>
      <x:c r="AP222" s="7" t="str">
        <x:f>IF(OR($D222="",AP$5="",'상세일정'!AM222="제외"),"",IF($D222=$E222,IF(AND($D222&gt;=AP$5,$D222&lt;AP$5+7),"◆",""),IF(AND($D222&lt;AP$5+7,$E222&gt;AP$5),"■","")))</x:f>
      </x:c>
      <x:c r="AQ222" s="7" t="str">
        <x:f>IF(OR($D222="",AQ$5="",'상세일정'!AM222="제외"),"",IF($D222=$E222,IF(AND($D222&gt;=AQ$5,$D222&lt;AQ$5+7),"◆",""),IF(AND($D222&lt;AQ$5+7,$E222&gt;AQ$5),"■","")))</x:f>
      </x:c>
      <x:c r="AR222" s="7" t="str">
        <x:f>IF(OR($D222="",AR$5="",'상세일정'!AM222="제외"),"",IF($D222=$E222,IF(AND($D222&gt;=AR$5,$D222&lt;AR$5+7),"◆",""),IF(AND($D222&lt;AR$5+7,$E222&gt;AR$5),"■","")))</x:f>
      </x:c>
      <x:c r="AS222" s="7" t="str">
        <x:f>IF(OR($D222="",AS$5="",'상세일정'!AM222="제외"),"",IF($D222=$E222,IF(AND($D222&gt;=AS$5,$D222&lt;AS$5+7),"◆",""),IF(AND($D222&lt;AS$5+7,$E222&gt;AS$5),"■","")))</x:f>
      </x:c>
      <x:c r="AT222" s="7" t="str">
        <x:f>IF(OR($D222="",AT$5="",'상세일정'!AM222="제외"),"",IF($D222=$E222,IF(AND($D222&gt;=AT$5,$D222&lt;AT$5+7),"◆",""),IF(AND($D222&lt;AT$5+7,$E222&gt;AT$5),"■","")))</x:f>
      </x:c>
      <x:c r="AU222" s="7" t="str">
        <x:f>IF(OR($D222="",AU$5="",'상세일정'!AM222="제외"),"",IF($D222=$E222,IF(AND($D222&gt;=AU$5,$D222&lt;AU$5+7),"◆",""),IF(AND($D222&lt;AU$5+7,$E222&gt;AU$5),"■","")))</x:f>
      </x:c>
      <x:c r="AV222" s="7" t="str">
        <x:f>IF(OR($D222="",AV$5="",'상세일정'!AM222="제외"),"",IF($D222=$E222,IF(AND($D222&gt;=AV$5,$D222&lt;AV$5+7),"◆",""),IF(AND($D222&lt;AV$5+7,$E222&gt;AV$5),"■","")))</x:f>
      </x:c>
      <x:c r="AW222" s="7" t="str">
        <x:f>IF(OR($D222="",AW$5="",'상세일정'!AM222="제외"),"",IF($D222=$E222,IF(AND($D222&gt;=AW$5,$D222&lt;AW$5+7),"◆",""),IF(AND($D222&lt;AW$5+7,$E222&gt;AW$5),"■","")))</x:f>
      </x:c>
      <x:c r="AX222" s="7" t="str">
        <x:f>IF(OR($D222="",AX$5="",'상세일정'!AM222="제외"),"",IF($D222=$E222,IF(AND($D222&gt;=AX$5,$D222&lt;AX$5+7),"◆",""),IF(AND($D222&lt;AX$5+7,$E222&gt;AX$5),"■","")))</x:f>
      </x:c>
      <x:c r="AY222" s="7" t="str">
        <x:f>IF(OR($D222="",AY$5="",'상세일정'!AM222="제외"),"",IF($D222=$E222,IF(AND($D222&gt;=AY$5,$D222&lt;AY$5+7),"◆",""),IF(AND($D222&lt;AY$5+7,$E222&gt;AY$5),"■","")))</x:f>
      </x:c>
      <x:c r="AZ222" s="7" t="str">
        <x:f>IF(OR($D222="",AZ$5="",'상세일정'!AM222="제외"),"",IF($D222=$E222,IF(AND($D222&gt;=AZ$5,$D222&lt;AZ$5+7),"◆",""),IF(AND($D222&lt;AZ$5+7,$E222&gt;AZ$5),"■","")))</x:f>
      </x:c>
      <x:c r="BA222" s="7" t="str">
        <x:f>IF(OR($D222="",BA$5="",'상세일정'!AM222="제외"),"",IF($D222=$E222,IF(AND($D222&gt;=BA$5,$D222&lt;BA$5+7),"◆",""),IF(AND($D222&lt;BA$5+7,$E222&gt;BA$5),"■","")))</x:f>
      </x:c>
      <x:c r="BB222" s="7" t="str">
        <x:f>IF(OR($D222="",BB$5="",'상세일정'!AM222="제외"),"",IF($D222=$E222,IF(AND($D222&gt;=BB$5,$D222&lt;BB$5+7),"◆",""),IF(AND($D222&lt;BB$5+7,$E222&gt;BB$5),"■","")))</x:f>
      </x:c>
      <x:c r="BC222" s="7" t="str">
        <x:f>IF(OR($D222="",BC$5="",'상세일정'!AM222="제외"),"",IF($D222=$E222,IF(AND($D222&gt;=BC$5,$D222&lt;BC$5+7),"◆",""),IF(AND($D222&lt;BC$5+7,$E222&gt;BC$5),"■","")))</x:f>
      </x:c>
      <x:c r="BD222" s="7" t="str">
        <x:f>IF(OR($D222="",BD$5="",'상세일정'!AM222="제외"),"",IF($D222=$E222,IF(AND($D222&gt;=BD$5,$D222&lt;BD$5+7),"◆",""),IF(AND($D222&lt;BD$5+7,$E222&gt;BD$5),"■","")))</x:f>
      </x:c>
      <x:c r="BE222" s="7" t="str">
        <x:f>IF(OR($D222="",BE$5="",'상세일정'!AM222="제외"),"",IF($D222=$E222,IF(AND($D222&gt;=BE$5,$D222&lt;BE$5+7),"◆",""),IF(AND($D222&lt;BE$5+7,$E222&gt;BE$5),"■","")))</x:f>
      </x:c>
      <x:c r="BF222" s="7" t="str">
        <x:f>IF(OR($D222="",BF$5="",'상세일정'!AM222="제외"),"",IF($D222=$E222,IF(AND($D222&gt;=BF$5,$D222&lt;BF$5+7),"◆",""),IF(AND($D222&lt;BF$5+7,$E222&gt;BF$5),"■","")))</x:f>
      </x:c>
      <x:c r="BG222" s="7" t="str">
        <x:f>IF(OR($D222="",BG$5="",'상세일정'!AM222="제외"),"",IF($D222=$E222,IF(AND($D222&gt;=BG$5,$D222&lt;BG$5+7),"◆",""),IF(AND($D222&lt;BG$5+7,$E222&gt;BG$5),"■","")))</x:f>
      </x:c>
      <x:c r="BH222" s="7" t="str">
        <x:f>IF(OR($D222="",BH$5="",'상세일정'!AM222="제외"),"",IF($D222=$E222,IF(AND($D222&gt;=BH$5,$D222&lt;BH$5+7),"◆",""),IF(AND($D222&lt;BH$5+7,$E222&gt;BH$5),"■","")))</x:f>
      </x:c>
      <x:c r="BI222" s="7" t="str">
        <x:f>IF(OR($D222="",BI$5="",'상세일정'!AM222="제외"),"",IF($D222=$E222,IF(AND($D222&gt;=BI$5,$D222&lt;BI$5+7),"◆",""),IF(AND($D222&lt;BI$5+7,$E222&gt;BI$5),"■","")))</x:f>
      </x:c>
      <x:c r="BJ222" s="7" t="str">
        <x:f>IF(OR($D222="",BJ$5="",'상세일정'!AM222="제외"),"",IF($D222=$E222,IF(AND($D222&gt;=BJ$5,$D222&lt;BJ$5+7),"◆",""),IF(AND($D222&lt;BJ$5+7,$E222&gt;BJ$5),"■","")))</x:f>
      </x:c>
      <x:c r="BK222" s="7" t="str">
        <x:f>IF(OR($D222="",BK$5="",'상세일정'!AM222="제외"),"",IF($D222=$E222,IF(AND($D222&gt;=BK$5,$D222&lt;BK$5+7),"◆",""),IF(AND($D222&lt;BK$5+7,$E222&gt;BK$5),"■","")))</x:f>
      </x:c>
      <x:c r="BL222" s="7" t="str">
        <x:f>IF(OR($D222="",BL$5="",'상세일정'!AM222="제외"),"",IF($D222=$E222,IF(AND($D222&gt;=BL$5,$D222&lt;BL$5+7),"◆",""),IF(AND($D222&lt;BL$5+7,$E222&gt;BL$5),"■","")))</x:f>
      </x:c>
      <x:c r="BM222" s="7" t="str">
        <x:f>IF(OR($D222="",BM$5="",'상세일정'!AM222="제외"),"",IF($D222=$E222,IF(AND($D222&gt;=BM$5,$D222&lt;BM$5+7),"◆",""),IF(AND($D222&lt;BM$5+7,$E222&gt;BM$5),"■","")))</x:f>
      </x:c>
      <x:c r="BN222" s="7" t="str">
        <x:f>IF(OR($D222="",BN$5="",'상세일정'!AM222="제외"),"",IF($D222=$E222,IF(AND($D222&gt;=BN$5,$D222&lt;BN$5+7),"◆",""),IF(AND($D222&lt;BN$5+7,$E222&gt;BN$5),"■","")))</x:f>
      </x:c>
      <x:c r="BO222" s="7" t="str">
        <x:f>IF(OR($D222="",BO$5="",'상세일정'!AM222="제외"),"",IF($D222=$E222,IF(AND($D222&gt;=BO$5,$D222&lt;BO$5+7),"◆",""),IF(AND($D222&lt;BO$5+7,$E222&gt;BO$5),"■","")))</x:f>
      </x:c>
      <x:c r="BP222" s="7" t="str">
        <x:f>IF(OR($D222="",BP$5="",'상세일정'!AM222="제외"),"",IF($D222=$E222,IF(AND($D222&gt;=BP$5,$D222&lt;BP$5+7),"◆",""),IF(AND($D222&lt;BP$5+7,$E222&gt;BP$5),"■","")))</x:f>
      </x:c>
      <x:c r="BQ222" s="7" t="str">
        <x:f>IF(OR($D222="",BQ$5="",'상세일정'!AM222="제외"),"",IF($D222=$E222,IF(AND($D222&gt;=BQ$5,$D222&lt;BQ$5+7),"◆",""),IF(AND($D222&lt;BQ$5+7,$E222&gt;BQ$5),"■","")))</x:f>
      </x:c>
      <x:c r="BR222" s="7" t="str">
        <x:f>IF(OR($D222="",BR$5="",'상세일정'!AM222="제외"),"",IF($D222=$E222,IF(AND($D222&gt;=BR$5,$D222&lt;BR$5+7),"◆",""),IF(AND($D222&lt;BR$5+7,$E222&gt;BR$5),"■","")))</x:f>
      </x:c>
      <x:c r="BS222" s="7" t="str">
        <x:f>IF(OR($D222="",BS$5="",'상세일정'!AM222="제외"),"",IF($D222=$E222,IF(AND($D222&gt;=BS$5,$D222&lt;BS$5+7),"◆",""),IF(AND($D222&lt;BS$5+7,$E222&gt;BS$5),"■","")))</x:f>
      </x:c>
      <x:c r="BT222" s="7" t="str">
        <x:f>IF(OR($D222="",BT$5="",'상세일정'!AM222="제외"),"",IF($D222=$E222,IF(AND($D222&gt;=BT$5,$D222&lt;BT$5+7),"◆",""),IF(AND($D222&lt;BT$5+7,$E222&gt;BT$5),"■","")))</x:f>
      </x:c>
      <x:c r="BU222" s="7" t="str">
        <x:f>IF(OR($D222="",BU$5="",'상세일정'!AM222="제외"),"",IF($D222=$E222,IF(AND($D222&gt;=BU$5,$D222&lt;BU$5+7),"◆",""),IF(AND($D222&lt;BU$5+7,$E222&gt;BU$5),"■","")))</x:f>
      </x:c>
      <x:c r="BV222" s="7" t="str">
        <x:f>IF(OR($D222="",BV$5="",'상세일정'!AM222="제외"),"",IF($D222=$E222,IF(AND($D222&gt;=BV$5,$D222&lt;BV$5+7),"◆",""),IF(AND($D222&lt;BV$5+7,$E222&gt;BV$5),"■","")))</x:f>
      </x:c>
      <x:c r="BW222" s="7" t="str">
        <x:f>IF(OR($D222="",BW$5="",'상세일정'!AM222="제외"),"",IF($D222=$E222,IF(AND($D222&gt;=BW$5,$D222&lt;BW$5+7),"◆",""),IF(AND($D222&lt;BW$5+7,$E222&gt;BW$5),"■","")))</x:f>
      </x:c>
      <x:c r="BX222" s="7" t="str">
        <x:f>IF(OR($D222="",BX$5="",'상세일정'!AM222="제외"),"",IF($D222=$E222,IF(AND($D222&gt;=BX$5,$D222&lt;BX$5+7),"◆",""),IF(AND($D222&lt;BX$5+7,$E222&gt;BX$5),"■","")))</x:f>
      </x:c>
      <x:c r="BY222" s="7" t="str">
        <x:f>IF(OR($D222="",BY$5="",'상세일정'!AM222="제외"),"",IF($D222=$E222,IF(AND($D222&gt;=BY$5,$D222&lt;BY$5+7),"◆",""),IF(AND($D222&lt;BY$5+7,$E222&gt;BY$5),"■","")))</x:f>
      </x:c>
      <x:c r="BZ222" s="7" t="str">
        <x:f>IF(OR($D222="",BZ$5="",'상세일정'!AM222="제외"),"",IF($D222=$E222,IF(AND($D222&gt;=BZ$5,$D222&lt;BZ$5+7),"◆",""),IF(AND($D222&lt;BZ$5+7,$E222&gt;BZ$5),"■","")))</x:f>
      </x:c>
      <x:c r="CA222" s="7" t="str">
        <x:f>IF(OR($D222="",CA$5="",'상세일정'!AM222="제외"),"",IF($D222=$E222,IF(AND($D222&gt;=CA$5,$D222&lt;CA$5+7),"◆",""),IF(AND($D222&lt;CA$5+7,$E222&gt;CA$5),"■","")))</x:f>
      </x:c>
      <x:c r="CB222" s="7" t="str">
        <x:f>IF(OR($D222="",CB$5="",'상세일정'!AM222="제외"),"",IF($D222=$E222,IF(AND($D222&gt;=CB$5,$D222&lt;CB$5+7),"◆",""),IF(AND($D222&lt;CB$5+7,$E222&gt;CB$5),"■","")))</x:f>
      </x:c>
      <x:c r="CC222" s="7" t="str">
        <x:f>IF(OR($D222="",CC$5="",'상세일정'!AM222="제외"),"",IF($D222=$E222,IF(AND($D222&gt;=CC$5,$D222&lt;CC$5+7),"◆",""),IF(AND($D222&lt;CC$5+7,$E222&gt;CC$5),"■","")))</x:f>
      </x:c>
      <x:c r="CD222" s="7" t="str">
        <x:f>IF(OR($D222="",CD$5="",'상세일정'!AM222="제외"),"",IF($D222=$E222,IF(AND($D222&gt;=CD$5,$D222&lt;CD$5+7),"◆",""),IF(AND($D222&lt;CD$5+7,$E222&gt;CD$5),"■","")))</x:f>
      </x:c>
      <x:c r="CE222" s="7" t="str">
        <x:f>IF(OR($D222="",CE$5="",'상세일정'!AM222="제외"),"",IF($D222=$E222,IF(AND($D222&gt;=CE$5,$D222&lt;CE$5+7),"◆",""),IF(AND($D222&lt;CE$5+7,$E222&gt;CE$5),"■","")))</x:f>
      </x:c>
      <x:c r="CF222" s="7" t="str">
        <x:f>IF(OR($D222="",CF$5="",'상세일정'!AM222="제외"),"",IF($D222=$E222,IF(AND($D222&gt;=CF$5,$D222&lt;CF$5+7),"◆",""),IF(AND($D222&lt;CF$5+7,$E222&gt;CF$5),"■","")))</x:f>
      </x:c>
      <x:c r="CG222" s="7" t="str">
        <x:f>IF(OR($D222="",CG$5="",'상세일정'!AM222="제외"),"",IF($D222=$E222,IF(AND($D222&gt;=CG$5,$D222&lt;CG$5+7),"◆",""),IF(AND($D222&lt;CG$5+7,$E222&gt;CG$5),"■","")))</x:f>
      </x:c>
      <x:c r="CH222" s="7" t="str">
        <x:f>IF(OR($D222="",CH$5="",'상세일정'!AM222="제외"),"",IF($D222=$E222,IF(AND($D222&gt;=CH$5,$D222&lt;CH$5+7),"◆",""),IF(AND($D222&lt;CH$5+7,$E222&gt;CH$5),"■","")))</x:f>
      </x:c>
      <x:c r="CI222" s="7" t="str">
        <x:f>IF(OR($D222="",CI$5="",'상세일정'!AM222="제외"),"",IF($D222=$E222,IF(AND($D222&gt;=CI$5,$D222&lt;CI$5+7),"◆",""),IF(AND($D222&lt;CI$5+7,$E222&gt;CI$5),"■","")))</x:f>
      </x:c>
      <x:c r="CJ222" s="7" t="str">
        <x:f>IF(OR($D222="",CJ$5="",'상세일정'!AM222="제외"),"",IF($D222=$E222,IF(AND($D222&gt;=CJ$5,$D222&lt;CJ$5+7),"◆",""),IF(AND($D222&lt;CJ$5+7,$E222&gt;CJ$5),"■","")))</x:f>
      </x:c>
      <x:c r="CK222" s="7" t="str">
        <x:f>IF(OR($D222="",CK$5="",'상세일정'!AM222="제외"),"",IF($D222=$E222,IF(AND($D222&gt;=CK$5,$D222&lt;CK$5+7),"◆",""),IF(AND($D222&lt;CK$5+7,$E222&gt;CK$5),"■","")))</x:f>
      </x:c>
      <x:c r="CL222" s="7" t="str">
        <x:f>IF(OR($D222="",CL$5="",'상세일정'!AM222="제외"),"",IF($D222=$E222,IF(AND($D222&gt;=CL$5,$D222&lt;CL$5+7),"◆",""),IF(AND($D222&lt;CL$5+7,$E222&gt;CL$5),"■","")))</x:f>
      </x:c>
      <x:c r="CM222" s="7" t="str">
        <x:f>IF(OR($D222="",CM$5="",'상세일정'!AM222="제외"),"",IF($D222=$E222,IF(AND($D222&gt;=CM$5,$D222&lt;CM$5+7),"◆",""),IF(AND($D222&lt;CM$5+7,$E222&gt;CM$5),"■","")))</x:f>
      </x:c>
      <x:c r="CN222" s="7" t="str">
        <x:f>IF(OR($D222="",CN$5="",'상세일정'!AM222="제외"),"",IF($D222=$E222,IF(AND($D222&gt;=CN$5,$D222&lt;CN$5+7),"◆",""),IF(AND($D222&lt;CN$5+7,$E222&gt;CN$5),"■","")))</x:f>
      </x:c>
      <x:c r="CO222" s="7" t="str">
        <x:f>IF(OR($D222="",CO$5="",'상세일정'!AM222="제외"),"",IF($D222=$E222,IF(AND($D222&gt;=CO$5,$D222&lt;CO$5+7),"◆",""),IF(AND($D222&lt;CO$5+7,$E222&gt;CO$5),"■","")))</x:f>
      </x:c>
      <x:c r="CP222" s="7" t="str">
        <x:f>IF(OR($D222="",CP$5="",'상세일정'!AM222="제외"),"",IF($D222=$E222,IF(AND($D222&gt;=CP$5,$D222&lt;CP$5+7),"◆",""),IF(AND($D222&lt;CP$5+7,$E222&gt;CP$5),"■","")))</x:f>
      </x:c>
      <x:c r="CQ222" s="7" t="str">
        <x:f>IF(OR($D222="",CQ$5="",'상세일정'!AM222="제외"),"",IF($D222=$E222,IF(AND($D222&gt;=CQ$5,$D222&lt;CQ$5+7),"◆",""),IF(AND($D222&lt;CQ$5+7,$E222&gt;CQ$5),"■","")))</x:f>
      </x:c>
      <x:c r="CR222" s="7" t="str">
        <x:f>IF(OR($D222="",CR$5="",'상세일정'!AM222="제외"),"",IF($D222=$E222,IF(AND($D222&gt;=CR$5,$D222&lt;CR$5+7),"◆",""),IF(AND($D222&lt;CR$5+7,$E222&gt;CR$5),"■","")))</x:f>
      </x:c>
      <x:c r="CS222" s="7" t="str">
        <x:f>IF(OR($D222="",CS$5="",'상세일정'!AM222="제외"),"",IF($D222=$E222,IF(AND($D222&gt;=CS$5,$D222&lt;CS$5+7),"◆",""),IF(AND($D222&lt;CS$5+7,$E222&gt;CS$5),"■","")))</x:f>
      </x:c>
      <x:c r="CT222" s="7" t="str">
        <x:f>IF(OR($D222="",CT$5="",'상세일정'!AM222="제외"),"",IF($D222=$E222,IF(AND($D222&gt;=CT$5,$D222&lt;CT$5+7),"◆",""),IF(AND($D222&lt;CT$5+7,$E222&gt;CT$5),"■","")))</x:f>
      </x:c>
      <x:c r="CU222" s="7" t="str">
        <x:f>IF(OR($D222="",CU$5="",'상세일정'!AM222="제외"),"",IF($D222=$E222,IF(AND($D222&gt;=CU$5,$D222&lt;CU$5+7),"◆",""),IF(AND($D222&lt;CU$5+7,$E222&gt;CU$5),"■","")))</x:f>
      </x:c>
      <x:c r="CV222" s="7" t="str">
        <x:f>IF(OR($D222="",CV$5="",'상세일정'!AM222="제외"),"",IF($D222=$E222,IF(AND($D222&gt;=CV$5,$D222&lt;CV$5+7),"◆",""),IF(AND($D222&lt;CV$5+7,$E222&gt;CV$5),"■","")))</x:f>
      </x:c>
      <x:c r="CW222" s="7" t="str">
        <x:f>IF(OR($D222="",CW$5="",'상세일정'!AM222="제외"),"",IF($D222=$E222,IF(AND($D222&gt;=CW$5,$D222&lt;CW$5+7),"◆",""),IF(AND($D222&lt;CW$5+7,$E222&gt;CW$5),"■","")))</x:f>
      </x:c>
      <x:c r="CX222" s="7" t="str">
        <x:f>IF(OR($D222="",CX$5="",'상세일정'!AM222="제외"),"",IF($D222=$E222,IF(AND($D222&gt;=CX$5,$D222&lt;CX$5+7),"◆",""),IF(AND($D222&lt;CX$5+7,$E222&gt;CX$5),"■","")))</x:f>
      </x:c>
      <x:c r="CY222" s="7" t="str">
        <x:f>IF(OR($D222="",CY$5="",'상세일정'!AM222="제외"),"",IF($D222=$E222,IF(AND($D222&gt;=CY$5,$D222&lt;CY$5+7),"◆",""),IF(AND($D222&lt;CY$5+7,$E222&gt;CY$5),"■","")))</x:f>
      </x:c>
      <x:c r="CZ222" s="7" t="str">
        <x:f>IF(OR($D222="",CZ$5="",'상세일정'!AM222="제외"),"",IF($D222=$E222,IF(AND($D222&gt;=CZ$5,$D222&lt;CZ$5+7),"◆",""),IF(AND($D222&lt;CZ$5+7,$E222&gt;CZ$5),"■","")))</x:f>
      </x:c>
      <x:c r="DA222" s="7" t="str">
        <x:f>IF(OR($D222="",DA$5="",'상세일정'!AM222="제외"),"",IF($D222=$E222,IF(AND($D222&gt;=DA$5,$D222&lt;DA$5+7),"◆",""),IF(AND($D222&lt;DA$5+7,$E222&gt;DA$5),"■","")))</x:f>
      </x:c>
      <x:c r="DB222" s="7" t="str">
        <x:f>IF(OR($D222="",DB$5="",'상세일정'!AM222="제외"),"",IF($D222=$E222,IF(AND($D222&gt;=DB$5,$D222&lt;DB$5+7),"◆",""),IF(AND($D222&lt;DB$5+7,$E222&gt;DB$5),"■","")))</x:f>
      </x:c>
      <x:c r="DC222" s="7" t="str">
        <x:f>IF(OR($D222="",DC$5="",'상세일정'!AM222="제외"),"",IF($D222=$E222,IF(AND($D222&gt;=DC$5,$D222&lt;DC$5+7),"◆",""),IF(AND($D222&lt;DC$5+7,$E222&gt;DC$5),"■","")))</x:f>
      </x:c>
      <x:c r="DD222" s="7" t="str">
        <x:f>IF(OR($D222="",DD$5="",'상세일정'!AM222="제외"),"",IF($D222=$E222,IF(AND($D222&gt;=DD$5,$D222&lt;DD$5+7),"◆",""),IF(AND($D222&lt;DD$5+7,$E222&gt;DD$5),"■","")))</x:f>
      </x:c>
      <x:c r="DE222" s="7" t="str">
        <x:f>IF(OR($D222="",DE$5="",'상세일정'!AM222="제외"),"",IF($D222=$E222,IF(AND($D222&gt;=DE$5,$D222&lt;DE$5+7),"◆",""),IF(AND($D222&lt;DE$5+7,$E222&gt;DE$5),"■","")))</x:f>
      </x:c>
    </x:row>
    <x:row r="223" ht="34" customHeight="1">
      <x:c r="A223" s="7" t="str">
        <x:v>OP03</x:v>
      </x:c>
      <x:c r="B223" s="7" t="str">
        <x:v>25 검사·운전 준비</x:v>
      </x:c>
      <x:c r="C223" s="7" t="str">
        <x:v>안전관리규정 검토·보완·제출</x:v>
      </x:c>
      <x:c r="D223" s="10" t="str">
        <x:f>'상세일정'!AJ223</x:f>
      </x:c>
      <x:c r="E223" s="10" t="str">
        <x:f>'상세일정'!AK223</x:f>
      </x:c>
      <x:c r="F223" s="7" t="str">
        <x:f>IF(OR($D223="",F$5="",'상세일정'!AM223="제외"),"",IF($D223=$E223,IF(AND($D223&gt;=F$5,$D223&lt;F$5+7),"◆",""),IF(AND($D223&lt;F$5+7,$E223&gt;F$5),"■","")))</x:f>
      </x:c>
      <x:c r="G223" s="7" t="str">
        <x:f>IF(OR($D223="",G$5="",'상세일정'!AM223="제외"),"",IF($D223=$E223,IF(AND($D223&gt;=G$5,$D223&lt;G$5+7),"◆",""),IF(AND($D223&lt;G$5+7,$E223&gt;G$5),"■","")))</x:f>
      </x:c>
      <x:c r="H223" s="7" t="str">
        <x:f>IF(OR($D223="",H$5="",'상세일정'!AM223="제외"),"",IF($D223=$E223,IF(AND($D223&gt;=H$5,$D223&lt;H$5+7),"◆",""),IF(AND($D223&lt;H$5+7,$E223&gt;H$5),"■","")))</x:f>
      </x:c>
      <x:c r="I223" s="7" t="str">
        <x:f>IF(OR($D223="",I$5="",'상세일정'!AM223="제외"),"",IF($D223=$E223,IF(AND($D223&gt;=I$5,$D223&lt;I$5+7),"◆",""),IF(AND($D223&lt;I$5+7,$E223&gt;I$5),"■","")))</x:f>
      </x:c>
      <x:c r="J223" s="7" t="str">
        <x:f>IF(OR($D223="",J$5="",'상세일정'!AM223="제외"),"",IF($D223=$E223,IF(AND($D223&gt;=J$5,$D223&lt;J$5+7),"◆",""),IF(AND($D223&lt;J$5+7,$E223&gt;J$5),"■","")))</x:f>
      </x:c>
      <x:c r="K223" s="7" t="str">
        <x:f>IF(OR($D223="",K$5="",'상세일정'!AM223="제외"),"",IF($D223=$E223,IF(AND($D223&gt;=K$5,$D223&lt;K$5+7),"◆",""),IF(AND($D223&lt;K$5+7,$E223&gt;K$5),"■","")))</x:f>
      </x:c>
      <x:c r="L223" s="7" t="str">
        <x:f>IF(OR($D223="",L$5="",'상세일정'!AM223="제외"),"",IF($D223=$E223,IF(AND($D223&gt;=L$5,$D223&lt;L$5+7),"◆",""),IF(AND($D223&lt;L$5+7,$E223&gt;L$5),"■","")))</x:f>
      </x:c>
      <x:c r="M223" s="7" t="str">
        <x:f>IF(OR($D223="",M$5="",'상세일정'!AM223="제외"),"",IF($D223=$E223,IF(AND($D223&gt;=M$5,$D223&lt;M$5+7),"◆",""),IF(AND($D223&lt;M$5+7,$E223&gt;M$5),"■","")))</x:f>
      </x:c>
      <x:c r="N223" s="7" t="str">
        <x:f>IF(OR($D223="",N$5="",'상세일정'!AM223="제외"),"",IF($D223=$E223,IF(AND($D223&gt;=N$5,$D223&lt;N$5+7),"◆",""),IF(AND($D223&lt;N$5+7,$E223&gt;N$5),"■","")))</x:f>
      </x:c>
      <x:c r="O223" s="7" t="str">
        <x:f>IF(OR($D223="",O$5="",'상세일정'!AM223="제외"),"",IF($D223=$E223,IF(AND($D223&gt;=O$5,$D223&lt;O$5+7),"◆",""),IF(AND($D223&lt;O$5+7,$E223&gt;O$5),"■","")))</x:f>
      </x:c>
      <x:c r="P223" s="7" t="str">
        <x:f>IF(OR($D223="",P$5="",'상세일정'!AM223="제외"),"",IF($D223=$E223,IF(AND($D223&gt;=P$5,$D223&lt;P$5+7),"◆",""),IF(AND($D223&lt;P$5+7,$E223&gt;P$5),"■","")))</x:f>
      </x:c>
      <x:c r="Q223" s="7" t="str">
        <x:f>IF(OR($D223="",Q$5="",'상세일정'!AM223="제외"),"",IF($D223=$E223,IF(AND($D223&gt;=Q$5,$D223&lt;Q$5+7),"◆",""),IF(AND($D223&lt;Q$5+7,$E223&gt;Q$5),"■","")))</x:f>
      </x:c>
      <x:c r="R223" s="7" t="str">
        <x:f>IF(OR($D223="",R$5="",'상세일정'!AM223="제외"),"",IF($D223=$E223,IF(AND($D223&gt;=R$5,$D223&lt;R$5+7),"◆",""),IF(AND($D223&lt;R$5+7,$E223&gt;R$5),"■","")))</x:f>
      </x:c>
      <x:c r="S223" s="7" t="str">
        <x:f>IF(OR($D223="",S$5="",'상세일정'!AM223="제외"),"",IF($D223=$E223,IF(AND($D223&gt;=S$5,$D223&lt;S$5+7),"◆",""),IF(AND($D223&lt;S$5+7,$E223&gt;S$5),"■","")))</x:f>
      </x:c>
      <x:c r="T223" s="7" t="str">
        <x:f>IF(OR($D223="",T$5="",'상세일정'!AM223="제외"),"",IF($D223=$E223,IF(AND($D223&gt;=T$5,$D223&lt;T$5+7),"◆",""),IF(AND($D223&lt;T$5+7,$E223&gt;T$5),"■","")))</x:f>
      </x:c>
      <x:c r="U223" s="7" t="str">
        <x:f>IF(OR($D223="",U$5="",'상세일정'!AM223="제외"),"",IF($D223=$E223,IF(AND($D223&gt;=U$5,$D223&lt;U$5+7),"◆",""),IF(AND($D223&lt;U$5+7,$E223&gt;U$5),"■","")))</x:f>
      </x:c>
      <x:c r="V223" s="7" t="str">
        <x:f>IF(OR($D223="",V$5="",'상세일정'!AM223="제외"),"",IF($D223=$E223,IF(AND($D223&gt;=V$5,$D223&lt;V$5+7),"◆",""),IF(AND($D223&lt;V$5+7,$E223&gt;V$5),"■","")))</x:f>
      </x:c>
      <x:c r="W223" s="7" t="str">
        <x:f>IF(OR($D223="",W$5="",'상세일정'!AM223="제외"),"",IF($D223=$E223,IF(AND($D223&gt;=W$5,$D223&lt;W$5+7),"◆",""),IF(AND($D223&lt;W$5+7,$E223&gt;W$5),"■","")))</x:f>
      </x:c>
      <x:c r="X223" s="7" t="str">
        <x:f>IF(OR($D223="",X$5="",'상세일정'!AM223="제외"),"",IF($D223=$E223,IF(AND($D223&gt;=X$5,$D223&lt;X$5+7),"◆",""),IF(AND($D223&lt;X$5+7,$E223&gt;X$5),"■","")))</x:f>
      </x:c>
      <x:c r="Y223" s="7" t="str">
        <x:f>IF(OR($D223="",Y$5="",'상세일정'!AM223="제외"),"",IF($D223=$E223,IF(AND($D223&gt;=Y$5,$D223&lt;Y$5+7),"◆",""),IF(AND($D223&lt;Y$5+7,$E223&gt;Y$5),"■","")))</x:f>
      </x:c>
      <x:c r="Z223" s="7" t="str">
        <x:f>IF(OR($D223="",Z$5="",'상세일정'!AM223="제외"),"",IF($D223=$E223,IF(AND($D223&gt;=Z$5,$D223&lt;Z$5+7),"◆",""),IF(AND($D223&lt;Z$5+7,$E223&gt;Z$5),"■","")))</x:f>
      </x:c>
      <x:c r="AA223" s="7" t="str">
        <x:f>IF(OR($D223="",AA$5="",'상세일정'!AM223="제외"),"",IF($D223=$E223,IF(AND($D223&gt;=AA$5,$D223&lt;AA$5+7),"◆",""),IF(AND($D223&lt;AA$5+7,$E223&gt;AA$5),"■","")))</x:f>
      </x:c>
      <x:c r="AB223" s="7" t="str">
        <x:f>IF(OR($D223="",AB$5="",'상세일정'!AM223="제외"),"",IF($D223=$E223,IF(AND($D223&gt;=AB$5,$D223&lt;AB$5+7),"◆",""),IF(AND($D223&lt;AB$5+7,$E223&gt;AB$5),"■","")))</x:f>
      </x:c>
      <x:c r="AC223" s="7" t="str">
        <x:f>IF(OR($D223="",AC$5="",'상세일정'!AM223="제외"),"",IF($D223=$E223,IF(AND($D223&gt;=AC$5,$D223&lt;AC$5+7),"◆",""),IF(AND($D223&lt;AC$5+7,$E223&gt;AC$5),"■","")))</x:f>
      </x:c>
      <x:c r="AD223" s="7" t="str">
        <x:f>IF(OR($D223="",AD$5="",'상세일정'!AM223="제외"),"",IF($D223=$E223,IF(AND($D223&gt;=AD$5,$D223&lt;AD$5+7),"◆",""),IF(AND($D223&lt;AD$5+7,$E223&gt;AD$5),"■","")))</x:f>
      </x:c>
      <x:c r="AE223" s="7" t="str">
        <x:f>IF(OR($D223="",AE$5="",'상세일정'!AM223="제외"),"",IF($D223=$E223,IF(AND($D223&gt;=AE$5,$D223&lt;AE$5+7),"◆",""),IF(AND($D223&lt;AE$5+7,$E223&gt;AE$5),"■","")))</x:f>
      </x:c>
      <x:c r="AF223" s="7" t="str">
        <x:f>IF(OR($D223="",AF$5="",'상세일정'!AM223="제외"),"",IF($D223=$E223,IF(AND($D223&gt;=AF$5,$D223&lt;AF$5+7),"◆",""),IF(AND($D223&lt;AF$5+7,$E223&gt;AF$5),"■","")))</x:f>
      </x:c>
      <x:c r="AG223" s="7" t="str">
        <x:f>IF(OR($D223="",AG$5="",'상세일정'!AM223="제외"),"",IF($D223=$E223,IF(AND($D223&gt;=AG$5,$D223&lt;AG$5+7),"◆",""),IF(AND($D223&lt;AG$5+7,$E223&gt;AG$5),"■","")))</x:f>
      </x:c>
      <x:c r="AH223" s="7" t="str">
        <x:f>IF(OR($D223="",AH$5="",'상세일정'!AM223="제외"),"",IF($D223=$E223,IF(AND($D223&gt;=AH$5,$D223&lt;AH$5+7),"◆",""),IF(AND($D223&lt;AH$5+7,$E223&gt;AH$5),"■","")))</x:f>
      </x:c>
      <x:c r="AI223" s="7" t="str">
        <x:f>IF(OR($D223="",AI$5="",'상세일정'!AM223="제외"),"",IF($D223=$E223,IF(AND($D223&gt;=AI$5,$D223&lt;AI$5+7),"◆",""),IF(AND($D223&lt;AI$5+7,$E223&gt;AI$5),"■","")))</x:f>
      </x:c>
      <x:c r="AJ223" s="7" t="str">
        <x:f>IF(OR($D223="",AJ$5="",'상세일정'!AM223="제외"),"",IF($D223=$E223,IF(AND($D223&gt;=AJ$5,$D223&lt;AJ$5+7),"◆",""),IF(AND($D223&lt;AJ$5+7,$E223&gt;AJ$5),"■","")))</x:f>
      </x:c>
      <x:c r="AK223" s="7" t="str">
        <x:f>IF(OR($D223="",AK$5="",'상세일정'!AM223="제외"),"",IF($D223=$E223,IF(AND($D223&gt;=AK$5,$D223&lt;AK$5+7),"◆",""),IF(AND($D223&lt;AK$5+7,$E223&gt;AK$5),"■","")))</x:f>
      </x:c>
      <x:c r="AL223" s="7" t="str">
        <x:f>IF(OR($D223="",AL$5="",'상세일정'!AM223="제외"),"",IF($D223=$E223,IF(AND($D223&gt;=AL$5,$D223&lt;AL$5+7),"◆",""),IF(AND($D223&lt;AL$5+7,$E223&gt;AL$5),"■","")))</x:f>
      </x:c>
      <x:c r="AM223" s="7" t="str">
        <x:f>IF(OR($D223="",AM$5="",'상세일정'!AM223="제외"),"",IF($D223=$E223,IF(AND($D223&gt;=AM$5,$D223&lt;AM$5+7),"◆",""),IF(AND($D223&lt;AM$5+7,$E223&gt;AM$5),"■","")))</x:f>
      </x:c>
      <x:c r="AN223" s="7" t="str">
        <x:f>IF(OR($D223="",AN$5="",'상세일정'!AM223="제외"),"",IF($D223=$E223,IF(AND($D223&gt;=AN$5,$D223&lt;AN$5+7),"◆",""),IF(AND($D223&lt;AN$5+7,$E223&gt;AN$5),"■","")))</x:f>
      </x:c>
      <x:c r="AO223" s="7" t="str">
        <x:f>IF(OR($D223="",AO$5="",'상세일정'!AM223="제외"),"",IF($D223=$E223,IF(AND($D223&gt;=AO$5,$D223&lt;AO$5+7),"◆",""),IF(AND($D223&lt;AO$5+7,$E223&gt;AO$5),"■","")))</x:f>
      </x:c>
      <x:c r="AP223" s="7" t="str">
        <x:f>IF(OR($D223="",AP$5="",'상세일정'!AM223="제외"),"",IF($D223=$E223,IF(AND($D223&gt;=AP$5,$D223&lt;AP$5+7),"◆",""),IF(AND($D223&lt;AP$5+7,$E223&gt;AP$5),"■","")))</x:f>
      </x:c>
      <x:c r="AQ223" s="7" t="str">
        <x:f>IF(OR($D223="",AQ$5="",'상세일정'!AM223="제외"),"",IF($D223=$E223,IF(AND($D223&gt;=AQ$5,$D223&lt;AQ$5+7),"◆",""),IF(AND($D223&lt;AQ$5+7,$E223&gt;AQ$5),"■","")))</x:f>
      </x:c>
      <x:c r="AR223" s="7" t="str">
        <x:f>IF(OR($D223="",AR$5="",'상세일정'!AM223="제외"),"",IF($D223=$E223,IF(AND($D223&gt;=AR$5,$D223&lt;AR$5+7),"◆",""),IF(AND($D223&lt;AR$5+7,$E223&gt;AR$5),"■","")))</x:f>
      </x:c>
      <x:c r="AS223" s="7" t="str">
        <x:f>IF(OR($D223="",AS$5="",'상세일정'!AM223="제외"),"",IF($D223=$E223,IF(AND($D223&gt;=AS$5,$D223&lt;AS$5+7),"◆",""),IF(AND($D223&lt;AS$5+7,$E223&gt;AS$5),"■","")))</x:f>
      </x:c>
      <x:c r="AT223" s="7" t="str">
        <x:f>IF(OR($D223="",AT$5="",'상세일정'!AM223="제외"),"",IF($D223=$E223,IF(AND($D223&gt;=AT$5,$D223&lt;AT$5+7),"◆",""),IF(AND($D223&lt;AT$5+7,$E223&gt;AT$5),"■","")))</x:f>
      </x:c>
      <x:c r="AU223" s="7" t="str">
        <x:f>IF(OR($D223="",AU$5="",'상세일정'!AM223="제외"),"",IF($D223=$E223,IF(AND($D223&gt;=AU$5,$D223&lt;AU$5+7),"◆",""),IF(AND($D223&lt;AU$5+7,$E223&gt;AU$5),"■","")))</x:f>
      </x:c>
      <x:c r="AV223" s="7" t="str">
        <x:f>IF(OR($D223="",AV$5="",'상세일정'!AM223="제외"),"",IF($D223=$E223,IF(AND($D223&gt;=AV$5,$D223&lt;AV$5+7),"◆",""),IF(AND($D223&lt;AV$5+7,$E223&gt;AV$5),"■","")))</x:f>
      </x:c>
      <x:c r="AW223" s="7" t="str">
        <x:f>IF(OR($D223="",AW$5="",'상세일정'!AM223="제외"),"",IF($D223=$E223,IF(AND($D223&gt;=AW$5,$D223&lt;AW$5+7),"◆",""),IF(AND($D223&lt;AW$5+7,$E223&gt;AW$5),"■","")))</x:f>
      </x:c>
      <x:c r="AX223" s="7" t="str">
        <x:f>IF(OR($D223="",AX$5="",'상세일정'!AM223="제외"),"",IF($D223=$E223,IF(AND($D223&gt;=AX$5,$D223&lt;AX$5+7),"◆",""),IF(AND($D223&lt;AX$5+7,$E223&gt;AX$5),"■","")))</x:f>
      </x:c>
      <x:c r="AY223" s="7" t="str">
        <x:f>IF(OR($D223="",AY$5="",'상세일정'!AM223="제외"),"",IF($D223=$E223,IF(AND($D223&gt;=AY$5,$D223&lt;AY$5+7),"◆",""),IF(AND($D223&lt;AY$5+7,$E223&gt;AY$5),"■","")))</x:f>
      </x:c>
      <x:c r="AZ223" s="7" t="str">
        <x:f>IF(OR($D223="",AZ$5="",'상세일정'!AM223="제외"),"",IF($D223=$E223,IF(AND($D223&gt;=AZ$5,$D223&lt;AZ$5+7),"◆",""),IF(AND($D223&lt;AZ$5+7,$E223&gt;AZ$5),"■","")))</x:f>
      </x:c>
      <x:c r="BA223" s="7" t="str">
        <x:f>IF(OR($D223="",BA$5="",'상세일정'!AM223="제외"),"",IF($D223=$E223,IF(AND($D223&gt;=BA$5,$D223&lt;BA$5+7),"◆",""),IF(AND($D223&lt;BA$5+7,$E223&gt;BA$5),"■","")))</x:f>
      </x:c>
      <x:c r="BB223" s="7" t="str">
        <x:f>IF(OR($D223="",BB$5="",'상세일정'!AM223="제외"),"",IF($D223=$E223,IF(AND($D223&gt;=BB$5,$D223&lt;BB$5+7),"◆",""),IF(AND($D223&lt;BB$5+7,$E223&gt;BB$5),"■","")))</x:f>
      </x:c>
      <x:c r="BC223" s="7" t="str">
        <x:f>IF(OR($D223="",BC$5="",'상세일정'!AM223="제외"),"",IF($D223=$E223,IF(AND($D223&gt;=BC$5,$D223&lt;BC$5+7),"◆",""),IF(AND($D223&lt;BC$5+7,$E223&gt;BC$5),"■","")))</x:f>
      </x:c>
      <x:c r="BD223" s="7" t="str">
        <x:f>IF(OR($D223="",BD$5="",'상세일정'!AM223="제외"),"",IF($D223=$E223,IF(AND($D223&gt;=BD$5,$D223&lt;BD$5+7),"◆",""),IF(AND($D223&lt;BD$5+7,$E223&gt;BD$5),"■","")))</x:f>
      </x:c>
      <x:c r="BE223" s="7" t="str">
        <x:f>IF(OR($D223="",BE$5="",'상세일정'!AM223="제외"),"",IF($D223=$E223,IF(AND($D223&gt;=BE$5,$D223&lt;BE$5+7),"◆",""),IF(AND($D223&lt;BE$5+7,$E223&gt;BE$5),"■","")))</x:f>
      </x:c>
      <x:c r="BF223" s="7" t="str">
        <x:f>IF(OR($D223="",BF$5="",'상세일정'!AM223="제외"),"",IF($D223=$E223,IF(AND($D223&gt;=BF$5,$D223&lt;BF$5+7),"◆",""),IF(AND($D223&lt;BF$5+7,$E223&gt;BF$5),"■","")))</x:f>
      </x:c>
      <x:c r="BG223" s="7" t="str">
        <x:f>IF(OR($D223="",BG$5="",'상세일정'!AM223="제외"),"",IF($D223=$E223,IF(AND($D223&gt;=BG$5,$D223&lt;BG$5+7),"◆",""),IF(AND($D223&lt;BG$5+7,$E223&gt;BG$5),"■","")))</x:f>
      </x:c>
      <x:c r="BH223" s="7" t="str">
        <x:f>IF(OR($D223="",BH$5="",'상세일정'!AM223="제외"),"",IF($D223=$E223,IF(AND($D223&gt;=BH$5,$D223&lt;BH$5+7),"◆",""),IF(AND($D223&lt;BH$5+7,$E223&gt;BH$5),"■","")))</x:f>
      </x:c>
      <x:c r="BI223" s="7" t="str">
        <x:f>IF(OR($D223="",BI$5="",'상세일정'!AM223="제외"),"",IF($D223=$E223,IF(AND($D223&gt;=BI$5,$D223&lt;BI$5+7),"◆",""),IF(AND($D223&lt;BI$5+7,$E223&gt;BI$5),"■","")))</x:f>
      </x:c>
      <x:c r="BJ223" s="7" t="str">
        <x:f>IF(OR($D223="",BJ$5="",'상세일정'!AM223="제외"),"",IF($D223=$E223,IF(AND($D223&gt;=BJ$5,$D223&lt;BJ$5+7),"◆",""),IF(AND($D223&lt;BJ$5+7,$E223&gt;BJ$5),"■","")))</x:f>
      </x:c>
      <x:c r="BK223" s="7" t="str">
        <x:f>IF(OR($D223="",BK$5="",'상세일정'!AM223="제외"),"",IF($D223=$E223,IF(AND($D223&gt;=BK$5,$D223&lt;BK$5+7),"◆",""),IF(AND($D223&lt;BK$5+7,$E223&gt;BK$5),"■","")))</x:f>
      </x:c>
      <x:c r="BL223" s="7" t="str">
        <x:f>IF(OR($D223="",BL$5="",'상세일정'!AM223="제외"),"",IF($D223=$E223,IF(AND($D223&gt;=BL$5,$D223&lt;BL$5+7),"◆",""),IF(AND($D223&lt;BL$5+7,$E223&gt;BL$5),"■","")))</x:f>
      </x:c>
      <x:c r="BM223" s="7" t="str">
        <x:f>IF(OR($D223="",BM$5="",'상세일정'!AM223="제외"),"",IF($D223=$E223,IF(AND($D223&gt;=BM$5,$D223&lt;BM$5+7),"◆",""),IF(AND($D223&lt;BM$5+7,$E223&gt;BM$5),"■","")))</x:f>
      </x:c>
      <x:c r="BN223" s="7" t="str">
        <x:f>IF(OR($D223="",BN$5="",'상세일정'!AM223="제외"),"",IF($D223=$E223,IF(AND($D223&gt;=BN$5,$D223&lt;BN$5+7),"◆",""),IF(AND($D223&lt;BN$5+7,$E223&gt;BN$5),"■","")))</x:f>
      </x:c>
      <x:c r="BO223" s="7" t="str">
        <x:f>IF(OR($D223="",BO$5="",'상세일정'!AM223="제외"),"",IF($D223=$E223,IF(AND($D223&gt;=BO$5,$D223&lt;BO$5+7),"◆",""),IF(AND($D223&lt;BO$5+7,$E223&gt;BO$5),"■","")))</x:f>
      </x:c>
      <x:c r="BP223" s="7" t="str">
        <x:f>IF(OR($D223="",BP$5="",'상세일정'!AM223="제외"),"",IF($D223=$E223,IF(AND($D223&gt;=BP$5,$D223&lt;BP$5+7),"◆",""),IF(AND($D223&lt;BP$5+7,$E223&gt;BP$5),"■","")))</x:f>
      </x:c>
      <x:c r="BQ223" s="7" t="str">
        <x:f>IF(OR($D223="",BQ$5="",'상세일정'!AM223="제외"),"",IF($D223=$E223,IF(AND($D223&gt;=BQ$5,$D223&lt;BQ$5+7),"◆",""),IF(AND($D223&lt;BQ$5+7,$E223&gt;BQ$5),"■","")))</x:f>
      </x:c>
      <x:c r="BR223" s="7" t="str">
        <x:f>IF(OR($D223="",BR$5="",'상세일정'!AM223="제외"),"",IF($D223=$E223,IF(AND($D223&gt;=BR$5,$D223&lt;BR$5+7),"◆",""),IF(AND($D223&lt;BR$5+7,$E223&gt;BR$5),"■","")))</x:f>
      </x:c>
      <x:c r="BS223" s="7" t="str">
        <x:f>IF(OR($D223="",BS$5="",'상세일정'!AM223="제외"),"",IF($D223=$E223,IF(AND($D223&gt;=BS$5,$D223&lt;BS$5+7),"◆",""),IF(AND($D223&lt;BS$5+7,$E223&gt;BS$5),"■","")))</x:f>
      </x:c>
      <x:c r="BT223" s="7" t="str">
        <x:f>IF(OR($D223="",BT$5="",'상세일정'!AM223="제외"),"",IF($D223=$E223,IF(AND($D223&gt;=BT$5,$D223&lt;BT$5+7),"◆",""),IF(AND($D223&lt;BT$5+7,$E223&gt;BT$5),"■","")))</x:f>
      </x:c>
      <x:c r="BU223" s="7" t="str">
        <x:f>IF(OR($D223="",BU$5="",'상세일정'!AM223="제외"),"",IF($D223=$E223,IF(AND($D223&gt;=BU$5,$D223&lt;BU$5+7),"◆",""),IF(AND($D223&lt;BU$5+7,$E223&gt;BU$5),"■","")))</x:f>
      </x:c>
      <x:c r="BV223" s="7" t="str">
        <x:f>IF(OR($D223="",BV$5="",'상세일정'!AM223="제외"),"",IF($D223=$E223,IF(AND($D223&gt;=BV$5,$D223&lt;BV$5+7),"◆",""),IF(AND($D223&lt;BV$5+7,$E223&gt;BV$5),"■","")))</x:f>
      </x:c>
      <x:c r="BW223" s="7" t="str">
        <x:f>IF(OR($D223="",BW$5="",'상세일정'!AM223="제외"),"",IF($D223=$E223,IF(AND($D223&gt;=BW$5,$D223&lt;BW$5+7),"◆",""),IF(AND($D223&lt;BW$5+7,$E223&gt;BW$5),"■","")))</x:f>
      </x:c>
      <x:c r="BX223" s="7" t="str">
        <x:f>IF(OR($D223="",BX$5="",'상세일정'!AM223="제외"),"",IF($D223=$E223,IF(AND($D223&gt;=BX$5,$D223&lt;BX$5+7),"◆",""),IF(AND($D223&lt;BX$5+7,$E223&gt;BX$5),"■","")))</x:f>
      </x:c>
      <x:c r="BY223" s="7" t="str">
        <x:f>IF(OR($D223="",BY$5="",'상세일정'!AM223="제외"),"",IF($D223=$E223,IF(AND($D223&gt;=BY$5,$D223&lt;BY$5+7),"◆",""),IF(AND($D223&lt;BY$5+7,$E223&gt;BY$5),"■","")))</x:f>
      </x:c>
      <x:c r="BZ223" s="7" t="str">
        <x:f>IF(OR($D223="",BZ$5="",'상세일정'!AM223="제외"),"",IF($D223=$E223,IF(AND($D223&gt;=BZ$5,$D223&lt;BZ$5+7),"◆",""),IF(AND($D223&lt;BZ$5+7,$E223&gt;BZ$5),"■","")))</x:f>
      </x:c>
      <x:c r="CA223" s="7" t="str">
        <x:f>IF(OR($D223="",CA$5="",'상세일정'!AM223="제외"),"",IF($D223=$E223,IF(AND($D223&gt;=CA$5,$D223&lt;CA$5+7),"◆",""),IF(AND($D223&lt;CA$5+7,$E223&gt;CA$5),"■","")))</x:f>
      </x:c>
      <x:c r="CB223" s="7" t="str">
        <x:f>IF(OR($D223="",CB$5="",'상세일정'!AM223="제외"),"",IF($D223=$E223,IF(AND($D223&gt;=CB$5,$D223&lt;CB$5+7),"◆",""),IF(AND($D223&lt;CB$5+7,$E223&gt;CB$5),"■","")))</x:f>
      </x:c>
      <x:c r="CC223" s="7" t="str">
        <x:f>IF(OR($D223="",CC$5="",'상세일정'!AM223="제외"),"",IF($D223=$E223,IF(AND($D223&gt;=CC$5,$D223&lt;CC$5+7),"◆",""),IF(AND($D223&lt;CC$5+7,$E223&gt;CC$5),"■","")))</x:f>
      </x:c>
      <x:c r="CD223" s="7" t="str">
        <x:f>IF(OR($D223="",CD$5="",'상세일정'!AM223="제외"),"",IF($D223=$E223,IF(AND($D223&gt;=CD$5,$D223&lt;CD$5+7),"◆",""),IF(AND($D223&lt;CD$5+7,$E223&gt;CD$5),"■","")))</x:f>
      </x:c>
      <x:c r="CE223" s="7" t="str">
        <x:f>IF(OR($D223="",CE$5="",'상세일정'!AM223="제외"),"",IF($D223=$E223,IF(AND($D223&gt;=CE$5,$D223&lt;CE$5+7),"◆",""),IF(AND($D223&lt;CE$5+7,$E223&gt;CE$5),"■","")))</x:f>
      </x:c>
      <x:c r="CF223" s="7" t="str">
        <x:f>IF(OR($D223="",CF$5="",'상세일정'!AM223="제외"),"",IF($D223=$E223,IF(AND($D223&gt;=CF$5,$D223&lt;CF$5+7),"◆",""),IF(AND($D223&lt;CF$5+7,$E223&gt;CF$5),"■","")))</x:f>
      </x:c>
      <x:c r="CG223" s="7" t="str">
        <x:f>IF(OR($D223="",CG$5="",'상세일정'!AM223="제외"),"",IF($D223=$E223,IF(AND($D223&gt;=CG$5,$D223&lt;CG$5+7),"◆",""),IF(AND($D223&lt;CG$5+7,$E223&gt;CG$5),"■","")))</x:f>
      </x:c>
      <x:c r="CH223" s="7" t="str">
        <x:f>IF(OR($D223="",CH$5="",'상세일정'!AM223="제외"),"",IF($D223=$E223,IF(AND($D223&gt;=CH$5,$D223&lt;CH$5+7),"◆",""),IF(AND($D223&lt;CH$5+7,$E223&gt;CH$5),"■","")))</x:f>
      </x:c>
      <x:c r="CI223" s="7" t="str">
        <x:f>IF(OR($D223="",CI$5="",'상세일정'!AM223="제외"),"",IF($D223=$E223,IF(AND($D223&gt;=CI$5,$D223&lt;CI$5+7),"◆",""),IF(AND($D223&lt;CI$5+7,$E223&gt;CI$5),"■","")))</x:f>
      </x:c>
      <x:c r="CJ223" s="7" t="str">
        <x:f>IF(OR($D223="",CJ$5="",'상세일정'!AM223="제외"),"",IF($D223=$E223,IF(AND($D223&gt;=CJ$5,$D223&lt;CJ$5+7),"◆",""),IF(AND($D223&lt;CJ$5+7,$E223&gt;CJ$5),"■","")))</x:f>
      </x:c>
      <x:c r="CK223" s="7" t="str">
        <x:f>IF(OR($D223="",CK$5="",'상세일정'!AM223="제외"),"",IF($D223=$E223,IF(AND($D223&gt;=CK$5,$D223&lt;CK$5+7),"◆",""),IF(AND($D223&lt;CK$5+7,$E223&gt;CK$5),"■","")))</x:f>
      </x:c>
      <x:c r="CL223" s="7" t="str">
        <x:f>IF(OR($D223="",CL$5="",'상세일정'!AM223="제외"),"",IF($D223=$E223,IF(AND($D223&gt;=CL$5,$D223&lt;CL$5+7),"◆",""),IF(AND($D223&lt;CL$5+7,$E223&gt;CL$5),"■","")))</x:f>
      </x:c>
      <x:c r="CM223" s="7" t="str">
        <x:f>IF(OR($D223="",CM$5="",'상세일정'!AM223="제외"),"",IF($D223=$E223,IF(AND($D223&gt;=CM$5,$D223&lt;CM$5+7),"◆",""),IF(AND($D223&lt;CM$5+7,$E223&gt;CM$5),"■","")))</x:f>
      </x:c>
      <x:c r="CN223" s="7" t="str">
        <x:f>IF(OR($D223="",CN$5="",'상세일정'!AM223="제외"),"",IF($D223=$E223,IF(AND($D223&gt;=CN$5,$D223&lt;CN$5+7),"◆",""),IF(AND($D223&lt;CN$5+7,$E223&gt;CN$5),"■","")))</x:f>
      </x:c>
      <x:c r="CO223" s="7" t="str">
        <x:f>IF(OR($D223="",CO$5="",'상세일정'!AM223="제외"),"",IF($D223=$E223,IF(AND($D223&gt;=CO$5,$D223&lt;CO$5+7),"◆",""),IF(AND($D223&lt;CO$5+7,$E223&gt;CO$5),"■","")))</x:f>
      </x:c>
      <x:c r="CP223" s="7" t="str">
        <x:f>IF(OR($D223="",CP$5="",'상세일정'!AM223="제외"),"",IF($D223=$E223,IF(AND($D223&gt;=CP$5,$D223&lt;CP$5+7),"◆",""),IF(AND($D223&lt;CP$5+7,$E223&gt;CP$5),"■","")))</x:f>
      </x:c>
      <x:c r="CQ223" s="7" t="str">
        <x:f>IF(OR($D223="",CQ$5="",'상세일정'!AM223="제외"),"",IF($D223=$E223,IF(AND($D223&gt;=CQ$5,$D223&lt;CQ$5+7),"◆",""),IF(AND($D223&lt;CQ$5+7,$E223&gt;CQ$5),"■","")))</x:f>
      </x:c>
      <x:c r="CR223" s="7" t="str">
        <x:f>IF(OR($D223="",CR$5="",'상세일정'!AM223="제외"),"",IF($D223=$E223,IF(AND($D223&gt;=CR$5,$D223&lt;CR$5+7),"◆",""),IF(AND($D223&lt;CR$5+7,$E223&gt;CR$5),"■","")))</x:f>
      </x:c>
      <x:c r="CS223" s="7" t="str">
        <x:f>IF(OR($D223="",CS$5="",'상세일정'!AM223="제외"),"",IF($D223=$E223,IF(AND($D223&gt;=CS$5,$D223&lt;CS$5+7),"◆",""),IF(AND($D223&lt;CS$5+7,$E223&gt;CS$5),"■","")))</x:f>
      </x:c>
      <x:c r="CT223" s="7" t="str">
        <x:f>IF(OR($D223="",CT$5="",'상세일정'!AM223="제외"),"",IF($D223=$E223,IF(AND($D223&gt;=CT$5,$D223&lt;CT$5+7),"◆",""),IF(AND($D223&lt;CT$5+7,$E223&gt;CT$5),"■","")))</x:f>
      </x:c>
      <x:c r="CU223" s="7" t="str">
        <x:f>IF(OR($D223="",CU$5="",'상세일정'!AM223="제외"),"",IF($D223=$E223,IF(AND($D223&gt;=CU$5,$D223&lt;CU$5+7),"◆",""),IF(AND($D223&lt;CU$5+7,$E223&gt;CU$5),"■","")))</x:f>
      </x:c>
      <x:c r="CV223" s="7" t="str">
        <x:f>IF(OR($D223="",CV$5="",'상세일정'!AM223="제외"),"",IF($D223=$E223,IF(AND($D223&gt;=CV$5,$D223&lt;CV$5+7),"◆",""),IF(AND($D223&lt;CV$5+7,$E223&gt;CV$5),"■","")))</x:f>
      </x:c>
      <x:c r="CW223" s="7" t="str">
        <x:f>IF(OR($D223="",CW$5="",'상세일정'!AM223="제외"),"",IF($D223=$E223,IF(AND($D223&gt;=CW$5,$D223&lt;CW$5+7),"◆",""),IF(AND($D223&lt;CW$5+7,$E223&gt;CW$5),"■","")))</x:f>
      </x:c>
      <x:c r="CX223" s="7" t="str">
        <x:f>IF(OR($D223="",CX$5="",'상세일정'!AM223="제외"),"",IF($D223=$E223,IF(AND($D223&gt;=CX$5,$D223&lt;CX$5+7),"◆",""),IF(AND($D223&lt;CX$5+7,$E223&gt;CX$5),"■","")))</x:f>
      </x:c>
      <x:c r="CY223" s="7" t="str">
        <x:f>IF(OR($D223="",CY$5="",'상세일정'!AM223="제외"),"",IF($D223=$E223,IF(AND($D223&gt;=CY$5,$D223&lt;CY$5+7),"◆",""),IF(AND($D223&lt;CY$5+7,$E223&gt;CY$5),"■","")))</x:f>
      </x:c>
      <x:c r="CZ223" s="7" t="str">
        <x:f>IF(OR($D223="",CZ$5="",'상세일정'!AM223="제외"),"",IF($D223=$E223,IF(AND($D223&gt;=CZ$5,$D223&lt;CZ$5+7),"◆",""),IF(AND($D223&lt;CZ$5+7,$E223&gt;CZ$5),"■","")))</x:f>
      </x:c>
      <x:c r="DA223" s="7" t="str">
        <x:f>IF(OR($D223="",DA$5="",'상세일정'!AM223="제외"),"",IF($D223=$E223,IF(AND($D223&gt;=DA$5,$D223&lt;DA$5+7),"◆",""),IF(AND($D223&lt;DA$5+7,$E223&gt;DA$5),"■","")))</x:f>
      </x:c>
      <x:c r="DB223" s="7" t="str">
        <x:f>IF(OR($D223="",DB$5="",'상세일정'!AM223="제외"),"",IF($D223=$E223,IF(AND($D223&gt;=DB$5,$D223&lt;DB$5+7),"◆",""),IF(AND($D223&lt;DB$5+7,$E223&gt;DB$5),"■","")))</x:f>
      </x:c>
      <x:c r="DC223" s="7" t="str">
        <x:f>IF(OR($D223="",DC$5="",'상세일정'!AM223="제외"),"",IF($D223=$E223,IF(AND($D223&gt;=DC$5,$D223&lt;DC$5+7),"◆",""),IF(AND($D223&lt;DC$5+7,$E223&gt;DC$5),"■","")))</x:f>
      </x:c>
      <x:c r="DD223" s="7" t="str">
        <x:f>IF(OR($D223="",DD$5="",'상세일정'!AM223="제외"),"",IF($D223=$E223,IF(AND($D223&gt;=DD$5,$D223&lt;DD$5+7),"◆",""),IF(AND($D223&lt;DD$5+7,$E223&gt;DD$5),"■","")))</x:f>
      </x:c>
      <x:c r="DE223" s="7" t="str">
        <x:f>IF(OR($D223="",DE$5="",'상세일정'!AM223="제외"),"",IF($D223=$E223,IF(AND($D223&gt;=DE$5,$D223&lt;DE$5+7),"◆",""),IF(AND($D223&lt;DE$5+7,$E223&gt;DE$5),"■","")))</x:f>
      </x:c>
    </x:row>
    <x:row r="224" ht="34" customHeight="1">
      <x:c r="A224" s="7" t="str">
        <x:v>OP04</x:v>
      </x:c>
      <x:c r="B224" s="7" t="str">
        <x:v>25 검사·운전 준비</x:v>
      </x:c>
      <x:c r="C224" s="7" t="str">
        <x:v>보험가입·안전관리자 선임·운영계약 확보</x:v>
      </x:c>
      <x:c r="D224" s="10" t="str">
        <x:f>'상세일정'!AJ224</x:f>
      </x:c>
      <x:c r="E224" s="10" t="str">
        <x:f>'상세일정'!AK224</x:f>
      </x:c>
      <x:c r="F224" s="7" t="str">
        <x:f>IF(OR($D224="",F$5="",'상세일정'!AM224="제외"),"",IF($D224=$E224,IF(AND($D224&gt;=F$5,$D224&lt;F$5+7),"◆",""),IF(AND($D224&lt;F$5+7,$E224&gt;F$5),"■","")))</x:f>
      </x:c>
      <x:c r="G224" s="7" t="str">
        <x:f>IF(OR($D224="",G$5="",'상세일정'!AM224="제외"),"",IF($D224=$E224,IF(AND($D224&gt;=G$5,$D224&lt;G$5+7),"◆",""),IF(AND($D224&lt;G$5+7,$E224&gt;G$5),"■","")))</x:f>
      </x:c>
      <x:c r="H224" s="7" t="str">
        <x:f>IF(OR($D224="",H$5="",'상세일정'!AM224="제외"),"",IF($D224=$E224,IF(AND($D224&gt;=H$5,$D224&lt;H$5+7),"◆",""),IF(AND($D224&lt;H$5+7,$E224&gt;H$5),"■","")))</x:f>
      </x:c>
      <x:c r="I224" s="7" t="str">
        <x:f>IF(OR($D224="",I$5="",'상세일정'!AM224="제외"),"",IF($D224=$E224,IF(AND($D224&gt;=I$5,$D224&lt;I$5+7),"◆",""),IF(AND($D224&lt;I$5+7,$E224&gt;I$5),"■","")))</x:f>
      </x:c>
      <x:c r="J224" s="7" t="str">
        <x:f>IF(OR($D224="",J$5="",'상세일정'!AM224="제외"),"",IF($D224=$E224,IF(AND($D224&gt;=J$5,$D224&lt;J$5+7),"◆",""),IF(AND($D224&lt;J$5+7,$E224&gt;J$5),"■","")))</x:f>
      </x:c>
      <x:c r="K224" s="7" t="str">
        <x:f>IF(OR($D224="",K$5="",'상세일정'!AM224="제외"),"",IF($D224=$E224,IF(AND($D224&gt;=K$5,$D224&lt;K$5+7),"◆",""),IF(AND($D224&lt;K$5+7,$E224&gt;K$5),"■","")))</x:f>
      </x:c>
      <x:c r="L224" s="7" t="str">
        <x:f>IF(OR($D224="",L$5="",'상세일정'!AM224="제외"),"",IF($D224=$E224,IF(AND($D224&gt;=L$5,$D224&lt;L$5+7),"◆",""),IF(AND($D224&lt;L$5+7,$E224&gt;L$5),"■","")))</x:f>
      </x:c>
      <x:c r="M224" s="7" t="str">
        <x:f>IF(OR($D224="",M$5="",'상세일정'!AM224="제외"),"",IF($D224=$E224,IF(AND($D224&gt;=M$5,$D224&lt;M$5+7),"◆",""),IF(AND($D224&lt;M$5+7,$E224&gt;M$5),"■","")))</x:f>
      </x:c>
      <x:c r="N224" s="7" t="str">
        <x:f>IF(OR($D224="",N$5="",'상세일정'!AM224="제외"),"",IF($D224=$E224,IF(AND($D224&gt;=N$5,$D224&lt;N$5+7),"◆",""),IF(AND($D224&lt;N$5+7,$E224&gt;N$5),"■","")))</x:f>
      </x:c>
      <x:c r="O224" s="7" t="str">
        <x:f>IF(OR($D224="",O$5="",'상세일정'!AM224="제외"),"",IF($D224=$E224,IF(AND($D224&gt;=O$5,$D224&lt;O$5+7),"◆",""),IF(AND($D224&lt;O$5+7,$E224&gt;O$5),"■","")))</x:f>
      </x:c>
      <x:c r="P224" s="7" t="str">
        <x:f>IF(OR($D224="",P$5="",'상세일정'!AM224="제외"),"",IF($D224=$E224,IF(AND($D224&gt;=P$5,$D224&lt;P$5+7),"◆",""),IF(AND($D224&lt;P$5+7,$E224&gt;P$5),"■","")))</x:f>
      </x:c>
      <x:c r="Q224" s="7" t="str">
        <x:f>IF(OR($D224="",Q$5="",'상세일정'!AM224="제외"),"",IF($D224=$E224,IF(AND($D224&gt;=Q$5,$D224&lt;Q$5+7),"◆",""),IF(AND($D224&lt;Q$5+7,$E224&gt;Q$5),"■","")))</x:f>
      </x:c>
      <x:c r="R224" s="7" t="str">
        <x:f>IF(OR($D224="",R$5="",'상세일정'!AM224="제외"),"",IF($D224=$E224,IF(AND($D224&gt;=R$5,$D224&lt;R$5+7),"◆",""),IF(AND($D224&lt;R$5+7,$E224&gt;R$5),"■","")))</x:f>
      </x:c>
      <x:c r="S224" s="7" t="str">
        <x:f>IF(OR($D224="",S$5="",'상세일정'!AM224="제외"),"",IF($D224=$E224,IF(AND($D224&gt;=S$5,$D224&lt;S$5+7),"◆",""),IF(AND($D224&lt;S$5+7,$E224&gt;S$5),"■","")))</x:f>
      </x:c>
      <x:c r="T224" s="7" t="str">
        <x:f>IF(OR($D224="",T$5="",'상세일정'!AM224="제외"),"",IF($D224=$E224,IF(AND($D224&gt;=T$5,$D224&lt;T$5+7),"◆",""),IF(AND($D224&lt;T$5+7,$E224&gt;T$5),"■","")))</x:f>
      </x:c>
      <x:c r="U224" s="7" t="str">
        <x:f>IF(OR($D224="",U$5="",'상세일정'!AM224="제외"),"",IF($D224=$E224,IF(AND($D224&gt;=U$5,$D224&lt;U$5+7),"◆",""),IF(AND($D224&lt;U$5+7,$E224&gt;U$5),"■","")))</x:f>
      </x:c>
      <x:c r="V224" s="7" t="str">
        <x:f>IF(OR($D224="",V$5="",'상세일정'!AM224="제외"),"",IF($D224=$E224,IF(AND($D224&gt;=V$5,$D224&lt;V$5+7),"◆",""),IF(AND($D224&lt;V$5+7,$E224&gt;V$5),"■","")))</x:f>
      </x:c>
      <x:c r="W224" s="7" t="str">
        <x:f>IF(OR($D224="",W$5="",'상세일정'!AM224="제외"),"",IF($D224=$E224,IF(AND($D224&gt;=W$5,$D224&lt;W$5+7),"◆",""),IF(AND($D224&lt;W$5+7,$E224&gt;W$5),"■","")))</x:f>
      </x:c>
      <x:c r="X224" s="7" t="str">
        <x:f>IF(OR($D224="",X$5="",'상세일정'!AM224="제외"),"",IF($D224=$E224,IF(AND($D224&gt;=X$5,$D224&lt;X$5+7),"◆",""),IF(AND($D224&lt;X$5+7,$E224&gt;X$5),"■","")))</x:f>
      </x:c>
      <x:c r="Y224" s="7" t="str">
        <x:f>IF(OR($D224="",Y$5="",'상세일정'!AM224="제외"),"",IF($D224=$E224,IF(AND($D224&gt;=Y$5,$D224&lt;Y$5+7),"◆",""),IF(AND($D224&lt;Y$5+7,$E224&gt;Y$5),"■","")))</x:f>
      </x:c>
      <x:c r="Z224" s="7" t="str">
        <x:f>IF(OR($D224="",Z$5="",'상세일정'!AM224="제외"),"",IF($D224=$E224,IF(AND($D224&gt;=Z$5,$D224&lt;Z$5+7),"◆",""),IF(AND($D224&lt;Z$5+7,$E224&gt;Z$5),"■","")))</x:f>
      </x:c>
      <x:c r="AA224" s="7" t="str">
        <x:f>IF(OR($D224="",AA$5="",'상세일정'!AM224="제외"),"",IF($D224=$E224,IF(AND($D224&gt;=AA$5,$D224&lt;AA$5+7),"◆",""),IF(AND($D224&lt;AA$5+7,$E224&gt;AA$5),"■","")))</x:f>
      </x:c>
      <x:c r="AB224" s="7" t="str">
        <x:f>IF(OR($D224="",AB$5="",'상세일정'!AM224="제외"),"",IF($D224=$E224,IF(AND($D224&gt;=AB$5,$D224&lt;AB$5+7),"◆",""),IF(AND($D224&lt;AB$5+7,$E224&gt;AB$5),"■","")))</x:f>
      </x:c>
      <x:c r="AC224" s="7" t="str">
        <x:f>IF(OR($D224="",AC$5="",'상세일정'!AM224="제외"),"",IF($D224=$E224,IF(AND($D224&gt;=AC$5,$D224&lt;AC$5+7),"◆",""),IF(AND($D224&lt;AC$5+7,$E224&gt;AC$5),"■","")))</x:f>
      </x:c>
      <x:c r="AD224" s="7" t="str">
        <x:f>IF(OR($D224="",AD$5="",'상세일정'!AM224="제외"),"",IF($D224=$E224,IF(AND($D224&gt;=AD$5,$D224&lt;AD$5+7),"◆",""),IF(AND($D224&lt;AD$5+7,$E224&gt;AD$5),"■","")))</x:f>
      </x:c>
      <x:c r="AE224" s="7" t="str">
        <x:f>IF(OR($D224="",AE$5="",'상세일정'!AM224="제외"),"",IF($D224=$E224,IF(AND($D224&gt;=AE$5,$D224&lt;AE$5+7),"◆",""),IF(AND($D224&lt;AE$5+7,$E224&gt;AE$5),"■","")))</x:f>
      </x:c>
      <x:c r="AF224" s="7" t="str">
        <x:f>IF(OR($D224="",AF$5="",'상세일정'!AM224="제외"),"",IF($D224=$E224,IF(AND($D224&gt;=AF$5,$D224&lt;AF$5+7),"◆",""),IF(AND($D224&lt;AF$5+7,$E224&gt;AF$5),"■","")))</x:f>
      </x:c>
      <x:c r="AG224" s="7" t="str">
        <x:f>IF(OR($D224="",AG$5="",'상세일정'!AM224="제외"),"",IF($D224=$E224,IF(AND($D224&gt;=AG$5,$D224&lt;AG$5+7),"◆",""),IF(AND($D224&lt;AG$5+7,$E224&gt;AG$5),"■","")))</x:f>
      </x:c>
      <x:c r="AH224" s="7" t="str">
        <x:f>IF(OR($D224="",AH$5="",'상세일정'!AM224="제외"),"",IF($D224=$E224,IF(AND($D224&gt;=AH$5,$D224&lt;AH$5+7),"◆",""),IF(AND($D224&lt;AH$5+7,$E224&gt;AH$5),"■","")))</x:f>
      </x:c>
      <x:c r="AI224" s="7" t="str">
        <x:f>IF(OR($D224="",AI$5="",'상세일정'!AM224="제외"),"",IF($D224=$E224,IF(AND($D224&gt;=AI$5,$D224&lt;AI$5+7),"◆",""),IF(AND($D224&lt;AI$5+7,$E224&gt;AI$5),"■","")))</x:f>
      </x:c>
      <x:c r="AJ224" s="7" t="str">
        <x:f>IF(OR($D224="",AJ$5="",'상세일정'!AM224="제외"),"",IF($D224=$E224,IF(AND($D224&gt;=AJ$5,$D224&lt;AJ$5+7),"◆",""),IF(AND($D224&lt;AJ$5+7,$E224&gt;AJ$5),"■","")))</x:f>
      </x:c>
      <x:c r="AK224" s="7" t="str">
        <x:f>IF(OR($D224="",AK$5="",'상세일정'!AM224="제외"),"",IF($D224=$E224,IF(AND($D224&gt;=AK$5,$D224&lt;AK$5+7),"◆",""),IF(AND($D224&lt;AK$5+7,$E224&gt;AK$5),"■","")))</x:f>
      </x:c>
      <x:c r="AL224" s="7" t="str">
        <x:f>IF(OR($D224="",AL$5="",'상세일정'!AM224="제외"),"",IF($D224=$E224,IF(AND($D224&gt;=AL$5,$D224&lt;AL$5+7),"◆",""),IF(AND($D224&lt;AL$5+7,$E224&gt;AL$5),"■","")))</x:f>
      </x:c>
      <x:c r="AM224" s="7" t="str">
        <x:f>IF(OR($D224="",AM$5="",'상세일정'!AM224="제외"),"",IF($D224=$E224,IF(AND($D224&gt;=AM$5,$D224&lt;AM$5+7),"◆",""),IF(AND($D224&lt;AM$5+7,$E224&gt;AM$5),"■","")))</x:f>
      </x:c>
      <x:c r="AN224" s="7" t="str">
        <x:f>IF(OR($D224="",AN$5="",'상세일정'!AM224="제외"),"",IF($D224=$E224,IF(AND($D224&gt;=AN$5,$D224&lt;AN$5+7),"◆",""),IF(AND($D224&lt;AN$5+7,$E224&gt;AN$5),"■","")))</x:f>
      </x:c>
      <x:c r="AO224" s="7" t="str">
        <x:f>IF(OR($D224="",AO$5="",'상세일정'!AM224="제외"),"",IF($D224=$E224,IF(AND($D224&gt;=AO$5,$D224&lt;AO$5+7),"◆",""),IF(AND($D224&lt;AO$5+7,$E224&gt;AO$5),"■","")))</x:f>
      </x:c>
      <x:c r="AP224" s="7" t="str">
        <x:f>IF(OR($D224="",AP$5="",'상세일정'!AM224="제외"),"",IF($D224=$E224,IF(AND($D224&gt;=AP$5,$D224&lt;AP$5+7),"◆",""),IF(AND($D224&lt;AP$5+7,$E224&gt;AP$5),"■","")))</x:f>
      </x:c>
      <x:c r="AQ224" s="7" t="str">
        <x:f>IF(OR($D224="",AQ$5="",'상세일정'!AM224="제외"),"",IF($D224=$E224,IF(AND($D224&gt;=AQ$5,$D224&lt;AQ$5+7),"◆",""),IF(AND($D224&lt;AQ$5+7,$E224&gt;AQ$5),"■","")))</x:f>
      </x:c>
      <x:c r="AR224" s="7" t="str">
        <x:f>IF(OR($D224="",AR$5="",'상세일정'!AM224="제외"),"",IF($D224=$E224,IF(AND($D224&gt;=AR$5,$D224&lt;AR$5+7),"◆",""),IF(AND($D224&lt;AR$5+7,$E224&gt;AR$5),"■","")))</x:f>
      </x:c>
      <x:c r="AS224" s="7" t="str">
        <x:f>IF(OR($D224="",AS$5="",'상세일정'!AM224="제외"),"",IF($D224=$E224,IF(AND($D224&gt;=AS$5,$D224&lt;AS$5+7),"◆",""),IF(AND($D224&lt;AS$5+7,$E224&gt;AS$5),"■","")))</x:f>
      </x:c>
      <x:c r="AT224" s="7" t="str">
        <x:f>IF(OR($D224="",AT$5="",'상세일정'!AM224="제외"),"",IF($D224=$E224,IF(AND($D224&gt;=AT$5,$D224&lt;AT$5+7),"◆",""),IF(AND($D224&lt;AT$5+7,$E224&gt;AT$5),"■","")))</x:f>
      </x:c>
      <x:c r="AU224" s="7" t="str">
        <x:f>IF(OR($D224="",AU$5="",'상세일정'!AM224="제외"),"",IF($D224=$E224,IF(AND($D224&gt;=AU$5,$D224&lt;AU$5+7),"◆",""),IF(AND($D224&lt;AU$5+7,$E224&gt;AU$5),"■","")))</x:f>
      </x:c>
      <x:c r="AV224" s="7" t="str">
        <x:f>IF(OR($D224="",AV$5="",'상세일정'!AM224="제외"),"",IF($D224=$E224,IF(AND($D224&gt;=AV$5,$D224&lt;AV$5+7),"◆",""),IF(AND($D224&lt;AV$5+7,$E224&gt;AV$5),"■","")))</x:f>
      </x:c>
      <x:c r="AW224" s="7" t="str">
        <x:f>IF(OR($D224="",AW$5="",'상세일정'!AM224="제외"),"",IF($D224=$E224,IF(AND($D224&gt;=AW$5,$D224&lt;AW$5+7),"◆",""),IF(AND($D224&lt;AW$5+7,$E224&gt;AW$5),"■","")))</x:f>
      </x:c>
      <x:c r="AX224" s="7" t="str">
        <x:f>IF(OR($D224="",AX$5="",'상세일정'!AM224="제외"),"",IF($D224=$E224,IF(AND($D224&gt;=AX$5,$D224&lt;AX$5+7),"◆",""),IF(AND($D224&lt;AX$5+7,$E224&gt;AX$5),"■","")))</x:f>
      </x:c>
      <x:c r="AY224" s="7" t="str">
        <x:f>IF(OR($D224="",AY$5="",'상세일정'!AM224="제외"),"",IF($D224=$E224,IF(AND($D224&gt;=AY$5,$D224&lt;AY$5+7),"◆",""),IF(AND($D224&lt;AY$5+7,$E224&gt;AY$5),"■","")))</x:f>
      </x:c>
      <x:c r="AZ224" s="7" t="str">
        <x:f>IF(OR($D224="",AZ$5="",'상세일정'!AM224="제외"),"",IF($D224=$E224,IF(AND($D224&gt;=AZ$5,$D224&lt;AZ$5+7),"◆",""),IF(AND($D224&lt;AZ$5+7,$E224&gt;AZ$5),"■","")))</x:f>
      </x:c>
      <x:c r="BA224" s="7" t="str">
        <x:f>IF(OR($D224="",BA$5="",'상세일정'!AM224="제외"),"",IF($D224=$E224,IF(AND($D224&gt;=BA$5,$D224&lt;BA$5+7),"◆",""),IF(AND($D224&lt;BA$5+7,$E224&gt;BA$5),"■","")))</x:f>
      </x:c>
      <x:c r="BB224" s="7" t="str">
        <x:f>IF(OR($D224="",BB$5="",'상세일정'!AM224="제외"),"",IF($D224=$E224,IF(AND($D224&gt;=BB$5,$D224&lt;BB$5+7),"◆",""),IF(AND($D224&lt;BB$5+7,$E224&gt;BB$5),"■","")))</x:f>
      </x:c>
      <x:c r="BC224" s="7" t="str">
        <x:f>IF(OR($D224="",BC$5="",'상세일정'!AM224="제외"),"",IF($D224=$E224,IF(AND($D224&gt;=BC$5,$D224&lt;BC$5+7),"◆",""),IF(AND($D224&lt;BC$5+7,$E224&gt;BC$5),"■","")))</x:f>
      </x:c>
      <x:c r="BD224" s="7" t="str">
        <x:f>IF(OR($D224="",BD$5="",'상세일정'!AM224="제외"),"",IF($D224=$E224,IF(AND($D224&gt;=BD$5,$D224&lt;BD$5+7),"◆",""),IF(AND($D224&lt;BD$5+7,$E224&gt;BD$5),"■","")))</x:f>
      </x:c>
      <x:c r="BE224" s="7" t="str">
        <x:f>IF(OR($D224="",BE$5="",'상세일정'!AM224="제외"),"",IF($D224=$E224,IF(AND($D224&gt;=BE$5,$D224&lt;BE$5+7),"◆",""),IF(AND($D224&lt;BE$5+7,$E224&gt;BE$5),"■","")))</x:f>
      </x:c>
      <x:c r="BF224" s="7" t="str">
        <x:f>IF(OR($D224="",BF$5="",'상세일정'!AM224="제외"),"",IF($D224=$E224,IF(AND($D224&gt;=BF$5,$D224&lt;BF$5+7),"◆",""),IF(AND($D224&lt;BF$5+7,$E224&gt;BF$5),"■","")))</x:f>
      </x:c>
      <x:c r="BG224" s="7" t="str">
        <x:f>IF(OR($D224="",BG$5="",'상세일정'!AM224="제외"),"",IF($D224=$E224,IF(AND($D224&gt;=BG$5,$D224&lt;BG$5+7),"◆",""),IF(AND($D224&lt;BG$5+7,$E224&gt;BG$5),"■","")))</x:f>
      </x:c>
      <x:c r="BH224" s="7" t="str">
        <x:f>IF(OR($D224="",BH$5="",'상세일정'!AM224="제외"),"",IF($D224=$E224,IF(AND($D224&gt;=BH$5,$D224&lt;BH$5+7),"◆",""),IF(AND($D224&lt;BH$5+7,$E224&gt;BH$5),"■","")))</x:f>
      </x:c>
      <x:c r="BI224" s="7" t="str">
        <x:f>IF(OR($D224="",BI$5="",'상세일정'!AM224="제외"),"",IF($D224=$E224,IF(AND($D224&gt;=BI$5,$D224&lt;BI$5+7),"◆",""),IF(AND($D224&lt;BI$5+7,$E224&gt;BI$5),"■","")))</x:f>
      </x:c>
      <x:c r="BJ224" s="7" t="str">
        <x:f>IF(OR($D224="",BJ$5="",'상세일정'!AM224="제외"),"",IF($D224=$E224,IF(AND($D224&gt;=BJ$5,$D224&lt;BJ$5+7),"◆",""),IF(AND($D224&lt;BJ$5+7,$E224&gt;BJ$5),"■","")))</x:f>
      </x:c>
      <x:c r="BK224" s="7" t="str">
        <x:f>IF(OR($D224="",BK$5="",'상세일정'!AM224="제외"),"",IF($D224=$E224,IF(AND($D224&gt;=BK$5,$D224&lt;BK$5+7),"◆",""),IF(AND($D224&lt;BK$5+7,$E224&gt;BK$5),"■","")))</x:f>
      </x:c>
      <x:c r="BL224" s="7" t="str">
        <x:f>IF(OR($D224="",BL$5="",'상세일정'!AM224="제외"),"",IF($D224=$E224,IF(AND($D224&gt;=BL$5,$D224&lt;BL$5+7),"◆",""),IF(AND($D224&lt;BL$5+7,$E224&gt;BL$5),"■","")))</x:f>
      </x:c>
      <x:c r="BM224" s="7" t="str">
        <x:f>IF(OR($D224="",BM$5="",'상세일정'!AM224="제외"),"",IF($D224=$E224,IF(AND($D224&gt;=BM$5,$D224&lt;BM$5+7),"◆",""),IF(AND($D224&lt;BM$5+7,$E224&gt;BM$5),"■","")))</x:f>
      </x:c>
      <x:c r="BN224" s="7" t="str">
        <x:f>IF(OR($D224="",BN$5="",'상세일정'!AM224="제외"),"",IF($D224=$E224,IF(AND($D224&gt;=BN$5,$D224&lt;BN$5+7),"◆",""),IF(AND($D224&lt;BN$5+7,$E224&gt;BN$5),"■","")))</x:f>
      </x:c>
      <x:c r="BO224" s="7" t="str">
        <x:f>IF(OR($D224="",BO$5="",'상세일정'!AM224="제외"),"",IF($D224=$E224,IF(AND($D224&gt;=BO$5,$D224&lt;BO$5+7),"◆",""),IF(AND($D224&lt;BO$5+7,$E224&gt;BO$5),"■","")))</x:f>
      </x:c>
      <x:c r="BP224" s="7" t="str">
        <x:f>IF(OR($D224="",BP$5="",'상세일정'!AM224="제외"),"",IF($D224=$E224,IF(AND($D224&gt;=BP$5,$D224&lt;BP$5+7),"◆",""),IF(AND($D224&lt;BP$5+7,$E224&gt;BP$5),"■","")))</x:f>
      </x:c>
      <x:c r="BQ224" s="7" t="str">
        <x:f>IF(OR($D224="",BQ$5="",'상세일정'!AM224="제외"),"",IF($D224=$E224,IF(AND($D224&gt;=BQ$5,$D224&lt;BQ$5+7),"◆",""),IF(AND($D224&lt;BQ$5+7,$E224&gt;BQ$5),"■","")))</x:f>
      </x:c>
      <x:c r="BR224" s="7" t="str">
        <x:f>IF(OR($D224="",BR$5="",'상세일정'!AM224="제외"),"",IF($D224=$E224,IF(AND($D224&gt;=BR$5,$D224&lt;BR$5+7),"◆",""),IF(AND($D224&lt;BR$5+7,$E224&gt;BR$5),"■","")))</x:f>
      </x:c>
      <x:c r="BS224" s="7" t="str">
        <x:f>IF(OR($D224="",BS$5="",'상세일정'!AM224="제외"),"",IF($D224=$E224,IF(AND($D224&gt;=BS$5,$D224&lt;BS$5+7),"◆",""),IF(AND($D224&lt;BS$5+7,$E224&gt;BS$5),"■","")))</x:f>
      </x:c>
      <x:c r="BT224" s="7" t="str">
        <x:f>IF(OR($D224="",BT$5="",'상세일정'!AM224="제외"),"",IF($D224=$E224,IF(AND($D224&gt;=BT$5,$D224&lt;BT$5+7),"◆",""),IF(AND($D224&lt;BT$5+7,$E224&gt;BT$5),"■","")))</x:f>
      </x:c>
      <x:c r="BU224" s="7" t="str">
        <x:f>IF(OR($D224="",BU$5="",'상세일정'!AM224="제외"),"",IF($D224=$E224,IF(AND($D224&gt;=BU$5,$D224&lt;BU$5+7),"◆",""),IF(AND($D224&lt;BU$5+7,$E224&gt;BU$5),"■","")))</x:f>
      </x:c>
      <x:c r="BV224" s="7" t="str">
        <x:f>IF(OR($D224="",BV$5="",'상세일정'!AM224="제외"),"",IF($D224=$E224,IF(AND($D224&gt;=BV$5,$D224&lt;BV$5+7),"◆",""),IF(AND($D224&lt;BV$5+7,$E224&gt;BV$5),"■","")))</x:f>
      </x:c>
      <x:c r="BW224" s="7" t="str">
        <x:f>IF(OR($D224="",BW$5="",'상세일정'!AM224="제외"),"",IF($D224=$E224,IF(AND($D224&gt;=BW$5,$D224&lt;BW$5+7),"◆",""),IF(AND($D224&lt;BW$5+7,$E224&gt;BW$5),"■","")))</x:f>
      </x:c>
      <x:c r="BX224" s="7" t="str">
        <x:f>IF(OR($D224="",BX$5="",'상세일정'!AM224="제외"),"",IF($D224=$E224,IF(AND($D224&gt;=BX$5,$D224&lt;BX$5+7),"◆",""),IF(AND($D224&lt;BX$5+7,$E224&gt;BX$5),"■","")))</x:f>
      </x:c>
      <x:c r="BY224" s="7" t="str">
        <x:f>IF(OR($D224="",BY$5="",'상세일정'!AM224="제외"),"",IF($D224=$E224,IF(AND($D224&gt;=BY$5,$D224&lt;BY$5+7),"◆",""),IF(AND($D224&lt;BY$5+7,$E224&gt;BY$5),"■","")))</x:f>
      </x:c>
      <x:c r="BZ224" s="7" t="str">
        <x:f>IF(OR($D224="",BZ$5="",'상세일정'!AM224="제외"),"",IF($D224=$E224,IF(AND($D224&gt;=BZ$5,$D224&lt;BZ$5+7),"◆",""),IF(AND($D224&lt;BZ$5+7,$E224&gt;BZ$5),"■","")))</x:f>
      </x:c>
      <x:c r="CA224" s="7" t="str">
        <x:f>IF(OR($D224="",CA$5="",'상세일정'!AM224="제외"),"",IF($D224=$E224,IF(AND($D224&gt;=CA$5,$D224&lt;CA$5+7),"◆",""),IF(AND($D224&lt;CA$5+7,$E224&gt;CA$5),"■","")))</x:f>
      </x:c>
      <x:c r="CB224" s="7" t="str">
        <x:f>IF(OR($D224="",CB$5="",'상세일정'!AM224="제외"),"",IF($D224=$E224,IF(AND($D224&gt;=CB$5,$D224&lt;CB$5+7),"◆",""),IF(AND($D224&lt;CB$5+7,$E224&gt;CB$5),"■","")))</x:f>
      </x:c>
      <x:c r="CC224" s="7" t="str">
        <x:f>IF(OR($D224="",CC$5="",'상세일정'!AM224="제외"),"",IF($D224=$E224,IF(AND($D224&gt;=CC$5,$D224&lt;CC$5+7),"◆",""),IF(AND($D224&lt;CC$5+7,$E224&gt;CC$5),"■","")))</x:f>
      </x:c>
      <x:c r="CD224" s="7" t="str">
        <x:f>IF(OR($D224="",CD$5="",'상세일정'!AM224="제외"),"",IF($D224=$E224,IF(AND($D224&gt;=CD$5,$D224&lt;CD$5+7),"◆",""),IF(AND($D224&lt;CD$5+7,$E224&gt;CD$5),"■","")))</x:f>
      </x:c>
      <x:c r="CE224" s="7" t="str">
        <x:f>IF(OR($D224="",CE$5="",'상세일정'!AM224="제외"),"",IF($D224=$E224,IF(AND($D224&gt;=CE$5,$D224&lt;CE$5+7),"◆",""),IF(AND($D224&lt;CE$5+7,$E224&gt;CE$5),"■","")))</x:f>
      </x:c>
      <x:c r="CF224" s="7" t="str">
        <x:f>IF(OR($D224="",CF$5="",'상세일정'!AM224="제외"),"",IF($D224=$E224,IF(AND($D224&gt;=CF$5,$D224&lt;CF$5+7),"◆",""),IF(AND($D224&lt;CF$5+7,$E224&gt;CF$5),"■","")))</x:f>
      </x:c>
      <x:c r="CG224" s="7" t="str">
        <x:f>IF(OR($D224="",CG$5="",'상세일정'!AM224="제외"),"",IF($D224=$E224,IF(AND($D224&gt;=CG$5,$D224&lt;CG$5+7),"◆",""),IF(AND($D224&lt;CG$5+7,$E224&gt;CG$5),"■","")))</x:f>
      </x:c>
      <x:c r="CH224" s="7" t="str">
        <x:f>IF(OR($D224="",CH$5="",'상세일정'!AM224="제외"),"",IF($D224=$E224,IF(AND($D224&gt;=CH$5,$D224&lt;CH$5+7),"◆",""),IF(AND($D224&lt;CH$5+7,$E224&gt;CH$5),"■","")))</x:f>
      </x:c>
      <x:c r="CI224" s="7" t="str">
        <x:f>IF(OR($D224="",CI$5="",'상세일정'!AM224="제외"),"",IF($D224=$E224,IF(AND($D224&gt;=CI$5,$D224&lt;CI$5+7),"◆",""),IF(AND($D224&lt;CI$5+7,$E224&gt;CI$5),"■","")))</x:f>
      </x:c>
      <x:c r="CJ224" s="7" t="str">
        <x:f>IF(OR($D224="",CJ$5="",'상세일정'!AM224="제외"),"",IF($D224=$E224,IF(AND($D224&gt;=CJ$5,$D224&lt;CJ$5+7),"◆",""),IF(AND($D224&lt;CJ$5+7,$E224&gt;CJ$5),"■","")))</x:f>
      </x:c>
      <x:c r="CK224" s="7" t="str">
        <x:f>IF(OR($D224="",CK$5="",'상세일정'!AM224="제외"),"",IF($D224=$E224,IF(AND($D224&gt;=CK$5,$D224&lt;CK$5+7),"◆",""),IF(AND($D224&lt;CK$5+7,$E224&gt;CK$5),"■","")))</x:f>
      </x:c>
      <x:c r="CL224" s="7" t="str">
        <x:f>IF(OR($D224="",CL$5="",'상세일정'!AM224="제외"),"",IF($D224=$E224,IF(AND($D224&gt;=CL$5,$D224&lt;CL$5+7),"◆",""),IF(AND($D224&lt;CL$5+7,$E224&gt;CL$5),"■","")))</x:f>
      </x:c>
      <x:c r="CM224" s="7" t="str">
        <x:f>IF(OR($D224="",CM$5="",'상세일정'!AM224="제외"),"",IF($D224=$E224,IF(AND($D224&gt;=CM$5,$D224&lt;CM$5+7),"◆",""),IF(AND($D224&lt;CM$5+7,$E224&gt;CM$5),"■","")))</x:f>
      </x:c>
      <x:c r="CN224" s="7" t="str">
        <x:f>IF(OR($D224="",CN$5="",'상세일정'!AM224="제외"),"",IF($D224=$E224,IF(AND($D224&gt;=CN$5,$D224&lt;CN$5+7),"◆",""),IF(AND($D224&lt;CN$5+7,$E224&gt;CN$5),"■","")))</x:f>
      </x:c>
      <x:c r="CO224" s="7" t="str">
        <x:f>IF(OR($D224="",CO$5="",'상세일정'!AM224="제외"),"",IF($D224=$E224,IF(AND($D224&gt;=CO$5,$D224&lt;CO$5+7),"◆",""),IF(AND($D224&lt;CO$5+7,$E224&gt;CO$5),"■","")))</x:f>
      </x:c>
      <x:c r="CP224" s="7" t="str">
        <x:f>IF(OR($D224="",CP$5="",'상세일정'!AM224="제외"),"",IF($D224=$E224,IF(AND($D224&gt;=CP$5,$D224&lt;CP$5+7),"◆",""),IF(AND($D224&lt;CP$5+7,$E224&gt;CP$5),"■","")))</x:f>
      </x:c>
      <x:c r="CQ224" s="7" t="str">
        <x:f>IF(OR($D224="",CQ$5="",'상세일정'!AM224="제외"),"",IF($D224=$E224,IF(AND($D224&gt;=CQ$5,$D224&lt;CQ$5+7),"◆",""),IF(AND($D224&lt;CQ$5+7,$E224&gt;CQ$5),"■","")))</x:f>
      </x:c>
      <x:c r="CR224" s="7" t="str">
        <x:f>IF(OR($D224="",CR$5="",'상세일정'!AM224="제외"),"",IF($D224=$E224,IF(AND($D224&gt;=CR$5,$D224&lt;CR$5+7),"◆",""),IF(AND($D224&lt;CR$5+7,$E224&gt;CR$5),"■","")))</x:f>
      </x:c>
      <x:c r="CS224" s="7" t="str">
        <x:f>IF(OR($D224="",CS$5="",'상세일정'!AM224="제외"),"",IF($D224=$E224,IF(AND($D224&gt;=CS$5,$D224&lt;CS$5+7),"◆",""),IF(AND($D224&lt;CS$5+7,$E224&gt;CS$5),"■","")))</x:f>
      </x:c>
      <x:c r="CT224" s="7" t="str">
        <x:f>IF(OR($D224="",CT$5="",'상세일정'!AM224="제외"),"",IF($D224=$E224,IF(AND($D224&gt;=CT$5,$D224&lt;CT$5+7),"◆",""),IF(AND($D224&lt;CT$5+7,$E224&gt;CT$5),"■","")))</x:f>
      </x:c>
      <x:c r="CU224" s="7" t="str">
        <x:f>IF(OR($D224="",CU$5="",'상세일정'!AM224="제외"),"",IF($D224=$E224,IF(AND($D224&gt;=CU$5,$D224&lt;CU$5+7),"◆",""),IF(AND($D224&lt;CU$5+7,$E224&gt;CU$5),"■","")))</x:f>
      </x:c>
      <x:c r="CV224" s="7" t="str">
        <x:f>IF(OR($D224="",CV$5="",'상세일정'!AM224="제외"),"",IF($D224=$E224,IF(AND($D224&gt;=CV$5,$D224&lt;CV$5+7),"◆",""),IF(AND($D224&lt;CV$5+7,$E224&gt;CV$5),"■","")))</x:f>
      </x:c>
      <x:c r="CW224" s="7" t="str">
        <x:f>IF(OR($D224="",CW$5="",'상세일정'!AM224="제외"),"",IF($D224=$E224,IF(AND($D224&gt;=CW$5,$D224&lt;CW$5+7),"◆",""),IF(AND($D224&lt;CW$5+7,$E224&gt;CW$5),"■","")))</x:f>
      </x:c>
      <x:c r="CX224" s="7" t="str">
        <x:f>IF(OR($D224="",CX$5="",'상세일정'!AM224="제외"),"",IF($D224=$E224,IF(AND($D224&gt;=CX$5,$D224&lt;CX$5+7),"◆",""),IF(AND($D224&lt;CX$5+7,$E224&gt;CX$5),"■","")))</x:f>
      </x:c>
      <x:c r="CY224" s="7" t="str">
        <x:f>IF(OR($D224="",CY$5="",'상세일정'!AM224="제외"),"",IF($D224=$E224,IF(AND($D224&gt;=CY$5,$D224&lt;CY$5+7),"◆",""),IF(AND($D224&lt;CY$5+7,$E224&gt;CY$5),"■","")))</x:f>
      </x:c>
      <x:c r="CZ224" s="7" t="str">
        <x:f>IF(OR($D224="",CZ$5="",'상세일정'!AM224="제외"),"",IF($D224=$E224,IF(AND($D224&gt;=CZ$5,$D224&lt;CZ$5+7),"◆",""),IF(AND($D224&lt;CZ$5+7,$E224&gt;CZ$5),"■","")))</x:f>
      </x:c>
      <x:c r="DA224" s="7" t="str">
        <x:f>IF(OR($D224="",DA$5="",'상세일정'!AM224="제외"),"",IF($D224=$E224,IF(AND($D224&gt;=DA$5,$D224&lt;DA$5+7),"◆",""),IF(AND($D224&lt;DA$5+7,$E224&gt;DA$5),"■","")))</x:f>
      </x:c>
      <x:c r="DB224" s="7" t="str">
        <x:f>IF(OR($D224="",DB$5="",'상세일정'!AM224="제외"),"",IF($D224=$E224,IF(AND($D224&gt;=DB$5,$D224&lt;DB$5+7),"◆",""),IF(AND($D224&lt;DB$5+7,$E224&gt;DB$5),"■","")))</x:f>
      </x:c>
      <x:c r="DC224" s="7" t="str">
        <x:f>IF(OR($D224="",DC$5="",'상세일정'!AM224="제외"),"",IF($D224=$E224,IF(AND($D224&gt;=DC$5,$D224&lt;DC$5+7),"◆",""),IF(AND($D224&lt;DC$5+7,$E224&gt;DC$5),"■","")))</x:f>
      </x:c>
      <x:c r="DD224" s="7" t="str">
        <x:f>IF(OR($D224="",DD$5="",'상세일정'!AM224="제외"),"",IF($D224=$E224,IF(AND($D224&gt;=DD$5,$D224&lt;DD$5+7),"◆",""),IF(AND($D224&lt;DD$5+7,$E224&gt;DD$5),"■","")))</x:f>
      </x:c>
      <x:c r="DE224" s="7" t="str">
        <x:f>IF(OR($D224="",DE$5="",'상세일정'!AM224="제외"),"",IF($D224=$E224,IF(AND($D224&gt;=DE$5,$D224&lt;DE$5+7),"◆",""),IF(AND($D224&lt;DE$5+7,$E224&gt;DE$5),"■","")))</x:f>
      </x:c>
    </x:row>
    <x:row r="225" ht="34" customHeight="1">
      <x:c r="A225" s="7" t="str">
        <x:v>MS04</x:v>
      </x:c>
      <x:c r="B225" s="7" t="str">
        <x:v>26 단동·완성검사</x:v>
      </x:c>
      <x:c r="C225" s="7" t="str">
        <x:v>비가스 단동시험 착수조건 확인</x:v>
      </x:c>
      <x:c r="D225" s="10" t="str">
        <x:f>'상세일정'!AJ225</x:f>
      </x:c>
      <x:c r="E225" s="10" t="str">
        <x:f>'상세일정'!AK225</x:f>
      </x:c>
      <x:c r="F225" s="7" t="str">
        <x:f>IF(OR($D225="",F$5="",'상세일정'!AM225="제외"),"",IF($D225=$E225,IF(AND($D225&gt;=F$5,$D225&lt;F$5+7),"◆",""),IF(AND($D225&lt;F$5+7,$E225&gt;F$5),"■","")))</x:f>
      </x:c>
      <x:c r="G225" s="7" t="str">
        <x:f>IF(OR($D225="",G$5="",'상세일정'!AM225="제외"),"",IF($D225=$E225,IF(AND($D225&gt;=G$5,$D225&lt;G$5+7),"◆",""),IF(AND($D225&lt;G$5+7,$E225&gt;G$5),"■","")))</x:f>
      </x:c>
      <x:c r="H225" s="7" t="str">
        <x:f>IF(OR($D225="",H$5="",'상세일정'!AM225="제외"),"",IF($D225=$E225,IF(AND($D225&gt;=H$5,$D225&lt;H$5+7),"◆",""),IF(AND($D225&lt;H$5+7,$E225&gt;H$5),"■","")))</x:f>
      </x:c>
      <x:c r="I225" s="7" t="str">
        <x:f>IF(OR($D225="",I$5="",'상세일정'!AM225="제외"),"",IF($D225=$E225,IF(AND($D225&gt;=I$5,$D225&lt;I$5+7),"◆",""),IF(AND($D225&lt;I$5+7,$E225&gt;I$5),"■","")))</x:f>
      </x:c>
      <x:c r="J225" s="7" t="str">
        <x:f>IF(OR($D225="",J$5="",'상세일정'!AM225="제외"),"",IF($D225=$E225,IF(AND($D225&gt;=J$5,$D225&lt;J$5+7),"◆",""),IF(AND($D225&lt;J$5+7,$E225&gt;J$5),"■","")))</x:f>
      </x:c>
      <x:c r="K225" s="7" t="str">
        <x:f>IF(OR($D225="",K$5="",'상세일정'!AM225="제외"),"",IF($D225=$E225,IF(AND($D225&gt;=K$5,$D225&lt;K$5+7),"◆",""),IF(AND($D225&lt;K$5+7,$E225&gt;K$5),"■","")))</x:f>
      </x:c>
      <x:c r="L225" s="7" t="str">
        <x:f>IF(OR($D225="",L$5="",'상세일정'!AM225="제외"),"",IF($D225=$E225,IF(AND($D225&gt;=L$5,$D225&lt;L$5+7),"◆",""),IF(AND($D225&lt;L$5+7,$E225&gt;L$5),"■","")))</x:f>
      </x:c>
      <x:c r="M225" s="7" t="str">
        <x:f>IF(OR($D225="",M$5="",'상세일정'!AM225="제외"),"",IF($D225=$E225,IF(AND($D225&gt;=M$5,$D225&lt;M$5+7),"◆",""),IF(AND($D225&lt;M$5+7,$E225&gt;M$5),"■","")))</x:f>
      </x:c>
      <x:c r="N225" s="7" t="str">
        <x:f>IF(OR($D225="",N$5="",'상세일정'!AM225="제외"),"",IF($D225=$E225,IF(AND($D225&gt;=N$5,$D225&lt;N$5+7),"◆",""),IF(AND($D225&lt;N$5+7,$E225&gt;N$5),"■","")))</x:f>
      </x:c>
      <x:c r="O225" s="7" t="str">
        <x:f>IF(OR($D225="",O$5="",'상세일정'!AM225="제외"),"",IF($D225=$E225,IF(AND($D225&gt;=O$5,$D225&lt;O$5+7),"◆",""),IF(AND($D225&lt;O$5+7,$E225&gt;O$5),"■","")))</x:f>
      </x:c>
      <x:c r="P225" s="7" t="str">
        <x:f>IF(OR($D225="",P$5="",'상세일정'!AM225="제외"),"",IF($D225=$E225,IF(AND($D225&gt;=P$5,$D225&lt;P$5+7),"◆",""),IF(AND($D225&lt;P$5+7,$E225&gt;P$5),"■","")))</x:f>
      </x:c>
      <x:c r="Q225" s="7" t="str">
        <x:f>IF(OR($D225="",Q$5="",'상세일정'!AM225="제외"),"",IF($D225=$E225,IF(AND($D225&gt;=Q$5,$D225&lt;Q$5+7),"◆",""),IF(AND($D225&lt;Q$5+7,$E225&gt;Q$5),"■","")))</x:f>
      </x:c>
      <x:c r="R225" s="7" t="str">
        <x:f>IF(OR($D225="",R$5="",'상세일정'!AM225="제외"),"",IF($D225=$E225,IF(AND($D225&gt;=R$5,$D225&lt;R$5+7),"◆",""),IF(AND($D225&lt;R$5+7,$E225&gt;R$5),"■","")))</x:f>
      </x:c>
      <x:c r="S225" s="7" t="str">
        <x:f>IF(OR($D225="",S$5="",'상세일정'!AM225="제외"),"",IF($D225=$E225,IF(AND($D225&gt;=S$5,$D225&lt;S$5+7),"◆",""),IF(AND($D225&lt;S$5+7,$E225&gt;S$5),"■","")))</x:f>
      </x:c>
      <x:c r="T225" s="7" t="str">
        <x:f>IF(OR($D225="",T$5="",'상세일정'!AM225="제외"),"",IF($D225=$E225,IF(AND($D225&gt;=T$5,$D225&lt;T$5+7),"◆",""),IF(AND($D225&lt;T$5+7,$E225&gt;T$5),"■","")))</x:f>
      </x:c>
      <x:c r="U225" s="7" t="str">
        <x:f>IF(OR($D225="",U$5="",'상세일정'!AM225="제외"),"",IF($D225=$E225,IF(AND($D225&gt;=U$5,$D225&lt;U$5+7),"◆",""),IF(AND($D225&lt;U$5+7,$E225&gt;U$5),"■","")))</x:f>
      </x:c>
      <x:c r="V225" s="7" t="str">
        <x:f>IF(OR($D225="",V$5="",'상세일정'!AM225="제외"),"",IF($D225=$E225,IF(AND($D225&gt;=V$5,$D225&lt;V$5+7),"◆",""),IF(AND($D225&lt;V$5+7,$E225&gt;V$5),"■","")))</x:f>
      </x:c>
      <x:c r="W225" s="7" t="str">
        <x:f>IF(OR($D225="",W$5="",'상세일정'!AM225="제외"),"",IF($D225=$E225,IF(AND($D225&gt;=W$5,$D225&lt;W$5+7),"◆",""),IF(AND($D225&lt;W$5+7,$E225&gt;W$5),"■","")))</x:f>
      </x:c>
      <x:c r="X225" s="7" t="str">
        <x:f>IF(OR($D225="",X$5="",'상세일정'!AM225="제외"),"",IF($D225=$E225,IF(AND($D225&gt;=X$5,$D225&lt;X$5+7),"◆",""),IF(AND($D225&lt;X$5+7,$E225&gt;X$5),"■","")))</x:f>
      </x:c>
      <x:c r="Y225" s="7" t="str">
        <x:f>IF(OR($D225="",Y$5="",'상세일정'!AM225="제외"),"",IF($D225=$E225,IF(AND($D225&gt;=Y$5,$D225&lt;Y$5+7),"◆",""),IF(AND($D225&lt;Y$5+7,$E225&gt;Y$5),"■","")))</x:f>
      </x:c>
      <x:c r="Z225" s="7" t="str">
        <x:f>IF(OR($D225="",Z$5="",'상세일정'!AM225="제외"),"",IF($D225=$E225,IF(AND($D225&gt;=Z$5,$D225&lt;Z$5+7),"◆",""),IF(AND($D225&lt;Z$5+7,$E225&gt;Z$5),"■","")))</x:f>
      </x:c>
      <x:c r="AA225" s="7" t="str">
        <x:f>IF(OR($D225="",AA$5="",'상세일정'!AM225="제외"),"",IF($D225=$E225,IF(AND($D225&gt;=AA$5,$D225&lt;AA$5+7),"◆",""),IF(AND($D225&lt;AA$5+7,$E225&gt;AA$5),"■","")))</x:f>
      </x:c>
      <x:c r="AB225" s="7" t="str">
        <x:f>IF(OR($D225="",AB$5="",'상세일정'!AM225="제외"),"",IF($D225=$E225,IF(AND($D225&gt;=AB$5,$D225&lt;AB$5+7),"◆",""),IF(AND($D225&lt;AB$5+7,$E225&gt;AB$5),"■","")))</x:f>
      </x:c>
      <x:c r="AC225" s="7" t="str">
        <x:f>IF(OR($D225="",AC$5="",'상세일정'!AM225="제외"),"",IF($D225=$E225,IF(AND($D225&gt;=AC$5,$D225&lt;AC$5+7),"◆",""),IF(AND($D225&lt;AC$5+7,$E225&gt;AC$5),"■","")))</x:f>
      </x:c>
      <x:c r="AD225" s="7" t="str">
        <x:f>IF(OR($D225="",AD$5="",'상세일정'!AM225="제외"),"",IF($D225=$E225,IF(AND($D225&gt;=AD$5,$D225&lt;AD$5+7),"◆",""),IF(AND($D225&lt;AD$5+7,$E225&gt;AD$5),"■","")))</x:f>
      </x:c>
      <x:c r="AE225" s="7" t="str">
        <x:f>IF(OR($D225="",AE$5="",'상세일정'!AM225="제외"),"",IF($D225=$E225,IF(AND($D225&gt;=AE$5,$D225&lt;AE$5+7),"◆",""),IF(AND($D225&lt;AE$5+7,$E225&gt;AE$5),"■","")))</x:f>
      </x:c>
      <x:c r="AF225" s="7" t="str">
        <x:f>IF(OR($D225="",AF$5="",'상세일정'!AM225="제외"),"",IF($D225=$E225,IF(AND($D225&gt;=AF$5,$D225&lt;AF$5+7),"◆",""),IF(AND($D225&lt;AF$5+7,$E225&gt;AF$5),"■","")))</x:f>
      </x:c>
      <x:c r="AG225" s="7" t="str">
        <x:f>IF(OR($D225="",AG$5="",'상세일정'!AM225="제외"),"",IF($D225=$E225,IF(AND($D225&gt;=AG$5,$D225&lt;AG$5+7),"◆",""),IF(AND($D225&lt;AG$5+7,$E225&gt;AG$5),"■","")))</x:f>
      </x:c>
      <x:c r="AH225" s="7" t="str">
        <x:f>IF(OR($D225="",AH$5="",'상세일정'!AM225="제외"),"",IF($D225=$E225,IF(AND($D225&gt;=AH$5,$D225&lt;AH$5+7),"◆",""),IF(AND($D225&lt;AH$5+7,$E225&gt;AH$5),"■","")))</x:f>
      </x:c>
      <x:c r="AI225" s="7" t="str">
        <x:f>IF(OR($D225="",AI$5="",'상세일정'!AM225="제외"),"",IF($D225=$E225,IF(AND($D225&gt;=AI$5,$D225&lt;AI$5+7),"◆",""),IF(AND($D225&lt;AI$5+7,$E225&gt;AI$5),"■","")))</x:f>
      </x:c>
      <x:c r="AJ225" s="7" t="str">
        <x:f>IF(OR($D225="",AJ$5="",'상세일정'!AM225="제외"),"",IF($D225=$E225,IF(AND($D225&gt;=AJ$5,$D225&lt;AJ$5+7),"◆",""),IF(AND($D225&lt;AJ$5+7,$E225&gt;AJ$5),"■","")))</x:f>
      </x:c>
      <x:c r="AK225" s="7" t="str">
        <x:f>IF(OR($D225="",AK$5="",'상세일정'!AM225="제외"),"",IF($D225=$E225,IF(AND($D225&gt;=AK$5,$D225&lt;AK$5+7),"◆",""),IF(AND($D225&lt;AK$5+7,$E225&gt;AK$5),"■","")))</x:f>
      </x:c>
      <x:c r="AL225" s="7" t="str">
        <x:f>IF(OR($D225="",AL$5="",'상세일정'!AM225="제외"),"",IF($D225=$E225,IF(AND($D225&gt;=AL$5,$D225&lt;AL$5+7),"◆",""),IF(AND($D225&lt;AL$5+7,$E225&gt;AL$5),"■","")))</x:f>
      </x:c>
      <x:c r="AM225" s="7" t="str">
        <x:f>IF(OR($D225="",AM$5="",'상세일정'!AM225="제외"),"",IF($D225=$E225,IF(AND($D225&gt;=AM$5,$D225&lt;AM$5+7),"◆",""),IF(AND($D225&lt;AM$5+7,$E225&gt;AM$5),"■","")))</x:f>
      </x:c>
      <x:c r="AN225" s="7" t="str">
        <x:f>IF(OR($D225="",AN$5="",'상세일정'!AM225="제외"),"",IF($D225=$E225,IF(AND($D225&gt;=AN$5,$D225&lt;AN$5+7),"◆",""),IF(AND($D225&lt;AN$5+7,$E225&gt;AN$5),"■","")))</x:f>
      </x:c>
      <x:c r="AO225" s="7" t="str">
        <x:f>IF(OR($D225="",AO$5="",'상세일정'!AM225="제외"),"",IF($D225=$E225,IF(AND($D225&gt;=AO$5,$D225&lt;AO$5+7),"◆",""),IF(AND($D225&lt;AO$5+7,$E225&gt;AO$5),"■","")))</x:f>
      </x:c>
      <x:c r="AP225" s="7" t="str">
        <x:f>IF(OR($D225="",AP$5="",'상세일정'!AM225="제외"),"",IF($D225=$E225,IF(AND($D225&gt;=AP$5,$D225&lt;AP$5+7),"◆",""),IF(AND($D225&lt;AP$5+7,$E225&gt;AP$5),"■","")))</x:f>
      </x:c>
      <x:c r="AQ225" s="7" t="str">
        <x:f>IF(OR($D225="",AQ$5="",'상세일정'!AM225="제외"),"",IF($D225=$E225,IF(AND($D225&gt;=AQ$5,$D225&lt;AQ$5+7),"◆",""),IF(AND($D225&lt;AQ$5+7,$E225&gt;AQ$5),"■","")))</x:f>
      </x:c>
      <x:c r="AR225" s="7" t="str">
        <x:f>IF(OR($D225="",AR$5="",'상세일정'!AM225="제외"),"",IF($D225=$E225,IF(AND($D225&gt;=AR$5,$D225&lt;AR$5+7),"◆",""),IF(AND($D225&lt;AR$5+7,$E225&gt;AR$5),"■","")))</x:f>
      </x:c>
      <x:c r="AS225" s="7" t="str">
        <x:f>IF(OR($D225="",AS$5="",'상세일정'!AM225="제외"),"",IF($D225=$E225,IF(AND($D225&gt;=AS$5,$D225&lt;AS$5+7),"◆",""),IF(AND($D225&lt;AS$5+7,$E225&gt;AS$5),"■","")))</x:f>
      </x:c>
      <x:c r="AT225" s="7" t="str">
        <x:f>IF(OR($D225="",AT$5="",'상세일정'!AM225="제외"),"",IF($D225=$E225,IF(AND($D225&gt;=AT$5,$D225&lt;AT$5+7),"◆",""),IF(AND($D225&lt;AT$5+7,$E225&gt;AT$5),"■","")))</x:f>
      </x:c>
      <x:c r="AU225" s="7" t="str">
        <x:f>IF(OR($D225="",AU$5="",'상세일정'!AM225="제외"),"",IF($D225=$E225,IF(AND($D225&gt;=AU$5,$D225&lt;AU$5+7),"◆",""),IF(AND($D225&lt;AU$5+7,$E225&gt;AU$5),"■","")))</x:f>
      </x:c>
      <x:c r="AV225" s="7" t="str">
        <x:f>IF(OR($D225="",AV$5="",'상세일정'!AM225="제외"),"",IF($D225=$E225,IF(AND($D225&gt;=AV$5,$D225&lt;AV$5+7),"◆",""),IF(AND($D225&lt;AV$5+7,$E225&gt;AV$5),"■","")))</x:f>
      </x:c>
      <x:c r="AW225" s="7" t="str">
        <x:f>IF(OR($D225="",AW$5="",'상세일정'!AM225="제외"),"",IF($D225=$E225,IF(AND($D225&gt;=AW$5,$D225&lt;AW$5+7),"◆",""),IF(AND($D225&lt;AW$5+7,$E225&gt;AW$5),"■","")))</x:f>
      </x:c>
      <x:c r="AX225" s="7" t="str">
        <x:f>IF(OR($D225="",AX$5="",'상세일정'!AM225="제외"),"",IF($D225=$E225,IF(AND($D225&gt;=AX$5,$D225&lt;AX$5+7),"◆",""),IF(AND($D225&lt;AX$5+7,$E225&gt;AX$5),"■","")))</x:f>
      </x:c>
      <x:c r="AY225" s="7" t="str">
        <x:f>IF(OR($D225="",AY$5="",'상세일정'!AM225="제외"),"",IF($D225=$E225,IF(AND($D225&gt;=AY$5,$D225&lt;AY$5+7),"◆",""),IF(AND($D225&lt;AY$5+7,$E225&gt;AY$5),"■","")))</x:f>
      </x:c>
      <x:c r="AZ225" s="7" t="str">
        <x:f>IF(OR($D225="",AZ$5="",'상세일정'!AM225="제외"),"",IF($D225=$E225,IF(AND($D225&gt;=AZ$5,$D225&lt;AZ$5+7),"◆",""),IF(AND($D225&lt;AZ$5+7,$E225&gt;AZ$5),"■","")))</x:f>
      </x:c>
      <x:c r="BA225" s="7" t="str">
        <x:f>IF(OR($D225="",BA$5="",'상세일정'!AM225="제외"),"",IF($D225=$E225,IF(AND($D225&gt;=BA$5,$D225&lt;BA$5+7),"◆",""),IF(AND($D225&lt;BA$5+7,$E225&gt;BA$5),"■","")))</x:f>
      </x:c>
      <x:c r="BB225" s="7" t="str">
        <x:f>IF(OR($D225="",BB$5="",'상세일정'!AM225="제외"),"",IF($D225=$E225,IF(AND($D225&gt;=BB$5,$D225&lt;BB$5+7),"◆",""),IF(AND($D225&lt;BB$5+7,$E225&gt;BB$5),"■","")))</x:f>
      </x:c>
      <x:c r="BC225" s="7" t="str">
        <x:f>IF(OR($D225="",BC$5="",'상세일정'!AM225="제외"),"",IF($D225=$E225,IF(AND($D225&gt;=BC$5,$D225&lt;BC$5+7),"◆",""),IF(AND($D225&lt;BC$5+7,$E225&gt;BC$5),"■","")))</x:f>
      </x:c>
      <x:c r="BD225" s="7" t="str">
        <x:f>IF(OR($D225="",BD$5="",'상세일정'!AM225="제외"),"",IF($D225=$E225,IF(AND($D225&gt;=BD$5,$D225&lt;BD$5+7),"◆",""),IF(AND($D225&lt;BD$5+7,$E225&gt;BD$5),"■","")))</x:f>
      </x:c>
      <x:c r="BE225" s="7" t="str">
        <x:f>IF(OR($D225="",BE$5="",'상세일정'!AM225="제외"),"",IF($D225=$E225,IF(AND($D225&gt;=BE$5,$D225&lt;BE$5+7),"◆",""),IF(AND($D225&lt;BE$5+7,$E225&gt;BE$5),"■","")))</x:f>
      </x:c>
      <x:c r="BF225" s="7" t="str">
        <x:f>IF(OR($D225="",BF$5="",'상세일정'!AM225="제외"),"",IF($D225=$E225,IF(AND($D225&gt;=BF$5,$D225&lt;BF$5+7),"◆",""),IF(AND($D225&lt;BF$5+7,$E225&gt;BF$5),"■","")))</x:f>
      </x:c>
      <x:c r="BG225" s="7" t="str">
        <x:f>IF(OR($D225="",BG$5="",'상세일정'!AM225="제외"),"",IF($D225=$E225,IF(AND($D225&gt;=BG$5,$D225&lt;BG$5+7),"◆",""),IF(AND($D225&lt;BG$5+7,$E225&gt;BG$5),"■","")))</x:f>
      </x:c>
      <x:c r="BH225" s="7" t="str">
        <x:f>IF(OR($D225="",BH$5="",'상세일정'!AM225="제외"),"",IF($D225=$E225,IF(AND($D225&gt;=BH$5,$D225&lt;BH$5+7),"◆",""),IF(AND($D225&lt;BH$5+7,$E225&gt;BH$5),"■","")))</x:f>
      </x:c>
      <x:c r="BI225" s="7" t="str">
        <x:f>IF(OR($D225="",BI$5="",'상세일정'!AM225="제외"),"",IF($D225=$E225,IF(AND($D225&gt;=BI$5,$D225&lt;BI$5+7),"◆",""),IF(AND($D225&lt;BI$5+7,$E225&gt;BI$5),"■","")))</x:f>
      </x:c>
      <x:c r="BJ225" s="7" t="str">
        <x:f>IF(OR($D225="",BJ$5="",'상세일정'!AM225="제외"),"",IF($D225=$E225,IF(AND($D225&gt;=BJ$5,$D225&lt;BJ$5+7),"◆",""),IF(AND($D225&lt;BJ$5+7,$E225&gt;BJ$5),"■","")))</x:f>
      </x:c>
      <x:c r="BK225" s="7" t="str">
        <x:f>IF(OR($D225="",BK$5="",'상세일정'!AM225="제외"),"",IF($D225=$E225,IF(AND($D225&gt;=BK$5,$D225&lt;BK$5+7),"◆",""),IF(AND($D225&lt;BK$5+7,$E225&gt;BK$5),"■","")))</x:f>
      </x:c>
      <x:c r="BL225" s="7" t="str">
        <x:f>IF(OR($D225="",BL$5="",'상세일정'!AM225="제외"),"",IF($D225=$E225,IF(AND($D225&gt;=BL$5,$D225&lt;BL$5+7),"◆",""),IF(AND($D225&lt;BL$5+7,$E225&gt;BL$5),"■","")))</x:f>
      </x:c>
      <x:c r="BM225" s="7" t="str">
        <x:f>IF(OR($D225="",BM$5="",'상세일정'!AM225="제외"),"",IF($D225=$E225,IF(AND($D225&gt;=BM$5,$D225&lt;BM$5+7),"◆",""),IF(AND($D225&lt;BM$5+7,$E225&gt;BM$5),"■","")))</x:f>
      </x:c>
      <x:c r="BN225" s="7" t="str">
        <x:f>IF(OR($D225="",BN$5="",'상세일정'!AM225="제외"),"",IF($D225=$E225,IF(AND($D225&gt;=BN$5,$D225&lt;BN$5+7),"◆",""),IF(AND($D225&lt;BN$5+7,$E225&gt;BN$5),"■","")))</x:f>
      </x:c>
      <x:c r="BO225" s="7" t="str">
        <x:f>IF(OR($D225="",BO$5="",'상세일정'!AM225="제외"),"",IF($D225=$E225,IF(AND($D225&gt;=BO$5,$D225&lt;BO$5+7),"◆",""),IF(AND($D225&lt;BO$5+7,$E225&gt;BO$5),"■","")))</x:f>
      </x:c>
      <x:c r="BP225" s="7" t="str">
        <x:f>IF(OR($D225="",BP$5="",'상세일정'!AM225="제외"),"",IF($D225=$E225,IF(AND($D225&gt;=BP$5,$D225&lt;BP$5+7),"◆",""),IF(AND($D225&lt;BP$5+7,$E225&gt;BP$5),"■","")))</x:f>
      </x:c>
      <x:c r="BQ225" s="7" t="str">
        <x:f>IF(OR($D225="",BQ$5="",'상세일정'!AM225="제외"),"",IF($D225=$E225,IF(AND($D225&gt;=BQ$5,$D225&lt;BQ$5+7),"◆",""),IF(AND($D225&lt;BQ$5+7,$E225&gt;BQ$5),"■","")))</x:f>
      </x:c>
      <x:c r="BR225" s="7" t="str">
        <x:f>IF(OR($D225="",BR$5="",'상세일정'!AM225="제외"),"",IF($D225=$E225,IF(AND($D225&gt;=BR$5,$D225&lt;BR$5+7),"◆",""),IF(AND($D225&lt;BR$5+7,$E225&gt;BR$5),"■","")))</x:f>
      </x:c>
      <x:c r="BS225" s="7" t="str">
        <x:f>IF(OR($D225="",BS$5="",'상세일정'!AM225="제외"),"",IF($D225=$E225,IF(AND($D225&gt;=BS$5,$D225&lt;BS$5+7),"◆",""),IF(AND($D225&lt;BS$5+7,$E225&gt;BS$5),"■","")))</x:f>
      </x:c>
      <x:c r="BT225" s="7" t="str">
        <x:f>IF(OR($D225="",BT$5="",'상세일정'!AM225="제외"),"",IF($D225=$E225,IF(AND($D225&gt;=BT$5,$D225&lt;BT$5+7),"◆",""),IF(AND($D225&lt;BT$5+7,$E225&gt;BT$5),"■","")))</x:f>
      </x:c>
      <x:c r="BU225" s="7" t="str">
        <x:f>IF(OR($D225="",BU$5="",'상세일정'!AM225="제외"),"",IF($D225=$E225,IF(AND($D225&gt;=BU$5,$D225&lt;BU$5+7),"◆",""),IF(AND($D225&lt;BU$5+7,$E225&gt;BU$5),"■","")))</x:f>
      </x:c>
      <x:c r="BV225" s="7" t="str">
        <x:f>IF(OR($D225="",BV$5="",'상세일정'!AM225="제외"),"",IF($D225=$E225,IF(AND($D225&gt;=BV$5,$D225&lt;BV$5+7),"◆",""),IF(AND($D225&lt;BV$5+7,$E225&gt;BV$5),"■","")))</x:f>
      </x:c>
      <x:c r="BW225" s="7" t="str">
        <x:f>IF(OR($D225="",BW$5="",'상세일정'!AM225="제외"),"",IF($D225=$E225,IF(AND($D225&gt;=BW$5,$D225&lt;BW$5+7),"◆",""),IF(AND($D225&lt;BW$5+7,$E225&gt;BW$5),"■","")))</x:f>
      </x:c>
      <x:c r="BX225" s="7" t="str">
        <x:f>IF(OR($D225="",BX$5="",'상세일정'!AM225="제외"),"",IF($D225=$E225,IF(AND($D225&gt;=BX$5,$D225&lt;BX$5+7),"◆",""),IF(AND($D225&lt;BX$5+7,$E225&gt;BX$5),"■","")))</x:f>
      </x:c>
      <x:c r="BY225" s="7" t="str">
        <x:f>IF(OR($D225="",BY$5="",'상세일정'!AM225="제외"),"",IF($D225=$E225,IF(AND($D225&gt;=BY$5,$D225&lt;BY$5+7),"◆",""),IF(AND($D225&lt;BY$5+7,$E225&gt;BY$5),"■","")))</x:f>
      </x:c>
      <x:c r="BZ225" s="7" t="str">
        <x:f>IF(OR($D225="",BZ$5="",'상세일정'!AM225="제외"),"",IF($D225=$E225,IF(AND($D225&gt;=BZ$5,$D225&lt;BZ$5+7),"◆",""),IF(AND($D225&lt;BZ$5+7,$E225&gt;BZ$5),"■","")))</x:f>
      </x:c>
      <x:c r="CA225" s="7" t="str">
        <x:f>IF(OR($D225="",CA$5="",'상세일정'!AM225="제외"),"",IF($D225=$E225,IF(AND($D225&gt;=CA$5,$D225&lt;CA$5+7),"◆",""),IF(AND($D225&lt;CA$5+7,$E225&gt;CA$5),"■","")))</x:f>
      </x:c>
      <x:c r="CB225" s="7" t="str">
        <x:f>IF(OR($D225="",CB$5="",'상세일정'!AM225="제외"),"",IF($D225=$E225,IF(AND($D225&gt;=CB$5,$D225&lt;CB$5+7),"◆",""),IF(AND($D225&lt;CB$5+7,$E225&gt;CB$5),"■","")))</x:f>
      </x:c>
      <x:c r="CC225" s="7" t="str">
        <x:f>IF(OR($D225="",CC$5="",'상세일정'!AM225="제외"),"",IF($D225=$E225,IF(AND($D225&gt;=CC$5,$D225&lt;CC$5+7),"◆",""),IF(AND($D225&lt;CC$5+7,$E225&gt;CC$5),"■","")))</x:f>
      </x:c>
      <x:c r="CD225" s="7" t="str">
        <x:f>IF(OR($D225="",CD$5="",'상세일정'!AM225="제외"),"",IF($D225=$E225,IF(AND($D225&gt;=CD$5,$D225&lt;CD$5+7),"◆",""),IF(AND($D225&lt;CD$5+7,$E225&gt;CD$5),"■","")))</x:f>
      </x:c>
      <x:c r="CE225" s="7" t="str">
        <x:f>IF(OR($D225="",CE$5="",'상세일정'!AM225="제외"),"",IF($D225=$E225,IF(AND($D225&gt;=CE$5,$D225&lt;CE$5+7),"◆",""),IF(AND($D225&lt;CE$5+7,$E225&gt;CE$5),"■","")))</x:f>
      </x:c>
      <x:c r="CF225" s="7" t="str">
        <x:f>IF(OR($D225="",CF$5="",'상세일정'!AM225="제외"),"",IF($D225=$E225,IF(AND($D225&gt;=CF$5,$D225&lt;CF$5+7),"◆",""),IF(AND($D225&lt;CF$5+7,$E225&gt;CF$5),"■","")))</x:f>
      </x:c>
      <x:c r="CG225" s="7" t="str">
        <x:f>IF(OR($D225="",CG$5="",'상세일정'!AM225="제외"),"",IF($D225=$E225,IF(AND($D225&gt;=CG$5,$D225&lt;CG$5+7),"◆",""),IF(AND($D225&lt;CG$5+7,$E225&gt;CG$5),"■","")))</x:f>
      </x:c>
      <x:c r="CH225" s="7" t="str">
        <x:f>IF(OR($D225="",CH$5="",'상세일정'!AM225="제외"),"",IF($D225=$E225,IF(AND($D225&gt;=CH$5,$D225&lt;CH$5+7),"◆",""),IF(AND($D225&lt;CH$5+7,$E225&gt;CH$5),"■","")))</x:f>
      </x:c>
      <x:c r="CI225" s="7" t="str">
        <x:f>IF(OR($D225="",CI$5="",'상세일정'!AM225="제외"),"",IF($D225=$E225,IF(AND($D225&gt;=CI$5,$D225&lt;CI$5+7),"◆",""),IF(AND($D225&lt;CI$5+7,$E225&gt;CI$5),"■","")))</x:f>
      </x:c>
      <x:c r="CJ225" s="7" t="str">
        <x:f>IF(OR($D225="",CJ$5="",'상세일정'!AM225="제외"),"",IF($D225=$E225,IF(AND($D225&gt;=CJ$5,$D225&lt;CJ$5+7),"◆",""),IF(AND($D225&lt;CJ$5+7,$E225&gt;CJ$5),"■","")))</x:f>
      </x:c>
      <x:c r="CK225" s="7" t="str">
        <x:f>IF(OR($D225="",CK$5="",'상세일정'!AM225="제외"),"",IF($D225=$E225,IF(AND($D225&gt;=CK$5,$D225&lt;CK$5+7),"◆",""),IF(AND($D225&lt;CK$5+7,$E225&gt;CK$5),"■","")))</x:f>
      </x:c>
      <x:c r="CL225" s="7" t="str">
        <x:f>IF(OR($D225="",CL$5="",'상세일정'!AM225="제외"),"",IF($D225=$E225,IF(AND($D225&gt;=CL$5,$D225&lt;CL$5+7),"◆",""),IF(AND($D225&lt;CL$5+7,$E225&gt;CL$5),"■","")))</x:f>
      </x:c>
      <x:c r="CM225" s="7" t="str">
        <x:f>IF(OR($D225="",CM$5="",'상세일정'!AM225="제외"),"",IF($D225=$E225,IF(AND($D225&gt;=CM$5,$D225&lt;CM$5+7),"◆",""),IF(AND($D225&lt;CM$5+7,$E225&gt;CM$5),"■","")))</x:f>
      </x:c>
      <x:c r="CN225" s="7" t="str">
        <x:f>IF(OR($D225="",CN$5="",'상세일정'!AM225="제외"),"",IF($D225=$E225,IF(AND($D225&gt;=CN$5,$D225&lt;CN$5+7),"◆",""),IF(AND($D225&lt;CN$5+7,$E225&gt;CN$5),"■","")))</x:f>
      </x:c>
      <x:c r="CO225" s="7" t="str">
        <x:f>IF(OR($D225="",CO$5="",'상세일정'!AM225="제외"),"",IF($D225=$E225,IF(AND($D225&gt;=CO$5,$D225&lt;CO$5+7),"◆",""),IF(AND($D225&lt;CO$5+7,$E225&gt;CO$5),"■","")))</x:f>
      </x:c>
      <x:c r="CP225" s="7" t="str">
        <x:f>IF(OR($D225="",CP$5="",'상세일정'!AM225="제외"),"",IF($D225=$E225,IF(AND($D225&gt;=CP$5,$D225&lt;CP$5+7),"◆",""),IF(AND($D225&lt;CP$5+7,$E225&gt;CP$5),"■","")))</x:f>
      </x:c>
      <x:c r="CQ225" s="7" t="str">
        <x:f>IF(OR($D225="",CQ$5="",'상세일정'!AM225="제외"),"",IF($D225=$E225,IF(AND($D225&gt;=CQ$5,$D225&lt;CQ$5+7),"◆",""),IF(AND($D225&lt;CQ$5+7,$E225&gt;CQ$5),"■","")))</x:f>
      </x:c>
      <x:c r="CR225" s="7" t="str">
        <x:f>IF(OR($D225="",CR$5="",'상세일정'!AM225="제외"),"",IF($D225=$E225,IF(AND($D225&gt;=CR$5,$D225&lt;CR$5+7),"◆",""),IF(AND($D225&lt;CR$5+7,$E225&gt;CR$5),"■","")))</x:f>
      </x:c>
      <x:c r="CS225" s="7" t="str">
        <x:f>IF(OR($D225="",CS$5="",'상세일정'!AM225="제외"),"",IF($D225=$E225,IF(AND($D225&gt;=CS$5,$D225&lt;CS$5+7),"◆",""),IF(AND($D225&lt;CS$5+7,$E225&gt;CS$5),"■","")))</x:f>
      </x:c>
      <x:c r="CT225" s="7" t="str">
        <x:f>IF(OR($D225="",CT$5="",'상세일정'!AM225="제외"),"",IF($D225=$E225,IF(AND($D225&gt;=CT$5,$D225&lt;CT$5+7),"◆",""),IF(AND($D225&lt;CT$5+7,$E225&gt;CT$5),"■","")))</x:f>
      </x:c>
      <x:c r="CU225" s="7" t="str">
        <x:f>IF(OR($D225="",CU$5="",'상세일정'!AM225="제외"),"",IF($D225=$E225,IF(AND($D225&gt;=CU$5,$D225&lt;CU$5+7),"◆",""),IF(AND($D225&lt;CU$5+7,$E225&gt;CU$5),"■","")))</x:f>
      </x:c>
      <x:c r="CV225" s="7" t="str">
        <x:f>IF(OR($D225="",CV$5="",'상세일정'!AM225="제외"),"",IF($D225=$E225,IF(AND($D225&gt;=CV$5,$D225&lt;CV$5+7),"◆",""),IF(AND($D225&lt;CV$5+7,$E225&gt;CV$5),"■","")))</x:f>
      </x:c>
      <x:c r="CW225" s="7" t="str">
        <x:f>IF(OR($D225="",CW$5="",'상세일정'!AM225="제외"),"",IF($D225=$E225,IF(AND($D225&gt;=CW$5,$D225&lt;CW$5+7),"◆",""),IF(AND($D225&lt;CW$5+7,$E225&gt;CW$5),"■","")))</x:f>
      </x:c>
      <x:c r="CX225" s="7" t="str">
        <x:f>IF(OR($D225="",CX$5="",'상세일정'!AM225="제외"),"",IF($D225=$E225,IF(AND($D225&gt;=CX$5,$D225&lt;CX$5+7),"◆",""),IF(AND($D225&lt;CX$5+7,$E225&gt;CX$5),"■","")))</x:f>
      </x:c>
      <x:c r="CY225" s="7" t="str">
        <x:f>IF(OR($D225="",CY$5="",'상세일정'!AM225="제외"),"",IF($D225=$E225,IF(AND($D225&gt;=CY$5,$D225&lt;CY$5+7),"◆",""),IF(AND($D225&lt;CY$5+7,$E225&gt;CY$5),"■","")))</x:f>
      </x:c>
      <x:c r="CZ225" s="7" t="str">
        <x:f>IF(OR($D225="",CZ$5="",'상세일정'!AM225="제외"),"",IF($D225=$E225,IF(AND($D225&gt;=CZ$5,$D225&lt;CZ$5+7),"◆",""),IF(AND($D225&lt;CZ$5+7,$E225&gt;CZ$5),"■","")))</x:f>
      </x:c>
      <x:c r="DA225" s="7" t="str">
        <x:f>IF(OR($D225="",DA$5="",'상세일정'!AM225="제외"),"",IF($D225=$E225,IF(AND($D225&gt;=DA$5,$D225&lt;DA$5+7),"◆",""),IF(AND($D225&lt;DA$5+7,$E225&gt;DA$5),"■","")))</x:f>
      </x:c>
      <x:c r="DB225" s="7" t="str">
        <x:f>IF(OR($D225="",DB$5="",'상세일정'!AM225="제외"),"",IF($D225=$E225,IF(AND($D225&gt;=DB$5,$D225&lt;DB$5+7),"◆",""),IF(AND($D225&lt;DB$5+7,$E225&gt;DB$5),"■","")))</x:f>
      </x:c>
      <x:c r="DC225" s="7" t="str">
        <x:f>IF(OR($D225="",DC$5="",'상세일정'!AM225="제외"),"",IF($D225=$E225,IF(AND($D225&gt;=DC$5,$D225&lt;DC$5+7),"◆",""),IF(AND($D225&lt;DC$5+7,$E225&gt;DC$5),"■","")))</x:f>
      </x:c>
      <x:c r="DD225" s="7" t="str">
        <x:f>IF(OR($D225="",DD$5="",'상세일정'!AM225="제외"),"",IF($D225=$E225,IF(AND($D225&gt;=DD$5,$D225&lt;DD$5+7),"◆",""),IF(AND($D225&lt;DD$5+7,$E225&gt;DD$5),"■","")))</x:f>
      </x:c>
      <x:c r="DE225" s="7" t="str">
        <x:f>IF(OR($D225="",DE$5="",'상세일정'!AM225="제외"),"",IF($D225=$E225,IF(AND($D225&gt;=DE$5,$D225&lt;DE$5+7),"◆",""),IF(AND($D225&lt;DE$5+7,$E225&gt;DE$5),"■","")))</x:f>
      </x:c>
    </x:row>
    <x:row r="226" ht="34" customHeight="1">
      <x:c r="A226" s="7" t="str">
        <x:v>CM01</x:v>
      </x:c>
      <x:c r="B226" s="7" t="str">
        <x:v>26 단동·완성검사</x:v>
      </x:c>
      <x:c r="C226" s="7" t="str">
        <x:v>단동시험 절차 승인·윤활/회전/보조계통 점검</x:v>
      </x:c>
      <x:c r="D226" s="10" t="str">
        <x:f>'상세일정'!AJ226</x:f>
      </x:c>
      <x:c r="E226" s="10" t="str">
        <x:f>'상세일정'!AK226</x:f>
      </x:c>
      <x:c r="F226" s="7" t="str">
        <x:f>IF(OR($D226="",F$5="",'상세일정'!AM226="제외"),"",IF($D226=$E226,IF(AND($D226&gt;=F$5,$D226&lt;F$5+7),"◆",""),IF(AND($D226&lt;F$5+7,$E226&gt;F$5),"■","")))</x:f>
      </x:c>
      <x:c r="G226" s="7" t="str">
        <x:f>IF(OR($D226="",G$5="",'상세일정'!AM226="제외"),"",IF($D226=$E226,IF(AND($D226&gt;=G$5,$D226&lt;G$5+7),"◆",""),IF(AND($D226&lt;G$5+7,$E226&gt;G$5),"■","")))</x:f>
      </x:c>
      <x:c r="H226" s="7" t="str">
        <x:f>IF(OR($D226="",H$5="",'상세일정'!AM226="제외"),"",IF($D226=$E226,IF(AND($D226&gt;=H$5,$D226&lt;H$5+7),"◆",""),IF(AND($D226&lt;H$5+7,$E226&gt;H$5),"■","")))</x:f>
      </x:c>
      <x:c r="I226" s="7" t="str">
        <x:f>IF(OR($D226="",I$5="",'상세일정'!AM226="제외"),"",IF($D226=$E226,IF(AND($D226&gt;=I$5,$D226&lt;I$5+7),"◆",""),IF(AND($D226&lt;I$5+7,$E226&gt;I$5),"■","")))</x:f>
      </x:c>
      <x:c r="J226" s="7" t="str">
        <x:f>IF(OR($D226="",J$5="",'상세일정'!AM226="제외"),"",IF($D226=$E226,IF(AND($D226&gt;=J$5,$D226&lt;J$5+7),"◆",""),IF(AND($D226&lt;J$5+7,$E226&gt;J$5),"■","")))</x:f>
      </x:c>
      <x:c r="K226" s="7" t="str">
        <x:f>IF(OR($D226="",K$5="",'상세일정'!AM226="제외"),"",IF($D226=$E226,IF(AND($D226&gt;=K$5,$D226&lt;K$5+7),"◆",""),IF(AND($D226&lt;K$5+7,$E226&gt;K$5),"■","")))</x:f>
      </x:c>
      <x:c r="L226" s="7" t="str">
        <x:f>IF(OR($D226="",L$5="",'상세일정'!AM226="제외"),"",IF($D226=$E226,IF(AND($D226&gt;=L$5,$D226&lt;L$5+7),"◆",""),IF(AND($D226&lt;L$5+7,$E226&gt;L$5),"■","")))</x:f>
      </x:c>
      <x:c r="M226" s="7" t="str">
        <x:f>IF(OR($D226="",M$5="",'상세일정'!AM226="제외"),"",IF($D226=$E226,IF(AND($D226&gt;=M$5,$D226&lt;M$5+7),"◆",""),IF(AND($D226&lt;M$5+7,$E226&gt;M$5),"■","")))</x:f>
      </x:c>
      <x:c r="N226" s="7" t="str">
        <x:f>IF(OR($D226="",N$5="",'상세일정'!AM226="제외"),"",IF($D226=$E226,IF(AND($D226&gt;=N$5,$D226&lt;N$5+7),"◆",""),IF(AND($D226&lt;N$5+7,$E226&gt;N$5),"■","")))</x:f>
      </x:c>
      <x:c r="O226" s="7" t="str">
        <x:f>IF(OR($D226="",O$5="",'상세일정'!AM226="제외"),"",IF($D226=$E226,IF(AND($D226&gt;=O$5,$D226&lt;O$5+7),"◆",""),IF(AND($D226&lt;O$5+7,$E226&gt;O$5),"■","")))</x:f>
      </x:c>
      <x:c r="P226" s="7" t="str">
        <x:f>IF(OR($D226="",P$5="",'상세일정'!AM226="제외"),"",IF($D226=$E226,IF(AND($D226&gt;=P$5,$D226&lt;P$5+7),"◆",""),IF(AND($D226&lt;P$5+7,$E226&gt;P$5),"■","")))</x:f>
      </x:c>
      <x:c r="Q226" s="7" t="str">
        <x:f>IF(OR($D226="",Q$5="",'상세일정'!AM226="제외"),"",IF($D226=$E226,IF(AND($D226&gt;=Q$5,$D226&lt;Q$5+7),"◆",""),IF(AND($D226&lt;Q$5+7,$E226&gt;Q$5),"■","")))</x:f>
      </x:c>
      <x:c r="R226" s="7" t="str">
        <x:f>IF(OR($D226="",R$5="",'상세일정'!AM226="제외"),"",IF($D226=$E226,IF(AND($D226&gt;=R$5,$D226&lt;R$5+7),"◆",""),IF(AND($D226&lt;R$5+7,$E226&gt;R$5),"■","")))</x:f>
      </x:c>
      <x:c r="S226" s="7" t="str">
        <x:f>IF(OR($D226="",S$5="",'상세일정'!AM226="제외"),"",IF($D226=$E226,IF(AND($D226&gt;=S$5,$D226&lt;S$5+7),"◆",""),IF(AND($D226&lt;S$5+7,$E226&gt;S$5),"■","")))</x:f>
      </x:c>
      <x:c r="T226" s="7" t="str">
        <x:f>IF(OR($D226="",T$5="",'상세일정'!AM226="제외"),"",IF($D226=$E226,IF(AND($D226&gt;=T$5,$D226&lt;T$5+7),"◆",""),IF(AND($D226&lt;T$5+7,$E226&gt;T$5),"■","")))</x:f>
      </x:c>
      <x:c r="U226" s="7" t="str">
        <x:f>IF(OR($D226="",U$5="",'상세일정'!AM226="제외"),"",IF($D226=$E226,IF(AND($D226&gt;=U$5,$D226&lt;U$5+7),"◆",""),IF(AND($D226&lt;U$5+7,$E226&gt;U$5),"■","")))</x:f>
      </x:c>
      <x:c r="V226" s="7" t="str">
        <x:f>IF(OR($D226="",V$5="",'상세일정'!AM226="제외"),"",IF($D226=$E226,IF(AND($D226&gt;=V$5,$D226&lt;V$5+7),"◆",""),IF(AND($D226&lt;V$5+7,$E226&gt;V$5),"■","")))</x:f>
      </x:c>
      <x:c r="W226" s="7" t="str">
        <x:f>IF(OR($D226="",W$5="",'상세일정'!AM226="제외"),"",IF($D226=$E226,IF(AND($D226&gt;=W$5,$D226&lt;W$5+7),"◆",""),IF(AND($D226&lt;W$5+7,$E226&gt;W$5),"■","")))</x:f>
      </x:c>
      <x:c r="X226" s="7" t="str">
        <x:f>IF(OR($D226="",X$5="",'상세일정'!AM226="제외"),"",IF($D226=$E226,IF(AND($D226&gt;=X$5,$D226&lt;X$5+7),"◆",""),IF(AND($D226&lt;X$5+7,$E226&gt;X$5),"■","")))</x:f>
      </x:c>
      <x:c r="Y226" s="7" t="str">
        <x:f>IF(OR($D226="",Y$5="",'상세일정'!AM226="제외"),"",IF($D226=$E226,IF(AND($D226&gt;=Y$5,$D226&lt;Y$5+7),"◆",""),IF(AND($D226&lt;Y$5+7,$E226&gt;Y$5),"■","")))</x:f>
      </x:c>
      <x:c r="Z226" s="7" t="str">
        <x:f>IF(OR($D226="",Z$5="",'상세일정'!AM226="제외"),"",IF($D226=$E226,IF(AND($D226&gt;=Z$5,$D226&lt;Z$5+7),"◆",""),IF(AND($D226&lt;Z$5+7,$E226&gt;Z$5),"■","")))</x:f>
      </x:c>
      <x:c r="AA226" s="7" t="str">
        <x:f>IF(OR($D226="",AA$5="",'상세일정'!AM226="제외"),"",IF($D226=$E226,IF(AND($D226&gt;=AA$5,$D226&lt;AA$5+7),"◆",""),IF(AND($D226&lt;AA$5+7,$E226&gt;AA$5),"■","")))</x:f>
      </x:c>
      <x:c r="AB226" s="7" t="str">
        <x:f>IF(OR($D226="",AB$5="",'상세일정'!AM226="제외"),"",IF($D226=$E226,IF(AND($D226&gt;=AB$5,$D226&lt;AB$5+7),"◆",""),IF(AND($D226&lt;AB$5+7,$E226&gt;AB$5),"■","")))</x:f>
      </x:c>
      <x:c r="AC226" s="7" t="str">
        <x:f>IF(OR($D226="",AC$5="",'상세일정'!AM226="제외"),"",IF($D226=$E226,IF(AND($D226&gt;=AC$5,$D226&lt;AC$5+7),"◆",""),IF(AND($D226&lt;AC$5+7,$E226&gt;AC$5),"■","")))</x:f>
      </x:c>
      <x:c r="AD226" s="7" t="str">
        <x:f>IF(OR($D226="",AD$5="",'상세일정'!AM226="제외"),"",IF($D226=$E226,IF(AND($D226&gt;=AD$5,$D226&lt;AD$5+7),"◆",""),IF(AND($D226&lt;AD$5+7,$E226&gt;AD$5),"■","")))</x:f>
      </x:c>
      <x:c r="AE226" s="7" t="str">
        <x:f>IF(OR($D226="",AE$5="",'상세일정'!AM226="제외"),"",IF($D226=$E226,IF(AND($D226&gt;=AE$5,$D226&lt;AE$5+7),"◆",""),IF(AND($D226&lt;AE$5+7,$E226&gt;AE$5),"■","")))</x:f>
      </x:c>
      <x:c r="AF226" s="7" t="str">
        <x:f>IF(OR($D226="",AF$5="",'상세일정'!AM226="제외"),"",IF($D226=$E226,IF(AND($D226&gt;=AF$5,$D226&lt;AF$5+7),"◆",""),IF(AND($D226&lt;AF$5+7,$E226&gt;AF$5),"■","")))</x:f>
      </x:c>
      <x:c r="AG226" s="7" t="str">
        <x:f>IF(OR($D226="",AG$5="",'상세일정'!AM226="제외"),"",IF($D226=$E226,IF(AND($D226&gt;=AG$5,$D226&lt;AG$5+7),"◆",""),IF(AND($D226&lt;AG$5+7,$E226&gt;AG$5),"■","")))</x:f>
      </x:c>
      <x:c r="AH226" s="7" t="str">
        <x:f>IF(OR($D226="",AH$5="",'상세일정'!AM226="제외"),"",IF($D226=$E226,IF(AND($D226&gt;=AH$5,$D226&lt;AH$5+7),"◆",""),IF(AND($D226&lt;AH$5+7,$E226&gt;AH$5),"■","")))</x:f>
      </x:c>
      <x:c r="AI226" s="7" t="str">
        <x:f>IF(OR($D226="",AI$5="",'상세일정'!AM226="제외"),"",IF($D226=$E226,IF(AND($D226&gt;=AI$5,$D226&lt;AI$5+7),"◆",""),IF(AND($D226&lt;AI$5+7,$E226&gt;AI$5),"■","")))</x:f>
      </x:c>
      <x:c r="AJ226" s="7" t="str">
        <x:f>IF(OR($D226="",AJ$5="",'상세일정'!AM226="제외"),"",IF($D226=$E226,IF(AND($D226&gt;=AJ$5,$D226&lt;AJ$5+7),"◆",""),IF(AND($D226&lt;AJ$5+7,$E226&gt;AJ$5),"■","")))</x:f>
      </x:c>
      <x:c r="AK226" s="7" t="str">
        <x:f>IF(OR($D226="",AK$5="",'상세일정'!AM226="제외"),"",IF($D226=$E226,IF(AND($D226&gt;=AK$5,$D226&lt;AK$5+7),"◆",""),IF(AND($D226&lt;AK$5+7,$E226&gt;AK$5),"■","")))</x:f>
      </x:c>
      <x:c r="AL226" s="7" t="str">
        <x:f>IF(OR($D226="",AL$5="",'상세일정'!AM226="제외"),"",IF($D226=$E226,IF(AND($D226&gt;=AL$5,$D226&lt;AL$5+7),"◆",""),IF(AND($D226&lt;AL$5+7,$E226&gt;AL$5),"■","")))</x:f>
      </x:c>
      <x:c r="AM226" s="7" t="str">
        <x:f>IF(OR($D226="",AM$5="",'상세일정'!AM226="제외"),"",IF($D226=$E226,IF(AND($D226&gt;=AM$5,$D226&lt;AM$5+7),"◆",""),IF(AND($D226&lt;AM$5+7,$E226&gt;AM$5),"■","")))</x:f>
      </x:c>
      <x:c r="AN226" s="7" t="str">
        <x:f>IF(OR($D226="",AN$5="",'상세일정'!AM226="제외"),"",IF($D226=$E226,IF(AND($D226&gt;=AN$5,$D226&lt;AN$5+7),"◆",""),IF(AND($D226&lt;AN$5+7,$E226&gt;AN$5),"■","")))</x:f>
      </x:c>
      <x:c r="AO226" s="7" t="str">
        <x:f>IF(OR($D226="",AO$5="",'상세일정'!AM226="제외"),"",IF($D226=$E226,IF(AND($D226&gt;=AO$5,$D226&lt;AO$5+7),"◆",""),IF(AND($D226&lt;AO$5+7,$E226&gt;AO$5),"■","")))</x:f>
      </x:c>
      <x:c r="AP226" s="7" t="str">
        <x:f>IF(OR($D226="",AP$5="",'상세일정'!AM226="제외"),"",IF($D226=$E226,IF(AND($D226&gt;=AP$5,$D226&lt;AP$5+7),"◆",""),IF(AND($D226&lt;AP$5+7,$E226&gt;AP$5),"■","")))</x:f>
      </x:c>
      <x:c r="AQ226" s="7" t="str">
        <x:f>IF(OR($D226="",AQ$5="",'상세일정'!AM226="제외"),"",IF($D226=$E226,IF(AND($D226&gt;=AQ$5,$D226&lt;AQ$5+7),"◆",""),IF(AND($D226&lt;AQ$5+7,$E226&gt;AQ$5),"■","")))</x:f>
      </x:c>
      <x:c r="AR226" s="7" t="str">
        <x:f>IF(OR($D226="",AR$5="",'상세일정'!AM226="제외"),"",IF($D226=$E226,IF(AND($D226&gt;=AR$5,$D226&lt;AR$5+7),"◆",""),IF(AND($D226&lt;AR$5+7,$E226&gt;AR$5),"■","")))</x:f>
      </x:c>
      <x:c r="AS226" s="7" t="str">
        <x:f>IF(OR($D226="",AS$5="",'상세일정'!AM226="제외"),"",IF($D226=$E226,IF(AND($D226&gt;=AS$5,$D226&lt;AS$5+7),"◆",""),IF(AND($D226&lt;AS$5+7,$E226&gt;AS$5),"■","")))</x:f>
      </x:c>
      <x:c r="AT226" s="7" t="str">
        <x:f>IF(OR($D226="",AT$5="",'상세일정'!AM226="제외"),"",IF($D226=$E226,IF(AND($D226&gt;=AT$5,$D226&lt;AT$5+7),"◆",""),IF(AND($D226&lt;AT$5+7,$E226&gt;AT$5),"■","")))</x:f>
      </x:c>
      <x:c r="AU226" s="7" t="str">
        <x:f>IF(OR($D226="",AU$5="",'상세일정'!AM226="제외"),"",IF($D226=$E226,IF(AND($D226&gt;=AU$5,$D226&lt;AU$5+7),"◆",""),IF(AND($D226&lt;AU$5+7,$E226&gt;AU$5),"■","")))</x:f>
      </x:c>
      <x:c r="AV226" s="7" t="str">
        <x:f>IF(OR($D226="",AV$5="",'상세일정'!AM226="제외"),"",IF($D226=$E226,IF(AND($D226&gt;=AV$5,$D226&lt;AV$5+7),"◆",""),IF(AND($D226&lt;AV$5+7,$E226&gt;AV$5),"■","")))</x:f>
      </x:c>
      <x:c r="AW226" s="7" t="str">
        <x:f>IF(OR($D226="",AW$5="",'상세일정'!AM226="제외"),"",IF($D226=$E226,IF(AND($D226&gt;=AW$5,$D226&lt;AW$5+7),"◆",""),IF(AND($D226&lt;AW$5+7,$E226&gt;AW$5),"■","")))</x:f>
      </x:c>
      <x:c r="AX226" s="7" t="str">
        <x:f>IF(OR($D226="",AX$5="",'상세일정'!AM226="제외"),"",IF($D226=$E226,IF(AND($D226&gt;=AX$5,$D226&lt;AX$5+7),"◆",""),IF(AND($D226&lt;AX$5+7,$E226&gt;AX$5),"■","")))</x:f>
      </x:c>
      <x:c r="AY226" s="7" t="str">
        <x:f>IF(OR($D226="",AY$5="",'상세일정'!AM226="제외"),"",IF($D226=$E226,IF(AND($D226&gt;=AY$5,$D226&lt;AY$5+7),"◆",""),IF(AND($D226&lt;AY$5+7,$E226&gt;AY$5),"■","")))</x:f>
      </x:c>
      <x:c r="AZ226" s="7" t="str">
        <x:f>IF(OR($D226="",AZ$5="",'상세일정'!AM226="제외"),"",IF($D226=$E226,IF(AND($D226&gt;=AZ$5,$D226&lt;AZ$5+7),"◆",""),IF(AND($D226&lt;AZ$5+7,$E226&gt;AZ$5),"■","")))</x:f>
      </x:c>
      <x:c r="BA226" s="7" t="str">
        <x:f>IF(OR($D226="",BA$5="",'상세일정'!AM226="제외"),"",IF($D226=$E226,IF(AND($D226&gt;=BA$5,$D226&lt;BA$5+7),"◆",""),IF(AND($D226&lt;BA$5+7,$E226&gt;BA$5),"■","")))</x:f>
      </x:c>
      <x:c r="BB226" s="7" t="str">
        <x:f>IF(OR($D226="",BB$5="",'상세일정'!AM226="제외"),"",IF($D226=$E226,IF(AND($D226&gt;=BB$5,$D226&lt;BB$5+7),"◆",""),IF(AND($D226&lt;BB$5+7,$E226&gt;BB$5),"■","")))</x:f>
      </x:c>
      <x:c r="BC226" s="7" t="str">
        <x:f>IF(OR($D226="",BC$5="",'상세일정'!AM226="제외"),"",IF($D226=$E226,IF(AND($D226&gt;=BC$5,$D226&lt;BC$5+7),"◆",""),IF(AND($D226&lt;BC$5+7,$E226&gt;BC$5),"■","")))</x:f>
      </x:c>
      <x:c r="BD226" s="7" t="str">
        <x:f>IF(OR($D226="",BD$5="",'상세일정'!AM226="제외"),"",IF($D226=$E226,IF(AND($D226&gt;=BD$5,$D226&lt;BD$5+7),"◆",""),IF(AND($D226&lt;BD$5+7,$E226&gt;BD$5),"■","")))</x:f>
      </x:c>
      <x:c r="BE226" s="7" t="str">
        <x:f>IF(OR($D226="",BE$5="",'상세일정'!AM226="제외"),"",IF($D226=$E226,IF(AND($D226&gt;=BE$5,$D226&lt;BE$5+7),"◆",""),IF(AND($D226&lt;BE$5+7,$E226&gt;BE$5),"■","")))</x:f>
      </x:c>
      <x:c r="BF226" s="7" t="str">
        <x:f>IF(OR($D226="",BF$5="",'상세일정'!AM226="제외"),"",IF($D226=$E226,IF(AND($D226&gt;=BF$5,$D226&lt;BF$5+7),"◆",""),IF(AND($D226&lt;BF$5+7,$E226&gt;BF$5),"■","")))</x:f>
      </x:c>
      <x:c r="BG226" s="7" t="str">
        <x:f>IF(OR($D226="",BG$5="",'상세일정'!AM226="제외"),"",IF($D226=$E226,IF(AND($D226&gt;=BG$5,$D226&lt;BG$5+7),"◆",""),IF(AND($D226&lt;BG$5+7,$E226&gt;BG$5),"■","")))</x:f>
      </x:c>
      <x:c r="BH226" s="7" t="str">
        <x:f>IF(OR($D226="",BH$5="",'상세일정'!AM226="제외"),"",IF($D226=$E226,IF(AND($D226&gt;=BH$5,$D226&lt;BH$5+7),"◆",""),IF(AND($D226&lt;BH$5+7,$E226&gt;BH$5),"■","")))</x:f>
      </x:c>
      <x:c r="BI226" s="7" t="str">
        <x:f>IF(OR($D226="",BI$5="",'상세일정'!AM226="제외"),"",IF($D226=$E226,IF(AND($D226&gt;=BI$5,$D226&lt;BI$5+7),"◆",""),IF(AND($D226&lt;BI$5+7,$E226&gt;BI$5),"■","")))</x:f>
      </x:c>
      <x:c r="BJ226" s="7" t="str">
        <x:f>IF(OR($D226="",BJ$5="",'상세일정'!AM226="제외"),"",IF($D226=$E226,IF(AND($D226&gt;=BJ$5,$D226&lt;BJ$5+7),"◆",""),IF(AND($D226&lt;BJ$5+7,$E226&gt;BJ$5),"■","")))</x:f>
      </x:c>
      <x:c r="BK226" s="7" t="str">
        <x:f>IF(OR($D226="",BK$5="",'상세일정'!AM226="제외"),"",IF($D226=$E226,IF(AND($D226&gt;=BK$5,$D226&lt;BK$5+7),"◆",""),IF(AND($D226&lt;BK$5+7,$E226&gt;BK$5),"■","")))</x:f>
      </x:c>
      <x:c r="BL226" s="7" t="str">
        <x:f>IF(OR($D226="",BL$5="",'상세일정'!AM226="제외"),"",IF($D226=$E226,IF(AND($D226&gt;=BL$5,$D226&lt;BL$5+7),"◆",""),IF(AND($D226&lt;BL$5+7,$E226&gt;BL$5),"■","")))</x:f>
      </x:c>
      <x:c r="BM226" s="7" t="str">
        <x:f>IF(OR($D226="",BM$5="",'상세일정'!AM226="제외"),"",IF($D226=$E226,IF(AND($D226&gt;=BM$5,$D226&lt;BM$5+7),"◆",""),IF(AND($D226&lt;BM$5+7,$E226&gt;BM$5),"■","")))</x:f>
      </x:c>
      <x:c r="BN226" s="7" t="str">
        <x:f>IF(OR($D226="",BN$5="",'상세일정'!AM226="제외"),"",IF($D226=$E226,IF(AND($D226&gt;=BN$5,$D226&lt;BN$5+7),"◆",""),IF(AND($D226&lt;BN$5+7,$E226&gt;BN$5),"■","")))</x:f>
      </x:c>
      <x:c r="BO226" s="7" t="str">
        <x:f>IF(OR($D226="",BO$5="",'상세일정'!AM226="제외"),"",IF($D226=$E226,IF(AND($D226&gt;=BO$5,$D226&lt;BO$5+7),"◆",""),IF(AND($D226&lt;BO$5+7,$E226&gt;BO$5),"■","")))</x:f>
      </x:c>
      <x:c r="BP226" s="7" t="str">
        <x:f>IF(OR($D226="",BP$5="",'상세일정'!AM226="제외"),"",IF($D226=$E226,IF(AND($D226&gt;=BP$5,$D226&lt;BP$5+7),"◆",""),IF(AND($D226&lt;BP$5+7,$E226&gt;BP$5),"■","")))</x:f>
      </x:c>
      <x:c r="BQ226" s="7" t="str">
        <x:f>IF(OR($D226="",BQ$5="",'상세일정'!AM226="제외"),"",IF($D226=$E226,IF(AND($D226&gt;=BQ$5,$D226&lt;BQ$5+7),"◆",""),IF(AND($D226&lt;BQ$5+7,$E226&gt;BQ$5),"■","")))</x:f>
      </x:c>
      <x:c r="BR226" s="7" t="str">
        <x:f>IF(OR($D226="",BR$5="",'상세일정'!AM226="제외"),"",IF($D226=$E226,IF(AND($D226&gt;=BR$5,$D226&lt;BR$5+7),"◆",""),IF(AND($D226&lt;BR$5+7,$E226&gt;BR$5),"■","")))</x:f>
      </x:c>
      <x:c r="BS226" s="7" t="str">
        <x:f>IF(OR($D226="",BS$5="",'상세일정'!AM226="제외"),"",IF($D226=$E226,IF(AND($D226&gt;=BS$5,$D226&lt;BS$5+7),"◆",""),IF(AND($D226&lt;BS$5+7,$E226&gt;BS$5),"■","")))</x:f>
      </x:c>
      <x:c r="BT226" s="7" t="str">
        <x:f>IF(OR($D226="",BT$5="",'상세일정'!AM226="제외"),"",IF($D226=$E226,IF(AND($D226&gt;=BT$5,$D226&lt;BT$5+7),"◆",""),IF(AND($D226&lt;BT$5+7,$E226&gt;BT$5),"■","")))</x:f>
      </x:c>
      <x:c r="BU226" s="7" t="str">
        <x:f>IF(OR($D226="",BU$5="",'상세일정'!AM226="제외"),"",IF($D226=$E226,IF(AND($D226&gt;=BU$5,$D226&lt;BU$5+7),"◆",""),IF(AND($D226&lt;BU$5+7,$E226&gt;BU$5),"■","")))</x:f>
      </x:c>
      <x:c r="BV226" s="7" t="str">
        <x:f>IF(OR($D226="",BV$5="",'상세일정'!AM226="제외"),"",IF($D226=$E226,IF(AND($D226&gt;=BV$5,$D226&lt;BV$5+7),"◆",""),IF(AND($D226&lt;BV$5+7,$E226&gt;BV$5),"■","")))</x:f>
      </x:c>
      <x:c r="BW226" s="7" t="str">
        <x:f>IF(OR($D226="",BW$5="",'상세일정'!AM226="제외"),"",IF($D226=$E226,IF(AND($D226&gt;=BW$5,$D226&lt;BW$5+7),"◆",""),IF(AND($D226&lt;BW$5+7,$E226&gt;BW$5),"■","")))</x:f>
      </x:c>
      <x:c r="BX226" s="7" t="str">
        <x:f>IF(OR($D226="",BX$5="",'상세일정'!AM226="제외"),"",IF($D226=$E226,IF(AND($D226&gt;=BX$5,$D226&lt;BX$5+7),"◆",""),IF(AND($D226&lt;BX$5+7,$E226&gt;BX$5),"■","")))</x:f>
      </x:c>
      <x:c r="BY226" s="7" t="str">
        <x:f>IF(OR($D226="",BY$5="",'상세일정'!AM226="제외"),"",IF($D226=$E226,IF(AND($D226&gt;=BY$5,$D226&lt;BY$5+7),"◆",""),IF(AND($D226&lt;BY$5+7,$E226&gt;BY$5),"■","")))</x:f>
      </x:c>
      <x:c r="BZ226" s="7" t="str">
        <x:f>IF(OR($D226="",BZ$5="",'상세일정'!AM226="제외"),"",IF($D226=$E226,IF(AND($D226&gt;=BZ$5,$D226&lt;BZ$5+7),"◆",""),IF(AND($D226&lt;BZ$5+7,$E226&gt;BZ$5),"■","")))</x:f>
      </x:c>
      <x:c r="CA226" s="7" t="str">
        <x:f>IF(OR($D226="",CA$5="",'상세일정'!AM226="제외"),"",IF($D226=$E226,IF(AND($D226&gt;=CA$5,$D226&lt;CA$5+7),"◆",""),IF(AND($D226&lt;CA$5+7,$E226&gt;CA$5),"■","")))</x:f>
      </x:c>
      <x:c r="CB226" s="7" t="str">
        <x:f>IF(OR($D226="",CB$5="",'상세일정'!AM226="제외"),"",IF($D226=$E226,IF(AND($D226&gt;=CB$5,$D226&lt;CB$5+7),"◆",""),IF(AND($D226&lt;CB$5+7,$E226&gt;CB$5),"■","")))</x:f>
      </x:c>
      <x:c r="CC226" s="7" t="str">
        <x:f>IF(OR($D226="",CC$5="",'상세일정'!AM226="제외"),"",IF($D226=$E226,IF(AND($D226&gt;=CC$5,$D226&lt;CC$5+7),"◆",""),IF(AND($D226&lt;CC$5+7,$E226&gt;CC$5),"■","")))</x:f>
      </x:c>
      <x:c r="CD226" s="7" t="str">
        <x:f>IF(OR($D226="",CD$5="",'상세일정'!AM226="제외"),"",IF($D226=$E226,IF(AND($D226&gt;=CD$5,$D226&lt;CD$5+7),"◆",""),IF(AND($D226&lt;CD$5+7,$E226&gt;CD$5),"■","")))</x:f>
      </x:c>
      <x:c r="CE226" s="7" t="str">
        <x:f>IF(OR($D226="",CE$5="",'상세일정'!AM226="제외"),"",IF($D226=$E226,IF(AND($D226&gt;=CE$5,$D226&lt;CE$5+7),"◆",""),IF(AND($D226&lt;CE$5+7,$E226&gt;CE$5),"■","")))</x:f>
      </x:c>
      <x:c r="CF226" s="7" t="str">
        <x:f>IF(OR($D226="",CF$5="",'상세일정'!AM226="제외"),"",IF($D226=$E226,IF(AND($D226&gt;=CF$5,$D226&lt;CF$5+7),"◆",""),IF(AND($D226&lt;CF$5+7,$E226&gt;CF$5),"■","")))</x:f>
      </x:c>
      <x:c r="CG226" s="7" t="str">
        <x:f>IF(OR($D226="",CG$5="",'상세일정'!AM226="제외"),"",IF($D226=$E226,IF(AND($D226&gt;=CG$5,$D226&lt;CG$5+7),"◆",""),IF(AND($D226&lt;CG$5+7,$E226&gt;CG$5),"■","")))</x:f>
      </x:c>
      <x:c r="CH226" s="7" t="str">
        <x:f>IF(OR($D226="",CH$5="",'상세일정'!AM226="제외"),"",IF($D226=$E226,IF(AND($D226&gt;=CH$5,$D226&lt;CH$5+7),"◆",""),IF(AND($D226&lt;CH$5+7,$E226&gt;CH$5),"■","")))</x:f>
      </x:c>
      <x:c r="CI226" s="7" t="str">
        <x:f>IF(OR($D226="",CI$5="",'상세일정'!AM226="제외"),"",IF($D226=$E226,IF(AND($D226&gt;=CI$5,$D226&lt;CI$5+7),"◆",""),IF(AND($D226&lt;CI$5+7,$E226&gt;CI$5),"■","")))</x:f>
      </x:c>
      <x:c r="CJ226" s="7" t="str">
        <x:f>IF(OR($D226="",CJ$5="",'상세일정'!AM226="제외"),"",IF($D226=$E226,IF(AND($D226&gt;=CJ$5,$D226&lt;CJ$5+7),"◆",""),IF(AND($D226&lt;CJ$5+7,$E226&gt;CJ$5),"■","")))</x:f>
      </x:c>
      <x:c r="CK226" s="7" t="str">
        <x:f>IF(OR($D226="",CK$5="",'상세일정'!AM226="제외"),"",IF($D226=$E226,IF(AND($D226&gt;=CK$5,$D226&lt;CK$5+7),"◆",""),IF(AND($D226&lt;CK$5+7,$E226&gt;CK$5),"■","")))</x:f>
      </x:c>
      <x:c r="CL226" s="7" t="str">
        <x:f>IF(OR($D226="",CL$5="",'상세일정'!AM226="제외"),"",IF($D226=$E226,IF(AND($D226&gt;=CL$5,$D226&lt;CL$5+7),"◆",""),IF(AND($D226&lt;CL$5+7,$E226&gt;CL$5),"■","")))</x:f>
      </x:c>
      <x:c r="CM226" s="7" t="str">
        <x:f>IF(OR($D226="",CM$5="",'상세일정'!AM226="제외"),"",IF($D226=$E226,IF(AND($D226&gt;=CM$5,$D226&lt;CM$5+7),"◆",""),IF(AND($D226&lt;CM$5+7,$E226&gt;CM$5),"■","")))</x:f>
      </x:c>
      <x:c r="CN226" s="7" t="str">
        <x:f>IF(OR($D226="",CN$5="",'상세일정'!AM226="제외"),"",IF($D226=$E226,IF(AND($D226&gt;=CN$5,$D226&lt;CN$5+7),"◆",""),IF(AND($D226&lt;CN$5+7,$E226&gt;CN$5),"■","")))</x:f>
      </x:c>
      <x:c r="CO226" s="7" t="str">
        <x:f>IF(OR($D226="",CO$5="",'상세일정'!AM226="제외"),"",IF($D226=$E226,IF(AND($D226&gt;=CO$5,$D226&lt;CO$5+7),"◆",""),IF(AND($D226&lt;CO$5+7,$E226&gt;CO$5),"■","")))</x:f>
      </x:c>
      <x:c r="CP226" s="7" t="str">
        <x:f>IF(OR($D226="",CP$5="",'상세일정'!AM226="제외"),"",IF($D226=$E226,IF(AND($D226&gt;=CP$5,$D226&lt;CP$5+7),"◆",""),IF(AND($D226&lt;CP$5+7,$E226&gt;CP$5),"■","")))</x:f>
      </x:c>
      <x:c r="CQ226" s="7" t="str">
        <x:f>IF(OR($D226="",CQ$5="",'상세일정'!AM226="제외"),"",IF($D226=$E226,IF(AND($D226&gt;=CQ$5,$D226&lt;CQ$5+7),"◆",""),IF(AND($D226&lt;CQ$5+7,$E226&gt;CQ$5),"■","")))</x:f>
      </x:c>
      <x:c r="CR226" s="7" t="str">
        <x:f>IF(OR($D226="",CR$5="",'상세일정'!AM226="제외"),"",IF($D226=$E226,IF(AND($D226&gt;=CR$5,$D226&lt;CR$5+7),"◆",""),IF(AND($D226&lt;CR$5+7,$E226&gt;CR$5),"■","")))</x:f>
      </x:c>
      <x:c r="CS226" s="7" t="str">
        <x:f>IF(OR($D226="",CS$5="",'상세일정'!AM226="제외"),"",IF($D226=$E226,IF(AND($D226&gt;=CS$5,$D226&lt;CS$5+7),"◆",""),IF(AND($D226&lt;CS$5+7,$E226&gt;CS$5),"■","")))</x:f>
      </x:c>
      <x:c r="CT226" s="7" t="str">
        <x:f>IF(OR($D226="",CT$5="",'상세일정'!AM226="제외"),"",IF($D226=$E226,IF(AND($D226&gt;=CT$5,$D226&lt;CT$5+7),"◆",""),IF(AND($D226&lt;CT$5+7,$E226&gt;CT$5),"■","")))</x:f>
      </x:c>
      <x:c r="CU226" s="7" t="str">
        <x:f>IF(OR($D226="",CU$5="",'상세일정'!AM226="제외"),"",IF($D226=$E226,IF(AND($D226&gt;=CU$5,$D226&lt;CU$5+7),"◆",""),IF(AND($D226&lt;CU$5+7,$E226&gt;CU$5),"■","")))</x:f>
      </x:c>
      <x:c r="CV226" s="7" t="str">
        <x:f>IF(OR($D226="",CV$5="",'상세일정'!AM226="제외"),"",IF($D226=$E226,IF(AND($D226&gt;=CV$5,$D226&lt;CV$5+7),"◆",""),IF(AND($D226&lt;CV$5+7,$E226&gt;CV$5),"■","")))</x:f>
      </x:c>
      <x:c r="CW226" s="7" t="str">
        <x:f>IF(OR($D226="",CW$5="",'상세일정'!AM226="제외"),"",IF($D226=$E226,IF(AND($D226&gt;=CW$5,$D226&lt;CW$5+7),"◆",""),IF(AND($D226&lt;CW$5+7,$E226&gt;CW$5),"■","")))</x:f>
      </x:c>
      <x:c r="CX226" s="7" t="str">
        <x:f>IF(OR($D226="",CX$5="",'상세일정'!AM226="제외"),"",IF($D226=$E226,IF(AND($D226&gt;=CX$5,$D226&lt;CX$5+7),"◆",""),IF(AND($D226&lt;CX$5+7,$E226&gt;CX$5),"■","")))</x:f>
      </x:c>
      <x:c r="CY226" s="7" t="str">
        <x:f>IF(OR($D226="",CY$5="",'상세일정'!AM226="제외"),"",IF($D226=$E226,IF(AND($D226&gt;=CY$5,$D226&lt;CY$5+7),"◆",""),IF(AND($D226&lt;CY$5+7,$E226&gt;CY$5),"■","")))</x:f>
      </x:c>
      <x:c r="CZ226" s="7" t="str">
        <x:f>IF(OR($D226="",CZ$5="",'상세일정'!AM226="제외"),"",IF($D226=$E226,IF(AND($D226&gt;=CZ$5,$D226&lt;CZ$5+7),"◆",""),IF(AND($D226&lt;CZ$5+7,$E226&gt;CZ$5),"■","")))</x:f>
      </x:c>
      <x:c r="DA226" s="7" t="str">
        <x:f>IF(OR($D226="",DA$5="",'상세일정'!AM226="제외"),"",IF($D226=$E226,IF(AND($D226&gt;=DA$5,$D226&lt;DA$5+7),"◆",""),IF(AND($D226&lt;DA$5+7,$E226&gt;DA$5),"■","")))</x:f>
      </x:c>
      <x:c r="DB226" s="7" t="str">
        <x:f>IF(OR($D226="",DB$5="",'상세일정'!AM226="제외"),"",IF($D226=$E226,IF(AND($D226&gt;=DB$5,$D226&lt;DB$5+7),"◆",""),IF(AND($D226&lt;DB$5+7,$E226&gt;DB$5),"■","")))</x:f>
      </x:c>
      <x:c r="DC226" s="7" t="str">
        <x:f>IF(OR($D226="",DC$5="",'상세일정'!AM226="제외"),"",IF($D226=$E226,IF(AND($D226&gt;=DC$5,$D226&lt;DC$5+7),"◆",""),IF(AND($D226&lt;DC$5+7,$E226&gt;DC$5),"■","")))</x:f>
      </x:c>
      <x:c r="DD226" s="7" t="str">
        <x:f>IF(OR($D226="",DD$5="",'상세일정'!AM226="제외"),"",IF($D226=$E226,IF(AND($D226&gt;=DD$5,$D226&lt;DD$5+7),"◆",""),IF(AND($D226&lt;DD$5+7,$E226&gt;DD$5),"■","")))</x:f>
      </x:c>
      <x:c r="DE226" s="7" t="str">
        <x:f>IF(OR($D226="",DE$5="",'상세일정'!AM226="제외"),"",IF($D226=$E226,IF(AND($D226&gt;=DE$5,$D226&lt;DE$5+7),"◆",""),IF(AND($D226&lt;DE$5+7,$E226&gt;DE$5),"■","")))</x:f>
      </x:c>
    </x:row>
    <x:row r="227" ht="34" customHeight="1">
      <x:c r="A227" s="7" t="str">
        <x:v>CM02</x:v>
      </x:c>
      <x:c r="B227" s="7" t="str">
        <x:v>26 단동·완성검사</x:v>
      </x:c>
      <x:c r="C227" s="7" t="str">
        <x:v>비가스 단동 운전 및 설비별 SAT 수행</x:v>
      </x:c>
      <x:c r="D227" s="10" t="str">
        <x:f>'상세일정'!AJ227</x:f>
      </x:c>
      <x:c r="E227" s="10" t="str">
        <x:f>'상세일정'!AK227</x:f>
      </x:c>
      <x:c r="F227" s="7" t="str">
        <x:f>IF(OR($D227="",F$5="",'상세일정'!AM227="제외"),"",IF($D227=$E227,IF(AND($D227&gt;=F$5,$D227&lt;F$5+7),"◆",""),IF(AND($D227&lt;F$5+7,$E227&gt;F$5),"■","")))</x:f>
      </x:c>
      <x:c r="G227" s="7" t="str">
        <x:f>IF(OR($D227="",G$5="",'상세일정'!AM227="제외"),"",IF($D227=$E227,IF(AND($D227&gt;=G$5,$D227&lt;G$5+7),"◆",""),IF(AND($D227&lt;G$5+7,$E227&gt;G$5),"■","")))</x:f>
      </x:c>
      <x:c r="H227" s="7" t="str">
        <x:f>IF(OR($D227="",H$5="",'상세일정'!AM227="제외"),"",IF($D227=$E227,IF(AND($D227&gt;=H$5,$D227&lt;H$5+7),"◆",""),IF(AND($D227&lt;H$5+7,$E227&gt;H$5),"■","")))</x:f>
      </x:c>
      <x:c r="I227" s="7" t="str">
        <x:f>IF(OR($D227="",I$5="",'상세일정'!AM227="제외"),"",IF($D227=$E227,IF(AND($D227&gt;=I$5,$D227&lt;I$5+7),"◆",""),IF(AND($D227&lt;I$5+7,$E227&gt;I$5),"■","")))</x:f>
      </x:c>
      <x:c r="J227" s="7" t="str">
        <x:f>IF(OR($D227="",J$5="",'상세일정'!AM227="제외"),"",IF($D227=$E227,IF(AND($D227&gt;=J$5,$D227&lt;J$5+7),"◆",""),IF(AND($D227&lt;J$5+7,$E227&gt;J$5),"■","")))</x:f>
      </x:c>
      <x:c r="K227" s="7" t="str">
        <x:f>IF(OR($D227="",K$5="",'상세일정'!AM227="제외"),"",IF($D227=$E227,IF(AND($D227&gt;=K$5,$D227&lt;K$5+7),"◆",""),IF(AND($D227&lt;K$5+7,$E227&gt;K$5),"■","")))</x:f>
      </x:c>
      <x:c r="L227" s="7" t="str">
        <x:f>IF(OR($D227="",L$5="",'상세일정'!AM227="제외"),"",IF($D227=$E227,IF(AND($D227&gt;=L$5,$D227&lt;L$5+7),"◆",""),IF(AND($D227&lt;L$5+7,$E227&gt;L$5),"■","")))</x:f>
      </x:c>
      <x:c r="M227" s="7" t="str">
        <x:f>IF(OR($D227="",M$5="",'상세일정'!AM227="제외"),"",IF($D227=$E227,IF(AND($D227&gt;=M$5,$D227&lt;M$5+7),"◆",""),IF(AND($D227&lt;M$5+7,$E227&gt;M$5),"■","")))</x:f>
      </x:c>
      <x:c r="N227" s="7" t="str">
        <x:f>IF(OR($D227="",N$5="",'상세일정'!AM227="제외"),"",IF($D227=$E227,IF(AND($D227&gt;=N$5,$D227&lt;N$5+7),"◆",""),IF(AND($D227&lt;N$5+7,$E227&gt;N$5),"■","")))</x:f>
      </x:c>
      <x:c r="O227" s="7" t="str">
        <x:f>IF(OR($D227="",O$5="",'상세일정'!AM227="제외"),"",IF($D227=$E227,IF(AND($D227&gt;=O$5,$D227&lt;O$5+7),"◆",""),IF(AND($D227&lt;O$5+7,$E227&gt;O$5),"■","")))</x:f>
      </x:c>
      <x:c r="P227" s="7" t="str">
        <x:f>IF(OR($D227="",P$5="",'상세일정'!AM227="제외"),"",IF($D227=$E227,IF(AND($D227&gt;=P$5,$D227&lt;P$5+7),"◆",""),IF(AND($D227&lt;P$5+7,$E227&gt;P$5),"■","")))</x:f>
      </x:c>
      <x:c r="Q227" s="7" t="str">
        <x:f>IF(OR($D227="",Q$5="",'상세일정'!AM227="제외"),"",IF($D227=$E227,IF(AND($D227&gt;=Q$5,$D227&lt;Q$5+7),"◆",""),IF(AND($D227&lt;Q$5+7,$E227&gt;Q$5),"■","")))</x:f>
      </x:c>
      <x:c r="R227" s="7" t="str">
        <x:f>IF(OR($D227="",R$5="",'상세일정'!AM227="제외"),"",IF($D227=$E227,IF(AND($D227&gt;=R$5,$D227&lt;R$5+7),"◆",""),IF(AND($D227&lt;R$5+7,$E227&gt;R$5),"■","")))</x:f>
      </x:c>
      <x:c r="S227" s="7" t="str">
        <x:f>IF(OR($D227="",S$5="",'상세일정'!AM227="제외"),"",IF($D227=$E227,IF(AND($D227&gt;=S$5,$D227&lt;S$5+7),"◆",""),IF(AND($D227&lt;S$5+7,$E227&gt;S$5),"■","")))</x:f>
      </x:c>
      <x:c r="T227" s="7" t="str">
        <x:f>IF(OR($D227="",T$5="",'상세일정'!AM227="제외"),"",IF($D227=$E227,IF(AND($D227&gt;=T$5,$D227&lt;T$5+7),"◆",""),IF(AND($D227&lt;T$5+7,$E227&gt;T$5),"■","")))</x:f>
      </x:c>
      <x:c r="U227" s="7" t="str">
        <x:f>IF(OR($D227="",U$5="",'상세일정'!AM227="제외"),"",IF($D227=$E227,IF(AND($D227&gt;=U$5,$D227&lt;U$5+7),"◆",""),IF(AND($D227&lt;U$5+7,$E227&gt;U$5),"■","")))</x:f>
      </x:c>
      <x:c r="V227" s="7" t="str">
        <x:f>IF(OR($D227="",V$5="",'상세일정'!AM227="제외"),"",IF($D227=$E227,IF(AND($D227&gt;=V$5,$D227&lt;V$5+7),"◆",""),IF(AND($D227&lt;V$5+7,$E227&gt;V$5),"■","")))</x:f>
      </x:c>
      <x:c r="W227" s="7" t="str">
        <x:f>IF(OR($D227="",W$5="",'상세일정'!AM227="제외"),"",IF($D227=$E227,IF(AND($D227&gt;=W$5,$D227&lt;W$5+7),"◆",""),IF(AND($D227&lt;W$5+7,$E227&gt;W$5),"■","")))</x:f>
      </x:c>
      <x:c r="X227" s="7" t="str">
        <x:f>IF(OR($D227="",X$5="",'상세일정'!AM227="제외"),"",IF($D227=$E227,IF(AND($D227&gt;=X$5,$D227&lt;X$5+7),"◆",""),IF(AND($D227&lt;X$5+7,$E227&gt;X$5),"■","")))</x:f>
      </x:c>
      <x:c r="Y227" s="7" t="str">
        <x:f>IF(OR($D227="",Y$5="",'상세일정'!AM227="제외"),"",IF($D227=$E227,IF(AND($D227&gt;=Y$5,$D227&lt;Y$5+7),"◆",""),IF(AND($D227&lt;Y$5+7,$E227&gt;Y$5),"■","")))</x:f>
      </x:c>
      <x:c r="Z227" s="7" t="str">
        <x:f>IF(OR($D227="",Z$5="",'상세일정'!AM227="제외"),"",IF($D227=$E227,IF(AND($D227&gt;=Z$5,$D227&lt;Z$5+7),"◆",""),IF(AND($D227&lt;Z$5+7,$E227&gt;Z$5),"■","")))</x:f>
      </x:c>
      <x:c r="AA227" s="7" t="str">
        <x:f>IF(OR($D227="",AA$5="",'상세일정'!AM227="제외"),"",IF($D227=$E227,IF(AND($D227&gt;=AA$5,$D227&lt;AA$5+7),"◆",""),IF(AND($D227&lt;AA$5+7,$E227&gt;AA$5),"■","")))</x:f>
      </x:c>
      <x:c r="AB227" s="7" t="str">
        <x:f>IF(OR($D227="",AB$5="",'상세일정'!AM227="제외"),"",IF($D227=$E227,IF(AND($D227&gt;=AB$5,$D227&lt;AB$5+7),"◆",""),IF(AND($D227&lt;AB$5+7,$E227&gt;AB$5),"■","")))</x:f>
      </x:c>
      <x:c r="AC227" s="7" t="str">
        <x:f>IF(OR($D227="",AC$5="",'상세일정'!AM227="제외"),"",IF($D227=$E227,IF(AND($D227&gt;=AC$5,$D227&lt;AC$5+7),"◆",""),IF(AND($D227&lt;AC$5+7,$E227&gt;AC$5),"■","")))</x:f>
      </x:c>
      <x:c r="AD227" s="7" t="str">
        <x:f>IF(OR($D227="",AD$5="",'상세일정'!AM227="제외"),"",IF($D227=$E227,IF(AND($D227&gt;=AD$5,$D227&lt;AD$5+7),"◆",""),IF(AND($D227&lt;AD$5+7,$E227&gt;AD$5),"■","")))</x:f>
      </x:c>
      <x:c r="AE227" s="7" t="str">
        <x:f>IF(OR($D227="",AE$5="",'상세일정'!AM227="제외"),"",IF($D227=$E227,IF(AND($D227&gt;=AE$5,$D227&lt;AE$5+7),"◆",""),IF(AND($D227&lt;AE$5+7,$E227&gt;AE$5),"■","")))</x:f>
      </x:c>
      <x:c r="AF227" s="7" t="str">
        <x:f>IF(OR($D227="",AF$5="",'상세일정'!AM227="제외"),"",IF($D227=$E227,IF(AND($D227&gt;=AF$5,$D227&lt;AF$5+7),"◆",""),IF(AND($D227&lt;AF$5+7,$E227&gt;AF$5),"■","")))</x:f>
      </x:c>
      <x:c r="AG227" s="7" t="str">
        <x:f>IF(OR($D227="",AG$5="",'상세일정'!AM227="제외"),"",IF($D227=$E227,IF(AND($D227&gt;=AG$5,$D227&lt;AG$5+7),"◆",""),IF(AND($D227&lt;AG$5+7,$E227&gt;AG$5),"■","")))</x:f>
      </x:c>
      <x:c r="AH227" s="7" t="str">
        <x:f>IF(OR($D227="",AH$5="",'상세일정'!AM227="제외"),"",IF($D227=$E227,IF(AND($D227&gt;=AH$5,$D227&lt;AH$5+7),"◆",""),IF(AND($D227&lt;AH$5+7,$E227&gt;AH$5),"■","")))</x:f>
      </x:c>
      <x:c r="AI227" s="7" t="str">
        <x:f>IF(OR($D227="",AI$5="",'상세일정'!AM227="제외"),"",IF($D227=$E227,IF(AND($D227&gt;=AI$5,$D227&lt;AI$5+7),"◆",""),IF(AND($D227&lt;AI$5+7,$E227&gt;AI$5),"■","")))</x:f>
      </x:c>
      <x:c r="AJ227" s="7" t="str">
        <x:f>IF(OR($D227="",AJ$5="",'상세일정'!AM227="제외"),"",IF($D227=$E227,IF(AND($D227&gt;=AJ$5,$D227&lt;AJ$5+7),"◆",""),IF(AND($D227&lt;AJ$5+7,$E227&gt;AJ$5),"■","")))</x:f>
      </x:c>
      <x:c r="AK227" s="7" t="str">
        <x:f>IF(OR($D227="",AK$5="",'상세일정'!AM227="제외"),"",IF($D227=$E227,IF(AND($D227&gt;=AK$5,$D227&lt;AK$5+7),"◆",""),IF(AND($D227&lt;AK$5+7,$E227&gt;AK$5),"■","")))</x:f>
      </x:c>
      <x:c r="AL227" s="7" t="str">
        <x:f>IF(OR($D227="",AL$5="",'상세일정'!AM227="제외"),"",IF($D227=$E227,IF(AND($D227&gt;=AL$5,$D227&lt;AL$5+7),"◆",""),IF(AND($D227&lt;AL$5+7,$E227&gt;AL$5),"■","")))</x:f>
      </x:c>
      <x:c r="AM227" s="7" t="str">
        <x:f>IF(OR($D227="",AM$5="",'상세일정'!AM227="제외"),"",IF($D227=$E227,IF(AND($D227&gt;=AM$5,$D227&lt;AM$5+7),"◆",""),IF(AND($D227&lt;AM$5+7,$E227&gt;AM$5),"■","")))</x:f>
      </x:c>
      <x:c r="AN227" s="7" t="str">
        <x:f>IF(OR($D227="",AN$5="",'상세일정'!AM227="제외"),"",IF($D227=$E227,IF(AND($D227&gt;=AN$5,$D227&lt;AN$5+7),"◆",""),IF(AND($D227&lt;AN$5+7,$E227&gt;AN$5),"■","")))</x:f>
      </x:c>
      <x:c r="AO227" s="7" t="str">
        <x:f>IF(OR($D227="",AO$5="",'상세일정'!AM227="제외"),"",IF($D227=$E227,IF(AND($D227&gt;=AO$5,$D227&lt;AO$5+7),"◆",""),IF(AND($D227&lt;AO$5+7,$E227&gt;AO$5),"■","")))</x:f>
      </x:c>
      <x:c r="AP227" s="7" t="str">
        <x:f>IF(OR($D227="",AP$5="",'상세일정'!AM227="제외"),"",IF($D227=$E227,IF(AND($D227&gt;=AP$5,$D227&lt;AP$5+7),"◆",""),IF(AND($D227&lt;AP$5+7,$E227&gt;AP$5),"■","")))</x:f>
      </x:c>
      <x:c r="AQ227" s="7" t="str">
        <x:f>IF(OR($D227="",AQ$5="",'상세일정'!AM227="제외"),"",IF($D227=$E227,IF(AND($D227&gt;=AQ$5,$D227&lt;AQ$5+7),"◆",""),IF(AND($D227&lt;AQ$5+7,$E227&gt;AQ$5),"■","")))</x:f>
      </x:c>
      <x:c r="AR227" s="7" t="str">
        <x:f>IF(OR($D227="",AR$5="",'상세일정'!AM227="제외"),"",IF($D227=$E227,IF(AND($D227&gt;=AR$5,$D227&lt;AR$5+7),"◆",""),IF(AND($D227&lt;AR$5+7,$E227&gt;AR$5),"■","")))</x:f>
      </x:c>
      <x:c r="AS227" s="7" t="str">
        <x:f>IF(OR($D227="",AS$5="",'상세일정'!AM227="제외"),"",IF($D227=$E227,IF(AND($D227&gt;=AS$5,$D227&lt;AS$5+7),"◆",""),IF(AND($D227&lt;AS$5+7,$E227&gt;AS$5),"■","")))</x:f>
      </x:c>
      <x:c r="AT227" s="7" t="str">
        <x:f>IF(OR($D227="",AT$5="",'상세일정'!AM227="제외"),"",IF($D227=$E227,IF(AND($D227&gt;=AT$5,$D227&lt;AT$5+7),"◆",""),IF(AND($D227&lt;AT$5+7,$E227&gt;AT$5),"■","")))</x:f>
      </x:c>
      <x:c r="AU227" s="7" t="str">
        <x:f>IF(OR($D227="",AU$5="",'상세일정'!AM227="제외"),"",IF($D227=$E227,IF(AND($D227&gt;=AU$5,$D227&lt;AU$5+7),"◆",""),IF(AND($D227&lt;AU$5+7,$E227&gt;AU$5),"■","")))</x:f>
      </x:c>
      <x:c r="AV227" s="7" t="str">
        <x:f>IF(OR($D227="",AV$5="",'상세일정'!AM227="제외"),"",IF($D227=$E227,IF(AND($D227&gt;=AV$5,$D227&lt;AV$5+7),"◆",""),IF(AND($D227&lt;AV$5+7,$E227&gt;AV$5),"■","")))</x:f>
      </x:c>
      <x:c r="AW227" s="7" t="str">
        <x:f>IF(OR($D227="",AW$5="",'상세일정'!AM227="제외"),"",IF($D227=$E227,IF(AND($D227&gt;=AW$5,$D227&lt;AW$5+7),"◆",""),IF(AND($D227&lt;AW$5+7,$E227&gt;AW$5),"■","")))</x:f>
      </x:c>
      <x:c r="AX227" s="7" t="str">
        <x:f>IF(OR($D227="",AX$5="",'상세일정'!AM227="제외"),"",IF($D227=$E227,IF(AND($D227&gt;=AX$5,$D227&lt;AX$5+7),"◆",""),IF(AND($D227&lt;AX$5+7,$E227&gt;AX$5),"■","")))</x:f>
      </x:c>
      <x:c r="AY227" s="7" t="str">
        <x:f>IF(OR($D227="",AY$5="",'상세일정'!AM227="제외"),"",IF($D227=$E227,IF(AND($D227&gt;=AY$5,$D227&lt;AY$5+7),"◆",""),IF(AND($D227&lt;AY$5+7,$E227&gt;AY$5),"■","")))</x:f>
      </x:c>
      <x:c r="AZ227" s="7" t="str">
        <x:f>IF(OR($D227="",AZ$5="",'상세일정'!AM227="제외"),"",IF($D227=$E227,IF(AND($D227&gt;=AZ$5,$D227&lt;AZ$5+7),"◆",""),IF(AND($D227&lt;AZ$5+7,$E227&gt;AZ$5),"■","")))</x:f>
      </x:c>
      <x:c r="BA227" s="7" t="str">
        <x:f>IF(OR($D227="",BA$5="",'상세일정'!AM227="제외"),"",IF($D227=$E227,IF(AND($D227&gt;=BA$5,$D227&lt;BA$5+7),"◆",""),IF(AND($D227&lt;BA$5+7,$E227&gt;BA$5),"■","")))</x:f>
      </x:c>
      <x:c r="BB227" s="7" t="str">
        <x:f>IF(OR($D227="",BB$5="",'상세일정'!AM227="제외"),"",IF($D227=$E227,IF(AND($D227&gt;=BB$5,$D227&lt;BB$5+7),"◆",""),IF(AND($D227&lt;BB$5+7,$E227&gt;BB$5),"■","")))</x:f>
      </x:c>
      <x:c r="BC227" s="7" t="str">
        <x:f>IF(OR($D227="",BC$5="",'상세일정'!AM227="제외"),"",IF($D227=$E227,IF(AND($D227&gt;=BC$5,$D227&lt;BC$5+7),"◆",""),IF(AND($D227&lt;BC$5+7,$E227&gt;BC$5),"■","")))</x:f>
      </x:c>
      <x:c r="BD227" s="7" t="str">
        <x:f>IF(OR($D227="",BD$5="",'상세일정'!AM227="제외"),"",IF($D227=$E227,IF(AND($D227&gt;=BD$5,$D227&lt;BD$5+7),"◆",""),IF(AND($D227&lt;BD$5+7,$E227&gt;BD$5),"■","")))</x:f>
      </x:c>
      <x:c r="BE227" s="7" t="str">
        <x:f>IF(OR($D227="",BE$5="",'상세일정'!AM227="제외"),"",IF($D227=$E227,IF(AND($D227&gt;=BE$5,$D227&lt;BE$5+7),"◆",""),IF(AND($D227&lt;BE$5+7,$E227&gt;BE$5),"■","")))</x:f>
      </x:c>
      <x:c r="BF227" s="7" t="str">
        <x:f>IF(OR($D227="",BF$5="",'상세일정'!AM227="제외"),"",IF($D227=$E227,IF(AND($D227&gt;=BF$5,$D227&lt;BF$5+7),"◆",""),IF(AND($D227&lt;BF$5+7,$E227&gt;BF$5),"■","")))</x:f>
      </x:c>
      <x:c r="BG227" s="7" t="str">
        <x:f>IF(OR($D227="",BG$5="",'상세일정'!AM227="제외"),"",IF($D227=$E227,IF(AND($D227&gt;=BG$5,$D227&lt;BG$5+7),"◆",""),IF(AND($D227&lt;BG$5+7,$E227&gt;BG$5),"■","")))</x:f>
      </x:c>
      <x:c r="BH227" s="7" t="str">
        <x:f>IF(OR($D227="",BH$5="",'상세일정'!AM227="제외"),"",IF($D227=$E227,IF(AND($D227&gt;=BH$5,$D227&lt;BH$5+7),"◆",""),IF(AND($D227&lt;BH$5+7,$E227&gt;BH$5),"■","")))</x:f>
      </x:c>
      <x:c r="BI227" s="7" t="str">
        <x:f>IF(OR($D227="",BI$5="",'상세일정'!AM227="제외"),"",IF($D227=$E227,IF(AND($D227&gt;=BI$5,$D227&lt;BI$5+7),"◆",""),IF(AND($D227&lt;BI$5+7,$E227&gt;BI$5),"■","")))</x:f>
      </x:c>
      <x:c r="BJ227" s="7" t="str">
        <x:f>IF(OR($D227="",BJ$5="",'상세일정'!AM227="제외"),"",IF($D227=$E227,IF(AND($D227&gt;=BJ$5,$D227&lt;BJ$5+7),"◆",""),IF(AND($D227&lt;BJ$5+7,$E227&gt;BJ$5),"■","")))</x:f>
      </x:c>
      <x:c r="BK227" s="7" t="str">
        <x:f>IF(OR($D227="",BK$5="",'상세일정'!AM227="제외"),"",IF($D227=$E227,IF(AND($D227&gt;=BK$5,$D227&lt;BK$5+7),"◆",""),IF(AND($D227&lt;BK$5+7,$E227&gt;BK$5),"■","")))</x:f>
      </x:c>
      <x:c r="BL227" s="7" t="str">
        <x:f>IF(OR($D227="",BL$5="",'상세일정'!AM227="제외"),"",IF($D227=$E227,IF(AND($D227&gt;=BL$5,$D227&lt;BL$5+7),"◆",""),IF(AND($D227&lt;BL$5+7,$E227&gt;BL$5),"■","")))</x:f>
      </x:c>
      <x:c r="BM227" s="7" t="str">
        <x:f>IF(OR($D227="",BM$5="",'상세일정'!AM227="제외"),"",IF($D227=$E227,IF(AND($D227&gt;=BM$5,$D227&lt;BM$5+7),"◆",""),IF(AND($D227&lt;BM$5+7,$E227&gt;BM$5),"■","")))</x:f>
      </x:c>
      <x:c r="BN227" s="7" t="str">
        <x:f>IF(OR($D227="",BN$5="",'상세일정'!AM227="제외"),"",IF($D227=$E227,IF(AND($D227&gt;=BN$5,$D227&lt;BN$5+7),"◆",""),IF(AND($D227&lt;BN$5+7,$E227&gt;BN$5),"■","")))</x:f>
      </x:c>
      <x:c r="BO227" s="7" t="str">
        <x:f>IF(OR($D227="",BO$5="",'상세일정'!AM227="제외"),"",IF($D227=$E227,IF(AND($D227&gt;=BO$5,$D227&lt;BO$5+7),"◆",""),IF(AND($D227&lt;BO$5+7,$E227&gt;BO$5),"■","")))</x:f>
      </x:c>
      <x:c r="BP227" s="7" t="str">
        <x:f>IF(OR($D227="",BP$5="",'상세일정'!AM227="제외"),"",IF($D227=$E227,IF(AND($D227&gt;=BP$5,$D227&lt;BP$5+7),"◆",""),IF(AND($D227&lt;BP$5+7,$E227&gt;BP$5),"■","")))</x:f>
      </x:c>
      <x:c r="BQ227" s="7" t="str">
        <x:f>IF(OR($D227="",BQ$5="",'상세일정'!AM227="제외"),"",IF($D227=$E227,IF(AND($D227&gt;=BQ$5,$D227&lt;BQ$5+7),"◆",""),IF(AND($D227&lt;BQ$5+7,$E227&gt;BQ$5),"■","")))</x:f>
      </x:c>
      <x:c r="BR227" s="7" t="str">
        <x:f>IF(OR($D227="",BR$5="",'상세일정'!AM227="제외"),"",IF($D227=$E227,IF(AND($D227&gt;=BR$5,$D227&lt;BR$5+7),"◆",""),IF(AND($D227&lt;BR$5+7,$E227&gt;BR$5),"■","")))</x:f>
      </x:c>
      <x:c r="BS227" s="7" t="str">
        <x:f>IF(OR($D227="",BS$5="",'상세일정'!AM227="제외"),"",IF($D227=$E227,IF(AND($D227&gt;=BS$5,$D227&lt;BS$5+7),"◆",""),IF(AND($D227&lt;BS$5+7,$E227&gt;BS$5),"■","")))</x:f>
      </x:c>
      <x:c r="BT227" s="7" t="str">
        <x:f>IF(OR($D227="",BT$5="",'상세일정'!AM227="제외"),"",IF($D227=$E227,IF(AND($D227&gt;=BT$5,$D227&lt;BT$5+7),"◆",""),IF(AND($D227&lt;BT$5+7,$E227&gt;BT$5),"■","")))</x:f>
      </x:c>
      <x:c r="BU227" s="7" t="str">
        <x:f>IF(OR($D227="",BU$5="",'상세일정'!AM227="제외"),"",IF($D227=$E227,IF(AND($D227&gt;=BU$5,$D227&lt;BU$5+7),"◆",""),IF(AND($D227&lt;BU$5+7,$E227&gt;BU$5),"■","")))</x:f>
      </x:c>
      <x:c r="BV227" s="7" t="str">
        <x:f>IF(OR($D227="",BV$5="",'상세일정'!AM227="제외"),"",IF($D227=$E227,IF(AND($D227&gt;=BV$5,$D227&lt;BV$5+7),"◆",""),IF(AND($D227&lt;BV$5+7,$E227&gt;BV$5),"■","")))</x:f>
      </x:c>
      <x:c r="BW227" s="7" t="str">
        <x:f>IF(OR($D227="",BW$5="",'상세일정'!AM227="제외"),"",IF($D227=$E227,IF(AND($D227&gt;=BW$5,$D227&lt;BW$5+7),"◆",""),IF(AND($D227&lt;BW$5+7,$E227&gt;BW$5),"■","")))</x:f>
      </x:c>
      <x:c r="BX227" s="7" t="str">
        <x:f>IF(OR($D227="",BX$5="",'상세일정'!AM227="제외"),"",IF($D227=$E227,IF(AND($D227&gt;=BX$5,$D227&lt;BX$5+7),"◆",""),IF(AND($D227&lt;BX$5+7,$E227&gt;BX$5),"■","")))</x:f>
      </x:c>
      <x:c r="BY227" s="7" t="str">
        <x:f>IF(OR($D227="",BY$5="",'상세일정'!AM227="제외"),"",IF($D227=$E227,IF(AND($D227&gt;=BY$5,$D227&lt;BY$5+7),"◆",""),IF(AND($D227&lt;BY$5+7,$E227&gt;BY$5),"■","")))</x:f>
      </x:c>
      <x:c r="BZ227" s="7" t="str">
        <x:f>IF(OR($D227="",BZ$5="",'상세일정'!AM227="제외"),"",IF($D227=$E227,IF(AND($D227&gt;=BZ$5,$D227&lt;BZ$5+7),"◆",""),IF(AND($D227&lt;BZ$5+7,$E227&gt;BZ$5),"■","")))</x:f>
      </x:c>
      <x:c r="CA227" s="7" t="str">
        <x:f>IF(OR($D227="",CA$5="",'상세일정'!AM227="제외"),"",IF($D227=$E227,IF(AND($D227&gt;=CA$5,$D227&lt;CA$5+7),"◆",""),IF(AND($D227&lt;CA$5+7,$E227&gt;CA$5),"■","")))</x:f>
      </x:c>
      <x:c r="CB227" s="7" t="str">
        <x:f>IF(OR($D227="",CB$5="",'상세일정'!AM227="제외"),"",IF($D227=$E227,IF(AND($D227&gt;=CB$5,$D227&lt;CB$5+7),"◆",""),IF(AND($D227&lt;CB$5+7,$E227&gt;CB$5),"■","")))</x:f>
      </x:c>
      <x:c r="CC227" s="7" t="str">
        <x:f>IF(OR($D227="",CC$5="",'상세일정'!AM227="제외"),"",IF($D227=$E227,IF(AND($D227&gt;=CC$5,$D227&lt;CC$5+7),"◆",""),IF(AND($D227&lt;CC$5+7,$E227&gt;CC$5),"■","")))</x:f>
      </x:c>
      <x:c r="CD227" s="7" t="str">
        <x:f>IF(OR($D227="",CD$5="",'상세일정'!AM227="제외"),"",IF($D227=$E227,IF(AND($D227&gt;=CD$5,$D227&lt;CD$5+7),"◆",""),IF(AND($D227&lt;CD$5+7,$E227&gt;CD$5),"■","")))</x:f>
      </x:c>
      <x:c r="CE227" s="7" t="str">
        <x:f>IF(OR($D227="",CE$5="",'상세일정'!AM227="제외"),"",IF($D227=$E227,IF(AND($D227&gt;=CE$5,$D227&lt;CE$5+7),"◆",""),IF(AND($D227&lt;CE$5+7,$E227&gt;CE$5),"■","")))</x:f>
      </x:c>
      <x:c r="CF227" s="7" t="str">
        <x:f>IF(OR($D227="",CF$5="",'상세일정'!AM227="제외"),"",IF($D227=$E227,IF(AND($D227&gt;=CF$5,$D227&lt;CF$5+7),"◆",""),IF(AND($D227&lt;CF$5+7,$E227&gt;CF$5),"■","")))</x:f>
      </x:c>
      <x:c r="CG227" s="7" t="str">
        <x:f>IF(OR($D227="",CG$5="",'상세일정'!AM227="제외"),"",IF($D227=$E227,IF(AND($D227&gt;=CG$5,$D227&lt;CG$5+7),"◆",""),IF(AND($D227&lt;CG$5+7,$E227&gt;CG$5),"■","")))</x:f>
      </x:c>
      <x:c r="CH227" s="7" t="str">
        <x:f>IF(OR($D227="",CH$5="",'상세일정'!AM227="제외"),"",IF($D227=$E227,IF(AND($D227&gt;=CH$5,$D227&lt;CH$5+7),"◆",""),IF(AND($D227&lt;CH$5+7,$E227&gt;CH$5),"■","")))</x:f>
      </x:c>
      <x:c r="CI227" s="7" t="str">
        <x:f>IF(OR($D227="",CI$5="",'상세일정'!AM227="제외"),"",IF($D227=$E227,IF(AND($D227&gt;=CI$5,$D227&lt;CI$5+7),"◆",""),IF(AND($D227&lt;CI$5+7,$E227&gt;CI$5),"■","")))</x:f>
      </x:c>
      <x:c r="CJ227" s="7" t="str">
        <x:f>IF(OR($D227="",CJ$5="",'상세일정'!AM227="제외"),"",IF($D227=$E227,IF(AND($D227&gt;=CJ$5,$D227&lt;CJ$5+7),"◆",""),IF(AND($D227&lt;CJ$5+7,$E227&gt;CJ$5),"■","")))</x:f>
      </x:c>
      <x:c r="CK227" s="7" t="str">
        <x:f>IF(OR($D227="",CK$5="",'상세일정'!AM227="제외"),"",IF($D227=$E227,IF(AND($D227&gt;=CK$5,$D227&lt;CK$5+7),"◆",""),IF(AND($D227&lt;CK$5+7,$E227&gt;CK$5),"■","")))</x:f>
      </x:c>
      <x:c r="CL227" s="7" t="str">
        <x:f>IF(OR($D227="",CL$5="",'상세일정'!AM227="제외"),"",IF($D227=$E227,IF(AND($D227&gt;=CL$5,$D227&lt;CL$5+7),"◆",""),IF(AND($D227&lt;CL$5+7,$E227&gt;CL$5),"■","")))</x:f>
      </x:c>
      <x:c r="CM227" s="7" t="str">
        <x:f>IF(OR($D227="",CM$5="",'상세일정'!AM227="제외"),"",IF($D227=$E227,IF(AND($D227&gt;=CM$5,$D227&lt;CM$5+7),"◆",""),IF(AND($D227&lt;CM$5+7,$E227&gt;CM$5),"■","")))</x:f>
      </x:c>
      <x:c r="CN227" s="7" t="str">
        <x:f>IF(OR($D227="",CN$5="",'상세일정'!AM227="제외"),"",IF($D227=$E227,IF(AND($D227&gt;=CN$5,$D227&lt;CN$5+7),"◆",""),IF(AND($D227&lt;CN$5+7,$E227&gt;CN$5),"■","")))</x:f>
      </x:c>
      <x:c r="CO227" s="7" t="str">
        <x:f>IF(OR($D227="",CO$5="",'상세일정'!AM227="제외"),"",IF($D227=$E227,IF(AND($D227&gt;=CO$5,$D227&lt;CO$5+7),"◆",""),IF(AND($D227&lt;CO$5+7,$E227&gt;CO$5),"■","")))</x:f>
      </x:c>
      <x:c r="CP227" s="7" t="str">
        <x:f>IF(OR($D227="",CP$5="",'상세일정'!AM227="제외"),"",IF($D227=$E227,IF(AND($D227&gt;=CP$5,$D227&lt;CP$5+7),"◆",""),IF(AND($D227&lt;CP$5+7,$E227&gt;CP$5),"■","")))</x:f>
      </x:c>
      <x:c r="CQ227" s="7" t="str">
        <x:f>IF(OR($D227="",CQ$5="",'상세일정'!AM227="제외"),"",IF($D227=$E227,IF(AND($D227&gt;=CQ$5,$D227&lt;CQ$5+7),"◆",""),IF(AND($D227&lt;CQ$5+7,$E227&gt;CQ$5),"■","")))</x:f>
      </x:c>
      <x:c r="CR227" s="7" t="str">
        <x:f>IF(OR($D227="",CR$5="",'상세일정'!AM227="제외"),"",IF($D227=$E227,IF(AND($D227&gt;=CR$5,$D227&lt;CR$5+7),"◆",""),IF(AND($D227&lt;CR$5+7,$E227&gt;CR$5),"■","")))</x:f>
      </x:c>
      <x:c r="CS227" s="7" t="str">
        <x:f>IF(OR($D227="",CS$5="",'상세일정'!AM227="제외"),"",IF($D227=$E227,IF(AND($D227&gt;=CS$5,$D227&lt;CS$5+7),"◆",""),IF(AND($D227&lt;CS$5+7,$E227&gt;CS$5),"■","")))</x:f>
      </x:c>
      <x:c r="CT227" s="7" t="str">
        <x:f>IF(OR($D227="",CT$5="",'상세일정'!AM227="제외"),"",IF($D227=$E227,IF(AND($D227&gt;=CT$5,$D227&lt;CT$5+7),"◆",""),IF(AND($D227&lt;CT$5+7,$E227&gt;CT$5),"■","")))</x:f>
      </x:c>
      <x:c r="CU227" s="7" t="str">
        <x:f>IF(OR($D227="",CU$5="",'상세일정'!AM227="제외"),"",IF($D227=$E227,IF(AND($D227&gt;=CU$5,$D227&lt;CU$5+7),"◆",""),IF(AND($D227&lt;CU$5+7,$E227&gt;CU$5),"■","")))</x:f>
      </x:c>
      <x:c r="CV227" s="7" t="str">
        <x:f>IF(OR($D227="",CV$5="",'상세일정'!AM227="제외"),"",IF($D227=$E227,IF(AND($D227&gt;=CV$5,$D227&lt;CV$5+7),"◆",""),IF(AND($D227&lt;CV$5+7,$E227&gt;CV$5),"■","")))</x:f>
      </x:c>
      <x:c r="CW227" s="7" t="str">
        <x:f>IF(OR($D227="",CW$5="",'상세일정'!AM227="제외"),"",IF($D227=$E227,IF(AND($D227&gt;=CW$5,$D227&lt;CW$5+7),"◆",""),IF(AND($D227&lt;CW$5+7,$E227&gt;CW$5),"■","")))</x:f>
      </x:c>
      <x:c r="CX227" s="7" t="str">
        <x:f>IF(OR($D227="",CX$5="",'상세일정'!AM227="제외"),"",IF($D227=$E227,IF(AND($D227&gt;=CX$5,$D227&lt;CX$5+7),"◆",""),IF(AND($D227&lt;CX$5+7,$E227&gt;CX$5),"■","")))</x:f>
      </x:c>
      <x:c r="CY227" s="7" t="str">
        <x:f>IF(OR($D227="",CY$5="",'상세일정'!AM227="제외"),"",IF($D227=$E227,IF(AND($D227&gt;=CY$5,$D227&lt;CY$5+7),"◆",""),IF(AND($D227&lt;CY$5+7,$E227&gt;CY$5),"■","")))</x:f>
      </x:c>
      <x:c r="CZ227" s="7" t="str">
        <x:f>IF(OR($D227="",CZ$5="",'상세일정'!AM227="제외"),"",IF($D227=$E227,IF(AND($D227&gt;=CZ$5,$D227&lt;CZ$5+7),"◆",""),IF(AND($D227&lt;CZ$5+7,$E227&gt;CZ$5),"■","")))</x:f>
      </x:c>
      <x:c r="DA227" s="7" t="str">
        <x:f>IF(OR($D227="",DA$5="",'상세일정'!AM227="제외"),"",IF($D227=$E227,IF(AND($D227&gt;=DA$5,$D227&lt;DA$5+7),"◆",""),IF(AND($D227&lt;DA$5+7,$E227&gt;DA$5),"■","")))</x:f>
      </x:c>
      <x:c r="DB227" s="7" t="str">
        <x:f>IF(OR($D227="",DB$5="",'상세일정'!AM227="제외"),"",IF($D227=$E227,IF(AND($D227&gt;=DB$5,$D227&lt;DB$5+7),"◆",""),IF(AND($D227&lt;DB$5+7,$E227&gt;DB$5),"■","")))</x:f>
      </x:c>
      <x:c r="DC227" s="7" t="str">
        <x:f>IF(OR($D227="",DC$5="",'상세일정'!AM227="제외"),"",IF($D227=$E227,IF(AND($D227&gt;=DC$5,$D227&lt;DC$5+7),"◆",""),IF(AND($D227&lt;DC$5+7,$E227&gt;DC$5),"■","")))</x:f>
      </x:c>
      <x:c r="DD227" s="7" t="str">
        <x:f>IF(OR($D227="",DD$5="",'상세일정'!AM227="제외"),"",IF($D227=$E227,IF(AND($D227&gt;=DD$5,$D227&lt;DD$5+7),"◆",""),IF(AND($D227&lt;DD$5+7,$E227&gt;DD$5),"■","")))</x:f>
      </x:c>
      <x:c r="DE227" s="7" t="str">
        <x:f>IF(OR($D227="",DE$5="",'상세일정'!AM227="제외"),"",IF($D227=$E227,IF(AND($D227&gt;=DE$5,$D227&lt;DE$5+7),"◆",""),IF(AND($D227&lt;DE$5+7,$E227&gt;DE$5),"■","")))</x:f>
      </x:c>
    </x:row>
    <x:row r="228" ht="34" customHeight="1">
      <x:c r="A228" s="7" t="str">
        <x:v>CM03</x:v>
      </x:c>
      <x:c r="B228" s="7" t="str">
        <x:v>26 단동·완성검사</x:v>
      </x:c>
      <x:c r="C228" s="7" t="str">
        <x:v>시험결함 보수·재시험·시험기록 정리</x:v>
      </x:c>
      <x:c r="D228" s="10" t="str">
        <x:f>'상세일정'!AJ228</x:f>
      </x:c>
      <x:c r="E228" s="10" t="str">
        <x:f>'상세일정'!AK228</x:f>
      </x:c>
      <x:c r="F228" s="7" t="str">
        <x:f>IF(OR($D228="",F$5="",'상세일정'!AM228="제외"),"",IF($D228=$E228,IF(AND($D228&gt;=F$5,$D228&lt;F$5+7),"◆",""),IF(AND($D228&lt;F$5+7,$E228&gt;F$5),"■","")))</x:f>
      </x:c>
      <x:c r="G228" s="7" t="str">
        <x:f>IF(OR($D228="",G$5="",'상세일정'!AM228="제외"),"",IF($D228=$E228,IF(AND($D228&gt;=G$5,$D228&lt;G$5+7),"◆",""),IF(AND($D228&lt;G$5+7,$E228&gt;G$5),"■","")))</x:f>
      </x:c>
      <x:c r="H228" s="7" t="str">
        <x:f>IF(OR($D228="",H$5="",'상세일정'!AM228="제외"),"",IF($D228=$E228,IF(AND($D228&gt;=H$5,$D228&lt;H$5+7),"◆",""),IF(AND($D228&lt;H$5+7,$E228&gt;H$5),"■","")))</x:f>
      </x:c>
      <x:c r="I228" s="7" t="str">
        <x:f>IF(OR($D228="",I$5="",'상세일정'!AM228="제외"),"",IF($D228=$E228,IF(AND($D228&gt;=I$5,$D228&lt;I$5+7),"◆",""),IF(AND($D228&lt;I$5+7,$E228&gt;I$5),"■","")))</x:f>
      </x:c>
      <x:c r="J228" s="7" t="str">
        <x:f>IF(OR($D228="",J$5="",'상세일정'!AM228="제외"),"",IF($D228=$E228,IF(AND($D228&gt;=J$5,$D228&lt;J$5+7),"◆",""),IF(AND($D228&lt;J$5+7,$E228&gt;J$5),"■","")))</x:f>
      </x:c>
      <x:c r="K228" s="7" t="str">
        <x:f>IF(OR($D228="",K$5="",'상세일정'!AM228="제외"),"",IF($D228=$E228,IF(AND($D228&gt;=K$5,$D228&lt;K$5+7),"◆",""),IF(AND($D228&lt;K$5+7,$E228&gt;K$5),"■","")))</x:f>
      </x:c>
      <x:c r="L228" s="7" t="str">
        <x:f>IF(OR($D228="",L$5="",'상세일정'!AM228="제외"),"",IF($D228=$E228,IF(AND($D228&gt;=L$5,$D228&lt;L$5+7),"◆",""),IF(AND($D228&lt;L$5+7,$E228&gt;L$5),"■","")))</x:f>
      </x:c>
      <x:c r="M228" s="7" t="str">
        <x:f>IF(OR($D228="",M$5="",'상세일정'!AM228="제외"),"",IF($D228=$E228,IF(AND($D228&gt;=M$5,$D228&lt;M$5+7),"◆",""),IF(AND($D228&lt;M$5+7,$E228&gt;M$5),"■","")))</x:f>
      </x:c>
      <x:c r="N228" s="7" t="str">
        <x:f>IF(OR($D228="",N$5="",'상세일정'!AM228="제외"),"",IF($D228=$E228,IF(AND($D228&gt;=N$5,$D228&lt;N$5+7),"◆",""),IF(AND($D228&lt;N$5+7,$E228&gt;N$5),"■","")))</x:f>
      </x:c>
      <x:c r="O228" s="7" t="str">
        <x:f>IF(OR($D228="",O$5="",'상세일정'!AM228="제외"),"",IF($D228=$E228,IF(AND($D228&gt;=O$5,$D228&lt;O$5+7),"◆",""),IF(AND($D228&lt;O$5+7,$E228&gt;O$5),"■","")))</x:f>
      </x:c>
      <x:c r="P228" s="7" t="str">
        <x:f>IF(OR($D228="",P$5="",'상세일정'!AM228="제외"),"",IF($D228=$E228,IF(AND($D228&gt;=P$5,$D228&lt;P$5+7),"◆",""),IF(AND($D228&lt;P$5+7,$E228&gt;P$5),"■","")))</x:f>
      </x:c>
      <x:c r="Q228" s="7" t="str">
        <x:f>IF(OR($D228="",Q$5="",'상세일정'!AM228="제외"),"",IF($D228=$E228,IF(AND($D228&gt;=Q$5,$D228&lt;Q$5+7),"◆",""),IF(AND($D228&lt;Q$5+7,$E228&gt;Q$5),"■","")))</x:f>
      </x:c>
      <x:c r="R228" s="7" t="str">
        <x:f>IF(OR($D228="",R$5="",'상세일정'!AM228="제외"),"",IF($D228=$E228,IF(AND($D228&gt;=R$5,$D228&lt;R$5+7),"◆",""),IF(AND($D228&lt;R$5+7,$E228&gt;R$5),"■","")))</x:f>
      </x:c>
      <x:c r="S228" s="7" t="str">
        <x:f>IF(OR($D228="",S$5="",'상세일정'!AM228="제외"),"",IF($D228=$E228,IF(AND($D228&gt;=S$5,$D228&lt;S$5+7),"◆",""),IF(AND($D228&lt;S$5+7,$E228&gt;S$5),"■","")))</x:f>
      </x:c>
      <x:c r="T228" s="7" t="str">
        <x:f>IF(OR($D228="",T$5="",'상세일정'!AM228="제외"),"",IF($D228=$E228,IF(AND($D228&gt;=T$5,$D228&lt;T$5+7),"◆",""),IF(AND($D228&lt;T$5+7,$E228&gt;T$5),"■","")))</x:f>
      </x:c>
      <x:c r="U228" s="7" t="str">
        <x:f>IF(OR($D228="",U$5="",'상세일정'!AM228="제외"),"",IF($D228=$E228,IF(AND($D228&gt;=U$5,$D228&lt;U$5+7),"◆",""),IF(AND($D228&lt;U$5+7,$E228&gt;U$5),"■","")))</x:f>
      </x:c>
      <x:c r="V228" s="7" t="str">
        <x:f>IF(OR($D228="",V$5="",'상세일정'!AM228="제외"),"",IF($D228=$E228,IF(AND($D228&gt;=V$5,$D228&lt;V$5+7),"◆",""),IF(AND($D228&lt;V$5+7,$E228&gt;V$5),"■","")))</x:f>
      </x:c>
      <x:c r="W228" s="7" t="str">
        <x:f>IF(OR($D228="",W$5="",'상세일정'!AM228="제외"),"",IF($D228=$E228,IF(AND($D228&gt;=W$5,$D228&lt;W$5+7),"◆",""),IF(AND($D228&lt;W$5+7,$E228&gt;W$5),"■","")))</x:f>
      </x:c>
      <x:c r="X228" s="7" t="str">
        <x:f>IF(OR($D228="",X$5="",'상세일정'!AM228="제외"),"",IF($D228=$E228,IF(AND($D228&gt;=X$5,$D228&lt;X$5+7),"◆",""),IF(AND($D228&lt;X$5+7,$E228&gt;X$5),"■","")))</x:f>
      </x:c>
      <x:c r="Y228" s="7" t="str">
        <x:f>IF(OR($D228="",Y$5="",'상세일정'!AM228="제외"),"",IF($D228=$E228,IF(AND($D228&gt;=Y$5,$D228&lt;Y$5+7),"◆",""),IF(AND($D228&lt;Y$5+7,$E228&gt;Y$5),"■","")))</x:f>
      </x:c>
      <x:c r="Z228" s="7" t="str">
        <x:f>IF(OR($D228="",Z$5="",'상세일정'!AM228="제외"),"",IF($D228=$E228,IF(AND($D228&gt;=Z$5,$D228&lt;Z$5+7),"◆",""),IF(AND($D228&lt;Z$5+7,$E228&gt;Z$5),"■","")))</x:f>
      </x:c>
      <x:c r="AA228" s="7" t="str">
        <x:f>IF(OR($D228="",AA$5="",'상세일정'!AM228="제외"),"",IF($D228=$E228,IF(AND($D228&gt;=AA$5,$D228&lt;AA$5+7),"◆",""),IF(AND($D228&lt;AA$5+7,$E228&gt;AA$5),"■","")))</x:f>
      </x:c>
      <x:c r="AB228" s="7" t="str">
        <x:f>IF(OR($D228="",AB$5="",'상세일정'!AM228="제외"),"",IF($D228=$E228,IF(AND($D228&gt;=AB$5,$D228&lt;AB$5+7),"◆",""),IF(AND($D228&lt;AB$5+7,$E228&gt;AB$5),"■","")))</x:f>
      </x:c>
      <x:c r="AC228" s="7" t="str">
        <x:f>IF(OR($D228="",AC$5="",'상세일정'!AM228="제외"),"",IF($D228=$E228,IF(AND($D228&gt;=AC$5,$D228&lt;AC$5+7),"◆",""),IF(AND($D228&lt;AC$5+7,$E228&gt;AC$5),"■","")))</x:f>
      </x:c>
      <x:c r="AD228" s="7" t="str">
        <x:f>IF(OR($D228="",AD$5="",'상세일정'!AM228="제외"),"",IF($D228=$E228,IF(AND($D228&gt;=AD$5,$D228&lt;AD$5+7),"◆",""),IF(AND($D228&lt;AD$5+7,$E228&gt;AD$5),"■","")))</x:f>
      </x:c>
      <x:c r="AE228" s="7" t="str">
        <x:f>IF(OR($D228="",AE$5="",'상세일정'!AM228="제외"),"",IF($D228=$E228,IF(AND($D228&gt;=AE$5,$D228&lt;AE$5+7),"◆",""),IF(AND($D228&lt;AE$5+7,$E228&gt;AE$5),"■","")))</x:f>
      </x:c>
      <x:c r="AF228" s="7" t="str">
        <x:f>IF(OR($D228="",AF$5="",'상세일정'!AM228="제외"),"",IF($D228=$E228,IF(AND($D228&gt;=AF$5,$D228&lt;AF$5+7),"◆",""),IF(AND($D228&lt;AF$5+7,$E228&gt;AF$5),"■","")))</x:f>
      </x:c>
      <x:c r="AG228" s="7" t="str">
        <x:f>IF(OR($D228="",AG$5="",'상세일정'!AM228="제외"),"",IF($D228=$E228,IF(AND($D228&gt;=AG$5,$D228&lt;AG$5+7),"◆",""),IF(AND($D228&lt;AG$5+7,$E228&gt;AG$5),"■","")))</x:f>
      </x:c>
      <x:c r="AH228" s="7" t="str">
        <x:f>IF(OR($D228="",AH$5="",'상세일정'!AM228="제외"),"",IF($D228=$E228,IF(AND($D228&gt;=AH$5,$D228&lt;AH$5+7),"◆",""),IF(AND($D228&lt;AH$5+7,$E228&gt;AH$5),"■","")))</x:f>
      </x:c>
      <x:c r="AI228" s="7" t="str">
        <x:f>IF(OR($D228="",AI$5="",'상세일정'!AM228="제외"),"",IF($D228=$E228,IF(AND($D228&gt;=AI$5,$D228&lt;AI$5+7),"◆",""),IF(AND($D228&lt;AI$5+7,$E228&gt;AI$5),"■","")))</x:f>
      </x:c>
      <x:c r="AJ228" s="7" t="str">
        <x:f>IF(OR($D228="",AJ$5="",'상세일정'!AM228="제외"),"",IF($D228=$E228,IF(AND($D228&gt;=AJ$5,$D228&lt;AJ$5+7),"◆",""),IF(AND($D228&lt;AJ$5+7,$E228&gt;AJ$5),"■","")))</x:f>
      </x:c>
      <x:c r="AK228" s="7" t="str">
        <x:f>IF(OR($D228="",AK$5="",'상세일정'!AM228="제외"),"",IF($D228=$E228,IF(AND($D228&gt;=AK$5,$D228&lt;AK$5+7),"◆",""),IF(AND($D228&lt;AK$5+7,$E228&gt;AK$5),"■","")))</x:f>
      </x:c>
      <x:c r="AL228" s="7" t="str">
        <x:f>IF(OR($D228="",AL$5="",'상세일정'!AM228="제외"),"",IF($D228=$E228,IF(AND($D228&gt;=AL$5,$D228&lt;AL$5+7),"◆",""),IF(AND($D228&lt;AL$5+7,$E228&gt;AL$5),"■","")))</x:f>
      </x:c>
      <x:c r="AM228" s="7" t="str">
        <x:f>IF(OR($D228="",AM$5="",'상세일정'!AM228="제외"),"",IF($D228=$E228,IF(AND($D228&gt;=AM$5,$D228&lt;AM$5+7),"◆",""),IF(AND($D228&lt;AM$5+7,$E228&gt;AM$5),"■","")))</x:f>
      </x:c>
      <x:c r="AN228" s="7" t="str">
        <x:f>IF(OR($D228="",AN$5="",'상세일정'!AM228="제외"),"",IF($D228=$E228,IF(AND($D228&gt;=AN$5,$D228&lt;AN$5+7),"◆",""),IF(AND($D228&lt;AN$5+7,$E228&gt;AN$5),"■","")))</x:f>
      </x:c>
      <x:c r="AO228" s="7" t="str">
        <x:f>IF(OR($D228="",AO$5="",'상세일정'!AM228="제외"),"",IF($D228=$E228,IF(AND($D228&gt;=AO$5,$D228&lt;AO$5+7),"◆",""),IF(AND($D228&lt;AO$5+7,$E228&gt;AO$5),"■","")))</x:f>
      </x:c>
      <x:c r="AP228" s="7" t="str">
        <x:f>IF(OR($D228="",AP$5="",'상세일정'!AM228="제외"),"",IF($D228=$E228,IF(AND($D228&gt;=AP$5,$D228&lt;AP$5+7),"◆",""),IF(AND($D228&lt;AP$5+7,$E228&gt;AP$5),"■","")))</x:f>
      </x:c>
      <x:c r="AQ228" s="7" t="str">
        <x:f>IF(OR($D228="",AQ$5="",'상세일정'!AM228="제외"),"",IF($D228=$E228,IF(AND($D228&gt;=AQ$5,$D228&lt;AQ$5+7),"◆",""),IF(AND($D228&lt;AQ$5+7,$E228&gt;AQ$5),"■","")))</x:f>
      </x:c>
      <x:c r="AR228" s="7" t="str">
        <x:f>IF(OR($D228="",AR$5="",'상세일정'!AM228="제외"),"",IF($D228=$E228,IF(AND($D228&gt;=AR$5,$D228&lt;AR$5+7),"◆",""),IF(AND($D228&lt;AR$5+7,$E228&gt;AR$5),"■","")))</x:f>
      </x:c>
      <x:c r="AS228" s="7" t="str">
        <x:f>IF(OR($D228="",AS$5="",'상세일정'!AM228="제외"),"",IF($D228=$E228,IF(AND($D228&gt;=AS$5,$D228&lt;AS$5+7),"◆",""),IF(AND($D228&lt;AS$5+7,$E228&gt;AS$5),"■","")))</x:f>
      </x:c>
      <x:c r="AT228" s="7" t="str">
        <x:f>IF(OR($D228="",AT$5="",'상세일정'!AM228="제외"),"",IF($D228=$E228,IF(AND($D228&gt;=AT$5,$D228&lt;AT$5+7),"◆",""),IF(AND($D228&lt;AT$5+7,$E228&gt;AT$5),"■","")))</x:f>
      </x:c>
      <x:c r="AU228" s="7" t="str">
        <x:f>IF(OR($D228="",AU$5="",'상세일정'!AM228="제외"),"",IF($D228=$E228,IF(AND($D228&gt;=AU$5,$D228&lt;AU$5+7),"◆",""),IF(AND($D228&lt;AU$5+7,$E228&gt;AU$5),"■","")))</x:f>
      </x:c>
      <x:c r="AV228" s="7" t="str">
        <x:f>IF(OR($D228="",AV$5="",'상세일정'!AM228="제외"),"",IF($D228=$E228,IF(AND($D228&gt;=AV$5,$D228&lt;AV$5+7),"◆",""),IF(AND($D228&lt;AV$5+7,$E228&gt;AV$5),"■","")))</x:f>
      </x:c>
      <x:c r="AW228" s="7" t="str">
        <x:f>IF(OR($D228="",AW$5="",'상세일정'!AM228="제외"),"",IF($D228=$E228,IF(AND($D228&gt;=AW$5,$D228&lt;AW$5+7),"◆",""),IF(AND($D228&lt;AW$5+7,$E228&gt;AW$5),"■","")))</x:f>
      </x:c>
      <x:c r="AX228" s="7" t="str">
        <x:f>IF(OR($D228="",AX$5="",'상세일정'!AM228="제외"),"",IF($D228=$E228,IF(AND($D228&gt;=AX$5,$D228&lt;AX$5+7),"◆",""),IF(AND($D228&lt;AX$5+7,$E228&gt;AX$5),"■","")))</x:f>
      </x:c>
      <x:c r="AY228" s="7" t="str">
        <x:f>IF(OR($D228="",AY$5="",'상세일정'!AM228="제외"),"",IF($D228=$E228,IF(AND($D228&gt;=AY$5,$D228&lt;AY$5+7),"◆",""),IF(AND($D228&lt;AY$5+7,$E228&gt;AY$5),"■","")))</x:f>
      </x:c>
      <x:c r="AZ228" s="7" t="str">
        <x:f>IF(OR($D228="",AZ$5="",'상세일정'!AM228="제외"),"",IF($D228=$E228,IF(AND($D228&gt;=AZ$5,$D228&lt;AZ$5+7),"◆",""),IF(AND($D228&lt;AZ$5+7,$E228&gt;AZ$5),"■","")))</x:f>
      </x:c>
      <x:c r="BA228" s="7" t="str">
        <x:f>IF(OR($D228="",BA$5="",'상세일정'!AM228="제외"),"",IF($D228=$E228,IF(AND($D228&gt;=BA$5,$D228&lt;BA$5+7),"◆",""),IF(AND($D228&lt;BA$5+7,$E228&gt;BA$5),"■","")))</x:f>
      </x:c>
      <x:c r="BB228" s="7" t="str">
        <x:f>IF(OR($D228="",BB$5="",'상세일정'!AM228="제외"),"",IF($D228=$E228,IF(AND($D228&gt;=BB$5,$D228&lt;BB$5+7),"◆",""),IF(AND($D228&lt;BB$5+7,$E228&gt;BB$5),"■","")))</x:f>
      </x:c>
      <x:c r="BC228" s="7" t="str">
        <x:f>IF(OR($D228="",BC$5="",'상세일정'!AM228="제외"),"",IF($D228=$E228,IF(AND($D228&gt;=BC$5,$D228&lt;BC$5+7),"◆",""),IF(AND($D228&lt;BC$5+7,$E228&gt;BC$5),"■","")))</x:f>
      </x:c>
      <x:c r="BD228" s="7" t="str">
        <x:f>IF(OR($D228="",BD$5="",'상세일정'!AM228="제외"),"",IF($D228=$E228,IF(AND($D228&gt;=BD$5,$D228&lt;BD$5+7),"◆",""),IF(AND($D228&lt;BD$5+7,$E228&gt;BD$5),"■","")))</x:f>
      </x:c>
      <x:c r="BE228" s="7" t="str">
        <x:f>IF(OR($D228="",BE$5="",'상세일정'!AM228="제외"),"",IF($D228=$E228,IF(AND($D228&gt;=BE$5,$D228&lt;BE$5+7),"◆",""),IF(AND($D228&lt;BE$5+7,$E228&gt;BE$5),"■","")))</x:f>
      </x:c>
      <x:c r="BF228" s="7" t="str">
        <x:f>IF(OR($D228="",BF$5="",'상세일정'!AM228="제외"),"",IF($D228=$E228,IF(AND($D228&gt;=BF$5,$D228&lt;BF$5+7),"◆",""),IF(AND($D228&lt;BF$5+7,$E228&gt;BF$5),"■","")))</x:f>
      </x:c>
      <x:c r="BG228" s="7" t="str">
        <x:f>IF(OR($D228="",BG$5="",'상세일정'!AM228="제외"),"",IF($D228=$E228,IF(AND($D228&gt;=BG$5,$D228&lt;BG$5+7),"◆",""),IF(AND($D228&lt;BG$5+7,$E228&gt;BG$5),"■","")))</x:f>
      </x:c>
      <x:c r="BH228" s="7" t="str">
        <x:f>IF(OR($D228="",BH$5="",'상세일정'!AM228="제외"),"",IF($D228=$E228,IF(AND($D228&gt;=BH$5,$D228&lt;BH$5+7),"◆",""),IF(AND($D228&lt;BH$5+7,$E228&gt;BH$5),"■","")))</x:f>
      </x:c>
      <x:c r="BI228" s="7" t="str">
        <x:f>IF(OR($D228="",BI$5="",'상세일정'!AM228="제외"),"",IF($D228=$E228,IF(AND($D228&gt;=BI$5,$D228&lt;BI$5+7),"◆",""),IF(AND($D228&lt;BI$5+7,$E228&gt;BI$5),"■","")))</x:f>
      </x:c>
      <x:c r="BJ228" s="7" t="str">
        <x:f>IF(OR($D228="",BJ$5="",'상세일정'!AM228="제외"),"",IF($D228=$E228,IF(AND($D228&gt;=BJ$5,$D228&lt;BJ$5+7),"◆",""),IF(AND($D228&lt;BJ$5+7,$E228&gt;BJ$5),"■","")))</x:f>
      </x:c>
      <x:c r="BK228" s="7" t="str">
        <x:f>IF(OR($D228="",BK$5="",'상세일정'!AM228="제외"),"",IF($D228=$E228,IF(AND($D228&gt;=BK$5,$D228&lt;BK$5+7),"◆",""),IF(AND($D228&lt;BK$5+7,$E228&gt;BK$5),"■","")))</x:f>
      </x:c>
      <x:c r="BL228" s="7" t="str">
        <x:f>IF(OR($D228="",BL$5="",'상세일정'!AM228="제외"),"",IF($D228=$E228,IF(AND($D228&gt;=BL$5,$D228&lt;BL$5+7),"◆",""),IF(AND($D228&lt;BL$5+7,$E228&gt;BL$5),"■","")))</x:f>
      </x:c>
      <x:c r="BM228" s="7" t="str">
        <x:f>IF(OR($D228="",BM$5="",'상세일정'!AM228="제외"),"",IF($D228=$E228,IF(AND($D228&gt;=BM$5,$D228&lt;BM$5+7),"◆",""),IF(AND($D228&lt;BM$5+7,$E228&gt;BM$5),"■","")))</x:f>
      </x:c>
      <x:c r="BN228" s="7" t="str">
        <x:f>IF(OR($D228="",BN$5="",'상세일정'!AM228="제외"),"",IF($D228=$E228,IF(AND($D228&gt;=BN$5,$D228&lt;BN$5+7),"◆",""),IF(AND($D228&lt;BN$5+7,$E228&gt;BN$5),"■","")))</x:f>
      </x:c>
      <x:c r="BO228" s="7" t="str">
        <x:f>IF(OR($D228="",BO$5="",'상세일정'!AM228="제외"),"",IF($D228=$E228,IF(AND($D228&gt;=BO$5,$D228&lt;BO$5+7),"◆",""),IF(AND($D228&lt;BO$5+7,$E228&gt;BO$5),"■","")))</x:f>
      </x:c>
      <x:c r="BP228" s="7" t="str">
        <x:f>IF(OR($D228="",BP$5="",'상세일정'!AM228="제외"),"",IF($D228=$E228,IF(AND($D228&gt;=BP$5,$D228&lt;BP$5+7),"◆",""),IF(AND($D228&lt;BP$5+7,$E228&gt;BP$5),"■","")))</x:f>
      </x:c>
      <x:c r="BQ228" s="7" t="str">
        <x:f>IF(OR($D228="",BQ$5="",'상세일정'!AM228="제외"),"",IF($D228=$E228,IF(AND($D228&gt;=BQ$5,$D228&lt;BQ$5+7),"◆",""),IF(AND($D228&lt;BQ$5+7,$E228&gt;BQ$5),"■","")))</x:f>
      </x:c>
      <x:c r="BR228" s="7" t="str">
        <x:f>IF(OR($D228="",BR$5="",'상세일정'!AM228="제외"),"",IF($D228=$E228,IF(AND($D228&gt;=BR$5,$D228&lt;BR$5+7),"◆",""),IF(AND($D228&lt;BR$5+7,$E228&gt;BR$5),"■","")))</x:f>
      </x:c>
      <x:c r="BS228" s="7" t="str">
        <x:f>IF(OR($D228="",BS$5="",'상세일정'!AM228="제외"),"",IF($D228=$E228,IF(AND($D228&gt;=BS$5,$D228&lt;BS$5+7),"◆",""),IF(AND($D228&lt;BS$5+7,$E228&gt;BS$5),"■","")))</x:f>
      </x:c>
      <x:c r="BT228" s="7" t="str">
        <x:f>IF(OR($D228="",BT$5="",'상세일정'!AM228="제외"),"",IF($D228=$E228,IF(AND($D228&gt;=BT$5,$D228&lt;BT$5+7),"◆",""),IF(AND($D228&lt;BT$5+7,$E228&gt;BT$5),"■","")))</x:f>
      </x:c>
      <x:c r="BU228" s="7" t="str">
        <x:f>IF(OR($D228="",BU$5="",'상세일정'!AM228="제외"),"",IF($D228=$E228,IF(AND($D228&gt;=BU$5,$D228&lt;BU$5+7),"◆",""),IF(AND($D228&lt;BU$5+7,$E228&gt;BU$5),"■","")))</x:f>
      </x:c>
      <x:c r="BV228" s="7" t="str">
        <x:f>IF(OR($D228="",BV$5="",'상세일정'!AM228="제외"),"",IF($D228=$E228,IF(AND($D228&gt;=BV$5,$D228&lt;BV$5+7),"◆",""),IF(AND($D228&lt;BV$5+7,$E228&gt;BV$5),"■","")))</x:f>
      </x:c>
      <x:c r="BW228" s="7" t="str">
        <x:f>IF(OR($D228="",BW$5="",'상세일정'!AM228="제외"),"",IF($D228=$E228,IF(AND($D228&gt;=BW$5,$D228&lt;BW$5+7),"◆",""),IF(AND($D228&lt;BW$5+7,$E228&gt;BW$5),"■","")))</x:f>
      </x:c>
      <x:c r="BX228" s="7" t="str">
        <x:f>IF(OR($D228="",BX$5="",'상세일정'!AM228="제외"),"",IF($D228=$E228,IF(AND($D228&gt;=BX$5,$D228&lt;BX$5+7),"◆",""),IF(AND($D228&lt;BX$5+7,$E228&gt;BX$5),"■","")))</x:f>
      </x:c>
      <x:c r="BY228" s="7" t="str">
        <x:f>IF(OR($D228="",BY$5="",'상세일정'!AM228="제외"),"",IF($D228=$E228,IF(AND($D228&gt;=BY$5,$D228&lt;BY$5+7),"◆",""),IF(AND($D228&lt;BY$5+7,$E228&gt;BY$5),"■","")))</x:f>
      </x:c>
      <x:c r="BZ228" s="7" t="str">
        <x:f>IF(OR($D228="",BZ$5="",'상세일정'!AM228="제외"),"",IF($D228=$E228,IF(AND($D228&gt;=BZ$5,$D228&lt;BZ$5+7),"◆",""),IF(AND($D228&lt;BZ$5+7,$E228&gt;BZ$5),"■","")))</x:f>
      </x:c>
      <x:c r="CA228" s="7" t="str">
        <x:f>IF(OR($D228="",CA$5="",'상세일정'!AM228="제외"),"",IF($D228=$E228,IF(AND($D228&gt;=CA$5,$D228&lt;CA$5+7),"◆",""),IF(AND($D228&lt;CA$5+7,$E228&gt;CA$5),"■","")))</x:f>
      </x:c>
      <x:c r="CB228" s="7" t="str">
        <x:f>IF(OR($D228="",CB$5="",'상세일정'!AM228="제외"),"",IF($D228=$E228,IF(AND($D228&gt;=CB$5,$D228&lt;CB$5+7),"◆",""),IF(AND($D228&lt;CB$5+7,$E228&gt;CB$5),"■","")))</x:f>
      </x:c>
      <x:c r="CC228" s="7" t="str">
        <x:f>IF(OR($D228="",CC$5="",'상세일정'!AM228="제외"),"",IF($D228=$E228,IF(AND($D228&gt;=CC$5,$D228&lt;CC$5+7),"◆",""),IF(AND($D228&lt;CC$5+7,$E228&gt;CC$5),"■","")))</x:f>
      </x:c>
      <x:c r="CD228" s="7" t="str">
        <x:f>IF(OR($D228="",CD$5="",'상세일정'!AM228="제외"),"",IF($D228=$E228,IF(AND($D228&gt;=CD$5,$D228&lt;CD$5+7),"◆",""),IF(AND($D228&lt;CD$5+7,$E228&gt;CD$5),"■","")))</x:f>
      </x:c>
      <x:c r="CE228" s="7" t="str">
        <x:f>IF(OR($D228="",CE$5="",'상세일정'!AM228="제외"),"",IF($D228=$E228,IF(AND($D228&gt;=CE$5,$D228&lt;CE$5+7),"◆",""),IF(AND($D228&lt;CE$5+7,$E228&gt;CE$5),"■","")))</x:f>
      </x:c>
      <x:c r="CF228" s="7" t="str">
        <x:f>IF(OR($D228="",CF$5="",'상세일정'!AM228="제외"),"",IF($D228=$E228,IF(AND($D228&gt;=CF$5,$D228&lt;CF$5+7),"◆",""),IF(AND($D228&lt;CF$5+7,$E228&gt;CF$5),"■","")))</x:f>
      </x:c>
      <x:c r="CG228" s="7" t="str">
        <x:f>IF(OR($D228="",CG$5="",'상세일정'!AM228="제외"),"",IF($D228=$E228,IF(AND($D228&gt;=CG$5,$D228&lt;CG$5+7),"◆",""),IF(AND($D228&lt;CG$5+7,$E228&gt;CG$5),"■","")))</x:f>
      </x:c>
      <x:c r="CH228" s="7" t="str">
        <x:f>IF(OR($D228="",CH$5="",'상세일정'!AM228="제외"),"",IF($D228=$E228,IF(AND($D228&gt;=CH$5,$D228&lt;CH$5+7),"◆",""),IF(AND($D228&lt;CH$5+7,$E228&gt;CH$5),"■","")))</x:f>
      </x:c>
      <x:c r="CI228" s="7" t="str">
        <x:f>IF(OR($D228="",CI$5="",'상세일정'!AM228="제외"),"",IF($D228=$E228,IF(AND($D228&gt;=CI$5,$D228&lt;CI$5+7),"◆",""),IF(AND($D228&lt;CI$5+7,$E228&gt;CI$5),"■","")))</x:f>
      </x:c>
      <x:c r="CJ228" s="7" t="str">
        <x:f>IF(OR($D228="",CJ$5="",'상세일정'!AM228="제외"),"",IF($D228=$E228,IF(AND($D228&gt;=CJ$5,$D228&lt;CJ$5+7),"◆",""),IF(AND($D228&lt;CJ$5+7,$E228&gt;CJ$5),"■","")))</x:f>
      </x:c>
      <x:c r="CK228" s="7" t="str">
        <x:f>IF(OR($D228="",CK$5="",'상세일정'!AM228="제외"),"",IF($D228=$E228,IF(AND($D228&gt;=CK$5,$D228&lt;CK$5+7),"◆",""),IF(AND($D228&lt;CK$5+7,$E228&gt;CK$5),"■","")))</x:f>
      </x:c>
      <x:c r="CL228" s="7" t="str">
        <x:f>IF(OR($D228="",CL$5="",'상세일정'!AM228="제외"),"",IF($D228=$E228,IF(AND($D228&gt;=CL$5,$D228&lt;CL$5+7),"◆",""),IF(AND($D228&lt;CL$5+7,$E228&gt;CL$5),"■","")))</x:f>
      </x:c>
      <x:c r="CM228" s="7" t="str">
        <x:f>IF(OR($D228="",CM$5="",'상세일정'!AM228="제외"),"",IF($D228=$E228,IF(AND($D228&gt;=CM$5,$D228&lt;CM$5+7),"◆",""),IF(AND($D228&lt;CM$5+7,$E228&gt;CM$5),"■","")))</x:f>
      </x:c>
      <x:c r="CN228" s="7" t="str">
        <x:f>IF(OR($D228="",CN$5="",'상세일정'!AM228="제외"),"",IF($D228=$E228,IF(AND($D228&gt;=CN$5,$D228&lt;CN$5+7),"◆",""),IF(AND($D228&lt;CN$5+7,$E228&gt;CN$5),"■","")))</x:f>
      </x:c>
      <x:c r="CO228" s="7" t="str">
        <x:f>IF(OR($D228="",CO$5="",'상세일정'!AM228="제외"),"",IF($D228=$E228,IF(AND($D228&gt;=CO$5,$D228&lt;CO$5+7),"◆",""),IF(AND($D228&lt;CO$5+7,$E228&gt;CO$5),"■","")))</x:f>
      </x:c>
      <x:c r="CP228" s="7" t="str">
        <x:f>IF(OR($D228="",CP$5="",'상세일정'!AM228="제외"),"",IF($D228=$E228,IF(AND($D228&gt;=CP$5,$D228&lt;CP$5+7),"◆",""),IF(AND($D228&lt;CP$5+7,$E228&gt;CP$5),"■","")))</x:f>
      </x:c>
      <x:c r="CQ228" s="7" t="str">
        <x:f>IF(OR($D228="",CQ$5="",'상세일정'!AM228="제외"),"",IF($D228=$E228,IF(AND($D228&gt;=CQ$5,$D228&lt;CQ$5+7),"◆",""),IF(AND($D228&lt;CQ$5+7,$E228&gt;CQ$5),"■","")))</x:f>
      </x:c>
      <x:c r="CR228" s="7" t="str">
        <x:f>IF(OR($D228="",CR$5="",'상세일정'!AM228="제외"),"",IF($D228=$E228,IF(AND($D228&gt;=CR$5,$D228&lt;CR$5+7),"◆",""),IF(AND($D228&lt;CR$5+7,$E228&gt;CR$5),"■","")))</x:f>
      </x:c>
      <x:c r="CS228" s="7" t="str">
        <x:f>IF(OR($D228="",CS$5="",'상세일정'!AM228="제외"),"",IF($D228=$E228,IF(AND($D228&gt;=CS$5,$D228&lt;CS$5+7),"◆",""),IF(AND($D228&lt;CS$5+7,$E228&gt;CS$5),"■","")))</x:f>
      </x:c>
      <x:c r="CT228" s="7" t="str">
        <x:f>IF(OR($D228="",CT$5="",'상세일정'!AM228="제외"),"",IF($D228=$E228,IF(AND($D228&gt;=CT$5,$D228&lt;CT$5+7),"◆",""),IF(AND($D228&lt;CT$5+7,$E228&gt;CT$5),"■","")))</x:f>
      </x:c>
      <x:c r="CU228" s="7" t="str">
        <x:f>IF(OR($D228="",CU$5="",'상세일정'!AM228="제외"),"",IF($D228=$E228,IF(AND($D228&gt;=CU$5,$D228&lt;CU$5+7),"◆",""),IF(AND($D228&lt;CU$5+7,$E228&gt;CU$5),"■","")))</x:f>
      </x:c>
      <x:c r="CV228" s="7" t="str">
        <x:f>IF(OR($D228="",CV$5="",'상세일정'!AM228="제외"),"",IF($D228=$E228,IF(AND($D228&gt;=CV$5,$D228&lt;CV$5+7),"◆",""),IF(AND($D228&lt;CV$5+7,$E228&gt;CV$5),"■","")))</x:f>
      </x:c>
      <x:c r="CW228" s="7" t="str">
        <x:f>IF(OR($D228="",CW$5="",'상세일정'!AM228="제외"),"",IF($D228=$E228,IF(AND($D228&gt;=CW$5,$D228&lt;CW$5+7),"◆",""),IF(AND($D228&lt;CW$5+7,$E228&gt;CW$5),"■","")))</x:f>
      </x:c>
      <x:c r="CX228" s="7" t="str">
        <x:f>IF(OR($D228="",CX$5="",'상세일정'!AM228="제외"),"",IF($D228=$E228,IF(AND($D228&gt;=CX$5,$D228&lt;CX$5+7),"◆",""),IF(AND($D228&lt;CX$5+7,$E228&gt;CX$5),"■","")))</x:f>
      </x:c>
      <x:c r="CY228" s="7" t="str">
        <x:f>IF(OR($D228="",CY$5="",'상세일정'!AM228="제외"),"",IF($D228=$E228,IF(AND($D228&gt;=CY$5,$D228&lt;CY$5+7),"◆",""),IF(AND($D228&lt;CY$5+7,$E228&gt;CY$5),"■","")))</x:f>
      </x:c>
      <x:c r="CZ228" s="7" t="str">
        <x:f>IF(OR($D228="",CZ$5="",'상세일정'!AM228="제외"),"",IF($D228=$E228,IF(AND($D228&gt;=CZ$5,$D228&lt;CZ$5+7),"◆",""),IF(AND($D228&lt;CZ$5+7,$E228&gt;CZ$5),"■","")))</x:f>
      </x:c>
      <x:c r="DA228" s="7" t="str">
        <x:f>IF(OR($D228="",DA$5="",'상세일정'!AM228="제외"),"",IF($D228=$E228,IF(AND($D228&gt;=DA$5,$D228&lt;DA$5+7),"◆",""),IF(AND($D228&lt;DA$5+7,$E228&gt;DA$5),"■","")))</x:f>
      </x:c>
      <x:c r="DB228" s="7" t="str">
        <x:f>IF(OR($D228="",DB$5="",'상세일정'!AM228="제외"),"",IF($D228=$E228,IF(AND($D228&gt;=DB$5,$D228&lt;DB$5+7),"◆",""),IF(AND($D228&lt;DB$5+7,$E228&gt;DB$5),"■","")))</x:f>
      </x:c>
      <x:c r="DC228" s="7" t="str">
        <x:f>IF(OR($D228="",DC$5="",'상세일정'!AM228="제외"),"",IF($D228=$E228,IF(AND($D228&gt;=DC$5,$D228&lt;DC$5+7),"◆",""),IF(AND($D228&lt;DC$5+7,$E228&gt;DC$5),"■","")))</x:f>
      </x:c>
      <x:c r="DD228" s="7" t="str">
        <x:f>IF(OR($D228="",DD$5="",'상세일정'!AM228="제외"),"",IF($D228=$E228,IF(AND($D228&gt;=DD$5,$D228&lt;DD$5+7),"◆",""),IF(AND($D228&lt;DD$5+7,$E228&gt;DD$5),"■","")))</x:f>
      </x:c>
      <x:c r="DE228" s="7" t="str">
        <x:f>IF(OR($D228="",DE$5="",'상세일정'!AM228="제외"),"",IF($D228=$E228,IF(AND($D228&gt;=DE$5,$D228&lt;DE$5+7),"◆",""),IF(AND($D228&lt;DE$5+7,$E228&gt;DE$5),"■","")))</x:f>
      </x:c>
    </x:row>
    <x:row r="229" ht="34" customHeight="1">
      <x:c r="A229" s="7" t="str">
        <x:v>CM04</x:v>
      </x:c>
      <x:c r="B229" s="7" t="str">
        <x:v>26 단동·완성검사</x:v>
      </x:c>
      <x:c r="C229" s="7" t="str">
        <x:v>KGS 완성검사 신청·검사자료 사전검토</x:v>
      </x:c>
      <x:c r="D229" s="10" t="str">
        <x:f>'상세일정'!AJ229</x:f>
      </x:c>
      <x:c r="E229" s="10" t="str">
        <x:f>'상세일정'!AK229</x:f>
      </x:c>
      <x:c r="F229" s="7" t="str">
        <x:f>IF(OR($D229="",F$5="",'상세일정'!AM229="제외"),"",IF($D229=$E229,IF(AND($D229&gt;=F$5,$D229&lt;F$5+7),"◆",""),IF(AND($D229&lt;F$5+7,$E229&gt;F$5),"■","")))</x:f>
      </x:c>
      <x:c r="G229" s="7" t="str">
        <x:f>IF(OR($D229="",G$5="",'상세일정'!AM229="제외"),"",IF($D229=$E229,IF(AND($D229&gt;=G$5,$D229&lt;G$5+7),"◆",""),IF(AND($D229&lt;G$5+7,$E229&gt;G$5),"■","")))</x:f>
      </x:c>
      <x:c r="H229" s="7" t="str">
        <x:f>IF(OR($D229="",H$5="",'상세일정'!AM229="제외"),"",IF($D229=$E229,IF(AND($D229&gt;=H$5,$D229&lt;H$5+7),"◆",""),IF(AND($D229&lt;H$5+7,$E229&gt;H$5),"■","")))</x:f>
      </x:c>
      <x:c r="I229" s="7" t="str">
        <x:f>IF(OR($D229="",I$5="",'상세일정'!AM229="제외"),"",IF($D229=$E229,IF(AND($D229&gt;=I$5,$D229&lt;I$5+7),"◆",""),IF(AND($D229&lt;I$5+7,$E229&gt;I$5),"■","")))</x:f>
      </x:c>
      <x:c r="J229" s="7" t="str">
        <x:f>IF(OR($D229="",J$5="",'상세일정'!AM229="제외"),"",IF($D229=$E229,IF(AND($D229&gt;=J$5,$D229&lt;J$5+7),"◆",""),IF(AND($D229&lt;J$5+7,$E229&gt;J$5),"■","")))</x:f>
      </x:c>
      <x:c r="K229" s="7" t="str">
        <x:f>IF(OR($D229="",K$5="",'상세일정'!AM229="제외"),"",IF($D229=$E229,IF(AND($D229&gt;=K$5,$D229&lt;K$5+7),"◆",""),IF(AND($D229&lt;K$5+7,$E229&gt;K$5),"■","")))</x:f>
      </x:c>
      <x:c r="L229" s="7" t="str">
        <x:f>IF(OR($D229="",L$5="",'상세일정'!AM229="제외"),"",IF($D229=$E229,IF(AND($D229&gt;=L$5,$D229&lt;L$5+7),"◆",""),IF(AND($D229&lt;L$5+7,$E229&gt;L$5),"■","")))</x:f>
      </x:c>
      <x:c r="M229" s="7" t="str">
        <x:f>IF(OR($D229="",M$5="",'상세일정'!AM229="제외"),"",IF($D229=$E229,IF(AND($D229&gt;=M$5,$D229&lt;M$5+7),"◆",""),IF(AND($D229&lt;M$5+7,$E229&gt;M$5),"■","")))</x:f>
      </x:c>
      <x:c r="N229" s="7" t="str">
        <x:f>IF(OR($D229="",N$5="",'상세일정'!AM229="제외"),"",IF($D229=$E229,IF(AND($D229&gt;=N$5,$D229&lt;N$5+7),"◆",""),IF(AND($D229&lt;N$5+7,$E229&gt;N$5),"■","")))</x:f>
      </x:c>
      <x:c r="O229" s="7" t="str">
        <x:f>IF(OR($D229="",O$5="",'상세일정'!AM229="제외"),"",IF($D229=$E229,IF(AND($D229&gt;=O$5,$D229&lt;O$5+7),"◆",""),IF(AND($D229&lt;O$5+7,$E229&gt;O$5),"■","")))</x:f>
      </x:c>
      <x:c r="P229" s="7" t="str">
        <x:f>IF(OR($D229="",P$5="",'상세일정'!AM229="제외"),"",IF($D229=$E229,IF(AND($D229&gt;=P$5,$D229&lt;P$5+7),"◆",""),IF(AND($D229&lt;P$5+7,$E229&gt;P$5),"■","")))</x:f>
      </x:c>
      <x:c r="Q229" s="7" t="str">
        <x:f>IF(OR($D229="",Q$5="",'상세일정'!AM229="제외"),"",IF($D229=$E229,IF(AND($D229&gt;=Q$5,$D229&lt;Q$5+7),"◆",""),IF(AND($D229&lt;Q$5+7,$E229&gt;Q$5),"■","")))</x:f>
      </x:c>
      <x:c r="R229" s="7" t="str">
        <x:f>IF(OR($D229="",R$5="",'상세일정'!AM229="제외"),"",IF($D229=$E229,IF(AND($D229&gt;=R$5,$D229&lt;R$5+7),"◆",""),IF(AND($D229&lt;R$5+7,$E229&gt;R$5),"■","")))</x:f>
      </x:c>
      <x:c r="S229" s="7" t="str">
        <x:f>IF(OR($D229="",S$5="",'상세일정'!AM229="제외"),"",IF($D229=$E229,IF(AND($D229&gt;=S$5,$D229&lt;S$5+7),"◆",""),IF(AND($D229&lt;S$5+7,$E229&gt;S$5),"■","")))</x:f>
      </x:c>
      <x:c r="T229" s="7" t="str">
        <x:f>IF(OR($D229="",T$5="",'상세일정'!AM229="제외"),"",IF($D229=$E229,IF(AND($D229&gt;=T$5,$D229&lt;T$5+7),"◆",""),IF(AND($D229&lt;T$5+7,$E229&gt;T$5),"■","")))</x:f>
      </x:c>
      <x:c r="U229" s="7" t="str">
        <x:f>IF(OR($D229="",U$5="",'상세일정'!AM229="제외"),"",IF($D229=$E229,IF(AND($D229&gt;=U$5,$D229&lt;U$5+7),"◆",""),IF(AND($D229&lt;U$5+7,$E229&gt;U$5),"■","")))</x:f>
      </x:c>
      <x:c r="V229" s="7" t="str">
        <x:f>IF(OR($D229="",V$5="",'상세일정'!AM229="제외"),"",IF($D229=$E229,IF(AND($D229&gt;=V$5,$D229&lt;V$5+7),"◆",""),IF(AND($D229&lt;V$5+7,$E229&gt;V$5),"■","")))</x:f>
      </x:c>
      <x:c r="W229" s="7" t="str">
        <x:f>IF(OR($D229="",W$5="",'상세일정'!AM229="제외"),"",IF($D229=$E229,IF(AND($D229&gt;=W$5,$D229&lt;W$5+7),"◆",""),IF(AND($D229&lt;W$5+7,$E229&gt;W$5),"■","")))</x:f>
      </x:c>
      <x:c r="X229" s="7" t="str">
        <x:f>IF(OR($D229="",X$5="",'상세일정'!AM229="제외"),"",IF($D229=$E229,IF(AND($D229&gt;=X$5,$D229&lt;X$5+7),"◆",""),IF(AND($D229&lt;X$5+7,$E229&gt;X$5),"■","")))</x:f>
      </x:c>
      <x:c r="Y229" s="7" t="str">
        <x:f>IF(OR($D229="",Y$5="",'상세일정'!AM229="제외"),"",IF($D229=$E229,IF(AND($D229&gt;=Y$5,$D229&lt;Y$5+7),"◆",""),IF(AND($D229&lt;Y$5+7,$E229&gt;Y$5),"■","")))</x:f>
      </x:c>
      <x:c r="Z229" s="7" t="str">
        <x:f>IF(OR($D229="",Z$5="",'상세일정'!AM229="제외"),"",IF($D229=$E229,IF(AND($D229&gt;=Z$5,$D229&lt;Z$5+7),"◆",""),IF(AND($D229&lt;Z$5+7,$E229&gt;Z$5),"■","")))</x:f>
      </x:c>
      <x:c r="AA229" s="7" t="str">
        <x:f>IF(OR($D229="",AA$5="",'상세일정'!AM229="제외"),"",IF($D229=$E229,IF(AND($D229&gt;=AA$5,$D229&lt;AA$5+7),"◆",""),IF(AND($D229&lt;AA$5+7,$E229&gt;AA$5),"■","")))</x:f>
      </x:c>
      <x:c r="AB229" s="7" t="str">
        <x:f>IF(OR($D229="",AB$5="",'상세일정'!AM229="제외"),"",IF($D229=$E229,IF(AND($D229&gt;=AB$5,$D229&lt;AB$5+7),"◆",""),IF(AND($D229&lt;AB$5+7,$E229&gt;AB$5),"■","")))</x:f>
      </x:c>
      <x:c r="AC229" s="7" t="str">
        <x:f>IF(OR($D229="",AC$5="",'상세일정'!AM229="제외"),"",IF($D229=$E229,IF(AND($D229&gt;=AC$5,$D229&lt;AC$5+7),"◆",""),IF(AND($D229&lt;AC$5+7,$E229&gt;AC$5),"■","")))</x:f>
      </x:c>
      <x:c r="AD229" s="7" t="str">
        <x:f>IF(OR($D229="",AD$5="",'상세일정'!AM229="제외"),"",IF($D229=$E229,IF(AND($D229&gt;=AD$5,$D229&lt;AD$5+7),"◆",""),IF(AND($D229&lt;AD$5+7,$E229&gt;AD$5),"■","")))</x:f>
      </x:c>
      <x:c r="AE229" s="7" t="str">
        <x:f>IF(OR($D229="",AE$5="",'상세일정'!AM229="제외"),"",IF($D229=$E229,IF(AND($D229&gt;=AE$5,$D229&lt;AE$5+7),"◆",""),IF(AND($D229&lt;AE$5+7,$E229&gt;AE$5),"■","")))</x:f>
      </x:c>
      <x:c r="AF229" s="7" t="str">
        <x:f>IF(OR($D229="",AF$5="",'상세일정'!AM229="제외"),"",IF($D229=$E229,IF(AND($D229&gt;=AF$5,$D229&lt;AF$5+7),"◆",""),IF(AND($D229&lt;AF$5+7,$E229&gt;AF$5),"■","")))</x:f>
      </x:c>
      <x:c r="AG229" s="7" t="str">
        <x:f>IF(OR($D229="",AG$5="",'상세일정'!AM229="제외"),"",IF($D229=$E229,IF(AND($D229&gt;=AG$5,$D229&lt;AG$5+7),"◆",""),IF(AND($D229&lt;AG$5+7,$E229&gt;AG$5),"■","")))</x:f>
      </x:c>
      <x:c r="AH229" s="7" t="str">
        <x:f>IF(OR($D229="",AH$5="",'상세일정'!AM229="제외"),"",IF($D229=$E229,IF(AND($D229&gt;=AH$5,$D229&lt;AH$5+7),"◆",""),IF(AND($D229&lt;AH$5+7,$E229&gt;AH$5),"■","")))</x:f>
      </x:c>
      <x:c r="AI229" s="7" t="str">
        <x:f>IF(OR($D229="",AI$5="",'상세일정'!AM229="제외"),"",IF($D229=$E229,IF(AND($D229&gt;=AI$5,$D229&lt;AI$5+7),"◆",""),IF(AND($D229&lt;AI$5+7,$E229&gt;AI$5),"■","")))</x:f>
      </x:c>
      <x:c r="AJ229" s="7" t="str">
        <x:f>IF(OR($D229="",AJ$5="",'상세일정'!AM229="제외"),"",IF($D229=$E229,IF(AND($D229&gt;=AJ$5,$D229&lt;AJ$5+7),"◆",""),IF(AND($D229&lt;AJ$5+7,$E229&gt;AJ$5),"■","")))</x:f>
      </x:c>
      <x:c r="AK229" s="7" t="str">
        <x:f>IF(OR($D229="",AK$5="",'상세일정'!AM229="제외"),"",IF($D229=$E229,IF(AND($D229&gt;=AK$5,$D229&lt;AK$5+7),"◆",""),IF(AND($D229&lt;AK$5+7,$E229&gt;AK$5),"■","")))</x:f>
      </x:c>
      <x:c r="AL229" s="7" t="str">
        <x:f>IF(OR($D229="",AL$5="",'상세일정'!AM229="제외"),"",IF($D229=$E229,IF(AND($D229&gt;=AL$5,$D229&lt;AL$5+7),"◆",""),IF(AND($D229&lt;AL$5+7,$E229&gt;AL$5),"■","")))</x:f>
      </x:c>
      <x:c r="AM229" s="7" t="str">
        <x:f>IF(OR($D229="",AM$5="",'상세일정'!AM229="제외"),"",IF($D229=$E229,IF(AND($D229&gt;=AM$5,$D229&lt;AM$5+7),"◆",""),IF(AND($D229&lt;AM$5+7,$E229&gt;AM$5),"■","")))</x:f>
      </x:c>
      <x:c r="AN229" s="7" t="str">
        <x:f>IF(OR($D229="",AN$5="",'상세일정'!AM229="제외"),"",IF($D229=$E229,IF(AND($D229&gt;=AN$5,$D229&lt;AN$5+7),"◆",""),IF(AND($D229&lt;AN$5+7,$E229&gt;AN$5),"■","")))</x:f>
      </x:c>
      <x:c r="AO229" s="7" t="str">
        <x:f>IF(OR($D229="",AO$5="",'상세일정'!AM229="제외"),"",IF($D229=$E229,IF(AND($D229&gt;=AO$5,$D229&lt;AO$5+7),"◆",""),IF(AND($D229&lt;AO$5+7,$E229&gt;AO$5),"■","")))</x:f>
      </x:c>
      <x:c r="AP229" s="7" t="str">
        <x:f>IF(OR($D229="",AP$5="",'상세일정'!AM229="제외"),"",IF($D229=$E229,IF(AND($D229&gt;=AP$5,$D229&lt;AP$5+7),"◆",""),IF(AND($D229&lt;AP$5+7,$E229&gt;AP$5),"■","")))</x:f>
      </x:c>
      <x:c r="AQ229" s="7" t="str">
        <x:f>IF(OR($D229="",AQ$5="",'상세일정'!AM229="제외"),"",IF($D229=$E229,IF(AND($D229&gt;=AQ$5,$D229&lt;AQ$5+7),"◆",""),IF(AND($D229&lt;AQ$5+7,$E229&gt;AQ$5),"■","")))</x:f>
      </x:c>
      <x:c r="AR229" s="7" t="str">
        <x:f>IF(OR($D229="",AR$5="",'상세일정'!AM229="제외"),"",IF($D229=$E229,IF(AND($D229&gt;=AR$5,$D229&lt;AR$5+7),"◆",""),IF(AND($D229&lt;AR$5+7,$E229&gt;AR$5),"■","")))</x:f>
      </x:c>
      <x:c r="AS229" s="7" t="str">
        <x:f>IF(OR($D229="",AS$5="",'상세일정'!AM229="제외"),"",IF($D229=$E229,IF(AND($D229&gt;=AS$5,$D229&lt;AS$5+7),"◆",""),IF(AND($D229&lt;AS$5+7,$E229&gt;AS$5),"■","")))</x:f>
      </x:c>
      <x:c r="AT229" s="7" t="str">
        <x:f>IF(OR($D229="",AT$5="",'상세일정'!AM229="제외"),"",IF($D229=$E229,IF(AND($D229&gt;=AT$5,$D229&lt;AT$5+7),"◆",""),IF(AND($D229&lt;AT$5+7,$E229&gt;AT$5),"■","")))</x:f>
      </x:c>
      <x:c r="AU229" s="7" t="str">
        <x:f>IF(OR($D229="",AU$5="",'상세일정'!AM229="제외"),"",IF($D229=$E229,IF(AND($D229&gt;=AU$5,$D229&lt;AU$5+7),"◆",""),IF(AND($D229&lt;AU$5+7,$E229&gt;AU$5),"■","")))</x:f>
      </x:c>
      <x:c r="AV229" s="7" t="str">
        <x:f>IF(OR($D229="",AV$5="",'상세일정'!AM229="제외"),"",IF($D229=$E229,IF(AND($D229&gt;=AV$5,$D229&lt;AV$5+7),"◆",""),IF(AND($D229&lt;AV$5+7,$E229&gt;AV$5),"■","")))</x:f>
      </x:c>
      <x:c r="AW229" s="7" t="str">
        <x:f>IF(OR($D229="",AW$5="",'상세일정'!AM229="제외"),"",IF($D229=$E229,IF(AND($D229&gt;=AW$5,$D229&lt;AW$5+7),"◆",""),IF(AND($D229&lt;AW$5+7,$E229&gt;AW$5),"■","")))</x:f>
      </x:c>
      <x:c r="AX229" s="7" t="str">
        <x:f>IF(OR($D229="",AX$5="",'상세일정'!AM229="제외"),"",IF($D229=$E229,IF(AND($D229&gt;=AX$5,$D229&lt;AX$5+7),"◆",""),IF(AND($D229&lt;AX$5+7,$E229&gt;AX$5),"■","")))</x:f>
      </x:c>
      <x:c r="AY229" s="7" t="str">
        <x:f>IF(OR($D229="",AY$5="",'상세일정'!AM229="제외"),"",IF($D229=$E229,IF(AND($D229&gt;=AY$5,$D229&lt;AY$5+7),"◆",""),IF(AND($D229&lt;AY$5+7,$E229&gt;AY$5),"■","")))</x:f>
      </x:c>
      <x:c r="AZ229" s="7" t="str">
        <x:f>IF(OR($D229="",AZ$5="",'상세일정'!AM229="제외"),"",IF($D229=$E229,IF(AND($D229&gt;=AZ$5,$D229&lt;AZ$5+7),"◆",""),IF(AND($D229&lt;AZ$5+7,$E229&gt;AZ$5),"■","")))</x:f>
      </x:c>
      <x:c r="BA229" s="7" t="str">
        <x:f>IF(OR($D229="",BA$5="",'상세일정'!AM229="제외"),"",IF($D229=$E229,IF(AND($D229&gt;=BA$5,$D229&lt;BA$5+7),"◆",""),IF(AND($D229&lt;BA$5+7,$E229&gt;BA$5),"■","")))</x:f>
      </x:c>
      <x:c r="BB229" s="7" t="str">
        <x:f>IF(OR($D229="",BB$5="",'상세일정'!AM229="제외"),"",IF($D229=$E229,IF(AND($D229&gt;=BB$5,$D229&lt;BB$5+7),"◆",""),IF(AND($D229&lt;BB$5+7,$E229&gt;BB$5),"■","")))</x:f>
      </x:c>
      <x:c r="BC229" s="7" t="str">
        <x:f>IF(OR($D229="",BC$5="",'상세일정'!AM229="제외"),"",IF($D229=$E229,IF(AND($D229&gt;=BC$5,$D229&lt;BC$5+7),"◆",""),IF(AND($D229&lt;BC$5+7,$E229&gt;BC$5),"■","")))</x:f>
      </x:c>
      <x:c r="BD229" s="7" t="str">
        <x:f>IF(OR($D229="",BD$5="",'상세일정'!AM229="제외"),"",IF($D229=$E229,IF(AND($D229&gt;=BD$5,$D229&lt;BD$5+7),"◆",""),IF(AND($D229&lt;BD$5+7,$E229&gt;BD$5),"■","")))</x:f>
      </x:c>
      <x:c r="BE229" s="7" t="str">
        <x:f>IF(OR($D229="",BE$5="",'상세일정'!AM229="제외"),"",IF($D229=$E229,IF(AND($D229&gt;=BE$5,$D229&lt;BE$5+7),"◆",""),IF(AND($D229&lt;BE$5+7,$E229&gt;BE$5),"■","")))</x:f>
      </x:c>
      <x:c r="BF229" s="7" t="str">
        <x:f>IF(OR($D229="",BF$5="",'상세일정'!AM229="제외"),"",IF($D229=$E229,IF(AND($D229&gt;=BF$5,$D229&lt;BF$5+7),"◆",""),IF(AND($D229&lt;BF$5+7,$E229&gt;BF$5),"■","")))</x:f>
      </x:c>
      <x:c r="BG229" s="7" t="str">
        <x:f>IF(OR($D229="",BG$5="",'상세일정'!AM229="제외"),"",IF($D229=$E229,IF(AND($D229&gt;=BG$5,$D229&lt;BG$5+7),"◆",""),IF(AND($D229&lt;BG$5+7,$E229&gt;BG$5),"■","")))</x:f>
      </x:c>
      <x:c r="BH229" s="7" t="str">
        <x:f>IF(OR($D229="",BH$5="",'상세일정'!AM229="제외"),"",IF($D229=$E229,IF(AND($D229&gt;=BH$5,$D229&lt;BH$5+7),"◆",""),IF(AND($D229&lt;BH$5+7,$E229&gt;BH$5),"■","")))</x:f>
      </x:c>
      <x:c r="BI229" s="7" t="str">
        <x:f>IF(OR($D229="",BI$5="",'상세일정'!AM229="제외"),"",IF($D229=$E229,IF(AND($D229&gt;=BI$5,$D229&lt;BI$5+7),"◆",""),IF(AND($D229&lt;BI$5+7,$E229&gt;BI$5),"■","")))</x:f>
      </x:c>
      <x:c r="BJ229" s="7" t="str">
        <x:f>IF(OR($D229="",BJ$5="",'상세일정'!AM229="제외"),"",IF($D229=$E229,IF(AND($D229&gt;=BJ$5,$D229&lt;BJ$5+7),"◆",""),IF(AND($D229&lt;BJ$5+7,$E229&gt;BJ$5),"■","")))</x:f>
      </x:c>
      <x:c r="BK229" s="7" t="str">
        <x:f>IF(OR($D229="",BK$5="",'상세일정'!AM229="제외"),"",IF($D229=$E229,IF(AND($D229&gt;=BK$5,$D229&lt;BK$5+7),"◆",""),IF(AND($D229&lt;BK$5+7,$E229&gt;BK$5),"■","")))</x:f>
      </x:c>
      <x:c r="BL229" s="7" t="str">
        <x:f>IF(OR($D229="",BL$5="",'상세일정'!AM229="제외"),"",IF($D229=$E229,IF(AND($D229&gt;=BL$5,$D229&lt;BL$5+7),"◆",""),IF(AND($D229&lt;BL$5+7,$E229&gt;BL$5),"■","")))</x:f>
      </x:c>
      <x:c r="BM229" s="7" t="str">
        <x:f>IF(OR($D229="",BM$5="",'상세일정'!AM229="제외"),"",IF($D229=$E229,IF(AND($D229&gt;=BM$5,$D229&lt;BM$5+7),"◆",""),IF(AND($D229&lt;BM$5+7,$E229&gt;BM$5),"■","")))</x:f>
      </x:c>
      <x:c r="BN229" s="7" t="str">
        <x:f>IF(OR($D229="",BN$5="",'상세일정'!AM229="제외"),"",IF($D229=$E229,IF(AND($D229&gt;=BN$5,$D229&lt;BN$5+7),"◆",""),IF(AND($D229&lt;BN$5+7,$E229&gt;BN$5),"■","")))</x:f>
      </x:c>
      <x:c r="BO229" s="7" t="str">
        <x:f>IF(OR($D229="",BO$5="",'상세일정'!AM229="제외"),"",IF($D229=$E229,IF(AND($D229&gt;=BO$5,$D229&lt;BO$5+7),"◆",""),IF(AND($D229&lt;BO$5+7,$E229&gt;BO$5),"■","")))</x:f>
      </x:c>
      <x:c r="BP229" s="7" t="str">
        <x:f>IF(OR($D229="",BP$5="",'상세일정'!AM229="제외"),"",IF($D229=$E229,IF(AND($D229&gt;=BP$5,$D229&lt;BP$5+7),"◆",""),IF(AND($D229&lt;BP$5+7,$E229&gt;BP$5),"■","")))</x:f>
      </x:c>
      <x:c r="BQ229" s="7" t="str">
        <x:f>IF(OR($D229="",BQ$5="",'상세일정'!AM229="제외"),"",IF($D229=$E229,IF(AND($D229&gt;=BQ$5,$D229&lt;BQ$5+7),"◆",""),IF(AND($D229&lt;BQ$5+7,$E229&gt;BQ$5),"■","")))</x:f>
      </x:c>
      <x:c r="BR229" s="7" t="str">
        <x:f>IF(OR($D229="",BR$5="",'상세일정'!AM229="제외"),"",IF($D229=$E229,IF(AND($D229&gt;=BR$5,$D229&lt;BR$5+7),"◆",""),IF(AND($D229&lt;BR$5+7,$E229&gt;BR$5),"■","")))</x:f>
      </x:c>
      <x:c r="BS229" s="7" t="str">
        <x:f>IF(OR($D229="",BS$5="",'상세일정'!AM229="제외"),"",IF($D229=$E229,IF(AND($D229&gt;=BS$5,$D229&lt;BS$5+7),"◆",""),IF(AND($D229&lt;BS$5+7,$E229&gt;BS$5),"■","")))</x:f>
      </x:c>
      <x:c r="BT229" s="7" t="str">
        <x:f>IF(OR($D229="",BT$5="",'상세일정'!AM229="제외"),"",IF($D229=$E229,IF(AND($D229&gt;=BT$5,$D229&lt;BT$5+7),"◆",""),IF(AND($D229&lt;BT$5+7,$E229&gt;BT$5),"■","")))</x:f>
      </x:c>
      <x:c r="BU229" s="7" t="str">
        <x:f>IF(OR($D229="",BU$5="",'상세일정'!AM229="제외"),"",IF($D229=$E229,IF(AND($D229&gt;=BU$5,$D229&lt;BU$5+7),"◆",""),IF(AND($D229&lt;BU$5+7,$E229&gt;BU$5),"■","")))</x:f>
      </x:c>
      <x:c r="BV229" s="7" t="str">
        <x:f>IF(OR($D229="",BV$5="",'상세일정'!AM229="제외"),"",IF($D229=$E229,IF(AND($D229&gt;=BV$5,$D229&lt;BV$5+7),"◆",""),IF(AND($D229&lt;BV$5+7,$E229&gt;BV$5),"■","")))</x:f>
      </x:c>
      <x:c r="BW229" s="7" t="str">
        <x:f>IF(OR($D229="",BW$5="",'상세일정'!AM229="제외"),"",IF($D229=$E229,IF(AND($D229&gt;=BW$5,$D229&lt;BW$5+7),"◆",""),IF(AND($D229&lt;BW$5+7,$E229&gt;BW$5),"■","")))</x:f>
      </x:c>
      <x:c r="BX229" s="7" t="str">
        <x:f>IF(OR($D229="",BX$5="",'상세일정'!AM229="제외"),"",IF($D229=$E229,IF(AND($D229&gt;=BX$5,$D229&lt;BX$5+7),"◆",""),IF(AND($D229&lt;BX$5+7,$E229&gt;BX$5),"■","")))</x:f>
      </x:c>
      <x:c r="BY229" s="7" t="str">
        <x:f>IF(OR($D229="",BY$5="",'상세일정'!AM229="제외"),"",IF($D229=$E229,IF(AND($D229&gt;=BY$5,$D229&lt;BY$5+7),"◆",""),IF(AND($D229&lt;BY$5+7,$E229&gt;BY$5),"■","")))</x:f>
      </x:c>
      <x:c r="BZ229" s="7" t="str">
        <x:f>IF(OR($D229="",BZ$5="",'상세일정'!AM229="제외"),"",IF($D229=$E229,IF(AND($D229&gt;=BZ$5,$D229&lt;BZ$5+7),"◆",""),IF(AND($D229&lt;BZ$5+7,$E229&gt;BZ$5),"■","")))</x:f>
      </x:c>
      <x:c r="CA229" s="7" t="str">
        <x:f>IF(OR($D229="",CA$5="",'상세일정'!AM229="제외"),"",IF($D229=$E229,IF(AND($D229&gt;=CA$5,$D229&lt;CA$5+7),"◆",""),IF(AND($D229&lt;CA$5+7,$E229&gt;CA$5),"■","")))</x:f>
      </x:c>
      <x:c r="CB229" s="7" t="str">
        <x:f>IF(OR($D229="",CB$5="",'상세일정'!AM229="제외"),"",IF($D229=$E229,IF(AND($D229&gt;=CB$5,$D229&lt;CB$5+7),"◆",""),IF(AND($D229&lt;CB$5+7,$E229&gt;CB$5),"■","")))</x:f>
      </x:c>
      <x:c r="CC229" s="7" t="str">
        <x:f>IF(OR($D229="",CC$5="",'상세일정'!AM229="제외"),"",IF($D229=$E229,IF(AND($D229&gt;=CC$5,$D229&lt;CC$5+7),"◆",""),IF(AND($D229&lt;CC$5+7,$E229&gt;CC$5),"■","")))</x:f>
      </x:c>
      <x:c r="CD229" s="7" t="str">
        <x:f>IF(OR($D229="",CD$5="",'상세일정'!AM229="제외"),"",IF($D229=$E229,IF(AND($D229&gt;=CD$5,$D229&lt;CD$5+7),"◆",""),IF(AND($D229&lt;CD$5+7,$E229&gt;CD$5),"■","")))</x:f>
      </x:c>
      <x:c r="CE229" s="7" t="str">
        <x:f>IF(OR($D229="",CE$5="",'상세일정'!AM229="제외"),"",IF($D229=$E229,IF(AND($D229&gt;=CE$5,$D229&lt;CE$5+7),"◆",""),IF(AND($D229&lt;CE$5+7,$E229&gt;CE$5),"■","")))</x:f>
      </x:c>
      <x:c r="CF229" s="7" t="str">
        <x:f>IF(OR($D229="",CF$5="",'상세일정'!AM229="제외"),"",IF($D229=$E229,IF(AND($D229&gt;=CF$5,$D229&lt;CF$5+7),"◆",""),IF(AND($D229&lt;CF$5+7,$E229&gt;CF$5),"■","")))</x:f>
      </x:c>
      <x:c r="CG229" s="7" t="str">
        <x:f>IF(OR($D229="",CG$5="",'상세일정'!AM229="제외"),"",IF($D229=$E229,IF(AND($D229&gt;=CG$5,$D229&lt;CG$5+7),"◆",""),IF(AND($D229&lt;CG$5+7,$E229&gt;CG$5),"■","")))</x:f>
      </x:c>
      <x:c r="CH229" s="7" t="str">
        <x:f>IF(OR($D229="",CH$5="",'상세일정'!AM229="제외"),"",IF($D229=$E229,IF(AND($D229&gt;=CH$5,$D229&lt;CH$5+7),"◆",""),IF(AND($D229&lt;CH$5+7,$E229&gt;CH$5),"■","")))</x:f>
      </x:c>
      <x:c r="CI229" s="7" t="str">
        <x:f>IF(OR($D229="",CI$5="",'상세일정'!AM229="제외"),"",IF($D229=$E229,IF(AND($D229&gt;=CI$5,$D229&lt;CI$5+7),"◆",""),IF(AND($D229&lt;CI$5+7,$E229&gt;CI$5),"■","")))</x:f>
      </x:c>
      <x:c r="CJ229" s="7" t="str">
        <x:f>IF(OR($D229="",CJ$5="",'상세일정'!AM229="제외"),"",IF($D229=$E229,IF(AND($D229&gt;=CJ$5,$D229&lt;CJ$5+7),"◆",""),IF(AND($D229&lt;CJ$5+7,$E229&gt;CJ$5),"■","")))</x:f>
      </x:c>
      <x:c r="CK229" s="7" t="str">
        <x:f>IF(OR($D229="",CK$5="",'상세일정'!AM229="제외"),"",IF($D229=$E229,IF(AND($D229&gt;=CK$5,$D229&lt;CK$5+7),"◆",""),IF(AND($D229&lt;CK$5+7,$E229&gt;CK$5),"■","")))</x:f>
      </x:c>
      <x:c r="CL229" s="7" t="str">
        <x:f>IF(OR($D229="",CL$5="",'상세일정'!AM229="제외"),"",IF($D229=$E229,IF(AND($D229&gt;=CL$5,$D229&lt;CL$5+7),"◆",""),IF(AND($D229&lt;CL$5+7,$E229&gt;CL$5),"■","")))</x:f>
      </x:c>
      <x:c r="CM229" s="7" t="str">
        <x:f>IF(OR($D229="",CM$5="",'상세일정'!AM229="제외"),"",IF($D229=$E229,IF(AND($D229&gt;=CM$5,$D229&lt;CM$5+7),"◆",""),IF(AND($D229&lt;CM$5+7,$E229&gt;CM$5),"■","")))</x:f>
      </x:c>
      <x:c r="CN229" s="7" t="str">
        <x:f>IF(OR($D229="",CN$5="",'상세일정'!AM229="제외"),"",IF($D229=$E229,IF(AND($D229&gt;=CN$5,$D229&lt;CN$5+7),"◆",""),IF(AND($D229&lt;CN$5+7,$E229&gt;CN$5),"■","")))</x:f>
      </x:c>
      <x:c r="CO229" s="7" t="str">
        <x:f>IF(OR($D229="",CO$5="",'상세일정'!AM229="제외"),"",IF($D229=$E229,IF(AND($D229&gt;=CO$5,$D229&lt;CO$5+7),"◆",""),IF(AND($D229&lt;CO$5+7,$E229&gt;CO$5),"■","")))</x:f>
      </x:c>
      <x:c r="CP229" s="7" t="str">
        <x:f>IF(OR($D229="",CP$5="",'상세일정'!AM229="제외"),"",IF($D229=$E229,IF(AND($D229&gt;=CP$5,$D229&lt;CP$5+7),"◆",""),IF(AND($D229&lt;CP$5+7,$E229&gt;CP$5),"■","")))</x:f>
      </x:c>
      <x:c r="CQ229" s="7" t="str">
        <x:f>IF(OR($D229="",CQ$5="",'상세일정'!AM229="제외"),"",IF($D229=$E229,IF(AND($D229&gt;=CQ$5,$D229&lt;CQ$5+7),"◆",""),IF(AND($D229&lt;CQ$5+7,$E229&gt;CQ$5),"■","")))</x:f>
      </x:c>
      <x:c r="CR229" s="7" t="str">
        <x:f>IF(OR($D229="",CR$5="",'상세일정'!AM229="제외"),"",IF($D229=$E229,IF(AND($D229&gt;=CR$5,$D229&lt;CR$5+7),"◆",""),IF(AND($D229&lt;CR$5+7,$E229&gt;CR$5),"■","")))</x:f>
      </x:c>
      <x:c r="CS229" s="7" t="str">
        <x:f>IF(OR($D229="",CS$5="",'상세일정'!AM229="제외"),"",IF($D229=$E229,IF(AND($D229&gt;=CS$5,$D229&lt;CS$5+7),"◆",""),IF(AND($D229&lt;CS$5+7,$E229&gt;CS$5),"■","")))</x:f>
      </x:c>
      <x:c r="CT229" s="7" t="str">
        <x:f>IF(OR($D229="",CT$5="",'상세일정'!AM229="제외"),"",IF($D229=$E229,IF(AND($D229&gt;=CT$5,$D229&lt;CT$5+7),"◆",""),IF(AND($D229&lt;CT$5+7,$E229&gt;CT$5),"■","")))</x:f>
      </x:c>
      <x:c r="CU229" s="7" t="str">
        <x:f>IF(OR($D229="",CU$5="",'상세일정'!AM229="제외"),"",IF($D229=$E229,IF(AND($D229&gt;=CU$5,$D229&lt;CU$5+7),"◆",""),IF(AND($D229&lt;CU$5+7,$E229&gt;CU$5),"■","")))</x:f>
      </x:c>
      <x:c r="CV229" s="7" t="str">
        <x:f>IF(OR($D229="",CV$5="",'상세일정'!AM229="제외"),"",IF($D229=$E229,IF(AND($D229&gt;=CV$5,$D229&lt;CV$5+7),"◆",""),IF(AND($D229&lt;CV$5+7,$E229&gt;CV$5),"■","")))</x:f>
      </x:c>
      <x:c r="CW229" s="7" t="str">
        <x:f>IF(OR($D229="",CW$5="",'상세일정'!AM229="제외"),"",IF($D229=$E229,IF(AND($D229&gt;=CW$5,$D229&lt;CW$5+7),"◆",""),IF(AND($D229&lt;CW$5+7,$E229&gt;CW$5),"■","")))</x:f>
      </x:c>
      <x:c r="CX229" s="7" t="str">
        <x:f>IF(OR($D229="",CX$5="",'상세일정'!AM229="제외"),"",IF($D229=$E229,IF(AND($D229&gt;=CX$5,$D229&lt;CX$5+7),"◆",""),IF(AND($D229&lt;CX$5+7,$E229&gt;CX$5),"■","")))</x:f>
      </x:c>
      <x:c r="CY229" s="7" t="str">
        <x:f>IF(OR($D229="",CY$5="",'상세일정'!AM229="제외"),"",IF($D229=$E229,IF(AND($D229&gt;=CY$5,$D229&lt;CY$5+7),"◆",""),IF(AND($D229&lt;CY$5+7,$E229&gt;CY$5),"■","")))</x:f>
      </x:c>
      <x:c r="CZ229" s="7" t="str">
        <x:f>IF(OR($D229="",CZ$5="",'상세일정'!AM229="제외"),"",IF($D229=$E229,IF(AND($D229&gt;=CZ$5,$D229&lt;CZ$5+7),"◆",""),IF(AND($D229&lt;CZ$5+7,$E229&gt;CZ$5),"■","")))</x:f>
      </x:c>
      <x:c r="DA229" s="7" t="str">
        <x:f>IF(OR($D229="",DA$5="",'상세일정'!AM229="제외"),"",IF($D229=$E229,IF(AND($D229&gt;=DA$5,$D229&lt;DA$5+7),"◆",""),IF(AND($D229&lt;DA$5+7,$E229&gt;DA$5),"■","")))</x:f>
      </x:c>
      <x:c r="DB229" s="7" t="str">
        <x:f>IF(OR($D229="",DB$5="",'상세일정'!AM229="제외"),"",IF($D229=$E229,IF(AND($D229&gt;=DB$5,$D229&lt;DB$5+7),"◆",""),IF(AND($D229&lt;DB$5+7,$E229&gt;DB$5),"■","")))</x:f>
      </x:c>
      <x:c r="DC229" s="7" t="str">
        <x:f>IF(OR($D229="",DC$5="",'상세일정'!AM229="제외"),"",IF($D229=$E229,IF(AND($D229&gt;=DC$5,$D229&lt;DC$5+7),"◆",""),IF(AND($D229&lt;DC$5+7,$E229&gt;DC$5),"■","")))</x:f>
      </x:c>
      <x:c r="DD229" s="7" t="str">
        <x:f>IF(OR($D229="",DD$5="",'상세일정'!AM229="제외"),"",IF($D229=$E229,IF(AND($D229&gt;=DD$5,$D229&lt;DD$5+7),"◆",""),IF(AND($D229&lt;DD$5+7,$E229&gt;DD$5),"■","")))</x:f>
      </x:c>
      <x:c r="DE229" s="7" t="str">
        <x:f>IF(OR($D229="",DE$5="",'상세일정'!AM229="제외"),"",IF($D229=$E229,IF(AND($D229&gt;=DE$5,$D229&lt;DE$5+7),"◆",""),IF(AND($D229&lt;DE$5+7,$E229&gt;DE$5),"■","")))</x:f>
      </x:c>
    </x:row>
    <x:row r="230" ht="34" customHeight="1">
      <x:c r="A230" s="7" t="str">
        <x:v>CM05</x:v>
      </x:c>
      <x:c r="B230" s="7" t="str">
        <x:v>26 단동·완성검사</x:v>
      </x:c>
      <x:c r="C230" s="7" t="str">
        <x:v>완성검사 입회·보완 및 합격증 확보</x:v>
      </x:c>
      <x:c r="D230" s="10" t="str">
        <x:f>'상세일정'!AJ230</x:f>
      </x:c>
      <x:c r="E230" s="10" t="str">
        <x:f>'상세일정'!AK230</x:f>
      </x:c>
      <x:c r="F230" s="7" t="str">
        <x:f>IF(OR($D230="",F$5="",'상세일정'!AM230="제외"),"",IF($D230=$E230,IF(AND($D230&gt;=F$5,$D230&lt;F$5+7),"◆",""),IF(AND($D230&lt;F$5+7,$E230&gt;F$5),"■","")))</x:f>
      </x:c>
      <x:c r="G230" s="7" t="str">
        <x:f>IF(OR($D230="",G$5="",'상세일정'!AM230="제외"),"",IF($D230=$E230,IF(AND($D230&gt;=G$5,$D230&lt;G$5+7),"◆",""),IF(AND($D230&lt;G$5+7,$E230&gt;G$5),"■","")))</x:f>
      </x:c>
      <x:c r="H230" s="7" t="str">
        <x:f>IF(OR($D230="",H$5="",'상세일정'!AM230="제외"),"",IF($D230=$E230,IF(AND($D230&gt;=H$5,$D230&lt;H$5+7),"◆",""),IF(AND($D230&lt;H$5+7,$E230&gt;H$5),"■","")))</x:f>
      </x:c>
      <x:c r="I230" s="7" t="str">
        <x:f>IF(OR($D230="",I$5="",'상세일정'!AM230="제외"),"",IF($D230=$E230,IF(AND($D230&gt;=I$5,$D230&lt;I$5+7),"◆",""),IF(AND($D230&lt;I$5+7,$E230&gt;I$5),"■","")))</x:f>
      </x:c>
      <x:c r="J230" s="7" t="str">
        <x:f>IF(OR($D230="",J$5="",'상세일정'!AM230="제외"),"",IF($D230=$E230,IF(AND($D230&gt;=J$5,$D230&lt;J$5+7),"◆",""),IF(AND($D230&lt;J$5+7,$E230&gt;J$5),"■","")))</x:f>
      </x:c>
      <x:c r="K230" s="7" t="str">
        <x:f>IF(OR($D230="",K$5="",'상세일정'!AM230="제외"),"",IF($D230=$E230,IF(AND($D230&gt;=K$5,$D230&lt;K$5+7),"◆",""),IF(AND($D230&lt;K$5+7,$E230&gt;K$5),"■","")))</x:f>
      </x:c>
      <x:c r="L230" s="7" t="str">
        <x:f>IF(OR($D230="",L$5="",'상세일정'!AM230="제외"),"",IF($D230=$E230,IF(AND($D230&gt;=L$5,$D230&lt;L$5+7),"◆",""),IF(AND($D230&lt;L$5+7,$E230&gt;L$5),"■","")))</x:f>
      </x:c>
      <x:c r="M230" s="7" t="str">
        <x:f>IF(OR($D230="",M$5="",'상세일정'!AM230="제외"),"",IF($D230=$E230,IF(AND($D230&gt;=M$5,$D230&lt;M$5+7),"◆",""),IF(AND($D230&lt;M$5+7,$E230&gt;M$5),"■","")))</x:f>
      </x:c>
      <x:c r="N230" s="7" t="str">
        <x:f>IF(OR($D230="",N$5="",'상세일정'!AM230="제외"),"",IF($D230=$E230,IF(AND($D230&gt;=N$5,$D230&lt;N$5+7),"◆",""),IF(AND($D230&lt;N$5+7,$E230&gt;N$5),"■","")))</x:f>
      </x:c>
      <x:c r="O230" s="7" t="str">
        <x:f>IF(OR($D230="",O$5="",'상세일정'!AM230="제외"),"",IF($D230=$E230,IF(AND($D230&gt;=O$5,$D230&lt;O$5+7),"◆",""),IF(AND($D230&lt;O$5+7,$E230&gt;O$5),"■","")))</x:f>
      </x:c>
      <x:c r="P230" s="7" t="str">
        <x:f>IF(OR($D230="",P$5="",'상세일정'!AM230="제외"),"",IF($D230=$E230,IF(AND($D230&gt;=P$5,$D230&lt;P$5+7),"◆",""),IF(AND($D230&lt;P$5+7,$E230&gt;P$5),"■","")))</x:f>
      </x:c>
      <x:c r="Q230" s="7" t="str">
        <x:f>IF(OR($D230="",Q$5="",'상세일정'!AM230="제외"),"",IF($D230=$E230,IF(AND($D230&gt;=Q$5,$D230&lt;Q$5+7),"◆",""),IF(AND($D230&lt;Q$5+7,$E230&gt;Q$5),"■","")))</x:f>
      </x:c>
      <x:c r="R230" s="7" t="str">
        <x:f>IF(OR($D230="",R$5="",'상세일정'!AM230="제외"),"",IF($D230=$E230,IF(AND($D230&gt;=R$5,$D230&lt;R$5+7),"◆",""),IF(AND($D230&lt;R$5+7,$E230&gt;R$5),"■","")))</x:f>
      </x:c>
      <x:c r="S230" s="7" t="str">
        <x:f>IF(OR($D230="",S$5="",'상세일정'!AM230="제외"),"",IF($D230=$E230,IF(AND($D230&gt;=S$5,$D230&lt;S$5+7),"◆",""),IF(AND($D230&lt;S$5+7,$E230&gt;S$5),"■","")))</x:f>
      </x:c>
      <x:c r="T230" s="7" t="str">
        <x:f>IF(OR($D230="",T$5="",'상세일정'!AM230="제외"),"",IF($D230=$E230,IF(AND($D230&gt;=T$5,$D230&lt;T$5+7),"◆",""),IF(AND($D230&lt;T$5+7,$E230&gt;T$5),"■","")))</x:f>
      </x:c>
      <x:c r="U230" s="7" t="str">
        <x:f>IF(OR($D230="",U$5="",'상세일정'!AM230="제외"),"",IF($D230=$E230,IF(AND($D230&gt;=U$5,$D230&lt;U$5+7),"◆",""),IF(AND($D230&lt;U$5+7,$E230&gt;U$5),"■","")))</x:f>
      </x:c>
      <x:c r="V230" s="7" t="str">
        <x:f>IF(OR($D230="",V$5="",'상세일정'!AM230="제외"),"",IF($D230=$E230,IF(AND($D230&gt;=V$5,$D230&lt;V$5+7),"◆",""),IF(AND($D230&lt;V$5+7,$E230&gt;V$5),"■","")))</x:f>
      </x:c>
      <x:c r="W230" s="7" t="str">
        <x:f>IF(OR($D230="",W$5="",'상세일정'!AM230="제외"),"",IF($D230=$E230,IF(AND($D230&gt;=W$5,$D230&lt;W$5+7),"◆",""),IF(AND($D230&lt;W$5+7,$E230&gt;W$5),"■","")))</x:f>
      </x:c>
      <x:c r="X230" s="7" t="str">
        <x:f>IF(OR($D230="",X$5="",'상세일정'!AM230="제외"),"",IF($D230=$E230,IF(AND($D230&gt;=X$5,$D230&lt;X$5+7),"◆",""),IF(AND($D230&lt;X$5+7,$E230&gt;X$5),"■","")))</x:f>
      </x:c>
      <x:c r="Y230" s="7" t="str">
        <x:f>IF(OR($D230="",Y$5="",'상세일정'!AM230="제외"),"",IF($D230=$E230,IF(AND($D230&gt;=Y$5,$D230&lt;Y$5+7),"◆",""),IF(AND($D230&lt;Y$5+7,$E230&gt;Y$5),"■","")))</x:f>
      </x:c>
      <x:c r="Z230" s="7" t="str">
        <x:f>IF(OR($D230="",Z$5="",'상세일정'!AM230="제외"),"",IF($D230=$E230,IF(AND($D230&gt;=Z$5,$D230&lt;Z$5+7),"◆",""),IF(AND($D230&lt;Z$5+7,$E230&gt;Z$5),"■","")))</x:f>
      </x:c>
      <x:c r="AA230" s="7" t="str">
        <x:f>IF(OR($D230="",AA$5="",'상세일정'!AM230="제외"),"",IF($D230=$E230,IF(AND($D230&gt;=AA$5,$D230&lt;AA$5+7),"◆",""),IF(AND($D230&lt;AA$5+7,$E230&gt;AA$5),"■","")))</x:f>
      </x:c>
      <x:c r="AB230" s="7" t="str">
        <x:f>IF(OR($D230="",AB$5="",'상세일정'!AM230="제외"),"",IF($D230=$E230,IF(AND($D230&gt;=AB$5,$D230&lt;AB$5+7),"◆",""),IF(AND($D230&lt;AB$5+7,$E230&gt;AB$5),"■","")))</x:f>
      </x:c>
      <x:c r="AC230" s="7" t="str">
        <x:f>IF(OR($D230="",AC$5="",'상세일정'!AM230="제외"),"",IF($D230=$E230,IF(AND($D230&gt;=AC$5,$D230&lt;AC$5+7),"◆",""),IF(AND($D230&lt;AC$5+7,$E230&gt;AC$5),"■","")))</x:f>
      </x:c>
      <x:c r="AD230" s="7" t="str">
        <x:f>IF(OR($D230="",AD$5="",'상세일정'!AM230="제외"),"",IF($D230=$E230,IF(AND($D230&gt;=AD$5,$D230&lt;AD$5+7),"◆",""),IF(AND($D230&lt;AD$5+7,$E230&gt;AD$5),"■","")))</x:f>
      </x:c>
      <x:c r="AE230" s="7" t="str">
        <x:f>IF(OR($D230="",AE$5="",'상세일정'!AM230="제외"),"",IF($D230=$E230,IF(AND($D230&gt;=AE$5,$D230&lt;AE$5+7),"◆",""),IF(AND($D230&lt;AE$5+7,$E230&gt;AE$5),"■","")))</x:f>
      </x:c>
      <x:c r="AF230" s="7" t="str">
        <x:f>IF(OR($D230="",AF$5="",'상세일정'!AM230="제외"),"",IF($D230=$E230,IF(AND($D230&gt;=AF$5,$D230&lt;AF$5+7),"◆",""),IF(AND($D230&lt;AF$5+7,$E230&gt;AF$5),"■","")))</x:f>
      </x:c>
      <x:c r="AG230" s="7" t="str">
        <x:f>IF(OR($D230="",AG$5="",'상세일정'!AM230="제외"),"",IF($D230=$E230,IF(AND($D230&gt;=AG$5,$D230&lt;AG$5+7),"◆",""),IF(AND($D230&lt;AG$5+7,$E230&gt;AG$5),"■","")))</x:f>
      </x:c>
      <x:c r="AH230" s="7" t="str">
        <x:f>IF(OR($D230="",AH$5="",'상세일정'!AM230="제외"),"",IF($D230=$E230,IF(AND($D230&gt;=AH$5,$D230&lt;AH$5+7),"◆",""),IF(AND($D230&lt;AH$5+7,$E230&gt;AH$5),"■","")))</x:f>
      </x:c>
      <x:c r="AI230" s="7" t="str">
        <x:f>IF(OR($D230="",AI$5="",'상세일정'!AM230="제외"),"",IF($D230=$E230,IF(AND($D230&gt;=AI$5,$D230&lt;AI$5+7),"◆",""),IF(AND($D230&lt;AI$5+7,$E230&gt;AI$5),"■","")))</x:f>
      </x:c>
      <x:c r="AJ230" s="7" t="str">
        <x:f>IF(OR($D230="",AJ$5="",'상세일정'!AM230="제외"),"",IF($D230=$E230,IF(AND($D230&gt;=AJ$5,$D230&lt;AJ$5+7),"◆",""),IF(AND($D230&lt;AJ$5+7,$E230&gt;AJ$5),"■","")))</x:f>
      </x:c>
      <x:c r="AK230" s="7" t="str">
        <x:f>IF(OR($D230="",AK$5="",'상세일정'!AM230="제외"),"",IF($D230=$E230,IF(AND($D230&gt;=AK$5,$D230&lt;AK$5+7),"◆",""),IF(AND($D230&lt;AK$5+7,$E230&gt;AK$5),"■","")))</x:f>
      </x:c>
      <x:c r="AL230" s="7" t="str">
        <x:f>IF(OR($D230="",AL$5="",'상세일정'!AM230="제외"),"",IF($D230=$E230,IF(AND($D230&gt;=AL$5,$D230&lt;AL$5+7),"◆",""),IF(AND($D230&lt;AL$5+7,$E230&gt;AL$5),"■","")))</x:f>
      </x:c>
      <x:c r="AM230" s="7" t="str">
        <x:f>IF(OR($D230="",AM$5="",'상세일정'!AM230="제외"),"",IF($D230=$E230,IF(AND($D230&gt;=AM$5,$D230&lt;AM$5+7),"◆",""),IF(AND($D230&lt;AM$5+7,$E230&gt;AM$5),"■","")))</x:f>
      </x:c>
      <x:c r="AN230" s="7" t="str">
        <x:f>IF(OR($D230="",AN$5="",'상세일정'!AM230="제외"),"",IF($D230=$E230,IF(AND($D230&gt;=AN$5,$D230&lt;AN$5+7),"◆",""),IF(AND($D230&lt;AN$5+7,$E230&gt;AN$5),"■","")))</x:f>
      </x:c>
      <x:c r="AO230" s="7" t="str">
        <x:f>IF(OR($D230="",AO$5="",'상세일정'!AM230="제외"),"",IF($D230=$E230,IF(AND($D230&gt;=AO$5,$D230&lt;AO$5+7),"◆",""),IF(AND($D230&lt;AO$5+7,$E230&gt;AO$5),"■","")))</x:f>
      </x:c>
      <x:c r="AP230" s="7" t="str">
        <x:f>IF(OR($D230="",AP$5="",'상세일정'!AM230="제외"),"",IF($D230=$E230,IF(AND($D230&gt;=AP$5,$D230&lt;AP$5+7),"◆",""),IF(AND($D230&lt;AP$5+7,$E230&gt;AP$5),"■","")))</x:f>
      </x:c>
      <x:c r="AQ230" s="7" t="str">
        <x:f>IF(OR($D230="",AQ$5="",'상세일정'!AM230="제외"),"",IF($D230=$E230,IF(AND($D230&gt;=AQ$5,$D230&lt;AQ$5+7),"◆",""),IF(AND($D230&lt;AQ$5+7,$E230&gt;AQ$5),"■","")))</x:f>
      </x:c>
      <x:c r="AR230" s="7" t="str">
        <x:f>IF(OR($D230="",AR$5="",'상세일정'!AM230="제외"),"",IF($D230=$E230,IF(AND($D230&gt;=AR$5,$D230&lt;AR$5+7),"◆",""),IF(AND($D230&lt;AR$5+7,$E230&gt;AR$5),"■","")))</x:f>
      </x:c>
      <x:c r="AS230" s="7" t="str">
        <x:f>IF(OR($D230="",AS$5="",'상세일정'!AM230="제외"),"",IF($D230=$E230,IF(AND($D230&gt;=AS$5,$D230&lt;AS$5+7),"◆",""),IF(AND($D230&lt;AS$5+7,$E230&gt;AS$5),"■","")))</x:f>
      </x:c>
      <x:c r="AT230" s="7" t="str">
        <x:f>IF(OR($D230="",AT$5="",'상세일정'!AM230="제외"),"",IF($D230=$E230,IF(AND($D230&gt;=AT$5,$D230&lt;AT$5+7),"◆",""),IF(AND($D230&lt;AT$5+7,$E230&gt;AT$5),"■","")))</x:f>
      </x:c>
      <x:c r="AU230" s="7" t="str">
        <x:f>IF(OR($D230="",AU$5="",'상세일정'!AM230="제외"),"",IF($D230=$E230,IF(AND($D230&gt;=AU$5,$D230&lt;AU$5+7),"◆",""),IF(AND($D230&lt;AU$5+7,$E230&gt;AU$5),"■","")))</x:f>
      </x:c>
      <x:c r="AV230" s="7" t="str">
        <x:f>IF(OR($D230="",AV$5="",'상세일정'!AM230="제외"),"",IF($D230=$E230,IF(AND($D230&gt;=AV$5,$D230&lt;AV$5+7),"◆",""),IF(AND($D230&lt;AV$5+7,$E230&gt;AV$5),"■","")))</x:f>
      </x:c>
      <x:c r="AW230" s="7" t="str">
        <x:f>IF(OR($D230="",AW$5="",'상세일정'!AM230="제외"),"",IF($D230=$E230,IF(AND($D230&gt;=AW$5,$D230&lt;AW$5+7),"◆",""),IF(AND($D230&lt;AW$5+7,$E230&gt;AW$5),"■","")))</x:f>
      </x:c>
      <x:c r="AX230" s="7" t="str">
        <x:f>IF(OR($D230="",AX$5="",'상세일정'!AM230="제외"),"",IF($D230=$E230,IF(AND($D230&gt;=AX$5,$D230&lt;AX$5+7),"◆",""),IF(AND($D230&lt;AX$5+7,$E230&gt;AX$5),"■","")))</x:f>
      </x:c>
      <x:c r="AY230" s="7" t="str">
        <x:f>IF(OR($D230="",AY$5="",'상세일정'!AM230="제외"),"",IF($D230=$E230,IF(AND($D230&gt;=AY$5,$D230&lt;AY$5+7),"◆",""),IF(AND($D230&lt;AY$5+7,$E230&gt;AY$5),"■","")))</x:f>
      </x:c>
      <x:c r="AZ230" s="7" t="str">
        <x:f>IF(OR($D230="",AZ$5="",'상세일정'!AM230="제외"),"",IF($D230=$E230,IF(AND($D230&gt;=AZ$5,$D230&lt;AZ$5+7),"◆",""),IF(AND($D230&lt;AZ$5+7,$E230&gt;AZ$5),"■","")))</x:f>
      </x:c>
      <x:c r="BA230" s="7" t="str">
        <x:f>IF(OR($D230="",BA$5="",'상세일정'!AM230="제외"),"",IF($D230=$E230,IF(AND($D230&gt;=BA$5,$D230&lt;BA$5+7),"◆",""),IF(AND($D230&lt;BA$5+7,$E230&gt;BA$5),"■","")))</x:f>
      </x:c>
      <x:c r="BB230" s="7" t="str">
        <x:f>IF(OR($D230="",BB$5="",'상세일정'!AM230="제외"),"",IF($D230=$E230,IF(AND($D230&gt;=BB$5,$D230&lt;BB$5+7),"◆",""),IF(AND($D230&lt;BB$5+7,$E230&gt;BB$5),"■","")))</x:f>
      </x:c>
      <x:c r="BC230" s="7" t="str">
        <x:f>IF(OR($D230="",BC$5="",'상세일정'!AM230="제외"),"",IF($D230=$E230,IF(AND($D230&gt;=BC$5,$D230&lt;BC$5+7),"◆",""),IF(AND($D230&lt;BC$5+7,$E230&gt;BC$5),"■","")))</x:f>
      </x:c>
      <x:c r="BD230" s="7" t="str">
        <x:f>IF(OR($D230="",BD$5="",'상세일정'!AM230="제외"),"",IF($D230=$E230,IF(AND($D230&gt;=BD$5,$D230&lt;BD$5+7),"◆",""),IF(AND($D230&lt;BD$5+7,$E230&gt;BD$5),"■","")))</x:f>
      </x:c>
      <x:c r="BE230" s="7" t="str">
        <x:f>IF(OR($D230="",BE$5="",'상세일정'!AM230="제외"),"",IF($D230=$E230,IF(AND($D230&gt;=BE$5,$D230&lt;BE$5+7),"◆",""),IF(AND($D230&lt;BE$5+7,$E230&gt;BE$5),"■","")))</x:f>
      </x:c>
      <x:c r="BF230" s="7" t="str">
        <x:f>IF(OR($D230="",BF$5="",'상세일정'!AM230="제외"),"",IF($D230=$E230,IF(AND($D230&gt;=BF$5,$D230&lt;BF$5+7),"◆",""),IF(AND($D230&lt;BF$5+7,$E230&gt;BF$5),"■","")))</x:f>
      </x:c>
      <x:c r="BG230" s="7" t="str">
        <x:f>IF(OR($D230="",BG$5="",'상세일정'!AM230="제외"),"",IF($D230=$E230,IF(AND($D230&gt;=BG$5,$D230&lt;BG$5+7),"◆",""),IF(AND($D230&lt;BG$5+7,$E230&gt;BG$5),"■","")))</x:f>
      </x:c>
      <x:c r="BH230" s="7" t="str">
        <x:f>IF(OR($D230="",BH$5="",'상세일정'!AM230="제외"),"",IF($D230=$E230,IF(AND($D230&gt;=BH$5,$D230&lt;BH$5+7),"◆",""),IF(AND($D230&lt;BH$5+7,$E230&gt;BH$5),"■","")))</x:f>
      </x:c>
      <x:c r="BI230" s="7" t="str">
        <x:f>IF(OR($D230="",BI$5="",'상세일정'!AM230="제외"),"",IF($D230=$E230,IF(AND($D230&gt;=BI$5,$D230&lt;BI$5+7),"◆",""),IF(AND($D230&lt;BI$5+7,$E230&gt;BI$5),"■","")))</x:f>
      </x:c>
      <x:c r="BJ230" s="7" t="str">
        <x:f>IF(OR($D230="",BJ$5="",'상세일정'!AM230="제외"),"",IF($D230=$E230,IF(AND($D230&gt;=BJ$5,$D230&lt;BJ$5+7),"◆",""),IF(AND($D230&lt;BJ$5+7,$E230&gt;BJ$5),"■","")))</x:f>
      </x:c>
      <x:c r="BK230" s="7" t="str">
        <x:f>IF(OR($D230="",BK$5="",'상세일정'!AM230="제외"),"",IF($D230=$E230,IF(AND($D230&gt;=BK$5,$D230&lt;BK$5+7),"◆",""),IF(AND($D230&lt;BK$5+7,$E230&gt;BK$5),"■","")))</x:f>
      </x:c>
      <x:c r="BL230" s="7" t="str">
        <x:f>IF(OR($D230="",BL$5="",'상세일정'!AM230="제외"),"",IF($D230=$E230,IF(AND($D230&gt;=BL$5,$D230&lt;BL$5+7),"◆",""),IF(AND($D230&lt;BL$5+7,$E230&gt;BL$5),"■","")))</x:f>
      </x:c>
      <x:c r="BM230" s="7" t="str">
        <x:f>IF(OR($D230="",BM$5="",'상세일정'!AM230="제외"),"",IF($D230=$E230,IF(AND($D230&gt;=BM$5,$D230&lt;BM$5+7),"◆",""),IF(AND($D230&lt;BM$5+7,$E230&gt;BM$5),"■","")))</x:f>
      </x:c>
      <x:c r="BN230" s="7" t="str">
        <x:f>IF(OR($D230="",BN$5="",'상세일정'!AM230="제외"),"",IF($D230=$E230,IF(AND($D230&gt;=BN$5,$D230&lt;BN$5+7),"◆",""),IF(AND($D230&lt;BN$5+7,$E230&gt;BN$5),"■","")))</x:f>
      </x:c>
      <x:c r="BO230" s="7" t="str">
        <x:f>IF(OR($D230="",BO$5="",'상세일정'!AM230="제외"),"",IF($D230=$E230,IF(AND($D230&gt;=BO$5,$D230&lt;BO$5+7),"◆",""),IF(AND($D230&lt;BO$5+7,$E230&gt;BO$5),"■","")))</x:f>
      </x:c>
      <x:c r="BP230" s="7" t="str">
        <x:f>IF(OR($D230="",BP$5="",'상세일정'!AM230="제외"),"",IF($D230=$E230,IF(AND($D230&gt;=BP$5,$D230&lt;BP$5+7),"◆",""),IF(AND($D230&lt;BP$5+7,$E230&gt;BP$5),"■","")))</x:f>
      </x:c>
      <x:c r="BQ230" s="7" t="str">
        <x:f>IF(OR($D230="",BQ$5="",'상세일정'!AM230="제외"),"",IF($D230=$E230,IF(AND($D230&gt;=BQ$5,$D230&lt;BQ$5+7),"◆",""),IF(AND($D230&lt;BQ$5+7,$E230&gt;BQ$5),"■","")))</x:f>
      </x:c>
      <x:c r="BR230" s="7" t="str">
        <x:f>IF(OR($D230="",BR$5="",'상세일정'!AM230="제외"),"",IF($D230=$E230,IF(AND($D230&gt;=BR$5,$D230&lt;BR$5+7),"◆",""),IF(AND($D230&lt;BR$5+7,$E230&gt;BR$5),"■","")))</x:f>
      </x:c>
      <x:c r="BS230" s="7" t="str">
        <x:f>IF(OR($D230="",BS$5="",'상세일정'!AM230="제외"),"",IF($D230=$E230,IF(AND($D230&gt;=BS$5,$D230&lt;BS$5+7),"◆",""),IF(AND($D230&lt;BS$5+7,$E230&gt;BS$5),"■","")))</x:f>
      </x:c>
      <x:c r="BT230" s="7" t="str">
        <x:f>IF(OR($D230="",BT$5="",'상세일정'!AM230="제외"),"",IF($D230=$E230,IF(AND($D230&gt;=BT$5,$D230&lt;BT$5+7),"◆",""),IF(AND($D230&lt;BT$5+7,$E230&gt;BT$5),"■","")))</x:f>
      </x:c>
      <x:c r="BU230" s="7" t="str">
        <x:f>IF(OR($D230="",BU$5="",'상세일정'!AM230="제외"),"",IF($D230=$E230,IF(AND($D230&gt;=BU$5,$D230&lt;BU$5+7),"◆",""),IF(AND($D230&lt;BU$5+7,$E230&gt;BU$5),"■","")))</x:f>
      </x:c>
      <x:c r="BV230" s="7" t="str">
        <x:f>IF(OR($D230="",BV$5="",'상세일정'!AM230="제외"),"",IF($D230=$E230,IF(AND($D230&gt;=BV$5,$D230&lt;BV$5+7),"◆",""),IF(AND($D230&lt;BV$5+7,$E230&gt;BV$5),"■","")))</x:f>
      </x:c>
      <x:c r="BW230" s="7" t="str">
        <x:f>IF(OR($D230="",BW$5="",'상세일정'!AM230="제외"),"",IF($D230=$E230,IF(AND($D230&gt;=BW$5,$D230&lt;BW$5+7),"◆",""),IF(AND($D230&lt;BW$5+7,$E230&gt;BW$5),"■","")))</x:f>
      </x:c>
      <x:c r="BX230" s="7" t="str">
        <x:f>IF(OR($D230="",BX$5="",'상세일정'!AM230="제외"),"",IF($D230=$E230,IF(AND($D230&gt;=BX$5,$D230&lt;BX$5+7),"◆",""),IF(AND($D230&lt;BX$5+7,$E230&gt;BX$5),"■","")))</x:f>
      </x:c>
      <x:c r="BY230" s="7" t="str">
        <x:f>IF(OR($D230="",BY$5="",'상세일정'!AM230="제외"),"",IF($D230=$E230,IF(AND($D230&gt;=BY$5,$D230&lt;BY$5+7),"◆",""),IF(AND($D230&lt;BY$5+7,$E230&gt;BY$5),"■","")))</x:f>
      </x:c>
      <x:c r="BZ230" s="7" t="str">
        <x:f>IF(OR($D230="",BZ$5="",'상세일정'!AM230="제외"),"",IF($D230=$E230,IF(AND($D230&gt;=BZ$5,$D230&lt;BZ$5+7),"◆",""),IF(AND($D230&lt;BZ$5+7,$E230&gt;BZ$5),"■","")))</x:f>
      </x:c>
      <x:c r="CA230" s="7" t="str">
        <x:f>IF(OR($D230="",CA$5="",'상세일정'!AM230="제외"),"",IF($D230=$E230,IF(AND($D230&gt;=CA$5,$D230&lt;CA$5+7),"◆",""),IF(AND($D230&lt;CA$5+7,$E230&gt;CA$5),"■","")))</x:f>
      </x:c>
      <x:c r="CB230" s="7" t="str">
        <x:f>IF(OR($D230="",CB$5="",'상세일정'!AM230="제외"),"",IF($D230=$E230,IF(AND($D230&gt;=CB$5,$D230&lt;CB$5+7),"◆",""),IF(AND($D230&lt;CB$5+7,$E230&gt;CB$5),"■","")))</x:f>
      </x:c>
      <x:c r="CC230" s="7" t="str">
        <x:f>IF(OR($D230="",CC$5="",'상세일정'!AM230="제외"),"",IF($D230=$E230,IF(AND($D230&gt;=CC$5,$D230&lt;CC$5+7),"◆",""),IF(AND($D230&lt;CC$5+7,$E230&gt;CC$5),"■","")))</x:f>
      </x:c>
      <x:c r="CD230" s="7" t="str">
        <x:f>IF(OR($D230="",CD$5="",'상세일정'!AM230="제외"),"",IF($D230=$E230,IF(AND($D230&gt;=CD$5,$D230&lt;CD$5+7),"◆",""),IF(AND($D230&lt;CD$5+7,$E230&gt;CD$5),"■","")))</x:f>
      </x:c>
      <x:c r="CE230" s="7" t="str">
        <x:f>IF(OR($D230="",CE$5="",'상세일정'!AM230="제외"),"",IF($D230=$E230,IF(AND($D230&gt;=CE$5,$D230&lt;CE$5+7),"◆",""),IF(AND($D230&lt;CE$5+7,$E230&gt;CE$5),"■","")))</x:f>
      </x:c>
      <x:c r="CF230" s="7" t="str">
        <x:f>IF(OR($D230="",CF$5="",'상세일정'!AM230="제외"),"",IF($D230=$E230,IF(AND($D230&gt;=CF$5,$D230&lt;CF$5+7),"◆",""),IF(AND($D230&lt;CF$5+7,$E230&gt;CF$5),"■","")))</x:f>
      </x:c>
      <x:c r="CG230" s="7" t="str">
        <x:f>IF(OR($D230="",CG$5="",'상세일정'!AM230="제외"),"",IF($D230=$E230,IF(AND($D230&gt;=CG$5,$D230&lt;CG$5+7),"◆",""),IF(AND($D230&lt;CG$5+7,$E230&gt;CG$5),"■","")))</x:f>
      </x:c>
      <x:c r="CH230" s="7" t="str">
        <x:f>IF(OR($D230="",CH$5="",'상세일정'!AM230="제외"),"",IF($D230=$E230,IF(AND($D230&gt;=CH$5,$D230&lt;CH$5+7),"◆",""),IF(AND($D230&lt;CH$5+7,$E230&gt;CH$5),"■","")))</x:f>
      </x:c>
      <x:c r="CI230" s="7" t="str">
        <x:f>IF(OR($D230="",CI$5="",'상세일정'!AM230="제외"),"",IF($D230=$E230,IF(AND($D230&gt;=CI$5,$D230&lt;CI$5+7),"◆",""),IF(AND($D230&lt;CI$5+7,$E230&gt;CI$5),"■","")))</x:f>
      </x:c>
      <x:c r="CJ230" s="7" t="str">
        <x:f>IF(OR($D230="",CJ$5="",'상세일정'!AM230="제외"),"",IF($D230=$E230,IF(AND($D230&gt;=CJ$5,$D230&lt;CJ$5+7),"◆",""),IF(AND($D230&lt;CJ$5+7,$E230&gt;CJ$5),"■","")))</x:f>
      </x:c>
      <x:c r="CK230" s="7" t="str">
        <x:f>IF(OR($D230="",CK$5="",'상세일정'!AM230="제외"),"",IF($D230=$E230,IF(AND($D230&gt;=CK$5,$D230&lt;CK$5+7),"◆",""),IF(AND($D230&lt;CK$5+7,$E230&gt;CK$5),"■","")))</x:f>
      </x:c>
      <x:c r="CL230" s="7" t="str">
        <x:f>IF(OR($D230="",CL$5="",'상세일정'!AM230="제외"),"",IF($D230=$E230,IF(AND($D230&gt;=CL$5,$D230&lt;CL$5+7),"◆",""),IF(AND($D230&lt;CL$5+7,$E230&gt;CL$5),"■","")))</x:f>
      </x:c>
      <x:c r="CM230" s="7" t="str">
        <x:f>IF(OR($D230="",CM$5="",'상세일정'!AM230="제외"),"",IF($D230=$E230,IF(AND($D230&gt;=CM$5,$D230&lt;CM$5+7),"◆",""),IF(AND($D230&lt;CM$5+7,$E230&gt;CM$5),"■","")))</x:f>
      </x:c>
      <x:c r="CN230" s="7" t="str">
        <x:f>IF(OR($D230="",CN$5="",'상세일정'!AM230="제외"),"",IF($D230=$E230,IF(AND($D230&gt;=CN$5,$D230&lt;CN$5+7),"◆",""),IF(AND($D230&lt;CN$5+7,$E230&gt;CN$5),"■","")))</x:f>
      </x:c>
      <x:c r="CO230" s="7" t="str">
        <x:f>IF(OR($D230="",CO$5="",'상세일정'!AM230="제외"),"",IF($D230=$E230,IF(AND($D230&gt;=CO$5,$D230&lt;CO$5+7),"◆",""),IF(AND($D230&lt;CO$5+7,$E230&gt;CO$5),"■","")))</x:f>
      </x:c>
      <x:c r="CP230" s="7" t="str">
        <x:f>IF(OR($D230="",CP$5="",'상세일정'!AM230="제외"),"",IF($D230=$E230,IF(AND($D230&gt;=CP$5,$D230&lt;CP$5+7),"◆",""),IF(AND($D230&lt;CP$5+7,$E230&gt;CP$5),"■","")))</x:f>
      </x:c>
      <x:c r="CQ230" s="7" t="str">
        <x:f>IF(OR($D230="",CQ$5="",'상세일정'!AM230="제외"),"",IF($D230=$E230,IF(AND($D230&gt;=CQ$5,$D230&lt;CQ$5+7),"◆",""),IF(AND($D230&lt;CQ$5+7,$E230&gt;CQ$5),"■","")))</x:f>
      </x:c>
      <x:c r="CR230" s="7" t="str">
        <x:f>IF(OR($D230="",CR$5="",'상세일정'!AM230="제외"),"",IF($D230=$E230,IF(AND($D230&gt;=CR$5,$D230&lt;CR$5+7),"◆",""),IF(AND($D230&lt;CR$5+7,$E230&gt;CR$5),"■","")))</x:f>
      </x:c>
      <x:c r="CS230" s="7" t="str">
        <x:f>IF(OR($D230="",CS$5="",'상세일정'!AM230="제외"),"",IF($D230=$E230,IF(AND($D230&gt;=CS$5,$D230&lt;CS$5+7),"◆",""),IF(AND($D230&lt;CS$5+7,$E230&gt;CS$5),"■","")))</x:f>
      </x:c>
      <x:c r="CT230" s="7" t="str">
        <x:f>IF(OR($D230="",CT$5="",'상세일정'!AM230="제외"),"",IF($D230=$E230,IF(AND($D230&gt;=CT$5,$D230&lt;CT$5+7),"◆",""),IF(AND($D230&lt;CT$5+7,$E230&gt;CT$5),"■","")))</x:f>
      </x:c>
      <x:c r="CU230" s="7" t="str">
        <x:f>IF(OR($D230="",CU$5="",'상세일정'!AM230="제외"),"",IF($D230=$E230,IF(AND($D230&gt;=CU$5,$D230&lt;CU$5+7),"◆",""),IF(AND($D230&lt;CU$5+7,$E230&gt;CU$5),"■","")))</x:f>
      </x:c>
      <x:c r="CV230" s="7" t="str">
        <x:f>IF(OR($D230="",CV$5="",'상세일정'!AM230="제외"),"",IF($D230=$E230,IF(AND($D230&gt;=CV$5,$D230&lt;CV$5+7),"◆",""),IF(AND($D230&lt;CV$5+7,$E230&gt;CV$5),"■","")))</x:f>
      </x:c>
      <x:c r="CW230" s="7" t="str">
        <x:f>IF(OR($D230="",CW$5="",'상세일정'!AM230="제외"),"",IF($D230=$E230,IF(AND($D230&gt;=CW$5,$D230&lt;CW$5+7),"◆",""),IF(AND($D230&lt;CW$5+7,$E230&gt;CW$5),"■","")))</x:f>
      </x:c>
      <x:c r="CX230" s="7" t="str">
        <x:f>IF(OR($D230="",CX$5="",'상세일정'!AM230="제외"),"",IF($D230=$E230,IF(AND($D230&gt;=CX$5,$D230&lt;CX$5+7),"◆",""),IF(AND($D230&lt;CX$5+7,$E230&gt;CX$5),"■","")))</x:f>
      </x:c>
      <x:c r="CY230" s="7" t="str">
        <x:f>IF(OR($D230="",CY$5="",'상세일정'!AM230="제외"),"",IF($D230=$E230,IF(AND($D230&gt;=CY$5,$D230&lt;CY$5+7),"◆",""),IF(AND($D230&lt;CY$5+7,$E230&gt;CY$5),"■","")))</x:f>
      </x:c>
      <x:c r="CZ230" s="7" t="str">
        <x:f>IF(OR($D230="",CZ$5="",'상세일정'!AM230="제외"),"",IF($D230=$E230,IF(AND($D230&gt;=CZ$5,$D230&lt;CZ$5+7),"◆",""),IF(AND($D230&lt;CZ$5+7,$E230&gt;CZ$5),"■","")))</x:f>
      </x:c>
      <x:c r="DA230" s="7" t="str">
        <x:f>IF(OR($D230="",DA$5="",'상세일정'!AM230="제외"),"",IF($D230=$E230,IF(AND($D230&gt;=DA$5,$D230&lt;DA$5+7),"◆",""),IF(AND($D230&lt;DA$5+7,$E230&gt;DA$5),"■","")))</x:f>
      </x:c>
      <x:c r="DB230" s="7" t="str">
        <x:f>IF(OR($D230="",DB$5="",'상세일정'!AM230="제외"),"",IF($D230=$E230,IF(AND($D230&gt;=DB$5,$D230&lt;DB$5+7),"◆",""),IF(AND($D230&lt;DB$5+7,$E230&gt;DB$5),"■","")))</x:f>
      </x:c>
      <x:c r="DC230" s="7" t="str">
        <x:f>IF(OR($D230="",DC$5="",'상세일정'!AM230="제외"),"",IF($D230=$E230,IF(AND($D230&gt;=DC$5,$D230&lt;DC$5+7),"◆",""),IF(AND($D230&lt;DC$5+7,$E230&gt;DC$5),"■","")))</x:f>
      </x:c>
      <x:c r="DD230" s="7" t="str">
        <x:f>IF(OR($D230="",DD$5="",'상세일정'!AM230="제외"),"",IF($D230=$E230,IF(AND($D230&gt;=DD$5,$D230&lt;DD$5+7),"◆",""),IF(AND($D230&lt;DD$5+7,$E230&gt;DD$5),"■","")))</x:f>
      </x:c>
      <x:c r="DE230" s="7" t="str">
        <x:f>IF(OR($D230="",DE$5="",'상세일정'!AM230="제외"),"",IF($D230=$E230,IF(AND($D230&gt;=DE$5,$D230&lt;DE$5+7),"◆",""),IF(AND($D230&lt;DE$5+7,$E230&gt;DE$5),"■","")))</x:f>
      </x:c>
    </x:row>
    <x:row r="231" ht="34" customHeight="1">
      <x:c r="A231" s="7" t="str">
        <x:v>BU01</x:v>
      </x:c>
      <x:c r="B231" s="7" t="str">
        <x:v>27 준공·사용승인</x:v>
      </x:c>
      <x:c r="C231" s="7" t="str">
        <x:v>건축·소방·통신 준공도서 취합 및 검사</x:v>
      </x:c>
      <x:c r="D231" s="10" t="str">
        <x:f>'상세일정'!AJ231</x:f>
      </x:c>
      <x:c r="E231" s="10" t="str">
        <x:f>'상세일정'!AK231</x:f>
      </x:c>
      <x:c r="F231" s="7" t="str">
        <x:f>IF(OR($D231="",F$5="",'상세일정'!AM231="제외"),"",IF($D231=$E231,IF(AND($D231&gt;=F$5,$D231&lt;F$5+7),"◆",""),IF(AND($D231&lt;F$5+7,$E231&gt;F$5),"■","")))</x:f>
      </x:c>
      <x:c r="G231" s="7" t="str">
        <x:f>IF(OR($D231="",G$5="",'상세일정'!AM231="제외"),"",IF($D231=$E231,IF(AND($D231&gt;=G$5,$D231&lt;G$5+7),"◆",""),IF(AND($D231&lt;G$5+7,$E231&gt;G$5),"■","")))</x:f>
      </x:c>
      <x:c r="H231" s="7" t="str">
        <x:f>IF(OR($D231="",H$5="",'상세일정'!AM231="제외"),"",IF($D231=$E231,IF(AND($D231&gt;=H$5,$D231&lt;H$5+7),"◆",""),IF(AND($D231&lt;H$5+7,$E231&gt;H$5),"■","")))</x:f>
      </x:c>
      <x:c r="I231" s="7" t="str">
        <x:f>IF(OR($D231="",I$5="",'상세일정'!AM231="제외"),"",IF($D231=$E231,IF(AND($D231&gt;=I$5,$D231&lt;I$5+7),"◆",""),IF(AND($D231&lt;I$5+7,$E231&gt;I$5),"■","")))</x:f>
      </x:c>
      <x:c r="J231" s="7" t="str">
        <x:f>IF(OR($D231="",J$5="",'상세일정'!AM231="제외"),"",IF($D231=$E231,IF(AND($D231&gt;=J$5,$D231&lt;J$5+7),"◆",""),IF(AND($D231&lt;J$5+7,$E231&gt;J$5),"■","")))</x:f>
      </x:c>
      <x:c r="K231" s="7" t="str">
        <x:f>IF(OR($D231="",K$5="",'상세일정'!AM231="제외"),"",IF($D231=$E231,IF(AND($D231&gt;=K$5,$D231&lt;K$5+7),"◆",""),IF(AND($D231&lt;K$5+7,$E231&gt;K$5),"■","")))</x:f>
      </x:c>
      <x:c r="L231" s="7" t="str">
        <x:f>IF(OR($D231="",L$5="",'상세일정'!AM231="제외"),"",IF($D231=$E231,IF(AND($D231&gt;=L$5,$D231&lt;L$5+7),"◆",""),IF(AND($D231&lt;L$5+7,$E231&gt;L$5),"■","")))</x:f>
      </x:c>
      <x:c r="M231" s="7" t="str">
        <x:f>IF(OR($D231="",M$5="",'상세일정'!AM231="제외"),"",IF($D231=$E231,IF(AND($D231&gt;=M$5,$D231&lt;M$5+7),"◆",""),IF(AND($D231&lt;M$5+7,$E231&gt;M$5),"■","")))</x:f>
      </x:c>
      <x:c r="N231" s="7" t="str">
        <x:f>IF(OR($D231="",N$5="",'상세일정'!AM231="제외"),"",IF($D231=$E231,IF(AND($D231&gt;=N$5,$D231&lt;N$5+7),"◆",""),IF(AND($D231&lt;N$5+7,$E231&gt;N$5),"■","")))</x:f>
      </x:c>
      <x:c r="O231" s="7" t="str">
        <x:f>IF(OR($D231="",O$5="",'상세일정'!AM231="제외"),"",IF($D231=$E231,IF(AND($D231&gt;=O$5,$D231&lt;O$5+7),"◆",""),IF(AND($D231&lt;O$5+7,$E231&gt;O$5),"■","")))</x:f>
      </x:c>
      <x:c r="P231" s="7" t="str">
        <x:f>IF(OR($D231="",P$5="",'상세일정'!AM231="제외"),"",IF($D231=$E231,IF(AND($D231&gt;=P$5,$D231&lt;P$5+7),"◆",""),IF(AND($D231&lt;P$5+7,$E231&gt;P$5),"■","")))</x:f>
      </x:c>
      <x:c r="Q231" s="7" t="str">
        <x:f>IF(OR($D231="",Q$5="",'상세일정'!AM231="제외"),"",IF($D231=$E231,IF(AND($D231&gt;=Q$5,$D231&lt;Q$5+7),"◆",""),IF(AND($D231&lt;Q$5+7,$E231&gt;Q$5),"■","")))</x:f>
      </x:c>
      <x:c r="R231" s="7" t="str">
        <x:f>IF(OR($D231="",R$5="",'상세일정'!AM231="제외"),"",IF($D231=$E231,IF(AND($D231&gt;=R$5,$D231&lt;R$5+7),"◆",""),IF(AND($D231&lt;R$5+7,$E231&gt;R$5),"■","")))</x:f>
      </x:c>
      <x:c r="S231" s="7" t="str">
        <x:f>IF(OR($D231="",S$5="",'상세일정'!AM231="제외"),"",IF($D231=$E231,IF(AND($D231&gt;=S$5,$D231&lt;S$5+7),"◆",""),IF(AND($D231&lt;S$5+7,$E231&gt;S$5),"■","")))</x:f>
      </x:c>
      <x:c r="T231" s="7" t="str">
        <x:f>IF(OR($D231="",T$5="",'상세일정'!AM231="제외"),"",IF($D231=$E231,IF(AND($D231&gt;=T$5,$D231&lt;T$5+7),"◆",""),IF(AND($D231&lt;T$5+7,$E231&gt;T$5),"■","")))</x:f>
      </x:c>
      <x:c r="U231" s="7" t="str">
        <x:f>IF(OR($D231="",U$5="",'상세일정'!AM231="제외"),"",IF($D231=$E231,IF(AND($D231&gt;=U$5,$D231&lt;U$5+7),"◆",""),IF(AND($D231&lt;U$5+7,$E231&gt;U$5),"■","")))</x:f>
      </x:c>
      <x:c r="V231" s="7" t="str">
        <x:f>IF(OR($D231="",V$5="",'상세일정'!AM231="제외"),"",IF($D231=$E231,IF(AND($D231&gt;=V$5,$D231&lt;V$5+7),"◆",""),IF(AND($D231&lt;V$5+7,$E231&gt;V$5),"■","")))</x:f>
      </x:c>
      <x:c r="W231" s="7" t="str">
        <x:f>IF(OR($D231="",W$5="",'상세일정'!AM231="제외"),"",IF($D231=$E231,IF(AND($D231&gt;=W$5,$D231&lt;W$5+7),"◆",""),IF(AND($D231&lt;W$5+7,$E231&gt;W$5),"■","")))</x:f>
      </x:c>
      <x:c r="X231" s="7" t="str">
        <x:f>IF(OR($D231="",X$5="",'상세일정'!AM231="제외"),"",IF($D231=$E231,IF(AND($D231&gt;=X$5,$D231&lt;X$5+7),"◆",""),IF(AND($D231&lt;X$5+7,$E231&gt;X$5),"■","")))</x:f>
      </x:c>
      <x:c r="Y231" s="7" t="str">
        <x:f>IF(OR($D231="",Y$5="",'상세일정'!AM231="제외"),"",IF($D231=$E231,IF(AND($D231&gt;=Y$5,$D231&lt;Y$5+7),"◆",""),IF(AND($D231&lt;Y$5+7,$E231&gt;Y$5),"■","")))</x:f>
      </x:c>
      <x:c r="Z231" s="7" t="str">
        <x:f>IF(OR($D231="",Z$5="",'상세일정'!AM231="제외"),"",IF($D231=$E231,IF(AND($D231&gt;=Z$5,$D231&lt;Z$5+7),"◆",""),IF(AND($D231&lt;Z$5+7,$E231&gt;Z$5),"■","")))</x:f>
      </x:c>
      <x:c r="AA231" s="7" t="str">
        <x:f>IF(OR($D231="",AA$5="",'상세일정'!AM231="제외"),"",IF($D231=$E231,IF(AND($D231&gt;=AA$5,$D231&lt;AA$5+7),"◆",""),IF(AND($D231&lt;AA$5+7,$E231&gt;AA$5),"■","")))</x:f>
      </x:c>
      <x:c r="AB231" s="7" t="str">
        <x:f>IF(OR($D231="",AB$5="",'상세일정'!AM231="제외"),"",IF($D231=$E231,IF(AND($D231&gt;=AB$5,$D231&lt;AB$5+7),"◆",""),IF(AND($D231&lt;AB$5+7,$E231&gt;AB$5),"■","")))</x:f>
      </x:c>
      <x:c r="AC231" s="7" t="str">
        <x:f>IF(OR($D231="",AC$5="",'상세일정'!AM231="제외"),"",IF($D231=$E231,IF(AND($D231&gt;=AC$5,$D231&lt;AC$5+7),"◆",""),IF(AND($D231&lt;AC$5+7,$E231&gt;AC$5),"■","")))</x:f>
      </x:c>
      <x:c r="AD231" s="7" t="str">
        <x:f>IF(OR($D231="",AD$5="",'상세일정'!AM231="제외"),"",IF($D231=$E231,IF(AND($D231&gt;=AD$5,$D231&lt;AD$5+7),"◆",""),IF(AND($D231&lt;AD$5+7,$E231&gt;AD$5),"■","")))</x:f>
      </x:c>
      <x:c r="AE231" s="7" t="str">
        <x:f>IF(OR($D231="",AE$5="",'상세일정'!AM231="제외"),"",IF($D231=$E231,IF(AND($D231&gt;=AE$5,$D231&lt;AE$5+7),"◆",""),IF(AND($D231&lt;AE$5+7,$E231&gt;AE$5),"■","")))</x:f>
      </x:c>
      <x:c r="AF231" s="7" t="str">
        <x:f>IF(OR($D231="",AF$5="",'상세일정'!AM231="제외"),"",IF($D231=$E231,IF(AND($D231&gt;=AF$5,$D231&lt;AF$5+7),"◆",""),IF(AND($D231&lt;AF$5+7,$E231&gt;AF$5),"■","")))</x:f>
      </x:c>
      <x:c r="AG231" s="7" t="str">
        <x:f>IF(OR($D231="",AG$5="",'상세일정'!AM231="제외"),"",IF($D231=$E231,IF(AND($D231&gt;=AG$5,$D231&lt;AG$5+7),"◆",""),IF(AND($D231&lt;AG$5+7,$E231&gt;AG$5),"■","")))</x:f>
      </x:c>
      <x:c r="AH231" s="7" t="str">
        <x:f>IF(OR($D231="",AH$5="",'상세일정'!AM231="제외"),"",IF($D231=$E231,IF(AND($D231&gt;=AH$5,$D231&lt;AH$5+7),"◆",""),IF(AND($D231&lt;AH$5+7,$E231&gt;AH$5),"■","")))</x:f>
      </x:c>
      <x:c r="AI231" s="7" t="str">
        <x:f>IF(OR($D231="",AI$5="",'상세일정'!AM231="제외"),"",IF($D231=$E231,IF(AND($D231&gt;=AI$5,$D231&lt;AI$5+7),"◆",""),IF(AND($D231&lt;AI$5+7,$E231&gt;AI$5),"■","")))</x:f>
      </x:c>
      <x:c r="AJ231" s="7" t="str">
        <x:f>IF(OR($D231="",AJ$5="",'상세일정'!AM231="제외"),"",IF($D231=$E231,IF(AND($D231&gt;=AJ$5,$D231&lt;AJ$5+7),"◆",""),IF(AND($D231&lt;AJ$5+7,$E231&gt;AJ$5),"■","")))</x:f>
      </x:c>
      <x:c r="AK231" s="7" t="str">
        <x:f>IF(OR($D231="",AK$5="",'상세일정'!AM231="제외"),"",IF($D231=$E231,IF(AND($D231&gt;=AK$5,$D231&lt;AK$5+7),"◆",""),IF(AND($D231&lt;AK$5+7,$E231&gt;AK$5),"■","")))</x:f>
      </x:c>
      <x:c r="AL231" s="7" t="str">
        <x:f>IF(OR($D231="",AL$5="",'상세일정'!AM231="제외"),"",IF($D231=$E231,IF(AND($D231&gt;=AL$5,$D231&lt;AL$5+7),"◆",""),IF(AND($D231&lt;AL$5+7,$E231&gt;AL$5),"■","")))</x:f>
      </x:c>
      <x:c r="AM231" s="7" t="str">
        <x:f>IF(OR($D231="",AM$5="",'상세일정'!AM231="제외"),"",IF($D231=$E231,IF(AND($D231&gt;=AM$5,$D231&lt;AM$5+7),"◆",""),IF(AND($D231&lt;AM$5+7,$E231&gt;AM$5),"■","")))</x:f>
      </x:c>
      <x:c r="AN231" s="7" t="str">
        <x:f>IF(OR($D231="",AN$5="",'상세일정'!AM231="제외"),"",IF($D231=$E231,IF(AND($D231&gt;=AN$5,$D231&lt;AN$5+7),"◆",""),IF(AND($D231&lt;AN$5+7,$E231&gt;AN$5),"■","")))</x:f>
      </x:c>
      <x:c r="AO231" s="7" t="str">
        <x:f>IF(OR($D231="",AO$5="",'상세일정'!AM231="제외"),"",IF($D231=$E231,IF(AND($D231&gt;=AO$5,$D231&lt;AO$5+7),"◆",""),IF(AND($D231&lt;AO$5+7,$E231&gt;AO$5),"■","")))</x:f>
      </x:c>
      <x:c r="AP231" s="7" t="str">
        <x:f>IF(OR($D231="",AP$5="",'상세일정'!AM231="제외"),"",IF($D231=$E231,IF(AND($D231&gt;=AP$5,$D231&lt;AP$5+7),"◆",""),IF(AND($D231&lt;AP$5+7,$E231&gt;AP$5),"■","")))</x:f>
      </x:c>
      <x:c r="AQ231" s="7" t="str">
        <x:f>IF(OR($D231="",AQ$5="",'상세일정'!AM231="제외"),"",IF($D231=$E231,IF(AND($D231&gt;=AQ$5,$D231&lt;AQ$5+7),"◆",""),IF(AND($D231&lt;AQ$5+7,$E231&gt;AQ$5),"■","")))</x:f>
      </x:c>
      <x:c r="AR231" s="7" t="str">
        <x:f>IF(OR($D231="",AR$5="",'상세일정'!AM231="제외"),"",IF($D231=$E231,IF(AND($D231&gt;=AR$5,$D231&lt;AR$5+7),"◆",""),IF(AND($D231&lt;AR$5+7,$E231&gt;AR$5),"■","")))</x:f>
      </x:c>
      <x:c r="AS231" s="7" t="str">
        <x:f>IF(OR($D231="",AS$5="",'상세일정'!AM231="제외"),"",IF($D231=$E231,IF(AND($D231&gt;=AS$5,$D231&lt;AS$5+7),"◆",""),IF(AND($D231&lt;AS$5+7,$E231&gt;AS$5),"■","")))</x:f>
      </x:c>
      <x:c r="AT231" s="7" t="str">
        <x:f>IF(OR($D231="",AT$5="",'상세일정'!AM231="제외"),"",IF($D231=$E231,IF(AND($D231&gt;=AT$5,$D231&lt;AT$5+7),"◆",""),IF(AND($D231&lt;AT$5+7,$E231&gt;AT$5),"■","")))</x:f>
      </x:c>
      <x:c r="AU231" s="7" t="str">
        <x:f>IF(OR($D231="",AU$5="",'상세일정'!AM231="제외"),"",IF($D231=$E231,IF(AND($D231&gt;=AU$5,$D231&lt;AU$5+7),"◆",""),IF(AND($D231&lt;AU$5+7,$E231&gt;AU$5),"■","")))</x:f>
      </x:c>
      <x:c r="AV231" s="7" t="str">
        <x:f>IF(OR($D231="",AV$5="",'상세일정'!AM231="제외"),"",IF($D231=$E231,IF(AND($D231&gt;=AV$5,$D231&lt;AV$5+7),"◆",""),IF(AND($D231&lt;AV$5+7,$E231&gt;AV$5),"■","")))</x:f>
      </x:c>
      <x:c r="AW231" s="7" t="str">
        <x:f>IF(OR($D231="",AW$5="",'상세일정'!AM231="제외"),"",IF($D231=$E231,IF(AND($D231&gt;=AW$5,$D231&lt;AW$5+7),"◆",""),IF(AND($D231&lt;AW$5+7,$E231&gt;AW$5),"■","")))</x:f>
      </x:c>
      <x:c r="AX231" s="7" t="str">
        <x:f>IF(OR($D231="",AX$5="",'상세일정'!AM231="제외"),"",IF($D231=$E231,IF(AND($D231&gt;=AX$5,$D231&lt;AX$5+7),"◆",""),IF(AND($D231&lt;AX$5+7,$E231&gt;AX$5),"■","")))</x:f>
      </x:c>
      <x:c r="AY231" s="7" t="str">
        <x:f>IF(OR($D231="",AY$5="",'상세일정'!AM231="제외"),"",IF($D231=$E231,IF(AND($D231&gt;=AY$5,$D231&lt;AY$5+7),"◆",""),IF(AND($D231&lt;AY$5+7,$E231&gt;AY$5),"■","")))</x:f>
      </x:c>
      <x:c r="AZ231" s="7" t="str">
        <x:f>IF(OR($D231="",AZ$5="",'상세일정'!AM231="제외"),"",IF($D231=$E231,IF(AND($D231&gt;=AZ$5,$D231&lt;AZ$5+7),"◆",""),IF(AND($D231&lt;AZ$5+7,$E231&gt;AZ$5),"■","")))</x:f>
      </x:c>
      <x:c r="BA231" s="7" t="str">
        <x:f>IF(OR($D231="",BA$5="",'상세일정'!AM231="제외"),"",IF($D231=$E231,IF(AND($D231&gt;=BA$5,$D231&lt;BA$5+7),"◆",""),IF(AND($D231&lt;BA$5+7,$E231&gt;BA$5),"■","")))</x:f>
      </x:c>
      <x:c r="BB231" s="7" t="str">
        <x:f>IF(OR($D231="",BB$5="",'상세일정'!AM231="제외"),"",IF($D231=$E231,IF(AND($D231&gt;=BB$5,$D231&lt;BB$5+7),"◆",""),IF(AND($D231&lt;BB$5+7,$E231&gt;BB$5),"■","")))</x:f>
      </x:c>
      <x:c r="BC231" s="7" t="str">
        <x:f>IF(OR($D231="",BC$5="",'상세일정'!AM231="제외"),"",IF($D231=$E231,IF(AND($D231&gt;=BC$5,$D231&lt;BC$5+7),"◆",""),IF(AND($D231&lt;BC$5+7,$E231&gt;BC$5),"■","")))</x:f>
      </x:c>
      <x:c r="BD231" s="7" t="str">
        <x:f>IF(OR($D231="",BD$5="",'상세일정'!AM231="제외"),"",IF($D231=$E231,IF(AND($D231&gt;=BD$5,$D231&lt;BD$5+7),"◆",""),IF(AND($D231&lt;BD$5+7,$E231&gt;BD$5),"■","")))</x:f>
      </x:c>
      <x:c r="BE231" s="7" t="str">
        <x:f>IF(OR($D231="",BE$5="",'상세일정'!AM231="제외"),"",IF($D231=$E231,IF(AND($D231&gt;=BE$5,$D231&lt;BE$5+7),"◆",""),IF(AND($D231&lt;BE$5+7,$E231&gt;BE$5),"■","")))</x:f>
      </x:c>
      <x:c r="BF231" s="7" t="str">
        <x:f>IF(OR($D231="",BF$5="",'상세일정'!AM231="제외"),"",IF($D231=$E231,IF(AND($D231&gt;=BF$5,$D231&lt;BF$5+7),"◆",""),IF(AND($D231&lt;BF$5+7,$E231&gt;BF$5),"■","")))</x:f>
      </x:c>
      <x:c r="BG231" s="7" t="str">
        <x:f>IF(OR($D231="",BG$5="",'상세일정'!AM231="제외"),"",IF($D231=$E231,IF(AND($D231&gt;=BG$5,$D231&lt;BG$5+7),"◆",""),IF(AND($D231&lt;BG$5+7,$E231&gt;BG$5),"■","")))</x:f>
      </x:c>
      <x:c r="BH231" s="7" t="str">
        <x:f>IF(OR($D231="",BH$5="",'상세일정'!AM231="제외"),"",IF($D231=$E231,IF(AND($D231&gt;=BH$5,$D231&lt;BH$5+7),"◆",""),IF(AND($D231&lt;BH$5+7,$E231&gt;BH$5),"■","")))</x:f>
      </x:c>
      <x:c r="BI231" s="7" t="str">
        <x:f>IF(OR($D231="",BI$5="",'상세일정'!AM231="제외"),"",IF($D231=$E231,IF(AND($D231&gt;=BI$5,$D231&lt;BI$5+7),"◆",""),IF(AND($D231&lt;BI$5+7,$E231&gt;BI$5),"■","")))</x:f>
      </x:c>
      <x:c r="BJ231" s="7" t="str">
        <x:f>IF(OR($D231="",BJ$5="",'상세일정'!AM231="제외"),"",IF($D231=$E231,IF(AND($D231&gt;=BJ$5,$D231&lt;BJ$5+7),"◆",""),IF(AND($D231&lt;BJ$5+7,$E231&gt;BJ$5),"■","")))</x:f>
      </x:c>
      <x:c r="BK231" s="7" t="str">
        <x:f>IF(OR($D231="",BK$5="",'상세일정'!AM231="제외"),"",IF($D231=$E231,IF(AND($D231&gt;=BK$5,$D231&lt;BK$5+7),"◆",""),IF(AND($D231&lt;BK$5+7,$E231&gt;BK$5),"■","")))</x:f>
      </x:c>
      <x:c r="BL231" s="7" t="str">
        <x:f>IF(OR($D231="",BL$5="",'상세일정'!AM231="제외"),"",IF($D231=$E231,IF(AND($D231&gt;=BL$5,$D231&lt;BL$5+7),"◆",""),IF(AND($D231&lt;BL$5+7,$E231&gt;BL$5),"■","")))</x:f>
      </x:c>
      <x:c r="BM231" s="7" t="str">
        <x:f>IF(OR($D231="",BM$5="",'상세일정'!AM231="제외"),"",IF($D231=$E231,IF(AND($D231&gt;=BM$5,$D231&lt;BM$5+7),"◆",""),IF(AND($D231&lt;BM$5+7,$E231&gt;BM$5),"■","")))</x:f>
      </x:c>
      <x:c r="BN231" s="7" t="str">
        <x:f>IF(OR($D231="",BN$5="",'상세일정'!AM231="제외"),"",IF($D231=$E231,IF(AND($D231&gt;=BN$5,$D231&lt;BN$5+7),"◆",""),IF(AND($D231&lt;BN$5+7,$E231&gt;BN$5),"■","")))</x:f>
      </x:c>
      <x:c r="BO231" s="7" t="str">
        <x:f>IF(OR($D231="",BO$5="",'상세일정'!AM231="제외"),"",IF($D231=$E231,IF(AND($D231&gt;=BO$5,$D231&lt;BO$5+7),"◆",""),IF(AND($D231&lt;BO$5+7,$E231&gt;BO$5),"■","")))</x:f>
      </x:c>
      <x:c r="BP231" s="7" t="str">
        <x:f>IF(OR($D231="",BP$5="",'상세일정'!AM231="제외"),"",IF($D231=$E231,IF(AND($D231&gt;=BP$5,$D231&lt;BP$5+7),"◆",""),IF(AND($D231&lt;BP$5+7,$E231&gt;BP$5),"■","")))</x:f>
      </x:c>
      <x:c r="BQ231" s="7" t="str">
        <x:f>IF(OR($D231="",BQ$5="",'상세일정'!AM231="제외"),"",IF($D231=$E231,IF(AND($D231&gt;=BQ$5,$D231&lt;BQ$5+7),"◆",""),IF(AND($D231&lt;BQ$5+7,$E231&gt;BQ$5),"■","")))</x:f>
      </x:c>
      <x:c r="BR231" s="7" t="str">
        <x:f>IF(OR($D231="",BR$5="",'상세일정'!AM231="제외"),"",IF($D231=$E231,IF(AND($D231&gt;=BR$5,$D231&lt;BR$5+7),"◆",""),IF(AND($D231&lt;BR$5+7,$E231&gt;BR$5),"■","")))</x:f>
      </x:c>
      <x:c r="BS231" s="7" t="str">
        <x:f>IF(OR($D231="",BS$5="",'상세일정'!AM231="제외"),"",IF($D231=$E231,IF(AND($D231&gt;=BS$5,$D231&lt;BS$5+7),"◆",""),IF(AND($D231&lt;BS$5+7,$E231&gt;BS$5),"■","")))</x:f>
      </x:c>
      <x:c r="BT231" s="7" t="str">
        <x:f>IF(OR($D231="",BT$5="",'상세일정'!AM231="제외"),"",IF($D231=$E231,IF(AND($D231&gt;=BT$5,$D231&lt;BT$5+7),"◆",""),IF(AND($D231&lt;BT$5+7,$E231&gt;BT$5),"■","")))</x:f>
      </x:c>
      <x:c r="BU231" s="7" t="str">
        <x:f>IF(OR($D231="",BU$5="",'상세일정'!AM231="제외"),"",IF($D231=$E231,IF(AND($D231&gt;=BU$5,$D231&lt;BU$5+7),"◆",""),IF(AND($D231&lt;BU$5+7,$E231&gt;BU$5),"■","")))</x:f>
      </x:c>
      <x:c r="BV231" s="7" t="str">
        <x:f>IF(OR($D231="",BV$5="",'상세일정'!AM231="제외"),"",IF($D231=$E231,IF(AND($D231&gt;=BV$5,$D231&lt;BV$5+7),"◆",""),IF(AND($D231&lt;BV$5+7,$E231&gt;BV$5),"■","")))</x:f>
      </x:c>
      <x:c r="BW231" s="7" t="str">
        <x:f>IF(OR($D231="",BW$5="",'상세일정'!AM231="제외"),"",IF($D231=$E231,IF(AND($D231&gt;=BW$5,$D231&lt;BW$5+7),"◆",""),IF(AND($D231&lt;BW$5+7,$E231&gt;BW$5),"■","")))</x:f>
      </x:c>
      <x:c r="BX231" s="7" t="str">
        <x:f>IF(OR($D231="",BX$5="",'상세일정'!AM231="제외"),"",IF($D231=$E231,IF(AND($D231&gt;=BX$5,$D231&lt;BX$5+7),"◆",""),IF(AND($D231&lt;BX$5+7,$E231&gt;BX$5),"■","")))</x:f>
      </x:c>
      <x:c r="BY231" s="7" t="str">
        <x:f>IF(OR($D231="",BY$5="",'상세일정'!AM231="제외"),"",IF($D231=$E231,IF(AND($D231&gt;=BY$5,$D231&lt;BY$5+7),"◆",""),IF(AND($D231&lt;BY$5+7,$E231&gt;BY$5),"■","")))</x:f>
      </x:c>
      <x:c r="BZ231" s="7" t="str">
        <x:f>IF(OR($D231="",BZ$5="",'상세일정'!AM231="제외"),"",IF($D231=$E231,IF(AND($D231&gt;=BZ$5,$D231&lt;BZ$5+7),"◆",""),IF(AND($D231&lt;BZ$5+7,$E231&gt;BZ$5),"■","")))</x:f>
      </x:c>
      <x:c r="CA231" s="7" t="str">
        <x:f>IF(OR($D231="",CA$5="",'상세일정'!AM231="제외"),"",IF($D231=$E231,IF(AND($D231&gt;=CA$5,$D231&lt;CA$5+7),"◆",""),IF(AND($D231&lt;CA$5+7,$E231&gt;CA$5),"■","")))</x:f>
      </x:c>
      <x:c r="CB231" s="7" t="str">
        <x:f>IF(OR($D231="",CB$5="",'상세일정'!AM231="제외"),"",IF($D231=$E231,IF(AND($D231&gt;=CB$5,$D231&lt;CB$5+7),"◆",""),IF(AND($D231&lt;CB$5+7,$E231&gt;CB$5),"■","")))</x:f>
      </x:c>
      <x:c r="CC231" s="7" t="str">
        <x:f>IF(OR($D231="",CC$5="",'상세일정'!AM231="제외"),"",IF($D231=$E231,IF(AND($D231&gt;=CC$5,$D231&lt;CC$5+7),"◆",""),IF(AND($D231&lt;CC$5+7,$E231&gt;CC$5),"■","")))</x:f>
      </x:c>
      <x:c r="CD231" s="7" t="str">
        <x:f>IF(OR($D231="",CD$5="",'상세일정'!AM231="제외"),"",IF($D231=$E231,IF(AND($D231&gt;=CD$5,$D231&lt;CD$5+7),"◆",""),IF(AND($D231&lt;CD$5+7,$E231&gt;CD$5),"■","")))</x:f>
      </x:c>
      <x:c r="CE231" s="7" t="str">
        <x:f>IF(OR($D231="",CE$5="",'상세일정'!AM231="제외"),"",IF($D231=$E231,IF(AND($D231&gt;=CE$5,$D231&lt;CE$5+7),"◆",""),IF(AND($D231&lt;CE$5+7,$E231&gt;CE$5),"■","")))</x:f>
      </x:c>
      <x:c r="CF231" s="7" t="str">
        <x:f>IF(OR($D231="",CF$5="",'상세일정'!AM231="제외"),"",IF($D231=$E231,IF(AND($D231&gt;=CF$5,$D231&lt;CF$5+7),"◆",""),IF(AND($D231&lt;CF$5+7,$E231&gt;CF$5),"■","")))</x:f>
      </x:c>
      <x:c r="CG231" s="7" t="str">
        <x:f>IF(OR($D231="",CG$5="",'상세일정'!AM231="제외"),"",IF($D231=$E231,IF(AND($D231&gt;=CG$5,$D231&lt;CG$5+7),"◆",""),IF(AND($D231&lt;CG$5+7,$E231&gt;CG$5),"■","")))</x:f>
      </x:c>
      <x:c r="CH231" s="7" t="str">
        <x:f>IF(OR($D231="",CH$5="",'상세일정'!AM231="제외"),"",IF($D231=$E231,IF(AND($D231&gt;=CH$5,$D231&lt;CH$5+7),"◆",""),IF(AND($D231&lt;CH$5+7,$E231&gt;CH$5),"■","")))</x:f>
      </x:c>
      <x:c r="CI231" s="7" t="str">
        <x:f>IF(OR($D231="",CI$5="",'상세일정'!AM231="제외"),"",IF($D231=$E231,IF(AND($D231&gt;=CI$5,$D231&lt;CI$5+7),"◆",""),IF(AND($D231&lt;CI$5+7,$E231&gt;CI$5),"■","")))</x:f>
      </x:c>
      <x:c r="CJ231" s="7" t="str">
        <x:f>IF(OR($D231="",CJ$5="",'상세일정'!AM231="제외"),"",IF($D231=$E231,IF(AND($D231&gt;=CJ$5,$D231&lt;CJ$5+7),"◆",""),IF(AND($D231&lt;CJ$5+7,$E231&gt;CJ$5),"■","")))</x:f>
      </x:c>
      <x:c r="CK231" s="7" t="str">
        <x:f>IF(OR($D231="",CK$5="",'상세일정'!AM231="제외"),"",IF($D231=$E231,IF(AND($D231&gt;=CK$5,$D231&lt;CK$5+7),"◆",""),IF(AND($D231&lt;CK$5+7,$E231&gt;CK$5),"■","")))</x:f>
      </x:c>
      <x:c r="CL231" s="7" t="str">
        <x:f>IF(OR($D231="",CL$5="",'상세일정'!AM231="제외"),"",IF($D231=$E231,IF(AND($D231&gt;=CL$5,$D231&lt;CL$5+7),"◆",""),IF(AND($D231&lt;CL$5+7,$E231&gt;CL$5),"■","")))</x:f>
      </x:c>
      <x:c r="CM231" s="7" t="str">
        <x:f>IF(OR($D231="",CM$5="",'상세일정'!AM231="제외"),"",IF($D231=$E231,IF(AND($D231&gt;=CM$5,$D231&lt;CM$5+7),"◆",""),IF(AND($D231&lt;CM$5+7,$E231&gt;CM$5),"■","")))</x:f>
      </x:c>
      <x:c r="CN231" s="7" t="str">
        <x:f>IF(OR($D231="",CN$5="",'상세일정'!AM231="제외"),"",IF($D231=$E231,IF(AND($D231&gt;=CN$5,$D231&lt;CN$5+7),"◆",""),IF(AND($D231&lt;CN$5+7,$E231&gt;CN$5),"■","")))</x:f>
      </x:c>
      <x:c r="CO231" s="7" t="str">
        <x:f>IF(OR($D231="",CO$5="",'상세일정'!AM231="제외"),"",IF($D231=$E231,IF(AND($D231&gt;=CO$5,$D231&lt;CO$5+7),"◆",""),IF(AND($D231&lt;CO$5+7,$E231&gt;CO$5),"■","")))</x:f>
      </x:c>
      <x:c r="CP231" s="7" t="str">
        <x:f>IF(OR($D231="",CP$5="",'상세일정'!AM231="제외"),"",IF($D231=$E231,IF(AND($D231&gt;=CP$5,$D231&lt;CP$5+7),"◆",""),IF(AND($D231&lt;CP$5+7,$E231&gt;CP$5),"■","")))</x:f>
      </x:c>
      <x:c r="CQ231" s="7" t="str">
        <x:f>IF(OR($D231="",CQ$5="",'상세일정'!AM231="제외"),"",IF($D231=$E231,IF(AND($D231&gt;=CQ$5,$D231&lt;CQ$5+7),"◆",""),IF(AND($D231&lt;CQ$5+7,$E231&gt;CQ$5),"■","")))</x:f>
      </x:c>
      <x:c r="CR231" s="7" t="str">
        <x:f>IF(OR($D231="",CR$5="",'상세일정'!AM231="제외"),"",IF($D231=$E231,IF(AND($D231&gt;=CR$5,$D231&lt;CR$5+7),"◆",""),IF(AND($D231&lt;CR$5+7,$E231&gt;CR$5),"■","")))</x:f>
      </x:c>
      <x:c r="CS231" s="7" t="str">
        <x:f>IF(OR($D231="",CS$5="",'상세일정'!AM231="제외"),"",IF($D231=$E231,IF(AND($D231&gt;=CS$5,$D231&lt;CS$5+7),"◆",""),IF(AND($D231&lt;CS$5+7,$E231&gt;CS$5),"■","")))</x:f>
      </x:c>
      <x:c r="CT231" s="7" t="str">
        <x:f>IF(OR($D231="",CT$5="",'상세일정'!AM231="제외"),"",IF($D231=$E231,IF(AND($D231&gt;=CT$5,$D231&lt;CT$5+7),"◆",""),IF(AND($D231&lt;CT$5+7,$E231&gt;CT$5),"■","")))</x:f>
      </x:c>
      <x:c r="CU231" s="7" t="str">
        <x:f>IF(OR($D231="",CU$5="",'상세일정'!AM231="제외"),"",IF($D231=$E231,IF(AND($D231&gt;=CU$5,$D231&lt;CU$5+7),"◆",""),IF(AND($D231&lt;CU$5+7,$E231&gt;CU$5),"■","")))</x:f>
      </x:c>
      <x:c r="CV231" s="7" t="str">
        <x:f>IF(OR($D231="",CV$5="",'상세일정'!AM231="제외"),"",IF($D231=$E231,IF(AND($D231&gt;=CV$5,$D231&lt;CV$5+7),"◆",""),IF(AND($D231&lt;CV$5+7,$E231&gt;CV$5),"■","")))</x:f>
      </x:c>
      <x:c r="CW231" s="7" t="str">
        <x:f>IF(OR($D231="",CW$5="",'상세일정'!AM231="제외"),"",IF($D231=$E231,IF(AND($D231&gt;=CW$5,$D231&lt;CW$5+7),"◆",""),IF(AND($D231&lt;CW$5+7,$E231&gt;CW$5),"■","")))</x:f>
      </x:c>
      <x:c r="CX231" s="7" t="str">
        <x:f>IF(OR($D231="",CX$5="",'상세일정'!AM231="제외"),"",IF($D231=$E231,IF(AND($D231&gt;=CX$5,$D231&lt;CX$5+7),"◆",""),IF(AND($D231&lt;CX$5+7,$E231&gt;CX$5),"■","")))</x:f>
      </x:c>
      <x:c r="CY231" s="7" t="str">
        <x:f>IF(OR($D231="",CY$5="",'상세일정'!AM231="제외"),"",IF($D231=$E231,IF(AND($D231&gt;=CY$5,$D231&lt;CY$5+7),"◆",""),IF(AND($D231&lt;CY$5+7,$E231&gt;CY$5),"■","")))</x:f>
      </x:c>
      <x:c r="CZ231" s="7" t="str">
        <x:f>IF(OR($D231="",CZ$5="",'상세일정'!AM231="제외"),"",IF($D231=$E231,IF(AND($D231&gt;=CZ$5,$D231&lt;CZ$5+7),"◆",""),IF(AND($D231&lt;CZ$5+7,$E231&gt;CZ$5),"■","")))</x:f>
      </x:c>
      <x:c r="DA231" s="7" t="str">
        <x:f>IF(OR($D231="",DA$5="",'상세일정'!AM231="제외"),"",IF($D231=$E231,IF(AND($D231&gt;=DA$5,$D231&lt;DA$5+7),"◆",""),IF(AND($D231&lt;DA$5+7,$E231&gt;DA$5),"■","")))</x:f>
      </x:c>
      <x:c r="DB231" s="7" t="str">
        <x:f>IF(OR($D231="",DB$5="",'상세일정'!AM231="제외"),"",IF($D231=$E231,IF(AND($D231&gt;=DB$5,$D231&lt;DB$5+7),"◆",""),IF(AND($D231&lt;DB$5+7,$E231&gt;DB$5),"■","")))</x:f>
      </x:c>
      <x:c r="DC231" s="7" t="str">
        <x:f>IF(OR($D231="",DC$5="",'상세일정'!AM231="제외"),"",IF($D231=$E231,IF(AND($D231&gt;=DC$5,$D231&lt;DC$5+7),"◆",""),IF(AND($D231&lt;DC$5+7,$E231&gt;DC$5),"■","")))</x:f>
      </x:c>
      <x:c r="DD231" s="7" t="str">
        <x:f>IF(OR($D231="",DD$5="",'상세일정'!AM231="제외"),"",IF($D231=$E231,IF(AND($D231&gt;=DD$5,$D231&lt;DD$5+7),"◆",""),IF(AND($D231&lt;DD$5+7,$E231&gt;DD$5),"■","")))</x:f>
      </x:c>
      <x:c r="DE231" s="7" t="str">
        <x:f>IF(OR($D231="",DE$5="",'상세일정'!AM231="제외"),"",IF($D231=$E231,IF(AND($D231&gt;=DE$5,$D231&lt;DE$5+7),"◆",""),IF(AND($D231&lt;DE$5+7,$E231&gt;DE$5),"■","")))</x:f>
      </x:c>
    </x:row>
    <x:row r="232" ht="34" customHeight="1">
      <x:c r="A232" s="7" t="str">
        <x:v>BU02</x:v>
      </x:c>
      <x:c r="B232" s="7" t="str">
        <x:v>27 준공·사용승인</x:v>
      </x:c>
      <x:c r="C232" s="7" t="str">
        <x:v>사용승인 신청·현장확인·보완</x:v>
      </x:c>
      <x:c r="D232" s="10" t="str">
        <x:f>'상세일정'!AJ232</x:f>
      </x:c>
      <x:c r="E232" s="10" t="str">
        <x:f>'상세일정'!AK232</x:f>
      </x:c>
      <x:c r="F232" s="7" t="str">
        <x:f>IF(OR($D232="",F$5="",'상세일정'!AM232="제외"),"",IF($D232=$E232,IF(AND($D232&gt;=F$5,$D232&lt;F$5+7),"◆",""),IF(AND($D232&lt;F$5+7,$E232&gt;F$5),"■","")))</x:f>
      </x:c>
      <x:c r="G232" s="7" t="str">
        <x:f>IF(OR($D232="",G$5="",'상세일정'!AM232="제외"),"",IF($D232=$E232,IF(AND($D232&gt;=G$5,$D232&lt;G$5+7),"◆",""),IF(AND($D232&lt;G$5+7,$E232&gt;G$5),"■","")))</x:f>
      </x:c>
      <x:c r="H232" s="7" t="str">
        <x:f>IF(OR($D232="",H$5="",'상세일정'!AM232="제외"),"",IF($D232=$E232,IF(AND($D232&gt;=H$5,$D232&lt;H$5+7),"◆",""),IF(AND($D232&lt;H$5+7,$E232&gt;H$5),"■","")))</x:f>
      </x:c>
      <x:c r="I232" s="7" t="str">
        <x:f>IF(OR($D232="",I$5="",'상세일정'!AM232="제외"),"",IF($D232=$E232,IF(AND($D232&gt;=I$5,$D232&lt;I$5+7),"◆",""),IF(AND($D232&lt;I$5+7,$E232&gt;I$5),"■","")))</x:f>
      </x:c>
      <x:c r="J232" s="7" t="str">
        <x:f>IF(OR($D232="",J$5="",'상세일정'!AM232="제외"),"",IF($D232=$E232,IF(AND($D232&gt;=J$5,$D232&lt;J$5+7),"◆",""),IF(AND($D232&lt;J$5+7,$E232&gt;J$5),"■","")))</x:f>
      </x:c>
      <x:c r="K232" s="7" t="str">
        <x:f>IF(OR($D232="",K$5="",'상세일정'!AM232="제외"),"",IF($D232=$E232,IF(AND($D232&gt;=K$5,$D232&lt;K$5+7),"◆",""),IF(AND($D232&lt;K$5+7,$E232&gt;K$5),"■","")))</x:f>
      </x:c>
      <x:c r="L232" s="7" t="str">
        <x:f>IF(OR($D232="",L$5="",'상세일정'!AM232="제외"),"",IF($D232=$E232,IF(AND($D232&gt;=L$5,$D232&lt;L$5+7),"◆",""),IF(AND($D232&lt;L$5+7,$E232&gt;L$5),"■","")))</x:f>
      </x:c>
      <x:c r="M232" s="7" t="str">
        <x:f>IF(OR($D232="",M$5="",'상세일정'!AM232="제외"),"",IF($D232=$E232,IF(AND($D232&gt;=M$5,$D232&lt;M$5+7),"◆",""),IF(AND($D232&lt;M$5+7,$E232&gt;M$5),"■","")))</x:f>
      </x:c>
      <x:c r="N232" s="7" t="str">
        <x:f>IF(OR($D232="",N$5="",'상세일정'!AM232="제외"),"",IF($D232=$E232,IF(AND($D232&gt;=N$5,$D232&lt;N$5+7),"◆",""),IF(AND($D232&lt;N$5+7,$E232&gt;N$5),"■","")))</x:f>
      </x:c>
      <x:c r="O232" s="7" t="str">
        <x:f>IF(OR($D232="",O$5="",'상세일정'!AM232="제외"),"",IF($D232=$E232,IF(AND($D232&gt;=O$5,$D232&lt;O$5+7),"◆",""),IF(AND($D232&lt;O$5+7,$E232&gt;O$5),"■","")))</x:f>
      </x:c>
      <x:c r="P232" s="7" t="str">
        <x:f>IF(OR($D232="",P$5="",'상세일정'!AM232="제외"),"",IF($D232=$E232,IF(AND($D232&gt;=P$5,$D232&lt;P$5+7),"◆",""),IF(AND($D232&lt;P$5+7,$E232&gt;P$5),"■","")))</x:f>
      </x:c>
      <x:c r="Q232" s="7" t="str">
        <x:f>IF(OR($D232="",Q$5="",'상세일정'!AM232="제외"),"",IF($D232=$E232,IF(AND($D232&gt;=Q$5,$D232&lt;Q$5+7),"◆",""),IF(AND($D232&lt;Q$5+7,$E232&gt;Q$5),"■","")))</x:f>
      </x:c>
      <x:c r="R232" s="7" t="str">
        <x:f>IF(OR($D232="",R$5="",'상세일정'!AM232="제외"),"",IF($D232=$E232,IF(AND($D232&gt;=R$5,$D232&lt;R$5+7),"◆",""),IF(AND($D232&lt;R$5+7,$E232&gt;R$5),"■","")))</x:f>
      </x:c>
      <x:c r="S232" s="7" t="str">
        <x:f>IF(OR($D232="",S$5="",'상세일정'!AM232="제외"),"",IF($D232=$E232,IF(AND($D232&gt;=S$5,$D232&lt;S$5+7),"◆",""),IF(AND($D232&lt;S$5+7,$E232&gt;S$5),"■","")))</x:f>
      </x:c>
      <x:c r="T232" s="7" t="str">
        <x:f>IF(OR($D232="",T$5="",'상세일정'!AM232="제외"),"",IF($D232=$E232,IF(AND($D232&gt;=T$5,$D232&lt;T$5+7),"◆",""),IF(AND($D232&lt;T$5+7,$E232&gt;T$5),"■","")))</x:f>
      </x:c>
      <x:c r="U232" s="7" t="str">
        <x:f>IF(OR($D232="",U$5="",'상세일정'!AM232="제외"),"",IF($D232=$E232,IF(AND($D232&gt;=U$5,$D232&lt;U$5+7),"◆",""),IF(AND($D232&lt;U$5+7,$E232&gt;U$5),"■","")))</x:f>
      </x:c>
      <x:c r="V232" s="7" t="str">
        <x:f>IF(OR($D232="",V$5="",'상세일정'!AM232="제외"),"",IF($D232=$E232,IF(AND($D232&gt;=V$5,$D232&lt;V$5+7),"◆",""),IF(AND($D232&lt;V$5+7,$E232&gt;V$5),"■","")))</x:f>
      </x:c>
      <x:c r="W232" s="7" t="str">
        <x:f>IF(OR($D232="",W$5="",'상세일정'!AM232="제외"),"",IF($D232=$E232,IF(AND($D232&gt;=W$5,$D232&lt;W$5+7),"◆",""),IF(AND($D232&lt;W$5+7,$E232&gt;W$5),"■","")))</x:f>
      </x:c>
      <x:c r="X232" s="7" t="str">
        <x:f>IF(OR($D232="",X$5="",'상세일정'!AM232="제외"),"",IF($D232=$E232,IF(AND($D232&gt;=X$5,$D232&lt;X$5+7),"◆",""),IF(AND($D232&lt;X$5+7,$E232&gt;X$5),"■","")))</x:f>
      </x:c>
      <x:c r="Y232" s="7" t="str">
        <x:f>IF(OR($D232="",Y$5="",'상세일정'!AM232="제외"),"",IF($D232=$E232,IF(AND($D232&gt;=Y$5,$D232&lt;Y$5+7),"◆",""),IF(AND($D232&lt;Y$5+7,$E232&gt;Y$5),"■","")))</x:f>
      </x:c>
      <x:c r="Z232" s="7" t="str">
        <x:f>IF(OR($D232="",Z$5="",'상세일정'!AM232="제외"),"",IF($D232=$E232,IF(AND($D232&gt;=Z$5,$D232&lt;Z$5+7),"◆",""),IF(AND($D232&lt;Z$5+7,$E232&gt;Z$5),"■","")))</x:f>
      </x:c>
      <x:c r="AA232" s="7" t="str">
        <x:f>IF(OR($D232="",AA$5="",'상세일정'!AM232="제외"),"",IF($D232=$E232,IF(AND($D232&gt;=AA$5,$D232&lt;AA$5+7),"◆",""),IF(AND($D232&lt;AA$5+7,$E232&gt;AA$5),"■","")))</x:f>
      </x:c>
      <x:c r="AB232" s="7" t="str">
        <x:f>IF(OR($D232="",AB$5="",'상세일정'!AM232="제외"),"",IF($D232=$E232,IF(AND($D232&gt;=AB$5,$D232&lt;AB$5+7),"◆",""),IF(AND($D232&lt;AB$5+7,$E232&gt;AB$5),"■","")))</x:f>
      </x:c>
      <x:c r="AC232" s="7" t="str">
        <x:f>IF(OR($D232="",AC$5="",'상세일정'!AM232="제외"),"",IF($D232=$E232,IF(AND($D232&gt;=AC$5,$D232&lt;AC$5+7),"◆",""),IF(AND($D232&lt;AC$5+7,$E232&gt;AC$5),"■","")))</x:f>
      </x:c>
      <x:c r="AD232" s="7" t="str">
        <x:f>IF(OR($D232="",AD$5="",'상세일정'!AM232="제외"),"",IF($D232=$E232,IF(AND($D232&gt;=AD$5,$D232&lt;AD$5+7),"◆",""),IF(AND($D232&lt;AD$5+7,$E232&gt;AD$5),"■","")))</x:f>
      </x:c>
      <x:c r="AE232" s="7" t="str">
        <x:f>IF(OR($D232="",AE$5="",'상세일정'!AM232="제외"),"",IF($D232=$E232,IF(AND($D232&gt;=AE$5,$D232&lt;AE$5+7),"◆",""),IF(AND($D232&lt;AE$5+7,$E232&gt;AE$5),"■","")))</x:f>
      </x:c>
      <x:c r="AF232" s="7" t="str">
        <x:f>IF(OR($D232="",AF$5="",'상세일정'!AM232="제외"),"",IF($D232=$E232,IF(AND($D232&gt;=AF$5,$D232&lt;AF$5+7),"◆",""),IF(AND($D232&lt;AF$5+7,$E232&gt;AF$5),"■","")))</x:f>
      </x:c>
      <x:c r="AG232" s="7" t="str">
        <x:f>IF(OR($D232="",AG$5="",'상세일정'!AM232="제외"),"",IF($D232=$E232,IF(AND($D232&gt;=AG$5,$D232&lt;AG$5+7),"◆",""),IF(AND($D232&lt;AG$5+7,$E232&gt;AG$5),"■","")))</x:f>
      </x:c>
      <x:c r="AH232" s="7" t="str">
        <x:f>IF(OR($D232="",AH$5="",'상세일정'!AM232="제외"),"",IF($D232=$E232,IF(AND($D232&gt;=AH$5,$D232&lt;AH$5+7),"◆",""),IF(AND($D232&lt;AH$5+7,$E232&gt;AH$5),"■","")))</x:f>
      </x:c>
      <x:c r="AI232" s="7" t="str">
        <x:f>IF(OR($D232="",AI$5="",'상세일정'!AM232="제외"),"",IF($D232=$E232,IF(AND($D232&gt;=AI$5,$D232&lt;AI$5+7),"◆",""),IF(AND($D232&lt;AI$5+7,$E232&gt;AI$5),"■","")))</x:f>
      </x:c>
      <x:c r="AJ232" s="7" t="str">
        <x:f>IF(OR($D232="",AJ$5="",'상세일정'!AM232="제외"),"",IF($D232=$E232,IF(AND($D232&gt;=AJ$5,$D232&lt;AJ$5+7),"◆",""),IF(AND($D232&lt;AJ$5+7,$E232&gt;AJ$5),"■","")))</x:f>
      </x:c>
      <x:c r="AK232" s="7" t="str">
        <x:f>IF(OR($D232="",AK$5="",'상세일정'!AM232="제외"),"",IF($D232=$E232,IF(AND($D232&gt;=AK$5,$D232&lt;AK$5+7),"◆",""),IF(AND($D232&lt;AK$5+7,$E232&gt;AK$5),"■","")))</x:f>
      </x:c>
      <x:c r="AL232" s="7" t="str">
        <x:f>IF(OR($D232="",AL$5="",'상세일정'!AM232="제외"),"",IF($D232=$E232,IF(AND($D232&gt;=AL$5,$D232&lt;AL$5+7),"◆",""),IF(AND($D232&lt;AL$5+7,$E232&gt;AL$5),"■","")))</x:f>
      </x:c>
      <x:c r="AM232" s="7" t="str">
        <x:f>IF(OR($D232="",AM$5="",'상세일정'!AM232="제외"),"",IF($D232=$E232,IF(AND($D232&gt;=AM$5,$D232&lt;AM$5+7),"◆",""),IF(AND($D232&lt;AM$5+7,$E232&gt;AM$5),"■","")))</x:f>
      </x:c>
      <x:c r="AN232" s="7" t="str">
        <x:f>IF(OR($D232="",AN$5="",'상세일정'!AM232="제외"),"",IF($D232=$E232,IF(AND($D232&gt;=AN$5,$D232&lt;AN$5+7),"◆",""),IF(AND($D232&lt;AN$5+7,$E232&gt;AN$5),"■","")))</x:f>
      </x:c>
      <x:c r="AO232" s="7" t="str">
        <x:f>IF(OR($D232="",AO$5="",'상세일정'!AM232="제외"),"",IF($D232=$E232,IF(AND($D232&gt;=AO$5,$D232&lt;AO$5+7),"◆",""),IF(AND($D232&lt;AO$5+7,$E232&gt;AO$5),"■","")))</x:f>
      </x:c>
      <x:c r="AP232" s="7" t="str">
        <x:f>IF(OR($D232="",AP$5="",'상세일정'!AM232="제외"),"",IF($D232=$E232,IF(AND($D232&gt;=AP$5,$D232&lt;AP$5+7),"◆",""),IF(AND($D232&lt;AP$5+7,$E232&gt;AP$5),"■","")))</x:f>
      </x:c>
      <x:c r="AQ232" s="7" t="str">
        <x:f>IF(OR($D232="",AQ$5="",'상세일정'!AM232="제외"),"",IF($D232=$E232,IF(AND($D232&gt;=AQ$5,$D232&lt;AQ$5+7),"◆",""),IF(AND($D232&lt;AQ$5+7,$E232&gt;AQ$5),"■","")))</x:f>
      </x:c>
      <x:c r="AR232" s="7" t="str">
        <x:f>IF(OR($D232="",AR$5="",'상세일정'!AM232="제외"),"",IF($D232=$E232,IF(AND($D232&gt;=AR$5,$D232&lt;AR$5+7),"◆",""),IF(AND($D232&lt;AR$5+7,$E232&gt;AR$5),"■","")))</x:f>
      </x:c>
      <x:c r="AS232" s="7" t="str">
        <x:f>IF(OR($D232="",AS$5="",'상세일정'!AM232="제외"),"",IF($D232=$E232,IF(AND($D232&gt;=AS$5,$D232&lt;AS$5+7),"◆",""),IF(AND($D232&lt;AS$5+7,$E232&gt;AS$5),"■","")))</x:f>
      </x:c>
      <x:c r="AT232" s="7" t="str">
        <x:f>IF(OR($D232="",AT$5="",'상세일정'!AM232="제외"),"",IF($D232=$E232,IF(AND($D232&gt;=AT$5,$D232&lt;AT$5+7),"◆",""),IF(AND($D232&lt;AT$5+7,$E232&gt;AT$5),"■","")))</x:f>
      </x:c>
      <x:c r="AU232" s="7" t="str">
        <x:f>IF(OR($D232="",AU$5="",'상세일정'!AM232="제외"),"",IF($D232=$E232,IF(AND($D232&gt;=AU$5,$D232&lt;AU$5+7),"◆",""),IF(AND($D232&lt;AU$5+7,$E232&gt;AU$5),"■","")))</x:f>
      </x:c>
      <x:c r="AV232" s="7" t="str">
        <x:f>IF(OR($D232="",AV$5="",'상세일정'!AM232="제외"),"",IF($D232=$E232,IF(AND($D232&gt;=AV$5,$D232&lt;AV$5+7),"◆",""),IF(AND($D232&lt;AV$5+7,$E232&gt;AV$5),"■","")))</x:f>
      </x:c>
      <x:c r="AW232" s="7" t="str">
        <x:f>IF(OR($D232="",AW$5="",'상세일정'!AM232="제외"),"",IF($D232=$E232,IF(AND($D232&gt;=AW$5,$D232&lt;AW$5+7),"◆",""),IF(AND($D232&lt;AW$5+7,$E232&gt;AW$5),"■","")))</x:f>
      </x:c>
      <x:c r="AX232" s="7" t="str">
        <x:f>IF(OR($D232="",AX$5="",'상세일정'!AM232="제외"),"",IF($D232=$E232,IF(AND($D232&gt;=AX$5,$D232&lt;AX$5+7),"◆",""),IF(AND($D232&lt;AX$5+7,$E232&gt;AX$5),"■","")))</x:f>
      </x:c>
      <x:c r="AY232" s="7" t="str">
        <x:f>IF(OR($D232="",AY$5="",'상세일정'!AM232="제외"),"",IF($D232=$E232,IF(AND($D232&gt;=AY$5,$D232&lt;AY$5+7),"◆",""),IF(AND($D232&lt;AY$5+7,$E232&gt;AY$5),"■","")))</x:f>
      </x:c>
      <x:c r="AZ232" s="7" t="str">
        <x:f>IF(OR($D232="",AZ$5="",'상세일정'!AM232="제외"),"",IF($D232=$E232,IF(AND($D232&gt;=AZ$5,$D232&lt;AZ$5+7),"◆",""),IF(AND($D232&lt;AZ$5+7,$E232&gt;AZ$5),"■","")))</x:f>
      </x:c>
      <x:c r="BA232" s="7" t="str">
        <x:f>IF(OR($D232="",BA$5="",'상세일정'!AM232="제외"),"",IF($D232=$E232,IF(AND($D232&gt;=BA$5,$D232&lt;BA$5+7),"◆",""),IF(AND($D232&lt;BA$5+7,$E232&gt;BA$5),"■","")))</x:f>
      </x:c>
      <x:c r="BB232" s="7" t="str">
        <x:f>IF(OR($D232="",BB$5="",'상세일정'!AM232="제외"),"",IF($D232=$E232,IF(AND($D232&gt;=BB$5,$D232&lt;BB$5+7),"◆",""),IF(AND($D232&lt;BB$5+7,$E232&gt;BB$5),"■","")))</x:f>
      </x:c>
      <x:c r="BC232" s="7" t="str">
        <x:f>IF(OR($D232="",BC$5="",'상세일정'!AM232="제외"),"",IF($D232=$E232,IF(AND($D232&gt;=BC$5,$D232&lt;BC$5+7),"◆",""),IF(AND($D232&lt;BC$5+7,$E232&gt;BC$5),"■","")))</x:f>
      </x:c>
      <x:c r="BD232" s="7" t="str">
        <x:f>IF(OR($D232="",BD$5="",'상세일정'!AM232="제외"),"",IF($D232=$E232,IF(AND($D232&gt;=BD$5,$D232&lt;BD$5+7),"◆",""),IF(AND($D232&lt;BD$5+7,$E232&gt;BD$5),"■","")))</x:f>
      </x:c>
      <x:c r="BE232" s="7" t="str">
        <x:f>IF(OR($D232="",BE$5="",'상세일정'!AM232="제외"),"",IF($D232=$E232,IF(AND($D232&gt;=BE$5,$D232&lt;BE$5+7),"◆",""),IF(AND($D232&lt;BE$5+7,$E232&gt;BE$5),"■","")))</x:f>
      </x:c>
      <x:c r="BF232" s="7" t="str">
        <x:f>IF(OR($D232="",BF$5="",'상세일정'!AM232="제외"),"",IF($D232=$E232,IF(AND($D232&gt;=BF$5,$D232&lt;BF$5+7),"◆",""),IF(AND($D232&lt;BF$5+7,$E232&gt;BF$5),"■","")))</x:f>
      </x:c>
      <x:c r="BG232" s="7" t="str">
        <x:f>IF(OR($D232="",BG$5="",'상세일정'!AM232="제외"),"",IF($D232=$E232,IF(AND($D232&gt;=BG$5,$D232&lt;BG$5+7),"◆",""),IF(AND($D232&lt;BG$5+7,$E232&gt;BG$5),"■","")))</x:f>
      </x:c>
      <x:c r="BH232" s="7" t="str">
        <x:f>IF(OR($D232="",BH$5="",'상세일정'!AM232="제외"),"",IF($D232=$E232,IF(AND($D232&gt;=BH$5,$D232&lt;BH$5+7),"◆",""),IF(AND($D232&lt;BH$5+7,$E232&gt;BH$5),"■","")))</x:f>
      </x:c>
      <x:c r="BI232" s="7" t="str">
        <x:f>IF(OR($D232="",BI$5="",'상세일정'!AM232="제외"),"",IF($D232=$E232,IF(AND($D232&gt;=BI$5,$D232&lt;BI$5+7),"◆",""),IF(AND($D232&lt;BI$5+7,$E232&gt;BI$5),"■","")))</x:f>
      </x:c>
      <x:c r="BJ232" s="7" t="str">
        <x:f>IF(OR($D232="",BJ$5="",'상세일정'!AM232="제외"),"",IF($D232=$E232,IF(AND($D232&gt;=BJ$5,$D232&lt;BJ$5+7),"◆",""),IF(AND($D232&lt;BJ$5+7,$E232&gt;BJ$5),"■","")))</x:f>
      </x:c>
      <x:c r="BK232" s="7" t="str">
        <x:f>IF(OR($D232="",BK$5="",'상세일정'!AM232="제외"),"",IF($D232=$E232,IF(AND($D232&gt;=BK$5,$D232&lt;BK$5+7),"◆",""),IF(AND($D232&lt;BK$5+7,$E232&gt;BK$5),"■","")))</x:f>
      </x:c>
      <x:c r="BL232" s="7" t="str">
        <x:f>IF(OR($D232="",BL$5="",'상세일정'!AM232="제외"),"",IF($D232=$E232,IF(AND($D232&gt;=BL$5,$D232&lt;BL$5+7),"◆",""),IF(AND($D232&lt;BL$5+7,$E232&gt;BL$5),"■","")))</x:f>
      </x:c>
      <x:c r="BM232" s="7" t="str">
        <x:f>IF(OR($D232="",BM$5="",'상세일정'!AM232="제외"),"",IF($D232=$E232,IF(AND($D232&gt;=BM$5,$D232&lt;BM$5+7),"◆",""),IF(AND($D232&lt;BM$5+7,$E232&gt;BM$5),"■","")))</x:f>
      </x:c>
      <x:c r="BN232" s="7" t="str">
        <x:f>IF(OR($D232="",BN$5="",'상세일정'!AM232="제외"),"",IF($D232=$E232,IF(AND($D232&gt;=BN$5,$D232&lt;BN$5+7),"◆",""),IF(AND($D232&lt;BN$5+7,$E232&gt;BN$5),"■","")))</x:f>
      </x:c>
      <x:c r="BO232" s="7" t="str">
        <x:f>IF(OR($D232="",BO$5="",'상세일정'!AM232="제외"),"",IF($D232=$E232,IF(AND($D232&gt;=BO$5,$D232&lt;BO$5+7),"◆",""),IF(AND($D232&lt;BO$5+7,$E232&gt;BO$5),"■","")))</x:f>
      </x:c>
      <x:c r="BP232" s="7" t="str">
        <x:f>IF(OR($D232="",BP$5="",'상세일정'!AM232="제외"),"",IF($D232=$E232,IF(AND($D232&gt;=BP$5,$D232&lt;BP$5+7),"◆",""),IF(AND($D232&lt;BP$5+7,$E232&gt;BP$5),"■","")))</x:f>
      </x:c>
      <x:c r="BQ232" s="7" t="str">
        <x:f>IF(OR($D232="",BQ$5="",'상세일정'!AM232="제외"),"",IF($D232=$E232,IF(AND($D232&gt;=BQ$5,$D232&lt;BQ$5+7),"◆",""),IF(AND($D232&lt;BQ$5+7,$E232&gt;BQ$5),"■","")))</x:f>
      </x:c>
      <x:c r="BR232" s="7" t="str">
        <x:f>IF(OR($D232="",BR$5="",'상세일정'!AM232="제외"),"",IF($D232=$E232,IF(AND($D232&gt;=BR$5,$D232&lt;BR$5+7),"◆",""),IF(AND($D232&lt;BR$5+7,$E232&gt;BR$5),"■","")))</x:f>
      </x:c>
      <x:c r="BS232" s="7" t="str">
        <x:f>IF(OR($D232="",BS$5="",'상세일정'!AM232="제외"),"",IF($D232=$E232,IF(AND($D232&gt;=BS$5,$D232&lt;BS$5+7),"◆",""),IF(AND($D232&lt;BS$5+7,$E232&gt;BS$5),"■","")))</x:f>
      </x:c>
      <x:c r="BT232" s="7" t="str">
        <x:f>IF(OR($D232="",BT$5="",'상세일정'!AM232="제외"),"",IF($D232=$E232,IF(AND($D232&gt;=BT$5,$D232&lt;BT$5+7),"◆",""),IF(AND($D232&lt;BT$5+7,$E232&gt;BT$5),"■","")))</x:f>
      </x:c>
      <x:c r="BU232" s="7" t="str">
        <x:f>IF(OR($D232="",BU$5="",'상세일정'!AM232="제외"),"",IF($D232=$E232,IF(AND($D232&gt;=BU$5,$D232&lt;BU$5+7),"◆",""),IF(AND($D232&lt;BU$5+7,$E232&gt;BU$5),"■","")))</x:f>
      </x:c>
      <x:c r="BV232" s="7" t="str">
        <x:f>IF(OR($D232="",BV$5="",'상세일정'!AM232="제외"),"",IF($D232=$E232,IF(AND($D232&gt;=BV$5,$D232&lt;BV$5+7),"◆",""),IF(AND($D232&lt;BV$5+7,$E232&gt;BV$5),"■","")))</x:f>
      </x:c>
      <x:c r="BW232" s="7" t="str">
        <x:f>IF(OR($D232="",BW$5="",'상세일정'!AM232="제외"),"",IF($D232=$E232,IF(AND($D232&gt;=BW$5,$D232&lt;BW$5+7),"◆",""),IF(AND($D232&lt;BW$5+7,$E232&gt;BW$5),"■","")))</x:f>
      </x:c>
      <x:c r="BX232" s="7" t="str">
        <x:f>IF(OR($D232="",BX$5="",'상세일정'!AM232="제외"),"",IF($D232=$E232,IF(AND($D232&gt;=BX$5,$D232&lt;BX$5+7),"◆",""),IF(AND($D232&lt;BX$5+7,$E232&gt;BX$5),"■","")))</x:f>
      </x:c>
      <x:c r="BY232" s="7" t="str">
        <x:f>IF(OR($D232="",BY$5="",'상세일정'!AM232="제외"),"",IF($D232=$E232,IF(AND($D232&gt;=BY$5,$D232&lt;BY$5+7),"◆",""),IF(AND($D232&lt;BY$5+7,$E232&gt;BY$5),"■","")))</x:f>
      </x:c>
      <x:c r="BZ232" s="7" t="str">
        <x:f>IF(OR($D232="",BZ$5="",'상세일정'!AM232="제외"),"",IF($D232=$E232,IF(AND($D232&gt;=BZ$5,$D232&lt;BZ$5+7),"◆",""),IF(AND($D232&lt;BZ$5+7,$E232&gt;BZ$5),"■","")))</x:f>
      </x:c>
      <x:c r="CA232" s="7" t="str">
        <x:f>IF(OR($D232="",CA$5="",'상세일정'!AM232="제외"),"",IF($D232=$E232,IF(AND($D232&gt;=CA$5,$D232&lt;CA$5+7),"◆",""),IF(AND($D232&lt;CA$5+7,$E232&gt;CA$5),"■","")))</x:f>
      </x:c>
      <x:c r="CB232" s="7" t="str">
        <x:f>IF(OR($D232="",CB$5="",'상세일정'!AM232="제외"),"",IF($D232=$E232,IF(AND($D232&gt;=CB$5,$D232&lt;CB$5+7),"◆",""),IF(AND($D232&lt;CB$5+7,$E232&gt;CB$5),"■","")))</x:f>
      </x:c>
      <x:c r="CC232" s="7" t="str">
        <x:f>IF(OR($D232="",CC$5="",'상세일정'!AM232="제외"),"",IF($D232=$E232,IF(AND($D232&gt;=CC$5,$D232&lt;CC$5+7),"◆",""),IF(AND($D232&lt;CC$5+7,$E232&gt;CC$5),"■","")))</x:f>
      </x:c>
      <x:c r="CD232" s="7" t="str">
        <x:f>IF(OR($D232="",CD$5="",'상세일정'!AM232="제외"),"",IF($D232=$E232,IF(AND($D232&gt;=CD$5,$D232&lt;CD$5+7),"◆",""),IF(AND($D232&lt;CD$5+7,$E232&gt;CD$5),"■","")))</x:f>
      </x:c>
      <x:c r="CE232" s="7" t="str">
        <x:f>IF(OR($D232="",CE$5="",'상세일정'!AM232="제외"),"",IF($D232=$E232,IF(AND($D232&gt;=CE$5,$D232&lt;CE$5+7),"◆",""),IF(AND($D232&lt;CE$5+7,$E232&gt;CE$5),"■","")))</x:f>
      </x:c>
      <x:c r="CF232" s="7" t="str">
        <x:f>IF(OR($D232="",CF$5="",'상세일정'!AM232="제외"),"",IF($D232=$E232,IF(AND($D232&gt;=CF$5,$D232&lt;CF$5+7),"◆",""),IF(AND($D232&lt;CF$5+7,$E232&gt;CF$5),"■","")))</x:f>
      </x:c>
      <x:c r="CG232" s="7" t="str">
        <x:f>IF(OR($D232="",CG$5="",'상세일정'!AM232="제외"),"",IF($D232=$E232,IF(AND($D232&gt;=CG$5,$D232&lt;CG$5+7),"◆",""),IF(AND($D232&lt;CG$5+7,$E232&gt;CG$5),"■","")))</x:f>
      </x:c>
      <x:c r="CH232" s="7" t="str">
        <x:f>IF(OR($D232="",CH$5="",'상세일정'!AM232="제외"),"",IF($D232=$E232,IF(AND($D232&gt;=CH$5,$D232&lt;CH$5+7),"◆",""),IF(AND($D232&lt;CH$5+7,$E232&gt;CH$5),"■","")))</x:f>
      </x:c>
      <x:c r="CI232" s="7" t="str">
        <x:f>IF(OR($D232="",CI$5="",'상세일정'!AM232="제외"),"",IF($D232=$E232,IF(AND($D232&gt;=CI$5,$D232&lt;CI$5+7),"◆",""),IF(AND($D232&lt;CI$5+7,$E232&gt;CI$5),"■","")))</x:f>
      </x:c>
      <x:c r="CJ232" s="7" t="str">
        <x:f>IF(OR($D232="",CJ$5="",'상세일정'!AM232="제외"),"",IF($D232=$E232,IF(AND($D232&gt;=CJ$5,$D232&lt;CJ$5+7),"◆",""),IF(AND($D232&lt;CJ$5+7,$E232&gt;CJ$5),"■","")))</x:f>
      </x:c>
      <x:c r="CK232" s="7" t="str">
        <x:f>IF(OR($D232="",CK$5="",'상세일정'!AM232="제외"),"",IF($D232=$E232,IF(AND($D232&gt;=CK$5,$D232&lt;CK$5+7),"◆",""),IF(AND($D232&lt;CK$5+7,$E232&gt;CK$5),"■","")))</x:f>
      </x:c>
      <x:c r="CL232" s="7" t="str">
        <x:f>IF(OR($D232="",CL$5="",'상세일정'!AM232="제외"),"",IF($D232=$E232,IF(AND($D232&gt;=CL$5,$D232&lt;CL$5+7),"◆",""),IF(AND($D232&lt;CL$5+7,$E232&gt;CL$5),"■","")))</x:f>
      </x:c>
      <x:c r="CM232" s="7" t="str">
        <x:f>IF(OR($D232="",CM$5="",'상세일정'!AM232="제외"),"",IF($D232=$E232,IF(AND($D232&gt;=CM$5,$D232&lt;CM$5+7),"◆",""),IF(AND($D232&lt;CM$5+7,$E232&gt;CM$5),"■","")))</x:f>
      </x:c>
      <x:c r="CN232" s="7" t="str">
        <x:f>IF(OR($D232="",CN$5="",'상세일정'!AM232="제외"),"",IF($D232=$E232,IF(AND($D232&gt;=CN$5,$D232&lt;CN$5+7),"◆",""),IF(AND($D232&lt;CN$5+7,$E232&gt;CN$5),"■","")))</x:f>
      </x:c>
      <x:c r="CO232" s="7" t="str">
        <x:f>IF(OR($D232="",CO$5="",'상세일정'!AM232="제외"),"",IF($D232=$E232,IF(AND($D232&gt;=CO$5,$D232&lt;CO$5+7),"◆",""),IF(AND($D232&lt;CO$5+7,$E232&gt;CO$5),"■","")))</x:f>
      </x:c>
      <x:c r="CP232" s="7" t="str">
        <x:f>IF(OR($D232="",CP$5="",'상세일정'!AM232="제외"),"",IF($D232=$E232,IF(AND($D232&gt;=CP$5,$D232&lt;CP$5+7),"◆",""),IF(AND($D232&lt;CP$5+7,$E232&gt;CP$5),"■","")))</x:f>
      </x:c>
      <x:c r="CQ232" s="7" t="str">
        <x:f>IF(OR($D232="",CQ$5="",'상세일정'!AM232="제외"),"",IF($D232=$E232,IF(AND($D232&gt;=CQ$5,$D232&lt;CQ$5+7),"◆",""),IF(AND($D232&lt;CQ$5+7,$E232&gt;CQ$5),"■","")))</x:f>
      </x:c>
      <x:c r="CR232" s="7" t="str">
        <x:f>IF(OR($D232="",CR$5="",'상세일정'!AM232="제외"),"",IF($D232=$E232,IF(AND($D232&gt;=CR$5,$D232&lt;CR$5+7),"◆",""),IF(AND($D232&lt;CR$5+7,$E232&gt;CR$5),"■","")))</x:f>
      </x:c>
      <x:c r="CS232" s="7" t="str">
        <x:f>IF(OR($D232="",CS$5="",'상세일정'!AM232="제외"),"",IF($D232=$E232,IF(AND($D232&gt;=CS$5,$D232&lt;CS$5+7),"◆",""),IF(AND($D232&lt;CS$5+7,$E232&gt;CS$5),"■","")))</x:f>
      </x:c>
      <x:c r="CT232" s="7" t="str">
        <x:f>IF(OR($D232="",CT$5="",'상세일정'!AM232="제외"),"",IF($D232=$E232,IF(AND($D232&gt;=CT$5,$D232&lt;CT$5+7),"◆",""),IF(AND($D232&lt;CT$5+7,$E232&gt;CT$5),"■","")))</x:f>
      </x:c>
      <x:c r="CU232" s="7" t="str">
        <x:f>IF(OR($D232="",CU$5="",'상세일정'!AM232="제외"),"",IF($D232=$E232,IF(AND($D232&gt;=CU$5,$D232&lt;CU$5+7),"◆",""),IF(AND($D232&lt;CU$5+7,$E232&gt;CU$5),"■","")))</x:f>
      </x:c>
      <x:c r="CV232" s="7" t="str">
        <x:f>IF(OR($D232="",CV$5="",'상세일정'!AM232="제외"),"",IF($D232=$E232,IF(AND($D232&gt;=CV$5,$D232&lt;CV$5+7),"◆",""),IF(AND($D232&lt;CV$5+7,$E232&gt;CV$5),"■","")))</x:f>
      </x:c>
      <x:c r="CW232" s="7" t="str">
        <x:f>IF(OR($D232="",CW$5="",'상세일정'!AM232="제외"),"",IF($D232=$E232,IF(AND($D232&gt;=CW$5,$D232&lt;CW$5+7),"◆",""),IF(AND($D232&lt;CW$5+7,$E232&gt;CW$5),"■","")))</x:f>
      </x:c>
      <x:c r="CX232" s="7" t="str">
        <x:f>IF(OR($D232="",CX$5="",'상세일정'!AM232="제외"),"",IF($D232=$E232,IF(AND($D232&gt;=CX$5,$D232&lt;CX$5+7),"◆",""),IF(AND($D232&lt;CX$5+7,$E232&gt;CX$5),"■","")))</x:f>
      </x:c>
      <x:c r="CY232" s="7" t="str">
        <x:f>IF(OR($D232="",CY$5="",'상세일정'!AM232="제외"),"",IF($D232=$E232,IF(AND($D232&gt;=CY$5,$D232&lt;CY$5+7),"◆",""),IF(AND($D232&lt;CY$5+7,$E232&gt;CY$5),"■","")))</x:f>
      </x:c>
      <x:c r="CZ232" s="7" t="str">
        <x:f>IF(OR($D232="",CZ$5="",'상세일정'!AM232="제외"),"",IF($D232=$E232,IF(AND($D232&gt;=CZ$5,$D232&lt;CZ$5+7),"◆",""),IF(AND($D232&lt;CZ$5+7,$E232&gt;CZ$5),"■","")))</x:f>
      </x:c>
      <x:c r="DA232" s="7" t="str">
        <x:f>IF(OR($D232="",DA$5="",'상세일정'!AM232="제외"),"",IF($D232=$E232,IF(AND($D232&gt;=DA$5,$D232&lt;DA$5+7),"◆",""),IF(AND($D232&lt;DA$5+7,$E232&gt;DA$5),"■","")))</x:f>
      </x:c>
      <x:c r="DB232" s="7" t="str">
        <x:f>IF(OR($D232="",DB$5="",'상세일정'!AM232="제외"),"",IF($D232=$E232,IF(AND($D232&gt;=DB$5,$D232&lt;DB$5+7),"◆",""),IF(AND($D232&lt;DB$5+7,$E232&gt;DB$5),"■","")))</x:f>
      </x:c>
      <x:c r="DC232" s="7" t="str">
        <x:f>IF(OR($D232="",DC$5="",'상세일정'!AM232="제외"),"",IF($D232=$E232,IF(AND($D232&gt;=DC$5,$D232&lt;DC$5+7),"◆",""),IF(AND($D232&lt;DC$5+7,$E232&gt;DC$5),"■","")))</x:f>
      </x:c>
      <x:c r="DD232" s="7" t="str">
        <x:f>IF(OR($D232="",DD$5="",'상세일정'!AM232="제외"),"",IF($D232=$E232,IF(AND($D232&gt;=DD$5,$D232&lt;DD$5+7),"◆",""),IF(AND($D232&lt;DD$5+7,$E232&gt;DD$5),"■","")))</x:f>
      </x:c>
      <x:c r="DE232" s="7" t="str">
        <x:f>IF(OR($D232="",DE$5="",'상세일정'!AM232="제외"),"",IF($D232=$E232,IF(AND($D232&gt;=DE$5,$D232&lt;DE$5+7),"◆",""),IF(AND($D232&lt;DE$5+7,$E232&gt;DE$5),"■","")))</x:f>
      </x:c>
    </x:row>
    <x:row r="233" ht="34" customHeight="1">
      <x:c r="A233" s="7" t="str">
        <x:v>BU03</x:v>
      </x:c>
      <x:c r="B233" s="7" t="str">
        <x:v>27 준공·사용승인</x:v>
      </x:c>
      <x:c r="C233" s="7" t="str">
        <x:v>사용승인 및 잔여 허가조건 완료 확인</x:v>
      </x:c>
      <x:c r="D233" s="10" t="str">
        <x:f>'상세일정'!AJ233</x:f>
      </x:c>
      <x:c r="E233" s="10" t="str">
        <x:f>'상세일정'!AK233</x:f>
      </x:c>
      <x:c r="F233" s="7" t="str">
        <x:f>IF(OR($D233="",F$5="",'상세일정'!AM233="제외"),"",IF($D233=$E233,IF(AND($D233&gt;=F$5,$D233&lt;F$5+7),"◆",""),IF(AND($D233&lt;F$5+7,$E233&gt;F$5),"■","")))</x:f>
      </x:c>
      <x:c r="G233" s="7" t="str">
        <x:f>IF(OR($D233="",G$5="",'상세일정'!AM233="제외"),"",IF($D233=$E233,IF(AND($D233&gt;=G$5,$D233&lt;G$5+7),"◆",""),IF(AND($D233&lt;G$5+7,$E233&gt;G$5),"■","")))</x:f>
      </x:c>
      <x:c r="H233" s="7" t="str">
        <x:f>IF(OR($D233="",H$5="",'상세일정'!AM233="제외"),"",IF($D233=$E233,IF(AND($D233&gt;=H$5,$D233&lt;H$5+7),"◆",""),IF(AND($D233&lt;H$5+7,$E233&gt;H$5),"■","")))</x:f>
      </x:c>
      <x:c r="I233" s="7" t="str">
        <x:f>IF(OR($D233="",I$5="",'상세일정'!AM233="제외"),"",IF($D233=$E233,IF(AND($D233&gt;=I$5,$D233&lt;I$5+7),"◆",""),IF(AND($D233&lt;I$5+7,$E233&gt;I$5),"■","")))</x:f>
      </x:c>
      <x:c r="J233" s="7" t="str">
        <x:f>IF(OR($D233="",J$5="",'상세일정'!AM233="제외"),"",IF($D233=$E233,IF(AND($D233&gt;=J$5,$D233&lt;J$5+7),"◆",""),IF(AND($D233&lt;J$5+7,$E233&gt;J$5),"■","")))</x:f>
      </x:c>
      <x:c r="K233" s="7" t="str">
        <x:f>IF(OR($D233="",K$5="",'상세일정'!AM233="제외"),"",IF($D233=$E233,IF(AND($D233&gt;=K$5,$D233&lt;K$5+7),"◆",""),IF(AND($D233&lt;K$5+7,$E233&gt;K$5),"■","")))</x:f>
      </x:c>
      <x:c r="L233" s="7" t="str">
        <x:f>IF(OR($D233="",L$5="",'상세일정'!AM233="제외"),"",IF($D233=$E233,IF(AND($D233&gt;=L$5,$D233&lt;L$5+7),"◆",""),IF(AND($D233&lt;L$5+7,$E233&gt;L$5),"■","")))</x:f>
      </x:c>
      <x:c r="M233" s="7" t="str">
        <x:f>IF(OR($D233="",M$5="",'상세일정'!AM233="제외"),"",IF($D233=$E233,IF(AND($D233&gt;=M$5,$D233&lt;M$5+7),"◆",""),IF(AND($D233&lt;M$5+7,$E233&gt;M$5),"■","")))</x:f>
      </x:c>
      <x:c r="N233" s="7" t="str">
        <x:f>IF(OR($D233="",N$5="",'상세일정'!AM233="제외"),"",IF($D233=$E233,IF(AND($D233&gt;=N$5,$D233&lt;N$5+7),"◆",""),IF(AND($D233&lt;N$5+7,$E233&gt;N$5),"■","")))</x:f>
      </x:c>
      <x:c r="O233" s="7" t="str">
        <x:f>IF(OR($D233="",O$5="",'상세일정'!AM233="제외"),"",IF($D233=$E233,IF(AND($D233&gt;=O$5,$D233&lt;O$5+7),"◆",""),IF(AND($D233&lt;O$5+7,$E233&gt;O$5),"■","")))</x:f>
      </x:c>
      <x:c r="P233" s="7" t="str">
        <x:f>IF(OR($D233="",P$5="",'상세일정'!AM233="제외"),"",IF($D233=$E233,IF(AND($D233&gt;=P$5,$D233&lt;P$5+7),"◆",""),IF(AND($D233&lt;P$5+7,$E233&gt;P$5),"■","")))</x:f>
      </x:c>
      <x:c r="Q233" s="7" t="str">
        <x:f>IF(OR($D233="",Q$5="",'상세일정'!AM233="제외"),"",IF($D233=$E233,IF(AND($D233&gt;=Q$5,$D233&lt;Q$5+7),"◆",""),IF(AND($D233&lt;Q$5+7,$E233&gt;Q$5),"■","")))</x:f>
      </x:c>
      <x:c r="R233" s="7" t="str">
        <x:f>IF(OR($D233="",R$5="",'상세일정'!AM233="제외"),"",IF($D233=$E233,IF(AND($D233&gt;=R$5,$D233&lt;R$5+7),"◆",""),IF(AND($D233&lt;R$5+7,$E233&gt;R$5),"■","")))</x:f>
      </x:c>
      <x:c r="S233" s="7" t="str">
        <x:f>IF(OR($D233="",S$5="",'상세일정'!AM233="제외"),"",IF($D233=$E233,IF(AND($D233&gt;=S$5,$D233&lt;S$5+7),"◆",""),IF(AND($D233&lt;S$5+7,$E233&gt;S$5),"■","")))</x:f>
      </x:c>
      <x:c r="T233" s="7" t="str">
        <x:f>IF(OR($D233="",T$5="",'상세일정'!AM233="제외"),"",IF($D233=$E233,IF(AND($D233&gt;=T$5,$D233&lt;T$5+7),"◆",""),IF(AND($D233&lt;T$5+7,$E233&gt;T$5),"■","")))</x:f>
      </x:c>
      <x:c r="U233" s="7" t="str">
        <x:f>IF(OR($D233="",U$5="",'상세일정'!AM233="제외"),"",IF($D233=$E233,IF(AND($D233&gt;=U$5,$D233&lt;U$5+7),"◆",""),IF(AND($D233&lt;U$5+7,$E233&gt;U$5),"■","")))</x:f>
      </x:c>
      <x:c r="V233" s="7" t="str">
        <x:f>IF(OR($D233="",V$5="",'상세일정'!AM233="제외"),"",IF($D233=$E233,IF(AND($D233&gt;=V$5,$D233&lt;V$5+7),"◆",""),IF(AND($D233&lt;V$5+7,$E233&gt;V$5),"■","")))</x:f>
      </x:c>
      <x:c r="W233" s="7" t="str">
        <x:f>IF(OR($D233="",W$5="",'상세일정'!AM233="제외"),"",IF($D233=$E233,IF(AND($D233&gt;=W$5,$D233&lt;W$5+7),"◆",""),IF(AND($D233&lt;W$5+7,$E233&gt;W$5),"■","")))</x:f>
      </x:c>
      <x:c r="X233" s="7" t="str">
        <x:f>IF(OR($D233="",X$5="",'상세일정'!AM233="제외"),"",IF($D233=$E233,IF(AND($D233&gt;=X$5,$D233&lt;X$5+7),"◆",""),IF(AND($D233&lt;X$5+7,$E233&gt;X$5),"■","")))</x:f>
      </x:c>
      <x:c r="Y233" s="7" t="str">
        <x:f>IF(OR($D233="",Y$5="",'상세일정'!AM233="제외"),"",IF($D233=$E233,IF(AND($D233&gt;=Y$5,$D233&lt;Y$5+7),"◆",""),IF(AND($D233&lt;Y$5+7,$E233&gt;Y$5),"■","")))</x:f>
      </x:c>
      <x:c r="Z233" s="7" t="str">
        <x:f>IF(OR($D233="",Z$5="",'상세일정'!AM233="제외"),"",IF($D233=$E233,IF(AND($D233&gt;=Z$5,$D233&lt;Z$5+7),"◆",""),IF(AND($D233&lt;Z$5+7,$E233&gt;Z$5),"■","")))</x:f>
      </x:c>
      <x:c r="AA233" s="7" t="str">
        <x:f>IF(OR($D233="",AA$5="",'상세일정'!AM233="제외"),"",IF($D233=$E233,IF(AND($D233&gt;=AA$5,$D233&lt;AA$5+7),"◆",""),IF(AND($D233&lt;AA$5+7,$E233&gt;AA$5),"■","")))</x:f>
      </x:c>
      <x:c r="AB233" s="7" t="str">
        <x:f>IF(OR($D233="",AB$5="",'상세일정'!AM233="제외"),"",IF($D233=$E233,IF(AND($D233&gt;=AB$5,$D233&lt;AB$5+7),"◆",""),IF(AND($D233&lt;AB$5+7,$E233&gt;AB$5),"■","")))</x:f>
      </x:c>
      <x:c r="AC233" s="7" t="str">
        <x:f>IF(OR($D233="",AC$5="",'상세일정'!AM233="제외"),"",IF($D233=$E233,IF(AND($D233&gt;=AC$5,$D233&lt;AC$5+7),"◆",""),IF(AND($D233&lt;AC$5+7,$E233&gt;AC$5),"■","")))</x:f>
      </x:c>
      <x:c r="AD233" s="7" t="str">
        <x:f>IF(OR($D233="",AD$5="",'상세일정'!AM233="제외"),"",IF($D233=$E233,IF(AND($D233&gt;=AD$5,$D233&lt;AD$5+7),"◆",""),IF(AND($D233&lt;AD$5+7,$E233&gt;AD$5),"■","")))</x:f>
      </x:c>
      <x:c r="AE233" s="7" t="str">
        <x:f>IF(OR($D233="",AE$5="",'상세일정'!AM233="제외"),"",IF($D233=$E233,IF(AND($D233&gt;=AE$5,$D233&lt;AE$5+7),"◆",""),IF(AND($D233&lt;AE$5+7,$E233&gt;AE$5),"■","")))</x:f>
      </x:c>
      <x:c r="AF233" s="7" t="str">
        <x:f>IF(OR($D233="",AF$5="",'상세일정'!AM233="제외"),"",IF($D233=$E233,IF(AND($D233&gt;=AF$5,$D233&lt;AF$5+7),"◆",""),IF(AND($D233&lt;AF$5+7,$E233&gt;AF$5),"■","")))</x:f>
      </x:c>
      <x:c r="AG233" s="7" t="str">
        <x:f>IF(OR($D233="",AG$5="",'상세일정'!AM233="제외"),"",IF($D233=$E233,IF(AND($D233&gt;=AG$5,$D233&lt;AG$5+7),"◆",""),IF(AND($D233&lt;AG$5+7,$E233&gt;AG$5),"■","")))</x:f>
      </x:c>
      <x:c r="AH233" s="7" t="str">
        <x:f>IF(OR($D233="",AH$5="",'상세일정'!AM233="제외"),"",IF($D233=$E233,IF(AND($D233&gt;=AH$5,$D233&lt;AH$5+7),"◆",""),IF(AND($D233&lt;AH$5+7,$E233&gt;AH$5),"■","")))</x:f>
      </x:c>
      <x:c r="AI233" s="7" t="str">
        <x:f>IF(OR($D233="",AI$5="",'상세일정'!AM233="제외"),"",IF($D233=$E233,IF(AND($D233&gt;=AI$5,$D233&lt;AI$5+7),"◆",""),IF(AND($D233&lt;AI$5+7,$E233&gt;AI$5),"■","")))</x:f>
      </x:c>
      <x:c r="AJ233" s="7" t="str">
        <x:f>IF(OR($D233="",AJ$5="",'상세일정'!AM233="제외"),"",IF($D233=$E233,IF(AND($D233&gt;=AJ$5,$D233&lt;AJ$5+7),"◆",""),IF(AND($D233&lt;AJ$5+7,$E233&gt;AJ$5),"■","")))</x:f>
      </x:c>
      <x:c r="AK233" s="7" t="str">
        <x:f>IF(OR($D233="",AK$5="",'상세일정'!AM233="제외"),"",IF($D233=$E233,IF(AND($D233&gt;=AK$5,$D233&lt;AK$5+7),"◆",""),IF(AND($D233&lt;AK$5+7,$E233&gt;AK$5),"■","")))</x:f>
      </x:c>
      <x:c r="AL233" s="7" t="str">
        <x:f>IF(OR($D233="",AL$5="",'상세일정'!AM233="제외"),"",IF($D233=$E233,IF(AND($D233&gt;=AL$5,$D233&lt;AL$5+7),"◆",""),IF(AND($D233&lt;AL$5+7,$E233&gt;AL$5),"■","")))</x:f>
      </x:c>
      <x:c r="AM233" s="7" t="str">
        <x:f>IF(OR($D233="",AM$5="",'상세일정'!AM233="제외"),"",IF($D233=$E233,IF(AND($D233&gt;=AM$5,$D233&lt;AM$5+7),"◆",""),IF(AND($D233&lt;AM$5+7,$E233&gt;AM$5),"■","")))</x:f>
      </x:c>
      <x:c r="AN233" s="7" t="str">
        <x:f>IF(OR($D233="",AN$5="",'상세일정'!AM233="제외"),"",IF($D233=$E233,IF(AND($D233&gt;=AN$5,$D233&lt;AN$5+7),"◆",""),IF(AND($D233&lt;AN$5+7,$E233&gt;AN$5),"■","")))</x:f>
      </x:c>
      <x:c r="AO233" s="7" t="str">
        <x:f>IF(OR($D233="",AO$5="",'상세일정'!AM233="제외"),"",IF($D233=$E233,IF(AND($D233&gt;=AO$5,$D233&lt;AO$5+7),"◆",""),IF(AND($D233&lt;AO$5+7,$E233&gt;AO$5),"■","")))</x:f>
      </x:c>
      <x:c r="AP233" s="7" t="str">
        <x:f>IF(OR($D233="",AP$5="",'상세일정'!AM233="제외"),"",IF($D233=$E233,IF(AND($D233&gt;=AP$5,$D233&lt;AP$5+7),"◆",""),IF(AND($D233&lt;AP$5+7,$E233&gt;AP$5),"■","")))</x:f>
      </x:c>
      <x:c r="AQ233" s="7" t="str">
        <x:f>IF(OR($D233="",AQ$5="",'상세일정'!AM233="제외"),"",IF($D233=$E233,IF(AND($D233&gt;=AQ$5,$D233&lt;AQ$5+7),"◆",""),IF(AND($D233&lt;AQ$5+7,$E233&gt;AQ$5),"■","")))</x:f>
      </x:c>
      <x:c r="AR233" s="7" t="str">
        <x:f>IF(OR($D233="",AR$5="",'상세일정'!AM233="제외"),"",IF($D233=$E233,IF(AND($D233&gt;=AR$5,$D233&lt;AR$5+7),"◆",""),IF(AND($D233&lt;AR$5+7,$E233&gt;AR$5),"■","")))</x:f>
      </x:c>
      <x:c r="AS233" s="7" t="str">
        <x:f>IF(OR($D233="",AS$5="",'상세일정'!AM233="제외"),"",IF($D233=$E233,IF(AND($D233&gt;=AS$5,$D233&lt;AS$5+7),"◆",""),IF(AND($D233&lt;AS$5+7,$E233&gt;AS$5),"■","")))</x:f>
      </x:c>
      <x:c r="AT233" s="7" t="str">
        <x:f>IF(OR($D233="",AT$5="",'상세일정'!AM233="제외"),"",IF($D233=$E233,IF(AND($D233&gt;=AT$5,$D233&lt;AT$5+7),"◆",""),IF(AND($D233&lt;AT$5+7,$E233&gt;AT$5),"■","")))</x:f>
      </x:c>
      <x:c r="AU233" s="7" t="str">
        <x:f>IF(OR($D233="",AU$5="",'상세일정'!AM233="제외"),"",IF($D233=$E233,IF(AND($D233&gt;=AU$5,$D233&lt;AU$5+7),"◆",""),IF(AND($D233&lt;AU$5+7,$E233&gt;AU$5),"■","")))</x:f>
      </x:c>
      <x:c r="AV233" s="7" t="str">
        <x:f>IF(OR($D233="",AV$5="",'상세일정'!AM233="제외"),"",IF($D233=$E233,IF(AND($D233&gt;=AV$5,$D233&lt;AV$5+7),"◆",""),IF(AND($D233&lt;AV$5+7,$E233&gt;AV$5),"■","")))</x:f>
      </x:c>
      <x:c r="AW233" s="7" t="str">
        <x:f>IF(OR($D233="",AW$5="",'상세일정'!AM233="제외"),"",IF($D233=$E233,IF(AND($D233&gt;=AW$5,$D233&lt;AW$5+7),"◆",""),IF(AND($D233&lt;AW$5+7,$E233&gt;AW$5),"■","")))</x:f>
      </x:c>
      <x:c r="AX233" s="7" t="str">
        <x:f>IF(OR($D233="",AX$5="",'상세일정'!AM233="제외"),"",IF($D233=$E233,IF(AND($D233&gt;=AX$5,$D233&lt;AX$5+7),"◆",""),IF(AND($D233&lt;AX$5+7,$E233&gt;AX$5),"■","")))</x:f>
      </x:c>
      <x:c r="AY233" s="7" t="str">
        <x:f>IF(OR($D233="",AY$5="",'상세일정'!AM233="제외"),"",IF($D233=$E233,IF(AND($D233&gt;=AY$5,$D233&lt;AY$5+7),"◆",""),IF(AND($D233&lt;AY$5+7,$E233&gt;AY$5),"■","")))</x:f>
      </x:c>
      <x:c r="AZ233" s="7" t="str">
        <x:f>IF(OR($D233="",AZ$5="",'상세일정'!AM233="제외"),"",IF($D233=$E233,IF(AND($D233&gt;=AZ$5,$D233&lt;AZ$5+7),"◆",""),IF(AND($D233&lt;AZ$5+7,$E233&gt;AZ$5),"■","")))</x:f>
      </x:c>
      <x:c r="BA233" s="7" t="str">
        <x:f>IF(OR($D233="",BA$5="",'상세일정'!AM233="제외"),"",IF($D233=$E233,IF(AND($D233&gt;=BA$5,$D233&lt;BA$5+7),"◆",""),IF(AND($D233&lt;BA$5+7,$E233&gt;BA$5),"■","")))</x:f>
      </x:c>
      <x:c r="BB233" s="7" t="str">
        <x:f>IF(OR($D233="",BB$5="",'상세일정'!AM233="제외"),"",IF($D233=$E233,IF(AND($D233&gt;=BB$5,$D233&lt;BB$5+7),"◆",""),IF(AND($D233&lt;BB$5+7,$E233&gt;BB$5),"■","")))</x:f>
      </x:c>
      <x:c r="BC233" s="7" t="str">
        <x:f>IF(OR($D233="",BC$5="",'상세일정'!AM233="제외"),"",IF($D233=$E233,IF(AND($D233&gt;=BC$5,$D233&lt;BC$5+7),"◆",""),IF(AND($D233&lt;BC$5+7,$E233&gt;BC$5),"■","")))</x:f>
      </x:c>
      <x:c r="BD233" s="7" t="str">
        <x:f>IF(OR($D233="",BD$5="",'상세일정'!AM233="제외"),"",IF($D233=$E233,IF(AND($D233&gt;=BD$5,$D233&lt;BD$5+7),"◆",""),IF(AND($D233&lt;BD$5+7,$E233&gt;BD$5),"■","")))</x:f>
      </x:c>
      <x:c r="BE233" s="7" t="str">
        <x:f>IF(OR($D233="",BE$5="",'상세일정'!AM233="제외"),"",IF($D233=$E233,IF(AND($D233&gt;=BE$5,$D233&lt;BE$5+7),"◆",""),IF(AND($D233&lt;BE$5+7,$E233&gt;BE$5),"■","")))</x:f>
      </x:c>
      <x:c r="BF233" s="7" t="str">
        <x:f>IF(OR($D233="",BF$5="",'상세일정'!AM233="제외"),"",IF($D233=$E233,IF(AND($D233&gt;=BF$5,$D233&lt;BF$5+7),"◆",""),IF(AND($D233&lt;BF$5+7,$E233&gt;BF$5),"■","")))</x:f>
      </x:c>
      <x:c r="BG233" s="7" t="str">
        <x:f>IF(OR($D233="",BG$5="",'상세일정'!AM233="제외"),"",IF($D233=$E233,IF(AND($D233&gt;=BG$5,$D233&lt;BG$5+7),"◆",""),IF(AND($D233&lt;BG$5+7,$E233&gt;BG$5),"■","")))</x:f>
      </x:c>
      <x:c r="BH233" s="7" t="str">
        <x:f>IF(OR($D233="",BH$5="",'상세일정'!AM233="제외"),"",IF($D233=$E233,IF(AND($D233&gt;=BH$5,$D233&lt;BH$5+7),"◆",""),IF(AND($D233&lt;BH$5+7,$E233&gt;BH$5),"■","")))</x:f>
      </x:c>
      <x:c r="BI233" s="7" t="str">
        <x:f>IF(OR($D233="",BI$5="",'상세일정'!AM233="제외"),"",IF($D233=$E233,IF(AND($D233&gt;=BI$5,$D233&lt;BI$5+7),"◆",""),IF(AND($D233&lt;BI$5+7,$E233&gt;BI$5),"■","")))</x:f>
      </x:c>
      <x:c r="BJ233" s="7" t="str">
        <x:f>IF(OR($D233="",BJ$5="",'상세일정'!AM233="제외"),"",IF($D233=$E233,IF(AND($D233&gt;=BJ$5,$D233&lt;BJ$5+7),"◆",""),IF(AND($D233&lt;BJ$5+7,$E233&gt;BJ$5),"■","")))</x:f>
      </x:c>
      <x:c r="BK233" s="7" t="str">
        <x:f>IF(OR($D233="",BK$5="",'상세일정'!AM233="제외"),"",IF($D233=$E233,IF(AND($D233&gt;=BK$5,$D233&lt;BK$5+7),"◆",""),IF(AND($D233&lt;BK$5+7,$E233&gt;BK$5),"■","")))</x:f>
      </x:c>
      <x:c r="BL233" s="7" t="str">
        <x:f>IF(OR($D233="",BL$5="",'상세일정'!AM233="제외"),"",IF($D233=$E233,IF(AND($D233&gt;=BL$5,$D233&lt;BL$5+7),"◆",""),IF(AND($D233&lt;BL$5+7,$E233&gt;BL$5),"■","")))</x:f>
      </x:c>
      <x:c r="BM233" s="7" t="str">
        <x:f>IF(OR($D233="",BM$5="",'상세일정'!AM233="제외"),"",IF($D233=$E233,IF(AND($D233&gt;=BM$5,$D233&lt;BM$5+7),"◆",""),IF(AND($D233&lt;BM$5+7,$E233&gt;BM$5),"■","")))</x:f>
      </x:c>
      <x:c r="BN233" s="7" t="str">
        <x:f>IF(OR($D233="",BN$5="",'상세일정'!AM233="제외"),"",IF($D233=$E233,IF(AND($D233&gt;=BN$5,$D233&lt;BN$5+7),"◆",""),IF(AND($D233&lt;BN$5+7,$E233&gt;BN$5),"■","")))</x:f>
      </x:c>
      <x:c r="BO233" s="7" t="str">
        <x:f>IF(OR($D233="",BO$5="",'상세일정'!AM233="제외"),"",IF($D233=$E233,IF(AND($D233&gt;=BO$5,$D233&lt;BO$5+7),"◆",""),IF(AND($D233&lt;BO$5+7,$E233&gt;BO$5),"■","")))</x:f>
      </x:c>
      <x:c r="BP233" s="7" t="str">
        <x:f>IF(OR($D233="",BP$5="",'상세일정'!AM233="제외"),"",IF($D233=$E233,IF(AND($D233&gt;=BP$5,$D233&lt;BP$5+7),"◆",""),IF(AND($D233&lt;BP$5+7,$E233&gt;BP$5),"■","")))</x:f>
      </x:c>
      <x:c r="BQ233" s="7" t="str">
        <x:f>IF(OR($D233="",BQ$5="",'상세일정'!AM233="제외"),"",IF($D233=$E233,IF(AND($D233&gt;=BQ$5,$D233&lt;BQ$5+7),"◆",""),IF(AND($D233&lt;BQ$5+7,$E233&gt;BQ$5),"■","")))</x:f>
      </x:c>
      <x:c r="BR233" s="7" t="str">
        <x:f>IF(OR($D233="",BR$5="",'상세일정'!AM233="제외"),"",IF($D233=$E233,IF(AND($D233&gt;=BR$5,$D233&lt;BR$5+7),"◆",""),IF(AND($D233&lt;BR$5+7,$E233&gt;BR$5),"■","")))</x:f>
      </x:c>
      <x:c r="BS233" s="7" t="str">
        <x:f>IF(OR($D233="",BS$5="",'상세일정'!AM233="제외"),"",IF($D233=$E233,IF(AND($D233&gt;=BS$5,$D233&lt;BS$5+7),"◆",""),IF(AND($D233&lt;BS$5+7,$E233&gt;BS$5),"■","")))</x:f>
      </x:c>
      <x:c r="BT233" s="7" t="str">
        <x:f>IF(OR($D233="",BT$5="",'상세일정'!AM233="제외"),"",IF($D233=$E233,IF(AND($D233&gt;=BT$5,$D233&lt;BT$5+7),"◆",""),IF(AND($D233&lt;BT$5+7,$E233&gt;BT$5),"■","")))</x:f>
      </x:c>
      <x:c r="BU233" s="7" t="str">
        <x:f>IF(OR($D233="",BU$5="",'상세일정'!AM233="제외"),"",IF($D233=$E233,IF(AND($D233&gt;=BU$5,$D233&lt;BU$5+7),"◆",""),IF(AND($D233&lt;BU$5+7,$E233&gt;BU$5),"■","")))</x:f>
      </x:c>
      <x:c r="BV233" s="7" t="str">
        <x:f>IF(OR($D233="",BV$5="",'상세일정'!AM233="제외"),"",IF($D233=$E233,IF(AND($D233&gt;=BV$5,$D233&lt;BV$5+7),"◆",""),IF(AND($D233&lt;BV$5+7,$E233&gt;BV$5),"■","")))</x:f>
      </x:c>
      <x:c r="BW233" s="7" t="str">
        <x:f>IF(OR($D233="",BW$5="",'상세일정'!AM233="제외"),"",IF($D233=$E233,IF(AND($D233&gt;=BW$5,$D233&lt;BW$5+7),"◆",""),IF(AND($D233&lt;BW$5+7,$E233&gt;BW$5),"■","")))</x:f>
      </x:c>
      <x:c r="BX233" s="7" t="str">
        <x:f>IF(OR($D233="",BX$5="",'상세일정'!AM233="제외"),"",IF($D233=$E233,IF(AND($D233&gt;=BX$5,$D233&lt;BX$5+7),"◆",""),IF(AND($D233&lt;BX$5+7,$E233&gt;BX$5),"■","")))</x:f>
      </x:c>
      <x:c r="BY233" s="7" t="str">
        <x:f>IF(OR($D233="",BY$5="",'상세일정'!AM233="제외"),"",IF($D233=$E233,IF(AND($D233&gt;=BY$5,$D233&lt;BY$5+7),"◆",""),IF(AND($D233&lt;BY$5+7,$E233&gt;BY$5),"■","")))</x:f>
      </x:c>
      <x:c r="BZ233" s="7" t="str">
        <x:f>IF(OR($D233="",BZ$5="",'상세일정'!AM233="제외"),"",IF($D233=$E233,IF(AND($D233&gt;=BZ$5,$D233&lt;BZ$5+7),"◆",""),IF(AND($D233&lt;BZ$5+7,$E233&gt;BZ$5),"■","")))</x:f>
      </x:c>
      <x:c r="CA233" s="7" t="str">
        <x:f>IF(OR($D233="",CA$5="",'상세일정'!AM233="제외"),"",IF($D233=$E233,IF(AND($D233&gt;=CA$5,$D233&lt;CA$5+7),"◆",""),IF(AND($D233&lt;CA$5+7,$E233&gt;CA$5),"■","")))</x:f>
      </x:c>
      <x:c r="CB233" s="7" t="str">
        <x:f>IF(OR($D233="",CB$5="",'상세일정'!AM233="제외"),"",IF($D233=$E233,IF(AND($D233&gt;=CB$5,$D233&lt;CB$5+7),"◆",""),IF(AND($D233&lt;CB$5+7,$E233&gt;CB$5),"■","")))</x:f>
      </x:c>
      <x:c r="CC233" s="7" t="str">
        <x:f>IF(OR($D233="",CC$5="",'상세일정'!AM233="제외"),"",IF($D233=$E233,IF(AND($D233&gt;=CC$5,$D233&lt;CC$5+7),"◆",""),IF(AND($D233&lt;CC$5+7,$E233&gt;CC$5),"■","")))</x:f>
      </x:c>
      <x:c r="CD233" s="7" t="str">
        <x:f>IF(OR($D233="",CD$5="",'상세일정'!AM233="제외"),"",IF($D233=$E233,IF(AND($D233&gt;=CD$5,$D233&lt;CD$5+7),"◆",""),IF(AND($D233&lt;CD$5+7,$E233&gt;CD$5),"■","")))</x:f>
      </x:c>
      <x:c r="CE233" s="7" t="str">
        <x:f>IF(OR($D233="",CE$5="",'상세일정'!AM233="제외"),"",IF($D233=$E233,IF(AND($D233&gt;=CE$5,$D233&lt;CE$5+7),"◆",""),IF(AND($D233&lt;CE$5+7,$E233&gt;CE$5),"■","")))</x:f>
      </x:c>
      <x:c r="CF233" s="7" t="str">
        <x:f>IF(OR($D233="",CF$5="",'상세일정'!AM233="제외"),"",IF($D233=$E233,IF(AND($D233&gt;=CF$5,$D233&lt;CF$5+7),"◆",""),IF(AND($D233&lt;CF$5+7,$E233&gt;CF$5),"■","")))</x:f>
      </x:c>
      <x:c r="CG233" s="7" t="str">
        <x:f>IF(OR($D233="",CG$5="",'상세일정'!AM233="제외"),"",IF($D233=$E233,IF(AND($D233&gt;=CG$5,$D233&lt;CG$5+7),"◆",""),IF(AND($D233&lt;CG$5+7,$E233&gt;CG$5),"■","")))</x:f>
      </x:c>
      <x:c r="CH233" s="7" t="str">
        <x:f>IF(OR($D233="",CH$5="",'상세일정'!AM233="제외"),"",IF($D233=$E233,IF(AND($D233&gt;=CH$5,$D233&lt;CH$5+7),"◆",""),IF(AND($D233&lt;CH$5+7,$E233&gt;CH$5),"■","")))</x:f>
      </x:c>
      <x:c r="CI233" s="7" t="str">
        <x:f>IF(OR($D233="",CI$5="",'상세일정'!AM233="제외"),"",IF($D233=$E233,IF(AND($D233&gt;=CI$5,$D233&lt;CI$5+7),"◆",""),IF(AND($D233&lt;CI$5+7,$E233&gt;CI$5),"■","")))</x:f>
      </x:c>
      <x:c r="CJ233" s="7" t="str">
        <x:f>IF(OR($D233="",CJ$5="",'상세일정'!AM233="제외"),"",IF($D233=$E233,IF(AND($D233&gt;=CJ$5,$D233&lt;CJ$5+7),"◆",""),IF(AND($D233&lt;CJ$5+7,$E233&gt;CJ$5),"■","")))</x:f>
      </x:c>
      <x:c r="CK233" s="7" t="str">
        <x:f>IF(OR($D233="",CK$5="",'상세일정'!AM233="제외"),"",IF($D233=$E233,IF(AND($D233&gt;=CK$5,$D233&lt;CK$5+7),"◆",""),IF(AND($D233&lt;CK$5+7,$E233&gt;CK$5),"■","")))</x:f>
      </x:c>
      <x:c r="CL233" s="7" t="str">
        <x:f>IF(OR($D233="",CL$5="",'상세일정'!AM233="제외"),"",IF($D233=$E233,IF(AND($D233&gt;=CL$5,$D233&lt;CL$5+7),"◆",""),IF(AND($D233&lt;CL$5+7,$E233&gt;CL$5),"■","")))</x:f>
      </x:c>
      <x:c r="CM233" s="7" t="str">
        <x:f>IF(OR($D233="",CM$5="",'상세일정'!AM233="제외"),"",IF($D233=$E233,IF(AND($D233&gt;=CM$5,$D233&lt;CM$5+7),"◆",""),IF(AND($D233&lt;CM$5+7,$E233&gt;CM$5),"■","")))</x:f>
      </x:c>
      <x:c r="CN233" s="7" t="str">
        <x:f>IF(OR($D233="",CN$5="",'상세일정'!AM233="제외"),"",IF($D233=$E233,IF(AND($D233&gt;=CN$5,$D233&lt;CN$5+7),"◆",""),IF(AND($D233&lt;CN$5+7,$E233&gt;CN$5),"■","")))</x:f>
      </x:c>
      <x:c r="CO233" s="7" t="str">
        <x:f>IF(OR($D233="",CO$5="",'상세일정'!AM233="제외"),"",IF($D233=$E233,IF(AND($D233&gt;=CO$5,$D233&lt;CO$5+7),"◆",""),IF(AND($D233&lt;CO$5+7,$E233&gt;CO$5),"■","")))</x:f>
      </x:c>
      <x:c r="CP233" s="7" t="str">
        <x:f>IF(OR($D233="",CP$5="",'상세일정'!AM233="제외"),"",IF($D233=$E233,IF(AND($D233&gt;=CP$5,$D233&lt;CP$5+7),"◆",""),IF(AND($D233&lt;CP$5+7,$E233&gt;CP$5),"■","")))</x:f>
      </x:c>
      <x:c r="CQ233" s="7" t="str">
        <x:f>IF(OR($D233="",CQ$5="",'상세일정'!AM233="제외"),"",IF($D233=$E233,IF(AND($D233&gt;=CQ$5,$D233&lt;CQ$5+7),"◆",""),IF(AND($D233&lt;CQ$5+7,$E233&gt;CQ$5),"■","")))</x:f>
      </x:c>
      <x:c r="CR233" s="7" t="str">
        <x:f>IF(OR($D233="",CR$5="",'상세일정'!AM233="제외"),"",IF($D233=$E233,IF(AND($D233&gt;=CR$5,$D233&lt;CR$5+7),"◆",""),IF(AND($D233&lt;CR$5+7,$E233&gt;CR$5),"■","")))</x:f>
      </x:c>
      <x:c r="CS233" s="7" t="str">
        <x:f>IF(OR($D233="",CS$5="",'상세일정'!AM233="제외"),"",IF($D233=$E233,IF(AND($D233&gt;=CS$5,$D233&lt;CS$5+7),"◆",""),IF(AND($D233&lt;CS$5+7,$E233&gt;CS$5),"■","")))</x:f>
      </x:c>
      <x:c r="CT233" s="7" t="str">
        <x:f>IF(OR($D233="",CT$5="",'상세일정'!AM233="제외"),"",IF($D233=$E233,IF(AND($D233&gt;=CT$5,$D233&lt;CT$5+7),"◆",""),IF(AND($D233&lt;CT$5+7,$E233&gt;CT$5),"■","")))</x:f>
      </x:c>
      <x:c r="CU233" s="7" t="str">
        <x:f>IF(OR($D233="",CU$5="",'상세일정'!AM233="제외"),"",IF($D233=$E233,IF(AND($D233&gt;=CU$5,$D233&lt;CU$5+7),"◆",""),IF(AND($D233&lt;CU$5+7,$E233&gt;CU$5),"■","")))</x:f>
      </x:c>
      <x:c r="CV233" s="7" t="str">
        <x:f>IF(OR($D233="",CV$5="",'상세일정'!AM233="제외"),"",IF($D233=$E233,IF(AND($D233&gt;=CV$5,$D233&lt;CV$5+7),"◆",""),IF(AND($D233&lt;CV$5+7,$E233&gt;CV$5),"■","")))</x:f>
      </x:c>
      <x:c r="CW233" s="7" t="str">
        <x:f>IF(OR($D233="",CW$5="",'상세일정'!AM233="제외"),"",IF($D233=$E233,IF(AND($D233&gt;=CW$5,$D233&lt;CW$5+7),"◆",""),IF(AND($D233&lt;CW$5+7,$E233&gt;CW$5),"■","")))</x:f>
      </x:c>
      <x:c r="CX233" s="7" t="str">
        <x:f>IF(OR($D233="",CX$5="",'상세일정'!AM233="제외"),"",IF($D233=$E233,IF(AND($D233&gt;=CX$5,$D233&lt;CX$5+7),"◆",""),IF(AND($D233&lt;CX$5+7,$E233&gt;CX$5),"■","")))</x:f>
      </x:c>
      <x:c r="CY233" s="7" t="str">
        <x:f>IF(OR($D233="",CY$5="",'상세일정'!AM233="제외"),"",IF($D233=$E233,IF(AND($D233&gt;=CY$5,$D233&lt;CY$5+7),"◆",""),IF(AND($D233&lt;CY$5+7,$E233&gt;CY$5),"■","")))</x:f>
      </x:c>
      <x:c r="CZ233" s="7" t="str">
        <x:f>IF(OR($D233="",CZ$5="",'상세일정'!AM233="제외"),"",IF($D233=$E233,IF(AND($D233&gt;=CZ$5,$D233&lt;CZ$5+7),"◆",""),IF(AND($D233&lt;CZ$5+7,$E233&gt;CZ$5),"■","")))</x:f>
      </x:c>
      <x:c r="DA233" s="7" t="str">
        <x:f>IF(OR($D233="",DA$5="",'상세일정'!AM233="제외"),"",IF($D233=$E233,IF(AND($D233&gt;=DA$5,$D233&lt;DA$5+7),"◆",""),IF(AND($D233&lt;DA$5+7,$E233&gt;DA$5),"■","")))</x:f>
      </x:c>
      <x:c r="DB233" s="7" t="str">
        <x:f>IF(OR($D233="",DB$5="",'상세일정'!AM233="제외"),"",IF($D233=$E233,IF(AND($D233&gt;=DB$5,$D233&lt;DB$5+7),"◆",""),IF(AND($D233&lt;DB$5+7,$E233&gt;DB$5),"■","")))</x:f>
      </x:c>
      <x:c r="DC233" s="7" t="str">
        <x:f>IF(OR($D233="",DC$5="",'상세일정'!AM233="제외"),"",IF($D233=$E233,IF(AND($D233&gt;=DC$5,$D233&lt;DC$5+7),"◆",""),IF(AND($D233&lt;DC$5+7,$E233&gt;DC$5),"■","")))</x:f>
      </x:c>
      <x:c r="DD233" s="7" t="str">
        <x:f>IF(OR($D233="",DD$5="",'상세일정'!AM233="제외"),"",IF($D233=$E233,IF(AND($D233&gt;=DD$5,$D233&lt;DD$5+7),"◆",""),IF(AND($D233&lt;DD$5+7,$E233&gt;DD$5),"■","")))</x:f>
      </x:c>
      <x:c r="DE233" s="7" t="str">
        <x:f>IF(OR($D233="",DE$5="",'상세일정'!AM233="제외"),"",IF($D233=$E233,IF(AND($D233&gt;=DE$5,$D233&lt;DE$5+7),"◆",""),IF(AND($D233&lt;DE$5+7,$E233&gt;DE$5),"■","")))</x:f>
      </x:c>
    </x:row>
    <x:row r="234" ht="34" customHeight="1">
      <x:c r="A234" s="7" t="str">
        <x:v>MS05</x:v>
      </x:c>
      <x:c r="B234" s="7" t="str">
        <x:v>28 가스투입·통합시운전</x:v>
      </x:c>
      <x:c r="C234" s="7" t="str">
        <x:v>가스투입 전 합동 안전검토 및 승인</x:v>
      </x:c>
      <x:c r="D234" s="10" t="str">
        <x:f>'상세일정'!AJ234</x:f>
      </x:c>
      <x:c r="E234" s="10" t="str">
        <x:f>'상세일정'!AK234</x:f>
      </x:c>
      <x:c r="F234" s="7" t="str">
        <x:f>IF(OR($D234="",F$5="",'상세일정'!AM234="제외"),"",IF($D234=$E234,IF(AND($D234&gt;=F$5,$D234&lt;F$5+7),"◆",""),IF(AND($D234&lt;F$5+7,$E234&gt;F$5),"■","")))</x:f>
      </x:c>
      <x:c r="G234" s="7" t="str">
        <x:f>IF(OR($D234="",G$5="",'상세일정'!AM234="제외"),"",IF($D234=$E234,IF(AND($D234&gt;=G$5,$D234&lt;G$5+7),"◆",""),IF(AND($D234&lt;G$5+7,$E234&gt;G$5),"■","")))</x:f>
      </x:c>
      <x:c r="H234" s="7" t="str">
        <x:f>IF(OR($D234="",H$5="",'상세일정'!AM234="제외"),"",IF($D234=$E234,IF(AND($D234&gt;=H$5,$D234&lt;H$5+7),"◆",""),IF(AND($D234&lt;H$5+7,$E234&gt;H$5),"■","")))</x:f>
      </x:c>
      <x:c r="I234" s="7" t="str">
        <x:f>IF(OR($D234="",I$5="",'상세일정'!AM234="제외"),"",IF($D234=$E234,IF(AND($D234&gt;=I$5,$D234&lt;I$5+7),"◆",""),IF(AND($D234&lt;I$5+7,$E234&gt;I$5),"■","")))</x:f>
      </x:c>
      <x:c r="J234" s="7" t="str">
        <x:f>IF(OR($D234="",J$5="",'상세일정'!AM234="제외"),"",IF($D234=$E234,IF(AND($D234&gt;=J$5,$D234&lt;J$5+7),"◆",""),IF(AND($D234&lt;J$5+7,$E234&gt;J$5),"■","")))</x:f>
      </x:c>
      <x:c r="K234" s="7" t="str">
        <x:f>IF(OR($D234="",K$5="",'상세일정'!AM234="제외"),"",IF($D234=$E234,IF(AND($D234&gt;=K$5,$D234&lt;K$5+7),"◆",""),IF(AND($D234&lt;K$5+7,$E234&gt;K$5),"■","")))</x:f>
      </x:c>
      <x:c r="L234" s="7" t="str">
        <x:f>IF(OR($D234="",L$5="",'상세일정'!AM234="제외"),"",IF($D234=$E234,IF(AND($D234&gt;=L$5,$D234&lt;L$5+7),"◆",""),IF(AND($D234&lt;L$5+7,$E234&gt;L$5),"■","")))</x:f>
      </x:c>
      <x:c r="M234" s="7" t="str">
        <x:f>IF(OR($D234="",M$5="",'상세일정'!AM234="제외"),"",IF($D234=$E234,IF(AND($D234&gt;=M$5,$D234&lt;M$5+7),"◆",""),IF(AND($D234&lt;M$5+7,$E234&gt;M$5),"■","")))</x:f>
      </x:c>
      <x:c r="N234" s="7" t="str">
        <x:f>IF(OR($D234="",N$5="",'상세일정'!AM234="제외"),"",IF($D234=$E234,IF(AND($D234&gt;=N$5,$D234&lt;N$5+7),"◆",""),IF(AND($D234&lt;N$5+7,$E234&gt;N$5),"■","")))</x:f>
      </x:c>
      <x:c r="O234" s="7" t="str">
        <x:f>IF(OR($D234="",O$5="",'상세일정'!AM234="제외"),"",IF($D234=$E234,IF(AND($D234&gt;=O$5,$D234&lt;O$5+7),"◆",""),IF(AND($D234&lt;O$5+7,$E234&gt;O$5),"■","")))</x:f>
      </x:c>
      <x:c r="P234" s="7" t="str">
        <x:f>IF(OR($D234="",P$5="",'상세일정'!AM234="제외"),"",IF($D234=$E234,IF(AND($D234&gt;=P$5,$D234&lt;P$5+7),"◆",""),IF(AND($D234&lt;P$5+7,$E234&gt;P$5),"■","")))</x:f>
      </x:c>
      <x:c r="Q234" s="7" t="str">
        <x:f>IF(OR($D234="",Q$5="",'상세일정'!AM234="제외"),"",IF($D234=$E234,IF(AND($D234&gt;=Q$5,$D234&lt;Q$5+7),"◆",""),IF(AND($D234&lt;Q$5+7,$E234&gt;Q$5),"■","")))</x:f>
      </x:c>
      <x:c r="R234" s="7" t="str">
        <x:f>IF(OR($D234="",R$5="",'상세일정'!AM234="제외"),"",IF($D234=$E234,IF(AND($D234&gt;=R$5,$D234&lt;R$5+7),"◆",""),IF(AND($D234&lt;R$5+7,$E234&gt;R$5),"■","")))</x:f>
      </x:c>
      <x:c r="S234" s="7" t="str">
        <x:f>IF(OR($D234="",S$5="",'상세일정'!AM234="제외"),"",IF($D234=$E234,IF(AND($D234&gt;=S$5,$D234&lt;S$5+7),"◆",""),IF(AND($D234&lt;S$5+7,$E234&gt;S$5),"■","")))</x:f>
      </x:c>
      <x:c r="T234" s="7" t="str">
        <x:f>IF(OR($D234="",T$5="",'상세일정'!AM234="제외"),"",IF($D234=$E234,IF(AND($D234&gt;=T$5,$D234&lt;T$5+7),"◆",""),IF(AND($D234&lt;T$5+7,$E234&gt;T$5),"■","")))</x:f>
      </x:c>
      <x:c r="U234" s="7" t="str">
        <x:f>IF(OR($D234="",U$5="",'상세일정'!AM234="제외"),"",IF($D234=$E234,IF(AND($D234&gt;=U$5,$D234&lt;U$5+7),"◆",""),IF(AND($D234&lt;U$5+7,$E234&gt;U$5),"■","")))</x:f>
      </x:c>
      <x:c r="V234" s="7" t="str">
        <x:f>IF(OR($D234="",V$5="",'상세일정'!AM234="제외"),"",IF($D234=$E234,IF(AND($D234&gt;=V$5,$D234&lt;V$5+7),"◆",""),IF(AND($D234&lt;V$5+7,$E234&gt;V$5),"■","")))</x:f>
      </x:c>
      <x:c r="W234" s="7" t="str">
        <x:f>IF(OR($D234="",W$5="",'상세일정'!AM234="제외"),"",IF($D234=$E234,IF(AND($D234&gt;=W$5,$D234&lt;W$5+7),"◆",""),IF(AND($D234&lt;W$5+7,$E234&gt;W$5),"■","")))</x:f>
      </x:c>
      <x:c r="X234" s="7" t="str">
        <x:f>IF(OR($D234="",X$5="",'상세일정'!AM234="제외"),"",IF($D234=$E234,IF(AND($D234&gt;=X$5,$D234&lt;X$5+7),"◆",""),IF(AND($D234&lt;X$5+7,$E234&gt;X$5),"■","")))</x:f>
      </x:c>
      <x:c r="Y234" s="7" t="str">
        <x:f>IF(OR($D234="",Y$5="",'상세일정'!AM234="제외"),"",IF($D234=$E234,IF(AND($D234&gt;=Y$5,$D234&lt;Y$5+7),"◆",""),IF(AND($D234&lt;Y$5+7,$E234&gt;Y$5),"■","")))</x:f>
      </x:c>
      <x:c r="Z234" s="7" t="str">
        <x:f>IF(OR($D234="",Z$5="",'상세일정'!AM234="제외"),"",IF($D234=$E234,IF(AND($D234&gt;=Z$5,$D234&lt;Z$5+7),"◆",""),IF(AND($D234&lt;Z$5+7,$E234&gt;Z$5),"■","")))</x:f>
      </x:c>
      <x:c r="AA234" s="7" t="str">
        <x:f>IF(OR($D234="",AA$5="",'상세일정'!AM234="제외"),"",IF($D234=$E234,IF(AND($D234&gt;=AA$5,$D234&lt;AA$5+7),"◆",""),IF(AND($D234&lt;AA$5+7,$E234&gt;AA$5),"■","")))</x:f>
      </x:c>
      <x:c r="AB234" s="7" t="str">
        <x:f>IF(OR($D234="",AB$5="",'상세일정'!AM234="제외"),"",IF($D234=$E234,IF(AND($D234&gt;=AB$5,$D234&lt;AB$5+7),"◆",""),IF(AND($D234&lt;AB$5+7,$E234&gt;AB$5),"■","")))</x:f>
      </x:c>
      <x:c r="AC234" s="7" t="str">
        <x:f>IF(OR($D234="",AC$5="",'상세일정'!AM234="제외"),"",IF($D234=$E234,IF(AND($D234&gt;=AC$5,$D234&lt;AC$5+7),"◆",""),IF(AND($D234&lt;AC$5+7,$E234&gt;AC$5),"■","")))</x:f>
      </x:c>
      <x:c r="AD234" s="7" t="str">
        <x:f>IF(OR($D234="",AD$5="",'상세일정'!AM234="제외"),"",IF($D234=$E234,IF(AND($D234&gt;=AD$5,$D234&lt;AD$5+7),"◆",""),IF(AND($D234&lt;AD$5+7,$E234&gt;AD$5),"■","")))</x:f>
      </x:c>
      <x:c r="AE234" s="7" t="str">
        <x:f>IF(OR($D234="",AE$5="",'상세일정'!AM234="제외"),"",IF($D234=$E234,IF(AND($D234&gt;=AE$5,$D234&lt;AE$5+7),"◆",""),IF(AND($D234&lt;AE$5+7,$E234&gt;AE$5),"■","")))</x:f>
      </x:c>
      <x:c r="AF234" s="7" t="str">
        <x:f>IF(OR($D234="",AF$5="",'상세일정'!AM234="제외"),"",IF($D234=$E234,IF(AND($D234&gt;=AF$5,$D234&lt;AF$5+7),"◆",""),IF(AND($D234&lt;AF$5+7,$E234&gt;AF$5),"■","")))</x:f>
      </x:c>
      <x:c r="AG234" s="7" t="str">
        <x:f>IF(OR($D234="",AG$5="",'상세일정'!AM234="제외"),"",IF($D234=$E234,IF(AND($D234&gt;=AG$5,$D234&lt;AG$5+7),"◆",""),IF(AND($D234&lt;AG$5+7,$E234&gt;AG$5),"■","")))</x:f>
      </x:c>
      <x:c r="AH234" s="7" t="str">
        <x:f>IF(OR($D234="",AH$5="",'상세일정'!AM234="제외"),"",IF($D234=$E234,IF(AND($D234&gt;=AH$5,$D234&lt;AH$5+7),"◆",""),IF(AND($D234&lt;AH$5+7,$E234&gt;AH$5),"■","")))</x:f>
      </x:c>
      <x:c r="AI234" s="7" t="str">
        <x:f>IF(OR($D234="",AI$5="",'상세일정'!AM234="제외"),"",IF($D234=$E234,IF(AND($D234&gt;=AI$5,$D234&lt;AI$5+7),"◆",""),IF(AND($D234&lt;AI$5+7,$E234&gt;AI$5),"■","")))</x:f>
      </x:c>
      <x:c r="AJ234" s="7" t="str">
        <x:f>IF(OR($D234="",AJ$5="",'상세일정'!AM234="제외"),"",IF($D234=$E234,IF(AND($D234&gt;=AJ$5,$D234&lt;AJ$5+7),"◆",""),IF(AND($D234&lt;AJ$5+7,$E234&gt;AJ$5),"■","")))</x:f>
      </x:c>
      <x:c r="AK234" s="7" t="str">
        <x:f>IF(OR($D234="",AK$5="",'상세일정'!AM234="제외"),"",IF($D234=$E234,IF(AND($D234&gt;=AK$5,$D234&lt;AK$5+7),"◆",""),IF(AND($D234&lt;AK$5+7,$E234&gt;AK$5),"■","")))</x:f>
      </x:c>
      <x:c r="AL234" s="7" t="str">
        <x:f>IF(OR($D234="",AL$5="",'상세일정'!AM234="제외"),"",IF($D234=$E234,IF(AND($D234&gt;=AL$5,$D234&lt;AL$5+7),"◆",""),IF(AND($D234&lt;AL$5+7,$E234&gt;AL$5),"■","")))</x:f>
      </x:c>
      <x:c r="AM234" s="7" t="str">
        <x:f>IF(OR($D234="",AM$5="",'상세일정'!AM234="제외"),"",IF($D234=$E234,IF(AND($D234&gt;=AM$5,$D234&lt;AM$5+7),"◆",""),IF(AND($D234&lt;AM$5+7,$E234&gt;AM$5),"■","")))</x:f>
      </x:c>
      <x:c r="AN234" s="7" t="str">
        <x:f>IF(OR($D234="",AN$5="",'상세일정'!AM234="제외"),"",IF($D234=$E234,IF(AND($D234&gt;=AN$5,$D234&lt;AN$5+7),"◆",""),IF(AND($D234&lt;AN$5+7,$E234&gt;AN$5),"■","")))</x:f>
      </x:c>
      <x:c r="AO234" s="7" t="str">
        <x:f>IF(OR($D234="",AO$5="",'상세일정'!AM234="제외"),"",IF($D234=$E234,IF(AND($D234&gt;=AO$5,$D234&lt;AO$5+7),"◆",""),IF(AND($D234&lt;AO$5+7,$E234&gt;AO$5),"■","")))</x:f>
      </x:c>
      <x:c r="AP234" s="7" t="str">
        <x:f>IF(OR($D234="",AP$5="",'상세일정'!AM234="제외"),"",IF($D234=$E234,IF(AND($D234&gt;=AP$5,$D234&lt;AP$5+7),"◆",""),IF(AND($D234&lt;AP$5+7,$E234&gt;AP$5),"■","")))</x:f>
      </x:c>
      <x:c r="AQ234" s="7" t="str">
        <x:f>IF(OR($D234="",AQ$5="",'상세일정'!AM234="제외"),"",IF($D234=$E234,IF(AND($D234&gt;=AQ$5,$D234&lt;AQ$5+7),"◆",""),IF(AND($D234&lt;AQ$5+7,$E234&gt;AQ$5),"■","")))</x:f>
      </x:c>
      <x:c r="AR234" s="7" t="str">
        <x:f>IF(OR($D234="",AR$5="",'상세일정'!AM234="제외"),"",IF($D234=$E234,IF(AND($D234&gt;=AR$5,$D234&lt;AR$5+7),"◆",""),IF(AND($D234&lt;AR$5+7,$E234&gt;AR$5),"■","")))</x:f>
      </x:c>
      <x:c r="AS234" s="7" t="str">
        <x:f>IF(OR($D234="",AS$5="",'상세일정'!AM234="제외"),"",IF($D234=$E234,IF(AND($D234&gt;=AS$5,$D234&lt;AS$5+7),"◆",""),IF(AND($D234&lt;AS$5+7,$E234&gt;AS$5),"■","")))</x:f>
      </x:c>
      <x:c r="AT234" s="7" t="str">
        <x:f>IF(OR($D234="",AT$5="",'상세일정'!AM234="제외"),"",IF($D234=$E234,IF(AND($D234&gt;=AT$5,$D234&lt;AT$5+7),"◆",""),IF(AND($D234&lt;AT$5+7,$E234&gt;AT$5),"■","")))</x:f>
      </x:c>
      <x:c r="AU234" s="7" t="str">
        <x:f>IF(OR($D234="",AU$5="",'상세일정'!AM234="제외"),"",IF($D234=$E234,IF(AND($D234&gt;=AU$5,$D234&lt;AU$5+7),"◆",""),IF(AND($D234&lt;AU$5+7,$E234&gt;AU$5),"■","")))</x:f>
      </x:c>
      <x:c r="AV234" s="7" t="str">
        <x:f>IF(OR($D234="",AV$5="",'상세일정'!AM234="제외"),"",IF($D234=$E234,IF(AND($D234&gt;=AV$5,$D234&lt;AV$5+7),"◆",""),IF(AND($D234&lt;AV$5+7,$E234&gt;AV$5),"■","")))</x:f>
      </x:c>
      <x:c r="AW234" s="7" t="str">
        <x:f>IF(OR($D234="",AW$5="",'상세일정'!AM234="제외"),"",IF($D234=$E234,IF(AND($D234&gt;=AW$5,$D234&lt;AW$5+7),"◆",""),IF(AND($D234&lt;AW$5+7,$E234&gt;AW$5),"■","")))</x:f>
      </x:c>
      <x:c r="AX234" s="7" t="str">
        <x:f>IF(OR($D234="",AX$5="",'상세일정'!AM234="제외"),"",IF($D234=$E234,IF(AND($D234&gt;=AX$5,$D234&lt;AX$5+7),"◆",""),IF(AND($D234&lt;AX$5+7,$E234&gt;AX$5),"■","")))</x:f>
      </x:c>
      <x:c r="AY234" s="7" t="str">
        <x:f>IF(OR($D234="",AY$5="",'상세일정'!AM234="제외"),"",IF($D234=$E234,IF(AND($D234&gt;=AY$5,$D234&lt;AY$5+7),"◆",""),IF(AND($D234&lt;AY$5+7,$E234&gt;AY$5),"■","")))</x:f>
      </x:c>
      <x:c r="AZ234" s="7" t="str">
        <x:f>IF(OR($D234="",AZ$5="",'상세일정'!AM234="제외"),"",IF($D234=$E234,IF(AND($D234&gt;=AZ$5,$D234&lt;AZ$5+7),"◆",""),IF(AND($D234&lt;AZ$5+7,$E234&gt;AZ$5),"■","")))</x:f>
      </x:c>
      <x:c r="BA234" s="7" t="str">
        <x:f>IF(OR($D234="",BA$5="",'상세일정'!AM234="제외"),"",IF($D234=$E234,IF(AND($D234&gt;=BA$5,$D234&lt;BA$5+7),"◆",""),IF(AND($D234&lt;BA$5+7,$E234&gt;BA$5),"■","")))</x:f>
      </x:c>
      <x:c r="BB234" s="7" t="str">
        <x:f>IF(OR($D234="",BB$5="",'상세일정'!AM234="제외"),"",IF($D234=$E234,IF(AND($D234&gt;=BB$5,$D234&lt;BB$5+7),"◆",""),IF(AND($D234&lt;BB$5+7,$E234&gt;BB$5),"■","")))</x:f>
      </x:c>
      <x:c r="BC234" s="7" t="str">
        <x:f>IF(OR($D234="",BC$5="",'상세일정'!AM234="제외"),"",IF($D234=$E234,IF(AND($D234&gt;=BC$5,$D234&lt;BC$5+7),"◆",""),IF(AND($D234&lt;BC$5+7,$E234&gt;BC$5),"■","")))</x:f>
      </x:c>
      <x:c r="BD234" s="7" t="str">
        <x:f>IF(OR($D234="",BD$5="",'상세일정'!AM234="제외"),"",IF($D234=$E234,IF(AND($D234&gt;=BD$5,$D234&lt;BD$5+7),"◆",""),IF(AND($D234&lt;BD$5+7,$E234&gt;BD$5),"■","")))</x:f>
      </x:c>
      <x:c r="BE234" s="7" t="str">
        <x:f>IF(OR($D234="",BE$5="",'상세일정'!AM234="제외"),"",IF($D234=$E234,IF(AND($D234&gt;=BE$5,$D234&lt;BE$5+7),"◆",""),IF(AND($D234&lt;BE$5+7,$E234&gt;BE$5),"■","")))</x:f>
      </x:c>
      <x:c r="BF234" s="7" t="str">
        <x:f>IF(OR($D234="",BF$5="",'상세일정'!AM234="제외"),"",IF($D234=$E234,IF(AND($D234&gt;=BF$5,$D234&lt;BF$5+7),"◆",""),IF(AND($D234&lt;BF$5+7,$E234&gt;BF$5),"■","")))</x:f>
      </x:c>
      <x:c r="BG234" s="7" t="str">
        <x:f>IF(OR($D234="",BG$5="",'상세일정'!AM234="제외"),"",IF($D234=$E234,IF(AND($D234&gt;=BG$5,$D234&lt;BG$5+7),"◆",""),IF(AND($D234&lt;BG$5+7,$E234&gt;BG$5),"■","")))</x:f>
      </x:c>
      <x:c r="BH234" s="7" t="str">
        <x:f>IF(OR($D234="",BH$5="",'상세일정'!AM234="제외"),"",IF($D234=$E234,IF(AND($D234&gt;=BH$5,$D234&lt;BH$5+7),"◆",""),IF(AND($D234&lt;BH$5+7,$E234&gt;BH$5),"■","")))</x:f>
      </x:c>
      <x:c r="BI234" s="7" t="str">
        <x:f>IF(OR($D234="",BI$5="",'상세일정'!AM234="제외"),"",IF($D234=$E234,IF(AND($D234&gt;=BI$5,$D234&lt;BI$5+7),"◆",""),IF(AND($D234&lt;BI$5+7,$E234&gt;BI$5),"■","")))</x:f>
      </x:c>
      <x:c r="BJ234" s="7" t="str">
        <x:f>IF(OR($D234="",BJ$5="",'상세일정'!AM234="제외"),"",IF($D234=$E234,IF(AND($D234&gt;=BJ$5,$D234&lt;BJ$5+7),"◆",""),IF(AND($D234&lt;BJ$5+7,$E234&gt;BJ$5),"■","")))</x:f>
      </x:c>
      <x:c r="BK234" s="7" t="str">
        <x:f>IF(OR($D234="",BK$5="",'상세일정'!AM234="제외"),"",IF($D234=$E234,IF(AND($D234&gt;=BK$5,$D234&lt;BK$5+7),"◆",""),IF(AND($D234&lt;BK$5+7,$E234&gt;BK$5),"■","")))</x:f>
      </x:c>
      <x:c r="BL234" s="7" t="str">
        <x:f>IF(OR($D234="",BL$5="",'상세일정'!AM234="제외"),"",IF($D234=$E234,IF(AND($D234&gt;=BL$5,$D234&lt;BL$5+7),"◆",""),IF(AND($D234&lt;BL$5+7,$E234&gt;BL$5),"■","")))</x:f>
      </x:c>
      <x:c r="BM234" s="7" t="str">
        <x:f>IF(OR($D234="",BM$5="",'상세일정'!AM234="제외"),"",IF($D234=$E234,IF(AND($D234&gt;=BM$5,$D234&lt;BM$5+7),"◆",""),IF(AND($D234&lt;BM$5+7,$E234&gt;BM$5),"■","")))</x:f>
      </x:c>
      <x:c r="BN234" s="7" t="str">
        <x:f>IF(OR($D234="",BN$5="",'상세일정'!AM234="제외"),"",IF($D234=$E234,IF(AND($D234&gt;=BN$5,$D234&lt;BN$5+7),"◆",""),IF(AND($D234&lt;BN$5+7,$E234&gt;BN$5),"■","")))</x:f>
      </x:c>
      <x:c r="BO234" s="7" t="str">
        <x:f>IF(OR($D234="",BO$5="",'상세일정'!AM234="제외"),"",IF($D234=$E234,IF(AND($D234&gt;=BO$5,$D234&lt;BO$5+7),"◆",""),IF(AND($D234&lt;BO$5+7,$E234&gt;BO$5),"■","")))</x:f>
      </x:c>
      <x:c r="BP234" s="7" t="str">
        <x:f>IF(OR($D234="",BP$5="",'상세일정'!AM234="제외"),"",IF($D234=$E234,IF(AND($D234&gt;=BP$5,$D234&lt;BP$5+7),"◆",""),IF(AND($D234&lt;BP$5+7,$E234&gt;BP$5),"■","")))</x:f>
      </x:c>
      <x:c r="BQ234" s="7" t="str">
        <x:f>IF(OR($D234="",BQ$5="",'상세일정'!AM234="제외"),"",IF($D234=$E234,IF(AND($D234&gt;=BQ$5,$D234&lt;BQ$5+7),"◆",""),IF(AND($D234&lt;BQ$5+7,$E234&gt;BQ$5),"■","")))</x:f>
      </x:c>
      <x:c r="BR234" s="7" t="str">
        <x:f>IF(OR($D234="",BR$5="",'상세일정'!AM234="제외"),"",IF($D234=$E234,IF(AND($D234&gt;=BR$5,$D234&lt;BR$5+7),"◆",""),IF(AND($D234&lt;BR$5+7,$E234&gt;BR$5),"■","")))</x:f>
      </x:c>
      <x:c r="BS234" s="7" t="str">
        <x:f>IF(OR($D234="",BS$5="",'상세일정'!AM234="제외"),"",IF($D234=$E234,IF(AND($D234&gt;=BS$5,$D234&lt;BS$5+7),"◆",""),IF(AND($D234&lt;BS$5+7,$E234&gt;BS$5),"■","")))</x:f>
      </x:c>
      <x:c r="BT234" s="7" t="str">
        <x:f>IF(OR($D234="",BT$5="",'상세일정'!AM234="제외"),"",IF($D234=$E234,IF(AND($D234&gt;=BT$5,$D234&lt;BT$5+7),"◆",""),IF(AND($D234&lt;BT$5+7,$E234&gt;BT$5),"■","")))</x:f>
      </x:c>
      <x:c r="BU234" s="7" t="str">
        <x:f>IF(OR($D234="",BU$5="",'상세일정'!AM234="제외"),"",IF($D234=$E234,IF(AND($D234&gt;=BU$5,$D234&lt;BU$5+7),"◆",""),IF(AND($D234&lt;BU$5+7,$E234&gt;BU$5),"■","")))</x:f>
      </x:c>
      <x:c r="BV234" s="7" t="str">
        <x:f>IF(OR($D234="",BV$5="",'상세일정'!AM234="제외"),"",IF($D234=$E234,IF(AND($D234&gt;=BV$5,$D234&lt;BV$5+7),"◆",""),IF(AND($D234&lt;BV$5+7,$E234&gt;BV$5),"■","")))</x:f>
      </x:c>
      <x:c r="BW234" s="7" t="str">
        <x:f>IF(OR($D234="",BW$5="",'상세일정'!AM234="제외"),"",IF($D234=$E234,IF(AND($D234&gt;=BW$5,$D234&lt;BW$5+7),"◆",""),IF(AND($D234&lt;BW$5+7,$E234&gt;BW$5),"■","")))</x:f>
      </x:c>
      <x:c r="BX234" s="7" t="str">
        <x:f>IF(OR($D234="",BX$5="",'상세일정'!AM234="제외"),"",IF($D234=$E234,IF(AND($D234&gt;=BX$5,$D234&lt;BX$5+7),"◆",""),IF(AND($D234&lt;BX$5+7,$E234&gt;BX$5),"■","")))</x:f>
      </x:c>
      <x:c r="BY234" s="7" t="str">
        <x:f>IF(OR($D234="",BY$5="",'상세일정'!AM234="제외"),"",IF($D234=$E234,IF(AND($D234&gt;=BY$5,$D234&lt;BY$5+7),"◆",""),IF(AND($D234&lt;BY$5+7,$E234&gt;BY$5),"■","")))</x:f>
      </x:c>
      <x:c r="BZ234" s="7" t="str">
        <x:f>IF(OR($D234="",BZ$5="",'상세일정'!AM234="제외"),"",IF($D234=$E234,IF(AND($D234&gt;=BZ$5,$D234&lt;BZ$5+7),"◆",""),IF(AND($D234&lt;BZ$5+7,$E234&gt;BZ$5),"■","")))</x:f>
      </x:c>
      <x:c r="CA234" s="7" t="str">
        <x:f>IF(OR($D234="",CA$5="",'상세일정'!AM234="제외"),"",IF($D234=$E234,IF(AND($D234&gt;=CA$5,$D234&lt;CA$5+7),"◆",""),IF(AND($D234&lt;CA$5+7,$E234&gt;CA$5),"■","")))</x:f>
      </x:c>
      <x:c r="CB234" s="7" t="str">
        <x:f>IF(OR($D234="",CB$5="",'상세일정'!AM234="제외"),"",IF($D234=$E234,IF(AND($D234&gt;=CB$5,$D234&lt;CB$5+7),"◆",""),IF(AND($D234&lt;CB$5+7,$E234&gt;CB$5),"■","")))</x:f>
      </x:c>
      <x:c r="CC234" s="7" t="str">
        <x:f>IF(OR($D234="",CC$5="",'상세일정'!AM234="제외"),"",IF($D234=$E234,IF(AND($D234&gt;=CC$5,$D234&lt;CC$5+7),"◆",""),IF(AND($D234&lt;CC$5+7,$E234&gt;CC$5),"■","")))</x:f>
      </x:c>
      <x:c r="CD234" s="7" t="str">
        <x:f>IF(OR($D234="",CD$5="",'상세일정'!AM234="제외"),"",IF($D234=$E234,IF(AND($D234&gt;=CD$5,$D234&lt;CD$5+7),"◆",""),IF(AND($D234&lt;CD$5+7,$E234&gt;CD$5),"■","")))</x:f>
      </x:c>
      <x:c r="CE234" s="7" t="str">
        <x:f>IF(OR($D234="",CE$5="",'상세일정'!AM234="제외"),"",IF($D234=$E234,IF(AND($D234&gt;=CE$5,$D234&lt;CE$5+7),"◆",""),IF(AND($D234&lt;CE$5+7,$E234&gt;CE$5),"■","")))</x:f>
      </x:c>
      <x:c r="CF234" s="7" t="str">
        <x:f>IF(OR($D234="",CF$5="",'상세일정'!AM234="제외"),"",IF($D234=$E234,IF(AND($D234&gt;=CF$5,$D234&lt;CF$5+7),"◆",""),IF(AND($D234&lt;CF$5+7,$E234&gt;CF$5),"■","")))</x:f>
      </x:c>
      <x:c r="CG234" s="7" t="str">
        <x:f>IF(OR($D234="",CG$5="",'상세일정'!AM234="제외"),"",IF($D234=$E234,IF(AND($D234&gt;=CG$5,$D234&lt;CG$5+7),"◆",""),IF(AND($D234&lt;CG$5+7,$E234&gt;CG$5),"■","")))</x:f>
      </x:c>
      <x:c r="CH234" s="7" t="str">
        <x:f>IF(OR($D234="",CH$5="",'상세일정'!AM234="제외"),"",IF($D234=$E234,IF(AND($D234&gt;=CH$5,$D234&lt;CH$5+7),"◆",""),IF(AND($D234&lt;CH$5+7,$E234&gt;CH$5),"■","")))</x:f>
      </x:c>
      <x:c r="CI234" s="7" t="str">
        <x:f>IF(OR($D234="",CI$5="",'상세일정'!AM234="제외"),"",IF($D234=$E234,IF(AND($D234&gt;=CI$5,$D234&lt;CI$5+7),"◆",""),IF(AND($D234&lt;CI$5+7,$E234&gt;CI$5),"■","")))</x:f>
      </x:c>
      <x:c r="CJ234" s="7" t="str">
        <x:f>IF(OR($D234="",CJ$5="",'상세일정'!AM234="제외"),"",IF($D234=$E234,IF(AND($D234&gt;=CJ$5,$D234&lt;CJ$5+7),"◆",""),IF(AND($D234&lt;CJ$5+7,$E234&gt;CJ$5),"■","")))</x:f>
      </x:c>
      <x:c r="CK234" s="7" t="str">
        <x:f>IF(OR($D234="",CK$5="",'상세일정'!AM234="제외"),"",IF($D234=$E234,IF(AND($D234&gt;=CK$5,$D234&lt;CK$5+7),"◆",""),IF(AND($D234&lt;CK$5+7,$E234&gt;CK$5),"■","")))</x:f>
      </x:c>
      <x:c r="CL234" s="7" t="str">
        <x:f>IF(OR($D234="",CL$5="",'상세일정'!AM234="제외"),"",IF($D234=$E234,IF(AND($D234&gt;=CL$5,$D234&lt;CL$5+7),"◆",""),IF(AND($D234&lt;CL$5+7,$E234&gt;CL$5),"■","")))</x:f>
      </x:c>
      <x:c r="CM234" s="7" t="str">
        <x:f>IF(OR($D234="",CM$5="",'상세일정'!AM234="제외"),"",IF($D234=$E234,IF(AND($D234&gt;=CM$5,$D234&lt;CM$5+7),"◆",""),IF(AND($D234&lt;CM$5+7,$E234&gt;CM$5),"■","")))</x:f>
      </x:c>
      <x:c r="CN234" s="7" t="str">
        <x:f>IF(OR($D234="",CN$5="",'상세일정'!AM234="제외"),"",IF($D234=$E234,IF(AND($D234&gt;=CN$5,$D234&lt;CN$5+7),"◆",""),IF(AND($D234&lt;CN$5+7,$E234&gt;CN$5),"■","")))</x:f>
      </x:c>
      <x:c r="CO234" s="7" t="str">
        <x:f>IF(OR($D234="",CO$5="",'상세일정'!AM234="제외"),"",IF($D234=$E234,IF(AND($D234&gt;=CO$5,$D234&lt;CO$5+7),"◆",""),IF(AND($D234&lt;CO$5+7,$E234&gt;CO$5),"■","")))</x:f>
      </x:c>
      <x:c r="CP234" s="7" t="str">
        <x:f>IF(OR($D234="",CP$5="",'상세일정'!AM234="제외"),"",IF($D234=$E234,IF(AND($D234&gt;=CP$5,$D234&lt;CP$5+7),"◆",""),IF(AND($D234&lt;CP$5+7,$E234&gt;CP$5),"■","")))</x:f>
      </x:c>
      <x:c r="CQ234" s="7" t="str">
        <x:f>IF(OR($D234="",CQ$5="",'상세일정'!AM234="제외"),"",IF($D234=$E234,IF(AND($D234&gt;=CQ$5,$D234&lt;CQ$5+7),"◆",""),IF(AND($D234&lt;CQ$5+7,$E234&gt;CQ$5),"■","")))</x:f>
      </x:c>
      <x:c r="CR234" s="7" t="str">
        <x:f>IF(OR($D234="",CR$5="",'상세일정'!AM234="제외"),"",IF($D234=$E234,IF(AND($D234&gt;=CR$5,$D234&lt;CR$5+7),"◆",""),IF(AND($D234&lt;CR$5+7,$E234&gt;CR$5),"■","")))</x:f>
      </x:c>
      <x:c r="CS234" s="7" t="str">
        <x:f>IF(OR($D234="",CS$5="",'상세일정'!AM234="제외"),"",IF($D234=$E234,IF(AND($D234&gt;=CS$5,$D234&lt;CS$5+7),"◆",""),IF(AND($D234&lt;CS$5+7,$E234&gt;CS$5),"■","")))</x:f>
      </x:c>
      <x:c r="CT234" s="7" t="str">
        <x:f>IF(OR($D234="",CT$5="",'상세일정'!AM234="제외"),"",IF($D234=$E234,IF(AND($D234&gt;=CT$5,$D234&lt;CT$5+7),"◆",""),IF(AND($D234&lt;CT$5+7,$E234&gt;CT$5),"■","")))</x:f>
      </x:c>
      <x:c r="CU234" s="7" t="str">
        <x:f>IF(OR($D234="",CU$5="",'상세일정'!AM234="제외"),"",IF($D234=$E234,IF(AND($D234&gt;=CU$5,$D234&lt;CU$5+7),"◆",""),IF(AND($D234&lt;CU$5+7,$E234&gt;CU$5),"■","")))</x:f>
      </x:c>
      <x:c r="CV234" s="7" t="str">
        <x:f>IF(OR($D234="",CV$5="",'상세일정'!AM234="제외"),"",IF($D234=$E234,IF(AND($D234&gt;=CV$5,$D234&lt;CV$5+7),"◆",""),IF(AND($D234&lt;CV$5+7,$E234&gt;CV$5),"■","")))</x:f>
      </x:c>
      <x:c r="CW234" s="7" t="str">
        <x:f>IF(OR($D234="",CW$5="",'상세일정'!AM234="제외"),"",IF($D234=$E234,IF(AND($D234&gt;=CW$5,$D234&lt;CW$5+7),"◆",""),IF(AND($D234&lt;CW$5+7,$E234&gt;CW$5),"■","")))</x:f>
      </x:c>
      <x:c r="CX234" s="7" t="str">
        <x:f>IF(OR($D234="",CX$5="",'상세일정'!AM234="제외"),"",IF($D234=$E234,IF(AND($D234&gt;=CX$5,$D234&lt;CX$5+7),"◆",""),IF(AND($D234&lt;CX$5+7,$E234&gt;CX$5),"■","")))</x:f>
      </x:c>
      <x:c r="CY234" s="7" t="str">
        <x:f>IF(OR($D234="",CY$5="",'상세일정'!AM234="제외"),"",IF($D234=$E234,IF(AND($D234&gt;=CY$5,$D234&lt;CY$5+7),"◆",""),IF(AND($D234&lt;CY$5+7,$E234&gt;CY$5),"■","")))</x:f>
      </x:c>
      <x:c r="CZ234" s="7" t="str">
        <x:f>IF(OR($D234="",CZ$5="",'상세일정'!AM234="제외"),"",IF($D234=$E234,IF(AND($D234&gt;=CZ$5,$D234&lt;CZ$5+7),"◆",""),IF(AND($D234&lt;CZ$5+7,$E234&gt;CZ$5),"■","")))</x:f>
      </x:c>
      <x:c r="DA234" s="7" t="str">
        <x:f>IF(OR($D234="",DA$5="",'상세일정'!AM234="제외"),"",IF($D234=$E234,IF(AND($D234&gt;=DA$5,$D234&lt;DA$5+7),"◆",""),IF(AND($D234&lt;DA$5+7,$E234&gt;DA$5),"■","")))</x:f>
      </x:c>
      <x:c r="DB234" s="7" t="str">
        <x:f>IF(OR($D234="",DB$5="",'상세일정'!AM234="제외"),"",IF($D234=$E234,IF(AND($D234&gt;=DB$5,$D234&lt;DB$5+7),"◆",""),IF(AND($D234&lt;DB$5+7,$E234&gt;DB$5),"■","")))</x:f>
      </x:c>
      <x:c r="DC234" s="7" t="str">
        <x:f>IF(OR($D234="",DC$5="",'상세일정'!AM234="제외"),"",IF($D234=$E234,IF(AND($D234&gt;=DC$5,$D234&lt;DC$5+7),"◆",""),IF(AND($D234&lt;DC$5+7,$E234&gt;DC$5),"■","")))</x:f>
      </x:c>
      <x:c r="DD234" s="7" t="str">
        <x:f>IF(OR($D234="",DD$5="",'상세일정'!AM234="제외"),"",IF($D234=$E234,IF(AND($D234&gt;=DD$5,$D234&lt;DD$5+7),"◆",""),IF(AND($D234&lt;DD$5+7,$E234&gt;DD$5),"■","")))</x:f>
      </x:c>
      <x:c r="DE234" s="7" t="str">
        <x:f>IF(OR($D234="",DE$5="",'상세일정'!AM234="제외"),"",IF($D234=$E234,IF(AND($D234&gt;=DE$5,$D234&lt;DE$5+7),"◆",""),IF(AND($D234&lt;DE$5+7,$E234&gt;DE$5),"■","")))</x:f>
      </x:c>
    </x:row>
    <x:row r="235" ht="34" customHeight="1">
      <x:c r="A235" s="7" t="str">
        <x:v>CO01</x:v>
      </x:c>
      <x:c r="B235" s="7" t="str">
        <x:v>28 가스투입·통합시운전</x:v>
      </x:c>
      <x:c r="C235" s="7" t="str">
        <x:v>질소 퍼지·산소농도·기밀·검지기 최종 확인</x:v>
      </x:c>
      <x:c r="D235" s="10" t="str">
        <x:f>'상세일정'!AJ235</x:f>
      </x:c>
      <x:c r="E235" s="10" t="str">
        <x:f>'상세일정'!AK235</x:f>
      </x:c>
      <x:c r="F235" s="7" t="str">
        <x:f>IF(OR($D235="",F$5="",'상세일정'!AM235="제외"),"",IF($D235=$E235,IF(AND($D235&gt;=F$5,$D235&lt;F$5+7),"◆",""),IF(AND($D235&lt;F$5+7,$E235&gt;F$5),"■","")))</x:f>
      </x:c>
      <x:c r="G235" s="7" t="str">
        <x:f>IF(OR($D235="",G$5="",'상세일정'!AM235="제외"),"",IF($D235=$E235,IF(AND($D235&gt;=G$5,$D235&lt;G$5+7),"◆",""),IF(AND($D235&lt;G$5+7,$E235&gt;G$5),"■","")))</x:f>
      </x:c>
      <x:c r="H235" s="7" t="str">
        <x:f>IF(OR($D235="",H$5="",'상세일정'!AM235="제외"),"",IF($D235=$E235,IF(AND($D235&gt;=H$5,$D235&lt;H$5+7),"◆",""),IF(AND($D235&lt;H$5+7,$E235&gt;H$5),"■","")))</x:f>
      </x:c>
      <x:c r="I235" s="7" t="str">
        <x:f>IF(OR($D235="",I$5="",'상세일정'!AM235="제외"),"",IF($D235=$E235,IF(AND($D235&gt;=I$5,$D235&lt;I$5+7),"◆",""),IF(AND($D235&lt;I$5+7,$E235&gt;I$5),"■","")))</x:f>
      </x:c>
      <x:c r="J235" s="7" t="str">
        <x:f>IF(OR($D235="",J$5="",'상세일정'!AM235="제외"),"",IF($D235=$E235,IF(AND($D235&gt;=J$5,$D235&lt;J$5+7),"◆",""),IF(AND($D235&lt;J$5+7,$E235&gt;J$5),"■","")))</x:f>
      </x:c>
      <x:c r="K235" s="7" t="str">
        <x:f>IF(OR($D235="",K$5="",'상세일정'!AM235="제외"),"",IF($D235=$E235,IF(AND($D235&gt;=K$5,$D235&lt;K$5+7),"◆",""),IF(AND($D235&lt;K$5+7,$E235&gt;K$5),"■","")))</x:f>
      </x:c>
      <x:c r="L235" s="7" t="str">
        <x:f>IF(OR($D235="",L$5="",'상세일정'!AM235="제외"),"",IF($D235=$E235,IF(AND($D235&gt;=L$5,$D235&lt;L$5+7),"◆",""),IF(AND($D235&lt;L$5+7,$E235&gt;L$5),"■","")))</x:f>
      </x:c>
      <x:c r="M235" s="7" t="str">
        <x:f>IF(OR($D235="",M$5="",'상세일정'!AM235="제외"),"",IF($D235=$E235,IF(AND($D235&gt;=M$5,$D235&lt;M$5+7),"◆",""),IF(AND($D235&lt;M$5+7,$E235&gt;M$5),"■","")))</x:f>
      </x:c>
      <x:c r="N235" s="7" t="str">
        <x:f>IF(OR($D235="",N$5="",'상세일정'!AM235="제외"),"",IF($D235=$E235,IF(AND($D235&gt;=N$5,$D235&lt;N$5+7),"◆",""),IF(AND($D235&lt;N$5+7,$E235&gt;N$5),"■","")))</x:f>
      </x:c>
      <x:c r="O235" s="7" t="str">
        <x:f>IF(OR($D235="",O$5="",'상세일정'!AM235="제외"),"",IF($D235=$E235,IF(AND($D235&gt;=O$5,$D235&lt;O$5+7),"◆",""),IF(AND($D235&lt;O$5+7,$E235&gt;O$5),"■","")))</x:f>
      </x:c>
      <x:c r="P235" s="7" t="str">
        <x:f>IF(OR($D235="",P$5="",'상세일정'!AM235="제외"),"",IF($D235=$E235,IF(AND($D235&gt;=P$5,$D235&lt;P$5+7),"◆",""),IF(AND($D235&lt;P$5+7,$E235&gt;P$5),"■","")))</x:f>
      </x:c>
      <x:c r="Q235" s="7" t="str">
        <x:f>IF(OR($D235="",Q$5="",'상세일정'!AM235="제외"),"",IF($D235=$E235,IF(AND($D235&gt;=Q$5,$D235&lt;Q$5+7),"◆",""),IF(AND($D235&lt;Q$5+7,$E235&gt;Q$5),"■","")))</x:f>
      </x:c>
      <x:c r="R235" s="7" t="str">
        <x:f>IF(OR($D235="",R$5="",'상세일정'!AM235="제외"),"",IF($D235=$E235,IF(AND($D235&gt;=R$5,$D235&lt;R$5+7),"◆",""),IF(AND($D235&lt;R$5+7,$E235&gt;R$5),"■","")))</x:f>
      </x:c>
      <x:c r="S235" s="7" t="str">
        <x:f>IF(OR($D235="",S$5="",'상세일정'!AM235="제외"),"",IF($D235=$E235,IF(AND($D235&gt;=S$5,$D235&lt;S$5+7),"◆",""),IF(AND($D235&lt;S$5+7,$E235&gt;S$5),"■","")))</x:f>
      </x:c>
      <x:c r="T235" s="7" t="str">
        <x:f>IF(OR($D235="",T$5="",'상세일정'!AM235="제외"),"",IF($D235=$E235,IF(AND($D235&gt;=T$5,$D235&lt;T$5+7),"◆",""),IF(AND($D235&lt;T$5+7,$E235&gt;T$5),"■","")))</x:f>
      </x:c>
      <x:c r="U235" s="7" t="str">
        <x:f>IF(OR($D235="",U$5="",'상세일정'!AM235="제외"),"",IF($D235=$E235,IF(AND($D235&gt;=U$5,$D235&lt;U$5+7),"◆",""),IF(AND($D235&lt;U$5+7,$E235&gt;U$5),"■","")))</x:f>
      </x:c>
      <x:c r="V235" s="7" t="str">
        <x:f>IF(OR($D235="",V$5="",'상세일정'!AM235="제외"),"",IF($D235=$E235,IF(AND($D235&gt;=V$5,$D235&lt;V$5+7),"◆",""),IF(AND($D235&lt;V$5+7,$E235&gt;V$5),"■","")))</x:f>
      </x:c>
      <x:c r="W235" s="7" t="str">
        <x:f>IF(OR($D235="",W$5="",'상세일정'!AM235="제외"),"",IF($D235=$E235,IF(AND($D235&gt;=W$5,$D235&lt;W$5+7),"◆",""),IF(AND($D235&lt;W$5+7,$E235&gt;W$5),"■","")))</x:f>
      </x:c>
      <x:c r="X235" s="7" t="str">
        <x:f>IF(OR($D235="",X$5="",'상세일정'!AM235="제외"),"",IF($D235=$E235,IF(AND($D235&gt;=X$5,$D235&lt;X$5+7),"◆",""),IF(AND($D235&lt;X$5+7,$E235&gt;X$5),"■","")))</x:f>
      </x:c>
      <x:c r="Y235" s="7" t="str">
        <x:f>IF(OR($D235="",Y$5="",'상세일정'!AM235="제외"),"",IF($D235=$E235,IF(AND($D235&gt;=Y$5,$D235&lt;Y$5+7),"◆",""),IF(AND($D235&lt;Y$5+7,$E235&gt;Y$5),"■","")))</x:f>
      </x:c>
      <x:c r="Z235" s="7" t="str">
        <x:f>IF(OR($D235="",Z$5="",'상세일정'!AM235="제외"),"",IF($D235=$E235,IF(AND($D235&gt;=Z$5,$D235&lt;Z$5+7),"◆",""),IF(AND($D235&lt;Z$5+7,$E235&gt;Z$5),"■","")))</x:f>
      </x:c>
      <x:c r="AA235" s="7" t="str">
        <x:f>IF(OR($D235="",AA$5="",'상세일정'!AM235="제외"),"",IF($D235=$E235,IF(AND($D235&gt;=AA$5,$D235&lt;AA$5+7),"◆",""),IF(AND($D235&lt;AA$5+7,$E235&gt;AA$5),"■","")))</x:f>
      </x:c>
      <x:c r="AB235" s="7" t="str">
        <x:f>IF(OR($D235="",AB$5="",'상세일정'!AM235="제외"),"",IF($D235=$E235,IF(AND($D235&gt;=AB$5,$D235&lt;AB$5+7),"◆",""),IF(AND($D235&lt;AB$5+7,$E235&gt;AB$5),"■","")))</x:f>
      </x:c>
      <x:c r="AC235" s="7" t="str">
        <x:f>IF(OR($D235="",AC$5="",'상세일정'!AM235="제외"),"",IF($D235=$E235,IF(AND($D235&gt;=AC$5,$D235&lt;AC$5+7),"◆",""),IF(AND($D235&lt;AC$5+7,$E235&gt;AC$5),"■","")))</x:f>
      </x:c>
      <x:c r="AD235" s="7" t="str">
        <x:f>IF(OR($D235="",AD$5="",'상세일정'!AM235="제외"),"",IF($D235=$E235,IF(AND($D235&gt;=AD$5,$D235&lt;AD$5+7),"◆",""),IF(AND($D235&lt;AD$5+7,$E235&gt;AD$5),"■","")))</x:f>
      </x:c>
      <x:c r="AE235" s="7" t="str">
        <x:f>IF(OR($D235="",AE$5="",'상세일정'!AM235="제외"),"",IF($D235=$E235,IF(AND($D235&gt;=AE$5,$D235&lt;AE$5+7),"◆",""),IF(AND($D235&lt;AE$5+7,$E235&gt;AE$5),"■","")))</x:f>
      </x:c>
      <x:c r="AF235" s="7" t="str">
        <x:f>IF(OR($D235="",AF$5="",'상세일정'!AM235="제외"),"",IF($D235=$E235,IF(AND($D235&gt;=AF$5,$D235&lt;AF$5+7),"◆",""),IF(AND($D235&lt;AF$5+7,$E235&gt;AF$5),"■","")))</x:f>
      </x:c>
      <x:c r="AG235" s="7" t="str">
        <x:f>IF(OR($D235="",AG$5="",'상세일정'!AM235="제외"),"",IF($D235=$E235,IF(AND($D235&gt;=AG$5,$D235&lt;AG$5+7),"◆",""),IF(AND($D235&lt;AG$5+7,$E235&gt;AG$5),"■","")))</x:f>
      </x:c>
      <x:c r="AH235" s="7" t="str">
        <x:f>IF(OR($D235="",AH$5="",'상세일정'!AM235="제외"),"",IF($D235=$E235,IF(AND($D235&gt;=AH$5,$D235&lt;AH$5+7),"◆",""),IF(AND($D235&lt;AH$5+7,$E235&gt;AH$5),"■","")))</x:f>
      </x:c>
      <x:c r="AI235" s="7" t="str">
        <x:f>IF(OR($D235="",AI$5="",'상세일정'!AM235="제외"),"",IF($D235=$E235,IF(AND($D235&gt;=AI$5,$D235&lt;AI$5+7),"◆",""),IF(AND($D235&lt;AI$5+7,$E235&gt;AI$5),"■","")))</x:f>
      </x:c>
      <x:c r="AJ235" s="7" t="str">
        <x:f>IF(OR($D235="",AJ$5="",'상세일정'!AM235="제외"),"",IF($D235=$E235,IF(AND($D235&gt;=AJ$5,$D235&lt;AJ$5+7),"◆",""),IF(AND($D235&lt;AJ$5+7,$E235&gt;AJ$5),"■","")))</x:f>
      </x:c>
      <x:c r="AK235" s="7" t="str">
        <x:f>IF(OR($D235="",AK$5="",'상세일정'!AM235="제외"),"",IF($D235=$E235,IF(AND($D235&gt;=AK$5,$D235&lt;AK$5+7),"◆",""),IF(AND($D235&lt;AK$5+7,$E235&gt;AK$5),"■","")))</x:f>
      </x:c>
      <x:c r="AL235" s="7" t="str">
        <x:f>IF(OR($D235="",AL$5="",'상세일정'!AM235="제외"),"",IF($D235=$E235,IF(AND($D235&gt;=AL$5,$D235&lt;AL$5+7),"◆",""),IF(AND($D235&lt;AL$5+7,$E235&gt;AL$5),"■","")))</x:f>
      </x:c>
      <x:c r="AM235" s="7" t="str">
        <x:f>IF(OR($D235="",AM$5="",'상세일정'!AM235="제외"),"",IF($D235=$E235,IF(AND($D235&gt;=AM$5,$D235&lt;AM$5+7),"◆",""),IF(AND($D235&lt;AM$5+7,$E235&gt;AM$5),"■","")))</x:f>
      </x:c>
      <x:c r="AN235" s="7" t="str">
        <x:f>IF(OR($D235="",AN$5="",'상세일정'!AM235="제외"),"",IF($D235=$E235,IF(AND($D235&gt;=AN$5,$D235&lt;AN$5+7),"◆",""),IF(AND($D235&lt;AN$5+7,$E235&gt;AN$5),"■","")))</x:f>
      </x:c>
      <x:c r="AO235" s="7" t="str">
        <x:f>IF(OR($D235="",AO$5="",'상세일정'!AM235="제외"),"",IF($D235=$E235,IF(AND($D235&gt;=AO$5,$D235&lt;AO$5+7),"◆",""),IF(AND($D235&lt;AO$5+7,$E235&gt;AO$5),"■","")))</x:f>
      </x:c>
      <x:c r="AP235" s="7" t="str">
        <x:f>IF(OR($D235="",AP$5="",'상세일정'!AM235="제외"),"",IF($D235=$E235,IF(AND($D235&gt;=AP$5,$D235&lt;AP$5+7),"◆",""),IF(AND($D235&lt;AP$5+7,$E235&gt;AP$5),"■","")))</x:f>
      </x:c>
      <x:c r="AQ235" s="7" t="str">
        <x:f>IF(OR($D235="",AQ$5="",'상세일정'!AM235="제외"),"",IF($D235=$E235,IF(AND($D235&gt;=AQ$5,$D235&lt;AQ$5+7),"◆",""),IF(AND($D235&lt;AQ$5+7,$E235&gt;AQ$5),"■","")))</x:f>
      </x:c>
      <x:c r="AR235" s="7" t="str">
        <x:f>IF(OR($D235="",AR$5="",'상세일정'!AM235="제외"),"",IF($D235=$E235,IF(AND($D235&gt;=AR$5,$D235&lt;AR$5+7),"◆",""),IF(AND($D235&lt;AR$5+7,$E235&gt;AR$5),"■","")))</x:f>
      </x:c>
      <x:c r="AS235" s="7" t="str">
        <x:f>IF(OR($D235="",AS$5="",'상세일정'!AM235="제외"),"",IF($D235=$E235,IF(AND($D235&gt;=AS$5,$D235&lt;AS$5+7),"◆",""),IF(AND($D235&lt;AS$5+7,$E235&gt;AS$5),"■","")))</x:f>
      </x:c>
      <x:c r="AT235" s="7" t="str">
        <x:f>IF(OR($D235="",AT$5="",'상세일정'!AM235="제외"),"",IF($D235=$E235,IF(AND($D235&gt;=AT$5,$D235&lt;AT$5+7),"◆",""),IF(AND($D235&lt;AT$5+7,$E235&gt;AT$5),"■","")))</x:f>
      </x:c>
      <x:c r="AU235" s="7" t="str">
        <x:f>IF(OR($D235="",AU$5="",'상세일정'!AM235="제외"),"",IF($D235=$E235,IF(AND($D235&gt;=AU$5,$D235&lt;AU$5+7),"◆",""),IF(AND($D235&lt;AU$5+7,$E235&gt;AU$5),"■","")))</x:f>
      </x:c>
      <x:c r="AV235" s="7" t="str">
        <x:f>IF(OR($D235="",AV$5="",'상세일정'!AM235="제외"),"",IF($D235=$E235,IF(AND($D235&gt;=AV$5,$D235&lt;AV$5+7),"◆",""),IF(AND($D235&lt;AV$5+7,$E235&gt;AV$5),"■","")))</x:f>
      </x:c>
      <x:c r="AW235" s="7" t="str">
        <x:f>IF(OR($D235="",AW$5="",'상세일정'!AM235="제외"),"",IF($D235=$E235,IF(AND($D235&gt;=AW$5,$D235&lt;AW$5+7),"◆",""),IF(AND($D235&lt;AW$5+7,$E235&gt;AW$5),"■","")))</x:f>
      </x:c>
      <x:c r="AX235" s="7" t="str">
        <x:f>IF(OR($D235="",AX$5="",'상세일정'!AM235="제외"),"",IF($D235=$E235,IF(AND($D235&gt;=AX$5,$D235&lt;AX$5+7),"◆",""),IF(AND($D235&lt;AX$5+7,$E235&gt;AX$5),"■","")))</x:f>
      </x:c>
      <x:c r="AY235" s="7" t="str">
        <x:f>IF(OR($D235="",AY$5="",'상세일정'!AM235="제외"),"",IF($D235=$E235,IF(AND($D235&gt;=AY$5,$D235&lt;AY$5+7),"◆",""),IF(AND($D235&lt;AY$5+7,$E235&gt;AY$5),"■","")))</x:f>
      </x:c>
      <x:c r="AZ235" s="7" t="str">
        <x:f>IF(OR($D235="",AZ$5="",'상세일정'!AM235="제외"),"",IF($D235=$E235,IF(AND($D235&gt;=AZ$5,$D235&lt;AZ$5+7),"◆",""),IF(AND($D235&lt;AZ$5+7,$E235&gt;AZ$5),"■","")))</x:f>
      </x:c>
      <x:c r="BA235" s="7" t="str">
        <x:f>IF(OR($D235="",BA$5="",'상세일정'!AM235="제외"),"",IF($D235=$E235,IF(AND($D235&gt;=BA$5,$D235&lt;BA$5+7),"◆",""),IF(AND($D235&lt;BA$5+7,$E235&gt;BA$5),"■","")))</x:f>
      </x:c>
      <x:c r="BB235" s="7" t="str">
        <x:f>IF(OR($D235="",BB$5="",'상세일정'!AM235="제외"),"",IF($D235=$E235,IF(AND($D235&gt;=BB$5,$D235&lt;BB$5+7),"◆",""),IF(AND($D235&lt;BB$5+7,$E235&gt;BB$5),"■","")))</x:f>
      </x:c>
      <x:c r="BC235" s="7" t="str">
        <x:f>IF(OR($D235="",BC$5="",'상세일정'!AM235="제외"),"",IF($D235=$E235,IF(AND($D235&gt;=BC$5,$D235&lt;BC$5+7),"◆",""),IF(AND($D235&lt;BC$5+7,$E235&gt;BC$5),"■","")))</x:f>
      </x:c>
      <x:c r="BD235" s="7" t="str">
        <x:f>IF(OR($D235="",BD$5="",'상세일정'!AM235="제외"),"",IF($D235=$E235,IF(AND($D235&gt;=BD$5,$D235&lt;BD$5+7),"◆",""),IF(AND($D235&lt;BD$5+7,$E235&gt;BD$5),"■","")))</x:f>
      </x:c>
      <x:c r="BE235" s="7" t="str">
        <x:f>IF(OR($D235="",BE$5="",'상세일정'!AM235="제외"),"",IF($D235=$E235,IF(AND($D235&gt;=BE$5,$D235&lt;BE$5+7),"◆",""),IF(AND($D235&lt;BE$5+7,$E235&gt;BE$5),"■","")))</x:f>
      </x:c>
      <x:c r="BF235" s="7" t="str">
        <x:f>IF(OR($D235="",BF$5="",'상세일정'!AM235="제외"),"",IF($D235=$E235,IF(AND($D235&gt;=BF$5,$D235&lt;BF$5+7),"◆",""),IF(AND($D235&lt;BF$5+7,$E235&gt;BF$5),"■","")))</x:f>
      </x:c>
      <x:c r="BG235" s="7" t="str">
        <x:f>IF(OR($D235="",BG$5="",'상세일정'!AM235="제외"),"",IF($D235=$E235,IF(AND($D235&gt;=BG$5,$D235&lt;BG$5+7),"◆",""),IF(AND($D235&lt;BG$5+7,$E235&gt;BG$5),"■","")))</x:f>
      </x:c>
      <x:c r="BH235" s="7" t="str">
        <x:f>IF(OR($D235="",BH$5="",'상세일정'!AM235="제외"),"",IF($D235=$E235,IF(AND($D235&gt;=BH$5,$D235&lt;BH$5+7),"◆",""),IF(AND($D235&lt;BH$5+7,$E235&gt;BH$5),"■","")))</x:f>
      </x:c>
      <x:c r="BI235" s="7" t="str">
        <x:f>IF(OR($D235="",BI$5="",'상세일정'!AM235="제외"),"",IF($D235=$E235,IF(AND($D235&gt;=BI$5,$D235&lt;BI$5+7),"◆",""),IF(AND($D235&lt;BI$5+7,$E235&gt;BI$5),"■","")))</x:f>
      </x:c>
      <x:c r="BJ235" s="7" t="str">
        <x:f>IF(OR($D235="",BJ$5="",'상세일정'!AM235="제외"),"",IF($D235=$E235,IF(AND($D235&gt;=BJ$5,$D235&lt;BJ$5+7),"◆",""),IF(AND($D235&lt;BJ$5+7,$E235&gt;BJ$5),"■","")))</x:f>
      </x:c>
      <x:c r="BK235" s="7" t="str">
        <x:f>IF(OR($D235="",BK$5="",'상세일정'!AM235="제외"),"",IF($D235=$E235,IF(AND($D235&gt;=BK$5,$D235&lt;BK$5+7),"◆",""),IF(AND($D235&lt;BK$5+7,$E235&gt;BK$5),"■","")))</x:f>
      </x:c>
      <x:c r="BL235" s="7" t="str">
        <x:f>IF(OR($D235="",BL$5="",'상세일정'!AM235="제외"),"",IF($D235=$E235,IF(AND($D235&gt;=BL$5,$D235&lt;BL$5+7),"◆",""),IF(AND($D235&lt;BL$5+7,$E235&gt;BL$5),"■","")))</x:f>
      </x:c>
      <x:c r="BM235" s="7" t="str">
        <x:f>IF(OR($D235="",BM$5="",'상세일정'!AM235="제외"),"",IF($D235=$E235,IF(AND($D235&gt;=BM$5,$D235&lt;BM$5+7),"◆",""),IF(AND($D235&lt;BM$5+7,$E235&gt;BM$5),"■","")))</x:f>
      </x:c>
      <x:c r="BN235" s="7" t="str">
        <x:f>IF(OR($D235="",BN$5="",'상세일정'!AM235="제외"),"",IF($D235=$E235,IF(AND($D235&gt;=BN$5,$D235&lt;BN$5+7),"◆",""),IF(AND($D235&lt;BN$5+7,$E235&gt;BN$5),"■","")))</x:f>
      </x:c>
      <x:c r="BO235" s="7" t="str">
        <x:f>IF(OR($D235="",BO$5="",'상세일정'!AM235="제외"),"",IF($D235=$E235,IF(AND($D235&gt;=BO$5,$D235&lt;BO$5+7),"◆",""),IF(AND($D235&lt;BO$5+7,$E235&gt;BO$5),"■","")))</x:f>
      </x:c>
      <x:c r="BP235" s="7" t="str">
        <x:f>IF(OR($D235="",BP$5="",'상세일정'!AM235="제외"),"",IF($D235=$E235,IF(AND($D235&gt;=BP$5,$D235&lt;BP$5+7),"◆",""),IF(AND($D235&lt;BP$5+7,$E235&gt;BP$5),"■","")))</x:f>
      </x:c>
      <x:c r="BQ235" s="7" t="str">
        <x:f>IF(OR($D235="",BQ$5="",'상세일정'!AM235="제외"),"",IF($D235=$E235,IF(AND($D235&gt;=BQ$5,$D235&lt;BQ$5+7),"◆",""),IF(AND($D235&lt;BQ$5+7,$E235&gt;BQ$5),"■","")))</x:f>
      </x:c>
      <x:c r="BR235" s="7" t="str">
        <x:f>IF(OR($D235="",BR$5="",'상세일정'!AM235="제외"),"",IF($D235=$E235,IF(AND($D235&gt;=BR$5,$D235&lt;BR$5+7),"◆",""),IF(AND($D235&lt;BR$5+7,$E235&gt;BR$5),"■","")))</x:f>
      </x:c>
      <x:c r="BS235" s="7" t="str">
        <x:f>IF(OR($D235="",BS$5="",'상세일정'!AM235="제외"),"",IF($D235=$E235,IF(AND($D235&gt;=BS$5,$D235&lt;BS$5+7),"◆",""),IF(AND($D235&lt;BS$5+7,$E235&gt;BS$5),"■","")))</x:f>
      </x:c>
      <x:c r="BT235" s="7" t="str">
        <x:f>IF(OR($D235="",BT$5="",'상세일정'!AM235="제외"),"",IF($D235=$E235,IF(AND($D235&gt;=BT$5,$D235&lt;BT$5+7),"◆",""),IF(AND($D235&lt;BT$5+7,$E235&gt;BT$5),"■","")))</x:f>
      </x:c>
      <x:c r="BU235" s="7" t="str">
        <x:f>IF(OR($D235="",BU$5="",'상세일정'!AM235="제외"),"",IF($D235=$E235,IF(AND($D235&gt;=BU$5,$D235&lt;BU$5+7),"◆",""),IF(AND($D235&lt;BU$5+7,$E235&gt;BU$5),"■","")))</x:f>
      </x:c>
      <x:c r="BV235" s="7" t="str">
        <x:f>IF(OR($D235="",BV$5="",'상세일정'!AM235="제외"),"",IF($D235=$E235,IF(AND($D235&gt;=BV$5,$D235&lt;BV$5+7),"◆",""),IF(AND($D235&lt;BV$5+7,$E235&gt;BV$5),"■","")))</x:f>
      </x:c>
      <x:c r="BW235" s="7" t="str">
        <x:f>IF(OR($D235="",BW$5="",'상세일정'!AM235="제외"),"",IF($D235=$E235,IF(AND($D235&gt;=BW$5,$D235&lt;BW$5+7),"◆",""),IF(AND($D235&lt;BW$5+7,$E235&gt;BW$5),"■","")))</x:f>
      </x:c>
      <x:c r="BX235" s="7" t="str">
        <x:f>IF(OR($D235="",BX$5="",'상세일정'!AM235="제외"),"",IF($D235=$E235,IF(AND($D235&gt;=BX$5,$D235&lt;BX$5+7),"◆",""),IF(AND($D235&lt;BX$5+7,$E235&gt;BX$5),"■","")))</x:f>
      </x:c>
      <x:c r="BY235" s="7" t="str">
        <x:f>IF(OR($D235="",BY$5="",'상세일정'!AM235="제외"),"",IF($D235=$E235,IF(AND($D235&gt;=BY$5,$D235&lt;BY$5+7),"◆",""),IF(AND($D235&lt;BY$5+7,$E235&gt;BY$5),"■","")))</x:f>
      </x:c>
      <x:c r="BZ235" s="7" t="str">
        <x:f>IF(OR($D235="",BZ$5="",'상세일정'!AM235="제외"),"",IF($D235=$E235,IF(AND($D235&gt;=BZ$5,$D235&lt;BZ$5+7),"◆",""),IF(AND($D235&lt;BZ$5+7,$E235&gt;BZ$5),"■","")))</x:f>
      </x:c>
      <x:c r="CA235" s="7" t="str">
        <x:f>IF(OR($D235="",CA$5="",'상세일정'!AM235="제외"),"",IF($D235=$E235,IF(AND($D235&gt;=CA$5,$D235&lt;CA$5+7),"◆",""),IF(AND($D235&lt;CA$5+7,$E235&gt;CA$5),"■","")))</x:f>
      </x:c>
      <x:c r="CB235" s="7" t="str">
        <x:f>IF(OR($D235="",CB$5="",'상세일정'!AM235="제외"),"",IF($D235=$E235,IF(AND($D235&gt;=CB$5,$D235&lt;CB$5+7),"◆",""),IF(AND($D235&lt;CB$5+7,$E235&gt;CB$5),"■","")))</x:f>
      </x:c>
      <x:c r="CC235" s="7" t="str">
        <x:f>IF(OR($D235="",CC$5="",'상세일정'!AM235="제외"),"",IF($D235=$E235,IF(AND($D235&gt;=CC$5,$D235&lt;CC$5+7),"◆",""),IF(AND($D235&lt;CC$5+7,$E235&gt;CC$5),"■","")))</x:f>
      </x:c>
      <x:c r="CD235" s="7" t="str">
        <x:f>IF(OR($D235="",CD$5="",'상세일정'!AM235="제외"),"",IF($D235=$E235,IF(AND($D235&gt;=CD$5,$D235&lt;CD$5+7),"◆",""),IF(AND($D235&lt;CD$5+7,$E235&gt;CD$5),"■","")))</x:f>
      </x:c>
      <x:c r="CE235" s="7" t="str">
        <x:f>IF(OR($D235="",CE$5="",'상세일정'!AM235="제외"),"",IF($D235=$E235,IF(AND($D235&gt;=CE$5,$D235&lt;CE$5+7),"◆",""),IF(AND($D235&lt;CE$5+7,$E235&gt;CE$5),"■","")))</x:f>
      </x:c>
      <x:c r="CF235" s="7" t="str">
        <x:f>IF(OR($D235="",CF$5="",'상세일정'!AM235="제외"),"",IF($D235=$E235,IF(AND($D235&gt;=CF$5,$D235&lt;CF$5+7),"◆",""),IF(AND($D235&lt;CF$5+7,$E235&gt;CF$5),"■","")))</x:f>
      </x:c>
      <x:c r="CG235" s="7" t="str">
        <x:f>IF(OR($D235="",CG$5="",'상세일정'!AM235="제외"),"",IF($D235=$E235,IF(AND($D235&gt;=CG$5,$D235&lt;CG$5+7),"◆",""),IF(AND($D235&lt;CG$5+7,$E235&gt;CG$5),"■","")))</x:f>
      </x:c>
      <x:c r="CH235" s="7" t="str">
        <x:f>IF(OR($D235="",CH$5="",'상세일정'!AM235="제외"),"",IF($D235=$E235,IF(AND($D235&gt;=CH$5,$D235&lt;CH$5+7),"◆",""),IF(AND($D235&lt;CH$5+7,$E235&gt;CH$5),"■","")))</x:f>
      </x:c>
      <x:c r="CI235" s="7" t="str">
        <x:f>IF(OR($D235="",CI$5="",'상세일정'!AM235="제외"),"",IF($D235=$E235,IF(AND($D235&gt;=CI$5,$D235&lt;CI$5+7),"◆",""),IF(AND($D235&lt;CI$5+7,$E235&gt;CI$5),"■","")))</x:f>
      </x:c>
      <x:c r="CJ235" s="7" t="str">
        <x:f>IF(OR($D235="",CJ$5="",'상세일정'!AM235="제외"),"",IF($D235=$E235,IF(AND($D235&gt;=CJ$5,$D235&lt;CJ$5+7),"◆",""),IF(AND($D235&lt;CJ$5+7,$E235&gt;CJ$5),"■","")))</x:f>
      </x:c>
      <x:c r="CK235" s="7" t="str">
        <x:f>IF(OR($D235="",CK$5="",'상세일정'!AM235="제외"),"",IF($D235=$E235,IF(AND($D235&gt;=CK$5,$D235&lt;CK$5+7),"◆",""),IF(AND($D235&lt;CK$5+7,$E235&gt;CK$5),"■","")))</x:f>
      </x:c>
      <x:c r="CL235" s="7" t="str">
        <x:f>IF(OR($D235="",CL$5="",'상세일정'!AM235="제외"),"",IF($D235=$E235,IF(AND($D235&gt;=CL$5,$D235&lt;CL$5+7),"◆",""),IF(AND($D235&lt;CL$5+7,$E235&gt;CL$5),"■","")))</x:f>
      </x:c>
      <x:c r="CM235" s="7" t="str">
        <x:f>IF(OR($D235="",CM$5="",'상세일정'!AM235="제외"),"",IF($D235=$E235,IF(AND($D235&gt;=CM$5,$D235&lt;CM$5+7),"◆",""),IF(AND($D235&lt;CM$5+7,$E235&gt;CM$5),"■","")))</x:f>
      </x:c>
      <x:c r="CN235" s="7" t="str">
        <x:f>IF(OR($D235="",CN$5="",'상세일정'!AM235="제외"),"",IF($D235=$E235,IF(AND($D235&gt;=CN$5,$D235&lt;CN$5+7),"◆",""),IF(AND($D235&lt;CN$5+7,$E235&gt;CN$5),"■","")))</x:f>
      </x:c>
      <x:c r="CO235" s="7" t="str">
        <x:f>IF(OR($D235="",CO$5="",'상세일정'!AM235="제외"),"",IF($D235=$E235,IF(AND($D235&gt;=CO$5,$D235&lt;CO$5+7),"◆",""),IF(AND($D235&lt;CO$5+7,$E235&gt;CO$5),"■","")))</x:f>
      </x:c>
      <x:c r="CP235" s="7" t="str">
        <x:f>IF(OR($D235="",CP$5="",'상세일정'!AM235="제외"),"",IF($D235=$E235,IF(AND($D235&gt;=CP$5,$D235&lt;CP$5+7),"◆",""),IF(AND($D235&lt;CP$5+7,$E235&gt;CP$5),"■","")))</x:f>
      </x:c>
      <x:c r="CQ235" s="7" t="str">
        <x:f>IF(OR($D235="",CQ$5="",'상세일정'!AM235="제외"),"",IF($D235=$E235,IF(AND($D235&gt;=CQ$5,$D235&lt;CQ$5+7),"◆",""),IF(AND($D235&lt;CQ$5+7,$E235&gt;CQ$5),"■","")))</x:f>
      </x:c>
      <x:c r="CR235" s="7" t="str">
        <x:f>IF(OR($D235="",CR$5="",'상세일정'!AM235="제외"),"",IF($D235=$E235,IF(AND($D235&gt;=CR$5,$D235&lt;CR$5+7),"◆",""),IF(AND($D235&lt;CR$5+7,$E235&gt;CR$5),"■","")))</x:f>
      </x:c>
      <x:c r="CS235" s="7" t="str">
        <x:f>IF(OR($D235="",CS$5="",'상세일정'!AM235="제외"),"",IF($D235=$E235,IF(AND($D235&gt;=CS$5,$D235&lt;CS$5+7),"◆",""),IF(AND($D235&lt;CS$5+7,$E235&gt;CS$5),"■","")))</x:f>
      </x:c>
      <x:c r="CT235" s="7" t="str">
        <x:f>IF(OR($D235="",CT$5="",'상세일정'!AM235="제외"),"",IF($D235=$E235,IF(AND($D235&gt;=CT$5,$D235&lt;CT$5+7),"◆",""),IF(AND($D235&lt;CT$5+7,$E235&gt;CT$5),"■","")))</x:f>
      </x:c>
      <x:c r="CU235" s="7" t="str">
        <x:f>IF(OR($D235="",CU$5="",'상세일정'!AM235="제외"),"",IF($D235=$E235,IF(AND($D235&gt;=CU$5,$D235&lt;CU$5+7),"◆",""),IF(AND($D235&lt;CU$5+7,$E235&gt;CU$5),"■","")))</x:f>
      </x:c>
      <x:c r="CV235" s="7" t="str">
        <x:f>IF(OR($D235="",CV$5="",'상세일정'!AM235="제외"),"",IF($D235=$E235,IF(AND($D235&gt;=CV$5,$D235&lt;CV$5+7),"◆",""),IF(AND($D235&lt;CV$5+7,$E235&gt;CV$5),"■","")))</x:f>
      </x:c>
      <x:c r="CW235" s="7" t="str">
        <x:f>IF(OR($D235="",CW$5="",'상세일정'!AM235="제외"),"",IF($D235=$E235,IF(AND($D235&gt;=CW$5,$D235&lt;CW$5+7),"◆",""),IF(AND($D235&lt;CW$5+7,$E235&gt;CW$5),"■","")))</x:f>
      </x:c>
      <x:c r="CX235" s="7" t="str">
        <x:f>IF(OR($D235="",CX$5="",'상세일정'!AM235="제외"),"",IF($D235=$E235,IF(AND($D235&gt;=CX$5,$D235&lt;CX$5+7),"◆",""),IF(AND($D235&lt;CX$5+7,$E235&gt;CX$5),"■","")))</x:f>
      </x:c>
      <x:c r="CY235" s="7" t="str">
        <x:f>IF(OR($D235="",CY$5="",'상세일정'!AM235="제외"),"",IF($D235=$E235,IF(AND($D235&gt;=CY$5,$D235&lt;CY$5+7),"◆",""),IF(AND($D235&lt;CY$5+7,$E235&gt;CY$5),"■","")))</x:f>
      </x:c>
      <x:c r="CZ235" s="7" t="str">
        <x:f>IF(OR($D235="",CZ$5="",'상세일정'!AM235="제외"),"",IF($D235=$E235,IF(AND($D235&gt;=CZ$5,$D235&lt;CZ$5+7),"◆",""),IF(AND($D235&lt;CZ$5+7,$E235&gt;CZ$5),"■","")))</x:f>
      </x:c>
      <x:c r="DA235" s="7" t="str">
        <x:f>IF(OR($D235="",DA$5="",'상세일정'!AM235="제외"),"",IF($D235=$E235,IF(AND($D235&gt;=DA$5,$D235&lt;DA$5+7),"◆",""),IF(AND($D235&lt;DA$5+7,$E235&gt;DA$5),"■","")))</x:f>
      </x:c>
      <x:c r="DB235" s="7" t="str">
        <x:f>IF(OR($D235="",DB$5="",'상세일정'!AM235="제외"),"",IF($D235=$E235,IF(AND($D235&gt;=DB$5,$D235&lt;DB$5+7),"◆",""),IF(AND($D235&lt;DB$5+7,$E235&gt;DB$5),"■","")))</x:f>
      </x:c>
      <x:c r="DC235" s="7" t="str">
        <x:f>IF(OR($D235="",DC$5="",'상세일정'!AM235="제외"),"",IF($D235=$E235,IF(AND($D235&gt;=DC$5,$D235&lt;DC$5+7),"◆",""),IF(AND($D235&lt;DC$5+7,$E235&gt;DC$5),"■","")))</x:f>
      </x:c>
      <x:c r="DD235" s="7" t="str">
        <x:f>IF(OR($D235="",DD$5="",'상세일정'!AM235="제외"),"",IF($D235=$E235,IF(AND($D235&gt;=DD$5,$D235&lt;DD$5+7),"◆",""),IF(AND($D235&lt;DD$5+7,$E235&gt;DD$5),"■","")))</x:f>
      </x:c>
      <x:c r="DE235" s="7" t="str">
        <x:f>IF(OR($D235="",DE$5="",'상세일정'!AM235="제외"),"",IF($D235=$E235,IF(AND($D235&gt;=DE$5,$D235&lt;DE$5+7),"◆",""),IF(AND($D235&lt;DE$5+7,$E235&gt;DE$5),"■","")))</x:f>
      </x:c>
    </x:row>
    <x:row r="236" ht="34" customHeight="1">
      <x:c r="A236" s="7" t="str">
        <x:v>CO02</x:v>
      </x:c>
      <x:c r="B236" s="7" t="str">
        <x:v>28 가스투입·통합시운전</x:v>
      </x:c>
      <x:c r="C236" s="7" t="str">
        <x:v>원료가스 투입·고질화 운전 안정화</x:v>
      </x:c>
      <x:c r="D236" s="10" t="str">
        <x:f>'상세일정'!AJ236</x:f>
      </x:c>
      <x:c r="E236" s="10" t="str">
        <x:f>'상세일정'!AK236</x:f>
      </x:c>
      <x:c r="F236" s="7" t="str">
        <x:f>IF(OR($D236="",F$5="",'상세일정'!AM236="제외"),"",IF($D236=$E236,IF(AND($D236&gt;=F$5,$D236&lt;F$5+7),"◆",""),IF(AND($D236&lt;F$5+7,$E236&gt;F$5),"■","")))</x:f>
      </x:c>
      <x:c r="G236" s="7" t="str">
        <x:f>IF(OR($D236="",G$5="",'상세일정'!AM236="제외"),"",IF($D236=$E236,IF(AND($D236&gt;=G$5,$D236&lt;G$5+7),"◆",""),IF(AND($D236&lt;G$5+7,$E236&gt;G$5),"■","")))</x:f>
      </x:c>
      <x:c r="H236" s="7" t="str">
        <x:f>IF(OR($D236="",H$5="",'상세일정'!AM236="제외"),"",IF($D236=$E236,IF(AND($D236&gt;=H$5,$D236&lt;H$5+7),"◆",""),IF(AND($D236&lt;H$5+7,$E236&gt;H$5),"■","")))</x:f>
      </x:c>
      <x:c r="I236" s="7" t="str">
        <x:f>IF(OR($D236="",I$5="",'상세일정'!AM236="제외"),"",IF($D236=$E236,IF(AND($D236&gt;=I$5,$D236&lt;I$5+7),"◆",""),IF(AND($D236&lt;I$5+7,$E236&gt;I$5),"■","")))</x:f>
      </x:c>
      <x:c r="J236" s="7" t="str">
        <x:f>IF(OR($D236="",J$5="",'상세일정'!AM236="제외"),"",IF($D236=$E236,IF(AND($D236&gt;=J$5,$D236&lt;J$5+7),"◆",""),IF(AND($D236&lt;J$5+7,$E236&gt;J$5),"■","")))</x:f>
      </x:c>
      <x:c r="K236" s="7" t="str">
        <x:f>IF(OR($D236="",K$5="",'상세일정'!AM236="제외"),"",IF($D236=$E236,IF(AND($D236&gt;=K$5,$D236&lt;K$5+7),"◆",""),IF(AND($D236&lt;K$5+7,$E236&gt;K$5),"■","")))</x:f>
      </x:c>
      <x:c r="L236" s="7" t="str">
        <x:f>IF(OR($D236="",L$5="",'상세일정'!AM236="제외"),"",IF($D236=$E236,IF(AND($D236&gt;=L$5,$D236&lt;L$5+7),"◆",""),IF(AND($D236&lt;L$5+7,$E236&gt;L$5),"■","")))</x:f>
      </x:c>
      <x:c r="M236" s="7" t="str">
        <x:f>IF(OR($D236="",M$5="",'상세일정'!AM236="제외"),"",IF($D236=$E236,IF(AND($D236&gt;=M$5,$D236&lt;M$5+7),"◆",""),IF(AND($D236&lt;M$5+7,$E236&gt;M$5),"■","")))</x:f>
      </x:c>
      <x:c r="N236" s="7" t="str">
        <x:f>IF(OR($D236="",N$5="",'상세일정'!AM236="제외"),"",IF($D236=$E236,IF(AND($D236&gt;=N$5,$D236&lt;N$5+7),"◆",""),IF(AND($D236&lt;N$5+7,$E236&gt;N$5),"■","")))</x:f>
      </x:c>
      <x:c r="O236" s="7" t="str">
        <x:f>IF(OR($D236="",O$5="",'상세일정'!AM236="제외"),"",IF($D236=$E236,IF(AND($D236&gt;=O$5,$D236&lt;O$5+7),"◆",""),IF(AND($D236&lt;O$5+7,$E236&gt;O$5),"■","")))</x:f>
      </x:c>
      <x:c r="P236" s="7" t="str">
        <x:f>IF(OR($D236="",P$5="",'상세일정'!AM236="제외"),"",IF($D236=$E236,IF(AND($D236&gt;=P$5,$D236&lt;P$5+7),"◆",""),IF(AND($D236&lt;P$5+7,$E236&gt;P$5),"■","")))</x:f>
      </x:c>
      <x:c r="Q236" s="7" t="str">
        <x:f>IF(OR($D236="",Q$5="",'상세일정'!AM236="제외"),"",IF($D236=$E236,IF(AND($D236&gt;=Q$5,$D236&lt;Q$5+7),"◆",""),IF(AND($D236&lt;Q$5+7,$E236&gt;Q$5),"■","")))</x:f>
      </x:c>
      <x:c r="R236" s="7" t="str">
        <x:f>IF(OR($D236="",R$5="",'상세일정'!AM236="제외"),"",IF($D236=$E236,IF(AND($D236&gt;=R$5,$D236&lt;R$5+7),"◆",""),IF(AND($D236&lt;R$5+7,$E236&gt;R$5),"■","")))</x:f>
      </x:c>
      <x:c r="S236" s="7" t="str">
        <x:f>IF(OR($D236="",S$5="",'상세일정'!AM236="제외"),"",IF($D236=$E236,IF(AND($D236&gt;=S$5,$D236&lt;S$5+7),"◆",""),IF(AND($D236&lt;S$5+7,$E236&gt;S$5),"■","")))</x:f>
      </x:c>
      <x:c r="T236" s="7" t="str">
        <x:f>IF(OR($D236="",T$5="",'상세일정'!AM236="제외"),"",IF($D236=$E236,IF(AND($D236&gt;=T$5,$D236&lt;T$5+7),"◆",""),IF(AND($D236&lt;T$5+7,$E236&gt;T$5),"■","")))</x:f>
      </x:c>
      <x:c r="U236" s="7" t="str">
        <x:f>IF(OR($D236="",U$5="",'상세일정'!AM236="제외"),"",IF($D236=$E236,IF(AND($D236&gt;=U$5,$D236&lt;U$5+7),"◆",""),IF(AND($D236&lt;U$5+7,$E236&gt;U$5),"■","")))</x:f>
      </x:c>
      <x:c r="V236" s="7" t="str">
        <x:f>IF(OR($D236="",V$5="",'상세일정'!AM236="제외"),"",IF($D236=$E236,IF(AND($D236&gt;=V$5,$D236&lt;V$5+7),"◆",""),IF(AND($D236&lt;V$5+7,$E236&gt;V$5),"■","")))</x:f>
      </x:c>
      <x:c r="W236" s="7" t="str">
        <x:f>IF(OR($D236="",W$5="",'상세일정'!AM236="제외"),"",IF($D236=$E236,IF(AND($D236&gt;=W$5,$D236&lt;W$5+7),"◆",""),IF(AND($D236&lt;W$5+7,$E236&gt;W$5),"■","")))</x:f>
      </x:c>
      <x:c r="X236" s="7" t="str">
        <x:f>IF(OR($D236="",X$5="",'상세일정'!AM236="제외"),"",IF($D236=$E236,IF(AND($D236&gt;=X$5,$D236&lt;X$5+7),"◆",""),IF(AND($D236&lt;X$5+7,$E236&gt;X$5),"■","")))</x:f>
      </x:c>
      <x:c r="Y236" s="7" t="str">
        <x:f>IF(OR($D236="",Y$5="",'상세일정'!AM236="제외"),"",IF($D236=$E236,IF(AND($D236&gt;=Y$5,$D236&lt;Y$5+7),"◆",""),IF(AND($D236&lt;Y$5+7,$E236&gt;Y$5),"■","")))</x:f>
      </x:c>
      <x:c r="Z236" s="7" t="str">
        <x:f>IF(OR($D236="",Z$5="",'상세일정'!AM236="제외"),"",IF($D236=$E236,IF(AND($D236&gt;=Z$5,$D236&lt;Z$5+7),"◆",""),IF(AND($D236&lt;Z$5+7,$E236&gt;Z$5),"■","")))</x:f>
      </x:c>
      <x:c r="AA236" s="7" t="str">
        <x:f>IF(OR($D236="",AA$5="",'상세일정'!AM236="제외"),"",IF($D236=$E236,IF(AND($D236&gt;=AA$5,$D236&lt;AA$5+7),"◆",""),IF(AND($D236&lt;AA$5+7,$E236&gt;AA$5),"■","")))</x:f>
      </x:c>
      <x:c r="AB236" s="7" t="str">
        <x:f>IF(OR($D236="",AB$5="",'상세일정'!AM236="제외"),"",IF($D236=$E236,IF(AND($D236&gt;=AB$5,$D236&lt;AB$5+7),"◆",""),IF(AND($D236&lt;AB$5+7,$E236&gt;AB$5),"■","")))</x:f>
      </x:c>
      <x:c r="AC236" s="7" t="str">
        <x:f>IF(OR($D236="",AC$5="",'상세일정'!AM236="제외"),"",IF($D236=$E236,IF(AND($D236&gt;=AC$5,$D236&lt;AC$5+7),"◆",""),IF(AND($D236&lt;AC$5+7,$E236&gt;AC$5),"■","")))</x:f>
      </x:c>
      <x:c r="AD236" s="7" t="str">
        <x:f>IF(OR($D236="",AD$5="",'상세일정'!AM236="제외"),"",IF($D236=$E236,IF(AND($D236&gt;=AD$5,$D236&lt;AD$5+7),"◆",""),IF(AND($D236&lt;AD$5+7,$E236&gt;AD$5),"■","")))</x:f>
      </x:c>
      <x:c r="AE236" s="7" t="str">
        <x:f>IF(OR($D236="",AE$5="",'상세일정'!AM236="제외"),"",IF($D236=$E236,IF(AND($D236&gt;=AE$5,$D236&lt;AE$5+7),"◆",""),IF(AND($D236&lt;AE$5+7,$E236&gt;AE$5),"■","")))</x:f>
      </x:c>
      <x:c r="AF236" s="7" t="str">
        <x:f>IF(OR($D236="",AF$5="",'상세일정'!AM236="제외"),"",IF($D236=$E236,IF(AND($D236&gt;=AF$5,$D236&lt;AF$5+7),"◆",""),IF(AND($D236&lt;AF$5+7,$E236&gt;AF$5),"■","")))</x:f>
      </x:c>
      <x:c r="AG236" s="7" t="str">
        <x:f>IF(OR($D236="",AG$5="",'상세일정'!AM236="제외"),"",IF($D236=$E236,IF(AND($D236&gt;=AG$5,$D236&lt;AG$5+7),"◆",""),IF(AND($D236&lt;AG$5+7,$E236&gt;AG$5),"■","")))</x:f>
      </x:c>
      <x:c r="AH236" s="7" t="str">
        <x:f>IF(OR($D236="",AH$5="",'상세일정'!AM236="제외"),"",IF($D236=$E236,IF(AND($D236&gt;=AH$5,$D236&lt;AH$5+7),"◆",""),IF(AND($D236&lt;AH$5+7,$E236&gt;AH$5),"■","")))</x:f>
      </x:c>
      <x:c r="AI236" s="7" t="str">
        <x:f>IF(OR($D236="",AI$5="",'상세일정'!AM236="제외"),"",IF($D236=$E236,IF(AND($D236&gt;=AI$5,$D236&lt;AI$5+7),"◆",""),IF(AND($D236&lt;AI$5+7,$E236&gt;AI$5),"■","")))</x:f>
      </x:c>
      <x:c r="AJ236" s="7" t="str">
        <x:f>IF(OR($D236="",AJ$5="",'상세일정'!AM236="제외"),"",IF($D236=$E236,IF(AND($D236&gt;=AJ$5,$D236&lt;AJ$5+7),"◆",""),IF(AND($D236&lt;AJ$5+7,$E236&gt;AJ$5),"■","")))</x:f>
      </x:c>
      <x:c r="AK236" s="7" t="str">
        <x:f>IF(OR($D236="",AK$5="",'상세일정'!AM236="제외"),"",IF($D236=$E236,IF(AND($D236&gt;=AK$5,$D236&lt;AK$5+7),"◆",""),IF(AND($D236&lt;AK$5+7,$E236&gt;AK$5),"■","")))</x:f>
      </x:c>
      <x:c r="AL236" s="7" t="str">
        <x:f>IF(OR($D236="",AL$5="",'상세일정'!AM236="제외"),"",IF($D236=$E236,IF(AND($D236&gt;=AL$5,$D236&lt;AL$5+7),"◆",""),IF(AND($D236&lt;AL$5+7,$E236&gt;AL$5),"■","")))</x:f>
      </x:c>
      <x:c r="AM236" s="7" t="str">
        <x:f>IF(OR($D236="",AM$5="",'상세일정'!AM236="제외"),"",IF($D236=$E236,IF(AND($D236&gt;=AM$5,$D236&lt;AM$5+7),"◆",""),IF(AND($D236&lt;AM$5+7,$E236&gt;AM$5),"■","")))</x:f>
      </x:c>
      <x:c r="AN236" s="7" t="str">
        <x:f>IF(OR($D236="",AN$5="",'상세일정'!AM236="제외"),"",IF($D236=$E236,IF(AND($D236&gt;=AN$5,$D236&lt;AN$5+7),"◆",""),IF(AND($D236&lt;AN$5+7,$E236&gt;AN$5),"■","")))</x:f>
      </x:c>
      <x:c r="AO236" s="7" t="str">
        <x:f>IF(OR($D236="",AO$5="",'상세일정'!AM236="제외"),"",IF($D236=$E236,IF(AND($D236&gt;=AO$5,$D236&lt;AO$5+7),"◆",""),IF(AND($D236&lt;AO$5+7,$E236&gt;AO$5),"■","")))</x:f>
      </x:c>
      <x:c r="AP236" s="7" t="str">
        <x:f>IF(OR($D236="",AP$5="",'상세일정'!AM236="제외"),"",IF($D236=$E236,IF(AND($D236&gt;=AP$5,$D236&lt;AP$5+7),"◆",""),IF(AND($D236&lt;AP$5+7,$E236&gt;AP$5),"■","")))</x:f>
      </x:c>
      <x:c r="AQ236" s="7" t="str">
        <x:f>IF(OR($D236="",AQ$5="",'상세일정'!AM236="제외"),"",IF($D236=$E236,IF(AND($D236&gt;=AQ$5,$D236&lt;AQ$5+7),"◆",""),IF(AND($D236&lt;AQ$5+7,$E236&gt;AQ$5),"■","")))</x:f>
      </x:c>
      <x:c r="AR236" s="7" t="str">
        <x:f>IF(OR($D236="",AR$5="",'상세일정'!AM236="제외"),"",IF($D236=$E236,IF(AND($D236&gt;=AR$5,$D236&lt;AR$5+7),"◆",""),IF(AND($D236&lt;AR$5+7,$E236&gt;AR$5),"■","")))</x:f>
      </x:c>
      <x:c r="AS236" s="7" t="str">
        <x:f>IF(OR($D236="",AS$5="",'상세일정'!AM236="제외"),"",IF($D236=$E236,IF(AND($D236&gt;=AS$5,$D236&lt;AS$5+7),"◆",""),IF(AND($D236&lt;AS$5+7,$E236&gt;AS$5),"■","")))</x:f>
      </x:c>
      <x:c r="AT236" s="7" t="str">
        <x:f>IF(OR($D236="",AT$5="",'상세일정'!AM236="제외"),"",IF($D236=$E236,IF(AND($D236&gt;=AT$5,$D236&lt;AT$5+7),"◆",""),IF(AND($D236&lt;AT$5+7,$E236&gt;AT$5),"■","")))</x:f>
      </x:c>
      <x:c r="AU236" s="7" t="str">
        <x:f>IF(OR($D236="",AU$5="",'상세일정'!AM236="제외"),"",IF($D236=$E236,IF(AND($D236&gt;=AU$5,$D236&lt;AU$5+7),"◆",""),IF(AND($D236&lt;AU$5+7,$E236&gt;AU$5),"■","")))</x:f>
      </x:c>
      <x:c r="AV236" s="7" t="str">
        <x:f>IF(OR($D236="",AV$5="",'상세일정'!AM236="제외"),"",IF($D236=$E236,IF(AND($D236&gt;=AV$5,$D236&lt;AV$5+7),"◆",""),IF(AND($D236&lt;AV$5+7,$E236&gt;AV$5),"■","")))</x:f>
      </x:c>
      <x:c r="AW236" s="7" t="str">
        <x:f>IF(OR($D236="",AW$5="",'상세일정'!AM236="제외"),"",IF($D236=$E236,IF(AND($D236&gt;=AW$5,$D236&lt;AW$5+7),"◆",""),IF(AND($D236&lt;AW$5+7,$E236&gt;AW$5),"■","")))</x:f>
      </x:c>
      <x:c r="AX236" s="7" t="str">
        <x:f>IF(OR($D236="",AX$5="",'상세일정'!AM236="제외"),"",IF($D236=$E236,IF(AND($D236&gt;=AX$5,$D236&lt;AX$5+7),"◆",""),IF(AND($D236&lt;AX$5+7,$E236&gt;AX$5),"■","")))</x:f>
      </x:c>
      <x:c r="AY236" s="7" t="str">
        <x:f>IF(OR($D236="",AY$5="",'상세일정'!AM236="제외"),"",IF($D236=$E236,IF(AND($D236&gt;=AY$5,$D236&lt;AY$5+7),"◆",""),IF(AND($D236&lt;AY$5+7,$E236&gt;AY$5),"■","")))</x:f>
      </x:c>
      <x:c r="AZ236" s="7" t="str">
        <x:f>IF(OR($D236="",AZ$5="",'상세일정'!AM236="제외"),"",IF($D236=$E236,IF(AND($D236&gt;=AZ$5,$D236&lt;AZ$5+7),"◆",""),IF(AND($D236&lt;AZ$5+7,$E236&gt;AZ$5),"■","")))</x:f>
      </x:c>
      <x:c r="BA236" s="7" t="str">
        <x:f>IF(OR($D236="",BA$5="",'상세일정'!AM236="제외"),"",IF($D236=$E236,IF(AND($D236&gt;=BA$5,$D236&lt;BA$5+7),"◆",""),IF(AND($D236&lt;BA$5+7,$E236&gt;BA$5),"■","")))</x:f>
      </x:c>
      <x:c r="BB236" s="7" t="str">
        <x:f>IF(OR($D236="",BB$5="",'상세일정'!AM236="제외"),"",IF($D236=$E236,IF(AND($D236&gt;=BB$5,$D236&lt;BB$5+7),"◆",""),IF(AND($D236&lt;BB$5+7,$E236&gt;BB$5),"■","")))</x:f>
      </x:c>
      <x:c r="BC236" s="7" t="str">
        <x:f>IF(OR($D236="",BC$5="",'상세일정'!AM236="제외"),"",IF($D236=$E236,IF(AND($D236&gt;=BC$5,$D236&lt;BC$5+7),"◆",""),IF(AND($D236&lt;BC$5+7,$E236&gt;BC$5),"■","")))</x:f>
      </x:c>
      <x:c r="BD236" s="7" t="str">
        <x:f>IF(OR($D236="",BD$5="",'상세일정'!AM236="제외"),"",IF($D236=$E236,IF(AND($D236&gt;=BD$5,$D236&lt;BD$5+7),"◆",""),IF(AND($D236&lt;BD$5+7,$E236&gt;BD$5),"■","")))</x:f>
      </x:c>
      <x:c r="BE236" s="7" t="str">
        <x:f>IF(OR($D236="",BE$5="",'상세일정'!AM236="제외"),"",IF($D236=$E236,IF(AND($D236&gt;=BE$5,$D236&lt;BE$5+7),"◆",""),IF(AND($D236&lt;BE$5+7,$E236&gt;BE$5),"■","")))</x:f>
      </x:c>
      <x:c r="BF236" s="7" t="str">
        <x:f>IF(OR($D236="",BF$5="",'상세일정'!AM236="제외"),"",IF($D236=$E236,IF(AND($D236&gt;=BF$5,$D236&lt;BF$5+7),"◆",""),IF(AND($D236&lt;BF$5+7,$E236&gt;BF$5),"■","")))</x:f>
      </x:c>
      <x:c r="BG236" s="7" t="str">
        <x:f>IF(OR($D236="",BG$5="",'상세일정'!AM236="제외"),"",IF($D236=$E236,IF(AND($D236&gt;=BG$5,$D236&lt;BG$5+7),"◆",""),IF(AND($D236&lt;BG$5+7,$E236&gt;BG$5),"■","")))</x:f>
      </x:c>
      <x:c r="BH236" s="7" t="str">
        <x:f>IF(OR($D236="",BH$5="",'상세일정'!AM236="제외"),"",IF($D236=$E236,IF(AND($D236&gt;=BH$5,$D236&lt;BH$5+7),"◆",""),IF(AND($D236&lt;BH$5+7,$E236&gt;BH$5),"■","")))</x:f>
      </x:c>
      <x:c r="BI236" s="7" t="str">
        <x:f>IF(OR($D236="",BI$5="",'상세일정'!AM236="제외"),"",IF($D236=$E236,IF(AND($D236&gt;=BI$5,$D236&lt;BI$5+7),"◆",""),IF(AND($D236&lt;BI$5+7,$E236&gt;BI$5),"■","")))</x:f>
      </x:c>
      <x:c r="BJ236" s="7" t="str">
        <x:f>IF(OR($D236="",BJ$5="",'상세일정'!AM236="제외"),"",IF($D236=$E236,IF(AND($D236&gt;=BJ$5,$D236&lt;BJ$5+7),"◆",""),IF(AND($D236&lt;BJ$5+7,$E236&gt;BJ$5),"■","")))</x:f>
      </x:c>
      <x:c r="BK236" s="7" t="str">
        <x:f>IF(OR($D236="",BK$5="",'상세일정'!AM236="제외"),"",IF($D236=$E236,IF(AND($D236&gt;=BK$5,$D236&lt;BK$5+7),"◆",""),IF(AND($D236&lt;BK$5+7,$E236&gt;BK$5),"■","")))</x:f>
      </x:c>
      <x:c r="BL236" s="7" t="str">
        <x:f>IF(OR($D236="",BL$5="",'상세일정'!AM236="제외"),"",IF($D236=$E236,IF(AND($D236&gt;=BL$5,$D236&lt;BL$5+7),"◆",""),IF(AND($D236&lt;BL$5+7,$E236&gt;BL$5),"■","")))</x:f>
      </x:c>
      <x:c r="BM236" s="7" t="str">
        <x:f>IF(OR($D236="",BM$5="",'상세일정'!AM236="제외"),"",IF($D236=$E236,IF(AND($D236&gt;=BM$5,$D236&lt;BM$5+7),"◆",""),IF(AND($D236&lt;BM$5+7,$E236&gt;BM$5),"■","")))</x:f>
      </x:c>
      <x:c r="BN236" s="7" t="str">
        <x:f>IF(OR($D236="",BN$5="",'상세일정'!AM236="제외"),"",IF($D236=$E236,IF(AND($D236&gt;=BN$5,$D236&lt;BN$5+7),"◆",""),IF(AND($D236&lt;BN$5+7,$E236&gt;BN$5),"■","")))</x:f>
      </x:c>
      <x:c r="BO236" s="7" t="str">
        <x:f>IF(OR($D236="",BO$5="",'상세일정'!AM236="제외"),"",IF($D236=$E236,IF(AND($D236&gt;=BO$5,$D236&lt;BO$5+7),"◆",""),IF(AND($D236&lt;BO$5+7,$E236&gt;BO$5),"■","")))</x:f>
      </x:c>
      <x:c r="BP236" s="7" t="str">
        <x:f>IF(OR($D236="",BP$5="",'상세일정'!AM236="제외"),"",IF($D236=$E236,IF(AND($D236&gt;=BP$5,$D236&lt;BP$5+7),"◆",""),IF(AND($D236&lt;BP$5+7,$E236&gt;BP$5),"■","")))</x:f>
      </x:c>
      <x:c r="BQ236" s="7" t="str">
        <x:f>IF(OR($D236="",BQ$5="",'상세일정'!AM236="제외"),"",IF($D236=$E236,IF(AND($D236&gt;=BQ$5,$D236&lt;BQ$5+7),"◆",""),IF(AND($D236&lt;BQ$5+7,$E236&gt;BQ$5),"■","")))</x:f>
      </x:c>
      <x:c r="BR236" s="7" t="str">
        <x:f>IF(OR($D236="",BR$5="",'상세일정'!AM236="제외"),"",IF($D236=$E236,IF(AND($D236&gt;=BR$5,$D236&lt;BR$5+7),"◆",""),IF(AND($D236&lt;BR$5+7,$E236&gt;BR$5),"■","")))</x:f>
      </x:c>
      <x:c r="BS236" s="7" t="str">
        <x:f>IF(OR($D236="",BS$5="",'상세일정'!AM236="제외"),"",IF($D236=$E236,IF(AND($D236&gt;=BS$5,$D236&lt;BS$5+7),"◆",""),IF(AND($D236&lt;BS$5+7,$E236&gt;BS$5),"■","")))</x:f>
      </x:c>
      <x:c r="BT236" s="7" t="str">
        <x:f>IF(OR($D236="",BT$5="",'상세일정'!AM236="제외"),"",IF($D236=$E236,IF(AND($D236&gt;=BT$5,$D236&lt;BT$5+7),"◆",""),IF(AND($D236&lt;BT$5+7,$E236&gt;BT$5),"■","")))</x:f>
      </x:c>
      <x:c r="BU236" s="7" t="str">
        <x:f>IF(OR($D236="",BU$5="",'상세일정'!AM236="제외"),"",IF($D236=$E236,IF(AND($D236&gt;=BU$5,$D236&lt;BU$5+7),"◆",""),IF(AND($D236&lt;BU$5+7,$E236&gt;BU$5),"■","")))</x:f>
      </x:c>
      <x:c r="BV236" s="7" t="str">
        <x:f>IF(OR($D236="",BV$5="",'상세일정'!AM236="제외"),"",IF($D236=$E236,IF(AND($D236&gt;=BV$5,$D236&lt;BV$5+7),"◆",""),IF(AND($D236&lt;BV$5+7,$E236&gt;BV$5),"■","")))</x:f>
      </x:c>
      <x:c r="BW236" s="7" t="str">
        <x:f>IF(OR($D236="",BW$5="",'상세일정'!AM236="제외"),"",IF($D236=$E236,IF(AND($D236&gt;=BW$5,$D236&lt;BW$5+7),"◆",""),IF(AND($D236&lt;BW$5+7,$E236&gt;BW$5),"■","")))</x:f>
      </x:c>
      <x:c r="BX236" s="7" t="str">
        <x:f>IF(OR($D236="",BX$5="",'상세일정'!AM236="제외"),"",IF($D236=$E236,IF(AND($D236&gt;=BX$5,$D236&lt;BX$5+7),"◆",""),IF(AND($D236&lt;BX$5+7,$E236&gt;BX$5),"■","")))</x:f>
      </x:c>
      <x:c r="BY236" s="7" t="str">
        <x:f>IF(OR($D236="",BY$5="",'상세일정'!AM236="제외"),"",IF($D236=$E236,IF(AND($D236&gt;=BY$5,$D236&lt;BY$5+7),"◆",""),IF(AND($D236&lt;BY$5+7,$E236&gt;BY$5),"■","")))</x:f>
      </x:c>
      <x:c r="BZ236" s="7" t="str">
        <x:f>IF(OR($D236="",BZ$5="",'상세일정'!AM236="제외"),"",IF($D236=$E236,IF(AND($D236&gt;=BZ$5,$D236&lt;BZ$5+7),"◆",""),IF(AND($D236&lt;BZ$5+7,$E236&gt;BZ$5),"■","")))</x:f>
      </x:c>
      <x:c r="CA236" s="7" t="str">
        <x:f>IF(OR($D236="",CA$5="",'상세일정'!AM236="제외"),"",IF($D236=$E236,IF(AND($D236&gt;=CA$5,$D236&lt;CA$5+7),"◆",""),IF(AND($D236&lt;CA$5+7,$E236&gt;CA$5),"■","")))</x:f>
      </x:c>
      <x:c r="CB236" s="7" t="str">
        <x:f>IF(OR($D236="",CB$5="",'상세일정'!AM236="제외"),"",IF($D236=$E236,IF(AND($D236&gt;=CB$5,$D236&lt;CB$5+7),"◆",""),IF(AND($D236&lt;CB$5+7,$E236&gt;CB$5),"■","")))</x:f>
      </x:c>
      <x:c r="CC236" s="7" t="str">
        <x:f>IF(OR($D236="",CC$5="",'상세일정'!AM236="제외"),"",IF($D236=$E236,IF(AND($D236&gt;=CC$5,$D236&lt;CC$5+7),"◆",""),IF(AND($D236&lt;CC$5+7,$E236&gt;CC$5),"■","")))</x:f>
      </x:c>
      <x:c r="CD236" s="7" t="str">
        <x:f>IF(OR($D236="",CD$5="",'상세일정'!AM236="제외"),"",IF($D236=$E236,IF(AND($D236&gt;=CD$5,$D236&lt;CD$5+7),"◆",""),IF(AND($D236&lt;CD$5+7,$E236&gt;CD$5),"■","")))</x:f>
      </x:c>
      <x:c r="CE236" s="7" t="str">
        <x:f>IF(OR($D236="",CE$5="",'상세일정'!AM236="제외"),"",IF($D236=$E236,IF(AND($D236&gt;=CE$5,$D236&lt;CE$5+7),"◆",""),IF(AND($D236&lt;CE$5+7,$E236&gt;CE$5),"■","")))</x:f>
      </x:c>
      <x:c r="CF236" s="7" t="str">
        <x:f>IF(OR($D236="",CF$5="",'상세일정'!AM236="제외"),"",IF($D236=$E236,IF(AND($D236&gt;=CF$5,$D236&lt;CF$5+7),"◆",""),IF(AND($D236&lt;CF$5+7,$E236&gt;CF$5),"■","")))</x:f>
      </x:c>
      <x:c r="CG236" s="7" t="str">
        <x:f>IF(OR($D236="",CG$5="",'상세일정'!AM236="제외"),"",IF($D236=$E236,IF(AND($D236&gt;=CG$5,$D236&lt;CG$5+7),"◆",""),IF(AND($D236&lt;CG$5+7,$E236&gt;CG$5),"■","")))</x:f>
      </x:c>
      <x:c r="CH236" s="7" t="str">
        <x:f>IF(OR($D236="",CH$5="",'상세일정'!AM236="제외"),"",IF($D236=$E236,IF(AND($D236&gt;=CH$5,$D236&lt;CH$5+7),"◆",""),IF(AND($D236&lt;CH$5+7,$E236&gt;CH$5),"■","")))</x:f>
      </x:c>
      <x:c r="CI236" s="7" t="str">
        <x:f>IF(OR($D236="",CI$5="",'상세일정'!AM236="제외"),"",IF($D236=$E236,IF(AND($D236&gt;=CI$5,$D236&lt;CI$5+7),"◆",""),IF(AND($D236&lt;CI$5+7,$E236&gt;CI$5),"■","")))</x:f>
      </x:c>
      <x:c r="CJ236" s="7" t="str">
        <x:f>IF(OR($D236="",CJ$5="",'상세일정'!AM236="제외"),"",IF($D236=$E236,IF(AND($D236&gt;=CJ$5,$D236&lt;CJ$5+7),"◆",""),IF(AND($D236&lt;CJ$5+7,$E236&gt;CJ$5),"■","")))</x:f>
      </x:c>
      <x:c r="CK236" s="7" t="str">
        <x:f>IF(OR($D236="",CK$5="",'상세일정'!AM236="제외"),"",IF($D236=$E236,IF(AND($D236&gt;=CK$5,$D236&lt;CK$5+7),"◆",""),IF(AND($D236&lt;CK$5+7,$E236&gt;CK$5),"■","")))</x:f>
      </x:c>
      <x:c r="CL236" s="7" t="str">
        <x:f>IF(OR($D236="",CL$5="",'상세일정'!AM236="제외"),"",IF($D236=$E236,IF(AND($D236&gt;=CL$5,$D236&lt;CL$5+7),"◆",""),IF(AND($D236&lt;CL$5+7,$E236&gt;CL$5),"■","")))</x:f>
      </x:c>
      <x:c r="CM236" s="7" t="str">
        <x:f>IF(OR($D236="",CM$5="",'상세일정'!AM236="제외"),"",IF($D236=$E236,IF(AND($D236&gt;=CM$5,$D236&lt;CM$5+7),"◆",""),IF(AND($D236&lt;CM$5+7,$E236&gt;CM$5),"■","")))</x:f>
      </x:c>
      <x:c r="CN236" s="7" t="str">
        <x:f>IF(OR($D236="",CN$5="",'상세일정'!AM236="제외"),"",IF($D236=$E236,IF(AND($D236&gt;=CN$5,$D236&lt;CN$5+7),"◆",""),IF(AND($D236&lt;CN$5+7,$E236&gt;CN$5),"■","")))</x:f>
      </x:c>
      <x:c r="CO236" s="7" t="str">
        <x:f>IF(OR($D236="",CO$5="",'상세일정'!AM236="제외"),"",IF($D236=$E236,IF(AND($D236&gt;=CO$5,$D236&lt;CO$5+7),"◆",""),IF(AND($D236&lt;CO$5+7,$E236&gt;CO$5),"■","")))</x:f>
      </x:c>
      <x:c r="CP236" s="7" t="str">
        <x:f>IF(OR($D236="",CP$5="",'상세일정'!AM236="제외"),"",IF($D236=$E236,IF(AND($D236&gt;=CP$5,$D236&lt;CP$5+7),"◆",""),IF(AND($D236&lt;CP$5+7,$E236&gt;CP$5),"■","")))</x:f>
      </x:c>
      <x:c r="CQ236" s="7" t="str">
        <x:f>IF(OR($D236="",CQ$5="",'상세일정'!AM236="제외"),"",IF($D236=$E236,IF(AND($D236&gt;=CQ$5,$D236&lt;CQ$5+7),"◆",""),IF(AND($D236&lt;CQ$5+7,$E236&gt;CQ$5),"■","")))</x:f>
      </x:c>
      <x:c r="CR236" s="7" t="str">
        <x:f>IF(OR($D236="",CR$5="",'상세일정'!AM236="제외"),"",IF($D236=$E236,IF(AND($D236&gt;=CR$5,$D236&lt;CR$5+7),"◆",""),IF(AND($D236&lt;CR$5+7,$E236&gt;CR$5),"■","")))</x:f>
      </x:c>
      <x:c r="CS236" s="7" t="str">
        <x:f>IF(OR($D236="",CS$5="",'상세일정'!AM236="제외"),"",IF($D236=$E236,IF(AND($D236&gt;=CS$5,$D236&lt;CS$5+7),"◆",""),IF(AND($D236&lt;CS$5+7,$E236&gt;CS$5),"■","")))</x:f>
      </x:c>
      <x:c r="CT236" s="7" t="str">
        <x:f>IF(OR($D236="",CT$5="",'상세일정'!AM236="제외"),"",IF($D236=$E236,IF(AND($D236&gt;=CT$5,$D236&lt;CT$5+7),"◆",""),IF(AND($D236&lt;CT$5+7,$E236&gt;CT$5),"■","")))</x:f>
      </x:c>
      <x:c r="CU236" s="7" t="str">
        <x:f>IF(OR($D236="",CU$5="",'상세일정'!AM236="제외"),"",IF($D236=$E236,IF(AND($D236&gt;=CU$5,$D236&lt;CU$5+7),"◆",""),IF(AND($D236&lt;CU$5+7,$E236&gt;CU$5),"■","")))</x:f>
      </x:c>
      <x:c r="CV236" s="7" t="str">
        <x:f>IF(OR($D236="",CV$5="",'상세일정'!AM236="제외"),"",IF($D236=$E236,IF(AND($D236&gt;=CV$5,$D236&lt;CV$5+7),"◆",""),IF(AND($D236&lt;CV$5+7,$E236&gt;CV$5),"■","")))</x:f>
      </x:c>
      <x:c r="CW236" s="7" t="str">
        <x:f>IF(OR($D236="",CW$5="",'상세일정'!AM236="제외"),"",IF($D236=$E236,IF(AND($D236&gt;=CW$5,$D236&lt;CW$5+7),"◆",""),IF(AND($D236&lt;CW$5+7,$E236&gt;CW$5),"■","")))</x:f>
      </x:c>
      <x:c r="CX236" s="7" t="str">
        <x:f>IF(OR($D236="",CX$5="",'상세일정'!AM236="제외"),"",IF($D236=$E236,IF(AND($D236&gt;=CX$5,$D236&lt;CX$5+7),"◆",""),IF(AND($D236&lt;CX$5+7,$E236&gt;CX$5),"■","")))</x:f>
      </x:c>
      <x:c r="CY236" s="7" t="str">
        <x:f>IF(OR($D236="",CY$5="",'상세일정'!AM236="제외"),"",IF($D236=$E236,IF(AND($D236&gt;=CY$5,$D236&lt;CY$5+7),"◆",""),IF(AND($D236&lt;CY$5+7,$E236&gt;CY$5),"■","")))</x:f>
      </x:c>
      <x:c r="CZ236" s="7" t="str">
        <x:f>IF(OR($D236="",CZ$5="",'상세일정'!AM236="제외"),"",IF($D236=$E236,IF(AND($D236&gt;=CZ$5,$D236&lt;CZ$5+7),"◆",""),IF(AND($D236&lt;CZ$5+7,$E236&gt;CZ$5),"■","")))</x:f>
      </x:c>
      <x:c r="DA236" s="7" t="str">
        <x:f>IF(OR($D236="",DA$5="",'상세일정'!AM236="제외"),"",IF($D236=$E236,IF(AND($D236&gt;=DA$5,$D236&lt;DA$5+7),"◆",""),IF(AND($D236&lt;DA$5+7,$E236&gt;DA$5),"■","")))</x:f>
      </x:c>
      <x:c r="DB236" s="7" t="str">
        <x:f>IF(OR($D236="",DB$5="",'상세일정'!AM236="제외"),"",IF($D236=$E236,IF(AND($D236&gt;=DB$5,$D236&lt;DB$5+7),"◆",""),IF(AND($D236&lt;DB$5+7,$E236&gt;DB$5),"■","")))</x:f>
      </x:c>
      <x:c r="DC236" s="7" t="str">
        <x:f>IF(OR($D236="",DC$5="",'상세일정'!AM236="제외"),"",IF($D236=$E236,IF(AND($D236&gt;=DC$5,$D236&lt;DC$5+7),"◆",""),IF(AND($D236&lt;DC$5+7,$E236&gt;DC$5),"■","")))</x:f>
      </x:c>
      <x:c r="DD236" s="7" t="str">
        <x:f>IF(OR($D236="",DD$5="",'상세일정'!AM236="제외"),"",IF($D236=$E236,IF(AND($D236&gt;=DD$5,$D236&lt;DD$5+7),"◆",""),IF(AND($D236&lt;DD$5+7,$E236&gt;DD$5),"■","")))</x:f>
      </x:c>
      <x:c r="DE236" s="7" t="str">
        <x:f>IF(OR($D236="",DE$5="",'상세일정'!AM236="제외"),"",IF($D236=$E236,IF(AND($D236&gt;=DE$5,$D236&lt;DE$5+7),"◆",""),IF(AND($D236&lt;DE$5+7,$E236&gt;DE$5),"■","")))</x:f>
      </x:c>
    </x:row>
    <x:row r="237" ht="34" customHeight="1">
      <x:c r="A237" s="7" t="str">
        <x:v>CO03</x:v>
      </x:c>
      <x:c r="B237" s="7" t="str">
        <x:v>28 가스투입·통합시운전</x:v>
      </x:c>
      <x:c r="C237" s="7" t="str">
        <x:v>주공정·정제·압축·저장 연동 운전</x:v>
      </x:c>
      <x:c r="D237" s="10" t="str">
        <x:f>'상세일정'!AJ237</x:f>
      </x:c>
      <x:c r="E237" s="10" t="str">
        <x:f>'상세일정'!AK237</x:f>
      </x:c>
      <x:c r="F237" s="7" t="str">
        <x:f>IF(OR($D237="",F$5="",'상세일정'!AM237="제외"),"",IF($D237=$E237,IF(AND($D237&gt;=F$5,$D237&lt;F$5+7),"◆",""),IF(AND($D237&lt;F$5+7,$E237&gt;F$5),"■","")))</x:f>
      </x:c>
      <x:c r="G237" s="7" t="str">
        <x:f>IF(OR($D237="",G$5="",'상세일정'!AM237="제외"),"",IF($D237=$E237,IF(AND($D237&gt;=G$5,$D237&lt;G$5+7),"◆",""),IF(AND($D237&lt;G$5+7,$E237&gt;G$5),"■","")))</x:f>
      </x:c>
      <x:c r="H237" s="7" t="str">
        <x:f>IF(OR($D237="",H$5="",'상세일정'!AM237="제외"),"",IF($D237=$E237,IF(AND($D237&gt;=H$5,$D237&lt;H$5+7),"◆",""),IF(AND($D237&lt;H$5+7,$E237&gt;H$5),"■","")))</x:f>
      </x:c>
      <x:c r="I237" s="7" t="str">
        <x:f>IF(OR($D237="",I$5="",'상세일정'!AM237="제외"),"",IF($D237=$E237,IF(AND($D237&gt;=I$5,$D237&lt;I$5+7),"◆",""),IF(AND($D237&lt;I$5+7,$E237&gt;I$5),"■","")))</x:f>
      </x:c>
      <x:c r="J237" s="7" t="str">
        <x:f>IF(OR($D237="",J$5="",'상세일정'!AM237="제외"),"",IF($D237=$E237,IF(AND($D237&gt;=J$5,$D237&lt;J$5+7),"◆",""),IF(AND($D237&lt;J$5+7,$E237&gt;J$5),"■","")))</x:f>
      </x:c>
      <x:c r="K237" s="7" t="str">
        <x:f>IF(OR($D237="",K$5="",'상세일정'!AM237="제외"),"",IF($D237=$E237,IF(AND($D237&gt;=K$5,$D237&lt;K$5+7),"◆",""),IF(AND($D237&lt;K$5+7,$E237&gt;K$5),"■","")))</x:f>
      </x:c>
      <x:c r="L237" s="7" t="str">
        <x:f>IF(OR($D237="",L$5="",'상세일정'!AM237="제외"),"",IF($D237=$E237,IF(AND($D237&gt;=L$5,$D237&lt;L$5+7),"◆",""),IF(AND($D237&lt;L$5+7,$E237&gt;L$5),"■","")))</x:f>
      </x:c>
      <x:c r="M237" s="7" t="str">
        <x:f>IF(OR($D237="",M$5="",'상세일정'!AM237="제외"),"",IF($D237=$E237,IF(AND($D237&gt;=M$5,$D237&lt;M$5+7),"◆",""),IF(AND($D237&lt;M$5+7,$E237&gt;M$5),"■","")))</x:f>
      </x:c>
      <x:c r="N237" s="7" t="str">
        <x:f>IF(OR($D237="",N$5="",'상세일정'!AM237="제외"),"",IF($D237=$E237,IF(AND($D237&gt;=N$5,$D237&lt;N$5+7),"◆",""),IF(AND($D237&lt;N$5+7,$E237&gt;N$5),"■","")))</x:f>
      </x:c>
      <x:c r="O237" s="7" t="str">
        <x:f>IF(OR($D237="",O$5="",'상세일정'!AM237="제외"),"",IF($D237=$E237,IF(AND($D237&gt;=O$5,$D237&lt;O$5+7),"◆",""),IF(AND($D237&lt;O$5+7,$E237&gt;O$5),"■","")))</x:f>
      </x:c>
      <x:c r="P237" s="7" t="str">
        <x:f>IF(OR($D237="",P$5="",'상세일정'!AM237="제외"),"",IF($D237=$E237,IF(AND($D237&gt;=P$5,$D237&lt;P$5+7),"◆",""),IF(AND($D237&lt;P$5+7,$E237&gt;P$5),"■","")))</x:f>
      </x:c>
      <x:c r="Q237" s="7" t="str">
        <x:f>IF(OR($D237="",Q$5="",'상세일정'!AM237="제외"),"",IF($D237=$E237,IF(AND($D237&gt;=Q$5,$D237&lt;Q$5+7),"◆",""),IF(AND($D237&lt;Q$5+7,$E237&gt;Q$5),"■","")))</x:f>
      </x:c>
      <x:c r="R237" s="7" t="str">
        <x:f>IF(OR($D237="",R$5="",'상세일정'!AM237="제외"),"",IF($D237=$E237,IF(AND($D237&gt;=R$5,$D237&lt;R$5+7),"◆",""),IF(AND($D237&lt;R$5+7,$E237&gt;R$5),"■","")))</x:f>
      </x:c>
      <x:c r="S237" s="7" t="str">
        <x:f>IF(OR($D237="",S$5="",'상세일정'!AM237="제외"),"",IF($D237=$E237,IF(AND($D237&gt;=S$5,$D237&lt;S$5+7),"◆",""),IF(AND($D237&lt;S$5+7,$E237&gt;S$5),"■","")))</x:f>
      </x:c>
      <x:c r="T237" s="7" t="str">
        <x:f>IF(OR($D237="",T$5="",'상세일정'!AM237="제외"),"",IF($D237=$E237,IF(AND($D237&gt;=T$5,$D237&lt;T$5+7),"◆",""),IF(AND($D237&lt;T$5+7,$E237&gt;T$5),"■","")))</x:f>
      </x:c>
      <x:c r="U237" s="7" t="str">
        <x:f>IF(OR($D237="",U$5="",'상세일정'!AM237="제외"),"",IF($D237=$E237,IF(AND($D237&gt;=U$5,$D237&lt;U$5+7),"◆",""),IF(AND($D237&lt;U$5+7,$E237&gt;U$5),"■","")))</x:f>
      </x:c>
      <x:c r="V237" s="7" t="str">
        <x:f>IF(OR($D237="",V$5="",'상세일정'!AM237="제외"),"",IF($D237=$E237,IF(AND($D237&gt;=V$5,$D237&lt;V$5+7),"◆",""),IF(AND($D237&lt;V$5+7,$E237&gt;V$5),"■","")))</x:f>
      </x:c>
      <x:c r="W237" s="7" t="str">
        <x:f>IF(OR($D237="",W$5="",'상세일정'!AM237="제외"),"",IF($D237=$E237,IF(AND($D237&gt;=W$5,$D237&lt;W$5+7),"◆",""),IF(AND($D237&lt;W$5+7,$E237&gt;W$5),"■","")))</x:f>
      </x:c>
      <x:c r="X237" s="7" t="str">
        <x:f>IF(OR($D237="",X$5="",'상세일정'!AM237="제외"),"",IF($D237=$E237,IF(AND($D237&gt;=X$5,$D237&lt;X$5+7),"◆",""),IF(AND($D237&lt;X$5+7,$E237&gt;X$5),"■","")))</x:f>
      </x:c>
      <x:c r="Y237" s="7" t="str">
        <x:f>IF(OR($D237="",Y$5="",'상세일정'!AM237="제외"),"",IF($D237=$E237,IF(AND($D237&gt;=Y$5,$D237&lt;Y$5+7),"◆",""),IF(AND($D237&lt;Y$5+7,$E237&gt;Y$5),"■","")))</x:f>
      </x:c>
      <x:c r="Z237" s="7" t="str">
        <x:f>IF(OR($D237="",Z$5="",'상세일정'!AM237="제외"),"",IF($D237=$E237,IF(AND($D237&gt;=Z$5,$D237&lt;Z$5+7),"◆",""),IF(AND($D237&lt;Z$5+7,$E237&gt;Z$5),"■","")))</x:f>
      </x:c>
      <x:c r="AA237" s="7" t="str">
        <x:f>IF(OR($D237="",AA$5="",'상세일정'!AM237="제외"),"",IF($D237=$E237,IF(AND($D237&gt;=AA$5,$D237&lt;AA$5+7),"◆",""),IF(AND($D237&lt;AA$5+7,$E237&gt;AA$5),"■","")))</x:f>
      </x:c>
      <x:c r="AB237" s="7" t="str">
        <x:f>IF(OR($D237="",AB$5="",'상세일정'!AM237="제외"),"",IF($D237=$E237,IF(AND($D237&gt;=AB$5,$D237&lt;AB$5+7),"◆",""),IF(AND($D237&lt;AB$5+7,$E237&gt;AB$5),"■","")))</x:f>
      </x:c>
      <x:c r="AC237" s="7" t="str">
        <x:f>IF(OR($D237="",AC$5="",'상세일정'!AM237="제외"),"",IF($D237=$E237,IF(AND($D237&gt;=AC$5,$D237&lt;AC$5+7),"◆",""),IF(AND($D237&lt;AC$5+7,$E237&gt;AC$5),"■","")))</x:f>
      </x:c>
      <x:c r="AD237" s="7" t="str">
        <x:f>IF(OR($D237="",AD$5="",'상세일정'!AM237="제외"),"",IF($D237=$E237,IF(AND($D237&gt;=AD$5,$D237&lt;AD$5+7),"◆",""),IF(AND($D237&lt;AD$5+7,$E237&gt;AD$5),"■","")))</x:f>
      </x:c>
      <x:c r="AE237" s="7" t="str">
        <x:f>IF(OR($D237="",AE$5="",'상세일정'!AM237="제외"),"",IF($D237=$E237,IF(AND($D237&gt;=AE$5,$D237&lt;AE$5+7),"◆",""),IF(AND($D237&lt;AE$5+7,$E237&gt;AE$5),"■","")))</x:f>
      </x:c>
      <x:c r="AF237" s="7" t="str">
        <x:f>IF(OR($D237="",AF$5="",'상세일정'!AM237="제외"),"",IF($D237=$E237,IF(AND($D237&gt;=AF$5,$D237&lt;AF$5+7),"◆",""),IF(AND($D237&lt;AF$5+7,$E237&gt;AF$5),"■","")))</x:f>
      </x:c>
      <x:c r="AG237" s="7" t="str">
        <x:f>IF(OR($D237="",AG$5="",'상세일정'!AM237="제외"),"",IF($D237=$E237,IF(AND($D237&gt;=AG$5,$D237&lt;AG$5+7),"◆",""),IF(AND($D237&lt;AG$5+7,$E237&gt;AG$5),"■","")))</x:f>
      </x:c>
      <x:c r="AH237" s="7" t="str">
        <x:f>IF(OR($D237="",AH$5="",'상세일정'!AM237="제외"),"",IF($D237=$E237,IF(AND($D237&gt;=AH$5,$D237&lt;AH$5+7),"◆",""),IF(AND($D237&lt;AH$5+7,$E237&gt;AH$5),"■","")))</x:f>
      </x:c>
      <x:c r="AI237" s="7" t="str">
        <x:f>IF(OR($D237="",AI$5="",'상세일정'!AM237="제외"),"",IF($D237=$E237,IF(AND($D237&gt;=AI$5,$D237&lt;AI$5+7),"◆",""),IF(AND($D237&lt;AI$5+7,$E237&gt;AI$5),"■","")))</x:f>
      </x:c>
      <x:c r="AJ237" s="7" t="str">
        <x:f>IF(OR($D237="",AJ$5="",'상세일정'!AM237="제외"),"",IF($D237=$E237,IF(AND($D237&gt;=AJ$5,$D237&lt;AJ$5+7),"◆",""),IF(AND($D237&lt;AJ$5+7,$E237&gt;AJ$5),"■","")))</x:f>
      </x:c>
      <x:c r="AK237" s="7" t="str">
        <x:f>IF(OR($D237="",AK$5="",'상세일정'!AM237="제외"),"",IF($D237=$E237,IF(AND($D237&gt;=AK$5,$D237&lt;AK$5+7),"◆",""),IF(AND($D237&lt;AK$5+7,$E237&gt;AK$5),"■","")))</x:f>
      </x:c>
      <x:c r="AL237" s="7" t="str">
        <x:f>IF(OR($D237="",AL$5="",'상세일정'!AM237="제외"),"",IF($D237=$E237,IF(AND($D237&gt;=AL$5,$D237&lt;AL$5+7),"◆",""),IF(AND($D237&lt;AL$5+7,$E237&gt;AL$5),"■","")))</x:f>
      </x:c>
      <x:c r="AM237" s="7" t="str">
        <x:f>IF(OR($D237="",AM$5="",'상세일정'!AM237="제외"),"",IF($D237=$E237,IF(AND($D237&gt;=AM$5,$D237&lt;AM$5+7),"◆",""),IF(AND($D237&lt;AM$5+7,$E237&gt;AM$5),"■","")))</x:f>
      </x:c>
      <x:c r="AN237" s="7" t="str">
        <x:f>IF(OR($D237="",AN$5="",'상세일정'!AM237="제외"),"",IF($D237=$E237,IF(AND($D237&gt;=AN$5,$D237&lt;AN$5+7),"◆",""),IF(AND($D237&lt;AN$5+7,$E237&gt;AN$5),"■","")))</x:f>
      </x:c>
      <x:c r="AO237" s="7" t="str">
        <x:f>IF(OR($D237="",AO$5="",'상세일정'!AM237="제외"),"",IF($D237=$E237,IF(AND($D237&gt;=AO$5,$D237&lt;AO$5+7),"◆",""),IF(AND($D237&lt;AO$5+7,$E237&gt;AO$5),"■","")))</x:f>
      </x:c>
      <x:c r="AP237" s="7" t="str">
        <x:f>IF(OR($D237="",AP$5="",'상세일정'!AM237="제외"),"",IF($D237=$E237,IF(AND($D237&gt;=AP$5,$D237&lt;AP$5+7),"◆",""),IF(AND($D237&lt;AP$5+7,$E237&gt;AP$5),"■","")))</x:f>
      </x:c>
      <x:c r="AQ237" s="7" t="str">
        <x:f>IF(OR($D237="",AQ$5="",'상세일정'!AM237="제외"),"",IF($D237=$E237,IF(AND($D237&gt;=AQ$5,$D237&lt;AQ$5+7),"◆",""),IF(AND($D237&lt;AQ$5+7,$E237&gt;AQ$5),"■","")))</x:f>
      </x:c>
      <x:c r="AR237" s="7" t="str">
        <x:f>IF(OR($D237="",AR$5="",'상세일정'!AM237="제외"),"",IF($D237=$E237,IF(AND($D237&gt;=AR$5,$D237&lt;AR$5+7),"◆",""),IF(AND($D237&lt;AR$5+7,$E237&gt;AR$5),"■","")))</x:f>
      </x:c>
      <x:c r="AS237" s="7" t="str">
        <x:f>IF(OR($D237="",AS$5="",'상세일정'!AM237="제외"),"",IF($D237=$E237,IF(AND($D237&gt;=AS$5,$D237&lt;AS$5+7),"◆",""),IF(AND($D237&lt;AS$5+7,$E237&gt;AS$5),"■","")))</x:f>
      </x:c>
      <x:c r="AT237" s="7" t="str">
        <x:f>IF(OR($D237="",AT$5="",'상세일정'!AM237="제외"),"",IF($D237=$E237,IF(AND($D237&gt;=AT$5,$D237&lt;AT$5+7),"◆",""),IF(AND($D237&lt;AT$5+7,$E237&gt;AT$5),"■","")))</x:f>
      </x:c>
      <x:c r="AU237" s="7" t="str">
        <x:f>IF(OR($D237="",AU$5="",'상세일정'!AM237="제외"),"",IF($D237=$E237,IF(AND($D237&gt;=AU$5,$D237&lt;AU$5+7),"◆",""),IF(AND($D237&lt;AU$5+7,$E237&gt;AU$5),"■","")))</x:f>
      </x:c>
      <x:c r="AV237" s="7" t="str">
        <x:f>IF(OR($D237="",AV$5="",'상세일정'!AM237="제외"),"",IF($D237=$E237,IF(AND($D237&gt;=AV$5,$D237&lt;AV$5+7),"◆",""),IF(AND($D237&lt;AV$5+7,$E237&gt;AV$5),"■","")))</x:f>
      </x:c>
      <x:c r="AW237" s="7" t="str">
        <x:f>IF(OR($D237="",AW$5="",'상세일정'!AM237="제외"),"",IF($D237=$E237,IF(AND($D237&gt;=AW$5,$D237&lt;AW$5+7),"◆",""),IF(AND($D237&lt;AW$5+7,$E237&gt;AW$5),"■","")))</x:f>
      </x:c>
      <x:c r="AX237" s="7" t="str">
        <x:f>IF(OR($D237="",AX$5="",'상세일정'!AM237="제외"),"",IF($D237=$E237,IF(AND($D237&gt;=AX$5,$D237&lt;AX$5+7),"◆",""),IF(AND($D237&lt;AX$5+7,$E237&gt;AX$5),"■","")))</x:f>
      </x:c>
      <x:c r="AY237" s="7" t="str">
        <x:f>IF(OR($D237="",AY$5="",'상세일정'!AM237="제외"),"",IF($D237=$E237,IF(AND($D237&gt;=AY$5,$D237&lt;AY$5+7),"◆",""),IF(AND($D237&lt;AY$5+7,$E237&gt;AY$5),"■","")))</x:f>
      </x:c>
      <x:c r="AZ237" s="7" t="str">
        <x:f>IF(OR($D237="",AZ$5="",'상세일정'!AM237="제외"),"",IF($D237=$E237,IF(AND($D237&gt;=AZ$5,$D237&lt;AZ$5+7),"◆",""),IF(AND($D237&lt;AZ$5+7,$E237&gt;AZ$5),"■","")))</x:f>
      </x:c>
      <x:c r="BA237" s="7" t="str">
        <x:f>IF(OR($D237="",BA$5="",'상세일정'!AM237="제외"),"",IF($D237=$E237,IF(AND($D237&gt;=BA$5,$D237&lt;BA$5+7),"◆",""),IF(AND($D237&lt;BA$5+7,$E237&gt;BA$5),"■","")))</x:f>
      </x:c>
      <x:c r="BB237" s="7" t="str">
        <x:f>IF(OR($D237="",BB$5="",'상세일정'!AM237="제외"),"",IF($D237=$E237,IF(AND($D237&gt;=BB$5,$D237&lt;BB$5+7),"◆",""),IF(AND($D237&lt;BB$5+7,$E237&gt;BB$5),"■","")))</x:f>
      </x:c>
      <x:c r="BC237" s="7" t="str">
        <x:f>IF(OR($D237="",BC$5="",'상세일정'!AM237="제외"),"",IF($D237=$E237,IF(AND($D237&gt;=BC$5,$D237&lt;BC$5+7),"◆",""),IF(AND($D237&lt;BC$5+7,$E237&gt;BC$5),"■","")))</x:f>
      </x:c>
      <x:c r="BD237" s="7" t="str">
        <x:f>IF(OR($D237="",BD$5="",'상세일정'!AM237="제외"),"",IF($D237=$E237,IF(AND($D237&gt;=BD$5,$D237&lt;BD$5+7),"◆",""),IF(AND($D237&lt;BD$5+7,$E237&gt;BD$5),"■","")))</x:f>
      </x:c>
      <x:c r="BE237" s="7" t="str">
        <x:f>IF(OR($D237="",BE$5="",'상세일정'!AM237="제외"),"",IF($D237=$E237,IF(AND($D237&gt;=BE$5,$D237&lt;BE$5+7),"◆",""),IF(AND($D237&lt;BE$5+7,$E237&gt;BE$5),"■","")))</x:f>
      </x:c>
      <x:c r="BF237" s="7" t="str">
        <x:f>IF(OR($D237="",BF$5="",'상세일정'!AM237="제외"),"",IF($D237=$E237,IF(AND($D237&gt;=BF$5,$D237&lt;BF$5+7),"◆",""),IF(AND($D237&lt;BF$5+7,$E237&gt;BF$5),"■","")))</x:f>
      </x:c>
      <x:c r="BG237" s="7" t="str">
        <x:f>IF(OR($D237="",BG$5="",'상세일정'!AM237="제외"),"",IF($D237=$E237,IF(AND($D237&gt;=BG$5,$D237&lt;BG$5+7),"◆",""),IF(AND($D237&lt;BG$5+7,$E237&gt;BG$5),"■","")))</x:f>
      </x:c>
      <x:c r="BH237" s="7" t="str">
        <x:f>IF(OR($D237="",BH$5="",'상세일정'!AM237="제외"),"",IF($D237=$E237,IF(AND($D237&gt;=BH$5,$D237&lt;BH$5+7),"◆",""),IF(AND($D237&lt;BH$5+7,$E237&gt;BH$5),"■","")))</x:f>
      </x:c>
      <x:c r="BI237" s="7" t="str">
        <x:f>IF(OR($D237="",BI$5="",'상세일정'!AM237="제외"),"",IF($D237=$E237,IF(AND($D237&gt;=BI$5,$D237&lt;BI$5+7),"◆",""),IF(AND($D237&lt;BI$5+7,$E237&gt;BI$5),"■","")))</x:f>
      </x:c>
      <x:c r="BJ237" s="7" t="str">
        <x:f>IF(OR($D237="",BJ$5="",'상세일정'!AM237="제외"),"",IF($D237=$E237,IF(AND($D237&gt;=BJ$5,$D237&lt;BJ$5+7),"◆",""),IF(AND($D237&lt;BJ$5+7,$E237&gt;BJ$5),"■","")))</x:f>
      </x:c>
      <x:c r="BK237" s="7" t="str">
        <x:f>IF(OR($D237="",BK$5="",'상세일정'!AM237="제외"),"",IF($D237=$E237,IF(AND($D237&gt;=BK$5,$D237&lt;BK$5+7),"◆",""),IF(AND($D237&lt;BK$5+7,$E237&gt;BK$5),"■","")))</x:f>
      </x:c>
      <x:c r="BL237" s="7" t="str">
        <x:f>IF(OR($D237="",BL$5="",'상세일정'!AM237="제외"),"",IF($D237=$E237,IF(AND($D237&gt;=BL$5,$D237&lt;BL$5+7),"◆",""),IF(AND($D237&lt;BL$5+7,$E237&gt;BL$5),"■","")))</x:f>
      </x:c>
      <x:c r="BM237" s="7" t="str">
        <x:f>IF(OR($D237="",BM$5="",'상세일정'!AM237="제외"),"",IF($D237=$E237,IF(AND($D237&gt;=BM$5,$D237&lt;BM$5+7),"◆",""),IF(AND($D237&lt;BM$5+7,$E237&gt;BM$5),"■","")))</x:f>
      </x:c>
      <x:c r="BN237" s="7" t="str">
        <x:f>IF(OR($D237="",BN$5="",'상세일정'!AM237="제외"),"",IF($D237=$E237,IF(AND($D237&gt;=BN$5,$D237&lt;BN$5+7),"◆",""),IF(AND($D237&lt;BN$5+7,$E237&gt;BN$5),"■","")))</x:f>
      </x:c>
      <x:c r="BO237" s="7" t="str">
        <x:f>IF(OR($D237="",BO$5="",'상세일정'!AM237="제외"),"",IF($D237=$E237,IF(AND($D237&gt;=BO$5,$D237&lt;BO$5+7),"◆",""),IF(AND($D237&lt;BO$5+7,$E237&gt;BO$5),"■","")))</x:f>
      </x:c>
      <x:c r="BP237" s="7" t="str">
        <x:f>IF(OR($D237="",BP$5="",'상세일정'!AM237="제외"),"",IF($D237=$E237,IF(AND($D237&gt;=BP$5,$D237&lt;BP$5+7),"◆",""),IF(AND($D237&lt;BP$5+7,$E237&gt;BP$5),"■","")))</x:f>
      </x:c>
      <x:c r="BQ237" s="7" t="str">
        <x:f>IF(OR($D237="",BQ$5="",'상세일정'!AM237="제외"),"",IF($D237=$E237,IF(AND($D237&gt;=BQ$5,$D237&lt;BQ$5+7),"◆",""),IF(AND($D237&lt;BQ$5+7,$E237&gt;BQ$5),"■","")))</x:f>
      </x:c>
      <x:c r="BR237" s="7" t="str">
        <x:f>IF(OR($D237="",BR$5="",'상세일정'!AM237="제외"),"",IF($D237=$E237,IF(AND($D237&gt;=BR$5,$D237&lt;BR$5+7),"◆",""),IF(AND($D237&lt;BR$5+7,$E237&gt;BR$5),"■","")))</x:f>
      </x:c>
      <x:c r="BS237" s="7" t="str">
        <x:f>IF(OR($D237="",BS$5="",'상세일정'!AM237="제외"),"",IF($D237=$E237,IF(AND($D237&gt;=BS$5,$D237&lt;BS$5+7),"◆",""),IF(AND($D237&lt;BS$5+7,$E237&gt;BS$5),"■","")))</x:f>
      </x:c>
      <x:c r="BT237" s="7" t="str">
        <x:f>IF(OR($D237="",BT$5="",'상세일정'!AM237="제외"),"",IF($D237=$E237,IF(AND($D237&gt;=BT$5,$D237&lt;BT$5+7),"◆",""),IF(AND($D237&lt;BT$5+7,$E237&gt;BT$5),"■","")))</x:f>
      </x:c>
      <x:c r="BU237" s="7" t="str">
        <x:f>IF(OR($D237="",BU$5="",'상세일정'!AM237="제외"),"",IF($D237=$E237,IF(AND($D237&gt;=BU$5,$D237&lt;BU$5+7),"◆",""),IF(AND($D237&lt;BU$5+7,$E237&gt;BU$5),"■","")))</x:f>
      </x:c>
      <x:c r="BV237" s="7" t="str">
        <x:f>IF(OR($D237="",BV$5="",'상세일정'!AM237="제외"),"",IF($D237=$E237,IF(AND($D237&gt;=BV$5,$D237&lt;BV$5+7),"◆",""),IF(AND($D237&lt;BV$5+7,$E237&gt;BV$5),"■","")))</x:f>
      </x:c>
      <x:c r="BW237" s="7" t="str">
        <x:f>IF(OR($D237="",BW$5="",'상세일정'!AM237="제외"),"",IF($D237=$E237,IF(AND($D237&gt;=BW$5,$D237&lt;BW$5+7),"◆",""),IF(AND($D237&lt;BW$5+7,$E237&gt;BW$5),"■","")))</x:f>
      </x:c>
      <x:c r="BX237" s="7" t="str">
        <x:f>IF(OR($D237="",BX$5="",'상세일정'!AM237="제외"),"",IF($D237=$E237,IF(AND($D237&gt;=BX$5,$D237&lt;BX$5+7),"◆",""),IF(AND($D237&lt;BX$5+7,$E237&gt;BX$5),"■","")))</x:f>
      </x:c>
      <x:c r="BY237" s="7" t="str">
        <x:f>IF(OR($D237="",BY$5="",'상세일정'!AM237="제외"),"",IF($D237=$E237,IF(AND($D237&gt;=BY$5,$D237&lt;BY$5+7),"◆",""),IF(AND($D237&lt;BY$5+7,$E237&gt;BY$5),"■","")))</x:f>
      </x:c>
      <x:c r="BZ237" s="7" t="str">
        <x:f>IF(OR($D237="",BZ$5="",'상세일정'!AM237="제외"),"",IF($D237=$E237,IF(AND($D237&gt;=BZ$5,$D237&lt;BZ$5+7),"◆",""),IF(AND($D237&lt;BZ$5+7,$E237&gt;BZ$5),"■","")))</x:f>
      </x:c>
      <x:c r="CA237" s="7" t="str">
        <x:f>IF(OR($D237="",CA$5="",'상세일정'!AM237="제외"),"",IF($D237=$E237,IF(AND($D237&gt;=CA$5,$D237&lt;CA$5+7),"◆",""),IF(AND($D237&lt;CA$5+7,$E237&gt;CA$5),"■","")))</x:f>
      </x:c>
      <x:c r="CB237" s="7" t="str">
        <x:f>IF(OR($D237="",CB$5="",'상세일정'!AM237="제외"),"",IF($D237=$E237,IF(AND($D237&gt;=CB$5,$D237&lt;CB$5+7),"◆",""),IF(AND($D237&lt;CB$5+7,$E237&gt;CB$5),"■","")))</x:f>
      </x:c>
      <x:c r="CC237" s="7" t="str">
        <x:f>IF(OR($D237="",CC$5="",'상세일정'!AM237="제외"),"",IF($D237=$E237,IF(AND($D237&gt;=CC$5,$D237&lt;CC$5+7),"◆",""),IF(AND($D237&lt;CC$5+7,$E237&gt;CC$5),"■","")))</x:f>
      </x:c>
      <x:c r="CD237" s="7" t="str">
        <x:f>IF(OR($D237="",CD$5="",'상세일정'!AM237="제외"),"",IF($D237=$E237,IF(AND($D237&gt;=CD$5,$D237&lt;CD$5+7),"◆",""),IF(AND($D237&lt;CD$5+7,$E237&gt;CD$5),"■","")))</x:f>
      </x:c>
      <x:c r="CE237" s="7" t="str">
        <x:f>IF(OR($D237="",CE$5="",'상세일정'!AM237="제외"),"",IF($D237=$E237,IF(AND($D237&gt;=CE$5,$D237&lt;CE$5+7),"◆",""),IF(AND($D237&lt;CE$5+7,$E237&gt;CE$5),"■","")))</x:f>
      </x:c>
      <x:c r="CF237" s="7" t="str">
        <x:f>IF(OR($D237="",CF$5="",'상세일정'!AM237="제외"),"",IF($D237=$E237,IF(AND($D237&gt;=CF$5,$D237&lt;CF$5+7),"◆",""),IF(AND($D237&lt;CF$5+7,$E237&gt;CF$5),"■","")))</x:f>
      </x:c>
      <x:c r="CG237" s="7" t="str">
        <x:f>IF(OR($D237="",CG$5="",'상세일정'!AM237="제외"),"",IF($D237=$E237,IF(AND($D237&gt;=CG$5,$D237&lt;CG$5+7),"◆",""),IF(AND($D237&lt;CG$5+7,$E237&gt;CG$5),"■","")))</x:f>
      </x:c>
      <x:c r="CH237" s="7" t="str">
        <x:f>IF(OR($D237="",CH$5="",'상세일정'!AM237="제외"),"",IF($D237=$E237,IF(AND($D237&gt;=CH$5,$D237&lt;CH$5+7),"◆",""),IF(AND($D237&lt;CH$5+7,$E237&gt;CH$5),"■","")))</x:f>
      </x:c>
      <x:c r="CI237" s="7" t="str">
        <x:f>IF(OR($D237="",CI$5="",'상세일정'!AM237="제외"),"",IF($D237=$E237,IF(AND($D237&gt;=CI$5,$D237&lt;CI$5+7),"◆",""),IF(AND($D237&lt;CI$5+7,$E237&gt;CI$5),"■","")))</x:f>
      </x:c>
      <x:c r="CJ237" s="7" t="str">
        <x:f>IF(OR($D237="",CJ$5="",'상세일정'!AM237="제외"),"",IF($D237=$E237,IF(AND($D237&gt;=CJ$5,$D237&lt;CJ$5+7),"◆",""),IF(AND($D237&lt;CJ$5+7,$E237&gt;CJ$5),"■","")))</x:f>
      </x:c>
      <x:c r="CK237" s="7" t="str">
        <x:f>IF(OR($D237="",CK$5="",'상세일정'!AM237="제외"),"",IF($D237=$E237,IF(AND($D237&gt;=CK$5,$D237&lt;CK$5+7),"◆",""),IF(AND($D237&lt;CK$5+7,$E237&gt;CK$5),"■","")))</x:f>
      </x:c>
      <x:c r="CL237" s="7" t="str">
        <x:f>IF(OR($D237="",CL$5="",'상세일정'!AM237="제외"),"",IF($D237=$E237,IF(AND($D237&gt;=CL$5,$D237&lt;CL$5+7),"◆",""),IF(AND($D237&lt;CL$5+7,$E237&gt;CL$5),"■","")))</x:f>
      </x:c>
      <x:c r="CM237" s="7" t="str">
        <x:f>IF(OR($D237="",CM$5="",'상세일정'!AM237="제외"),"",IF($D237=$E237,IF(AND($D237&gt;=CM$5,$D237&lt;CM$5+7),"◆",""),IF(AND($D237&lt;CM$5+7,$E237&gt;CM$5),"■","")))</x:f>
      </x:c>
      <x:c r="CN237" s="7" t="str">
        <x:f>IF(OR($D237="",CN$5="",'상세일정'!AM237="제외"),"",IF($D237=$E237,IF(AND($D237&gt;=CN$5,$D237&lt;CN$5+7),"◆",""),IF(AND($D237&lt;CN$5+7,$E237&gt;CN$5),"■","")))</x:f>
      </x:c>
      <x:c r="CO237" s="7" t="str">
        <x:f>IF(OR($D237="",CO$5="",'상세일정'!AM237="제외"),"",IF($D237=$E237,IF(AND($D237&gt;=CO$5,$D237&lt;CO$5+7),"◆",""),IF(AND($D237&lt;CO$5+7,$E237&gt;CO$5),"■","")))</x:f>
      </x:c>
      <x:c r="CP237" s="7" t="str">
        <x:f>IF(OR($D237="",CP$5="",'상세일정'!AM237="제외"),"",IF($D237=$E237,IF(AND($D237&gt;=CP$5,$D237&lt;CP$5+7),"◆",""),IF(AND($D237&lt;CP$5+7,$E237&gt;CP$5),"■","")))</x:f>
      </x:c>
      <x:c r="CQ237" s="7" t="str">
        <x:f>IF(OR($D237="",CQ$5="",'상세일정'!AM237="제외"),"",IF($D237=$E237,IF(AND($D237&gt;=CQ$5,$D237&lt;CQ$5+7),"◆",""),IF(AND($D237&lt;CQ$5+7,$E237&gt;CQ$5),"■","")))</x:f>
      </x:c>
      <x:c r="CR237" s="7" t="str">
        <x:f>IF(OR($D237="",CR$5="",'상세일정'!AM237="제외"),"",IF($D237=$E237,IF(AND($D237&gt;=CR$5,$D237&lt;CR$5+7),"◆",""),IF(AND($D237&lt;CR$5+7,$E237&gt;CR$5),"■","")))</x:f>
      </x:c>
      <x:c r="CS237" s="7" t="str">
        <x:f>IF(OR($D237="",CS$5="",'상세일정'!AM237="제외"),"",IF($D237=$E237,IF(AND($D237&gt;=CS$5,$D237&lt;CS$5+7),"◆",""),IF(AND($D237&lt;CS$5+7,$E237&gt;CS$5),"■","")))</x:f>
      </x:c>
      <x:c r="CT237" s="7" t="str">
        <x:f>IF(OR($D237="",CT$5="",'상세일정'!AM237="제외"),"",IF($D237=$E237,IF(AND($D237&gt;=CT$5,$D237&lt;CT$5+7),"◆",""),IF(AND($D237&lt;CT$5+7,$E237&gt;CT$5),"■","")))</x:f>
      </x:c>
      <x:c r="CU237" s="7" t="str">
        <x:f>IF(OR($D237="",CU$5="",'상세일정'!AM237="제외"),"",IF($D237=$E237,IF(AND($D237&gt;=CU$5,$D237&lt;CU$5+7),"◆",""),IF(AND($D237&lt;CU$5+7,$E237&gt;CU$5),"■","")))</x:f>
      </x:c>
      <x:c r="CV237" s="7" t="str">
        <x:f>IF(OR($D237="",CV$5="",'상세일정'!AM237="제외"),"",IF($D237=$E237,IF(AND($D237&gt;=CV$5,$D237&lt;CV$5+7),"◆",""),IF(AND($D237&lt;CV$5+7,$E237&gt;CV$5),"■","")))</x:f>
      </x:c>
      <x:c r="CW237" s="7" t="str">
        <x:f>IF(OR($D237="",CW$5="",'상세일정'!AM237="제외"),"",IF($D237=$E237,IF(AND($D237&gt;=CW$5,$D237&lt;CW$5+7),"◆",""),IF(AND($D237&lt;CW$5+7,$E237&gt;CW$5),"■","")))</x:f>
      </x:c>
      <x:c r="CX237" s="7" t="str">
        <x:f>IF(OR($D237="",CX$5="",'상세일정'!AM237="제외"),"",IF($D237=$E237,IF(AND($D237&gt;=CX$5,$D237&lt;CX$5+7),"◆",""),IF(AND($D237&lt;CX$5+7,$E237&gt;CX$5),"■","")))</x:f>
      </x:c>
      <x:c r="CY237" s="7" t="str">
        <x:f>IF(OR($D237="",CY$5="",'상세일정'!AM237="제외"),"",IF($D237=$E237,IF(AND($D237&gt;=CY$5,$D237&lt;CY$5+7),"◆",""),IF(AND($D237&lt;CY$5+7,$E237&gt;CY$5),"■","")))</x:f>
      </x:c>
      <x:c r="CZ237" s="7" t="str">
        <x:f>IF(OR($D237="",CZ$5="",'상세일정'!AM237="제외"),"",IF($D237=$E237,IF(AND($D237&gt;=CZ$5,$D237&lt;CZ$5+7),"◆",""),IF(AND($D237&lt;CZ$5+7,$E237&gt;CZ$5),"■","")))</x:f>
      </x:c>
      <x:c r="DA237" s="7" t="str">
        <x:f>IF(OR($D237="",DA$5="",'상세일정'!AM237="제외"),"",IF($D237=$E237,IF(AND($D237&gt;=DA$5,$D237&lt;DA$5+7),"◆",""),IF(AND($D237&lt;DA$5+7,$E237&gt;DA$5),"■","")))</x:f>
      </x:c>
      <x:c r="DB237" s="7" t="str">
        <x:f>IF(OR($D237="",DB$5="",'상세일정'!AM237="제외"),"",IF($D237=$E237,IF(AND($D237&gt;=DB$5,$D237&lt;DB$5+7),"◆",""),IF(AND($D237&lt;DB$5+7,$E237&gt;DB$5),"■","")))</x:f>
      </x:c>
      <x:c r="DC237" s="7" t="str">
        <x:f>IF(OR($D237="",DC$5="",'상세일정'!AM237="제외"),"",IF($D237=$E237,IF(AND($D237&gt;=DC$5,$D237&lt;DC$5+7),"◆",""),IF(AND($D237&lt;DC$5+7,$E237&gt;DC$5),"■","")))</x:f>
      </x:c>
      <x:c r="DD237" s="7" t="str">
        <x:f>IF(OR($D237="",DD$5="",'상세일정'!AM237="제외"),"",IF($D237=$E237,IF(AND($D237&gt;=DD$5,$D237&lt;DD$5+7),"◆",""),IF(AND($D237&lt;DD$5+7,$E237&gt;DD$5),"■","")))</x:f>
      </x:c>
      <x:c r="DE237" s="7" t="str">
        <x:f>IF(OR($D237="",DE$5="",'상세일정'!AM237="제외"),"",IF($D237=$E237,IF(AND($D237&gt;=DE$5,$D237&lt;DE$5+7),"◆",""),IF(AND($D237&lt;DE$5+7,$E237&gt;DE$5),"■","")))</x:f>
      </x:c>
    </x:row>
    <x:row r="238" ht="34" customHeight="1">
      <x:c r="A238" s="7" t="str">
        <x:v>CO04</x:v>
      </x:c>
      <x:c r="B238" s="7" t="str">
        <x:v>28 가스투입·통합시운전</x:v>
      </x:c>
      <x:c r="C238" s="7" t="str">
        <x:v>제품품질 분석·운전조건 조정</x:v>
      </x:c>
      <x:c r="D238" s="10" t="str">
        <x:f>'상세일정'!AJ238</x:f>
      </x:c>
      <x:c r="E238" s="10" t="str">
        <x:f>'상세일정'!AK238</x:f>
      </x:c>
      <x:c r="F238" s="7" t="str">
        <x:f>IF(OR($D238="",F$5="",'상세일정'!AM238="제외"),"",IF($D238=$E238,IF(AND($D238&gt;=F$5,$D238&lt;F$5+7),"◆",""),IF(AND($D238&lt;F$5+7,$E238&gt;F$5),"■","")))</x:f>
      </x:c>
      <x:c r="G238" s="7" t="str">
        <x:f>IF(OR($D238="",G$5="",'상세일정'!AM238="제외"),"",IF($D238=$E238,IF(AND($D238&gt;=G$5,$D238&lt;G$5+7),"◆",""),IF(AND($D238&lt;G$5+7,$E238&gt;G$5),"■","")))</x:f>
      </x:c>
      <x:c r="H238" s="7" t="str">
        <x:f>IF(OR($D238="",H$5="",'상세일정'!AM238="제외"),"",IF($D238=$E238,IF(AND($D238&gt;=H$5,$D238&lt;H$5+7),"◆",""),IF(AND($D238&lt;H$5+7,$E238&gt;H$5),"■","")))</x:f>
      </x:c>
      <x:c r="I238" s="7" t="str">
        <x:f>IF(OR($D238="",I$5="",'상세일정'!AM238="제외"),"",IF($D238=$E238,IF(AND($D238&gt;=I$5,$D238&lt;I$5+7),"◆",""),IF(AND($D238&lt;I$5+7,$E238&gt;I$5),"■","")))</x:f>
      </x:c>
      <x:c r="J238" s="7" t="str">
        <x:f>IF(OR($D238="",J$5="",'상세일정'!AM238="제외"),"",IF($D238=$E238,IF(AND($D238&gt;=J$5,$D238&lt;J$5+7),"◆",""),IF(AND($D238&lt;J$5+7,$E238&gt;J$5),"■","")))</x:f>
      </x:c>
      <x:c r="K238" s="7" t="str">
        <x:f>IF(OR($D238="",K$5="",'상세일정'!AM238="제외"),"",IF($D238=$E238,IF(AND($D238&gt;=K$5,$D238&lt;K$5+7),"◆",""),IF(AND($D238&lt;K$5+7,$E238&gt;K$5),"■","")))</x:f>
      </x:c>
      <x:c r="L238" s="7" t="str">
        <x:f>IF(OR($D238="",L$5="",'상세일정'!AM238="제외"),"",IF($D238=$E238,IF(AND($D238&gt;=L$5,$D238&lt;L$5+7),"◆",""),IF(AND($D238&lt;L$5+7,$E238&gt;L$5),"■","")))</x:f>
      </x:c>
      <x:c r="M238" s="7" t="str">
        <x:f>IF(OR($D238="",M$5="",'상세일정'!AM238="제외"),"",IF($D238=$E238,IF(AND($D238&gt;=M$5,$D238&lt;M$5+7),"◆",""),IF(AND($D238&lt;M$5+7,$E238&gt;M$5),"■","")))</x:f>
      </x:c>
      <x:c r="N238" s="7" t="str">
        <x:f>IF(OR($D238="",N$5="",'상세일정'!AM238="제외"),"",IF($D238=$E238,IF(AND($D238&gt;=N$5,$D238&lt;N$5+7),"◆",""),IF(AND($D238&lt;N$5+7,$E238&gt;N$5),"■","")))</x:f>
      </x:c>
      <x:c r="O238" s="7" t="str">
        <x:f>IF(OR($D238="",O$5="",'상세일정'!AM238="제외"),"",IF($D238=$E238,IF(AND($D238&gt;=O$5,$D238&lt;O$5+7),"◆",""),IF(AND($D238&lt;O$5+7,$E238&gt;O$5),"■","")))</x:f>
      </x:c>
      <x:c r="P238" s="7" t="str">
        <x:f>IF(OR($D238="",P$5="",'상세일정'!AM238="제외"),"",IF($D238=$E238,IF(AND($D238&gt;=P$5,$D238&lt;P$5+7),"◆",""),IF(AND($D238&lt;P$5+7,$E238&gt;P$5),"■","")))</x:f>
      </x:c>
      <x:c r="Q238" s="7" t="str">
        <x:f>IF(OR($D238="",Q$5="",'상세일정'!AM238="제외"),"",IF($D238=$E238,IF(AND($D238&gt;=Q$5,$D238&lt;Q$5+7),"◆",""),IF(AND($D238&lt;Q$5+7,$E238&gt;Q$5),"■","")))</x:f>
      </x:c>
      <x:c r="R238" s="7" t="str">
        <x:f>IF(OR($D238="",R$5="",'상세일정'!AM238="제외"),"",IF($D238=$E238,IF(AND($D238&gt;=R$5,$D238&lt;R$5+7),"◆",""),IF(AND($D238&lt;R$5+7,$E238&gt;R$5),"■","")))</x:f>
      </x:c>
      <x:c r="S238" s="7" t="str">
        <x:f>IF(OR($D238="",S$5="",'상세일정'!AM238="제외"),"",IF($D238=$E238,IF(AND($D238&gt;=S$5,$D238&lt;S$5+7),"◆",""),IF(AND($D238&lt;S$5+7,$E238&gt;S$5),"■","")))</x:f>
      </x:c>
      <x:c r="T238" s="7" t="str">
        <x:f>IF(OR($D238="",T$5="",'상세일정'!AM238="제외"),"",IF($D238=$E238,IF(AND($D238&gt;=T$5,$D238&lt;T$5+7),"◆",""),IF(AND($D238&lt;T$5+7,$E238&gt;T$5),"■","")))</x:f>
      </x:c>
      <x:c r="U238" s="7" t="str">
        <x:f>IF(OR($D238="",U$5="",'상세일정'!AM238="제외"),"",IF($D238=$E238,IF(AND($D238&gt;=U$5,$D238&lt;U$5+7),"◆",""),IF(AND($D238&lt;U$5+7,$E238&gt;U$5),"■","")))</x:f>
      </x:c>
      <x:c r="V238" s="7" t="str">
        <x:f>IF(OR($D238="",V$5="",'상세일정'!AM238="제외"),"",IF($D238=$E238,IF(AND($D238&gt;=V$5,$D238&lt;V$5+7),"◆",""),IF(AND($D238&lt;V$5+7,$E238&gt;V$5),"■","")))</x:f>
      </x:c>
      <x:c r="W238" s="7" t="str">
        <x:f>IF(OR($D238="",W$5="",'상세일정'!AM238="제외"),"",IF($D238=$E238,IF(AND($D238&gt;=W$5,$D238&lt;W$5+7),"◆",""),IF(AND($D238&lt;W$5+7,$E238&gt;W$5),"■","")))</x:f>
      </x:c>
      <x:c r="X238" s="7" t="str">
        <x:f>IF(OR($D238="",X$5="",'상세일정'!AM238="제외"),"",IF($D238=$E238,IF(AND($D238&gt;=X$5,$D238&lt;X$5+7),"◆",""),IF(AND($D238&lt;X$5+7,$E238&gt;X$5),"■","")))</x:f>
      </x:c>
      <x:c r="Y238" s="7" t="str">
        <x:f>IF(OR($D238="",Y$5="",'상세일정'!AM238="제외"),"",IF($D238=$E238,IF(AND($D238&gt;=Y$5,$D238&lt;Y$5+7),"◆",""),IF(AND($D238&lt;Y$5+7,$E238&gt;Y$5),"■","")))</x:f>
      </x:c>
      <x:c r="Z238" s="7" t="str">
        <x:f>IF(OR($D238="",Z$5="",'상세일정'!AM238="제외"),"",IF($D238=$E238,IF(AND($D238&gt;=Z$5,$D238&lt;Z$5+7),"◆",""),IF(AND($D238&lt;Z$5+7,$E238&gt;Z$5),"■","")))</x:f>
      </x:c>
      <x:c r="AA238" s="7" t="str">
        <x:f>IF(OR($D238="",AA$5="",'상세일정'!AM238="제외"),"",IF($D238=$E238,IF(AND($D238&gt;=AA$5,$D238&lt;AA$5+7),"◆",""),IF(AND($D238&lt;AA$5+7,$E238&gt;AA$5),"■","")))</x:f>
      </x:c>
      <x:c r="AB238" s="7" t="str">
        <x:f>IF(OR($D238="",AB$5="",'상세일정'!AM238="제외"),"",IF($D238=$E238,IF(AND($D238&gt;=AB$5,$D238&lt;AB$5+7),"◆",""),IF(AND($D238&lt;AB$5+7,$E238&gt;AB$5),"■","")))</x:f>
      </x:c>
      <x:c r="AC238" s="7" t="str">
        <x:f>IF(OR($D238="",AC$5="",'상세일정'!AM238="제외"),"",IF($D238=$E238,IF(AND($D238&gt;=AC$5,$D238&lt;AC$5+7),"◆",""),IF(AND($D238&lt;AC$5+7,$E238&gt;AC$5),"■","")))</x:f>
      </x:c>
      <x:c r="AD238" s="7" t="str">
        <x:f>IF(OR($D238="",AD$5="",'상세일정'!AM238="제외"),"",IF($D238=$E238,IF(AND($D238&gt;=AD$5,$D238&lt;AD$5+7),"◆",""),IF(AND($D238&lt;AD$5+7,$E238&gt;AD$5),"■","")))</x:f>
      </x:c>
      <x:c r="AE238" s="7" t="str">
        <x:f>IF(OR($D238="",AE$5="",'상세일정'!AM238="제외"),"",IF($D238=$E238,IF(AND($D238&gt;=AE$5,$D238&lt;AE$5+7),"◆",""),IF(AND($D238&lt;AE$5+7,$E238&gt;AE$5),"■","")))</x:f>
      </x:c>
      <x:c r="AF238" s="7" t="str">
        <x:f>IF(OR($D238="",AF$5="",'상세일정'!AM238="제외"),"",IF($D238=$E238,IF(AND($D238&gt;=AF$5,$D238&lt;AF$5+7),"◆",""),IF(AND($D238&lt;AF$5+7,$E238&gt;AF$5),"■","")))</x:f>
      </x:c>
      <x:c r="AG238" s="7" t="str">
        <x:f>IF(OR($D238="",AG$5="",'상세일정'!AM238="제외"),"",IF($D238=$E238,IF(AND($D238&gt;=AG$5,$D238&lt;AG$5+7),"◆",""),IF(AND($D238&lt;AG$5+7,$E238&gt;AG$5),"■","")))</x:f>
      </x:c>
      <x:c r="AH238" s="7" t="str">
        <x:f>IF(OR($D238="",AH$5="",'상세일정'!AM238="제외"),"",IF($D238=$E238,IF(AND($D238&gt;=AH$5,$D238&lt;AH$5+7),"◆",""),IF(AND($D238&lt;AH$5+7,$E238&gt;AH$5),"■","")))</x:f>
      </x:c>
      <x:c r="AI238" s="7" t="str">
        <x:f>IF(OR($D238="",AI$5="",'상세일정'!AM238="제외"),"",IF($D238=$E238,IF(AND($D238&gt;=AI$5,$D238&lt;AI$5+7),"◆",""),IF(AND($D238&lt;AI$5+7,$E238&gt;AI$5),"■","")))</x:f>
      </x:c>
      <x:c r="AJ238" s="7" t="str">
        <x:f>IF(OR($D238="",AJ$5="",'상세일정'!AM238="제외"),"",IF($D238=$E238,IF(AND($D238&gt;=AJ$5,$D238&lt;AJ$5+7),"◆",""),IF(AND($D238&lt;AJ$5+7,$E238&gt;AJ$5),"■","")))</x:f>
      </x:c>
      <x:c r="AK238" s="7" t="str">
        <x:f>IF(OR($D238="",AK$5="",'상세일정'!AM238="제외"),"",IF($D238=$E238,IF(AND($D238&gt;=AK$5,$D238&lt;AK$5+7),"◆",""),IF(AND($D238&lt;AK$5+7,$E238&gt;AK$5),"■","")))</x:f>
      </x:c>
      <x:c r="AL238" s="7" t="str">
        <x:f>IF(OR($D238="",AL$5="",'상세일정'!AM238="제외"),"",IF($D238=$E238,IF(AND($D238&gt;=AL$5,$D238&lt;AL$5+7),"◆",""),IF(AND($D238&lt;AL$5+7,$E238&gt;AL$5),"■","")))</x:f>
      </x:c>
      <x:c r="AM238" s="7" t="str">
        <x:f>IF(OR($D238="",AM$5="",'상세일정'!AM238="제외"),"",IF($D238=$E238,IF(AND($D238&gt;=AM$5,$D238&lt;AM$5+7),"◆",""),IF(AND($D238&lt;AM$5+7,$E238&gt;AM$5),"■","")))</x:f>
      </x:c>
      <x:c r="AN238" s="7" t="str">
        <x:f>IF(OR($D238="",AN$5="",'상세일정'!AM238="제외"),"",IF($D238=$E238,IF(AND($D238&gt;=AN$5,$D238&lt;AN$5+7),"◆",""),IF(AND($D238&lt;AN$5+7,$E238&gt;AN$5),"■","")))</x:f>
      </x:c>
      <x:c r="AO238" s="7" t="str">
        <x:f>IF(OR($D238="",AO$5="",'상세일정'!AM238="제외"),"",IF($D238=$E238,IF(AND($D238&gt;=AO$5,$D238&lt;AO$5+7),"◆",""),IF(AND($D238&lt;AO$5+7,$E238&gt;AO$5),"■","")))</x:f>
      </x:c>
      <x:c r="AP238" s="7" t="str">
        <x:f>IF(OR($D238="",AP$5="",'상세일정'!AM238="제외"),"",IF($D238=$E238,IF(AND($D238&gt;=AP$5,$D238&lt;AP$5+7),"◆",""),IF(AND($D238&lt;AP$5+7,$E238&gt;AP$5),"■","")))</x:f>
      </x:c>
      <x:c r="AQ238" s="7" t="str">
        <x:f>IF(OR($D238="",AQ$5="",'상세일정'!AM238="제외"),"",IF($D238=$E238,IF(AND($D238&gt;=AQ$5,$D238&lt;AQ$5+7),"◆",""),IF(AND($D238&lt;AQ$5+7,$E238&gt;AQ$5),"■","")))</x:f>
      </x:c>
      <x:c r="AR238" s="7" t="str">
        <x:f>IF(OR($D238="",AR$5="",'상세일정'!AM238="제외"),"",IF($D238=$E238,IF(AND($D238&gt;=AR$5,$D238&lt;AR$5+7),"◆",""),IF(AND($D238&lt;AR$5+7,$E238&gt;AR$5),"■","")))</x:f>
      </x:c>
      <x:c r="AS238" s="7" t="str">
        <x:f>IF(OR($D238="",AS$5="",'상세일정'!AM238="제외"),"",IF($D238=$E238,IF(AND($D238&gt;=AS$5,$D238&lt;AS$5+7),"◆",""),IF(AND($D238&lt;AS$5+7,$E238&gt;AS$5),"■","")))</x:f>
      </x:c>
      <x:c r="AT238" s="7" t="str">
        <x:f>IF(OR($D238="",AT$5="",'상세일정'!AM238="제외"),"",IF($D238=$E238,IF(AND($D238&gt;=AT$5,$D238&lt;AT$5+7),"◆",""),IF(AND($D238&lt;AT$5+7,$E238&gt;AT$5),"■","")))</x:f>
      </x:c>
      <x:c r="AU238" s="7" t="str">
        <x:f>IF(OR($D238="",AU$5="",'상세일정'!AM238="제외"),"",IF($D238=$E238,IF(AND($D238&gt;=AU$5,$D238&lt;AU$5+7),"◆",""),IF(AND($D238&lt;AU$5+7,$E238&gt;AU$5),"■","")))</x:f>
      </x:c>
      <x:c r="AV238" s="7" t="str">
        <x:f>IF(OR($D238="",AV$5="",'상세일정'!AM238="제외"),"",IF($D238=$E238,IF(AND($D238&gt;=AV$5,$D238&lt;AV$5+7),"◆",""),IF(AND($D238&lt;AV$5+7,$E238&gt;AV$5),"■","")))</x:f>
      </x:c>
      <x:c r="AW238" s="7" t="str">
        <x:f>IF(OR($D238="",AW$5="",'상세일정'!AM238="제외"),"",IF($D238=$E238,IF(AND($D238&gt;=AW$5,$D238&lt;AW$5+7),"◆",""),IF(AND($D238&lt;AW$5+7,$E238&gt;AW$5),"■","")))</x:f>
      </x:c>
      <x:c r="AX238" s="7" t="str">
        <x:f>IF(OR($D238="",AX$5="",'상세일정'!AM238="제외"),"",IF($D238=$E238,IF(AND($D238&gt;=AX$5,$D238&lt;AX$5+7),"◆",""),IF(AND($D238&lt;AX$5+7,$E238&gt;AX$5),"■","")))</x:f>
      </x:c>
      <x:c r="AY238" s="7" t="str">
        <x:f>IF(OR($D238="",AY$5="",'상세일정'!AM238="제외"),"",IF($D238=$E238,IF(AND($D238&gt;=AY$5,$D238&lt;AY$5+7),"◆",""),IF(AND($D238&lt;AY$5+7,$E238&gt;AY$5),"■","")))</x:f>
      </x:c>
      <x:c r="AZ238" s="7" t="str">
        <x:f>IF(OR($D238="",AZ$5="",'상세일정'!AM238="제외"),"",IF($D238=$E238,IF(AND($D238&gt;=AZ$5,$D238&lt;AZ$5+7),"◆",""),IF(AND($D238&lt;AZ$5+7,$E238&gt;AZ$5),"■","")))</x:f>
      </x:c>
      <x:c r="BA238" s="7" t="str">
        <x:f>IF(OR($D238="",BA$5="",'상세일정'!AM238="제외"),"",IF($D238=$E238,IF(AND($D238&gt;=BA$5,$D238&lt;BA$5+7),"◆",""),IF(AND($D238&lt;BA$5+7,$E238&gt;BA$5),"■","")))</x:f>
      </x:c>
      <x:c r="BB238" s="7" t="str">
        <x:f>IF(OR($D238="",BB$5="",'상세일정'!AM238="제외"),"",IF($D238=$E238,IF(AND($D238&gt;=BB$5,$D238&lt;BB$5+7),"◆",""),IF(AND($D238&lt;BB$5+7,$E238&gt;BB$5),"■","")))</x:f>
      </x:c>
      <x:c r="BC238" s="7" t="str">
        <x:f>IF(OR($D238="",BC$5="",'상세일정'!AM238="제외"),"",IF($D238=$E238,IF(AND($D238&gt;=BC$5,$D238&lt;BC$5+7),"◆",""),IF(AND($D238&lt;BC$5+7,$E238&gt;BC$5),"■","")))</x:f>
      </x:c>
      <x:c r="BD238" s="7" t="str">
        <x:f>IF(OR($D238="",BD$5="",'상세일정'!AM238="제외"),"",IF($D238=$E238,IF(AND($D238&gt;=BD$5,$D238&lt;BD$5+7),"◆",""),IF(AND($D238&lt;BD$5+7,$E238&gt;BD$5),"■","")))</x:f>
      </x:c>
      <x:c r="BE238" s="7" t="str">
        <x:f>IF(OR($D238="",BE$5="",'상세일정'!AM238="제외"),"",IF($D238=$E238,IF(AND($D238&gt;=BE$5,$D238&lt;BE$5+7),"◆",""),IF(AND($D238&lt;BE$5+7,$E238&gt;BE$5),"■","")))</x:f>
      </x:c>
      <x:c r="BF238" s="7" t="str">
        <x:f>IF(OR($D238="",BF$5="",'상세일정'!AM238="제외"),"",IF($D238=$E238,IF(AND($D238&gt;=BF$5,$D238&lt;BF$5+7),"◆",""),IF(AND($D238&lt;BF$5+7,$E238&gt;BF$5),"■","")))</x:f>
      </x:c>
      <x:c r="BG238" s="7" t="str">
        <x:f>IF(OR($D238="",BG$5="",'상세일정'!AM238="제외"),"",IF($D238=$E238,IF(AND($D238&gt;=BG$5,$D238&lt;BG$5+7),"◆",""),IF(AND($D238&lt;BG$5+7,$E238&gt;BG$5),"■","")))</x:f>
      </x:c>
      <x:c r="BH238" s="7" t="str">
        <x:f>IF(OR($D238="",BH$5="",'상세일정'!AM238="제외"),"",IF($D238=$E238,IF(AND($D238&gt;=BH$5,$D238&lt;BH$5+7),"◆",""),IF(AND($D238&lt;BH$5+7,$E238&gt;BH$5),"■","")))</x:f>
      </x:c>
      <x:c r="BI238" s="7" t="str">
        <x:f>IF(OR($D238="",BI$5="",'상세일정'!AM238="제외"),"",IF($D238=$E238,IF(AND($D238&gt;=BI$5,$D238&lt;BI$5+7),"◆",""),IF(AND($D238&lt;BI$5+7,$E238&gt;BI$5),"■","")))</x:f>
      </x:c>
      <x:c r="BJ238" s="7" t="str">
        <x:f>IF(OR($D238="",BJ$5="",'상세일정'!AM238="제외"),"",IF($D238=$E238,IF(AND($D238&gt;=BJ$5,$D238&lt;BJ$5+7),"◆",""),IF(AND($D238&lt;BJ$5+7,$E238&gt;BJ$5),"■","")))</x:f>
      </x:c>
      <x:c r="BK238" s="7" t="str">
        <x:f>IF(OR($D238="",BK$5="",'상세일정'!AM238="제외"),"",IF($D238=$E238,IF(AND($D238&gt;=BK$5,$D238&lt;BK$5+7),"◆",""),IF(AND($D238&lt;BK$5+7,$E238&gt;BK$5),"■","")))</x:f>
      </x:c>
      <x:c r="BL238" s="7" t="str">
        <x:f>IF(OR($D238="",BL$5="",'상세일정'!AM238="제외"),"",IF($D238=$E238,IF(AND($D238&gt;=BL$5,$D238&lt;BL$5+7),"◆",""),IF(AND($D238&lt;BL$5+7,$E238&gt;BL$5),"■","")))</x:f>
      </x:c>
      <x:c r="BM238" s="7" t="str">
        <x:f>IF(OR($D238="",BM$5="",'상세일정'!AM238="제외"),"",IF($D238=$E238,IF(AND($D238&gt;=BM$5,$D238&lt;BM$5+7),"◆",""),IF(AND($D238&lt;BM$5+7,$E238&gt;BM$5),"■","")))</x:f>
      </x:c>
      <x:c r="BN238" s="7" t="str">
        <x:f>IF(OR($D238="",BN$5="",'상세일정'!AM238="제외"),"",IF($D238=$E238,IF(AND($D238&gt;=BN$5,$D238&lt;BN$5+7),"◆",""),IF(AND($D238&lt;BN$5+7,$E238&gt;BN$5),"■","")))</x:f>
      </x:c>
      <x:c r="BO238" s="7" t="str">
        <x:f>IF(OR($D238="",BO$5="",'상세일정'!AM238="제외"),"",IF($D238=$E238,IF(AND($D238&gt;=BO$5,$D238&lt;BO$5+7),"◆",""),IF(AND($D238&lt;BO$5+7,$E238&gt;BO$5),"■","")))</x:f>
      </x:c>
      <x:c r="BP238" s="7" t="str">
        <x:f>IF(OR($D238="",BP$5="",'상세일정'!AM238="제외"),"",IF($D238=$E238,IF(AND($D238&gt;=BP$5,$D238&lt;BP$5+7),"◆",""),IF(AND($D238&lt;BP$5+7,$E238&gt;BP$5),"■","")))</x:f>
      </x:c>
      <x:c r="BQ238" s="7" t="str">
        <x:f>IF(OR($D238="",BQ$5="",'상세일정'!AM238="제외"),"",IF($D238=$E238,IF(AND($D238&gt;=BQ$5,$D238&lt;BQ$5+7),"◆",""),IF(AND($D238&lt;BQ$5+7,$E238&gt;BQ$5),"■","")))</x:f>
      </x:c>
      <x:c r="BR238" s="7" t="str">
        <x:f>IF(OR($D238="",BR$5="",'상세일정'!AM238="제외"),"",IF($D238=$E238,IF(AND($D238&gt;=BR$5,$D238&lt;BR$5+7),"◆",""),IF(AND($D238&lt;BR$5+7,$E238&gt;BR$5),"■","")))</x:f>
      </x:c>
      <x:c r="BS238" s="7" t="str">
        <x:f>IF(OR($D238="",BS$5="",'상세일정'!AM238="제외"),"",IF($D238=$E238,IF(AND($D238&gt;=BS$5,$D238&lt;BS$5+7),"◆",""),IF(AND($D238&lt;BS$5+7,$E238&gt;BS$5),"■","")))</x:f>
      </x:c>
      <x:c r="BT238" s="7" t="str">
        <x:f>IF(OR($D238="",BT$5="",'상세일정'!AM238="제외"),"",IF($D238=$E238,IF(AND($D238&gt;=BT$5,$D238&lt;BT$5+7),"◆",""),IF(AND($D238&lt;BT$5+7,$E238&gt;BT$5),"■","")))</x:f>
      </x:c>
      <x:c r="BU238" s="7" t="str">
        <x:f>IF(OR($D238="",BU$5="",'상세일정'!AM238="제외"),"",IF($D238=$E238,IF(AND($D238&gt;=BU$5,$D238&lt;BU$5+7),"◆",""),IF(AND($D238&lt;BU$5+7,$E238&gt;BU$5),"■","")))</x:f>
      </x:c>
      <x:c r="BV238" s="7" t="str">
        <x:f>IF(OR($D238="",BV$5="",'상세일정'!AM238="제외"),"",IF($D238=$E238,IF(AND($D238&gt;=BV$5,$D238&lt;BV$5+7),"◆",""),IF(AND($D238&lt;BV$5+7,$E238&gt;BV$5),"■","")))</x:f>
      </x:c>
      <x:c r="BW238" s="7" t="str">
        <x:f>IF(OR($D238="",BW$5="",'상세일정'!AM238="제외"),"",IF($D238=$E238,IF(AND($D238&gt;=BW$5,$D238&lt;BW$5+7),"◆",""),IF(AND($D238&lt;BW$5+7,$E238&gt;BW$5),"■","")))</x:f>
      </x:c>
      <x:c r="BX238" s="7" t="str">
        <x:f>IF(OR($D238="",BX$5="",'상세일정'!AM238="제외"),"",IF($D238=$E238,IF(AND($D238&gt;=BX$5,$D238&lt;BX$5+7),"◆",""),IF(AND($D238&lt;BX$5+7,$E238&gt;BX$5),"■","")))</x:f>
      </x:c>
      <x:c r="BY238" s="7" t="str">
        <x:f>IF(OR($D238="",BY$5="",'상세일정'!AM238="제외"),"",IF($D238=$E238,IF(AND($D238&gt;=BY$5,$D238&lt;BY$5+7),"◆",""),IF(AND($D238&lt;BY$5+7,$E238&gt;BY$5),"■","")))</x:f>
      </x:c>
      <x:c r="BZ238" s="7" t="str">
        <x:f>IF(OR($D238="",BZ$5="",'상세일정'!AM238="제외"),"",IF($D238=$E238,IF(AND($D238&gt;=BZ$5,$D238&lt;BZ$5+7),"◆",""),IF(AND($D238&lt;BZ$5+7,$E238&gt;BZ$5),"■","")))</x:f>
      </x:c>
      <x:c r="CA238" s="7" t="str">
        <x:f>IF(OR($D238="",CA$5="",'상세일정'!AM238="제외"),"",IF($D238=$E238,IF(AND($D238&gt;=CA$5,$D238&lt;CA$5+7),"◆",""),IF(AND($D238&lt;CA$5+7,$E238&gt;CA$5),"■","")))</x:f>
      </x:c>
      <x:c r="CB238" s="7" t="str">
        <x:f>IF(OR($D238="",CB$5="",'상세일정'!AM238="제외"),"",IF($D238=$E238,IF(AND($D238&gt;=CB$5,$D238&lt;CB$5+7),"◆",""),IF(AND($D238&lt;CB$5+7,$E238&gt;CB$5),"■","")))</x:f>
      </x:c>
      <x:c r="CC238" s="7" t="str">
        <x:f>IF(OR($D238="",CC$5="",'상세일정'!AM238="제외"),"",IF($D238=$E238,IF(AND($D238&gt;=CC$5,$D238&lt;CC$5+7),"◆",""),IF(AND($D238&lt;CC$5+7,$E238&gt;CC$5),"■","")))</x:f>
      </x:c>
      <x:c r="CD238" s="7" t="str">
        <x:f>IF(OR($D238="",CD$5="",'상세일정'!AM238="제외"),"",IF($D238=$E238,IF(AND($D238&gt;=CD$5,$D238&lt;CD$5+7),"◆",""),IF(AND($D238&lt;CD$5+7,$E238&gt;CD$5),"■","")))</x:f>
      </x:c>
      <x:c r="CE238" s="7" t="str">
        <x:f>IF(OR($D238="",CE$5="",'상세일정'!AM238="제외"),"",IF($D238=$E238,IF(AND($D238&gt;=CE$5,$D238&lt;CE$5+7),"◆",""),IF(AND($D238&lt;CE$5+7,$E238&gt;CE$5),"■","")))</x:f>
      </x:c>
      <x:c r="CF238" s="7" t="str">
        <x:f>IF(OR($D238="",CF$5="",'상세일정'!AM238="제외"),"",IF($D238=$E238,IF(AND($D238&gt;=CF$5,$D238&lt;CF$5+7),"◆",""),IF(AND($D238&lt;CF$5+7,$E238&gt;CF$5),"■","")))</x:f>
      </x:c>
      <x:c r="CG238" s="7" t="str">
        <x:f>IF(OR($D238="",CG$5="",'상세일정'!AM238="제외"),"",IF($D238=$E238,IF(AND($D238&gt;=CG$5,$D238&lt;CG$5+7),"◆",""),IF(AND($D238&lt;CG$5+7,$E238&gt;CG$5),"■","")))</x:f>
      </x:c>
      <x:c r="CH238" s="7" t="str">
        <x:f>IF(OR($D238="",CH$5="",'상세일정'!AM238="제외"),"",IF($D238=$E238,IF(AND($D238&gt;=CH$5,$D238&lt;CH$5+7),"◆",""),IF(AND($D238&lt;CH$5+7,$E238&gt;CH$5),"■","")))</x:f>
      </x:c>
      <x:c r="CI238" s="7" t="str">
        <x:f>IF(OR($D238="",CI$5="",'상세일정'!AM238="제외"),"",IF($D238=$E238,IF(AND($D238&gt;=CI$5,$D238&lt;CI$5+7),"◆",""),IF(AND($D238&lt;CI$5+7,$E238&gt;CI$5),"■","")))</x:f>
      </x:c>
      <x:c r="CJ238" s="7" t="str">
        <x:f>IF(OR($D238="",CJ$5="",'상세일정'!AM238="제외"),"",IF($D238=$E238,IF(AND($D238&gt;=CJ$5,$D238&lt;CJ$5+7),"◆",""),IF(AND($D238&lt;CJ$5+7,$E238&gt;CJ$5),"■","")))</x:f>
      </x:c>
      <x:c r="CK238" s="7" t="str">
        <x:f>IF(OR($D238="",CK$5="",'상세일정'!AM238="제외"),"",IF($D238=$E238,IF(AND($D238&gt;=CK$5,$D238&lt;CK$5+7),"◆",""),IF(AND($D238&lt;CK$5+7,$E238&gt;CK$5),"■","")))</x:f>
      </x:c>
      <x:c r="CL238" s="7" t="str">
        <x:f>IF(OR($D238="",CL$5="",'상세일정'!AM238="제외"),"",IF($D238=$E238,IF(AND($D238&gt;=CL$5,$D238&lt;CL$5+7),"◆",""),IF(AND($D238&lt;CL$5+7,$E238&gt;CL$5),"■","")))</x:f>
      </x:c>
      <x:c r="CM238" s="7" t="str">
        <x:f>IF(OR($D238="",CM$5="",'상세일정'!AM238="제외"),"",IF($D238=$E238,IF(AND($D238&gt;=CM$5,$D238&lt;CM$5+7),"◆",""),IF(AND($D238&lt;CM$5+7,$E238&gt;CM$5),"■","")))</x:f>
      </x:c>
      <x:c r="CN238" s="7" t="str">
        <x:f>IF(OR($D238="",CN$5="",'상세일정'!AM238="제외"),"",IF($D238=$E238,IF(AND($D238&gt;=CN$5,$D238&lt;CN$5+7),"◆",""),IF(AND($D238&lt;CN$5+7,$E238&gt;CN$5),"■","")))</x:f>
      </x:c>
      <x:c r="CO238" s="7" t="str">
        <x:f>IF(OR($D238="",CO$5="",'상세일정'!AM238="제외"),"",IF($D238=$E238,IF(AND($D238&gt;=CO$5,$D238&lt;CO$5+7),"◆",""),IF(AND($D238&lt;CO$5+7,$E238&gt;CO$5),"■","")))</x:f>
      </x:c>
      <x:c r="CP238" s="7" t="str">
        <x:f>IF(OR($D238="",CP$5="",'상세일정'!AM238="제외"),"",IF($D238=$E238,IF(AND($D238&gt;=CP$5,$D238&lt;CP$5+7),"◆",""),IF(AND($D238&lt;CP$5+7,$E238&gt;CP$5),"■","")))</x:f>
      </x:c>
      <x:c r="CQ238" s="7" t="str">
        <x:f>IF(OR($D238="",CQ$5="",'상세일정'!AM238="제외"),"",IF($D238=$E238,IF(AND($D238&gt;=CQ$5,$D238&lt;CQ$5+7),"◆",""),IF(AND($D238&lt;CQ$5+7,$E238&gt;CQ$5),"■","")))</x:f>
      </x:c>
      <x:c r="CR238" s="7" t="str">
        <x:f>IF(OR($D238="",CR$5="",'상세일정'!AM238="제외"),"",IF($D238=$E238,IF(AND($D238&gt;=CR$5,$D238&lt;CR$5+7),"◆",""),IF(AND($D238&lt;CR$5+7,$E238&gt;CR$5),"■","")))</x:f>
      </x:c>
      <x:c r="CS238" s="7" t="str">
        <x:f>IF(OR($D238="",CS$5="",'상세일정'!AM238="제외"),"",IF($D238=$E238,IF(AND($D238&gt;=CS$5,$D238&lt;CS$5+7),"◆",""),IF(AND($D238&lt;CS$5+7,$E238&gt;CS$5),"■","")))</x:f>
      </x:c>
      <x:c r="CT238" s="7" t="str">
        <x:f>IF(OR($D238="",CT$5="",'상세일정'!AM238="제외"),"",IF($D238=$E238,IF(AND($D238&gt;=CT$5,$D238&lt;CT$5+7),"◆",""),IF(AND($D238&lt;CT$5+7,$E238&gt;CT$5),"■","")))</x:f>
      </x:c>
      <x:c r="CU238" s="7" t="str">
        <x:f>IF(OR($D238="",CU$5="",'상세일정'!AM238="제외"),"",IF($D238=$E238,IF(AND($D238&gt;=CU$5,$D238&lt;CU$5+7),"◆",""),IF(AND($D238&lt;CU$5+7,$E238&gt;CU$5),"■","")))</x:f>
      </x:c>
      <x:c r="CV238" s="7" t="str">
        <x:f>IF(OR($D238="",CV$5="",'상세일정'!AM238="제외"),"",IF($D238=$E238,IF(AND($D238&gt;=CV$5,$D238&lt;CV$5+7),"◆",""),IF(AND($D238&lt;CV$5+7,$E238&gt;CV$5),"■","")))</x:f>
      </x:c>
      <x:c r="CW238" s="7" t="str">
        <x:f>IF(OR($D238="",CW$5="",'상세일정'!AM238="제외"),"",IF($D238=$E238,IF(AND($D238&gt;=CW$5,$D238&lt;CW$5+7),"◆",""),IF(AND($D238&lt;CW$5+7,$E238&gt;CW$5),"■","")))</x:f>
      </x:c>
      <x:c r="CX238" s="7" t="str">
        <x:f>IF(OR($D238="",CX$5="",'상세일정'!AM238="제외"),"",IF($D238=$E238,IF(AND($D238&gt;=CX$5,$D238&lt;CX$5+7),"◆",""),IF(AND($D238&lt;CX$5+7,$E238&gt;CX$5),"■","")))</x:f>
      </x:c>
      <x:c r="CY238" s="7" t="str">
        <x:f>IF(OR($D238="",CY$5="",'상세일정'!AM238="제외"),"",IF($D238=$E238,IF(AND($D238&gt;=CY$5,$D238&lt;CY$5+7),"◆",""),IF(AND($D238&lt;CY$5+7,$E238&gt;CY$5),"■","")))</x:f>
      </x:c>
      <x:c r="CZ238" s="7" t="str">
        <x:f>IF(OR($D238="",CZ$5="",'상세일정'!AM238="제외"),"",IF($D238=$E238,IF(AND($D238&gt;=CZ$5,$D238&lt;CZ$5+7),"◆",""),IF(AND($D238&lt;CZ$5+7,$E238&gt;CZ$5),"■","")))</x:f>
      </x:c>
      <x:c r="DA238" s="7" t="str">
        <x:f>IF(OR($D238="",DA$5="",'상세일정'!AM238="제외"),"",IF($D238=$E238,IF(AND($D238&gt;=DA$5,$D238&lt;DA$5+7),"◆",""),IF(AND($D238&lt;DA$5+7,$E238&gt;DA$5),"■","")))</x:f>
      </x:c>
      <x:c r="DB238" s="7" t="str">
        <x:f>IF(OR($D238="",DB$5="",'상세일정'!AM238="제외"),"",IF($D238=$E238,IF(AND($D238&gt;=DB$5,$D238&lt;DB$5+7),"◆",""),IF(AND($D238&lt;DB$5+7,$E238&gt;DB$5),"■","")))</x:f>
      </x:c>
      <x:c r="DC238" s="7" t="str">
        <x:f>IF(OR($D238="",DC$5="",'상세일정'!AM238="제외"),"",IF($D238=$E238,IF(AND($D238&gt;=DC$5,$D238&lt;DC$5+7),"◆",""),IF(AND($D238&lt;DC$5+7,$E238&gt;DC$5),"■","")))</x:f>
      </x:c>
      <x:c r="DD238" s="7" t="str">
        <x:f>IF(OR($D238="",DD$5="",'상세일정'!AM238="제외"),"",IF($D238=$E238,IF(AND($D238&gt;=DD$5,$D238&lt;DD$5+7),"◆",""),IF(AND($D238&lt;DD$5+7,$E238&gt;DD$5),"■","")))</x:f>
      </x:c>
      <x:c r="DE238" s="7" t="str">
        <x:f>IF(OR($D238="",DE$5="",'상세일정'!AM238="제외"),"",IF($D238=$E238,IF(AND($D238&gt;=DE$5,$D238&lt;DE$5+7),"◆",""),IF(AND($D238&lt;DE$5+7,$E238&gt;DE$5),"■","")))</x:f>
      </x:c>
    </x:row>
    <x:row r="239" ht="34" customHeight="1">
      <x:c r="A239" s="7" t="str">
        <x:v>CO05</x:v>
      </x:c>
      <x:c r="B239" s="7" t="str">
        <x:v>28 가스투입·통합시운전</x:v>
      </x:c>
      <x:c r="C239" s="7" t="str">
        <x:v>성능·연속운전·보증조건 시험</x:v>
      </x:c>
      <x:c r="D239" s="10" t="str">
        <x:f>'상세일정'!AJ239</x:f>
      </x:c>
      <x:c r="E239" s="10" t="str">
        <x:f>'상세일정'!AK239</x:f>
      </x:c>
      <x:c r="F239" s="7" t="str">
        <x:f>IF(OR($D239="",F$5="",'상세일정'!AM239="제외"),"",IF($D239=$E239,IF(AND($D239&gt;=F$5,$D239&lt;F$5+7),"◆",""),IF(AND($D239&lt;F$5+7,$E239&gt;F$5),"■","")))</x:f>
      </x:c>
      <x:c r="G239" s="7" t="str">
        <x:f>IF(OR($D239="",G$5="",'상세일정'!AM239="제외"),"",IF($D239=$E239,IF(AND($D239&gt;=G$5,$D239&lt;G$5+7),"◆",""),IF(AND($D239&lt;G$5+7,$E239&gt;G$5),"■","")))</x:f>
      </x:c>
      <x:c r="H239" s="7" t="str">
        <x:f>IF(OR($D239="",H$5="",'상세일정'!AM239="제외"),"",IF($D239=$E239,IF(AND($D239&gt;=H$5,$D239&lt;H$5+7),"◆",""),IF(AND($D239&lt;H$5+7,$E239&gt;H$5),"■","")))</x:f>
      </x:c>
      <x:c r="I239" s="7" t="str">
        <x:f>IF(OR($D239="",I$5="",'상세일정'!AM239="제외"),"",IF($D239=$E239,IF(AND($D239&gt;=I$5,$D239&lt;I$5+7),"◆",""),IF(AND($D239&lt;I$5+7,$E239&gt;I$5),"■","")))</x:f>
      </x:c>
      <x:c r="J239" s="7" t="str">
        <x:f>IF(OR($D239="",J$5="",'상세일정'!AM239="제외"),"",IF($D239=$E239,IF(AND($D239&gt;=J$5,$D239&lt;J$5+7),"◆",""),IF(AND($D239&lt;J$5+7,$E239&gt;J$5),"■","")))</x:f>
      </x:c>
      <x:c r="K239" s="7" t="str">
        <x:f>IF(OR($D239="",K$5="",'상세일정'!AM239="제외"),"",IF($D239=$E239,IF(AND($D239&gt;=K$5,$D239&lt;K$5+7),"◆",""),IF(AND($D239&lt;K$5+7,$E239&gt;K$5),"■","")))</x:f>
      </x:c>
      <x:c r="L239" s="7" t="str">
        <x:f>IF(OR($D239="",L$5="",'상세일정'!AM239="제외"),"",IF($D239=$E239,IF(AND($D239&gt;=L$5,$D239&lt;L$5+7),"◆",""),IF(AND($D239&lt;L$5+7,$E239&gt;L$5),"■","")))</x:f>
      </x:c>
      <x:c r="M239" s="7" t="str">
        <x:f>IF(OR($D239="",M$5="",'상세일정'!AM239="제외"),"",IF($D239=$E239,IF(AND($D239&gt;=M$5,$D239&lt;M$5+7),"◆",""),IF(AND($D239&lt;M$5+7,$E239&gt;M$5),"■","")))</x:f>
      </x:c>
      <x:c r="N239" s="7" t="str">
        <x:f>IF(OR($D239="",N$5="",'상세일정'!AM239="제외"),"",IF($D239=$E239,IF(AND($D239&gt;=N$5,$D239&lt;N$5+7),"◆",""),IF(AND($D239&lt;N$5+7,$E239&gt;N$5),"■","")))</x:f>
      </x:c>
      <x:c r="O239" s="7" t="str">
        <x:f>IF(OR($D239="",O$5="",'상세일정'!AM239="제외"),"",IF($D239=$E239,IF(AND($D239&gt;=O$5,$D239&lt;O$5+7),"◆",""),IF(AND($D239&lt;O$5+7,$E239&gt;O$5),"■","")))</x:f>
      </x:c>
      <x:c r="P239" s="7" t="str">
        <x:f>IF(OR($D239="",P$5="",'상세일정'!AM239="제외"),"",IF($D239=$E239,IF(AND($D239&gt;=P$5,$D239&lt;P$5+7),"◆",""),IF(AND($D239&lt;P$5+7,$E239&gt;P$5),"■","")))</x:f>
      </x:c>
      <x:c r="Q239" s="7" t="str">
        <x:f>IF(OR($D239="",Q$5="",'상세일정'!AM239="제외"),"",IF($D239=$E239,IF(AND($D239&gt;=Q$5,$D239&lt;Q$5+7),"◆",""),IF(AND($D239&lt;Q$5+7,$E239&gt;Q$5),"■","")))</x:f>
      </x:c>
      <x:c r="R239" s="7" t="str">
        <x:f>IF(OR($D239="",R$5="",'상세일정'!AM239="제외"),"",IF($D239=$E239,IF(AND($D239&gt;=R$5,$D239&lt;R$5+7),"◆",""),IF(AND($D239&lt;R$5+7,$E239&gt;R$5),"■","")))</x:f>
      </x:c>
      <x:c r="S239" s="7" t="str">
        <x:f>IF(OR($D239="",S$5="",'상세일정'!AM239="제외"),"",IF($D239=$E239,IF(AND($D239&gt;=S$5,$D239&lt;S$5+7),"◆",""),IF(AND($D239&lt;S$5+7,$E239&gt;S$5),"■","")))</x:f>
      </x:c>
      <x:c r="T239" s="7" t="str">
        <x:f>IF(OR($D239="",T$5="",'상세일정'!AM239="제외"),"",IF($D239=$E239,IF(AND($D239&gt;=T$5,$D239&lt;T$5+7),"◆",""),IF(AND($D239&lt;T$5+7,$E239&gt;T$5),"■","")))</x:f>
      </x:c>
      <x:c r="U239" s="7" t="str">
        <x:f>IF(OR($D239="",U$5="",'상세일정'!AM239="제외"),"",IF($D239=$E239,IF(AND($D239&gt;=U$5,$D239&lt;U$5+7),"◆",""),IF(AND($D239&lt;U$5+7,$E239&gt;U$5),"■","")))</x:f>
      </x:c>
      <x:c r="V239" s="7" t="str">
        <x:f>IF(OR($D239="",V$5="",'상세일정'!AM239="제외"),"",IF($D239=$E239,IF(AND($D239&gt;=V$5,$D239&lt;V$5+7),"◆",""),IF(AND($D239&lt;V$5+7,$E239&gt;V$5),"■","")))</x:f>
      </x:c>
      <x:c r="W239" s="7" t="str">
        <x:f>IF(OR($D239="",W$5="",'상세일정'!AM239="제외"),"",IF($D239=$E239,IF(AND($D239&gt;=W$5,$D239&lt;W$5+7),"◆",""),IF(AND($D239&lt;W$5+7,$E239&gt;W$5),"■","")))</x:f>
      </x:c>
      <x:c r="X239" s="7" t="str">
        <x:f>IF(OR($D239="",X$5="",'상세일정'!AM239="제외"),"",IF($D239=$E239,IF(AND($D239&gt;=X$5,$D239&lt;X$5+7),"◆",""),IF(AND($D239&lt;X$5+7,$E239&gt;X$5),"■","")))</x:f>
      </x:c>
      <x:c r="Y239" s="7" t="str">
        <x:f>IF(OR($D239="",Y$5="",'상세일정'!AM239="제외"),"",IF($D239=$E239,IF(AND($D239&gt;=Y$5,$D239&lt;Y$5+7),"◆",""),IF(AND($D239&lt;Y$5+7,$E239&gt;Y$5),"■","")))</x:f>
      </x:c>
      <x:c r="Z239" s="7" t="str">
        <x:f>IF(OR($D239="",Z$5="",'상세일정'!AM239="제외"),"",IF($D239=$E239,IF(AND($D239&gt;=Z$5,$D239&lt;Z$5+7),"◆",""),IF(AND($D239&lt;Z$5+7,$E239&gt;Z$5),"■","")))</x:f>
      </x:c>
      <x:c r="AA239" s="7" t="str">
        <x:f>IF(OR($D239="",AA$5="",'상세일정'!AM239="제외"),"",IF($D239=$E239,IF(AND($D239&gt;=AA$5,$D239&lt;AA$5+7),"◆",""),IF(AND($D239&lt;AA$5+7,$E239&gt;AA$5),"■","")))</x:f>
      </x:c>
      <x:c r="AB239" s="7" t="str">
        <x:f>IF(OR($D239="",AB$5="",'상세일정'!AM239="제외"),"",IF($D239=$E239,IF(AND($D239&gt;=AB$5,$D239&lt;AB$5+7),"◆",""),IF(AND($D239&lt;AB$5+7,$E239&gt;AB$5),"■","")))</x:f>
      </x:c>
      <x:c r="AC239" s="7" t="str">
        <x:f>IF(OR($D239="",AC$5="",'상세일정'!AM239="제외"),"",IF($D239=$E239,IF(AND($D239&gt;=AC$5,$D239&lt;AC$5+7),"◆",""),IF(AND($D239&lt;AC$5+7,$E239&gt;AC$5),"■","")))</x:f>
      </x:c>
      <x:c r="AD239" s="7" t="str">
        <x:f>IF(OR($D239="",AD$5="",'상세일정'!AM239="제외"),"",IF($D239=$E239,IF(AND($D239&gt;=AD$5,$D239&lt;AD$5+7),"◆",""),IF(AND($D239&lt;AD$5+7,$E239&gt;AD$5),"■","")))</x:f>
      </x:c>
      <x:c r="AE239" s="7" t="str">
        <x:f>IF(OR($D239="",AE$5="",'상세일정'!AM239="제외"),"",IF($D239=$E239,IF(AND($D239&gt;=AE$5,$D239&lt;AE$5+7),"◆",""),IF(AND($D239&lt;AE$5+7,$E239&gt;AE$5),"■","")))</x:f>
      </x:c>
      <x:c r="AF239" s="7" t="str">
        <x:f>IF(OR($D239="",AF$5="",'상세일정'!AM239="제외"),"",IF($D239=$E239,IF(AND($D239&gt;=AF$5,$D239&lt;AF$5+7),"◆",""),IF(AND($D239&lt;AF$5+7,$E239&gt;AF$5),"■","")))</x:f>
      </x:c>
      <x:c r="AG239" s="7" t="str">
        <x:f>IF(OR($D239="",AG$5="",'상세일정'!AM239="제외"),"",IF($D239=$E239,IF(AND($D239&gt;=AG$5,$D239&lt;AG$5+7),"◆",""),IF(AND($D239&lt;AG$5+7,$E239&gt;AG$5),"■","")))</x:f>
      </x:c>
      <x:c r="AH239" s="7" t="str">
        <x:f>IF(OR($D239="",AH$5="",'상세일정'!AM239="제외"),"",IF($D239=$E239,IF(AND($D239&gt;=AH$5,$D239&lt;AH$5+7),"◆",""),IF(AND($D239&lt;AH$5+7,$E239&gt;AH$5),"■","")))</x:f>
      </x:c>
      <x:c r="AI239" s="7" t="str">
        <x:f>IF(OR($D239="",AI$5="",'상세일정'!AM239="제외"),"",IF($D239=$E239,IF(AND($D239&gt;=AI$5,$D239&lt;AI$5+7),"◆",""),IF(AND($D239&lt;AI$5+7,$E239&gt;AI$5),"■","")))</x:f>
      </x:c>
      <x:c r="AJ239" s="7" t="str">
        <x:f>IF(OR($D239="",AJ$5="",'상세일정'!AM239="제외"),"",IF($D239=$E239,IF(AND($D239&gt;=AJ$5,$D239&lt;AJ$5+7),"◆",""),IF(AND($D239&lt;AJ$5+7,$E239&gt;AJ$5),"■","")))</x:f>
      </x:c>
      <x:c r="AK239" s="7" t="str">
        <x:f>IF(OR($D239="",AK$5="",'상세일정'!AM239="제외"),"",IF($D239=$E239,IF(AND($D239&gt;=AK$5,$D239&lt;AK$5+7),"◆",""),IF(AND($D239&lt;AK$5+7,$E239&gt;AK$5),"■","")))</x:f>
      </x:c>
      <x:c r="AL239" s="7" t="str">
        <x:f>IF(OR($D239="",AL$5="",'상세일정'!AM239="제외"),"",IF($D239=$E239,IF(AND($D239&gt;=AL$5,$D239&lt;AL$5+7),"◆",""),IF(AND($D239&lt;AL$5+7,$E239&gt;AL$5),"■","")))</x:f>
      </x:c>
      <x:c r="AM239" s="7" t="str">
        <x:f>IF(OR($D239="",AM$5="",'상세일정'!AM239="제외"),"",IF($D239=$E239,IF(AND($D239&gt;=AM$5,$D239&lt;AM$5+7),"◆",""),IF(AND($D239&lt;AM$5+7,$E239&gt;AM$5),"■","")))</x:f>
      </x:c>
      <x:c r="AN239" s="7" t="str">
        <x:f>IF(OR($D239="",AN$5="",'상세일정'!AM239="제외"),"",IF($D239=$E239,IF(AND($D239&gt;=AN$5,$D239&lt;AN$5+7),"◆",""),IF(AND($D239&lt;AN$5+7,$E239&gt;AN$5),"■","")))</x:f>
      </x:c>
      <x:c r="AO239" s="7" t="str">
        <x:f>IF(OR($D239="",AO$5="",'상세일정'!AM239="제외"),"",IF($D239=$E239,IF(AND($D239&gt;=AO$5,$D239&lt;AO$5+7),"◆",""),IF(AND($D239&lt;AO$5+7,$E239&gt;AO$5),"■","")))</x:f>
      </x:c>
      <x:c r="AP239" s="7" t="str">
        <x:f>IF(OR($D239="",AP$5="",'상세일정'!AM239="제외"),"",IF($D239=$E239,IF(AND($D239&gt;=AP$5,$D239&lt;AP$5+7),"◆",""),IF(AND($D239&lt;AP$5+7,$E239&gt;AP$5),"■","")))</x:f>
      </x:c>
      <x:c r="AQ239" s="7" t="str">
        <x:f>IF(OR($D239="",AQ$5="",'상세일정'!AM239="제외"),"",IF($D239=$E239,IF(AND($D239&gt;=AQ$5,$D239&lt;AQ$5+7),"◆",""),IF(AND($D239&lt;AQ$5+7,$E239&gt;AQ$5),"■","")))</x:f>
      </x:c>
      <x:c r="AR239" s="7" t="str">
        <x:f>IF(OR($D239="",AR$5="",'상세일정'!AM239="제외"),"",IF($D239=$E239,IF(AND($D239&gt;=AR$5,$D239&lt;AR$5+7),"◆",""),IF(AND($D239&lt;AR$5+7,$E239&gt;AR$5),"■","")))</x:f>
      </x:c>
      <x:c r="AS239" s="7" t="str">
        <x:f>IF(OR($D239="",AS$5="",'상세일정'!AM239="제외"),"",IF($D239=$E239,IF(AND($D239&gt;=AS$5,$D239&lt;AS$5+7),"◆",""),IF(AND($D239&lt;AS$5+7,$E239&gt;AS$5),"■","")))</x:f>
      </x:c>
      <x:c r="AT239" s="7" t="str">
        <x:f>IF(OR($D239="",AT$5="",'상세일정'!AM239="제외"),"",IF($D239=$E239,IF(AND($D239&gt;=AT$5,$D239&lt;AT$5+7),"◆",""),IF(AND($D239&lt;AT$5+7,$E239&gt;AT$5),"■","")))</x:f>
      </x:c>
      <x:c r="AU239" s="7" t="str">
        <x:f>IF(OR($D239="",AU$5="",'상세일정'!AM239="제외"),"",IF($D239=$E239,IF(AND($D239&gt;=AU$5,$D239&lt;AU$5+7),"◆",""),IF(AND($D239&lt;AU$5+7,$E239&gt;AU$5),"■","")))</x:f>
      </x:c>
      <x:c r="AV239" s="7" t="str">
        <x:f>IF(OR($D239="",AV$5="",'상세일정'!AM239="제외"),"",IF($D239=$E239,IF(AND($D239&gt;=AV$5,$D239&lt;AV$5+7),"◆",""),IF(AND($D239&lt;AV$5+7,$E239&gt;AV$5),"■","")))</x:f>
      </x:c>
      <x:c r="AW239" s="7" t="str">
        <x:f>IF(OR($D239="",AW$5="",'상세일정'!AM239="제외"),"",IF($D239=$E239,IF(AND($D239&gt;=AW$5,$D239&lt;AW$5+7),"◆",""),IF(AND($D239&lt;AW$5+7,$E239&gt;AW$5),"■","")))</x:f>
      </x:c>
      <x:c r="AX239" s="7" t="str">
        <x:f>IF(OR($D239="",AX$5="",'상세일정'!AM239="제외"),"",IF($D239=$E239,IF(AND($D239&gt;=AX$5,$D239&lt;AX$5+7),"◆",""),IF(AND($D239&lt;AX$5+7,$E239&gt;AX$5),"■","")))</x:f>
      </x:c>
      <x:c r="AY239" s="7" t="str">
        <x:f>IF(OR($D239="",AY$5="",'상세일정'!AM239="제외"),"",IF($D239=$E239,IF(AND($D239&gt;=AY$5,$D239&lt;AY$5+7),"◆",""),IF(AND($D239&lt;AY$5+7,$E239&gt;AY$5),"■","")))</x:f>
      </x:c>
      <x:c r="AZ239" s="7" t="str">
        <x:f>IF(OR($D239="",AZ$5="",'상세일정'!AM239="제외"),"",IF($D239=$E239,IF(AND($D239&gt;=AZ$5,$D239&lt;AZ$5+7),"◆",""),IF(AND($D239&lt;AZ$5+7,$E239&gt;AZ$5),"■","")))</x:f>
      </x:c>
      <x:c r="BA239" s="7" t="str">
        <x:f>IF(OR($D239="",BA$5="",'상세일정'!AM239="제외"),"",IF($D239=$E239,IF(AND($D239&gt;=BA$5,$D239&lt;BA$5+7),"◆",""),IF(AND($D239&lt;BA$5+7,$E239&gt;BA$5),"■","")))</x:f>
      </x:c>
      <x:c r="BB239" s="7" t="str">
        <x:f>IF(OR($D239="",BB$5="",'상세일정'!AM239="제외"),"",IF($D239=$E239,IF(AND($D239&gt;=BB$5,$D239&lt;BB$5+7),"◆",""),IF(AND($D239&lt;BB$5+7,$E239&gt;BB$5),"■","")))</x:f>
      </x:c>
      <x:c r="BC239" s="7" t="str">
        <x:f>IF(OR($D239="",BC$5="",'상세일정'!AM239="제외"),"",IF($D239=$E239,IF(AND($D239&gt;=BC$5,$D239&lt;BC$5+7),"◆",""),IF(AND($D239&lt;BC$5+7,$E239&gt;BC$5),"■","")))</x:f>
      </x:c>
      <x:c r="BD239" s="7" t="str">
        <x:f>IF(OR($D239="",BD$5="",'상세일정'!AM239="제외"),"",IF($D239=$E239,IF(AND($D239&gt;=BD$5,$D239&lt;BD$5+7),"◆",""),IF(AND($D239&lt;BD$5+7,$E239&gt;BD$5),"■","")))</x:f>
      </x:c>
      <x:c r="BE239" s="7" t="str">
        <x:f>IF(OR($D239="",BE$5="",'상세일정'!AM239="제외"),"",IF($D239=$E239,IF(AND($D239&gt;=BE$5,$D239&lt;BE$5+7),"◆",""),IF(AND($D239&lt;BE$5+7,$E239&gt;BE$5),"■","")))</x:f>
      </x:c>
      <x:c r="BF239" s="7" t="str">
        <x:f>IF(OR($D239="",BF$5="",'상세일정'!AM239="제외"),"",IF($D239=$E239,IF(AND($D239&gt;=BF$5,$D239&lt;BF$5+7),"◆",""),IF(AND($D239&lt;BF$5+7,$E239&gt;BF$5),"■","")))</x:f>
      </x:c>
      <x:c r="BG239" s="7" t="str">
        <x:f>IF(OR($D239="",BG$5="",'상세일정'!AM239="제외"),"",IF($D239=$E239,IF(AND($D239&gt;=BG$5,$D239&lt;BG$5+7),"◆",""),IF(AND($D239&lt;BG$5+7,$E239&gt;BG$5),"■","")))</x:f>
      </x:c>
      <x:c r="BH239" s="7" t="str">
        <x:f>IF(OR($D239="",BH$5="",'상세일정'!AM239="제외"),"",IF($D239=$E239,IF(AND($D239&gt;=BH$5,$D239&lt;BH$5+7),"◆",""),IF(AND($D239&lt;BH$5+7,$E239&gt;BH$5),"■","")))</x:f>
      </x:c>
      <x:c r="BI239" s="7" t="str">
        <x:f>IF(OR($D239="",BI$5="",'상세일정'!AM239="제외"),"",IF($D239=$E239,IF(AND($D239&gt;=BI$5,$D239&lt;BI$5+7),"◆",""),IF(AND($D239&lt;BI$5+7,$E239&gt;BI$5),"■","")))</x:f>
      </x:c>
      <x:c r="BJ239" s="7" t="str">
        <x:f>IF(OR($D239="",BJ$5="",'상세일정'!AM239="제외"),"",IF($D239=$E239,IF(AND($D239&gt;=BJ$5,$D239&lt;BJ$5+7),"◆",""),IF(AND($D239&lt;BJ$5+7,$E239&gt;BJ$5),"■","")))</x:f>
      </x:c>
      <x:c r="BK239" s="7" t="str">
        <x:f>IF(OR($D239="",BK$5="",'상세일정'!AM239="제외"),"",IF($D239=$E239,IF(AND($D239&gt;=BK$5,$D239&lt;BK$5+7),"◆",""),IF(AND($D239&lt;BK$5+7,$E239&gt;BK$5),"■","")))</x:f>
      </x:c>
      <x:c r="BL239" s="7" t="str">
        <x:f>IF(OR($D239="",BL$5="",'상세일정'!AM239="제외"),"",IF($D239=$E239,IF(AND($D239&gt;=BL$5,$D239&lt;BL$5+7),"◆",""),IF(AND($D239&lt;BL$5+7,$E239&gt;BL$5),"■","")))</x:f>
      </x:c>
      <x:c r="BM239" s="7" t="str">
        <x:f>IF(OR($D239="",BM$5="",'상세일정'!AM239="제외"),"",IF($D239=$E239,IF(AND($D239&gt;=BM$5,$D239&lt;BM$5+7),"◆",""),IF(AND($D239&lt;BM$5+7,$E239&gt;BM$5),"■","")))</x:f>
      </x:c>
      <x:c r="BN239" s="7" t="str">
        <x:f>IF(OR($D239="",BN$5="",'상세일정'!AM239="제외"),"",IF($D239=$E239,IF(AND($D239&gt;=BN$5,$D239&lt;BN$5+7),"◆",""),IF(AND($D239&lt;BN$5+7,$E239&gt;BN$5),"■","")))</x:f>
      </x:c>
      <x:c r="BO239" s="7" t="str">
        <x:f>IF(OR($D239="",BO$5="",'상세일정'!AM239="제외"),"",IF($D239=$E239,IF(AND($D239&gt;=BO$5,$D239&lt;BO$5+7),"◆",""),IF(AND($D239&lt;BO$5+7,$E239&gt;BO$5),"■","")))</x:f>
      </x:c>
      <x:c r="BP239" s="7" t="str">
        <x:f>IF(OR($D239="",BP$5="",'상세일정'!AM239="제외"),"",IF($D239=$E239,IF(AND($D239&gt;=BP$5,$D239&lt;BP$5+7),"◆",""),IF(AND($D239&lt;BP$5+7,$E239&gt;BP$5),"■","")))</x:f>
      </x:c>
      <x:c r="BQ239" s="7" t="str">
        <x:f>IF(OR($D239="",BQ$5="",'상세일정'!AM239="제외"),"",IF($D239=$E239,IF(AND($D239&gt;=BQ$5,$D239&lt;BQ$5+7),"◆",""),IF(AND($D239&lt;BQ$5+7,$E239&gt;BQ$5),"■","")))</x:f>
      </x:c>
      <x:c r="BR239" s="7" t="str">
        <x:f>IF(OR($D239="",BR$5="",'상세일정'!AM239="제외"),"",IF($D239=$E239,IF(AND($D239&gt;=BR$5,$D239&lt;BR$5+7),"◆",""),IF(AND($D239&lt;BR$5+7,$E239&gt;BR$5),"■","")))</x:f>
      </x:c>
      <x:c r="BS239" s="7" t="str">
        <x:f>IF(OR($D239="",BS$5="",'상세일정'!AM239="제외"),"",IF($D239=$E239,IF(AND($D239&gt;=BS$5,$D239&lt;BS$5+7),"◆",""),IF(AND($D239&lt;BS$5+7,$E239&gt;BS$5),"■","")))</x:f>
      </x:c>
      <x:c r="BT239" s="7" t="str">
        <x:f>IF(OR($D239="",BT$5="",'상세일정'!AM239="제외"),"",IF($D239=$E239,IF(AND($D239&gt;=BT$5,$D239&lt;BT$5+7),"◆",""),IF(AND($D239&lt;BT$5+7,$E239&gt;BT$5),"■","")))</x:f>
      </x:c>
      <x:c r="BU239" s="7" t="str">
        <x:f>IF(OR($D239="",BU$5="",'상세일정'!AM239="제외"),"",IF($D239=$E239,IF(AND($D239&gt;=BU$5,$D239&lt;BU$5+7),"◆",""),IF(AND($D239&lt;BU$5+7,$E239&gt;BU$5),"■","")))</x:f>
      </x:c>
      <x:c r="BV239" s="7" t="str">
        <x:f>IF(OR($D239="",BV$5="",'상세일정'!AM239="제외"),"",IF($D239=$E239,IF(AND($D239&gt;=BV$5,$D239&lt;BV$5+7),"◆",""),IF(AND($D239&lt;BV$5+7,$E239&gt;BV$5),"■","")))</x:f>
      </x:c>
      <x:c r="BW239" s="7" t="str">
        <x:f>IF(OR($D239="",BW$5="",'상세일정'!AM239="제외"),"",IF($D239=$E239,IF(AND($D239&gt;=BW$5,$D239&lt;BW$5+7),"◆",""),IF(AND($D239&lt;BW$5+7,$E239&gt;BW$5),"■","")))</x:f>
      </x:c>
      <x:c r="BX239" s="7" t="str">
        <x:f>IF(OR($D239="",BX$5="",'상세일정'!AM239="제외"),"",IF($D239=$E239,IF(AND($D239&gt;=BX$5,$D239&lt;BX$5+7),"◆",""),IF(AND($D239&lt;BX$5+7,$E239&gt;BX$5),"■","")))</x:f>
      </x:c>
      <x:c r="BY239" s="7" t="str">
        <x:f>IF(OR($D239="",BY$5="",'상세일정'!AM239="제외"),"",IF($D239=$E239,IF(AND($D239&gt;=BY$5,$D239&lt;BY$5+7),"◆",""),IF(AND($D239&lt;BY$5+7,$E239&gt;BY$5),"■","")))</x:f>
      </x:c>
      <x:c r="BZ239" s="7" t="str">
        <x:f>IF(OR($D239="",BZ$5="",'상세일정'!AM239="제외"),"",IF($D239=$E239,IF(AND($D239&gt;=BZ$5,$D239&lt;BZ$5+7),"◆",""),IF(AND($D239&lt;BZ$5+7,$E239&gt;BZ$5),"■","")))</x:f>
      </x:c>
      <x:c r="CA239" s="7" t="str">
        <x:f>IF(OR($D239="",CA$5="",'상세일정'!AM239="제외"),"",IF($D239=$E239,IF(AND($D239&gt;=CA$5,$D239&lt;CA$5+7),"◆",""),IF(AND($D239&lt;CA$5+7,$E239&gt;CA$5),"■","")))</x:f>
      </x:c>
      <x:c r="CB239" s="7" t="str">
        <x:f>IF(OR($D239="",CB$5="",'상세일정'!AM239="제외"),"",IF($D239=$E239,IF(AND($D239&gt;=CB$5,$D239&lt;CB$5+7),"◆",""),IF(AND($D239&lt;CB$5+7,$E239&gt;CB$5),"■","")))</x:f>
      </x:c>
      <x:c r="CC239" s="7" t="str">
        <x:f>IF(OR($D239="",CC$5="",'상세일정'!AM239="제외"),"",IF($D239=$E239,IF(AND($D239&gt;=CC$5,$D239&lt;CC$5+7),"◆",""),IF(AND($D239&lt;CC$5+7,$E239&gt;CC$5),"■","")))</x:f>
      </x:c>
      <x:c r="CD239" s="7" t="str">
        <x:f>IF(OR($D239="",CD$5="",'상세일정'!AM239="제외"),"",IF($D239=$E239,IF(AND($D239&gt;=CD$5,$D239&lt;CD$5+7),"◆",""),IF(AND($D239&lt;CD$5+7,$E239&gt;CD$5),"■","")))</x:f>
      </x:c>
      <x:c r="CE239" s="7" t="str">
        <x:f>IF(OR($D239="",CE$5="",'상세일정'!AM239="제외"),"",IF($D239=$E239,IF(AND($D239&gt;=CE$5,$D239&lt;CE$5+7),"◆",""),IF(AND($D239&lt;CE$5+7,$E239&gt;CE$5),"■","")))</x:f>
      </x:c>
      <x:c r="CF239" s="7" t="str">
        <x:f>IF(OR($D239="",CF$5="",'상세일정'!AM239="제외"),"",IF($D239=$E239,IF(AND($D239&gt;=CF$5,$D239&lt;CF$5+7),"◆",""),IF(AND($D239&lt;CF$5+7,$E239&gt;CF$5),"■","")))</x:f>
      </x:c>
      <x:c r="CG239" s="7" t="str">
        <x:f>IF(OR($D239="",CG$5="",'상세일정'!AM239="제외"),"",IF($D239=$E239,IF(AND($D239&gt;=CG$5,$D239&lt;CG$5+7),"◆",""),IF(AND($D239&lt;CG$5+7,$E239&gt;CG$5),"■","")))</x:f>
      </x:c>
      <x:c r="CH239" s="7" t="str">
        <x:f>IF(OR($D239="",CH$5="",'상세일정'!AM239="제외"),"",IF($D239=$E239,IF(AND($D239&gt;=CH$5,$D239&lt;CH$5+7),"◆",""),IF(AND($D239&lt;CH$5+7,$E239&gt;CH$5),"■","")))</x:f>
      </x:c>
      <x:c r="CI239" s="7" t="str">
        <x:f>IF(OR($D239="",CI$5="",'상세일정'!AM239="제외"),"",IF($D239=$E239,IF(AND($D239&gt;=CI$5,$D239&lt;CI$5+7),"◆",""),IF(AND($D239&lt;CI$5+7,$E239&gt;CI$5),"■","")))</x:f>
      </x:c>
      <x:c r="CJ239" s="7" t="str">
        <x:f>IF(OR($D239="",CJ$5="",'상세일정'!AM239="제외"),"",IF($D239=$E239,IF(AND($D239&gt;=CJ$5,$D239&lt;CJ$5+7),"◆",""),IF(AND($D239&lt;CJ$5+7,$E239&gt;CJ$5),"■","")))</x:f>
      </x:c>
      <x:c r="CK239" s="7" t="str">
        <x:f>IF(OR($D239="",CK$5="",'상세일정'!AM239="제외"),"",IF($D239=$E239,IF(AND($D239&gt;=CK$5,$D239&lt;CK$5+7),"◆",""),IF(AND($D239&lt;CK$5+7,$E239&gt;CK$5),"■","")))</x:f>
      </x:c>
      <x:c r="CL239" s="7" t="str">
        <x:f>IF(OR($D239="",CL$5="",'상세일정'!AM239="제외"),"",IF($D239=$E239,IF(AND($D239&gt;=CL$5,$D239&lt;CL$5+7),"◆",""),IF(AND($D239&lt;CL$5+7,$E239&gt;CL$5),"■","")))</x:f>
      </x:c>
      <x:c r="CM239" s="7" t="str">
        <x:f>IF(OR($D239="",CM$5="",'상세일정'!AM239="제외"),"",IF($D239=$E239,IF(AND($D239&gt;=CM$5,$D239&lt;CM$5+7),"◆",""),IF(AND($D239&lt;CM$5+7,$E239&gt;CM$5),"■","")))</x:f>
      </x:c>
      <x:c r="CN239" s="7" t="str">
        <x:f>IF(OR($D239="",CN$5="",'상세일정'!AM239="제외"),"",IF($D239=$E239,IF(AND($D239&gt;=CN$5,$D239&lt;CN$5+7),"◆",""),IF(AND($D239&lt;CN$5+7,$E239&gt;CN$5),"■","")))</x:f>
      </x:c>
      <x:c r="CO239" s="7" t="str">
        <x:f>IF(OR($D239="",CO$5="",'상세일정'!AM239="제외"),"",IF($D239=$E239,IF(AND($D239&gt;=CO$5,$D239&lt;CO$5+7),"◆",""),IF(AND($D239&lt;CO$5+7,$E239&gt;CO$5),"■","")))</x:f>
      </x:c>
      <x:c r="CP239" s="7" t="str">
        <x:f>IF(OR($D239="",CP$5="",'상세일정'!AM239="제외"),"",IF($D239=$E239,IF(AND($D239&gt;=CP$5,$D239&lt;CP$5+7),"◆",""),IF(AND($D239&lt;CP$5+7,$E239&gt;CP$5),"■","")))</x:f>
      </x:c>
      <x:c r="CQ239" s="7" t="str">
        <x:f>IF(OR($D239="",CQ$5="",'상세일정'!AM239="제외"),"",IF($D239=$E239,IF(AND($D239&gt;=CQ$5,$D239&lt;CQ$5+7),"◆",""),IF(AND($D239&lt;CQ$5+7,$E239&gt;CQ$5),"■","")))</x:f>
      </x:c>
      <x:c r="CR239" s="7" t="str">
        <x:f>IF(OR($D239="",CR$5="",'상세일정'!AM239="제외"),"",IF($D239=$E239,IF(AND($D239&gt;=CR$5,$D239&lt;CR$5+7),"◆",""),IF(AND($D239&lt;CR$5+7,$E239&gt;CR$5),"■","")))</x:f>
      </x:c>
      <x:c r="CS239" s="7" t="str">
        <x:f>IF(OR($D239="",CS$5="",'상세일정'!AM239="제외"),"",IF($D239=$E239,IF(AND($D239&gt;=CS$5,$D239&lt;CS$5+7),"◆",""),IF(AND($D239&lt;CS$5+7,$E239&gt;CS$5),"■","")))</x:f>
      </x:c>
      <x:c r="CT239" s="7" t="str">
        <x:f>IF(OR($D239="",CT$5="",'상세일정'!AM239="제외"),"",IF($D239=$E239,IF(AND($D239&gt;=CT$5,$D239&lt;CT$5+7),"◆",""),IF(AND($D239&lt;CT$5+7,$E239&gt;CT$5),"■","")))</x:f>
      </x:c>
      <x:c r="CU239" s="7" t="str">
        <x:f>IF(OR($D239="",CU$5="",'상세일정'!AM239="제외"),"",IF($D239=$E239,IF(AND($D239&gt;=CU$5,$D239&lt;CU$5+7),"◆",""),IF(AND($D239&lt;CU$5+7,$E239&gt;CU$5),"■","")))</x:f>
      </x:c>
      <x:c r="CV239" s="7" t="str">
        <x:f>IF(OR($D239="",CV$5="",'상세일정'!AM239="제외"),"",IF($D239=$E239,IF(AND($D239&gt;=CV$5,$D239&lt;CV$5+7),"◆",""),IF(AND($D239&lt;CV$5+7,$E239&gt;CV$5),"■","")))</x:f>
      </x:c>
      <x:c r="CW239" s="7" t="str">
        <x:f>IF(OR($D239="",CW$5="",'상세일정'!AM239="제외"),"",IF($D239=$E239,IF(AND($D239&gt;=CW$5,$D239&lt;CW$5+7),"◆",""),IF(AND($D239&lt;CW$5+7,$E239&gt;CW$5),"■","")))</x:f>
      </x:c>
      <x:c r="CX239" s="7" t="str">
        <x:f>IF(OR($D239="",CX$5="",'상세일정'!AM239="제외"),"",IF($D239=$E239,IF(AND($D239&gt;=CX$5,$D239&lt;CX$5+7),"◆",""),IF(AND($D239&lt;CX$5+7,$E239&gt;CX$5),"■","")))</x:f>
      </x:c>
      <x:c r="CY239" s="7" t="str">
        <x:f>IF(OR($D239="",CY$5="",'상세일정'!AM239="제외"),"",IF($D239=$E239,IF(AND($D239&gt;=CY$5,$D239&lt;CY$5+7),"◆",""),IF(AND($D239&lt;CY$5+7,$E239&gt;CY$5),"■","")))</x:f>
      </x:c>
      <x:c r="CZ239" s="7" t="str">
        <x:f>IF(OR($D239="",CZ$5="",'상세일정'!AM239="제외"),"",IF($D239=$E239,IF(AND($D239&gt;=CZ$5,$D239&lt;CZ$5+7),"◆",""),IF(AND($D239&lt;CZ$5+7,$E239&gt;CZ$5),"■","")))</x:f>
      </x:c>
      <x:c r="DA239" s="7" t="str">
        <x:f>IF(OR($D239="",DA$5="",'상세일정'!AM239="제외"),"",IF($D239=$E239,IF(AND($D239&gt;=DA$5,$D239&lt;DA$5+7),"◆",""),IF(AND($D239&lt;DA$5+7,$E239&gt;DA$5),"■","")))</x:f>
      </x:c>
      <x:c r="DB239" s="7" t="str">
        <x:f>IF(OR($D239="",DB$5="",'상세일정'!AM239="제외"),"",IF($D239=$E239,IF(AND($D239&gt;=DB$5,$D239&lt;DB$5+7),"◆",""),IF(AND($D239&lt;DB$5+7,$E239&gt;DB$5),"■","")))</x:f>
      </x:c>
      <x:c r="DC239" s="7" t="str">
        <x:f>IF(OR($D239="",DC$5="",'상세일정'!AM239="제외"),"",IF($D239=$E239,IF(AND($D239&gt;=DC$5,$D239&lt;DC$5+7),"◆",""),IF(AND($D239&lt;DC$5+7,$E239&gt;DC$5),"■","")))</x:f>
      </x:c>
      <x:c r="DD239" s="7" t="str">
        <x:f>IF(OR($D239="",DD$5="",'상세일정'!AM239="제외"),"",IF($D239=$E239,IF(AND($D239&gt;=DD$5,$D239&lt;DD$5+7),"◆",""),IF(AND($D239&lt;DD$5+7,$E239&gt;DD$5),"■","")))</x:f>
      </x:c>
      <x:c r="DE239" s="7" t="str">
        <x:f>IF(OR($D239="",DE$5="",'상세일정'!AM239="제외"),"",IF($D239=$E239,IF(AND($D239&gt;=DE$5,$D239&lt;DE$5+7),"◆",""),IF(AND($D239&lt;DE$5+7,$E239&gt;DE$5),"■","")))</x:f>
      </x:c>
    </x:row>
    <x:row r="240" ht="34" customHeight="1">
      <x:c r="A240" s="7" t="str">
        <x:v>CO06</x:v>
      </x:c>
      <x:c r="B240" s="7" t="str">
        <x:v>28 가스투입·통합시운전</x:v>
      </x:c>
      <x:c r="C240" s="7" t="str">
        <x:v>유해위험방지계획 현장확인 및 보완 종료</x:v>
      </x:c>
      <x:c r="D240" s="10" t="str">
        <x:f>'상세일정'!AJ240</x:f>
      </x:c>
      <x:c r="E240" s="10" t="str">
        <x:f>'상세일정'!AK240</x:f>
      </x:c>
      <x:c r="F240" s="7" t="str">
        <x:f>IF(OR($D240="",F$5="",'상세일정'!AM240="제외"),"",IF($D240=$E240,IF(AND($D240&gt;=F$5,$D240&lt;F$5+7),"◆",""),IF(AND($D240&lt;F$5+7,$E240&gt;F$5),"■","")))</x:f>
      </x:c>
      <x:c r="G240" s="7" t="str">
        <x:f>IF(OR($D240="",G$5="",'상세일정'!AM240="제외"),"",IF($D240=$E240,IF(AND($D240&gt;=G$5,$D240&lt;G$5+7),"◆",""),IF(AND($D240&lt;G$5+7,$E240&gt;G$5),"■","")))</x:f>
      </x:c>
      <x:c r="H240" s="7" t="str">
        <x:f>IF(OR($D240="",H$5="",'상세일정'!AM240="제외"),"",IF($D240=$E240,IF(AND($D240&gt;=H$5,$D240&lt;H$5+7),"◆",""),IF(AND($D240&lt;H$5+7,$E240&gt;H$5),"■","")))</x:f>
      </x:c>
      <x:c r="I240" s="7" t="str">
        <x:f>IF(OR($D240="",I$5="",'상세일정'!AM240="제외"),"",IF($D240=$E240,IF(AND($D240&gt;=I$5,$D240&lt;I$5+7),"◆",""),IF(AND($D240&lt;I$5+7,$E240&gt;I$5),"■","")))</x:f>
      </x:c>
      <x:c r="J240" s="7" t="str">
        <x:f>IF(OR($D240="",J$5="",'상세일정'!AM240="제외"),"",IF($D240=$E240,IF(AND($D240&gt;=J$5,$D240&lt;J$5+7),"◆",""),IF(AND($D240&lt;J$5+7,$E240&gt;J$5),"■","")))</x:f>
      </x:c>
      <x:c r="K240" s="7" t="str">
        <x:f>IF(OR($D240="",K$5="",'상세일정'!AM240="제외"),"",IF($D240=$E240,IF(AND($D240&gt;=K$5,$D240&lt;K$5+7),"◆",""),IF(AND($D240&lt;K$5+7,$E240&gt;K$5),"■","")))</x:f>
      </x:c>
      <x:c r="L240" s="7" t="str">
        <x:f>IF(OR($D240="",L$5="",'상세일정'!AM240="제외"),"",IF($D240=$E240,IF(AND($D240&gt;=L$5,$D240&lt;L$5+7),"◆",""),IF(AND($D240&lt;L$5+7,$E240&gt;L$5),"■","")))</x:f>
      </x:c>
      <x:c r="M240" s="7" t="str">
        <x:f>IF(OR($D240="",M$5="",'상세일정'!AM240="제외"),"",IF($D240=$E240,IF(AND($D240&gt;=M$5,$D240&lt;M$5+7),"◆",""),IF(AND($D240&lt;M$5+7,$E240&gt;M$5),"■","")))</x:f>
      </x:c>
      <x:c r="N240" s="7" t="str">
        <x:f>IF(OR($D240="",N$5="",'상세일정'!AM240="제외"),"",IF($D240=$E240,IF(AND($D240&gt;=N$5,$D240&lt;N$5+7),"◆",""),IF(AND($D240&lt;N$5+7,$E240&gt;N$5),"■","")))</x:f>
      </x:c>
      <x:c r="O240" s="7" t="str">
        <x:f>IF(OR($D240="",O$5="",'상세일정'!AM240="제외"),"",IF($D240=$E240,IF(AND($D240&gt;=O$5,$D240&lt;O$5+7),"◆",""),IF(AND($D240&lt;O$5+7,$E240&gt;O$5),"■","")))</x:f>
      </x:c>
      <x:c r="P240" s="7" t="str">
        <x:f>IF(OR($D240="",P$5="",'상세일정'!AM240="제외"),"",IF($D240=$E240,IF(AND($D240&gt;=P$5,$D240&lt;P$5+7),"◆",""),IF(AND($D240&lt;P$5+7,$E240&gt;P$5),"■","")))</x:f>
      </x:c>
      <x:c r="Q240" s="7" t="str">
        <x:f>IF(OR($D240="",Q$5="",'상세일정'!AM240="제외"),"",IF($D240=$E240,IF(AND($D240&gt;=Q$5,$D240&lt;Q$5+7),"◆",""),IF(AND($D240&lt;Q$5+7,$E240&gt;Q$5),"■","")))</x:f>
      </x:c>
      <x:c r="R240" s="7" t="str">
        <x:f>IF(OR($D240="",R$5="",'상세일정'!AM240="제외"),"",IF($D240=$E240,IF(AND($D240&gt;=R$5,$D240&lt;R$5+7),"◆",""),IF(AND($D240&lt;R$5+7,$E240&gt;R$5),"■","")))</x:f>
      </x:c>
      <x:c r="S240" s="7" t="str">
        <x:f>IF(OR($D240="",S$5="",'상세일정'!AM240="제외"),"",IF($D240=$E240,IF(AND($D240&gt;=S$5,$D240&lt;S$5+7),"◆",""),IF(AND($D240&lt;S$5+7,$E240&gt;S$5),"■","")))</x:f>
      </x:c>
      <x:c r="T240" s="7" t="str">
        <x:f>IF(OR($D240="",T$5="",'상세일정'!AM240="제외"),"",IF($D240=$E240,IF(AND($D240&gt;=T$5,$D240&lt;T$5+7),"◆",""),IF(AND($D240&lt;T$5+7,$E240&gt;T$5),"■","")))</x:f>
      </x:c>
      <x:c r="U240" s="7" t="str">
        <x:f>IF(OR($D240="",U$5="",'상세일정'!AM240="제외"),"",IF($D240=$E240,IF(AND($D240&gt;=U$5,$D240&lt;U$5+7),"◆",""),IF(AND($D240&lt;U$5+7,$E240&gt;U$5),"■","")))</x:f>
      </x:c>
      <x:c r="V240" s="7" t="str">
        <x:f>IF(OR($D240="",V$5="",'상세일정'!AM240="제외"),"",IF($D240=$E240,IF(AND($D240&gt;=V$5,$D240&lt;V$5+7),"◆",""),IF(AND($D240&lt;V$5+7,$E240&gt;V$5),"■","")))</x:f>
      </x:c>
      <x:c r="W240" s="7" t="str">
        <x:f>IF(OR($D240="",W$5="",'상세일정'!AM240="제외"),"",IF($D240=$E240,IF(AND($D240&gt;=W$5,$D240&lt;W$5+7),"◆",""),IF(AND($D240&lt;W$5+7,$E240&gt;W$5),"■","")))</x:f>
      </x:c>
      <x:c r="X240" s="7" t="str">
        <x:f>IF(OR($D240="",X$5="",'상세일정'!AM240="제외"),"",IF($D240=$E240,IF(AND($D240&gt;=X$5,$D240&lt;X$5+7),"◆",""),IF(AND($D240&lt;X$5+7,$E240&gt;X$5),"■","")))</x:f>
      </x:c>
      <x:c r="Y240" s="7" t="str">
        <x:f>IF(OR($D240="",Y$5="",'상세일정'!AM240="제외"),"",IF($D240=$E240,IF(AND($D240&gt;=Y$5,$D240&lt;Y$5+7),"◆",""),IF(AND($D240&lt;Y$5+7,$E240&gt;Y$5),"■","")))</x:f>
      </x:c>
      <x:c r="Z240" s="7" t="str">
        <x:f>IF(OR($D240="",Z$5="",'상세일정'!AM240="제외"),"",IF($D240=$E240,IF(AND($D240&gt;=Z$5,$D240&lt;Z$5+7),"◆",""),IF(AND($D240&lt;Z$5+7,$E240&gt;Z$5),"■","")))</x:f>
      </x:c>
      <x:c r="AA240" s="7" t="str">
        <x:f>IF(OR($D240="",AA$5="",'상세일정'!AM240="제외"),"",IF($D240=$E240,IF(AND($D240&gt;=AA$5,$D240&lt;AA$5+7),"◆",""),IF(AND($D240&lt;AA$5+7,$E240&gt;AA$5),"■","")))</x:f>
      </x:c>
      <x:c r="AB240" s="7" t="str">
        <x:f>IF(OR($D240="",AB$5="",'상세일정'!AM240="제외"),"",IF($D240=$E240,IF(AND($D240&gt;=AB$5,$D240&lt;AB$5+7),"◆",""),IF(AND($D240&lt;AB$5+7,$E240&gt;AB$5),"■","")))</x:f>
      </x:c>
      <x:c r="AC240" s="7" t="str">
        <x:f>IF(OR($D240="",AC$5="",'상세일정'!AM240="제외"),"",IF($D240=$E240,IF(AND($D240&gt;=AC$5,$D240&lt;AC$5+7),"◆",""),IF(AND($D240&lt;AC$5+7,$E240&gt;AC$5),"■","")))</x:f>
      </x:c>
      <x:c r="AD240" s="7" t="str">
        <x:f>IF(OR($D240="",AD$5="",'상세일정'!AM240="제외"),"",IF($D240=$E240,IF(AND($D240&gt;=AD$5,$D240&lt;AD$5+7),"◆",""),IF(AND($D240&lt;AD$5+7,$E240&gt;AD$5),"■","")))</x:f>
      </x:c>
      <x:c r="AE240" s="7" t="str">
        <x:f>IF(OR($D240="",AE$5="",'상세일정'!AM240="제외"),"",IF($D240=$E240,IF(AND($D240&gt;=AE$5,$D240&lt;AE$5+7),"◆",""),IF(AND($D240&lt;AE$5+7,$E240&gt;AE$5),"■","")))</x:f>
      </x:c>
      <x:c r="AF240" s="7" t="str">
        <x:f>IF(OR($D240="",AF$5="",'상세일정'!AM240="제외"),"",IF($D240=$E240,IF(AND($D240&gt;=AF$5,$D240&lt;AF$5+7),"◆",""),IF(AND($D240&lt;AF$5+7,$E240&gt;AF$5),"■","")))</x:f>
      </x:c>
      <x:c r="AG240" s="7" t="str">
        <x:f>IF(OR($D240="",AG$5="",'상세일정'!AM240="제외"),"",IF($D240=$E240,IF(AND($D240&gt;=AG$5,$D240&lt;AG$5+7),"◆",""),IF(AND($D240&lt;AG$5+7,$E240&gt;AG$5),"■","")))</x:f>
      </x:c>
      <x:c r="AH240" s="7" t="str">
        <x:f>IF(OR($D240="",AH$5="",'상세일정'!AM240="제외"),"",IF($D240=$E240,IF(AND($D240&gt;=AH$5,$D240&lt;AH$5+7),"◆",""),IF(AND($D240&lt;AH$5+7,$E240&gt;AH$5),"■","")))</x:f>
      </x:c>
      <x:c r="AI240" s="7" t="str">
        <x:f>IF(OR($D240="",AI$5="",'상세일정'!AM240="제외"),"",IF($D240=$E240,IF(AND($D240&gt;=AI$5,$D240&lt;AI$5+7),"◆",""),IF(AND($D240&lt;AI$5+7,$E240&gt;AI$5),"■","")))</x:f>
      </x:c>
      <x:c r="AJ240" s="7" t="str">
        <x:f>IF(OR($D240="",AJ$5="",'상세일정'!AM240="제외"),"",IF($D240=$E240,IF(AND($D240&gt;=AJ$5,$D240&lt;AJ$5+7),"◆",""),IF(AND($D240&lt;AJ$5+7,$E240&gt;AJ$5),"■","")))</x:f>
      </x:c>
      <x:c r="AK240" s="7" t="str">
        <x:f>IF(OR($D240="",AK$5="",'상세일정'!AM240="제외"),"",IF($D240=$E240,IF(AND($D240&gt;=AK$5,$D240&lt;AK$5+7),"◆",""),IF(AND($D240&lt;AK$5+7,$E240&gt;AK$5),"■","")))</x:f>
      </x:c>
      <x:c r="AL240" s="7" t="str">
        <x:f>IF(OR($D240="",AL$5="",'상세일정'!AM240="제외"),"",IF($D240=$E240,IF(AND($D240&gt;=AL$5,$D240&lt;AL$5+7),"◆",""),IF(AND($D240&lt;AL$5+7,$E240&gt;AL$5),"■","")))</x:f>
      </x:c>
      <x:c r="AM240" s="7" t="str">
        <x:f>IF(OR($D240="",AM$5="",'상세일정'!AM240="제외"),"",IF($D240=$E240,IF(AND($D240&gt;=AM$5,$D240&lt;AM$5+7),"◆",""),IF(AND($D240&lt;AM$5+7,$E240&gt;AM$5),"■","")))</x:f>
      </x:c>
      <x:c r="AN240" s="7" t="str">
        <x:f>IF(OR($D240="",AN$5="",'상세일정'!AM240="제외"),"",IF($D240=$E240,IF(AND($D240&gt;=AN$5,$D240&lt;AN$5+7),"◆",""),IF(AND($D240&lt;AN$5+7,$E240&gt;AN$5),"■","")))</x:f>
      </x:c>
      <x:c r="AO240" s="7" t="str">
        <x:f>IF(OR($D240="",AO$5="",'상세일정'!AM240="제외"),"",IF($D240=$E240,IF(AND($D240&gt;=AO$5,$D240&lt;AO$5+7),"◆",""),IF(AND($D240&lt;AO$5+7,$E240&gt;AO$5),"■","")))</x:f>
      </x:c>
      <x:c r="AP240" s="7" t="str">
        <x:f>IF(OR($D240="",AP$5="",'상세일정'!AM240="제외"),"",IF($D240=$E240,IF(AND($D240&gt;=AP$5,$D240&lt;AP$5+7),"◆",""),IF(AND($D240&lt;AP$5+7,$E240&gt;AP$5),"■","")))</x:f>
      </x:c>
      <x:c r="AQ240" s="7" t="str">
        <x:f>IF(OR($D240="",AQ$5="",'상세일정'!AM240="제외"),"",IF($D240=$E240,IF(AND($D240&gt;=AQ$5,$D240&lt;AQ$5+7),"◆",""),IF(AND($D240&lt;AQ$5+7,$E240&gt;AQ$5),"■","")))</x:f>
      </x:c>
      <x:c r="AR240" s="7" t="str">
        <x:f>IF(OR($D240="",AR$5="",'상세일정'!AM240="제외"),"",IF($D240=$E240,IF(AND($D240&gt;=AR$5,$D240&lt;AR$5+7),"◆",""),IF(AND($D240&lt;AR$5+7,$E240&gt;AR$5),"■","")))</x:f>
      </x:c>
      <x:c r="AS240" s="7" t="str">
        <x:f>IF(OR($D240="",AS$5="",'상세일정'!AM240="제외"),"",IF($D240=$E240,IF(AND($D240&gt;=AS$5,$D240&lt;AS$5+7),"◆",""),IF(AND($D240&lt;AS$5+7,$E240&gt;AS$5),"■","")))</x:f>
      </x:c>
      <x:c r="AT240" s="7" t="str">
        <x:f>IF(OR($D240="",AT$5="",'상세일정'!AM240="제외"),"",IF($D240=$E240,IF(AND($D240&gt;=AT$5,$D240&lt;AT$5+7),"◆",""),IF(AND($D240&lt;AT$5+7,$E240&gt;AT$5),"■","")))</x:f>
      </x:c>
      <x:c r="AU240" s="7" t="str">
        <x:f>IF(OR($D240="",AU$5="",'상세일정'!AM240="제외"),"",IF($D240=$E240,IF(AND($D240&gt;=AU$5,$D240&lt;AU$5+7),"◆",""),IF(AND($D240&lt;AU$5+7,$E240&gt;AU$5),"■","")))</x:f>
      </x:c>
      <x:c r="AV240" s="7" t="str">
        <x:f>IF(OR($D240="",AV$5="",'상세일정'!AM240="제외"),"",IF($D240=$E240,IF(AND($D240&gt;=AV$5,$D240&lt;AV$5+7),"◆",""),IF(AND($D240&lt;AV$5+7,$E240&gt;AV$5),"■","")))</x:f>
      </x:c>
      <x:c r="AW240" s="7" t="str">
        <x:f>IF(OR($D240="",AW$5="",'상세일정'!AM240="제외"),"",IF($D240=$E240,IF(AND($D240&gt;=AW$5,$D240&lt;AW$5+7),"◆",""),IF(AND($D240&lt;AW$5+7,$E240&gt;AW$5),"■","")))</x:f>
      </x:c>
      <x:c r="AX240" s="7" t="str">
        <x:f>IF(OR($D240="",AX$5="",'상세일정'!AM240="제외"),"",IF($D240=$E240,IF(AND($D240&gt;=AX$5,$D240&lt;AX$5+7),"◆",""),IF(AND($D240&lt;AX$5+7,$E240&gt;AX$5),"■","")))</x:f>
      </x:c>
      <x:c r="AY240" s="7" t="str">
        <x:f>IF(OR($D240="",AY$5="",'상세일정'!AM240="제외"),"",IF($D240=$E240,IF(AND($D240&gt;=AY$5,$D240&lt;AY$5+7),"◆",""),IF(AND($D240&lt;AY$5+7,$E240&gt;AY$5),"■","")))</x:f>
      </x:c>
      <x:c r="AZ240" s="7" t="str">
        <x:f>IF(OR($D240="",AZ$5="",'상세일정'!AM240="제외"),"",IF($D240=$E240,IF(AND($D240&gt;=AZ$5,$D240&lt;AZ$5+7),"◆",""),IF(AND($D240&lt;AZ$5+7,$E240&gt;AZ$5),"■","")))</x:f>
      </x:c>
      <x:c r="BA240" s="7" t="str">
        <x:f>IF(OR($D240="",BA$5="",'상세일정'!AM240="제외"),"",IF($D240=$E240,IF(AND($D240&gt;=BA$5,$D240&lt;BA$5+7),"◆",""),IF(AND($D240&lt;BA$5+7,$E240&gt;BA$5),"■","")))</x:f>
      </x:c>
      <x:c r="BB240" s="7" t="str">
        <x:f>IF(OR($D240="",BB$5="",'상세일정'!AM240="제외"),"",IF($D240=$E240,IF(AND($D240&gt;=BB$5,$D240&lt;BB$5+7),"◆",""),IF(AND($D240&lt;BB$5+7,$E240&gt;BB$5),"■","")))</x:f>
      </x:c>
      <x:c r="BC240" s="7" t="str">
        <x:f>IF(OR($D240="",BC$5="",'상세일정'!AM240="제외"),"",IF($D240=$E240,IF(AND($D240&gt;=BC$5,$D240&lt;BC$5+7),"◆",""),IF(AND($D240&lt;BC$5+7,$E240&gt;BC$5),"■","")))</x:f>
      </x:c>
      <x:c r="BD240" s="7" t="str">
        <x:f>IF(OR($D240="",BD$5="",'상세일정'!AM240="제외"),"",IF($D240=$E240,IF(AND($D240&gt;=BD$5,$D240&lt;BD$5+7),"◆",""),IF(AND($D240&lt;BD$5+7,$E240&gt;BD$5),"■","")))</x:f>
      </x:c>
      <x:c r="BE240" s="7" t="str">
        <x:f>IF(OR($D240="",BE$5="",'상세일정'!AM240="제외"),"",IF($D240=$E240,IF(AND($D240&gt;=BE$5,$D240&lt;BE$5+7),"◆",""),IF(AND($D240&lt;BE$5+7,$E240&gt;BE$5),"■","")))</x:f>
      </x:c>
      <x:c r="BF240" s="7" t="str">
        <x:f>IF(OR($D240="",BF$5="",'상세일정'!AM240="제외"),"",IF($D240=$E240,IF(AND($D240&gt;=BF$5,$D240&lt;BF$5+7),"◆",""),IF(AND($D240&lt;BF$5+7,$E240&gt;BF$5),"■","")))</x:f>
      </x:c>
      <x:c r="BG240" s="7" t="str">
        <x:f>IF(OR($D240="",BG$5="",'상세일정'!AM240="제외"),"",IF($D240=$E240,IF(AND($D240&gt;=BG$5,$D240&lt;BG$5+7),"◆",""),IF(AND($D240&lt;BG$5+7,$E240&gt;BG$5),"■","")))</x:f>
      </x:c>
      <x:c r="BH240" s="7" t="str">
        <x:f>IF(OR($D240="",BH$5="",'상세일정'!AM240="제외"),"",IF($D240=$E240,IF(AND($D240&gt;=BH$5,$D240&lt;BH$5+7),"◆",""),IF(AND($D240&lt;BH$5+7,$E240&gt;BH$5),"■","")))</x:f>
      </x:c>
      <x:c r="BI240" s="7" t="str">
        <x:f>IF(OR($D240="",BI$5="",'상세일정'!AM240="제외"),"",IF($D240=$E240,IF(AND($D240&gt;=BI$5,$D240&lt;BI$5+7),"◆",""),IF(AND($D240&lt;BI$5+7,$E240&gt;BI$5),"■","")))</x:f>
      </x:c>
      <x:c r="BJ240" s="7" t="str">
        <x:f>IF(OR($D240="",BJ$5="",'상세일정'!AM240="제외"),"",IF($D240=$E240,IF(AND($D240&gt;=BJ$5,$D240&lt;BJ$5+7),"◆",""),IF(AND($D240&lt;BJ$5+7,$E240&gt;BJ$5),"■","")))</x:f>
      </x:c>
      <x:c r="BK240" s="7" t="str">
        <x:f>IF(OR($D240="",BK$5="",'상세일정'!AM240="제외"),"",IF($D240=$E240,IF(AND($D240&gt;=BK$5,$D240&lt;BK$5+7),"◆",""),IF(AND($D240&lt;BK$5+7,$E240&gt;BK$5),"■","")))</x:f>
      </x:c>
      <x:c r="BL240" s="7" t="str">
        <x:f>IF(OR($D240="",BL$5="",'상세일정'!AM240="제외"),"",IF($D240=$E240,IF(AND($D240&gt;=BL$5,$D240&lt;BL$5+7),"◆",""),IF(AND($D240&lt;BL$5+7,$E240&gt;BL$5),"■","")))</x:f>
      </x:c>
      <x:c r="BM240" s="7" t="str">
        <x:f>IF(OR($D240="",BM$5="",'상세일정'!AM240="제외"),"",IF($D240=$E240,IF(AND($D240&gt;=BM$5,$D240&lt;BM$5+7),"◆",""),IF(AND($D240&lt;BM$5+7,$E240&gt;BM$5),"■","")))</x:f>
      </x:c>
      <x:c r="BN240" s="7" t="str">
        <x:f>IF(OR($D240="",BN$5="",'상세일정'!AM240="제외"),"",IF($D240=$E240,IF(AND($D240&gt;=BN$5,$D240&lt;BN$5+7),"◆",""),IF(AND($D240&lt;BN$5+7,$E240&gt;BN$5),"■","")))</x:f>
      </x:c>
      <x:c r="BO240" s="7" t="str">
        <x:f>IF(OR($D240="",BO$5="",'상세일정'!AM240="제외"),"",IF($D240=$E240,IF(AND($D240&gt;=BO$5,$D240&lt;BO$5+7),"◆",""),IF(AND($D240&lt;BO$5+7,$E240&gt;BO$5),"■","")))</x:f>
      </x:c>
      <x:c r="BP240" s="7" t="str">
        <x:f>IF(OR($D240="",BP$5="",'상세일정'!AM240="제외"),"",IF($D240=$E240,IF(AND($D240&gt;=BP$5,$D240&lt;BP$5+7),"◆",""),IF(AND($D240&lt;BP$5+7,$E240&gt;BP$5),"■","")))</x:f>
      </x:c>
      <x:c r="BQ240" s="7" t="str">
        <x:f>IF(OR($D240="",BQ$5="",'상세일정'!AM240="제외"),"",IF($D240=$E240,IF(AND($D240&gt;=BQ$5,$D240&lt;BQ$5+7),"◆",""),IF(AND($D240&lt;BQ$5+7,$E240&gt;BQ$5),"■","")))</x:f>
      </x:c>
      <x:c r="BR240" s="7" t="str">
        <x:f>IF(OR($D240="",BR$5="",'상세일정'!AM240="제외"),"",IF($D240=$E240,IF(AND($D240&gt;=BR$5,$D240&lt;BR$5+7),"◆",""),IF(AND($D240&lt;BR$5+7,$E240&gt;BR$5),"■","")))</x:f>
      </x:c>
      <x:c r="BS240" s="7" t="str">
        <x:f>IF(OR($D240="",BS$5="",'상세일정'!AM240="제외"),"",IF($D240=$E240,IF(AND($D240&gt;=BS$5,$D240&lt;BS$5+7),"◆",""),IF(AND($D240&lt;BS$5+7,$E240&gt;BS$5),"■","")))</x:f>
      </x:c>
      <x:c r="BT240" s="7" t="str">
        <x:f>IF(OR($D240="",BT$5="",'상세일정'!AM240="제외"),"",IF($D240=$E240,IF(AND($D240&gt;=BT$5,$D240&lt;BT$5+7),"◆",""),IF(AND($D240&lt;BT$5+7,$E240&gt;BT$5),"■","")))</x:f>
      </x:c>
      <x:c r="BU240" s="7" t="str">
        <x:f>IF(OR($D240="",BU$5="",'상세일정'!AM240="제외"),"",IF($D240=$E240,IF(AND($D240&gt;=BU$5,$D240&lt;BU$5+7),"◆",""),IF(AND($D240&lt;BU$5+7,$E240&gt;BU$5),"■","")))</x:f>
      </x:c>
      <x:c r="BV240" s="7" t="str">
        <x:f>IF(OR($D240="",BV$5="",'상세일정'!AM240="제외"),"",IF($D240=$E240,IF(AND($D240&gt;=BV$5,$D240&lt;BV$5+7),"◆",""),IF(AND($D240&lt;BV$5+7,$E240&gt;BV$5),"■","")))</x:f>
      </x:c>
      <x:c r="BW240" s="7" t="str">
        <x:f>IF(OR($D240="",BW$5="",'상세일정'!AM240="제외"),"",IF($D240=$E240,IF(AND($D240&gt;=BW$5,$D240&lt;BW$5+7),"◆",""),IF(AND($D240&lt;BW$5+7,$E240&gt;BW$5),"■","")))</x:f>
      </x:c>
      <x:c r="BX240" s="7" t="str">
        <x:f>IF(OR($D240="",BX$5="",'상세일정'!AM240="제외"),"",IF($D240=$E240,IF(AND($D240&gt;=BX$5,$D240&lt;BX$5+7),"◆",""),IF(AND($D240&lt;BX$5+7,$E240&gt;BX$5),"■","")))</x:f>
      </x:c>
      <x:c r="BY240" s="7" t="str">
        <x:f>IF(OR($D240="",BY$5="",'상세일정'!AM240="제외"),"",IF($D240=$E240,IF(AND($D240&gt;=BY$5,$D240&lt;BY$5+7),"◆",""),IF(AND($D240&lt;BY$5+7,$E240&gt;BY$5),"■","")))</x:f>
      </x:c>
      <x:c r="BZ240" s="7" t="str">
        <x:f>IF(OR($D240="",BZ$5="",'상세일정'!AM240="제외"),"",IF($D240=$E240,IF(AND($D240&gt;=BZ$5,$D240&lt;BZ$5+7),"◆",""),IF(AND($D240&lt;BZ$5+7,$E240&gt;BZ$5),"■","")))</x:f>
      </x:c>
      <x:c r="CA240" s="7" t="str">
        <x:f>IF(OR($D240="",CA$5="",'상세일정'!AM240="제외"),"",IF($D240=$E240,IF(AND($D240&gt;=CA$5,$D240&lt;CA$5+7),"◆",""),IF(AND($D240&lt;CA$5+7,$E240&gt;CA$5),"■","")))</x:f>
      </x:c>
      <x:c r="CB240" s="7" t="str">
        <x:f>IF(OR($D240="",CB$5="",'상세일정'!AM240="제외"),"",IF($D240=$E240,IF(AND($D240&gt;=CB$5,$D240&lt;CB$5+7),"◆",""),IF(AND($D240&lt;CB$5+7,$E240&gt;CB$5),"■","")))</x:f>
      </x:c>
      <x:c r="CC240" s="7" t="str">
        <x:f>IF(OR($D240="",CC$5="",'상세일정'!AM240="제외"),"",IF($D240=$E240,IF(AND($D240&gt;=CC$5,$D240&lt;CC$5+7),"◆",""),IF(AND($D240&lt;CC$5+7,$E240&gt;CC$5),"■","")))</x:f>
      </x:c>
      <x:c r="CD240" s="7" t="str">
        <x:f>IF(OR($D240="",CD$5="",'상세일정'!AM240="제외"),"",IF($D240=$E240,IF(AND($D240&gt;=CD$5,$D240&lt;CD$5+7),"◆",""),IF(AND($D240&lt;CD$5+7,$E240&gt;CD$5),"■","")))</x:f>
      </x:c>
      <x:c r="CE240" s="7" t="str">
        <x:f>IF(OR($D240="",CE$5="",'상세일정'!AM240="제외"),"",IF($D240=$E240,IF(AND($D240&gt;=CE$5,$D240&lt;CE$5+7),"◆",""),IF(AND($D240&lt;CE$5+7,$E240&gt;CE$5),"■","")))</x:f>
      </x:c>
      <x:c r="CF240" s="7" t="str">
        <x:f>IF(OR($D240="",CF$5="",'상세일정'!AM240="제외"),"",IF($D240=$E240,IF(AND($D240&gt;=CF$5,$D240&lt;CF$5+7),"◆",""),IF(AND($D240&lt;CF$5+7,$E240&gt;CF$5),"■","")))</x:f>
      </x:c>
      <x:c r="CG240" s="7" t="str">
        <x:f>IF(OR($D240="",CG$5="",'상세일정'!AM240="제외"),"",IF($D240=$E240,IF(AND($D240&gt;=CG$5,$D240&lt;CG$5+7),"◆",""),IF(AND($D240&lt;CG$5+7,$E240&gt;CG$5),"■","")))</x:f>
      </x:c>
      <x:c r="CH240" s="7" t="str">
        <x:f>IF(OR($D240="",CH$5="",'상세일정'!AM240="제외"),"",IF($D240=$E240,IF(AND($D240&gt;=CH$5,$D240&lt;CH$5+7),"◆",""),IF(AND($D240&lt;CH$5+7,$E240&gt;CH$5),"■","")))</x:f>
      </x:c>
      <x:c r="CI240" s="7" t="str">
        <x:f>IF(OR($D240="",CI$5="",'상세일정'!AM240="제외"),"",IF($D240=$E240,IF(AND($D240&gt;=CI$5,$D240&lt;CI$5+7),"◆",""),IF(AND($D240&lt;CI$5+7,$E240&gt;CI$5),"■","")))</x:f>
      </x:c>
      <x:c r="CJ240" s="7" t="str">
        <x:f>IF(OR($D240="",CJ$5="",'상세일정'!AM240="제외"),"",IF($D240=$E240,IF(AND($D240&gt;=CJ$5,$D240&lt;CJ$5+7),"◆",""),IF(AND($D240&lt;CJ$5+7,$E240&gt;CJ$5),"■","")))</x:f>
      </x:c>
      <x:c r="CK240" s="7" t="str">
        <x:f>IF(OR($D240="",CK$5="",'상세일정'!AM240="제외"),"",IF($D240=$E240,IF(AND($D240&gt;=CK$5,$D240&lt;CK$5+7),"◆",""),IF(AND($D240&lt;CK$5+7,$E240&gt;CK$5),"■","")))</x:f>
      </x:c>
      <x:c r="CL240" s="7" t="str">
        <x:f>IF(OR($D240="",CL$5="",'상세일정'!AM240="제외"),"",IF($D240=$E240,IF(AND($D240&gt;=CL$5,$D240&lt;CL$5+7),"◆",""),IF(AND($D240&lt;CL$5+7,$E240&gt;CL$5),"■","")))</x:f>
      </x:c>
      <x:c r="CM240" s="7" t="str">
        <x:f>IF(OR($D240="",CM$5="",'상세일정'!AM240="제외"),"",IF($D240=$E240,IF(AND($D240&gt;=CM$5,$D240&lt;CM$5+7),"◆",""),IF(AND($D240&lt;CM$5+7,$E240&gt;CM$5),"■","")))</x:f>
      </x:c>
      <x:c r="CN240" s="7" t="str">
        <x:f>IF(OR($D240="",CN$5="",'상세일정'!AM240="제외"),"",IF($D240=$E240,IF(AND($D240&gt;=CN$5,$D240&lt;CN$5+7),"◆",""),IF(AND($D240&lt;CN$5+7,$E240&gt;CN$5),"■","")))</x:f>
      </x:c>
      <x:c r="CO240" s="7" t="str">
        <x:f>IF(OR($D240="",CO$5="",'상세일정'!AM240="제외"),"",IF($D240=$E240,IF(AND($D240&gt;=CO$5,$D240&lt;CO$5+7),"◆",""),IF(AND($D240&lt;CO$5+7,$E240&gt;CO$5),"■","")))</x:f>
      </x:c>
      <x:c r="CP240" s="7" t="str">
        <x:f>IF(OR($D240="",CP$5="",'상세일정'!AM240="제외"),"",IF($D240=$E240,IF(AND($D240&gt;=CP$5,$D240&lt;CP$5+7),"◆",""),IF(AND($D240&lt;CP$5+7,$E240&gt;CP$5),"■","")))</x:f>
      </x:c>
      <x:c r="CQ240" s="7" t="str">
        <x:f>IF(OR($D240="",CQ$5="",'상세일정'!AM240="제외"),"",IF($D240=$E240,IF(AND($D240&gt;=CQ$5,$D240&lt;CQ$5+7),"◆",""),IF(AND($D240&lt;CQ$5+7,$E240&gt;CQ$5),"■","")))</x:f>
      </x:c>
      <x:c r="CR240" s="7" t="str">
        <x:f>IF(OR($D240="",CR$5="",'상세일정'!AM240="제외"),"",IF($D240=$E240,IF(AND($D240&gt;=CR$5,$D240&lt;CR$5+7),"◆",""),IF(AND($D240&lt;CR$5+7,$E240&gt;CR$5),"■","")))</x:f>
      </x:c>
      <x:c r="CS240" s="7" t="str">
        <x:f>IF(OR($D240="",CS$5="",'상세일정'!AM240="제외"),"",IF($D240=$E240,IF(AND($D240&gt;=CS$5,$D240&lt;CS$5+7),"◆",""),IF(AND($D240&lt;CS$5+7,$E240&gt;CS$5),"■","")))</x:f>
      </x:c>
      <x:c r="CT240" s="7" t="str">
        <x:f>IF(OR($D240="",CT$5="",'상세일정'!AM240="제외"),"",IF($D240=$E240,IF(AND($D240&gt;=CT$5,$D240&lt;CT$5+7),"◆",""),IF(AND($D240&lt;CT$5+7,$E240&gt;CT$5),"■","")))</x:f>
      </x:c>
      <x:c r="CU240" s="7" t="str">
        <x:f>IF(OR($D240="",CU$5="",'상세일정'!AM240="제외"),"",IF($D240=$E240,IF(AND($D240&gt;=CU$5,$D240&lt;CU$5+7),"◆",""),IF(AND($D240&lt;CU$5+7,$E240&gt;CU$5),"■","")))</x:f>
      </x:c>
      <x:c r="CV240" s="7" t="str">
        <x:f>IF(OR($D240="",CV$5="",'상세일정'!AM240="제외"),"",IF($D240=$E240,IF(AND($D240&gt;=CV$5,$D240&lt;CV$5+7),"◆",""),IF(AND($D240&lt;CV$5+7,$E240&gt;CV$5),"■","")))</x:f>
      </x:c>
      <x:c r="CW240" s="7" t="str">
        <x:f>IF(OR($D240="",CW$5="",'상세일정'!AM240="제외"),"",IF($D240=$E240,IF(AND($D240&gt;=CW$5,$D240&lt;CW$5+7),"◆",""),IF(AND($D240&lt;CW$5+7,$E240&gt;CW$5),"■","")))</x:f>
      </x:c>
      <x:c r="CX240" s="7" t="str">
        <x:f>IF(OR($D240="",CX$5="",'상세일정'!AM240="제외"),"",IF($D240=$E240,IF(AND($D240&gt;=CX$5,$D240&lt;CX$5+7),"◆",""),IF(AND($D240&lt;CX$5+7,$E240&gt;CX$5),"■","")))</x:f>
      </x:c>
      <x:c r="CY240" s="7" t="str">
        <x:f>IF(OR($D240="",CY$5="",'상세일정'!AM240="제외"),"",IF($D240=$E240,IF(AND($D240&gt;=CY$5,$D240&lt;CY$5+7),"◆",""),IF(AND($D240&lt;CY$5+7,$E240&gt;CY$5),"■","")))</x:f>
      </x:c>
      <x:c r="CZ240" s="7" t="str">
        <x:f>IF(OR($D240="",CZ$5="",'상세일정'!AM240="제외"),"",IF($D240=$E240,IF(AND($D240&gt;=CZ$5,$D240&lt;CZ$5+7),"◆",""),IF(AND($D240&lt;CZ$5+7,$E240&gt;CZ$5),"■","")))</x:f>
      </x:c>
      <x:c r="DA240" s="7" t="str">
        <x:f>IF(OR($D240="",DA$5="",'상세일정'!AM240="제외"),"",IF($D240=$E240,IF(AND($D240&gt;=DA$5,$D240&lt;DA$5+7),"◆",""),IF(AND($D240&lt;DA$5+7,$E240&gt;DA$5),"■","")))</x:f>
      </x:c>
      <x:c r="DB240" s="7" t="str">
        <x:f>IF(OR($D240="",DB$5="",'상세일정'!AM240="제외"),"",IF($D240=$E240,IF(AND($D240&gt;=DB$5,$D240&lt;DB$5+7),"◆",""),IF(AND($D240&lt;DB$5+7,$E240&gt;DB$5),"■","")))</x:f>
      </x:c>
      <x:c r="DC240" s="7" t="str">
        <x:f>IF(OR($D240="",DC$5="",'상세일정'!AM240="제외"),"",IF($D240=$E240,IF(AND($D240&gt;=DC$5,$D240&lt;DC$5+7),"◆",""),IF(AND($D240&lt;DC$5+7,$E240&gt;DC$5),"■","")))</x:f>
      </x:c>
      <x:c r="DD240" s="7" t="str">
        <x:f>IF(OR($D240="",DD$5="",'상세일정'!AM240="제외"),"",IF($D240=$E240,IF(AND($D240&gt;=DD$5,$D240&lt;DD$5+7),"◆",""),IF(AND($D240&lt;DD$5+7,$E240&gt;DD$5),"■","")))</x:f>
      </x:c>
      <x:c r="DE240" s="7" t="str">
        <x:f>IF(OR($D240="",DE$5="",'상세일정'!AM240="제외"),"",IF($D240=$E240,IF(AND($D240&gt;=DE$5,$D240&lt;DE$5+7),"◆",""),IF(AND($D240&lt;DE$5+7,$E240&gt;DE$5),"■","")))</x:f>
      </x:c>
    </x:row>
    <x:row r="241" ht="34" customHeight="1">
      <x:c r="A241" s="7" t="str">
        <x:v>CO07</x:v>
      </x:c>
      <x:c r="B241" s="7" t="str">
        <x:v>28 가스투입·통합시운전</x:v>
      </x:c>
      <x:c r="C241" s="7" t="str">
        <x:v>운전원 교육·비상훈련·인수시험 종료</x:v>
      </x:c>
      <x:c r="D241" s="10" t="str">
        <x:f>'상세일정'!AJ241</x:f>
      </x:c>
      <x:c r="E241" s="10" t="str">
        <x:f>'상세일정'!AK241</x:f>
      </x:c>
      <x:c r="F241" s="7" t="str">
        <x:f>IF(OR($D241="",F$5="",'상세일정'!AM241="제외"),"",IF($D241=$E241,IF(AND($D241&gt;=F$5,$D241&lt;F$5+7),"◆",""),IF(AND($D241&lt;F$5+7,$E241&gt;F$5),"■","")))</x:f>
      </x:c>
      <x:c r="G241" s="7" t="str">
        <x:f>IF(OR($D241="",G$5="",'상세일정'!AM241="제외"),"",IF($D241=$E241,IF(AND($D241&gt;=G$5,$D241&lt;G$5+7),"◆",""),IF(AND($D241&lt;G$5+7,$E241&gt;G$5),"■","")))</x:f>
      </x:c>
      <x:c r="H241" s="7" t="str">
        <x:f>IF(OR($D241="",H$5="",'상세일정'!AM241="제외"),"",IF($D241=$E241,IF(AND($D241&gt;=H$5,$D241&lt;H$5+7),"◆",""),IF(AND($D241&lt;H$5+7,$E241&gt;H$5),"■","")))</x:f>
      </x:c>
      <x:c r="I241" s="7" t="str">
        <x:f>IF(OR($D241="",I$5="",'상세일정'!AM241="제외"),"",IF($D241=$E241,IF(AND($D241&gt;=I$5,$D241&lt;I$5+7),"◆",""),IF(AND($D241&lt;I$5+7,$E241&gt;I$5),"■","")))</x:f>
      </x:c>
      <x:c r="J241" s="7" t="str">
        <x:f>IF(OR($D241="",J$5="",'상세일정'!AM241="제외"),"",IF($D241=$E241,IF(AND($D241&gt;=J$5,$D241&lt;J$5+7),"◆",""),IF(AND($D241&lt;J$5+7,$E241&gt;J$5),"■","")))</x:f>
      </x:c>
      <x:c r="K241" s="7" t="str">
        <x:f>IF(OR($D241="",K$5="",'상세일정'!AM241="제외"),"",IF($D241=$E241,IF(AND($D241&gt;=K$5,$D241&lt;K$5+7),"◆",""),IF(AND($D241&lt;K$5+7,$E241&gt;K$5),"■","")))</x:f>
      </x:c>
      <x:c r="L241" s="7" t="str">
        <x:f>IF(OR($D241="",L$5="",'상세일정'!AM241="제외"),"",IF($D241=$E241,IF(AND($D241&gt;=L$5,$D241&lt;L$5+7),"◆",""),IF(AND($D241&lt;L$5+7,$E241&gt;L$5),"■","")))</x:f>
      </x:c>
      <x:c r="M241" s="7" t="str">
        <x:f>IF(OR($D241="",M$5="",'상세일정'!AM241="제외"),"",IF($D241=$E241,IF(AND($D241&gt;=M$5,$D241&lt;M$5+7),"◆",""),IF(AND($D241&lt;M$5+7,$E241&gt;M$5),"■","")))</x:f>
      </x:c>
      <x:c r="N241" s="7" t="str">
        <x:f>IF(OR($D241="",N$5="",'상세일정'!AM241="제외"),"",IF($D241=$E241,IF(AND($D241&gt;=N$5,$D241&lt;N$5+7),"◆",""),IF(AND($D241&lt;N$5+7,$E241&gt;N$5),"■","")))</x:f>
      </x:c>
      <x:c r="O241" s="7" t="str">
        <x:f>IF(OR($D241="",O$5="",'상세일정'!AM241="제외"),"",IF($D241=$E241,IF(AND($D241&gt;=O$5,$D241&lt;O$5+7),"◆",""),IF(AND($D241&lt;O$5+7,$E241&gt;O$5),"■","")))</x:f>
      </x:c>
      <x:c r="P241" s="7" t="str">
        <x:f>IF(OR($D241="",P$5="",'상세일정'!AM241="제외"),"",IF($D241=$E241,IF(AND($D241&gt;=P$5,$D241&lt;P$5+7),"◆",""),IF(AND($D241&lt;P$5+7,$E241&gt;P$5),"■","")))</x:f>
      </x:c>
      <x:c r="Q241" s="7" t="str">
        <x:f>IF(OR($D241="",Q$5="",'상세일정'!AM241="제외"),"",IF($D241=$E241,IF(AND($D241&gt;=Q$5,$D241&lt;Q$5+7),"◆",""),IF(AND($D241&lt;Q$5+7,$E241&gt;Q$5),"■","")))</x:f>
      </x:c>
      <x:c r="R241" s="7" t="str">
        <x:f>IF(OR($D241="",R$5="",'상세일정'!AM241="제외"),"",IF($D241=$E241,IF(AND($D241&gt;=R$5,$D241&lt;R$5+7),"◆",""),IF(AND($D241&lt;R$5+7,$E241&gt;R$5),"■","")))</x:f>
      </x:c>
      <x:c r="S241" s="7" t="str">
        <x:f>IF(OR($D241="",S$5="",'상세일정'!AM241="제외"),"",IF($D241=$E241,IF(AND($D241&gt;=S$5,$D241&lt;S$5+7),"◆",""),IF(AND($D241&lt;S$5+7,$E241&gt;S$5),"■","")))</x:f>
      </x:c>
      <x:c r="T241" s="7" t="str">
        <x:f>IF(OR($D241="",T$5="",'상세일정'!AM241="제외"),"",IF($D241=$E241,IF(AND($D241&gt;=T$5,$D241&lt;T$5+7),"◆",""),IF(AND($D241&lt;T$5+7,$E241&gt;T$5),"■","")))</x:f>
      </x:c>
      <x:c r="U241" s="7" t="str">
        <x:f>IF(OR($D241="",U$5="",'상세일정'!AM241="제외"),"",IF($D241=$E241,IF(AND($D241&gt;=U$5,$D241&lt;U$5+7),"◆",""),IF(AND($D241&lt;U$5+7,$E241&gt;U$5),"■","")))</x:f>
      </x:c>
      <x:c r="V241" s="7" t="str">
        <x:f>IF(OR($D241="",V$5="",'상세일정'!AM241="제외"),"",IF($D241=$E241,IF(AND($D241&gt;=V$5,$D241&lt;V$5+7),"◆",""),IF(AND($D241&lt;V$5+7,$E241&gt;V$5),"■","")))</x:f>
      </x:c>
      <x:c r="W241" s="7" t="str">
        <x:f>IF(OR($D241="",W$5="",'상세일정'!AM241="제외"),"",IF($D241=$E241,IF(AND($D241&gt;=W$5,$D241&lt;W$5+7),"◆",""),IF(AND($D241&lt;W$5+7,$E241&gt;W$5),"■","")))</x:f>
      </x:c>
      <x:c r="X241" s="7" t="str">
        <x:f>IF(OR($D241="",X$5="",'상세일정'!AM241="제외"),"",IF($D241=$E241,IF(AND($D241&gt;=X$5,$D241&lt;X$5+7),"◆",""),IF(AND($D241&lt;X$5+7,$E241&gt;X$5),"■","")))</x:f>
      </x:c>
      <x:c r="Y241" s="7" t="str">
        <x:f>IF(OR($D241="",Y$5="",'상세일정'!AM241="제외"),"",IF($D241=$E241,IF(AND($D241&gt;=Y$5,$D241&lt;Y$5+7),"◆",""),IF(AND($D241&lt;Y$5+7,$E241&gt;Y$5),"■","")))</x:f>
      </x:c>
      <x:c r="Z241" s="7" t="str">
        <x:f>IF(OR($D241="",Z$5="",'상세일정'!AM241="제외"),"",IF($D241=$E241,IF(AND($D241&gt;=Z$5,$D241&lt;Z$5+7),"◆",""),IF(AND($D241&lt;Z$5+7,$E241&gt;Z$5),"■","")))</x:f>
      </x:c>
      <x:c r="AA241" s="7" t="str">
        <x:f>IF(OR($D241="",AA$5="",'상세일정'!AM241="제외"),"",IF($D241=$E241,IF(AND($D241&gt;=AA$5,$D241&lt;AA$5+7),"◆",""),IF(AND($D241&lt;AA$5+7,$E241&gt;AA$5),"■","")))</x:f>
      </x:c>
      <x:c r="AB241" s="7" t="str">
        <x:f>IF(OR($D241="",AB$5="",'상세일정'!AM241="제외"),"",IF($D241=$E241,IF(AND($D241&gt;=AB$5,$D241&lt;AB$5+7),"◆",""),IF(AND($D241&lt;AB$5+7,$E241&gt;AB$5),"■","")))</x:f>
      </x:c>
      <x:c r="AC241" s="7" t="str">
        <x:f>IF(OR($D241="",AC$5="",'상세일정'!AM241="제외"),"",IF($D241=$E241,IF(AND($D241&gt;=AC$5,$D241&lt;AC$5+7),"◆",""),IF(AND($D241&lt;AC$5+7,$E241&gt;AC$5),"■","")))</x:f>
      </x:c>
      <x:c r="AD241" s="7" t="str">
        <x:f>IF(OR($D241="",AD$5="",'상세일정'!AM241="제외"),"",IF($D241=$E241,IF(AND($D241&gt;=AD$5,$D241&lt;AD$5+7),"◆",""),IF(AND($D241&lt;AD$5+7,$E241&gt;AD$5),"■","")))</x:f>
      </x:c>
      <x:c r="AE241" s="7" t="str">
        <x:f>IF(OR($D241="",AE$5="",'상세일정'!AM241="제외"),"",IF($D241=$E241,IF(AND($D241&gt;=AE$5,$D241&lt;AE$5+7),"◆",""),IF(AND($D241&lt;AE$5+7,$E241&gt;AE$5),"■","")))</x:f>
      </x:c>
      <x:c r="AF241" s="7" t="str">
        <x:f>IF(OR($D241="",AF$5="",'상세일정'!AM241="제외"),"",IF($D241=$E241,IF(AND($D241&gt;=AF$5,$D241&lt;AF$5+7),"◆",""),IF(AND($D241&lt;AF$5+7,$E241&gt;AF$5),"■","")))</x:f>
      </x:c>
      <x:c r="AG241" s="7" t="str">
        <x:f>IF(OR($D241="",AG$5="",'상세일정'!AM241="제외"),"",IF($D241=$E241,IF(AND($D241&gt;=AG$5,$D241&lt;AG$5+7),"◆",""),IF(AND($D241&lt;AG$5+7,$E241&gt;AG$5),"■","")))</x:f>
      </x:c>
      <x:c r="AH241" s="7" t="str">
        <x:f>IF(OR($D241="",AH$5="",'상세일정'!AM241="제외"),"",IF($D241=$E241,IF(AND($D241&gt;=AH$5,$D241&lt;AH$5+7),"◆",""),IF(AND($D241&lt;AH$5+7,$E241&gt;AH$5),"■","")))</x:f>
      </x:c>
      <x:c r="AI241" s="7" t="str">
        <x:f>IF(OR($D241="",AI$5="",'상세일정'!AM241="제외"),"",IF($D241=$E241,IF(AND($D241&gt;=AI$5,$D241&lt;AI$5+7),"◆",""),IF(AND($D241&lt;AI$5+7,$E241&gt;AI$5),"■","")))</x:f>
      </x:c>
      <x:c r="AJ241" s="7" t="str">
        <x:f>IF(OR($D241="",AJ$5="",'상세일정'!AM241="제외"),"",IF($D241=$E241,IF(AND($D241&gt;=AJ$5,$D241&lt;AJ$5+7),"◆",""),IF(AND($D241&lt;AJ$5+7,$E241&gt;AJ$5),"■","")))</x:f>
      </x:c>
      <x:c r="AK241" s="7" t="str">
        <x:f>IF(OR($D241="",AK$5="",'상세일정'!AM241="제외"),"",IF($D241=$E241,IF(AND($D241&gt;=AK$5,$D241&lt;AK$5+7),"◆",""),IF(AND($D241&lt;AK$5+7,$E241&gt;AK$5),"■","")))</x:f>
      </x:c>
      <x:c r="AL241" s="7" t="str">
        <x:f>IF(OR($D241="",AL$5="",'상세일정'!AM241="제외"),"",IF($D241=$E241,IF(AND($D241&gt;=AL$5,$D241&lt;AL$5+7),"◆",""),IF(AND($D241&lt;AL$5+7,$E241&gt;AL$5),"■","")))</x:f>
      </x:c>
      <x:c r="AM241" s="7" t="str">
        <x:f>IF(OR($D241="",AM$5="",'상세일정'!AM241="제외"),"",IF($D241=$E241,IF(AND($D241&gt;=AM$5,$D241&lt;AM$5+7),"◆",""),IF(AND($D241&lt;AM$5+7,$E241&gt;AM$5),"■","")))</x:f>
      </x:c>
      <x:c r="AN241" s="7" t="str">
        <x:f>IF(OR($D241="",AN$5="",'상세일정'!AM241="제외"),"",IF($D241=$E241,IF(AND($D241&gt;=AN$5,$D241&lt;AN$5+7),"◆",""),IF(AND($D241&lt;AN$5+7,$E241&gt;AN$5),"■","")))</x:f>
      </x:c>
      <x:c r="AO241" s="7" t="str">
        <x:f>IF(OR($D241="",AO$5="",'상세일정'!AM241="제외"),"",IF($D241=$E241,IF(AND($D241&gt;=AO$5,$D241&lt;AO$5+7),"◆",""),IF(AND($D241&lt;AO$5+7,$E241&gt;AO$5),"■","")))</x:f>
      </x:c>
      <x:c r="AP241" s="7" t="str">
        <x:f>IF(OR($D241="",AP$5="",'상세일정'!AM241="제외"),"",IF($D241=$E241,IF(AND($D241&gt;=AP$5,$D241&lt;AP$5+7),"◆",""),IF(AND($D241&lt;AP$5+7,$E241&gt;AP$5),"■","")))</x:f>
      </x:c>
      <x:c r="AQ241" s="7" t="str">
        <x:f>IF(OR($D241="",AQ$5="",'상세일정'!AM241="제외"),"",IF($D241=$E241,IF(AND($D241&gt;=AQ$5,$D241&lt;AQ$5+7),"◆",""),IF(AND($D241&lt;AQ$5+7,$E241&gt;AQ$5),"■","")))</x:f>
      </x:c>
      <x:c r="AR241" s="7" t="str">
        <x:f>IF(OR($D241="",AR$5="",'상세일정'!AM241="제외"),"",IF($D241=$E241,IF(AND($D241&gt;=AR$5,$D241&lt;AR$5+7),"◆",""),IF(AND($D241&lt;AR$5+7,$E241&gt;AR$5),"■","")))</x:f>
      </x:c>
      <x:c r="AS241" s="7" t="str">
        <x:f>IF(OR($D241="",AS$5="",'상세일정'!AM241="제외"),"",IF($D241=$E241,IF(AND($D241&gt;=AS$5,$D241&lt;AS$5+7),"◆",""),IF(AND($D241&lt;AS$5+7,$E241&gt;AS$5),"■","")))</x:f>
      </x:c>
      <x:c r="AT241" s="7" t="str">
        <x:f>IF(OR($D241="",AT$5="",'상세일정'!AM241="제외"),"",IF($D241=$E241,IF(AND($D241&gt;=AT$5,$D241&lt;AT$5+7),"◆",""),IF(AND($D241&lt;AT$5+7,$E241&gt;AT$5),"■","")))</x:f>
      </x:c>
      <x:c r="AU241" s="7" t="str">
        <x:f>IF(OR($D241="",AU$5="",'상세일정'!AM241="제외"),"",IF($D241=$E241,IF(AND($D241&gt;=AU$5,$D241&lt;AU$5+7),"◆",""),IF(AND($D241&lt;AU$5+7,$E241&gt;AU$5),"■","")))</x:f>
      </x:c>
      <x:c r="AV241" s="7" t="str">
        <x:f>IF(OR($D241="",AV$5="",'상세일정'!AM241="제외"),"",IF($D241=$E241,IF(AND($D241&gt;=AV$5,$D241&lt;AV$5+7),"◆",""),IF(AND($D241&lt;AV$5+7,$E241&gt;AV$5),"■","")))</x:f>
      </x:c>
      <x:c r="AW241" s="7" t="str">
        <x:f>IF(OR($D241="",AW$5="",'상세일정'!AM241="제외"),"",IF($D241=$E241,IF(AND($D241&gt;=AW$5,$D241&lt;AW$5+7),"◆",""),IF(AND($D241&lt;AW$5+7,$E241&gt;AW$5),"■","")))</x:f>
      </x:c>
      <x:c r="AX241" s="7" t="str">
        <x:f>IF(OR($D241="",AX$5="",'상세일정'!AM241="제외"),"",IF($D241=$E241,IF(AND($D241&gt;=AX$5,$D241&lt;AX$5+7),"◆",""),IF(AND($D241&lt;AX$5+7,$E241&gt;AX$5),"■","")))</x:f>
      </x:c>
      <x:c r="AY241" s="7" t="str">
        <x:f>IF(OR($D241="",AY$5="",'상세일정'!AM241="제외"),"",IF($D241=$E241,IF(AND($D241&gt;=AY$5,$D241&lt;AY$5+7),"◆",""),IF(AND($D241&lt;AY$5+7,$E241&gt;AY$5),"■","")))</x:f>
      </x:c>
      <x:c r="AZ241" s="7" t="str">
        <x:f>IF(OR($D241="",AZ$5="",'상세일정'!AM241="제외"),"",IF($D241=$E241,IF(AND($D241&gt;=AZ$5,$D241&lt;AZ$5+7),"◆",""),IF(AND($D241&lt;AZ$5+7,$E241&gt;AZ$5),"■","")))</x:f>
      </x:c>
      <x:c r="BA241" s="7" t="str">
        <x:f>IF(OR($D241="",BA$5="",'상세일정'!AM241="제외"),"",IF($D241=$E241,IF(AND($D241&gt;=BA$5,$D241&lt;BA$5+7),"◆",""),IF(AND($D241&lt;BA$5+7,$E241&gt;BA$5),"■","")))</x:f>
      </x:c>
      <x:c r="BB241" s="7" t="str">
        <x:f>IF(OR($D241="",BB$5="",'상세일정'!AM241="제외"),"",IF($D241=$E241,IF(AND($D241&gt;=BB$5,$D241&lt;BB$5+7),"◆",""),IF(AND($D241&lt;BB$5+7,$E241&gt;BB$5),"■","")))</x:f>
      </x:c>
      <x:c r="BC241" s="7" t="str">
        <x:f>IF(OR($D241="",BC$5="",'상세일정'!AM241="제외"),"",IF($D241=$E241,IF(AND($D241&gt;=BC$5,$D241&lt;BC$5+7),"◆",""),IF(AND($D241&lt;BC$5+7,$E241&gt;BC$5),"■","")))</x:f>
      </x:c>
      <x:c r="BD241" s="7" t="str">
        <x:f>IF(OR($D241="",BD$5="",'상세일정'!AM241="제외"),"",IF($D241=$E241,IF(AND($D241&gt;=BD$5,$D241&lt;BD$5+7),"◆",""),IF(AND($D241&lt;BD$5+7,$E241&gt;BD$5),"■","")))</x:f>
      </x:c>
      <x:c r="BE241" s="7" t="str">
        <x:f>IF(OR($D241="",BE$5="",'상세일정'!AM241="제외"),"",IF($D241=$E241,IF(AND($D241&gt;=BE$5,$D241&lt;BE$5+7),"◆",""),IF(AND($D241&lt;BE$5+7,$E241&gt;BE$5),"■","")))</x:f>
      </x:c>
      <x:c r="BF241" s="7" t="str">
        <x:f>IF(OR($D241="",BF$5="",'상세일정'!AM241="제외"),"",IF($D241=$E241,IF(AND($D241&gt;=BF$5,$D241&lt;BF$5+7),"◆",""),IF(AND($D241&lt;BF$5+7,$E241&gt;BF$5),"■","")))</x:f>
      </x:c>
      <x:c r="BG241" s="7" t="str">
        <x:f>IF(OR($D241="",BG$5="",'상세일정'!AM241="제외"),"",IF($D241=$E241,IF(AND($D241&gt;=BG$5,$D241&lt;BG$5+7),"◆",""),IF(AND($D241&lt;BG$5+7,$E241&gt;BG$5),"■","")))</x:f>
      </x:c>
      <x:c r="BH241" s="7" t="str">
        <x:f>IF(OR($D241="",BH$5="",'상세일정'!AM241="제외"),"",IF($D241=$E241,IF(AND($D241&gt;=BH$5,$D241&lt;BH$5+7),"◆",""),IF(AND($D241&lt;BH$5+7,$E241&gt;BH$5),"■","")))</x:f>
      </x:c>
      <x:c r="BI241" s="7" t="str">
        <x:f>IF(OR($D241="",BI$5="",'상세일정'!AM241="제외"),"",IF($D241=$E241,IF(AND($D241&gt;=BI$5,$D241&lt;BI$5+7),"◆",""),IF(AND($D241&lt;BI$5+7,$E241&gt;BI$5),"■","")))</x:f>
      </x:c>
      <x:c r="BJ241" s="7" t="str">
        <x:f>IF(OR($D241="",BJ$5="",'상세일정'!AM241="제외"),"",IF($D241=$E241,IF(AND($D241&gt;=BJ$5,$D241&lt;BJ$5+7),"◆",""),IF(AND($D241&lt;BJ$5+7,$E241&gt;BJ$5),"■","")))</x:f>
      </x:c>
      <x:c r="BK241" s="7" t="str">
        <x:f>IF(OR($D241="",BK$5="",'상세일정'!AM241="제외"),"",IF($D241=$E241,IF(AND($D241&gt;=BK$5,$D241&lt;BK$5+7),"◆",""),IF(AND($D241&lt;BK$5+7,$E241&gt;BK$5),"■","")))</x:f>
      </x:c>
      <x:c r="BL241" s="7" t="str">
        <x:f>IF(OR($D241="",BL$5="",'상세일정'!AM241="제외"),"",IF($D241=$E241,IF(AND($D241&gt;=BL$5,$D241&lt;BL$5+7),"◆",""),IF(AND($D241&lt;BL$5+7,$E241&gt;BL$5),"■","")))</x:f>
      </x:c>
      <x:c r="BM241" s="7" t="str">
        <x:f>IF(OR($D241="",BM$5="",'상세일정'!AM241="제외"),"",IF($D241=$E241,IF(AND($D241&gt;=BM$5,$D241&lt;BM$5+7),"◆",""),IF(AND($D241&lt;BM$5+7,$E241&gt;BM$5),"■","")))</x:f>
      </x:c>
      <x:c r="BN241" s="7" t="str">
        <x:f>IF(OR($D241="",BN$5="",'상세일정'!AM241="제외"),"",IF($D241=$E241,IF(AND($D241&gt;=BN$5,$D241&lt;BN$5+7),"◆",""),IF(AND($D241&lt;BN$5+7,$E241&gt;BN$5),"■","")))</x:f>
      </x:c>
      <x:c r="BO241" s="7" t="str">
        <x:f>IF(OR($D241="",BO$5="",'상세일정'!AM241="제외"),"",IF($D241=$E241,IF(AND($D241&gt;=BO$5,$D241&lt;BO$5+7),"◆",""),IF(AND($D241&lt;BO$5+7,$E241&gt;BO$5),"■","")))</x:f>
      </x:c>
      <x:c r="BP241" s="7" t="str">
        <x:f>IF(OR($D241="",BP$5="",'상세일정'!AM241="제외"),"",IF($D241=$E241,IF(AND($D241&gt;=BP$5,$D241&lt;BP$5+7),"◆",""),IF(AND($D241&lt;BP$5+7,$E241&gt;BP$5),"■","")))</x:f>
      </x:c>
      <x:c r="BQ241" s="7" t="str">
        <x:f>IF(OR($D241="",BQ$5="",'상세일정'!AM241="제외"),"",IF($D241=$E241,IF(AND($D241&gt;=BQ$5,$D241&lt;BQ$5+7),"◆",""),IF(AND($D241&lt;BQ$5+7,$E241&gt;BQ$5),"■","")))</x:f>
      </x:c>
      <x:c r="BR241" s="7" t="str">
        <x:f>IF(OR($D241="",BR$5="",'상세일정'!AM241="제외"),"",IF($D241=$E241,IF(AND($D241&gt;=BR$5,$D241&lt;BR$5+7),"◆",""),IF(AND($D241&lt;BR$5+7,$E241&gt;BR$5),"■","")))</x:f>
      </x:c>
      <x:c r="BS241" s="7" t="str">
        <x:f>IF(OR($D241="",BS$5="",'상세일정'!AM241="제외"),"",IF($D241=$E241,IF(AND($D241&gt;=BS$5,$D241&lt;BS$5+7),"◆",""),IF(AND($D241&lt;BS$5+7,$E241&gt;BS$5),"■","")))</x:f>
      </x:c>
      <x:c r="BT241" s="7" t="str">
        <x:f>IF(OR($D241="",BT$5="",'상세일정'!AM241="제외"),"",IF($D241=$E241,IF(AND($D241&gt;=BT$5,$D241&lt;BT$5+7),"◆",""),IF(AND($D241&lt;BT$5+7,$E241&gt;BT$5),"■","")))</x:f>
      </x:c>
      <x:c r="BU241" s="7" t="str">
        <x:f>IF(OR($D241="",BU$5="",'상세일정'!AM241="제외"),"",IF($D241=$E241,IF(AND($D241&gt;=BU$5,$D241&lt;BU$5+7),"◆",""),IF(AND($D241&lt;BU$5+7,$E241&gt;BU$5),"■","")))</x:f>
      </x:c>
      <x:c r="BV241" s="7" t="str">
        <x:f>IF(OR($D241="",BV$5="",'상세일정'!AM241="제외"),"",IF($D241=$E241,IF(AND($D241&gt;=BV$5,$D241&lt;BV$5+7),"◆",""),IF(AND($D241&lt;BV$5+7,$E241&gt;BV$5),"■","")))</x:f>
      </x:c>
      <x:c r="BW241" s="7" t="str">
        <x:f>IF(OR($D241="",BW$5="",'상세일정'!AM241="제외"),"",IF($D241=$E241,IF(AND($D241&gt;=BW$5,$D241&lt;BW$5+7),"◆",""),IF(AND($D241&lt;BW$5+7,$E241&gt;BW$5),"■","")))</x:f>
      </x:c>
      <x:c r="BX241" s="7" t="str">
        <x:f>IF(OR($D241="",BX$5="",'상세일정'!AM241="제외"),"",IF($D241=$E241,IF(AND($D241&gt;=BX$5,$D241&lt;BX$5+7),"◆",""),IF(AND($D241&lt;BX$5+7,$E241&gt;BX$5),"■","")))</x:f>
      </x:c>
      <x:c r="BY241" s="7" t="str">
        <x:f>IF(OR($D241="",BY$5="",'상세일정'!AM241="제외"),"",IF($D241=$E241,IF(AND($D241&gt;=BY$5,$D241&lt;BY$5+7),"◆",""),IF(AND($D241&lt;BY$5+7,$E241&gt;BY$5),"■","")))</x:f>
      </x:c>
      <x:c r="BZ241" s="7" t="str">
        <x:f>IF(OR($D241="",BZ$5="",'상세일정'!AM241="제외"),"",IF($D241=$E241,IF(AND($D241&gt;=BZ$5,$D241&lt;BZ$5+7),"◆",""),IF(AND($D241&lt;BZ$5+7,$E241&gt;BZ$5),"■","")))</x:f>
      </x:c>
      <x:c r="CA241" s="7" t="str">
        <x:f>IF(OR($D241="",CA$5="",'상세일정'!AM241="제외"),"",IF($D241=$E241,IF(AND($D241&gt;=CA$5,$D241&lt;CA$5+7),"◆",""),IF(AND($D241&lt;CA$5+7,$E241&gt;CA$5),"■","")))</x:f>
      </x:c>
      <x:c r="CB241" s="7" t="str">
        <x:f>IF(OR($D241="",CB$5="",'상세일정'!AM241="제외"),"",IF($D241=$E241,IF(AND($D241&gt;=CB$5,$D241&lt;CB$5+7),"◆",""),IF(AND($D241&lt;CB$5+7,$E241&gt;CB$5),"■","")))</x:f>
      </x:c>
      <x:c r="CC241" s="7" t="str">
        <x:f>IF(OR($D241="",CC$5="",'상세일정'!AM241="제외"),"",IF($D241=$E241,IF(AND($D241&gt;=CC$5,$D241&lt;CC$5+7),"◆",""),IF(AND($D241&lt;CC$5+7,$E241&gt;CC$5),"■","")))</x:f>
      </x:c>
      <x:c r="CD241" s="7" t="str">
        <x:f>IF(OR($D241="",CD$5="",'상세일정'!AM241="제외"),"",IF($D241=$E241,IF(AND($D241&gt;=CD$5,$D241&lt;CD$5+7),"◆",""),IF(AND($D241&lt;CD$5+7,$E241&gt;CD$5),"■","")))</x:f>
      </x:c>
      <x:c r="CE241" s="7" t="str">
        <x:f>IF(OR($D241="",CE$5="",'상세일정'!AM241="제외"),"",IF($D241=$E241,IF(AND($D241&gt;=CE$5,$D241&lt;CE$5+7),"◆",""),IF(AND($D241&lt;CE$5+7,$E241&gt;CE$5),"■","")))</x:f>
      </x:c>
      <x:c r="CF241" s="7" t="str">
        <x:f>IF(OR($D241="",CF$5="",'상세일정'!AM241="제외"),"",IF($D241=$E241,IF(AND($D241&gt;=CF$5,$D241&lt;CF$5+7),"◆",""),IF(AND($D241&lt;CF$5+7,$E241&gt;CF$5),"■","")))</x:f>
      </x:c>
      <x:c r="CG241" s="7" t="str">
        <x:f>IF(OR($D241="",CG$5="",'상세일정'!AM241="제외"),"",IF($D241=$E241,IF(AND($D241&gt;=CG$5,$D241&lt;CG$5+7),"◆",""),IF(AND($D241&lt;CG$5+7,$E241&gt;CG$5),"■","")))</x:f>
      </x:c>
      <x:c r="CH241" s="7" t="str">
        <x:f>IF(OR($D241="",CH$5="",'상세일정'!AM241="제외"),"",IF($D241=$E241,IF(AND($D241&gt;=CH$5,$D241&lt;CH$5+7),"◆",""),IF(AND($D241&lt;CH$5+7,$E241&gt;CH$5),"■","")))</x:f>
      </x:c>
      <x:c r="CI241" s="7" t="str">
        <x:f>IF(OR($D241="",CI$5="",'상세일정'!AM241="제외"),"",IF($D241=$E241,IF(AND($D241&gt;=CI$5,$D241&lt;CI$5+7),"◆",""),IF(AND($D241&lt;CI$5+7,$E241&gt;CI$5),"■","")))</x:f>
      </x:c>
      <x:c r="CJ241" s="7" t="str">
        <x:f>IF(OR($D241="",CJ$5="",'상세일정'!AM241="제외"),"",IF($D241=$E241,IF(AND($D241&gt;=CJ$5,$D241&lt;CJ$5+7),"◆",""),IF(AND($D241&lt;CJ$5+7,$E241&gt;CJ$5),"■","")))</x:f>
      </x:c>
      <x:c r="CK241" s="7" t="str">
        <x:f>IF(OR($D241="",CK$5="",'상세일정'!AM241="제외"),"",IF($D241=$E241,IF(AND($D241&gt;=CK$5,$D241&lt;CK$5+7),"◆",""),IF(AND($D241&lt;CK$5+7,$E241&gt;CK$5),"■","")))</x:f>
      </x:c>
      <x:c r="CL241" s="7" t="str">
        <x:f>IF(OR($D241="",CL$5="",'상세일정'!AM241="제외"),"",IF($D241=$E241,IF(AND($D241&gt;=CL$5,$D241&lt;CL$5+7),"◆",""),IF(AND($D241&lt;CL$5+7,$E241&gt;CL$5),"■","")))</x:f>
      </x:c>
      <x:c r="CM241" s="7" t="str">
        <x:f>IF(OR($D241="",CM$5="",'상세일정'!AM241="제외"),"",IF($D241=$E241,IF(AND($D241&gt;=CM$5,$D241&lt;CM$5+7),"◆",""),IF(AND($D241&lt;CM$5+7,$E241&gt;CM$5),"■","")))</x:f>
      </x:c>
      <x:c r="CN241" s="7" t="str">
        <x:f>IF(OR($D241="",CN$5="",'상세일정'!AM241="제외"),"",IF($D241=$E241,IF(AND($D241&gt;=CN$5,$D241&lt;CN$5+7),"◆",""),IF(AND($D241&lt;CN$5+7,$E241&gt;CN$5),"■","")))</x:f>
      </x:c>
      <x:c r="CO241" s="7" t="str">
        <x:f>IF(OR($D241="",CO$5="",'상세일정'!AM241="제외"),"",IF($D241=$E241,IF(AND($D241&gt;=CO$5,$D241&lt;CO$5+7),"◆",""),IF(AND($D241&lt;CO$5+7,$E241&gt;CO$5),"■","")))</x:f>
      </x:c>
      <x:c r="CP241" s="7" t="str">
        <x:f>IF(OR($D241="",CP$5="",'상세일정'!AM241="제외"),"",IF($D241=$E241,IF(AND($D241&gt;=CP$5,$D241&lt;CP$5+7),"◆",""),IF(AND($D241&lt;CP$5+7,$E241&gt;CP$5),"■","")))</x:f>
      </x:c>
      <x:c r="CQ241" s="7" t="str">
        <x:f>IF(OR($D241="",CQ$5="",'상세일정'!AM241="제외"),"",IF($D241=$E241,IF(AND($D241&gt;=CQ$5,$D241&lt;CQ$5+7),"◆",""),IF(AND($D241&lt;CQ$5+7,$E241&gt;CQ$5),"■","")))</x:f>
      </x:c>
      <x:c r="CR241" s="7" t="str">
        <x:f>IF(OR($D241="",CR$5="",'상세일정'!AM241="제외"),"",IF($D241=$E241,IF(AND($D241&gt;=CR$5,$D241&lt;CR$5+7),"◆",""),IF(AND($D241&lt;CR$5+7,$E241&gt;CR$5),"■","")))</x:f>
      </x:c>
      <x:c r="CS241" s="7" t="str">
        <x:f>IF(OR($D241="",CS$5="",'상세일정'!AM241="제외"),"",IF($D241=$E241,IF(AND($D241&gt;=CS$5,$D241&lt;CS$5+7),"◆",""),IF(AND($D241&lt;CS$5+7,$E241&gt;CS$5),"■","")))</x:f>
      </x:c>
      <x:c r="CT241" s="7" t="str">
        <x:f>IF(OR($D241="",CT$5="",'상세일정'!AM241="제외"),"",IF($D241=$E241,IF(AND($D241&gt;=CT$5,$D241&lt;CT$5+7),"◆",""),IF(AND($D241&lt;CT$5+7,$E241&gt;CT$5),"■","")))</x:f>
      </x:c>
      <x:c r="CU241" s="7" t="str">
        <x:f>IF(OR($D241="",CU$5="",'상세일정'!AM241="제외"),"",IF($D241=$E241,IF(AND($D241&gt;=CU$5,$D241&lt;CU$5+7),"◆",""),IF(AND($D241&lt;CU$5+7,$E241&gt;CU$5),"■","")))</x:f>
      </x:c>
      <x:c r="CV241" s="7" t="str">
        <x:f>IF(OR($D241="",CV$5="",'상세일정'!AM241="제외"),"",IF($D241=$E241,IF(AND($D241&gt;=CV$5,$D241&lt;CV$5+7),"◆",""),IF(AND($D241&lt;CV$5+7,$E241&gt;CV$5),"■","")))</x:f>
      </x:c>
      <x:c r="CW241" s="7" t="str">
        <x:f>IF(OR($D241="",CW$5="",'상세일정'!AM241="제외"),"",IF($D241=$E241,IF(AND($D241&gt;=CW$5,$D241&lt;CW$5+7),"◆",""),IF(AND($D241&lt;CW$5+7,$E241&gt;CW$5),"■","")))</x:f>
      </x:c>
      <x:c r="CX241" s="7" t="str">
        <x:f>IF(OR($D241="",CX$5="",'상세일정'!AM241="제외"),"",IF($D241=$E241,IF(AND($D241&gt;=CX$5,$D241&lt;CX$5+7),"◆",""),IF(AND($D241&lt;CX$5+7,$E241&gt;CX$5),"■","")))</x:f>
      </x:c>
      <x:c r="CY241" s="7" t="str">
        <x:f>IF(OR($D241="",CY$5="",'상세일정'!AM241="제외"),"",IF($D241=$E241,IF(AND($D241&gt;=CY$5,$D241&lt;CY$5+7),"◆",""),IF(AND($D241&lt;CY$5+7,$E241&gt;CY$5),"■","")))</x:f>
      </x:c>
      <x:c r="CZ241" s="7" t="str">
        <x:f>IF(OR($D241="",CZ$5="",'상세일정'!AM241="제외"),"",IF($D241=$E241,IF(AND($D241&gt;=CZ$5,$D241&lt;CZ$5+7),"◆",""),IF(AND($D241&lt;CZ$5+7,$E241&gt;CZ$5),"■","")))</x:f>
      </x:c>
      <x:c r="DA241" s="7" t="str">
        <x:f>IF(OR($D241="",DA$5="",'상세일정'!AM241="제외"),"",IF($D241=$E241,IF(AND($D241&gt;=DA$5,$D241&lt;DA$5+7),"◆",""),IF(AND($D241&lt;DA$5+7,$E241&gt;DA$5),"■","")))</x:f>
      </x:c>
      <x:c r="DB241" s="7" t="str">
        <x:f>IF(OR($D241="",DB$5="",'상세일정'!AM241="제외"),"",IF($D241=$E241,IF(AND($D241&gt;=DB$5,$D241&lt;DB$5+7),"◆",""),IF(AND($D241&lt;DB$5+7,$E241&gt;DB$5),"■","")))</x:f>
      </x:c>
      <x:c r="DC241" s="7" t="str">
        <x:f>IF(OR($D241="",DC$5="",'상세일정'!AM241="제외"),"",IF($D241=$E241,IF(AND($D241&gt;=DC$5,$D241&lt;DC$5+7),"◆",""),IF(AND($D241&lt;DC$5+7,$E241&gt;DC$5),"■","")))</x:f>
      </x:c>
      <x:c r="DD241" s="7" t="str">
        <x:f>IF(OR($D241="",DD$5="",'상세일정'!AM241="제외"),"",IF($D241=$E241,IF(AND($D241&gt;=DD$5,$D241&lt;DD$5+7),"◆",""),IF(AND($D241&lt;DD$5+7,$E241&gt;DD$5),"■","")))</x:f>
      </x:c>
      <x:c r="DE241" s="7" t="str">
        <x:f>IF(OR($D241="",DE$5="",'상세일정'!AM241="제외"),"",IF($D241=$E241,IF(AND($D241&gt;=DE$5,$D241&lt;DE$5+7),"◆",""),IF(AND($D241&lt;DE$5+7,$E241&gt;DE$5),"■","")))</x:f>
      </x:c>
    </x:row>
    <x:row r="242" ht="34" customHeight="1">
      <x:c r="A242" s="7" t="str">
        <x:v>HO01</x:v>
      </x:c>
      <x:c r="B242" s="7" t="str">
        <x:v>29 인수·운영·정산</x:v>
      </x:c>
      <x:c r="C242" s="7" t="str">
        <x:v>사업개시 신고 및 운영 전 서류 완결</x:v>
      </x:c>
      <x:c r="D242" s="10" t="str">
        <x:f>'상세일정'!AJ242</x:f>
      </x:c>
      <x:c r="E242" s="10" t="str">
        <x:f>'상세일정'!AK242</x:f>
      </x:c>
      <x:c r="F242" s="7" t="str">
        <x:f>IF(OR($D242="",F$5="",'상세일정'!AM242="제외"),"",IF($D242=$E242,IF(AND($D242&gt;=F$5,$D242&lt;F$5+7),"◆",""),IF(AND($D242&lt;F$5+7,$E242&gt;F$5),"■","")))</x:f>
      </x:c>
      <x:c r="G242" s="7" t="str">
        <x:f>IF(OR($D242="",G$5="",'상세일정'!AM242="제외"),"",IF($D242=$E242,IF(AND($D242&gt;=G$5,$D242&lt;G$5+7),"◆",""),IF(AND($D242&lt;G$5+7,$E242&gt;G$5),"■","")))</x:f>
      </x:c>
      <x:c r="H242" s="7" t="str">
        <x:f>IF(OR($D242="",H$5="",'상세일정'!AM242="제외"),"",IF($D242=$E242,IF(AND($D242&gt;=H$5,$D242&lt;H$5+7),"◆",""),IF(AND($D242&lt;H$5+7,$E242&gt;H$5),"■","")))</x:f>
      </x:c>
      <x:c r="I242" s="7" t="str">
        <x:f>IF(OR($D242="",I$5="",'상세일정'!AM242="제외"),"",IF($D242=$E242,IF(AND($D242&gt;=I$5,$D242&lt;I$5+7),"◆",""),IF(AND($D242&lt;I$5+7,$E242&gt;I$5),"■","")))</x:f>
      </x:c>
      <x:c r="J242" s="7" t="str">
        <x:f>IF(OR($D242="",J$5="",'상세일정'!AM242="제외"),"",IF($D242=$E242,IF(AND($D242&gt;=J$5,$D242&lt;J$5+7),"◆",""),IF(AND($D242&lt;J$5+7,$E242&gt;J$5),"■","")))</x:f>
      </x:c>
      <x:c r="K242" s="7" t="str">
        <x:f>IF(OR($D242="",K$5="",'상세일정'!AM242="제외"),"",IF($D242=$E242,IF(AND($D242&gt;=K$5,$D242&lt;K$5+7),"◆",""),IF(AND($D242&lt;K$5+7,$E242&gt;K$5),"■","")))</x:f>
      </x:c>
      <x:c r="L242" s="7" t="str">
        <x:f>IF(OR($D242="",L$5="",'상세일정'!AM242="제외"),"",IF($D242=$E242,IF(AND($D242&gt;=L$5,$D242&lt;L$5+7),"◆",""),IF(AND($D242&lt;L$5+7,$E242&gt;L$5),"■","")))</x:f>
      </x:c>
      <x:c r="M242" s="7" t="str">
        <x:f>IF(OR($D242="",M$5="",'상세일정'!AM242="제외"),"",IF($D242=$E242,IF(AND($D242&gt;=M$5,$D242&lt;M$5+7),"◆",""),IF(AND($D242&lt;M$5+7,$E242&gt;M$5),"■","")))</x:f>
      </x:c>
      <x:c r="N242" s="7" t="str">
        <x:f>IF(OR($D242="",N$5="",'상세일정'!AM242="제외"),"",IF($D242=$E242,IF(AND($D242&gt;=N$5,$D242&lt;N$5+7),"◆",""),IF(AND($D242&lt;N$5+7,$E242&gt;N$5),"■","")))</x:f>
      </x:c>
      <x:c r="O242" s="7" t="str">
        <x:f>IF(OR($D242="",O$5="",'상세일정'!AM242="제외"),"",IF($D242=$E242,IF(AND($D242&gt;=O$5,$D242&lt;O$5+7),"◆",""),IF(AND($D242&lt;O$5+7,$E242&gt;O$5),"■","")))</x:f>
      </x:c>
      <x:c r="P242" s="7" t="str">
        <x:f>IF(OR($D242="",P$5="",'상세일정'!AM242="제외"),"",IF($D242=$E242,IF(AND($D242&gt;=P$5,$D242&lt;P$5+7),"◆",""),IF(AND($D242&lt;P$5+7,$E242&gt;P$5),"■","")))</x:f>
      </x:c>
      <x:c r="Q242" s="7" t="str">
        <x:f>IF(OR($D242="",Q$5="",'상세일정'!AM242="제외"),"",IF($D242=$E242,IF(AND($D242&gt;=Q$5,$D242&lt;Q$5+7),"◆",""),IF(AND($D242&lt;Q$5+7,$E242&gt;Q$5),"■","")))</x:f>
      </x:c>
      <x:c r="R242" s="7" t="str">
        <x:f>IF(OR($D242="",R$5="",'상세일정'!AM242="제외"),"",IF($D242=$E242,IF(AND($D242&gt;=R$5,$D242&lt;R$5+7),"◆",""),IF(AND($D242&lt;R$5+7,$E242&gt;R$5),"■","")))</x:f>
      </x:c>
      <x:c r="S242" s="7" t="str">
        <x:f>IF(OR($D242="",S$5="",'상세일정'!AM242="제외"),"",IF($D242=$E242,IF(AND($D242&gt;=S$5,$D242&lt;S$5+7),"◆",""),IF(AND($D242&lt;S$5+7,$E242&gt;S$5),"■","")))</x:f>
      </x:c>
      <x:c r="T242" s="7" t="str">
        <x:f>IF(OR($D242="",T$5="",'상세일정'!AM242="제외"),"",IF($D242=$E242,IF(AND($D242&gt;=T$5,$D242&lt;T$5+7),"◆",""),IF(AND($D242&lt;T$5+7,$E242&gt;T$5),"■","")))</x:f>
      </x:c>
      <x:c r="U242" s="7" t="str">
        <x:f>IF(OR($D242="",U$5="",'상세일정'!AM242="제외"),"",IF($D242=$E242,IF(AND($D242&gt;=U$5,$D242&lt;U$5+7),"◆",""),IF(AND($D242&lt;U$5+7,$E242&gt;U$5),"■","")))</x:f>
      </x:c>
      <x:c r="V242" s="7" t="str">
        <x:f>IF(OR($D242="",V$5="",'상세일정'!AM242="제외"),"",IF($D242=$E242,IF(AND($D242&gt;=V$5,$D242&lt;V$5+7),"◆",""),IF(AND($D242&lt;V$5+7,$E242&gt;V$5),"■","")))</x:f>
      </x:c>
      <x:c r="W242" s="7" t="str">
        <x:f>IF(OR($D242="",W$5="",'상세일정'!AM242="제외"),"",IF($D242=$E242,IF(AND($D242&gt;=W$5,$D242&lt;W$5+7),"◆",""),IF(AND($D242&lt;W$5+7,$E242&gt;W$5),"■","")))</x:f>
      </x:c>
      <x:c r="X242" s="7" t="str">
        <x:f>IF(OR($D242="",X$5="",'상세일정'!AM242="제외"),"",IF($D242=$E242,IF(AND($D242&gt;=X$5,$D242&lt;X$5+7),"◆",""),IF(AND($D242&lt;X$5+7,$E242&gt;X$5),"■","")))</x:f>
      </x:c>
      <x:c r="Y242" s="7" t="str">
        <x:f>IF(OR($D242="",Y$5="",'상세일정'!AM242="제외"),"",IF($D242=$E242,IF(AND($D242&gt;=Y$5,$D242&lt;Y$5+7),"◆",""),IF(AND($D242&lt;Y$5+7,$E242&gt;Y$5),"■","")))</x:f>
      </x:c>
      <x:c r="Z242" s="7" t="str">
        <x:f>IF(OR($D242="",Z$5="",'상세일정'!AM242="제외"),"",IF($D242=$E242,IF(AND($D242&gt;=Z$5,$D242&lt;Z$5+7),"◆",""),IF(AND($D242&lt;Z$5+7,$E242&gt;Z$5),"■","")))</x:f>
      </x:c>
      <x:c r="AA242" s="7" t="str">
        <x:f>IF(OR($D242="",AA$5="",'상세일정'!AM242="제외"),"",IF($D242=$E242,IF(AND($D242&gt;=AA$5,$D242&lt;AA$5+7),"◆",""),IF(AND($D242&lt;AA$5+7,$E242&gt;AA$5),"■","")))</x:f>
      </x:c>
      <x:c r="AB242" s="7" t="str">
        <x:f>IF(OR($D242="",AB$5="",'상세일정'!AM242="제외"),"",IF($D242=$E242,IF(AND($D242&gt;=AB$5,$D242&lt;AB$5+7),"◆",""),IF(AND($D242&lt;AB$5+7,$E242&gt;AB$5),"■","")))</x:f>
      </x:c>
      <x:c r="AC242" s="7" t="str">
        <x:f>IF(OR($D242="",AC$5="",'상세일정'!AM242="제외"),"",IF($D242=$E242,IF(AND($D242&gt;=AC$5,$D242&lt;AC$5+7),"◆",""),IF(AND($D242&lt;AC$5+7,$E242&gt;AC$5),"■","")))</x:f>
      </x:c>
      <x:c r="AD242" s="7" t="str">
        <x:f>IF(OR($D242="",AD$5="",'상세일정'!AM242="제외"),"",IF($D242=$E242,IF(AND($D242&gt;=AD$5,$D242&lt;AD$5+7),"◆",""),IF(AND($D242&lt;AD$5+7,$E242&gt;AD$5),"■","")))</x:f>
      </x:c>
      <x:c r="AE242" s="7" t="str">
        <x:f>IF(OR($D242="",AE$5="",'상세일정'!AM242="제외"),"",IF($D242=$E242,IF(AND($D242&gt;=AE$5,$D242&lt;AE$5+7),"◆",""),IF(AND($D242&lt;AE$5+7,$E242&gt;AE$5),"■","")))</x:f>
      </x:c>
      <x:c r="AF242" s="7" t="str">
        <x:f>IF(OR($D242="",AF$5="",'상세일정'!AM242="제외"),"",IF($D242=$E242,IF(AND($D242&gt;=AF$5,$D242&lt;AF$5+7),"◆",""),IF(AND($D242&lt;AF$5+7,$E242&gt;AF$5),"■","")))</x:f>
      </x:c>
      <x:c r="AG242" s="7" t="str">
        <x:f>IF(OR($D242="",AG$5="",'상세일정'!AM242="제외"),"",IF($D242=$E242,IF(AND($D242&gt;=AG$5,$D242&lt;AG$5+7),"◆",""),IF(AND($D242&lt;AG$5+7,$E242&gt;AG$5),"■","")))</x:f>
      </x:c>
      <x:c r="AH242" s="7" t="str">
        <x:f>IF(OR($D242="",AH$5="",'상세일정'!AM242="제외"),"",IF($D242=$E242,IF(AND($D242&gt;=AH$5,$D242&lt;AH$5+7),"◆",""),IF(AND($D242&lt;AH$5+7,$E242&gt;AH$5),"■","")))</x:f>
      </x:c>
      <x:c r="AI242" s="7" t="str">
        <x:f>IF(OR($D242="",AI$5="",'상세일정'!AM242="제외"),"",IF($D242=$E242,IF(AND($D242&gt;=AI$5,$D242&lt;AI$5+7),"◆",""),IF(AND($D242&lt;AI$5+7,$E242&gt;AI$5),"■","")))</x:f>
      </x:c>
      <x:c r="AJ242" s="7" t="str">
        <x:f>IF(OR($D242="",AJ$5="",'상세일정'!AM242="제외"),"",IF($D242=$E242,IF(AND($D242&gt;=AJ$5,$D242&lt;AJ$5+7),"◆",""),IF(AND($D242&lt;AJ$5+7,$E242&gt;AJ$5),"■","")))</x:f>
      </x:c>
      <x:c r="AK242" s="7" t="str">
        <x:f>IF(OR($D242="",AK$5="",'상세일정'!AM242="제외"),"",IF($D242=$E242,IF(AND($D242&gt;=AK$5,$D242&lt;AK$5+7),"◆",""),IF(AND($D242&lt;AK$5+7,$E242&gt;AK$5),"■","")))</x:f>
      </x:c>
      <x:c r="AL242" s="7" t="str">
        <x:f>IF(OR($D242="",AL$5="",'상세일정'!AM242="제외"),"",IF($D242=$E242,IF(AND($D242&gt;=AL$5,$D242&lt;AL$5+7),"◆",""),IF(AND($D242&lt;AL$5+7,$E242&gt;AL$5),"■","")))</x:f>
      </x:c>
      <x:c r="AM242" s="7" t="str">
        <x:f>IF(OR($D242="",AM$5="",'상세일정'!AM242="제외"),"",IF($D242=$E242,IF(AND($D242&gt;=AM$5,$D242&lt;AM$5+7),"◆",""),IF(AND($D242&lt;AM$5+7,$E242&gt;AM$5),"■","")))</x:f>
      </x:c>
      <x:c r="AN242" s="7" t="str">
        <x:f>IF(OR($D242="",AN$5="",'상세일정'!AM242="제외"),"",IF($D242=$E242,IF(AND($D242&gt;=AN$5,$D242&lt;AN$5+7),"◆",""),IF(AND($D242&lt;AN$5+7,$E242&gt;AN$5),"■","")))</x:f>
      </x:c>
      <x:c r="AO242" s="7" t="str">
        <x:f>IF(OR($D242="",AO$5="",'상세일정'!AM242="제외"),"",IF($D242=$E242,IF(AND($D242&gt;=AO$5,$D242&lt;AO$5+7),"◆",""),IF(AND($D242&lt;AO$5+7,$E242&gt;AO$5),"■","")))</x:f>
      </x:c>
      <x:c r="AP242" s="7" t="str">
        <x:f>IF(OR($D242="",AP$5="",'상세일정'!AM242="제외"),"",IF($D242=$E242,IF(AND($D242&gt;=AP$5,$D242&lt;AP$5+7),"◆",""),IF(AND($D242&lt;AP$5+7,$E242&gt;AP$5),"■","")))</x:f>
      </x:c>
      <x:c r="AQ242" s="7" t="str">
        <x:f>IF(OR($D242="",AQ$5="",'상세일정'!AM242="제외"),"",IF($D242=$E242,IF(AND($D242&gt;=AQ$5,$D242&lt;AQ$5+7),"◆",""),IF(AND($D242&lt;AQ$5+7,$E242&gt;AQ$5),"■","")))</x:f>
      </x:c>
      <x:c r="AR242" s="7" t="str">
        <x:f>IF(OR($D242="",AR$5="",'상세일정'!AM242="제외"),"",IF($D242=$E242,IF(AND($D242&gt;=AR$5,$D242&lt;AR$5+7),"◆",""),IF(AND($D242&lt;AR$5+7,$E242&gt;AR$5),"■","")))</x:f>
      </x:c>
      <x:c r="AS242" s="7" t="str">
        <x:f>IF(OR($D242="",AS$5="",'상세일정'!AM242="제외"),"",IF($D242=$E242,IF(AND($D242&gt;=AS$5,$D242&lt;AS$5+7),"◆",""),IF(AND($D242&lt;AS$5+7,$E242&gt;AS$5),"■","")))</x:f>
      </x:c>
      <x:c r="AT242" s="7" t="str">
        <x:f>IF(OR($D242="",AT$5="",'상세일정'!AM242="제외"),"",IF($D242=$E242,IF(AND($D242&gt;=AT$5,$D242&lt;AT$5+7),"◆",""),IF(AND($D242&lt;AT$5+7,$E242&gt;AT$5),"■","")))</x:f>
      </x:c>
      <x:c r="AU242" s="7" t="str">
        <x:f>IF(OR($D242="",AU$5="",'상세일정'!AM242="제외"),"",IF($D242=$E242,IF(AND($D242&gt;=AU$5,$D242&lt;AU$5+7),"◆",""),IF(AND($D242&lt;AU$5+7,$E242&gt;AU$5),"■","")))</x:f>
      </x:c>
      <x:c r="AV242" s="7" t="str">
        <x:f>IF(OR($D242="",AV$5="",'상세일정'!AM242="제외"),"",IF($D242=$E242,IF(AND($D242&gt;=AV$5,$D242&lt;AV$5+7),"◆",""),IF(AND($D242&lt;AV$5+7,$E242&gt;AV$5),"■","")))</x:f>
      </x:c>
      <x:c r="AW242" s="7" t="str">
        <x:f>IF(OR($D242="",AW$5="",'상세일정'!AM242="제외"),"",IF($D242=$E242,IF(AND($D242&gt;=AW$5,$D242&lt;AW$5+7),"◆",""),IF(AND($D242&lt;AW$5+7,$E242&gt;AW$5),"■","")))</x:f>
      </x:c>
      <x:c r="AX242" s="7" t="str">
        <x:f>IF(OR($D242="",AX$5="",'상세일정'!AM242="제외"),"",IF($D242=$E242,IF(AND($D242&gt;=AX$5,$D242&lt;AX$5+7),"◆",""),IF(AND($D242&lt;AX$5+7,$E242&gt;AX$5),"■","")))</x:f>
      </x:c>
      <x:c r="AY242" s="7" t="str">
        <x:f>IF(OR($D242="",AY$5="",'상세일정'!AM242="제외"),"",IF($D242=$E242,IF(AND($D242&gt;=AY$5,$D242&lt;AY$5+7),"◆",""),IF(AND($D242&lt;AY$5+7,$E242&gt;AY$5),"■","")))</x:f>
      </x:c>
      <x:c r="AZ242" s="7" t="str">
        <x:f>IF(OR($D242="",AZ$5="",'상세일정'!AM242="제외"),"",IF($D242=$E242,IF(AND($D242&gt;=AZ$5,$D242&lt;AZ$5+7),"◆",""),IF(AND($D242&lt;AZ$5+7,$E242&gt;AZ$5),"■","")))</x:f>
      </x:c>
      <x:c r="BA242" s="7" t="str">
        <x:f>IF(OR($D242="",BA$5="",'상세일정'!AM242="제외"),"",IF($D242=$E242,IF(AND($D242&gt;=BA$5,$D242&lt;BA$5+7),"◆",""),IF(AND($D242&lt;BA$5+7,$E242&gt;BA$5),"■","")))</x:f>
      </x:c>
      <x:c r="BB242" s="7" t="str">
        <x:f>IF(OR($D242="",BB$5="",'상세일정'!AM242="제외"),"",IF($D242=$E242,IF(AND($D242&gt;=BB$5,$D242&lt;BB$5+7),"◆",""),IF(AND($D242&lt;BB$5+7,$E242&gt;BB$5),"■","")))</x:f>
      </x:c>
      <x:c r="BC242" s="7" t="str">
        <x:f>IF(OR($D242="",BC$5="",'상세일정'!AM242="제외"),"",IF($D242=$E242,IF(AND($D242&gt;=BC$5,$D242&lt;BC$5+7),"◆",""),IF(AND($D242&lt;BC$5+7,$E242&gt;BC$5),"■","")))</x:f>
      </x:c>
      <x:c r="BD242" s="7" t="str">
        <x:f>IF(OR($D242="",BD$5="",'상세일정'!AM242="제외"),"",IF($D242=$E242,IF(AND($D242&gt;=BD$5,$D242&lt;BD$5+7),"◆",""),IF(AND($D242&lt;BD$5+7,$E242&gt;BD$5),"■","")))</x:f>
      </x:c>
      <x:c r="BE242" s="7" t="str">
        <x:f>IF(OR($D242="",BE$5="",'상세일정'!AM242="제외"),"",IF($D242=$E242,IF(AND($D242&gt;=BE$5,$D242&lt;BE$5+7),"◆",""),IF(AND($D242&lt;BE$5+7,$E242&gt;BE$5),"■","")))</x:f>
      </x:c>
      <x:c r="BF242" s="7" t="str">
        <x:f>IF(OR($D242="",BF$5="",'상세일정'!AM242="제외"),"",IF($D242=$E242,IF(AND($D242&gt;=BF$5,$D242&lt;BF$5+7),"◆",""),IF(AND($D242&lt;BF$5+7,$E242&gt;BF$5),"■","")))</x:f>
      </x:c>
      <x:c r="BG242" s="7" t="str">
        <x:f>IF(OR($D242="",BG$5="",'상세일정'!AM242="제외"),"",IF($D242=$E242,IF(AND($D242&gt;=BG$5,$D242&lt;BG$5+7),"◆",""),IF(AND($D242&lt;BG$5+7,$E242&gt;BG$5),"■","")))</x:f>
      </x:c>
      <x:c r="BH242" s="7" t="str">
        <x:f>IF(OR($D242="",BH$5="",'상세일정'!AM242="제외"),"",IF($D242=$E242,IF(AND($D242&gt;=BH$5,$D242&lt;BH$5+7),"◆",""),IF(AND($D242&lt;BH$5+7,$E242&gt;BH$5),"■","")))</x:f>
      </x:c>
      <x:c r="BI242" s="7" t="str">
        <x:f>IF(OR($D242="",BI$5="",'상세일정'!AM242="제외"),"",IF($D242=$E242,IF(AND($D242&gt;=BI$5,$D242&lt;BI$5+7),"◆",""),IF(AND($D242&lt;BI$5+7,$E242&gt;BI$5),"■","")))</x:f>
      </x:c>
      <x:c r="BJ242" s="7" t="str">
        <x:f>IF(OR($D242="",BJ$5="",'상세일정'!AM242="제외"),"",IF($D242=$E242,IF(AND($D242&gt;=BJ$5,$D242&lt;BJ$5+7),"◆",""),IF(AND($D242&lt;BJ$5+7,$E242&gt;BJ$5),"■","")))</x:f>
      </x:c>
      <x:c r="BK242" s="7" t="str">
        <x:f>IF(OR($D242="",BK$5="",'상세일정'!AM242="제외"),"",IF($D242=$E242,IF(AND($D242&gt;=BK$5,$D242&lt;BK$5+7),"◆",""),IF(AND($D242&lt;BK$5+7,$E242&gt;BK$5),"■","")))</x:f>
      </x:c>
      <x:c r="BL242" s="7" t="str">
        <x:f>IF(OR($D242="",BL$5="",'상세일정'!AM242="제외"),"",IF($D242=$E242,IF(AND($D242&gt;=BL$5,$D242&lt;BL$5+7),"◆",""),IF(AND($D242&lt;BL$5+7,$E242&gt;BL$5),"■","")))</x:f>
      </x:c>
      <x:c r="BM242" s="7" t="str">
        <x:f>IF(OR($D242="",BM$5="",'상세일정'!AM242="제외"),"",IF($D242=$E242,IF(AND($D242&gt;=BM$5,$D242&lt;BM$5+7),"◆",""),IF(AND($D242&lt;BM$5+7,$E242&gt;BM$5),"■","")))</x:f>
      </x:c>
      <x:c r="BN242" s="7" t="str">
        <x:f>IF(OR($D242="",BN$5="",'상세일정'!AM242="제외"),"",IF($D242=$E242,IF(AND($D242&gt;=BN$5,$D242&lt;BN$5+7),"◆",""),IF(AND($D242&lt;BN$5+7,$E242&gt;BN$5),"■","")))</x:f>
      </x:c>
      <x:c r="BO242" s="7" t="str">
        <x:f>IF(OR($D242="",BO$5="",'상세일정'!AM242="제외"),"",IF($D242=$E242,IF(AND($D242&gt;=BO$5,$D242&lt;BO$5+7),"◆",""),IF(AND($D242&lt;BO$5+7,$E242&gt;BO$5),"■","")))</x:f>
      </x:c>
      <x:c r="BP242" s="7" t="str">
        <x:f>IF(OR($D242="",BP$5="",'상세일정'!AM242="제외"),"",IF($D242=$E242,IF(AND($D242&gt;=BP$5,$D242&lt;BP$5+7),"◆",""),IF(AND($D242&lt;BP$5+7,$E242&gt;BP$5),"■","")))</x:f>
      </x:c>
      <x:c r="BQ242" s="7" t="str">
        <x:f>IF(OR($D242="",BQ$5="",'상세일정'!AM242="제외"),"",IF($D242=$E242,IF(AND($D242&gt;=BQ$5,$D242&lt;BQ$5+7),"◆",""),IF(AND($D242&lt;BQ$5+7,$E242&gt;BQ$5),"■","")))</x:f>
      </x:c>
      <x:c r="BR242" s="7" t="str">
        <x:f>IF(OR($D242="",BR$5="",'상세일정'!AM242="제외"),"",IF($D242=$E242,IF(AND($D242&gt;=BR$5,$D242&lt;BR$5+7),"◆",""),IF(AND($D242&lt;BR$5+7,$E242&gt;BR$5),"■","")))</x:f>
      </x:c>
      <x:c r="BS242" s="7" t="str">
        <x:f>IF(OR($D242="",BS$5="",'상세일정'!AM242="제외"),"",IF($D242=$E242,IF(AND($D242&gt;=BS$5,$D242&lt;BS$5+7),"◆",""),IF(AND($D242&lt;BS$5+7,$E242&gt;BS$5),"■","")))</x:f>
      </x:c>
      <x:c r="BT242" s="7" t="str">
        <x:f>IF(OR($D242="",BT$5="",'상세일정'!AM242="제외"),"",IF($D242=$E242,IF(AND($D242&gt;=BT$5,$D242&lt;BT$5+7),"◆",""),IF(AND($D242&lt;BT$5+7,$E242&gt;BT$5),"■","")))</x:f>
      </x:c>
      <x:c r="BU242" s="7" t="str">
        <x:f>IF(OR($D242="",BU$5="",'상세일정'!AM242="제외"),"",IF($D242=$E242,IF(AND($D242&gt;=BU$5,$D242&lt;BU$5+7),"◆",""),IF(AND($D242&lt;BU$5+7,$E242&gt;BU$5),"■","")))</x:f>
      </x:c>
      <x:c r="BV242" s="7" t="str">
        <x:f>IF(OR($D242="",BV$5="",'상세일정'!AM242="제외"),"",IF($D242=$E242,IF(AND($D242&gt;=BV$5,$D242&lt;BV$5+7),"◆",""),IF(AND($D242&lt;BV$5+7,$E242&gt;BV$5),"■","")))</x:f>
      </x:c>
      <x:c r="BW242" s="7" t="str">
        <x:f>IF(OR($D242="",BW$5="",'상세일정'!AM242="제외"),"",IF($D242=$E242,IF(AND($D242&gt;=BW$5,$D242&lt;BW$5+7),"◆",""),IF(AND($D242&lt;BW$5+7,$E242&gt;BW$5),"■","")))</x:f>
      </x:c>
      <x:c r="BX242" s="7" t="str">
        <x:f>IF(OR($D242="",BX$5="",'상세일정'!AM242="제외"),"",IF($D242=$E242,IF(AND($D242&gt;=BX$5,$D242&lt;BX$5+7),"◆",""),IF(AND($D242&lt;BX$5+7,$E242&gt;BX$5),"■","")))</x:f>
      </x:c>
      <x:c r="BY242" s="7" t="str">
        <x:f>IF(OR($D242="",BY$5="",'상세일정'!AM242="제외"),"",IF($D242=$E242,IF(AND($D242&gt;=BY$5,$D242&lt;BY$5+7),"◆",""),IF(AND($D242&lt;BY$5+7,$E242&gt;BY$5),"■","")))</x:f>
      </x:c>
      <x:c r="BZ242" s="7" t="str">
        <x:f>IF(OR($D242="",BZ$5="",'상세일정'!AM242="제외"),"",IF($D242=$E242,IF(AND($D242&gt;=BZ$5,$D242&lt;BZ$5+7),"◆",""),IF(AND($D242&lt;BZ$5+7,$E242&gt;BZ$5),"■","")))</x:f>
      </x:c>
      <x:c r="CA242" s="7" t="str">
        <x:f>IF(OR($D242="",CA$5="",'상세일정'!AM242="제외"),"",IF($D242=$E242,IF(AND($D242&gt;=CA$5,$D242&lt;CA$5+7),"◆",""),IF(AND($D242&lt;CA$5+7,$E242&gt;CA$5),"■","")))</x:f>
      </x:c>
      <x:c r="CB242" s="7" t="str">
        <x:f>IF(OR($D242="",CB$5="",'상세일정'!AM242="제외"),"",IF($D242=$E242,IF(AND($D242&gt;=CB$5,$D242&lt;CB$5+7),"◆",""),IF(AND($D242&lt;CB$5+7,$E242&gt;CB$5),"■","")))</x:f>
      </x:c>
      <x:c r="CC242" s="7" t="str">
        <x:f>IF(OR($D242="",CC$5="",'상세일정'!AM242="제외"),"",IF($D242=$E242,IF(AND($D242&gt;=CC$5,$D242&lt;CC$5+7),"◆",""),IF(AND($D242&lt;CC$5+7,$E242&gt;CC$5),"■","")))</x:f>
      </x:c>
      <x:c r="CD242" s="7" t="str">
        <x:f>IF(OR($D242="",CD$5="",'상세일정'!AM242="제외"),"",IF($D242=$E242,IF(AND($D242&gt;=CD$5,$D242&lt;CD$5+7),"◆",""),IF(AND($D242&lt;CD$5+7,$E242&gt;CD$5),"■","")))</x:f>
      </x:c>
      <x:c r="CE242" s="7" t="str">
        <x:f>IF(OR($D242="",CE$5="",'상세일정'!AM242="제외"),"",IF($D242=$E242,IF(AND($D242&gt;=CE$5,$D242&lt;CE$5+7),"◆",""),IF(AND($D242&lt;CE$5+7,$E242&gt;CE$5),"■","")))</x:f>
      </x:c>
      <x:c r="CF242" s="7" t="str">
        <x:f>IF(OR($D242="",CF$5="",'상세일정'!AM242="제외"),"",IF($D242=$E242,IF(AND($D242&gt;=CF$5,$D242&lt;CF$5+7),"◆",""),IF(AND($D242&lt;CF$5+7,$E242&gt;CF$5),"■","")))</x:f>
      </x:c>
      <x:c r="CG242" s="7" t="str">
        <x:f>IF(OR($D242="",CG$5="",'상세일정'!AM242="제외"),"",IF($D242=$E242,IF(AND($D242&gt;=CG$5,$D242&lt;CG$5+7),"◆",""),IF(AND($D242&lt;CG$5+7,$E242&gt;CG$5),"■","")))</x:f>
      </x:c>
      <x:c r="CH242" s="7" t="str">
        <x:f>IF(OR($D242="",CH$5="",'상세일정'!AM242="제외"),"",IF($D242=$E242,IF(AND($D242&gt;=CH$5,$D242&lt;CH$5+7),"◆",""),IF(AND($D242&lt;CH$5+7,$E242&gt;CH$5),"■","")))</x:f>
      </x:c>
      <x:c r="CI242" s="7" t="str">
        <x:f>IF(OR($D242="",CI$5="",'상세일정'!AM242="제외"),"",IF($D242=$E242,IF(AND($D242&gt;=CI$5,$D242&lt;CI$5+7),"◆",""),IF(AND($D242&lt;CI$5+7,$E242&gt;CI$5),"■","")))</x:f>
      </x:c>
      <x:c r="CJ242" s="7" t="str">
        <x:f>IF(OR($D242="",CJ$5="",'상세일정'!AM242="제외"),"",IF($D242=$E242,IF(AND($D242&gt;=CJ$5,$D242&lt;CJ$5+7),"◆",""),IF(AND($D242&lt;CJ$5+7,$E242&gt;CJ$5),"■","")))</x:f>
      </x:c>
      <x:c r="CK242" s="7" t="str">
        <x:f>IF(OR($D242="",CK$5="",'상세일정'!AM242="제외"),"",IF($D242=$E242,IF(AND($D242&gt;=CK$5,$D242&lt;CK$5+7),"◆",""),IF(AND($D242&lt;CK$5+7,$E242&gt;CK$5),"■","")))</x:f>
      </x:c>
      <x:c r="CL242" s="7" t="str">
        <x:f>IF(OR($D242="",CL$5="",'상세일정'!AM242="제외"),"",IF($D242=$E242,IF(AND($D242&gt;=CL$5,$D242&lt;CL$5+7),"◆",""),IF(AND($D242&lt;CL$5+7,$E242&gt;CL$5),"■","")))</x:f>
      </x:c>
      <x:c r="CM242" s="7" t="str">
        <x:f>IF(OR($D242="",CM$5="",'상세일정'!AM242="제외"),"",IF($D242=$E242,IF(AND($D242&gt;=CM$5,$D242&lt;CM$5+7),"◆",""),IF(AND($D242&lt;CM$5+7,$E242&gt;CM$5),"■","")))</x:f>
      </x:c>
      <x:c r="CN242" s="7" t="str">
        <x:f>IF(OR($D242="",CN$5="",'상세일정'!AM242="제외"),"",IF($D242=$E242,IF(AND($D242&gt;=CN$5,$D242&lt;CN$5+7),"◆",""),IF(AND($D242&lt;CN$5+7,$E242&gt;CN$5),"■","")))</x:f>
      </x:c>
      <x:c r="CO242" s="7" t="str">
        <x:f>IF(OR($D242="",CO$5="",'상세일정'!AM242="제외"),"",IF($D242=$E242,IF(AND($D242&gt;=CO$5,$D242&lt;CO$5+7),"◆",""),IF(AND($D242&lt;CO$5+7,$E242&gt;CO$5),"■","")))</x:f>
      </x:c>
      <x:c r="CP242" s="7" t="str">
        <x:f>IF(OR($D242="",CP$5="",'상세일정'!AM242="제외"),"",IF($D242=$E242,IF(AND($D242&gt;=CP$5,$D242&lt;CP$5+7),"◆",""),IF(AND($D242&lt;CP$5+7,$E242&gt;CP$5),"■","")))</x:f>
      </x:c>
      <x:c r="CQ242" s="7" t="str">
        <x:f>IF(OR($D242="",CQ$5="",'상세일정'!AM242="제외"),"",IF($D242=$E242,IF(AND($D242&gt;=CQ$5,$D242&lt;CQ$5+7),"◆",""),IF(AND($D242&lt;CQ$5+7,$E242&gt;CQ$5),"■","")))</x:f>
      </x:c>
      <x:c r="CR242" s="7" t="str">
        <x:f>IF(OR($D242="",CR$5="",'상세일정'!AM242="제외"),"",IF($D242=$E242,IF(AND($D242&gt;=CR$5,$D242&lt;CR$5+7),"◆",""),IF(AND($D242&lt;CR$5+7,$E242&gt;CR$5),"■","")))</x:f>
      </x:c>
      <x:c r="CS242" s="7" t="str">
        <x:f>IF(OR($D242="",CS$5="",'상세일정'!AM242="제외"),"",IF($D242=$E242,IF(AND($D242&gt;=CS$5,$D242&lt;CS$5+7),"◆",""),IF(AND($D242&lt;CS$5+7,$E242&gt;CS$5),"■","")))</x:f>
      </x:c>
      <x:c r="CT242" s="7" t="str">
        <x:f>IF(OR($D242="",CT$5="",'상세일정'!AM242="제외"),"",IF($D242=$E242,IF(AND($D242&gt;=CT$5,$D242&lt;CT$5+7),"◆",""),IF(AND($D242&lt;CT$5+7,$E242&gt;CT$5),"■","")))</x:f>
      </x:c>
      <x:c r="CU242" s="7" t="str">
        <x:f>IF(OR($D242="",CU$5="",'상세일정'!AM242="제외"),"",IF($D242=$E242,IF(AND($D242&gt;=CU$5,$D242&lt;CU$5+7),"◆",""),IF(AND($D242&lt;CU$5+7,$E242&gt;CU$5),"■","")))</x:f>
      </x:c>
      <x:c r="CV242" s="7" t="str">
        <x:f>IF(OR($D242="",CV$5="",'상세일정'!AM242="제외"),"",IF($D242=$E242,IF(AND($D242&gt;=CV$5,$D242&lt;CV$5+7),"◆",""),IF(AND($D242&lt;CV$5+7,$E242&gt;CV$5),"■","")))</x:f>
      </x:c>
      <x:c r="CW242" s="7" t="str">
        <x:f>IF(OR($D242="",CW$5="",'상세일정'!AM242="제외"),"",IF($D242=$E242,IF(AND($D242&gt;=CW$5,$D242&lt;CW$5+7),"◆",""),IF(AND($D242&lt;CW$5+7,$E242&gt;CW$5),"■","")))</x:f>
      </x:c>
      <x:c r="CX242" s="7" t="str">
        <x:f>IF(OR($D242="",CX$5="",'상세일정'!AM242="제외"),"",IF($D242=$E242,IF(AND($D242&gt;=CX$5,$D242&lt;CX$5+7),"◆",""),IF(AND($D242&lt;CX$5+7,$E242&gt;CX$5),"■","")))</x:f>
      </x:c>
      <x:c r="CY242" s="7" t="str">
        <x:f>IF(OR($D242="",CY$5="",'상세일정'!AM242="제외"),"",IF($D242=$E242,IF(AND($D242&gt;=CY$5,$D242&lt;CY$5+7),"◆",""),IF(AND($D242&lt;CY$5+7,$E242&gt;CY$5),"■","")))</x:f>
      </x:c>
      <x:c r="CZ242" s="7" t="str">
        <x:f>IF(OR($D242="",CZ$5="",'상세일정'!AM242="제외"),"",IF($D242=$E242,IF(AND($D242&gt;=CZ$5,$D242&lt;CZ$5+7),"◆",""),IF(AND($D242&lt;CZ$5+7,$E242&gt;CZ$5),"■","")))</x:f>
      </x:c>
      <x:c r="DA242" s="7" t="str">
        <x:f>IF(OR($D242="",DA$5="",'상세일정'!AM242="제외"),"",IF($D242=$E242,IF(AND($D242&gt;=DA$5,$D242&lt;DA$5+7),"◆",""),IF(AND($D242&lt;DA$5+7,$E242&gt;DA$5),"■","")))</x:f>
      </x:c>
      <x:c r="DB242" s="7" t="str">
        <x:f>IF(OR($D242="",DB$5="",'상세일정'!AM242="제외"),"",IF($D242=$E242,IF(AND($D242&gt;=DB$5,$D242&lt;DB$5+7),"◆",""),IF(AND($D242&lt;DB$5+7,$E242&gt;DB$5),"■","")))</x:f>
      </x:c>
      <x:c r="DC242" s="7" t="str">
        <x:f>IF(OR($D242="",DC$5="",'상세일정'!AM242="제외"),"",IF($D242=$E242,IF(AND($D242&gt;=DC$5,$D242&lt;DC$5+7),"◆",""),IF(AND($D242&lt;DC$5+7,$E242&gt;DC$5),"■","")))</x:f>
      </x:c>
      <x:c r="DD242" s="7" t="str">
        <x:f>IF(OR($D242="",DD$5="",'상세일정'!AM242="제외"),"",IF($D242=$E242,IF(AND($D242&gt;=DD$5,$D242&lt;DD$5+7),"◆",""),IF(AND($D242&lt;DD$5+7,$E242&gt;DD$5),"■","")))</x:f>
      </x:c>
      <x:c r="DE242" s="7" t="str">
        <x:f>IF(OR($D242="",DE$5="",'상세일정'!AM242="제외"),"",IF($D242=$E242,IF(AND($D242&gt;=DE$5,$D242&lt;DE$5+7),"◆",""),IF(AND($D242&lt;DE$5+7,$E242&gt;DE$5),"■","")))</x:f>
      </x:c>
    </x:row>
    <x:row r="243" ht="34" customHeight="1">
      <x:c r="A243" s="7" t="str">
        <x:v>HO02</x:v>
      </x:c>
      <x:c r="B243" s="7" t="str">
        <x:v>29 인수·운영·정산</x:v>
      </x:c>
      <x:c r="C243" s="7" t="str">
        <x:v>준공도서·예비품·보증·자산 인계</x:v>
      </x:c>
      <x:c r="D243" s="10" t="str">
        <x:f>'상세일정'!AJ243</x:f>
      </x:c>
      <x:c r="E243" s="10" t="str">
        <x:f>'상세일정'!AK243</x:f>
      </x:c>
      <x:c r="F243" s="7" t="str">
        <x:f>IF(OR($D243="",F$5="",'상세일정'!AM243="제외"),"",IF($D243=$E243,IF(AND($D243&gt;=F$5,$D243&lt;F$5+7),"◆",""),IF(AND($D243&lt;F$5+7,$E243&gt;F$5),"■","")))</x:f>
      </x:c>
      <x:c r="G243" s="7" t="str">
        <x:f>IF(OR($D243="",G$5="",'상세일정'!AM243="제외"),"",IF($D243=$E243,IF(AND($D243&gt;=G$5,$D243&lt;G$5+7),"◆",""),IF(AND($D243&lt;G$5+7,$E243&gt;G$5),"■","")))</x:f>
      </x:c>
      <x:c r="H243" s="7" t="str">
        <x:f>IF(OR($D243="",H$5="",'상세일정'!AM243="제외"),"",IF($D243=$E243,IF(AND($D243&gt;=H$5,$D243&lt;H$5+7),"◆",""),IF(AND($D243&lt;H$5+7,$E243&gt;H$5),"■","")))</x:f>
      </x:c>
      <x:c r="I243" s="7" t="str">
        <x:f>IF(OR($D243="",I$5="",'상세일정'!AM243="제외"),"",IF($D243=$E243,IF(AND($D243&gt;=I$5,$D243&lt;I$5+7),"◆",""),IF(AND($D243&lt;I$5+7,$E243&gt;I$5),"■","")))</x:f>
      </x:c>
      <x:c r="J243" s="7" t="str">
        <x:f>IF(OR($D243="",J$5="",'상세일정'!AM243="제외"),"",IF($D243=$E243,IF(AND($D243&gt;=J$5,$D243&lt;J$5+7),"◆",""),IF(AND($D243&lt;J$5+7,$E243&gt;J$5),"■","")))</x:f>
      </x:c>
      <x:c r="K243" s="7" t="str">
        <x:f>IF(OR($D243="",K$5="",'상세일정'!AM243="제외"),"",IF($D243=$E243,IF(AND($D243&gt;=K$5,$D243&lt;K$5+7),"◆",""),IF(AND($D243&lt;K$5+7,$E243&gt;K$5),"■","")))</x:f>
      </x:c>
      <x:c r="L243" s="7" t="str">
        <x:f>IF(OR($D243="",L$5="",'상세일정'!AM243="제외"),"",IF($D243=$E243,IF(AND($D243&gt;=L$5,$D243&lt;L$5+7),"◆",""),IF(AND($D243&lt;L$5+7,$E243&gt;L$5),"■","")))</x:f>
      </x:c>
      <x:c r="M243" s="7" t="str">
        <x:f>IF(OR($D243="",M$5="",'상세일정'!AM243="제외"),"",IF($D243=$E243,IF(AND($D243&gt;=M$5,$D243&lt;M$5+7),"◆",""),IF(AND($D243&lt;M$5+7,$E243&gt;M$5),"■","")))</x:f>
      </x:c>
      <x:c r="N243" s="7" t="str">
        <x:f>IF(OR($D243="",N$5="",'상세일정'!AM243="제외"),"",IF($D243=$E243,IF(AND($D243&gt;=N$5,$D243&lt;N$5+7),"◆",""),IF(AND($D243&lt;N$5+7,$E243&gt;N$5),"■","")))</x:f>
      </x:c>
      <x:c r="O243" s="7" t="str">
        <x:f>IF(OR($D243="",O$5="",'상세일정'!AM243="제외"),"",IF($D243=$E243,IF(AND($D243&gt;=O$5,$D243&lt;O$5+7),"◆",""),IF(AND($D243&lt;O$5+7,$E243&gt;O$5),"■","")))</x:f>
      </x:c>
      <x:c r="P243" s="7" t="str">
        <x:f>IF(OR($D243="",P$5="",'상세일정'!AM243="제외"),"",IF($D243=$E243,IF(AND($D243&gt;=P$5,$D243&lt;P$5+7),"◆",""),IF(AND($D243&lt;P$5+7,$E243&gt;P$5),"■","")))</x:f>
      </x:c>
      <x:c r="Q243" s="7" t="str">
        <x:f>IF(OR($D243="",Q$5="",'상세일정'!AM243="제외"),"",IF($D243=$E243,IF(AND($D243&gt;=Q$5,$D243&lt;Q$5+7),"◆",""),IF(AND($D243&lt;Q$5+7,$E243&gt;Q$5),"■","")))</x:f>
      </x:c>
      <x:c r="R243" s="7" t="str">
        <x:f>IF(OR($D243="",R$5="",'상세일정'!AM243="제외"),"",IF($D243=$E243,IF(AND($D243&gt;=R$5,$D243&lt;R$5+7),"◆",""),IF(AND($D243&lt;R$5+7,$E243&gt;R$5),"■","")))</x:f>
      </x:c>
      <x:c r="S243" s="7" t="str">
        <x:f>IF(OR($D243="",S$5="",'상세일정'!AM243="제외"),"",IF($D243=$E243,IF(AND($D243&gt;=S$5,$D243&lt;S$5+7),"◆",""),IF(AND($D243&lt;S$5+7,$E243&gt;S$5),"■","")))</x:f>
      </x:c>
      <x:c r="T243" s="7" t="str">
        <x:f>IF(OR($D243="",T$5="",'상세일정'!AM243="제외"),"",IF($D243=$E243,IF(AND($D243&gt;=T$5,$D243&lt;T$5+7),"◆",""),IF(AND($D243&lt;T$5+7,$E243&gt;T$5),"■","")))</x:f>
      </x:c>
      <x:c r="U243" s="7" t="str">
        <x:f>IF(OR($D243="",U$5="",'상세일정'!AM243="제외"),"",IF($D243=$E243,IF(AND($D243&gt;=U$5,$D243&lt;U$5+7),"◆",""),IF(AND($D243&lt;U$5+7,$E243&gt;U$5),"■","")))</x:f>
      </x:c>
      <x:c r="V243" s="7" t="str">
        <x:f>IF(OR($D243="",V$5="",'상세일정'!AM243="제외"),"",IF($D243=$E243,IF(AND($D243&gt;=V$5,$D243&lt;V$5+7),"◆",""),IF(AND($D243&lt;V$5+7,$E243&gt;V$5),"■","")))</x:f>
      </x:c>
      <x:c r="W243" s="7" t="str">
        <x:f>IF(OR($D243="",W$5="",'상세일정'!AM243="제외"),"",IF($D243=$E243,IF(AND($D243&gt;=W$5,$D243&lt;W$5+7),"◆",""),IF(AND($D243&lt;W$5+7,$E243&gt;W$5),"■","")))</x:f>
      </x:c>
      <x:c r="X243" s="7" t="str">
        <x:f>IF(OR($D243="",X$5="",'상세일정'!AM243="제외"),"",IF($D243=$E243,IF(AND($D243&gt;=X$5,$D243&lt;X$5+7),"◆",""),IF(AND($D243&lt;X$5+7,$E243&gt;X$5),"■","")))</x:f>
      </x:c>
      <x:c r="Y243" s="7" t="str">
        <x:f>IF(OR($D243="",Y$5="",'상세일정'!AM243="제외"),"",IF($D243=$E243,IF(AND($D243&gt;=Y$5,$D243&lt;Y$5+7),"◆",""),IF(AND($D243&lt;Y$5+7,$E243&gt;Y$5),"■","")))</x:f>
      </x:c>
      <x:c r="Z243" s="7" t="str">
        <x:f>IF(OR($D243="",Z$5="",'상세일정'!AM243="제외"),"",IF($D243=$E243,IF(AND($D243&gt;=Z$5,$D243&lt;Z$5+7),"◆",""),IF(AND($D243&lt;Z$5+7,$E243&gt;Z$5),"■","")))</x:f>
      </x:c>
      <x:c r="AA243" s="7" t="str">
        <x:f>IF(OR($D243="",AA$5="",'상세일정'!AM243="제외"),"",IF($D243=$E243,IF(AND($D243&gt;=AA$5,$D243&lt;AA$5+7),"◆",""),IF(AND($D243&lt;AA$5+7,$E243&gt;AA$5),"■","")))</x:f>
      </x:c>
      <x:c r="AB243" s="7" t="str">
        <x:f>IF(OR($D243="",AB$5="",'상세일정'!AM243="제외"),"",IF($D243=$E243,IF(AND($D243&gt;=AB$5,$D243&lt;AB$5+7),"◆",""),IF(AND($D243&lt;AB$5+7,$E243&gt;AB$5),"■","")))</x:f>
      </x:c>
      <x:c r="AC243" s="7" t="str">
        <x:f>IF(OR($D243="",AC$5="",'상세일정'!AM243="제외"),"",IF($D243=$E243,IF(AND($D243&gt;=AC$5,$D243&lt;AC$5+7),"◆",""),IF(AND($D243&lt;AC$5+7,$E243&gt;AC$5),"■","")))</x:f>
      </x:c>
      <x:c r="AD243" s="7" t="str">
        <x:f>IF(OR($D243="",AD$5="",'상세일정'!AM243="제외"),"",IF($D243=$E243,IF(AND($D243&gt;=AD$5,$D243&lt;AD$5+7),"◆",""),IF(AND($D243&lt;AD$5+7,$E243&gt;AD$5),"■","")))</x:f>
      </x:c>
      <x:c r="AE243" s="7" t="str">
        <x:f>IF(OR($D243="",AE$5="",'상세일정'!AM243="제외"),"",IF($D243=$E243,IF(AND($D243&gt;=AE$5,$D243&lt;AE$5+7),"◆",""),IF(AND($D243&lt;AE$5+7,$E243&gt;AE$5),"■","")))</x:f>
      </x:c>
      <x:c r="AF243" s="7" t="str">
        <x:f>IF(OR($D243="",AF$5="",'상세일정'!AM243="제외"),"",IF($D243=$E243,IF(AND($D243&gt;=AF$5,$D243&lt;AF$5+7),"◆",""),IF(AND($D243&lt;AF$5+7,$E243&gt;AF$5),"■","")))</x:f>
      </x:c>
      <x:c r="AG243" s="7" t="str">
        <x:f>IF(OR($D243="",AG$5="",'상세일정'!AM243="제외"),"",IF($D243=$E243,IF(AND($D243&gt;=AG$5,$D243&lt;AG$5+7),"◆",""),IF(AND($D243&lt;AG$5+7,$E243&gt;AG$5),"■","")))</x:f>
      </x:c>
      <x:c r="AH243" s="7" t="str">
        <x:f>IF(OR($D243="",AH$5="",'상세일정'!AM243="제외"),"",IF($D243=$E243,IF(AND($D243&gt;=AH$5,$D243&lt;AH$5+7),"◆",""),IF(AND($D243&lt;AH$5+7,$E243&gt;AH$5),"■","")))</x:f>
      </x:c>
      <x:c r="AI243" s="7" t="str">
        <x:f>IF(OR($D243="",AI$5="",'상세일정'!AM243="제외"),"",IF($D243=$E243,IF(AND($D243&gt;=AI$5,$D243&lt;AI$5+7),"◆",""),IF(AND($D243&lt;AI$5+7,$E243&gt;AI$5),"■","")))</x:f>
      </x:c>
      <x:c r="AJ243" s="7" t="str">
        <x:f>IF(OR($D243="",AJ$5="",'상세일정'!AM243="제외"),"",IF($D243=$E243,IF(AND($D243&gt;=AJ$5,$D243&lt;AJ$5+7),"◆",""),IF(AND($D243&lt;AJ$5+7,$E243&gt;AJ$5),"■","")))</x:f>
      </x:c>
      <x:c r="AK243" s="7" t="str">
        <x:f>IF(OR($D243="",AK$5="",'상세일정'!AM243="제외"),"",IF($D243=$E243,IF(AND($D243&gt;=AK$5,$D243&lt;AK$5+7),"◆",""),IF(AND($D243&lt;AK$5+7,$E243&gt;AK$5),"■","")))</x:f>
      </x:c>
      <x:c r="AL243" s="7" t="str">
        <x:f>IF(OR($D243="",AL$5="",'상세일정'!AM243="제외"),"",IF($D243=$E243,IF(AND($D243&gt;=AL$5,$D243&lt;AL$5+7),"◆",""),IF(AND($D243&lt;AL$5+7,$E243&gt;AL$5),"■","")))</x:f>
      </x:c>
      <x:c r="AM243" s="7" t="str">
        <x:f>IF(OR($D243="",AM$5="",'상세일정'!AM243="제외"),"",IF($D243=$E243,IF(AND($D243&gt;=AM$5,$D243&lt;AM$5+7),"◆",""),IF(AND($D243&lt;AM$5+7,$E243&gt;AM$5),"■","")))</x:f>
      </x:c>
      <x:c r="AN243" s="7" t="str">
        <x:f>IF(OR($D243="",AN$5="",'상세일정'!AM243="제외"),"",IF($D243=$E243,IF(AND($D243&gt;=AN$5,$D243&lt;AN$5+7),"◆",""),IF(AND($D243&lt;AN$5+7,$E243&gt;AN$5),"■","")))</x:f>
      </x:c>
      <x:c r="AO243" s="7" t="str">
        <x:f>IF(OR($D243="",AO$5="",'상세일정'!AM243="제외"),"",IF($D243=$E243,IF(AND($D243&gt;=AO$5,$D243&lt;AO$5+7),"◆",""),IF(AND($D243&lt;AO$5+7,$E243&gt;AO$5),"■","")))</x:f>
      </x:c>
      <x:c r="AP243" s="7" t="str">
        <x:f>IF(OR($D243="",AP$5="",'상세일정'!AM243="제외"),"",IF($D243=$E243,IF(AND($D243&gt;=AP$5,$D243&lt;AP$5+7),"◆",""),IF(AND($D243&lt;AP$5+7,$E243&gt;AP$5),"■","")))</x:f>
      </x:c>
      <x:c r="AQ243" s="7" t="str">
        <x:f>IF(OR($D243="",AQ$5="",'상세일정'!AM243="제외"),"",IF($D243=$E243,IF(AND($D243&gt;=AQ$5,$D243&lt;AQ$5+7),"◆",""),IF(AND($D243&lt;AQ$5+7,$E243&gt;AQ$5),"■","")))</x:f>
      </x:c>
      <x:c r="AR243" s="7" t="str">
        <x:f>IF(OR($D243="",AR$5="",'상세일정'!AM243="제외"),"",IF($D243=$E243,IF(AND($D243&gt;=AR$5,$D243&lt;AR$5+7),"◆",""),IF(AND($D243&lt;AR$5+7,$E243&gt;AR$5),"■","")))</x:f>
      </x:c>
      <x:c r="AS243" s="7" t="str">
        <x:f>IF(OR($D243="",AS$5="",'상세일정'!AM243="제외"),"",IF($D243=$E243,IF(AND($D243&gt;=AS$5,$D243&lt;AS$5+7),"◆",""),IF(AND($D243&lt;AS$5+7,$E243&gt;AS$5),"■","")))</x:f>
      </x:c>
      <x:c r="AT243" s="7" t="str">
        <x:f>IF(OR($D243="",AT$5="",'상세일정'!AM243="제외"),"",IF($D243=$E243,IF(AND($D243&gt;=AT$5,$D243&lt;AT$5+7),"◆",""),IF(AND($D243&lt;AT$5+7,$E243&gt;AT$5),"■","")))</x:f>
      </x:c>
      <x:c r="AU243" s="7" t="str">
        <x:f>IF(OR($D243="",AU$5="",'상세일정'!AM243="제외"),"",IF($D243=$E243,IF(AND($D243&gt;=AU$5,$D243&lt;AU$5+7),"◆",""),IF(AND($D243&lt;AU$5+7,$E243&gt;AU$5),"■","")))</x:f>
      </x:c>
      <x:c r="AV243" s="7" t="str">
        <x:f>IF(OR($D243="",AV$5="",'상세일정'!AM243="제외"),"",IF($D243=$E243,IF(AND($D243&gt;=AV$5,$D243&lt;AV$5+7),"◆",""),IF(AND($D243&lt;AV$5+7,$E243&gt;AV$5),"■","")))</x:f>
      </x:c>
      <x:c r="AW243" s="7" t="str">
        <x:f>IF(OR($D243="",AW$5="",'상세일정'!AM243="제외"),"",IF($D243=$E243,IF(AND($D243&gt;=AW$5,$D243&lt;AW$5+7),"◆",""),IF(AND($D243&lt;AW$5+7,$E243&gt;AW$5),"■","")))</x:f>
      </x:c>
      <x:c r="AX243" s="7" t="str">
        <x:f>IF(OR($D243="",AX$5="",'상세일정'!AM243="제외"),"",IF($D243=$E243,IF(AND($D243&gt;=AX$5,$D243&lt;AX$5+7),"◆",""),IF(AND($D243&lt;AX$5+7,$E243&gt;AX$5),"■","")))</x:f>
      </x:c>
      <x:c r="AY243" s="7" t="str">
        <x:f>IF(OR($D243="",AY$5="",'상세일정'!AM243="제외"),"",IF($D243=$E243,IF(AND($D243&gt;=AY$5,$D243&lt;AY$5+7),"◆",""),IF(AND($D243&lt;AY$5+7,$E243&gt;AY$5),"■","")))</x:f>
      </x:c>
      <x:c r="AZ243" s="7" t="str">
        <x:f>IF(OR($D243="",AZ$5="",'상세일정'!AM243="제외"),"",IF($D243=$E243,IF(AND($D243&gt;=AZ$5,$D243&lt;AZ$5+7),"◆",""),IF(AND($D243&lt;AZ$5+7,$E243&gt;AZ$5),"■","")))</x:f>
      </x:c>
      <x:c r="BA243" s="7" t="str">
        <x:f>IF(OR($D243="",BA$5="",'상세일정'!AM243="제외"),"",IF($D243=$E243,IF(AND($D243&gt;=BA$5,$D243&lt;BA$5+7),"◆",""),IF(AND($D243&lt;BA$5+7,$E243&gt;BA$5),"■","")))</x:f>
      </x:c>
      <x:c r="BB243" s="7" t="str">
        <x:f>IF(OR($D243="",BB$5="",'상세일정'!AM243="제외"),"",IF($D243=$E243,IF(AND($D243&gt;=BB$5,$D243&lt;BB$5+7),"◆",""),IF(AND($D243&lt;BB$5+7,$E243&gt;BB$5),"■","")))</x:f>
      </x:c>
      <x:c r="BC243" s="7" t="str">
        <x:f>IF(OR($D243="",BC$5="",'상세일정'!AM243="제외"),"",IF($D243=$E243,IF(AND($D243&gt;=BC$5,$D243&lt;BC$5+7),"◆",""),IF(AND($D243&lt;BC$5+7,$E243&gt;BC$5),"■","")))</x:f>
      </x:c>
      <x:c r="BD243" s="7" t="str">
        <x:f>IF(OR($D243="",BD$5="",'상세일정'!AM243="제외"),"",IF($D243=$E243,IF(AND($D243&gt;=BD$5,$D243&lt;BD$5+7),"◆",""),IF(AND($D243&lt;BD$5+7,$E243&gt;BD$5),"■","")))</x:f>
      </x:c>
      <x:c r="BE243" s="7" t="str">
        <x:f>IF(OR($D243="",BE$5="",'상세일정'!AM243="제외"),"",IF($D243=$E243,IF(AND($D243&gt;=BE$5,$D243&lt;BE$5+7),"◆",""),IF(AND($D243&lt;BE$5+7,$E243&gt;BE$5),"■","")))</x:f>
      </x:c>
      <x:c r="BF243" s="7" t="str">
        <x:f>IF(OR($D243="",BF$5="",'상세일정'!AM243="제외"),"",IF($D243=$E243,IF(AND($D243&gt;=BF$5,$D243&lt;BF$5+7),"◆",""),IF(AND($D243&lt;BF$5+7,$E243&gt;BF$5),"■","")))</x:f>
      </x:c>
      <x:c r="BG243" s="7" t="str">
        <x:f>IF(OR($D243="",BG$5="",'상세일정'!AM243="제외"),"",IF($D243=$E243,IF(AND($D243&gt;=BG$5,$D243&lt;BG$5+7),"◆",""),IF(AND($D243&lt;BG$5+7,$E243&gt;BG$5),"■","")))</x:f>
      </x:c>
      <x:c r="BH243" s="7" t="str">
        <x:f>IF(OR($D243="",BH$5="",'상세일정'!AM243="제외"),"",IF($D243=$E243,IF(AND($D243&gt;=BH$5,$D243&lt;BH$5+7),"◆",""),IF(AND($D243&lt;BH$5+7,$E243&gt;BH$5),"■","")))</x:f>
      </x:c>
      <x:c r="BI243" s="7" t="str">
        <x:f>IF(OR($D243="",BI$5="",'상세일정'!AM243="제외"),"",IF($D243=$E243,IF(AND($D243&gt;=BI$5,$D243&lt;BI$5+7),"◆",""),IF(AND($D243&lt;BI$5+7,$E243&gt;BI$5),"■","")))</x:f>
      </x:c>
      <x:c r="BJ243" s="7" t="str">
        <x:f>IF(OR($D243="",BJ$5="",'상세일정'!AM243="제외"),"",IF($D243=$E243,IF(AND($D243&gt;=BJ$5,$D243&lt;BJ$5+7),"◆",""),IF(AND($D243&lt;BJ$5+7,$E243&gt;BJ$5),"■","")))</x:f>
      </x:c>
      <x:c r="BK243" s="7" t="str">
        <x:f>IF(OR($D243="",BK$5="",'상세일정'!AM243="제외"),"",IF($D243=$E243,IF(AND($D243&gt;=BK$5,$D243&lt;BK$5+7),"◆",""),IF(AND($D243&lt;BK$5+7,$E243&gt;BK$5),"■","")))</x:f>
      </x:c>
      <x:c r="BL243" s="7" t="str">
        <x:f>IF(OR($D243="",BL$5="",'상세일정'!AM243="제외"),"",IF($D243=$E243,IF(AND($D243&gt;=BL$5,$D243&lt;BL$5+7),"◆",""),IF(AND($D243&lt;BL$5+7,$E243&gt;BL$5),"■","")))</x:f>
      </x:c>
      <x:c r="BM243" s="7" t="str">
        <x:f>IF(OR($D243="",BM$5="",'상세일정'!AM243="제외"),"",IF($D243=$E243,IF(AND($D243&gt;=BM$5,$D243&lt;BM$5+7),"◆",""),IF(AND($D243&lt;BM$5+7,$E243&gt;BM$5),"■","")))</x:f>
      </x:c>
      <x:c r="BN243" s="7" t="str">
        <x:f>IF(OR($D243="",BN$5="",'상세일정'!AM243="제외"),"",IF($D243=$E243,IF(AND($D243&gt;=BN$5,$D243&lt;BN$5+7),"◆",""),IF(AND($D243&lt;BN$5+7,$E243&gt;BN$5),"■","")))</x:f>
      </x:c>
      <x:c r="BO243" s="7" t="str">
        <x:f>IF(OR($D243="",BO$5="",'상세일정'!AM243="제외"),"",IF($D243=$E243,IF(AND($D243&gt;=BO$5,$D243&lt;BO$5+7),"◆",""),IF(AND($D243&lt;BO$5+7,$E243&gt;BO$5),"■","")))</x:f>
      </x:c>
      <x:c r="BP243" s="7" t="str">
        <x:f>IF(OR($D243="",BP$5="",'상세일정'!AM243="제외"),"",IF($D243=$E243,IF(AND($D243&gt;=BP$5,$D243&lt;BP$5+7),"◆",""),IF(AND($D243&lt;BP$5+7,$E243&gt;BP$5),"■","")))</x:f>
      </x:c>
      <x:c r="BQ243" s="7" t="str">
        <x:f>IF(OR($D243="",BQ$5="",'상세일정'!AM243="제외"),"",IF($D243=$E243,IF(AND($D243&gt;=BQ$5,$D243&lt;BQ$5+7),"◆",""),IF(AND($D243&lt;BQ$5+7,$E243&gt;BQ$5),"■","")))</x:f>
      </x:c>
      <x:c r="BR243" s="7" t="str">
        <x:f>IF(OR($D243="",BR$5="",'상세일정'!AM243="제외"),"",IF($D243=$E243,IF(AND($D243&gt;=BR$5,$D243&lt;BR$5+7),"◆",""),IF(AND($D243&lt;BR$5+7,$E243&gt;BR$5),"■","")))</x:f>
      </x:c>
      <x:c r="BS243" s="7" t="str">
        <x:f>IF(OR($D243="",BS$5="",'상세일정'!AM243="제외"),"",IF($D243=$E243,IF(AND($D243&gt;=BS$5,$D243&lt;BS$5+7),"◆",""),IF(AND($D243&lt;BS$5+7,$E243&gt;BS$5),"■","")))</x:f>
      </x:c>
      <x:c r="BT243" s="7" t="str">
        <x:f>IF(OR($D243="",BT$5="",'상세일정'!AM243="제외"),"",IF($D243=$E243,IF(AND($D243&gt;=BT$5,$D243&lt;BT$5+7),"◆",""),IF(AND($D243&lt;BT$5+7,$E243&gt;BT$5),"■","")))</x:f>
      </x:c>
      <x:c r="BU243" s="7" t="str">
        <x:f>IF(OR($D243="",BU$5="",'상세일정'!AM243="제외"),"",IF($D243=$E243,IF(AND($D243&gt;=BU$5,$D243&lt;BU$5+7),"◆",""),IF(AND($D243&lt;BU$5+7,$E243&gt;BU$5),"■","")))</x:f>
      </x:c>
      <x:c r="BV243" s="7" t="str">
        <x:f>IF(OR($D243="",BV$5="",'상세일정'!AM243="제외"),"",IF($D243=$E243,IF(AND($D243&gt;=BV$5,$D243&lt;BV$5+7),"◆",""),IF(AND($D243&lt;BV$5+7,$E243&gt;BV$5),"■","")))</x:f>
      </x:c>
      <x:c r="BW243" s="7" t="str">
        <x:f>IF(OR($D243="",BW$5="",'상세일정'!AM243="제외"),"",IF($D243=$E243,IF(AND($D243&gt;=BW$5,$D243&lt;BW$5+7),"◆",""),IF(AND($D243&lt;BW$5+7,$E243&gt;BW$5),"■","")))</x:f>
      </x:c>
      <x:c r="BX243" s="7" t="str">
        <x:f>IF(OR($D243="",BX$5="",'상세일정'!AM243="제외"),"",IF($D243=$E243,IF(AND($D243&gt;=BX$5,$D243&lt;BX$5+7),"◆",""),IF(AND($D243&lt;BX$5+7,$E243&gt;BX$5),"■","")))</x:f>
      </x:c>
      <x:c r="BY243" s="7" t="str">
        <x:f>IF(OR($D243="",BY$5="",'상세일정'!AM243="제외"),"",IF($D243=$E243,IF(AND($D243&gt;=BY$5,$D243&lt;BY$5+7),"◆",""),IF(AND($D243&lt;BY$5+7,$E243&gt;BY$5),"■","")))</x:f>
      </x:c>
      <x:c r="BZ243" s="7" t="str">
        <x:f>IF(OR($D243="",BZ$5="",'상세일정'!AM243="제외"),"",IF($D243=$E243,IF(AND($D243&gt;=BZ$5,$D243&lt;BZ$5+7),"◆",""),IF(AND($D243&lt;BZ$5+7,$E243&gt;BZ$5),"■","")))</x:f>
      </x:c>
      <x:c r="CA243" s="7" t="str">
        <x:f>IF(OR($D243="",CA$5="",'상세일정'!AM243="제외"),"",IF($D243=$E243,IF(AND($D243&gt;=CA$5,$D243&lt;CA$5+7),"◆",""),IF(AND($D243&lt;CA$5+7,$E243&gt;CA$5),"■","")))</x:f>
      </x:c>
      <x:c r="CB243" s="7" t="str">
        <x:f>IF(OR($D243="",CB$5="",'상세일정'!AM243="제외"),"",IF($D243=$E243,IF(AND($D243&gt;=CB$5,$D243&lt;CB$5+7),"◆",""),IF(AND($D243&lt;CB$5+7,$E243&gt;CB$5),"■","")))</x:f>
      </x:c>
      <x:c r="CC243" s="7" t="str">
        <x:f>IF(OR($D243="",CC$5="",'상세일정'!AM243="제외"),"",IF($D243=$E243,IF(AND($D243&gt;=CC$5,$D243&lt;CC$5+7),"◆",""),IF(AND($D243&lt;CC$5+7,$E243&gt;CC$5),"■","")))</x:f>
      </x:c>
      <x:c r="CD243" s="7" t="str">
        <x:f>IF(OR($D243="",CD$5="",'상세일정'!AM243="제외"),"",IF($D243=$E243,IF(AND($D243&gt;=CD$5,$D243&lt;CD$5+7),"◆",""),IF(AND($D243&lt;CD$5+7,$E243&gt;CD$5),"■","")))</x:f>
      </x:c>
      <x:c r="CE243" s="7" t="str">
        <x:f>IF(OR($D243="",CE$5="",'상세일정'!AM243="제외"),"",IF($D243=$E243,IF(AND($D243&gt;=CE$5,$D243&lt;CE$5+7),"◆",""),IF(AND($D243&lt;CE$5+7,$E243&gt;CE$5),"■","")))</x:f>
      </x:c>
      <x:c r="CF243" s="7" t="str">
        <x:f>IF(OR($D243="",CF$5="",'상세일정'!AM243="제외"),"",IF($D243=$E243,IF(AND($D243&gt;=CF$5,$D243&lt;CF$5+7),"◆",""),IF(AND($D243&lt;CF$5+7,$E243&gt;CF$5),"■","")))</x:f>
      </x:c>
      <x:c r="CG243" s="7" t="str">
        <x:f>IF(OR($D243="",CG$5="",'상세일정'!AM243="제외"),"",IF($D243=$E243,IF(AND($D243&gt;=CG$5,$D243&lt;CG$5+7),"◆",""),IF(AND($D243&lt;CG$5+7,$E243&gt;CG$5),"■","")))</x:f>
      </x:c>
      <x:c r="CH243" s="7" t="str">
        <x:f>IF(OR($D243="",CH$5="",'상세일정'!AM243="제외"),"",IF($D243=$E243,IF(AND($D243&gt;=CH$5,$D243&lt;CH$5+7),"◆",""),IF(AND($D243&lt;CH$5+7,$E243&gt;CH$5),"■","")))</x:f>
      </x:c>
      <x:c r="CI243" s="7" t="str">
        <x:f>IF(OR($D243="",CI$5="",'상세일정'!AM243="제외"),"",IF($D243=$E243,IF(AND($D243&gt;=CI$5,$D243&lt;CI$5+7),"◆",""),IF(AND($D243&lt;CI$5+7,$E243&gt;CI$5),"■","")))</x:f>
      </x:c>
      <x:c r="CJ243" s="7" t="str">
        <x:f>IF(OR($D243="",CJ$5="",'상세일정'!AM243="제외"),"",IF($D243=$E243,IF(AND($D243&gt;=CJ$5,$D243&lt;CJ$5+7),"◆",""),IF(AND($D243&lt;CJ$5+7,$E243&gt;CJ$5),"■","")))</x:f>
      </x:c>
      <x:c r="CK243" s="7" t="str">
        <x:f>IF(OR($D243="",CK$5="",'상세일정'!AM243="제외"),"",IF($D243=$E243,IF(AND($D243&gt;=CK$5,$D243&lt;CK$5+7),"◆",""),IF(AND($D243&lt;CK$5+7,$E243&gt;CK$5),"■","")))</x:f>
      </x:c>
      <x:c r="CL243" s="7" t="str">
        <x:f>IF(OR($D243="",CL$5="",'상세일정'!AM243="제외"),"",IF($D243=$E243,IF(AND($D243&gt;=CL$5,$D243&lt;CL$5+7),"◆",""),IF(AND($D243&lt;CL$5+7,$E243&gt;CL$5),"■","")))</x:f>
      </x:c>
      <x:c r="CM243" s="7" t="str">
        <x:f>IF(OR($D243="",CM$5="",'상세일정'!AM243="제외"),"",IF($D243=$E243,IF(AND($D243&gt;=CM$5,$D243&lt;CM$5+7),"◆",""),IF(AND($D243&lt;CM$5+7,$E243&gt;CM$5),"■","")))</x:f>
      </x:c>
      <x:c r="CN243" s="7" t="str">
        <x:f>IF(OR($D243="",CN$5="",'상세일정'!AM243="제외"),"",IF($D243=$E243,IF(AND($D243&gt;=CN$5,$D243&lt;CN$5+7),"◆",""),IF(AND($D243&lt;CN$5+7,$E243&gt;CN$5),"■","")))</x:f>
      </x:c>
      <x:c r="CO243" s="7" t="str">
        <x:f>IF(OR($D243="",CO$5="",'상세일정'!AM243="제외"),"",IF($D243=$E243,IF(AND($D243&gt;=CO$5,$D243&lt;CO$5+7),"◆",""),IF(AND($D243&lt;CO$5+7,$E243&gt;CO$5),"■","")))</x:f>
      </x:c>
      <x:c r="CP243" s="7" t="str">
        <x:f>IF(OR($D243="",CP$5="",'상세일정'!AM243="제외"),"",IF($D243=$E243,IF(AND($D243&gt;=CP$5,$D243&lt;CP$5+7),"◆",""),IF(AND($D243&lt;CP$5+7,$E243&gt;CP$5),"■","")))</x:f>
      </x:c>
      <x:c r="CQ243" s="7" t="str">
        <x:f>IF(OR($D243="",CQ$5="",'상세일정'!AM243="제외"),"",IF($D243=$E243,IF(AND($D243&gt;=CQ$5,$D243&lt;CQ$5+7),"◆",""),IF(AND($D243&lt;CQ$5+7,$E243&gt;CQ$5),"■","")))</x:f>
      </x:c>
      <x:c r="CR243" s="7" t="str">
        <x:f>IF(OR($D243="",CR$5="",'상세일정'!AM243="제외"),"",IF($D243=$E243,IF(AND($D243&gt;=CR$5,$D243&lt;CR$5+7),"◆",""),IF(AND($D243&lt;CR$5+7,$E243&gt;CR$5),"■","")))</x:f>
      </x:c>
      <x:c r="CS243" s="7" t="str">
        <x:f>IF(OR($D243="",CS$5="",'상세일정'!AM243="제외"),"",IF($D243=$E243,IF(AND($D243&gt;=CS$5,$D243&lt;CS$5+7),"◆",""),IF(AND($D243&lt;CS$5+7,$E243&gt;CS$5),"■","")))</x:f>
      </x:c>
      <x:c r="CT243" s="7" t="str">
        <x:f>IF(OR($D243="",CT$5="",'상세일정'!AM243="제외"),"",IF($D243=$E243,IF(AND($D243&gt;=CT$5,$D243&lt;CT$5+7),"◆",""),IF(AND($D243&lt;CT$5+7,$E243&gt;CT$5),"■","")))</x:f>
      </x:c>
      <x:c r="CU243" s="7" t="str">
        <x:f>IF(OR($D243="",CU$5="",'상세일정'!AM243="제외"),"",IF($D243=$E243,IF(AND($D243&gt;=CU$5,$D243&lt;CU$5+7),"◆",""),IF(AND($D243&lt;CU$5+7,$E243&gt;CU$5),"■","")))</x:f>
      </x:c>
      <x:c r="CV243" s="7" t="str">
        <x:f>IF(OR($D243="",CV$5="",'상세일정'!AM243="제외"),"",IF($D243=$E243,IF(AND($D243&gt;=CV$5,$D243&lt;CV$5+7),"◆",""),IF(AND($D243&lt;CV$5+7,$E243&gt;CV$5),"■","")))</x:f>
      </x:c>
      <x:c r="CW243" s="7" t="str">
        <x:f>IF(OR($D243="",CW$5="",'상세일정'!AM243="제외"),"",IF($D243=$E243,IF(AND($D243&gt;=CW$5,$D243&lt;CW$5+7),"◆",""),IF(AND($D243&lt;CW$5+7,$E243&gt;CW$5),"■","")))</x:f>
      </x:c>
      <x:c r="CX243" s="7" t="str">
        <x:f>IF(OR($D243="",CX$5="",'상세일정'!AM243="제외"),"",IF($D243=$E243,IF(AND($D243&gt;=CX$5,$D243&lt;CX$5+7),"◆",""),IF(AND($D243&lt;CX$5+7,$E243&gt;CX$5),"■","")))</x:f>
      </x:c>
      <x:c r="CY243" s="7" t="str">
        <x:f>IF(OR($D243="",CY$5="",'상세일정'!AM243="제외"),"",IF($D243=$E243,IF(AND($D243&gt;=CY$5,$D243&lt;CY$5+7),"◆",""),IF(AND($D243&lt;CY$5+7,$E243&gt;CY$5),"■","")))</x:f>
      </x:c>
      <x:c r="CZ243" s="7" t="str">
        <x:f>IF(OR($D243="",CZ$5="",'상세일정'!AM243="제외"),"",IF($D243=$E243,IF(AND($D243&gt;=CZ$5,$D243&lt;CZ$5+7),"◆",""),IF(AND($D243&lt;CZ$5+7,$E243&gt;CZ$5),"■","")))</x:f>
      </x:c>
      <x:c r="DA243" s="7" t="str">
        <x:f>IF(OR($D243="",DA$5="",'상세일정'!AM243="제외"),"",IF($D243=$E243,IF(AND($D243&gt;=DA$5,$D243&lt;DA$5+7),"◆",""),IF(AND($D243&lt;DA$5+7,$E243&gt;DA$5),"■","")))</x:f>
      </x:c>
      <x:c r="DB243" s="7" t="str">
        <x:f>IF(OR($D243="",DB$5="",'상세일정'!AM243="제외"),"",IF($D243=$E243,IF(AND($D243&gt;=DB$5,$D243&lt;DB$5+7),"◆",""),IF(AND($D243&lt;DB$5+7,$E243&gt;DB$5),"■","")))</x:f>
      </x:c>
      <x:c r="DC243" s="7" t="str">
        <x:f>IF(OR($D243="",DC$5="",'상세일정'!AM243="제외"),"",IF($D243=$E243,IF(AND($D243&gt;=DC$5,$D243&lt;DC$5+7),"◆",""),IF(AND($D243&lt;DC$5+7,$E243&gt;DC$5),"■","")))</x:f>
      </x:c>
      <x:c r="DD243" s="7" t="str">
        <x:f>IF(OR($D243="",DD$5="",'상세일정'!AM243="제외"),"",IF($D243=$E243,IF(AND($D243&gt;=DD$5,$D243&lt;DD$5+7),"◆",""),IF(AND($D243&lt;DD$5+7,$E243&gt;DD$5),"■","")))</x:f>
      </x:c>
      <x:c r="DE243" s="7" t="str">
        <x:f>IF(OR($D243="",DE$5="",'상세일정'!AM243="제외"),"",IF($D243=$E243,IF(AND($D243&gt;=DE$5,$D243&lt;DE$5+7),"◆",""),IF(AND($D243&lt;DE$5+7,$E243&gt;DE$5),"■","")))</x:f>
      </x:c>
    </x:row>
    <x:row r="244" ht="34" customHeight="1">
      <x:c r="A244" s="7" t="str">
        <x:v>HO03</x:v>
      </x:c>
      <x:c r="B244" s="7" t="str">
        <x:v>29 인수·운영·정산</x:v>
      </x:c>
      <x:c r="C244" s="7" t="str">
        <x:v>잔여 Punch·계약성능·하자보증 확인</x:v>
      </x:c>
      <x:c r="D244" s="10" t="str">
        <x:f>'상세일정'!AJ244</x:f>
      </x:c>
      <x:c r="E244" s="10" t="str">
        <x:f>'상세일정'!AK244</x:f>
      </x:c>
      <x:c r="F244" s="7" t="str">
        <x:f>IF(OR($D244="",F$5="",'상세일정'!AM244="제외"),"",IF($D244=$E244,IF(AND($D244&gt;=F$5,$D244&lt;F$5+7),"◆",""),IF(AND($D244&lt;F$5+7,$E244&gt;F$5),"■","")))</x:f>
      </x:c>
      <x:c r="G244" s="7" t="str">
        <x:f>IF(OR($D244="",G$5="",'상세일정'!AM244="제외"),"",IF($D244=$E244,IF(AND($D244&gt;=G$5,$D244&lt;G$5+7),"◆",""),IF(AND($D244&lt;G$5+7,$E244&gt;G$5),"■","")))</x:f>
      </x:c>
      <x:c r="H244" s="7" t="str">
        <x:f>IF(OR($D244="",H$5="",'상세일정'!AM244="제외"),"",IF($D244=$E244,IF(AND($D244&gt;=H$5,$D244&lt;H$5+7),"◆",""),IF(AND($D244&lt;H$5+7,$E244&gt;H$5),"■","")))</x:f>
      </x:c>
      <x:c r="I244" s="7" t="str">
        <x:f>IF(OR($D244="",I$5="",'상세일정'!AM244="제외"),"",IF($D244=$E244,IF(AND($D244&gt;=I$5,$D244&lt;I$5+7),"◆",""),IF(AND($D244&lt;I$5+7,$E244&gt;I$5),"■","")))</x:f>
      </x:c>
      <x:c r="J244" s="7" t="str">
        <x:f>IF(OR($D244="",J$5="",'상세일정'!AM244="제외"),"",IF($D244=$E244,IF(AND($D244&gt;=J$5,$D244&lt;J$5+7),"◆",""),IF(AND($D244&lt;J$5+7,$E244&gt;J$5),"■","")))</x:f>
      </x:c>
      <x:c r="K244" s="7" t="str">
        <x:f>IF(OR($D244="",K$5="",'상세일정'!AM244="제외"),"",IF($D244=$E244,IF(AND($D244&gt;=K$5,$D244&lt;K$5+7),"◆",""),IF(AND($D244&lt;K$5+7,$E244&gt;K$5),"■","")))</x:f>
      </x:c>
      <x:c r="L244" s="7" t="str">
        <x:f>IF(OR($D244="",L$5="",'상세일정'!AM244="제외"),"",IF($D244=$E244,IF(AND($D244&gt;=L$5,$D244&lt;L$5+7),"◆",""),IF(AND($D244&lt;L$5+7,$E244&gt;L$5),"■","")))</x:f>
      </x:c>
      <x:c r="M244" s="7" t="str">
        <x:f>IF(OR($D244="",M$5="",'상세일정'!AM244="제외"),"",IF($D244=$E244,IF(AND($D244&gt;=M$5,$D244&lt;M$5+7),"◆",""),IF(AND($D244&lt;M$5+7,$E244&gt;M$5),"■","")))</x:f>
      </x:c>
      <x:c r="N244" s="7" t="str">
        <x:f>IF(OR($D244="",N$5="",'상세일정'!AM244="제외"),"",IF($D244=$E244,IF(AND($D244&gt;=N$5,$D244&lt;N$5+7),"◆",""),IF(AND($D244&lt;N$5+7,$E244&gt;N$5),"■","")))</x:f>
      </x:c>
      <x:c r="O244" s="7" t="str">
        <x:f>IF(OR($D244="",O$5="",'상세일정'!AM244="제외"),"",IF($D244=$E244,IF(AND($D244&gt;=O$5,$D244&lt;O$5+7),"◆",""),IF(AND($D244&lt;O$5+7,$E244&gt;O$5),"■","")))</x:f>
      </x:c>
      <x:c r="P244" s="7" t="str">
        <x:f>IF(OR($D244="",P$5="",'상세일정'!AM244="제외"),"",IF($D244=$E244,IF(AND($D244&gt;=P$5,$D244&lt;P$5+7),"◆",""),IF(AND($D244&lt;P$5+7,$E244&gt;P$5),"■","")))</x:f>
      </x:c>
      <x:c r="Q244" s="7" t="str">
        <x:f>IF(OR($D244="",Q$5="",'상세일정'!AM244="제외"),"",IF($D244=$E244,IF(AND($D244&gt;=Q$5,$D244&lt;Q$5+7),"◆",""),IF(AND($D244&lt;Q$5+7,$E244&gt;Q$5),"■","")))</x:f>
      </x:c>
      <x:c r="R244" s="7" t="str">
        <x:f>IF(OR($D244="",R$5="",'상세일정'!AM244="제외"),"",IF($D244=$E244,IF(AND($D244&gt;=R$5,$D244&lt;R$5+7),"◆",""),IF(AND($D244&lt;R$5+7,$E244&gt;R$5),"■","")))</x:f>
      </x:c>
      <x:c r="S244" s="7" t="str">
        <x:f>IF(OR($D244="",S$5="",'상세일정'!AM244="제외"),"",IF($D244=$E244,IF(AND($D244&gt;=S$5,$D244&lt;S$5+7),"◆",""),IF(AND($D244&lt;S$5+7,$E244&gt;S$5),"■","")))</x:f>
      </x:c>
      <x:c r="T244" s="7" t="str">
        <x:f>IF(OR($D244="",T$5="",'상세일정'!AM244="제외"),"",IF($D244=$E244,IF(AND($D244&gt;=T$5,$D244&lt;T$5+7),"◆",""),IF(AND($D244&lt;T$5+7,$E244&gt;T$5),"■","")))</x:f>
      </x:c>
      <x:c r="U244" s="7" t="str">
        <x:f>IF(OR($D244="",U$5="",'상세일정'!AM244="제외"),"",IF($D244=$E244,IF(AND($D244&gt;=U$5,$D244&lt;U$5+7),"◆",""),IF(AND($D244&lt;U$5+7,$E244&gt;U$5),"■","")))</x:f>
      </x:c>
      <x:c r="V244" s="7" t="str">
        <x:f>IF(OR($D244="",V$5="",'상세일정'!AM244="제외"),"",IF($D244=$E244,IF(AND($D244&gt;=V$5,$D244&lt;V$5+7),"◆",""),IF(AND($D244&lt;V$5+7,$E244&gt;V$5),"■","")))</x:f>
      </x:c>
      <x:c r="W244" s="7" t="str">
        <x:f>IF(OR($D244="",W$5="",'상세일정'!AM244="제외"),"",IF($D244=$E244,IF(AND($D244&gt;=W$5,$D244&lt;W$5+7),"◆",""),IF(AND($D244&lt;W$5+7,$E244&gt;W$5),"■","")))</x:f>
      </x:c>
      <x:c r="X244" s="7" t="str">
        <x:f>IF(OR($D244="",X$5="",'상세일정'!AM244="제외"),"",IF($D244=$E244,IF(AND($D244&gt;=X$5,$D244&lt;X$5+7),"◆",""),IF(AND($D244&lt;X$5+7,$E244&gt;X$5),"■","")))</x:f>
      </x:c>
      <x:c r="Y244" s="7" t="str">
        <x:f>IF(OR($D244="",Y$5="",'상세일정'!AM244="제외"),"",IF($D244=$E244,IF(AND($D244&gt;=Y$5,$D244&lt;Y$5+7),"◆",""),IF(AND($D244&lt;Y$5+7,$E244&gt;Y$5),"■","")))</x:f>
      </x:c>
      <x:c r="Z244" s="7" t="str">
        <x:f>IF(OR($D244="",Z$5="",'상세일정'!AM244="제외"),"",IF($D244=$E244,IF(AND($D244&gt;=Z$5,$D244&lt;Z$5+7),"◆",""),IF(AND($D244&lt;Z$5+7,$E244&gt;Z$5),"■","")))</x:f>
      </x:c>
      <x:c r="AA244" s="7" t="str">
        <x:f>IF(OR($D244="",AA$5="",'상세일정'!AM244="제외"),"",IF($D244=$E244,IF(AND($D244&gt;=AA$5,$D244&lt;AA$5+7),"◆",""),IF(AND($D244&lt;AA$5+7,$E244&gt;AA$5),"■","")))</x:f>
      </x:c>
      <x:c r="AB244" s="7" t="str">
        <x:f>IF(OR($D244="",AB$5="",'상세일정'!AM244="제외"),"",IF($D244=$E244,IF(AND($D244&gt;=AB$5,$D244&lt;AB$5+7),"◆",""),IF(AND($D244&lt;AB$5+7,$E244&gt;AB$5),"■","")))</x:f>
      </x:c>
      <x:c r="AC244" s="7" t="str">
        <x:f>IF(OR($D244="",AC$5="",'상세일정'!AM244="제외"),"",IF($D244=$E244,IF(AND($D244&gt;=AC$5,$D244&lt;AC$5+7),"◆",""),IF(AND($D244&lt;AC$5+7,$E244&gt;AC$5),"■","")))</x:f>
      </x:c>
      <x:c r="AD244" s="7" t="str">
        <x:f>IF(OR($D244="",AD$5="",'상세일정'!AM244="제외"),"",IF($D244=$E244,IF(AND($D244&gt;=AD$5,$D244&lt;AD$5+7),"◆",""),IF(AND($D244&lt;AD$5+7,$E244&gt;AD$5),"■","")))</x:f>
      </x:c>
      <x:c r="AE244" s="7" t="str">
        <x:f>IF(OR($D244="",AE$5="",'상세일정'!AM244="제외"),"",IF($D244=$E244,IF(AND($D244&gt;=AE$5,$D244&lt;AE$5+7),"◆",""),IF(AND($D244&lt;AE$5+7,$E244&gt;AE$5),"■","")))</x:f>
      </x:c>
      <x:c r="AF244" s="7" t="str">
        <x:f>IF(OR($D244="",AF$5="",'상세일정'!AM244="제외"),"",IF($D244=$E244,IF(AND($D244&gt;=AF$5,$D244&lt;AF$5+7),"◆",""),IF(AND($D244&lt;AF$5+7,$E244&gt;AF$5),"■","")))</x:f>
      </x:c>
      <x:c r="AG244" s="7" t="str">
        <x:f>IF(OR($D244="",AG$5="",'상세일정'!AM244="제외"),"",IF($D244=$E244,IF(AND($D244&gt;=AG$5,$D244&lt;AG$5+7),"◆",""),IF(AND($D244&lt;AG$5+7,$E244&gt;AG$5),"■","")))</x:f>
      </x:c>
      <x:c r="AH244" s="7" t="str">
        <x:f>IF(OR($D244="",AH$5="",'상세일정'!AM244="제외"),"",IF($D244=$E244,IF(AND($D244&gt;=AH$5,$D244&lt;AH$5+7),"◆",""),IF(AND($D244&lt;AH$5+7,$E244&gt;AH$5),"■","")))</x:f>
      </x:c>
      <x:c r="AI244" s="7" t="str">
        <x:f>IF(OR($D244="",AI$5="",'상세일정'!AM244="제외"),"",IF($D244=$E244,IF(AND($D244&gt;=AI$5,$D244&lt;AI$5+7),"◆",""),IF(AND($D244&lt;AI$5+7,$E244&gt;AI$5),"■","")))</x:f>
      </x:c>
      <x:c r="AJ244" s="7" t="str">
        <x:f>IF(OR($D244="",AJ$5="",'상세일정'!AM244="제외"),"",IF($D244=$E244,IF(AND($D244&gt;=AJ$5,$D244&lt;AJ$5+7),"◆",""),IF(AND($D244&lt;AJ$5+7,$E244&gt;AJ$5),"■","")))</x:f>
      </x:c>
      <x:c r="AK244" s="7" t="str">
        <x:f>IF(OR($D244="",AK$5="",'상세일정'!AM244="제외"),"",IF($D244=$E244,IF(AND($D244&gt;=AK$5,$D244&lt;AK$5+7),"◆",""),IF(AND($D244&lt;AK$5+7,$E244&gt;AK$5),"■","")))</x:f>
      </x:c>
      <x:c r="AL244" s="7" t="str">
        <x:f>IF(OR($D244="",AL$5="",'상세일정'!AM244="제외"),"",IF($D244=$E244,IF(AND($D244&gt;=AL$5,$D244&lt;AL$5+7),"◆",""),IF(AND($D244&lt;AL$5+7,$E244&gt;AL$5),"■","")))</x:f>
      </x:c>
      <x:c r="AM244" s="7" t="str">
        <x:f>IF(OR($D244="",AM$5="",'상세일정'!AM244="제외"),"",IF($D244=$E244,IF(AND($D244&gt;=AM$5,$D244&lt;AM$5+7),"◆",""),IF(AND($D244&lt;AM$5+7,$E244&gt;AM$5),"■","")))</x:f>
      </x:c>
      <x:c r="AN244" s="7" t="str">
        <x:f>IF(OR($D244="",AN$5="",'상세일정'!AM244="제외"),"",IF($D244=$E244,IF(AND($D244&gt;=AN$5,$D244&lt;AN$5+7),"◆",""),IF(AND($D244&lt;AN$5+7,$E244&gt;AN$5),"■","")))</x:f>
      </x:c>
      <x:c r="AO244" s="7" t="str">
        <x:f>IF(OR($D244="",AO$5="",'상세일정'!AM244="제외"),"",IF($D244=$E244,IF(AND($D244&gt;=AO$5,$D244&lt;AO$5+7),"◆",""),IF(AND($D244&lt;AO$5+7,$E244&gt;AO$5),"■","")))</x:f>
      </x:c>
      <x:c r="AP244" s="7" t="str">
        <x:f>IF(OR($D244="",AP$5="",'상세일정'!AM244="제외"),"",IF($D244=$E244,IF(AND($D244&gt;=AP$5,$D244&lt;AP$5+7),"◆",""),IF(AND($D244&lt;AP$5+7,$E244&gt;AP$5),"■","")))</x:f>
      </x:c>
      <x:c r="AQ244" s="7" t="str">
        <x:f>IF(OR($D244="",AQ$5="",'상세일정'!AM244="제외"),"",IF($D244=$E244,IF(AND($D244&gt;=AQ$5,$D244&lt;AQ$5+7),"◆",""),IF(AND($D244&lt;AQ$5+7,$E244&gt;AQ$5),"■","")))</x:f>
      </x:c>
      <x:c r="AR244" s="7" t="str">
        <x:f>IF(OR($D244="",AR$5="",'상세일정'!AM244="제외"),"",IF($D244=$E244,IF(AND($D244&gt;=AR$5,$D244&lt;AR$5+7),"◆",""),IF(AND($D244&lt;AR$5+7,$E244&gt;AR$5),"■","")))</x:f>
      </x:c>
      <x:c r="AS244" s="7" t="str">
        <x:f>IF(OR($D244="",AS$5="",'상세일정'!AM244="제외"),"",IF($D244=$E244,IF(AND($D244&gt;=AS$5,$D244&lt;AS$5+7),"◆",""),IF(AND($D244&lt;AS$5+7,$E244&gt;AS$5),"■","")))</x:f>
      </x:c>
      <x:c r="AT244" s="7" t="str">
        <x:f>IF(OR($D244="",AT$5="",'상세일정'!AM244="제외"),"",IF($D244=$E244,IF(AND($D244&gt;=AT$5,$D244&lt;AT$5+7),"◆",""),IF(AND($D244&lt;AT$5+7,$E244&gt;AT$5),"■","")))</x:f>
      </x:c>
      <x:c r="AU244" s="7" t="str">
        <x:f>IF(OR($D244="",AU$5="",'상세일정'!AM244="제외"),"",IF($D244=$E244,IF(AND($D244&gt;=AU$5,$D244&lt;AU$5+7),"◆",""),IF(AND($D244&lt;AU$5+7,$E244&gt;AU$5),"■","")))</x:f>
      </x:c>
      <x:c r="AV244" s="7" t="str">
        <x:f>IF(OR($D244="",AV$5="",'상세일정'!AM244="제외"),"",IF($D244=$E244,IF(AND($D244&gt;=AV$5,$D244&lt;AV$5+7),"◆",""),IF(AND($D244&lt;AV$5+7,$E244&gt;AV$5),"■","")))</x:f>
      </x:c>
      <x:c r="AW244" s="7" t="str">
        <x:f>IF(OR($D244="",AW$5="",'상세일정'!AM244="제외"),"",IF($D244=$E244,IF(AND($D244&gt;=AW$5,$D244&lt;AW$5+7),"◆",""),IF(AND($D244&lt;AW$5+7,$E244&gt;AW$5),"■","")))</x:f>
      </x:c>
      <x:c r="AX244" s="7" t="str">
        <x:f>IF(OR($D244="",AX$5="",'상세일정'!AM244="제외"),"",IF($D244=$E244,IF(AND($D244&gt;=AX$5,$D244&lt;AX$5+7),"◆",""),IF(AND($D244&lt;AX$5+7,$E244&gt;AX$5),"■","")))</x:f>
      </x:c>
      <x:c r="AY244" s="7" t="str">
        <x:f>IF(OR($D244="",AY$5="",'상세일정'!AM244="제외"),"",IF($D244=$E244,IF(AND($D244&gt;=AY$5,$D244&lt;AY$5+7),"◆",""),IF(AND($D244&lt;AY$5+7,$E244&gt;AY$5),"■","")))</x:f>
      </x:c>
      <x:c r="AZ244" s="7" t="str">
        <x:f>IF(OR($D244="",AZ$5="",'상세일정'!AM244="제외"),"",IF($D244=$E244,IF(AND($D244&gt;=AZ$5,$D244&lt;AZ$5+7),"◆",""),IF(AND($D244&lt;AZ$5+7,$E244&gt;AZ$5),"■","")))</x:f>
      </x:c>
      <x:c r="BA244" s="7" t="str">
        <x:f>IF(OR($D244="",BA$5="",'상세일정'!AM244="제외"),"",IF($D244=$E244,IF(AND($D244&gt;=BA$5,$D244&lt;BA$5+7),"◆",""),IF(AND($D244&lt;BA$5+7,$E244&gt;BA$5),"■","")))</x:f>
      </x:c>
      <x:c r="BB244" s="7" t="str">
        <x:f>IF(OR($D244="",BB$5="",'상세일정'!AM244="제외"),"",IF($D244=$E244,IF(AND($D244&gt;=BB$5,$D244&lt;BB$5+7),"◆",""),IF(AND($D244&lt;BB$5+7,$E244&gt;BB$5),"■","")))</x:f>
      </x:c>
      <x:c r="BC244" s="7" t="str">
        <x:f>IF(OR($D244="",BC$5="",'상세일정'!AM244="제외"),"",IF($D244=$E244,IF(AND($D244&gt;=BC$5,$D244&lt;BC$5+7),"◆",""),IF(AND($D244&lt;BC$5+7,$E244&gt;BC$5),"■","")))</x:f>
      </x:c>
      <x:c r="BD244" s="7" t="str">
        <x:f>IF(OR($D244="",BD$5="",'상세일정'!AM244="제외"),"",IF($D244=$E244,IF(AND($D244&gt;=BD$5,$D244&lt;BD$5+7),"◆",""),IF(AND($D244&lt;BD$5+7,$E244&gt;BD$5),"■","")))</x:f>
      </x:c>
      <x:c r="BE244" s="7" t="str">
        <x:f>IF(OR($D244="",BE$5="",'상세일정'!AM244="제외"),"",IF($D244=$E244,IF(AND($D244&gt;=BE$5,$D244&lt;BE$5+7),"◆",""),IF(AND($D244&lt;BE$5+7,$E244&gt;BE$5),"■","")))</x:f>
      </x:c>
      <x:c r="BF244" s="7" t="str">
        <x:f>IF(OR($D244="",BF$5="",'상세일정'!AM244="제외"),"",IF($D244=$E244,IF(AND($D244&gt;=BF$5,$D244&lt;BF$5+7),"◆",""),IF(AND($D244&lt;BF$5+7,$E244&gt;BF$5),"■","")))</x:f>
      </x:c>
      <x:c r="BG244" s="7" t="str">
        <x:f>IF(OR($D244="",BG$5="",'상세일정'!AM244="제외"),"",IF($D244=$E244,IF(AND($D244&gt;=BG$5,$D244&lt;BG$5+7),"◆",""),IF(AND($D244&lt;BG$5+7,$E244&gt;BG$5),"■","")))</x:f>
      </x:c>
      <x:c r="BH244" s="7" t="str">
        <x:f>IF(OR($D244="",BH$5="",'상세일정'!AM244="제외"),"",IF($D244=$E244,IF(AND($D244&gt;=BH$5,$D244&lt;BH$5+7),"◆",""),IF(AND($D244&lt;BH$5+7,$E244&gt;BH$5),"■","")))</x:f>
      </x:c>
      <x:c r="BI244" s="7" t="str">
        <x:f>IF(OR($D244="",BI$5="",'상세일정'!AM244="제외"),"",IF($D244=$E244,IF(AND($D244&gt;=BI$5,$D244&lt;BI$5+7),"◆",""),IF(AND($D244&lt;BI$5+7,$E244&gt;BI$5),"■","")))</x:f>
      </x:c>
      <x:c r="BJ244" s="7" t="str">
        <x:f>IF(OR($D244="",BJ$5="",'상세일정'!AM244="제외"),"",IF($D244=$E244,IF(AND($D244&gt;=BJ$5,$D244&lt;BJ$5+7),"◆",""),IF(AND($D244&lt;BJ$5+7,$E244&gt;BJ$5),"■","")))</x:f>
      </x:c>
      <x:c r="BK244" s="7" t="str">
        <x:f>IF(OR($D244="",BK$5="",'상세일정'!AM244="제외"),"",IF($D244=$E244,IF(AND($D244&gt;=BK$5,$D244&lt;BK$5+7),"◆",""),IF(AND($D244&lt;BK$5+7,$E244&gt;BK$5),"■","")))</x:f>
      </x:c>
      <x:c r="BL244" s="7" t="str">
        <x:f>IF(OR($D244="",BL$5="",'상세일정'!AM244="제외"),"",IF($D244=$E244,IF(AND($D244&gt;=BL$5,$D244&lt;BL$5+7),"◆",""),IF(AND($D244&lt;BL$5+7,$E244&gt;BL$5),"■","")))</x:f>
      </x:c>
      <x:c r="BM244" s="7" t="str">
        <x:f>IF(OR($D244="",BM$5="",'상세일정'!AM244="제외"),"",IF($D244=$E244,IF(AND($D244&gt;=BM$5,$D244&lt;BM$5+7),"◆",""),IF(AND($D244&lt;BM$5+7,$E244&gt;BM$5),"■","")))</x:f>
      </x:c>
      <x:c r="BN244" s="7" t="str">
        <x:f>IF(OR($D244="",BN$5="",'상세일정'!AM244="제외"),"",IF($D244=$E244,IF(AND($D244&gt;=BN$5,$D244&lt;BN$5+7),"◆",""),IF(AND($D244&lt;BN$5+7,$E244&gt;BN$5),"■","")))</x:f>
      </x:c>
      <x:c r="BO244" s="7" t="str">
        <x:f>IF(OR($D244="",BO$5="",'상세일정'!AM244="제외"),"",IF($D244=$E244,IF(AND($D244&gt;=BO$5,$D244&lt;BO$5+7),"◆",""),IF(AND($D244&lt;BO$5+7,$E244&gt;BO$5),"■","")))</x:f>
      </x:c>
      <x:c r="BP244" s="7" t="str">
        <x:f>IF(OR($D244="",BP$5="",'상세일정'!AM244="제외"),"",IF($D244=$E244,IF(AND($D244&gt;=BP$5,$D244&lt;BP$5+7),"◆",""),IF(AND($D244&lt;BP$5+7,$E244&gt;BP$5),"■","")))</x:f>
      </x:c>
      <x:c r="BQ244" s="7" t="str">
        <x:f>IF(OR($D244="",BQ$5="",'상세일정'!AM244="제외"),"",IF($D244=$E244,IF(AND($D244&gt;=BQ$5,$D244&lt;BQ$5+7),"◆",""),IF(AND($D244&lt;BQ$5+7,$E244&gt;BQ$5),"■","")))</x:f>
      </x:c>
      <x:c r="BR244" s="7" t="str">
        <x:f>IF(OR($D244="",BR$5="",'상세일정'!AM244="제외"),"",IF($D244=$E244,IF(AND($D244&gt;=BR$5,$D244&lt;BR$5+7),"◆",""),IF(AND($D244&lt;BR$5+7,$E244&gt;BR$5),"■","")))</x:f>
      </x:c>
      <x:c r="BS244" s="7" t="str">
        <x:f>IF(OR($D244="",BS$5="",'상세일정'!AM244="제외"),"",IF($D244=$E244,IF(AND($D244&gt;=BS$5,$D244&lt;BS$5+7),"◆",""),IF(AND($D244&lt;BS$5+7,$E244&gt;BS$5),"■","")))</x:f>
      </x:c>
      <x:c r="BT244" s="7" t="str">
        <x:f>IF(OR($D244="",BT$5="",'상세일정'!AM244="제외"),"",IF($D244=$E244,IF(AND($D244&gt;=BT$5,$D244&lt;BT$5+7),"◆",""),IF(AND($D244&lt;BT$5+7,$E244&gt;BT$5),"■","")))</x:f>
      </x:c>
      <x:c r="BU244" s="7" t="str">
        <x:f>IF(OR($D244="",BU$5="",'상세일정'!AM244="제외"),"",IF($D244=$E244,IF(AND($D244&gt;=BU$5,$D244&lt;BU$5+7),"◆",""),IF(AND($D244&lt;BU$5+7,$E244&gt;BU$5),"■","")))</x:f>
      </x:c>
      <x:c r="BV244" s="7" t="str">
        <x:f>IF(OR($D244="",BV$5="",'상세일정'!AM244="제외"),"",IF($D244=$E244,IF(AND($D244&gt;=BV$5,$D244&lt;BV$5+7),"◆",""),IF(AND($D244&lt;BV$5+7,$E244&gt;BV$5),"■","")))</x:f>
      </x:c>
      <x:c r="BW244" s="7" t="str">
        <x:f>IF(OR($D244="",BW$5="",'상세일정'!AM244="제외"),"",IF($D244=$E244,IF(AND($D244&gt;=BW$5,$D244&lt;BW$5+7),"◆",""),IF(AND($D244&lt;BW$5+7,$E244&gt;BW$5),"■","")))</x:f>
      </x:c>
      <x:c r="BX244" s="7" t="str">
        <x:f>IF(OR($D244="",BX$5="",'상세일정'!AM244="제외"),"",IF($D244=$E244,IF(AND($D244&gt;=BX$5,$D244&lt;BX$5+7),"◆",""),IF(AND($D244&lt;BX$5+7,$E244&gt;BX$5),"■","")))</x:f>
      </x:c>
      <x:c r="BY244" s="7" t="str">
        <x:f>IF(OR($D244="",BY$5="",'상세일정'!AM244="제외"),"",IF($D244=$E244,IF(AND($D244&gt;=BY$5,$D244&lt;BY$5+7),"◆",""),IF(AND($D244&lt;BY$5+7,$E244&gt;BY$5),"■","")))</x:f>
      </x:c>
      <x:c r="BZ244" s="7" t="str">
        <x:f>IF(OR($D244="",BZ$5="",'상세일정'!AM244="제외"),"",IF($D244=$E244,IF(AND($D244&gt;=BZ$5,$D244&lt;BZ$5+7),"◆",""),IF(AND($D244&lt;BZ$5+7,$E244&gt;BZ$5),"■","")))</x:f>
      </x:c>
      <x:c r="CA244" s="7" t="str">
        <x:f>IF(OR($D244="",CA$5="",'상세일정'!AM244="제외"),"",IF($D244=$E244,IF(AND($D244&gt;=CA$5,$D244&lt;CA$5+7),"◆",""),IF(AND($D244&lt;CA$5+7,$E244&gt;CA$5),"■","")))</x:f>
      </x:c>
      <x:c r="CB244" s="7" t="str">
        <x:f>IF(OR($D244="",CB$5="",'상세일정'!AM244="제외"),"",IF($D244=$E244,IF(AND($D244&gt;=CB$5,$D244&lt;CB$5+7),"◆",""),IF(AND($D244&lt;CB$5+7,$E244&gt;CB$5),"■","")))</x:f>
      </x:c>
      <x:c r="CC244" s="7" t="str">
        <x:f>IF(OR($D244="",CC$5="",'상세일정'!AM244="제외"),"",IF($D244=$E244,IF(AND($D244&gt;=CC$5,$D244&lt;CC$5+7),"◆",""),IF(AND($D244&lt;CC$5+7,$E244&gt;CC$5),"■","")))</x:f>
      </x:c>
      <x:c r="CD244" s="7" t="str">
        <x:f>IF(OR($D244="",CD$5="",'상세일정'!AM244="제외"),"",IF($D244=$E244,IF(AND($D244&gt;=CD$5,$D244&lt;CD$5+7),"◆",""),IF(AND($D244&lt;CD$5+7,$E244&gt;CD$5),"■","")))</x:f>
      </x:c>
      <x:c r="CE244" s="7" t="str">
        <x:f>IF(OR($D244="",CE$5="",'상세일정'!AM244="제외"),"",IF($D244=$E244,IF(AND($D244&gt;=CE$5,$D244&lt;CE$5+7),"◆",""),IF(AND($D244&lt;CE$5+7,$E244&gt;CE$5),"■","")))</x:f>
      </x:c>
      <x:c r="CF244" s="7" t="str">
        <x:f>IF(OR($D244="",CF$5="",'상세일정'!AM244="제외"),"",IF($D244=$E244,IF(AND($D244&gt;=CF$5,$D244&lt;CF$5+7),"◆",""),IF(AND($D244&lt;CF$5+7,$E244&gt;CF$5),"■","")))</x:f>
      </x:c>
      <x:c r="CG244" s="7" t="str">
        <x:f>IF(OR($D244="",CG$5="",'상세일정'!AM244="제외"),"",IF($D244=$E244,IF(AND($D244&gt;=CG$5,$D244&lt;CG$5+7),"◆",""),IF(AND($D244&lt;CG$5+7,$E244&gt;CG$5),"■","")))</x:f>
      </x:c>
      <x:c r="CH244" s="7" t="str">
        <x:f>IF(OR($D244="",CH$5="",'상세일정'!AM244="제외"),"",IF($D244=$E244,IF(AND($D244&gt;=CH$5,$D244&lt;CH$5+7),"◆",""),IF(AND($D244&lt;CH$5+7,$E244&gt;CH$5),"■","")))</x:f>
      </x:c>
      <x:c r="CI244" s="7" t="str">
        <x:f>IF(OR($D244="",CI$5="",'상세일정'!AM244="제외"),"",IF($D244=$E244,IF(AND($D244&gt;=CI$5,$D244&lt;CI$5+7),"◆",""),IF(AND($D244&lt;CI$5+7,$E244&gt;CI$5),"■","")))</x:f>
      </x:c>
      <x:c r="CJ244" s="7" t="str">
        <x:f>IF(OR($D244="",CJ$5="",'상세일정'!AM244="제외"),"",IF($D244=$E244,IF(AND($D244&gt;=CJ$5,$D244&lt;CJ$5+7),"◆",""),IF(AND($D244&lt;CJ$5+7,$E244&gt;CJ$5),"■","")))</x:f>
      </x:c>
      <x:c r="CK244" s="7" t="str">
        <x:f>IF(OR($D244="",CK$5="",'상세일정'!AM244="제외"),"",IF($D244=$E244,IF(AND($D244&gt;=CK$5,$D244&lt;CK$5+7),"◆",""),IF(AND($D244&lt;CK$5+7,$E244&gt;CK$5),"■","")))</x:f>
      </x:c>
      <x:c r="CL244" s="7" t="str">
        <x:f>IF(OR($D244="",CL$5="",'상세일정'!AM244="제외"),"",IF($D244=$E244,IF(AND($D244&gt;=CL$5,$D244&lt;CL$5+7),"◆",""),IF(AND($D244&lt;CL$5+7,$E244&gt;CL$5),"■","")))</x:f>
      </x:c>
      <x:c r="CM244" s="7" t="str">
        <x:f>IF(OR($D244="",CM$5="",'상세일정'!AM244="제외"),"",IF($D244=$E244,IF(AND($D244&gt;=CM$5,$D244&lt;CM$5+7),"◆",""),IF(AND($D244&lt;CM$5+7,$E244&gt;CM$5),"■","")))</x:f>
      </x:c>
      <x:c r="CN244" s="7" t="str">
        <x:f>IF(OR($D244="",CN$5="",'상세일정'!AM244="제외"),"",IF($D244=$E244,IF(AND($D244&gt;=CN$5,$D244&lt;CN$5+7),"◆",""),IF(AND($D244&lt;CN$5+7,$E244&gt;CN$5),"■","")))</x:f>
      </x:c>
      <x:c r="CO244" s="7" t="str">
        <x:f>IF(OR($D244="",CO$5="",'상세일정'!AM244="제외"),"",IF($D244=$E244,IF(AND($D244&gt;=CO$5,$D244&lt;CO$5+7),"◆",""),IF(AND($D244&lt;CO$5+7,$E244&gt;CO$5),"■","")))</x:f>
      </x:c>
      <x:c r="CP244" s="7" t="str">
        <x:f>IF(OR($D244="",CP$5="",'상세일정'!AM244="제외"),"",IF($D244=$E244,IF(AND($D244&gt;=CP$5,$D244&lt;CP$5+7),"◆",""),IF(AND($D244&lt;CP$5+7,$E244&gt;CP$5),"■","")))</x:f>
      </x:c>
      <x:c r="CQ244" s="7" t="str">
        <x:f>IF(OR($D244="",CQ$5="",'상세일정'!AM244="제외"),"",IF($D244=$E244,IF(AND($D244&gt;=CQ$5,$D244&lt;CQ$5+7),"◆",""),IF(AND($D244&lt;CQ$5+7,$E244&gt;CQ$5),"■","")))</x:f>
      </x:c>
      <x:c r="CR244" s="7" t="str">
        <x:f>IF(OR($D244="",CR$5="",'상세일정'!AM244="제외"),"",IF($D244=$E244,IF(AND($D244&gt;=CR$5,$D244&lt;CR$5+7),"◆",""),IF(AND($D244&lt;CR$5+7,$E244&gt;CR$5),"■","")))</x:f>
      </x:c>
      <x:c r="CS244" s="7" t="str">
        <x:f>IF(OR($D244="",CS$5="",'상세일정'!AM244="제외"),"",IF($D244=$E244,IF(AND($D244&gt;=CS$5,$D244&lt;CS$5+7),"◆",""),IF(AND($D244&lt;CS$5+7,$E244&gt;CS$5),"■","")))</x:f>
      </x:c>
      <x:c r="CT244" s="7" t="str">
        <x:f>IF(OR($D244="",CT$5="",'상세일정'!AM244="제외"),"",IF($D244=$E244,IF(AND($D244&gt;=CT$5,$D244&lt;CT$5+7),"◆",""),IF(AND($D244&lt;CT$5+7,$E244&gt;CT$5),"■","")))</x:f>
      </x:c>
      <x:c r="CU244" s="7" t="str">
        <x:f>IF(OR($D244="",CU$5="",'상세일정'!AM244="제외"),"",IF($D244=$E244,IF(AND($D244&gt;=CU$5,$D244&lt;CU$5+7),"◆",""),IF(AND($D244&lt;CU$5+7,$E244&gt;CU$5),"■","")))</x:f>
      </x:c>
      <x:c r="CV244" s="7" t="str">
        <x:f>IF(OR($D244="",CV$5="",'상세일정'!AM244="제외"),"",IF($D244=$E244,IF(AND($D244&gt;=CV$5,$D244&lt;CV$5+7),"◆",""),IF(AND($D244&lt;CV$5+7,$E244&gt;CV$5),"■","")))</x:f>
      </x:c>
      <x:c r="CW244" s="7" t="str">
        <x:f>IF(OR($D244="",CW$5="",'상세일정'!AM244="제외"),"",IF($D244=$E244,IF(AND($D244&gt;=CW$5,$D244&lt;CW$5+7),"◆",""),IF(AND($D244&lt;CW$5+7,$E244&gt;CW$5),"■","")))</x:f>
      </x:c>
      <x:c r="CX244" s="7" t="str">
        <x:f>IF(OR($D244="",CX$5="",'상세일정'!AM244="제외"),"",IF($D244=$E244,IF(AND($D244&gt;=CX$5,$D244&lt;CX$5+7),"◆",""),IF(AND($D244&lt;CX$5+7,$E244&gt;CX$5),"■","")))</x:f>
      </x:c>
      <x:c r="CY244" s="7" t="str">
        <x:f>IF(OR($D244="",CY$5="",'상세일정'!AM244="제외"),"",IF($D244=$E244,IF(AND($D244&gt;=CY$5,$D244&lt;CY$5+7),"◆",""),IF(AND($D244&lt;CY$5+7,$E244&gt;CY$5),"■","")))</x:f>
      </x:c>
      <x:c r="CZ244" s="7" t="str">
        <x:f>IF(OR($D244="",CZ$5="",'상세일정'!AM244="제외"),"",IF($D244=$E244,IF(AND($D244&gt;=CZ$5,$D244&lt;CZ$5+7),"◆",""),IF(AND($D244&lt;CZ$5+7,$E244&gt;CZ$5),"■","")))</x:f>
      </x:c>
      <x:c r="DA244" s="7" t="str">
        <x:f>IF(OR($D244="",DA$5="",'상세일정'!AM244="제외"),"",IF($D244=$E244,IF(AND($D244&gt;=DA$5,$D244&lt;DA$5+7),"◆",""),IF(AND($D244&lt;DA$5+7,$E244&gt;DA$5),"■","")))</x:f>
      </x:c>
      <x:c r="DB244" s="7" t="str">
        <x:f>IF(OR($D244="",DB$5="",'상세일정'!AM244="제외"),"",IF($D244=$E244,IF(AND($D244&gt;=DB$5,$D244&lt;DB$5+7),"◆",""),IF(AND($D244&lt;DB$5+7,$E244&gt;DB$5),"■","")))</x:f>
      </x:c>
      <x:c r="DC244" s="7" t="str">
        <x:f>IF(OR($D244="",DC$5="",'상세일정'!AM244="제외"),"",IF($D244=$E244,IF(AND($D244&gt;=DC$5,$D244&lt;DC$5+7),"◆",""),IF(AND($D244&lt;DC$5+7,$E244&gt;DC$5),"■","")))</x:f>
      </x:c>
      <x:c r="DD244" s="7" t="str">
        <x:f>IF(OR($D244="",DD$5="",'상세일정'!AM244="제외"),"",IF($D244=$E244,IF(AND($D244&gt;=DD$5,$D244&lt;DD$5+7),"◆",""),IF(AND($D244&lt;DD$5+7,$E244&gt;DD$5),"■","")))</x:f>
      </x:c>
      <x:c r="DE244" s="7" t="str">
        <x:f>IF(OR($D244="",DE$5="",'상세일정'!AM244="제외"),"",IF($D244=$E244,IF(AND($D244&gt;=DE$5,$D244&lt;DE$5+7),"◆",""),IF(AND($D244&lt;DE$5+7,$E244&gt;DE$5),"■","")))</x:f>
      </x:c>
    </x:row>
    <x:row r="245" ht="34" customHeight="1">
      <x:c r="A245" s="7" t="str">
        <x:v>HO04</x:v>
      </x:c>
      <x:c r="B245" s="7" t="str">
        <x:v>29 인수·운영·정산</x:v>
      </x:c>
      <x:c r="C245" s="7" t="str">
        <x:v>사업결과·보조금 집행증빙 취합</x:v>
      </x:c>
      <x:c r="D245" s="10" t="str">
        <x:f>'상세일정'!AJ245</x:f>
      </x:c>
      <x:c r="E245" s="10" t="str">
        <x:f>'상세일정'!AK245</x:f>
      </x:c>
      <x:c r="F245" s="7" t="str">
        <x:f>IF(OR($D245="",F$5="",'상세일정'!AM245="제외"),"",IF($D245=$E245,IF(AND($D245&gt;=F$5,$D245&lt;F$5+7),"◆",""),IF(AND($D245&lt;F$5+7,$E245&gt;F$5),"■","")))</x:f>
      </x:c>
      <x:c r="G245" s="7" t="str">
        <x:f>IF(OR($D245="",G$5="",'상세일정'!AM245="제외"),"",IF($D245=$E245,IF(AND($D245&gt;=G$5,$D245&lt;G$5+7),"◆",""),IF(AND($D245&lt;G$5+7,$E245&gt;G$5),"■","")))</x:f>
      </x:c>
      <x:c r="H245" s="7" t="str">
        <x:f>IF(OR($D245="",H$5="",'상세일정'!AM245="제외"),"",IF($D245=$E245,IF(AND($D245&gt;=H$5,$D245&lt;H$5+7),"◆",""),IF(AND($D245&lt;H$5+7,$E245&gt;H$5),"■","")))</x:f>
      </x:c>
      <x:c r="I245" s="7" t="str">
        <x:f>IF(OR($D245="",I$5="",'상세일정'!AM245="제외"),"",IF($D245=$E245,IF(AND($D245&gt;=I$5,$D245&lt;I$5+7),"◆",""),IF(AND($D245&lt;I$5+7,$E245&gt;I$5),"■","")))</x:f>
      </x:c>
      <x:c r="J245" s="7" t="str">
        <x:f>IF(OR($D245="",J$5="",'상세일정'!AM245="제외"),"",IF($D245=$E245,IF(AND($D245&gt;=J$5,$D245&lt;J$5+7),"◆",""),IF(AND($D245&lt;J$5+7,$E245&gt;J$5),"■","")))</x:f>
      </x:c>
      <x:c r="K245" s="7" t="str">
        <x:f>IF(OR($D245="",K$5="",'상세일정'!AM245="제외"),"",IF($D245=$E245,IF(AND($D245&gt;=K$5,$D245&lt;K$5+7),"◆",""),IF(AND($D245&lt;K$5+7,$E245&gt;K$5),"■","")))</x:f>
      </x:c>
      <x:c r="L245" s="7" t="str">
        <x:f>IF(OR($D245="",L$5="",'상세일정'!AM245="제외"),"",IF($D245=$E245,IF(AND($D245&gt;=L$5,$D245&lt;L$5+7),"◆",""),IF(AND($D245&lt;L$5+7,$E245&gt;L$5),"■","")))</x:f>
      </x:c>
      <x:c r="M245" s="7" t="str">
        <x:f>IF(OR($D245="",M$5="",'상세일정'!AM245="제외"),"",IF($D245=$E245,IF(AND($D245&gt;=M$5,$D245&lt;M$5+7),"◆",""),IF(AND($D245&lt;M$5+7,$E245&gt;M$5),"■","")))</x:f>
      </x:c>
      <x:c r="N245" s="7" t="str">
        <x:f>IF(OR($D245="",N$5="",'상세일정'!AM245="제외"),"",IF($D245=$E245,IF(AND($D245&gt;=N$5,$D245&lt;N$5+7),"◆",""),IF(AND($D245&lt;N$5+7,$E245&gt;N$5),"■","")))</x:f>
      </x:c>
      <x:c r="O245" s="7" t="str">
        <x:f>IF(OR($D245="",O$5="",'상세일정'!AM245="제외"),"",IF($D245=$E245,IF(AND($D245&gt;=O$5,$D245&lt;O$5+7),"◆",""),IF(AND($D245&lt;O$5+7,$E245&gt;O$5),"■","")))</x:f>
      </x:c>
      <x:c r="P245" s="7" t="str">
        <x:f>IF(OR($D245="",P$5="",'상세일정'!AM245="제외"),"",IF($D245=$E245,IF(AND($D245&gt;=P$5,$D245&lt;P$5+7),"◆",""),IF(AND($D245&lt;P$5+7,$E245&gt;P$5),"■","")))</x:f>
      </x:c>
      <x:c r="Q245" s="7" t="str">
        <x:f>IF(OR($D245="",Q$5="",'상세일정'!AM245="제외"),"",IF($D245=$E245,IF(AND($D245&gt;=Q$5,$D245&lt;Q$5+7),"◆",""),IF(AND($D245&lt;Q$5+7,$E245&gt;Q$5),"■","")))</x:f>
      </x:c>
      <x:c r="R245" s="7" t="str">
        <x:f>IF(OR($D245="",R$5="",'상세일정'!AM245="제외"),"",IF($D245=$E245,IF(AND($D245&gt;=R$5,$D245&lt;R$5+7),"◆",""),IF(AND($D245&lt;R$5+7,$E245&gt;R$5),"■","")))</x:f>
      </x:c>
      <x:c r="S245" s="7" t="str">
        <x:f>IF(OR($D245="",S$5="",'상세일정'!AM245="제외"),"",IF($D245=$E245,IF(AND($D245&gt;=S$5,$D245&lt;S$5+7),"◆",""),IF(AND($D245&lt;S$5+7,$E245&gt;S$5),"■","")))</x:f>
      </x:c>
      <x:c r="T245" s="7" t="str">
        <x:f>IF(OR($D245="",T$5="",'상세일정'!AM245="제외"),"",IF($D245=$E245,IF(AND($D245&gt;=T$5,$D245&lt;T$5+7),"◆",""),IF(AND($D245&lt;T$5+7,$E245&gt;T$5),"■","")))</x:f>
      </x:c>
      <x:c r="U245" s="7" t="str">
        <x:f>IF(OR($D245="",U$5="",'상세일정'!AM245="제외"),"",IF($D245=$E245,IF(AND($D245&gt;=U$5,$D245&lt;U$5+7),"◆",""),IF(AND($D245&lt;U$5+7,$E245&gt;U$5),"■","")))</x:f>
      </x:c>
      <x:c r="V245" s="7" t="str">
        <x:f>IF(OR($D245="",V$5="",'상세일정'!AM245="제외"),"",IF($D245=$E245,IF(AND($D245&gt;=V$5,$D245&lt;V$5+7),"◆",""),IF(AND($D245&lt;V$5+7,$E245&gt;V$5),"■","")))</x:f>
      </x:c>
      <x:c r="W245" s="7" t="str">
        <x:f>IF(OR($D245="",W$5="",'상세일정'!AM245="제외"),"",IF($D245=$E245,IF(AND($D245&gt;=W$5,$D245&lt;W$5+7),"◆",""),IF(AND($D245&lt;W$5+7,$E245&gt;W$5),"■","")))</x:f>
      </x:c>
      <x:c r="X245" s="7" t="str">
        <x:f>IF(OR($D245="",X$5="",'상세일정'!AM245="제외"),"",IF($D245=$E245,IF(AND($D245&gt;=X$5,$D245&lt;X$5+7),"◆",""),IF(AND($D245&lt;X$5+7,$E245&gt;X$5),"■","")))</x:f>
      </x:c>
      <x:c r="Y245" s="7" t="str">
        <x:f>IF(OR($D245="",Y$5="",'상세일정'!AM245="제외"),"",IF($D245=$E245,IF(AND($D245&gt;=Y$5,$D245&lt;Y$5+7),"◆",""),IF(AND($D245&lt;Y$5+7,$E245&gt;Y$5),"■","")))</x:f>
      </x:c>
      <x:c r="Z245" s="7" t="str">
        <x:f>IF(OR($D245="",Z$5="",'상세일정'!AM245="제외"),"",IF($D245=$E245,IF(AND($D245&gt;=Z$5,$D245&lt;Z$5+7),"◆",""),IF(AND($D245&lt;Z$5+7,$E245&gt;Z$5),"■","")))</x:f>
      </x:c>
      <x:c r="AA245" s="7" t="str">
        <x:f>IF(OR($D245="",AA$5="",'상세일정'!AM245="제외"),"",IF($D245=$E245,IF(AND($D245&gt;=AA$5,$D245&lt;AA$5+7),"◆",""),IF(AND($D245&lt;AA$5+7,$E245&gt;AA$5),"■","")))</x:f>
      </x:c>
      <x:c r="AB245" s="7" t="str">
        <x:f>IF(OR($D245="",AB$5="",'상세일정'!AM245="제외"),"",IF($D245=$E245,IF(AND($D245&gt;=AB$5,$D245&lt;AB$5+7),"◆",""),IF(AND($D245&lt;AB$5+7,$E245&gt;AB$5),"■","")))</x:f>
      </x:c>
      <x:c r="AC245" s="7" t="str">
        <x:f>IF(OR($D245="",AC$5="",'상세일정'!AM245="제외"),"",IF($D245=$E245,IF(AND($D245&gt;=AC$5,$D245&lt;AC$5+7),"◆",""),IF(AND($D245&lt;AC$5+7,$E245&gt;AC$5),"■","")))</x:f>
      </x:c>
      <x:c r="AD245" s="7" t="str">
        <x:f>IF(OR($D245="",AD$5="",'상세일정'!AM245="제외"),"",IF($D245=$E245,IF(AND($D245&gt;=AD$5,$D245&lt;AD$5+7),"◆",""),IF(AND($D245&lt;AD$5+7,$E245&gt;AD$5),"■","")))</x:f>
      </x:c>
      <x:c r="AE245" s="7" t="str">
        <x:f>IF(OR($D245="",AE$5="",'상세일정'!AM245="제외"),"",IF($D245=$E245,IF(AND($D245&gt;=AE$5,$D245&lt;AE$5+7),"◆",""),IF(AND($D245&lt;AE$5+7,$E245&gt;AE$5),"■","")))</x:f>
      </x:c>
      <x:c r="AF245" s="7" t="str">
        <x:f>IF(OR($D245="",AF$5="",'상세일정'!AM245="제외"),"",IF($D245=$E245,IF(AND($D245&gt;=AF$5,$D245&lt;AF$5+7),"◆",""),IF(AND($D245&lt;AF$5+7,$E245&gt;AF$5),"■","")))</x:f>
      </x:c>
      <x:c r="AG245" s="7" t="str">
        <x:f>IF(OR($D245="",AG$5="",'상세일정'!AM245="제외"),"",IF($D245=$E245,IF(AND($D245&gt;=AG$5,$D245&lt;AG$5+7),"◆",""),IF(AND($D245&lt;AG$5+7,$E245&gt;AG$5),"■","")))</x:f>
      </x:c>
      <x:c r="AH245" s="7" t="str">
        <x:f>IF(OR($D245="",AH$5="",'상세일정'!AM245="제외"),"",IF($D245=$E245,IF(AND($D245&gt;=AH$5,$D245&lt;AH$5+7),"◆",""),IF(AND($D245&lt;AH$5+7,$E245&gt;AH$5),"■","")))</x:f>
      </x:c>
      <x:c r="AI245" s="7" t="str">
        <x:f>IF(OR($D245="",AI$5="",'상세일정'!AM245="제외"),"",IF($D245=$E245,IF(AND($D245&gt;=AI$5,$D245&lt;AI$5+7),"◆",""),IF(AND($D245&lt;AI$5+7,$E245&gt;AI$5),"■","")))</x:f>
      </x:c>
      <x:c r="AJ245" s="7" t="str">
        <x:f>IF(OR($D245="",AJ$5="",'상세일정'!AM245="제외"),"",IF($D245=$E245,IF(AND($D245&gt;=AJ$5,$D245&lt;AJ$5+7),"◆",""),IF(AND($D245&lt;AJ$5+7,$E245&gt;AJ$5),"■","")))</x:f>
      </x:c>
      <x:c r="AK245" s="7" t="str">
        <x:f>IF(OR($D245="",AK$5="",'상세일정'!AM245="제외"),"",IF($D245=$E245,IF(AND($D245&gt;=AK$5,$D245&lt;AK$5+7),"◆",""),IF(AND($D245&lt;AK$5+7,$E245&gt;AK$5),"■","")))</x:f>
      </x:c>
      <x:c r="AL245" s="7" t="str">
        <x:f>IF(OR($D245="",AL$5="",'상세일정'!AM245="제외"),"",IF($D245=$E245,IF(AND($D245&gt;=AL$5,$D245&lt;AL$5+7),"◆",""),IF(AND($D245&lt;AL$5+7,$E245&gt;AL$5),"■","")))</x:f>
      </x:c>
      <x:c r="AM245" s="7" t="str">
        <x:f>IF(OR($D245="",AM$5="",'상세일정'!AM245="제외"),"",IF($D245=$E245,IF(AND($D245&gt;=AM$5,$D245&lt;AM$5+7),"◆",""),IF(AND($D245&lt;AM$5+7,$E245&gt;AM$5),"■","")))</x:f>
      </x:c>
      <x:c r="AN245" s="7" t="str">
        <x:f>IF(OR($D245="",AN$5="",'상세일정'!AM245="제외"),"",IF($D245=$E245,IF(AND($D245&gt;=AN$5,$D245&lt;AN$5+7),"◆",""),IF(AND($D245&lt;AN$5+7,$E245&gt;AN$5),"■","")))</x:f>
      </x:c>
      <x:c r="AO245" s="7" t="str">
        <x:f>IF(OR($D245="",AO$5="",'상세일정'!AM245="제외"),"",IF($D245=$E245,IF(AND($D245&gt;=AO$5,$D245&lt;AO$5+7),"◆",""),IF(AND($D245&lt;AO$5+7,$E245&gt;AO$5),"■","")))</x:f>
      </x:c>
      <x:c r="AP245" s="7" t="str">
        <x:f>IF(OR($D245="",AP$5="",'상세일정'!AM245="제외"),"",IF($D245=$E245,IF(AND($D245&gt;=AP$5,$D245&lt;AP$5+7),"◆",""),IF(AND($D245&lt;AP$5+7,$E245&gt;AP$5),"■","")))</x:f>
      </x:c>
      <x:c r="AQ245" s="7" t="str">
        <x:f>IF(OR($D245="",AQ$5="",'상세일정'!AM245="제외"),"",IF($D245=$E245,IF(AND($D245&gt;=AQ$5,$D245&lt;AQ$5+7),"◆",""),IF(AND($D245&lt;AQ$5+7,$E245&gt;AQ$5),"■","")))</x:f>
      </x:c>
      <x:c r="AR245" s="7" t="str">
        <x:f>IF(OR($D245="",AR$5="",'상세일정'!AM245="제외"),"",IF($D245=$E245,IF(AND($D245&gt;=AR$5,$D245&lt;AR$5+7),"◆",""),IF(AND($D245&lt;AR$5+7,$E245&gt;AR$5),"■","")))</x:f>
      </x:c>
      <x:c r="AS245" s="7" t="str">
        <x:f>IF(OR($D245="",AS$5="",'상세일정'!AM245="제외"),"",IF($D245=$E245,IF(AND($D245&gt;=AS$5,$D245&lt;AS$5+7),"◆",""),IF(AND($D245&lt;AS$5+7,$E245&gt;AS$5),"■","")))</x:f>
      </x:c>
      <x:c r="AT245" s="7" t="str">
        <x:f>IF(OR($D245="",AT$5="",'상세일정'!AM245="제외"),"",IF($D245=$E245,IF(AND($D245&gt;=AT$5,$D245&lt;AT$5+7),"◆",""),IF(AND($D245&lt;AT$5+7,$E245&gt;AT$5),"■","")))</x:f>
      </x:c>
      <x:c r="AU245" s="7" t="str">
        <x:f>IF(OR($D245="",AU$5="",'상세일정'!AM245="제외"),"",IF($D245=$E245,IF(AND($D245&gt;=AU$5,$D245&lt;AU$5+7),"◆",""),IF(AND($D245&lt;AU$5+7,$E245&gt;AU$5),"■","")))</x:f>
      </x:c>
      <x:c r="AV245" s="7" t="str">
        <x:f>IF(OR($D245="",AV$5="",'상세일정'!AM245="제외"),"",IF($D245=$E245,IF(AND($D245&gt;=AV$5,$D245&lt;AV$5+7),"◆",""),IF(AND($D245&lt;AV$5+7,$E245&gt;AV$5),"■","")))</x:f>
      </x:c>
      <x:c r="AW245" s="7" t="str">
        <x:f>IF(OR($D245="",AW$5="",'상세일정'!AM245="제외"),"",IF($D245=$E245,IF(AND($D245&gt;=AW$5,$D245&lt;AW$5+7),"◆",""),IF(AND($D245&lt;AW$5+7,$E245&gt;AW$5),"■","")))</x:f>
      </x:c>
      <x:c r="AX245" s="7" t="str">
        <x:f>IF(OR($D245="",AX$5="",'상세일정'!AM245="제외"),"",IF($D245=$E245,IF(AND($D245&gt;=AX$5,$D245&lt;AX$5+7),"◆",""),IF(AND($D245&lt;AX$5+7,$E245&gt;AX$5),"■","")))</x:f>
      </x:c>
      <x:c r="AY245" s="7" t="str">
        <x:f>IF(OR($D245="",AY$5="",'상세일정'!AM245="제외"),"",IF($D245=$E245,IF(AND($D245&gt;=AY$5,$D245&lt;AY$5+7),"◆",""),IF(AND($D245&lt;AY$5+7,$E245&gt;AY$5),"■","")))</x:f>
      </x:c>
      <x:c r="AZ245" s="7" t="str">
        <x:f>IF(OR($D245="",AZ$5="",'상세일정'!AM245="제외"),"",IF($D245=$E245,IF(AND($D245&gt;=AZ$5,$D245&lt;AZ$5+7),"◆",""),IF(AND($D245&lt;AZ$5+7,$E245&gt;AZ$5),"■","")))</x:f>
      </x:c>
      <x:c r="BA245" s="7" t="str">
        <x:f>IF(OR($D245="",BA$5="",'상세일정'!AM245="제외"),"",IF($D245=$E245,IF(AND($D245&gt;=BA$5,$D245&lt;BA$5+7),"◆",""),IF(AND($D245&lt;BA$5+7,$E245&gt;BA$5),"■","")))</x:f>
      </x:c>
      <x:c r="BB245" s="7" t="str">
        <x:f>IF(OR($D245="",BB$5="",'상세일정'!AM245="제외"),"",IF($D245=$E245,IF(AND($D245&gt;=BB$5,$D245&lt;BB$5+7),"◆",""),IF(AND($D245&lt;BB$5+7,$E245&gt;BB$5),"■","")))</x:f>
      </x:c>
      <x:c r="BC245" s="7" t="str">
        <x:f>IF(OR($D245="",BC$5="",'상세일정'!AM245="제외"),"",IF($D245=$E245,IF(AND($D245&gt;=BC$5,$D245&lt;BC$5+7),"◆",""),IF(AND($D245&lt;BC$5+7,$E245&gt;BC$5),"■","")))</x:f>
      </x:c>
      <x:c r="BD245" s="7" t="str">
        <x:f>IF(OR($D245="",BD$5="",'상세일정'!AM245="제외"),"",IF($D245=$E245,IF(AND($D245&gt;=BD$5,$D245&lt;BD$5+7),"◆",""),IF(AND($D245&lt;BD$5+7,$E245&gt;BD$5),"■","")))</x:f>
      </x:c>
      <x:c r="BE245" s="7" t="str">
        <x:f>IF(OR($D245="",BE$5="",'상세일정'!AM245="제외"),"",IF($D245=$E245,IF(AND($D245&gt;=BE$5,$D245&lt;BE$5+7),"◆",""),IF(AND($D245&lt;BE$5+7,$E245&gt;BE$5),"■","")))</x:f>
      </x:c>
      <x:c r="BF245" s="7" t="str">
        <x:f>IF(OR($D245="",BF$5="",'상세일정'!AM245="제외"),"",IF($D245=$E245,IF(AND($D245&gt;=BF$5,$D245&lt;BF$5+7),"◆",""),IF(AND($D245&lt;BF$5+7,$E245&gt;BF$5),"■","")))</x:f>
      </x:c>
      <x:c r="BG245" s="7" t="str">
        <x:f>IF(OR($D245="",BG$5="",'상세일정'!AM245="제외"),"",IF($D245=$E245,IF(AND($D245&gt;=BG$5,$D245&lt;BG$5+7),"◆",""),IF(AND($D245&lt;BG$5+7,$E245&gt;BG$5),"■","")))</x:f>
      </x:c>
      <x:c r="BH245" s="7" t="str">
        <x:f>IF(OR($D245="",BH$5="",'상세일정'!AM245="제외"),"",IF($D245=$E245,IF(AND($D245&gt;=BH$5,$D245&lt;BH$5+7),"◆",""),IF(AND($D245&lt;BH$5+7,$E245&gt;BH$5),"■","")))</x:f>
      </x:c>
      <x:c r="BI245" s="7" t="str">
        <x:f>IF(OR($D245="",BI$5="",'상세일정'!AM245="제외"),"",IF($D245=$E245,IF(AND($D245&gt;=BI$5,$D245&lt;BI$5+7),"◆",""),IF(AND($D245&lt;BI$5+7,$E245&gt;BI$5),"■","")))</x:f>
      </x:c>
      <x:c r="BJ245" s="7" t="str">
        <x:f>IF(OR($D245="",BJ$5="",'상세일정'!AM245="제외"),"",IF($D245=$E245,IF(AND($D245&gt;=BJ$5,$D245&lt;BJ$5+7),"◆",""),IF(AND($D245&lt;BJ$5+7,$E245&gt;BJ$5),"■","")))</x:f>
      </x:c>
      <x:c r="BK245" s="7" t="str">
        <x:f>IF(OR($D245="",BK$5="",'상세일정'!AM245="제외"),"",IF($D245=$E245,IF(AND($D245&gt;=BK$5,$D245&lt;BK$5+7),"◆",""),IF(AND($D245&lt;BK$5+7,$E245&gt;BK$5),"■","")))</x:f>
      </x:c>
      <x:c r="BL245" s="7" t="str">
        <x:f>IF(OR($D245="",BL$5="",'상세일정'!AM245="제외"),"",IF($D245=$E245,IF(AND($D245&gt;=BL$5,$D245&lt;BL$5+7),"◆",""),IF(AND($D245&lt;BL$5+7,$E245&gt;BL$5),"■","")))</x:f>
      </x:c>
      <x:c r="BM245" s="7" t="str">
        <x:f>IF(OR($D245="",BM$5="",'상세일정'!AM245="제외"),"",IF($D245=$E245,IF(AND($D245&gt;=BM$5,$D245&lt;BM$5+7),"◆",""),IF(AND($D245&lt;BM$5+7,$E245&gt;BM$5),"■","")))</x:f>
      </x:c>
      <x:c r="BN245" s="7" t="str">
        <x:f>IF(OR($D245="",BN$5="",'상세일정'!AM245="제외"),"",IF($D245=$E245,IF(AND($D245&gt;=BN$5,$D245&lt;BN$5+7),"◆",""),IF(AND($D245&lt;BN$5+7,$E245&gt;BN$5),"■","")))</x:f>
      </x:c>
      <x:c r="BO245" s="7" t="str">
        <x:f>IF(OR($D245="",BO$5="",'상세일정'!AM245="제외"),"",IF($D245=$E245,IF(AND($D245&gt;=BO$5,$D245&lt;BO$5+7),"◆",""),IF(AND($D245&lt;BO$5+7,$E245&gt;BO$5),"■","")))</x:f>
      </x:c>
      <x:c r="BP245" s="7" t="str">
        <x:f>IF(OR($D245="",BP$5="",'상세일정'!AM245="제외"),"",IF($D245=$E245,IF(AND($D245&gt;=BP$5,$D245&lt;BP$5+7),"◆",""),IF(AND($D245&lt;BP$5+7,$E245&gt;BP$5),"■","")))</x:f>
      </x:c>
      <x:c r="BQ245" s="7" t="str">
        <x:f>IF(OR($D245="",BQ$5="",'상세일정'!AM245="제외"),"",IF($D245=$E245,IF(AND($D245&gt;=BQ$5,$D245&lt;BQ$5+7),"◆",""),IF(AND($D245&lt;BQ$5+7,$E245&gt;BQ$5),"■","")))</x:f>
      </x:c>
      <x:c r="BR245" s="7" t="str">
        <x:f>IF(OR($D245="",BR$5="",'상세일정'!AM245="제외"),"",IF($D245=$E245,IF(AND($D245&gt;=BR$5,$D245&lt;BR$5+7),"◆",""),IF(AND($D245&lt;BR$5+7,$E245&gt;BR$5),"■","")))</x:f>
      </x:c>
      <x:c r="BS245" s="7" t="str">
        <x:f>IF(OR($D245="",BS$5="",'상세일정'!AM245="제외"),"",IF($D245=$E245,IF(AND($D245&gt;=BS$5,$D245&lt;BS$5+7),"◆",""),IF(AND($D245&lt;BS$5+7,$E245&gt;BS$5),"■","")))</x:f>
      </x:c>
      <x:c r="BT245" s="7" t="str">
        <x:f>IF(OR($D245="",BT$5="",'상세일정'!AM245="제외"),"",IF($D245=$E245,IF(AND($D245&gt;=BT$5,$D245&lt;BT$5+7),"◆",""),IF(AND($D245&lt;BT$5+7,$E245&gt;BT$5),"■","")))</x:f>
      </x:c>
      <x:c r="BU245" s="7" t="str">
        <x:f>IF(OR($D245="",BU$5="",'상세일정'!AM245="제외"),"",IF($D245=$E245,IF(AND($D245&gt;=BU$5,$D245&lt;BU$5+7),"◆",""),IF(AND($D245&lt;BU$5+7,$E245&gt;BU$5),"■","")))</x:f>
      </x:c>
      <x:c r="BV245" s="7" t="str">
        <x:f>IF(OR($D245="",BV$5="",'상세일정'!AM245="제외"),"",IF($D245=$E245,IF(AND($D245&gt;=BV$5,$D245&lt;BV$5+7),"◆",""),IF(AND($D245&lt;BV$5+7,$E245&gt;BV$5),"■","")))</x:f>
      </x:c>
      <x:c r="BW245" s="7" t="str">
        <x:f>IF(OR($D245="",BW$5="",'상세일정'!AM245="제외"),"",IF($D245=$E245,IF(AND($D245&gt;=BW$5,$D245&lt;BW$5+7),"◆",""),IF(AND($D245&lt;BW$5+7,$E245&gt;BW$5),"■","")))</x:f>
      </x:c>
      <x:c r="BX245" s="7" t="str">
        <x:f>IF(OR($D245="",BX$5="",'상세일정'!AM245="제외"),"",IF($D245=$E245,IF(AND($D245&gt;=BX$5,$D245&lt;BX$5+7),"◆",""),IF(AND($D245&lt;BX$5+7,$E245&gt;BX$5),"■","")))</x:f>
      </x:c>
      <x:c r="BY245" s="7" t="str">
        <x:f>IF(OR($D245="",BY$5="",'상세일정'!AM245="제외"),"",IF($D245=$E245,IF(AND($D245&gt;=BY$5,$D245&lt;BY$5+7),"◆",""),IF(AND($D245&lt;BY$5+7,$E245&gt;BY$5),"■","")))</x:f>
      </x:c>
      <x:c r="BZ245" s="7" t="str">
        <x:f>IF(OR($D245="",BZ$5="",'상세일정'!AM245="제외"),"",IF($D245=$E245,IF(AND($D245&gt;=BZ$5,$D245&lt;BZ$5+7),"◆",""),IF(AND($D245&lt;BZ$5+7,$E245&gt;BZ$5),"■","")))</x:f>
      </x:c>
      <x:c r="CA245" s="7" t="str">
        <x:f>IF(OR($D245="",CA$5="",'상세일정'!AM245="제외"),"",IF($D245=$E245,IF(AND($D245&gt;=CA$5,$D245&lt;CA$5+7),"◆",""),IF(AND($D245&lt;CA$5+7,$E245&gt;CA$5),"■","")))</x:f>
      </x:c>
      <x:c r="CB245" s="7" t="str">
        <x:f>IF(OR($D245="",CB$5="",'상세일정'!AM245="제외"),"",IF($D245=$E245,IF(AND($D245&gt;=CB$5,$D245&lt;CB$5+7),"◆",""),IF(AND($D245&lt;CB$5+7,$E245&gt;CB$5),"■","")))</x:f>
      </x:c>
      <x:c r="CC245" s="7" t="str">
        <x:f>IF(OR($D245="",CC$5="",'상세일정'!AM245="제외"),"",IF($D245=$E245,IF(AND($D245&gt;=CC$5,$D245&lt;CC$5+7),"◆",""),IF(AND($D245&lt;CC$5+7,$E245&gt;CC$5),"■","")))</x:f>
      </x:c>
      <x:c r="CD245" s="7" t="str">
        <x:f>IF(OR($D245="",CD$5="",'상세일정'!AM245="제외"),"",IF($D245=$E245,IF(AND($D245&gt;=CD$5,$D245&lt;CD$5+7),"◆",""),IF(AND($D245&lt;CD$5+7,$E245&gt;CD$5),"■","")))</x:f>
      </x:c>
      <x:c r="CE245" s="7" t="str">
        <x:f>IF(OR($D245="",CE$5="",'상세일정'!AM245="제외"),"",IF($D245=$E245,IF(AND($D245&gt;=CE$5,$D245&lt;CE$5+7),"◆",""),IF(AND($D245&lt;CE$5+7,$E245&gt;CE$5),"■","")))</x:f>
      </x:c>
      <x:c r="CF245" s="7" t="str">
        <x:f>IF(OR($D245="",CF$5="",'상세일정'!AM245="제외"),"",IF($D245=$E245,IF(AND($D245&gt;=CF$5,$D245&lt;CF$5+7),"◆",""),IF(AND($D245&lt;CF$5+7,$E245&gt;CF$5),"■","")))</x:f>
      </x:c>
      <x:c r="CG245" s="7" t="str">
        <x:f>IF(OR($D245="",CG$5="",'상세일정'!AM245="제외"),"",IF($D245=$E245,IF(AND($D245&gt;=CG$5,$D245&lt;CG$5+7),"◆",""),IF(AND($D245&lt;CG$5+7,$E245&gt;CG$5),"■","")))</x:f>
      </x:c>
      <x:c r="CH245" s="7" t="str">
        <x:f>IF(OR($D245="",CH$5="",'상세일정'!AM245="제외"),"",IF($D245=$E245,IF(AND($D245&gt;=CH$5,$D245&lt;CH$5+7),"◆",""),IF(AND($D245&lt;CH$5+7,$E245&gt;CH$5),"■","")))</x:f>
      </x:c>
      <x:c r="CI245" s="7" t="str">
        <x:f>IF(OR($D245="",CI$5="",'상세일정'!AM245="제외"),"",IF($D245=$E245,IF(AND($D245&gt;=CI$5,$D245&lt;CI$5+7),"◆",""),IF(AND($D245&lt;CI$5+7,$E245&gt;CI$5),"■","")))</x:f>
      </x:c>
      <x:c r="CJ245" s="7" t="str">
        <x:f>IF(OR($D245="",CJ$5="",'상세일정'!AM245="제외"),"",IF($D245=$E245,IF(AND($D245&gt;=CJ$5,$D245&lt;CJ$5+7),"◆",""),IF(AND($D245&lt;CJ$5+7,$E245&gt;CJ$5),"■","")))</x:f>
      </x:c>
      <x:c r="CK245" s="7" t="str">
        <x:f>IF(OR($D245="",CK$5="",'상세일정'!AM245="제외"),"",IF($D245=$E245,IF(AND($D245&gt;=CK$5,$D245&lt;CK$5+7),"◆",""),IF(AND($D245&lt;CK$5+7,$E245&gt;CK$5),"■","")))</x:f>
      </x:c>
      <x:c r="CL245" s="7" t="str">
        <x:f>IF(OR($D245="",CL$5="",'상세일정'!AM245="제외"),"",IF($D245=$E245,IF(AND($D245&gt;=CL$5,$D245&lt;CL$5+7),"◆",""),IF(AND($D245&lt;CL$5+7,$E245&gt;CL$5),"■","")))</x:f>
      </x:c>
      <x:c r="CM245" s="7" t="str">
        <x:f>IF(OR($D245="",CM$5="",'상세일정'!AM245="제외"),"",IF($D245=$E245,IF(AND($D245&gt;=CM$5,$D245&lt;CM$5+7),"◆",""),IF(AND($D245&lt;CM$5+7,$E245&gt;CM$5),"■","")))</x:f>
      </x:c>
      <x:c r="CN245" s="7" t="str">
        <x:f>IF(OR($D245="",CN$5="",'상세일정'!AM245="제외"),"",IF($D245=$E245,IF(AND($D245&gt;=CN$5,$D245&lt;CN$5+7),"◆",""),IF(AND($D245&lt;CN$5+7,$E245&gt;CN$5),"■","")))</x:f>
      </x:c>
      <x:c r="CO245" s="7" t="str">
        <x:f>IF(OR($D245="",CO$5="",'상세일정'!AM245="제외"),"",IF($D245=$E245,IF(AND($D245&gt;=CO$5,$D245&lt;CO$5+7),"◆",""),IF(AND($D245&lt;CO$5+7,$E245&gt;CO$5),"■","")))</x:f>
      </x:c>
      <x:c r="CP245" s="7" t="str">
        <x:f>IF(OR($D245="",CP$5="",'상세일정'!AM245="제외"),"",IF($D245=$E245,IF(AND($D245&gt;=CP$5,$D245&lt;CP$5+7),"◆",""),IF(AND($D245&lt;CP$5+7,$E245&gt;CP$5),"■","")))</x:f>
      </x:c>
      <x:c r="CQ245" s="7" t="str">
        <x:f>IF(OR($D245="",CQ$5="",'상세일정'!AM245="제외"),"",IF($D245=$E245,IF(AND($D245&gt;=CQ$5,$D245&lt;CQ$5+7),"◆",""),IF(AND($D245&lt;CQ$5+7,$E245&gt;CQ$5),"■","")))</x:f>
      </x:c>
      <x:c r="CR245" s="7" t="str">
        <x:f>IF(OR($D245="",CR$5="",'상세일정'!AM245="제외"),"",IF($D245=$E245,IF(AND($D245&gt;=CR$5,$D245&lt;CR$5+7),"◆",""),IF(AND($D245&lt;CR$5+7,$E245&gt;CR$5),"■","")))</x:f>
      </x:c>
      <x:c r="CS245" s="7" t="str">
        <x:f>IF(OR($D245="",CS$5="",'상세일정'!AM245="제외"),"",IF($D245=$E245,IF(AND($D245&gt;=CS$5,$D245&lt;CS$5+7),"◆",""),IF(AND($D245&lt;CS$5+7,$E245&gt;CS$5),"■","")))</x:f>
      </x:c>
      <x:c r="CT245" s="7" t="str">
        <x:f>IF(OR($D245="",CT$5="",'상세일정'!AM245="제외"),"",IF($D245=$E245,IF(AND($D245&gt;=CT$5,$D245&lt;CT$5+7),"◆",""),IF(AND($D245&lt;CT$5+7,$E245&gt;CT$5),"■","")))</x:f>
      </x:c>
      <x:c r="CU245" s="7" t="str">
        <x:f>IF(OR($D245="",CU$5="",'상세일정'!AM245="제외"),"",IF($D245=$E245,IF(AND($D245&gt;=CU$5,$D245&lt;CU$5+7),"◆",""),IF(AND($D245&lt;CU$5+7,$E245&gt;CU$5),"■","")))</x:f>
      </x:c>
      <x:c r="CV245" s="7" t="str">
        <x:f>IF(OR($D245="",CV$5="",'상세일정'!AM245="제외"),"",IF($D245=$E245,IF(AND($D245&gt;=CV$5,$D245&lt;CV$5+7),"◆",""),IF(AND($D245&lt;CV$5+7,$E245&gt;CV$5),"■","")))</x:f>
      </x:c>
      <x:c r="CW245" s="7" t="str">
        <x:f>IF(OR($D245="",CW$5="",'상세일정'!AM245="제외"),"",IF($D245=$E245,IF(AND($D245&gt;=CW$5,$D245&lt;CW$5+7),"◆",""),IF(AND($D245&lt;CW$5+7,$E245&gt;CW$5),"■","")))</x:f>
      </x:c>
      <x:c r="CX245" s="7" t="str">
        <x:f>IF(OR($D245="",CX$5="",'상세일정'!AM245="제외"),"",IF($D245=$E245,IF(AND($D245&gt;=CX$5,$D245&lt;CX$5+7),"◆",""),IF(AND($D245&lt;CX$5+7,$E245&gt;CX$5),"■","")))</x:f>
      </x:c>
      <x:c r="CY245" s="7" t="str">
        <x:f>IF(OR($D245="",CY$5="",'상세일정'!AM245="제외"),"",IF($D245=$E245,IF(AND($D245&gt;=CY$5,$D245&lt;CY$5+7),"◆",""),IF(AND($D245&lt;CY$5+7,$E245&gt;CY$5),"■","")))</x:f>
      </x:c>
      <x:c r="CZ245" s="7" t="str">
        <x:f>IF(OR($D245="",CZ$5="",'상세일정'!AM245="제외"),"",IF($D245=$E245,IF(AND($D245&gt;=CZ$5,$D245&lt;CZ$5+7),"◆",""),IF(AND($D245&lt;CZ$5+7,$E245&gt;CZ$5),"■","")))</x:f>
      </x:c>
      <x:c r="DA245" s="7" t="str">
        <x:f>IF(OR($D245="",DA$5="",'상세일정'!AM245="제외"),"",IF($D245=$E245,IF(AND($D245&gt;=DA$5,$D245&lt;DA$5+7),"◆",""),IF(AND($D245&lt;DA$5+7,$E245&gt;DA$5),"■","")))</x:f>
      </x:c>
      <x:c r="DB245" s="7" t="str">
        <x:f>IF(OR($D245="",DB$5="",'상세일정'!AM245="제외"),"",IF($D245=$E245,IF(AND($D245&gt;=DB$5,$D245&lt;DB$5+7),"◆",""),IF(AND($D245&lt;DB$5+7,$E245&gt;DB$5),"■","")))</x:f>
      </x:c>
      <x:c r="DC245" s="7" t="str">
        <x:f>IF(OR($D245="",DC$5="",'상세일정'!AM245="제외"),"",IF($D245=$E245,IF(AND($D245&gt;=DC$5,$D245&lt;DC$5+7),"◆",""),IF(AND($D245&lt;DC$5+7,$E245&gt;DC$5),"■","")))</x:f>
      </x:c>
      <x:c r="DD245" s="7" t="str">
        <x:f>IF(OR($D245="",DD$5="",'상세일정'!AM245="제외"),"",IF($D245=$E245,IF(AND($D245&gt;=DD$5,$D245&lt;DD$5+7),"◆",""),IF(AND($D245&lt;DD$5+7,$E245&gt;DD$5),"■","")))</x:f>
      </x:c>
      <x:c r="DE245" s="7" t="str">
        <x:f>IF(OR($D245="",DE$5="",'상세일정'!AM245="제외"),"",IF($D245=$E245,IF(AND($D245&gt;=DE$5,$D245&lt;DE$5+7),"◆",""),IF(AND($D245&lt;DE$5+7,$E245&gt;DE$5),"■","")))</x:f>
      </x:c>
    </x:row>
    <x:row r="246" ht="34" customHeight="1">
      <x:c r="A246" s="7" t="str">
        <x:v>HO05</x:v>
      </x:c>
      <x:c r="B246" s="7" t="str">
        <x:v>29 인수·운영·정산</x:v>
      </x:c>
      <x:c r="C246" s="7" t="str">
        <x:v>보조금 정산·최종보고 제출</x:v>
      </x:c>
      <x:c r="D246" s="10" t="str">
        <x:f>'상세일정'!AJ246</x:f>
      </x:c>
      <x:c r="E246" s="10" t="str">
        <x:f>'상세일정'!AK246</x:f>
      </x:c>
      <x:c r="F246" s="7" t="str">
        <x:f>IF(OR($D246="",F$5="",'상세일정'!AM246="제외"),"",IF($D246=$E246,IF(AND($D246&gt;=F$5,$D246&lt;F$5+7),"◆",""),IF(AND($D246&lt;F$5+7,$E246&gt;F$5),"■","")))</x:f>
      </x:c>
      <x:c r="G246" s="7" t="str">
        <x:f>IF(OR($D246="",G$5="",'상세일정'!AM246="제외"),"",IF($D246=$E246,IF(AND($D246&gt;=G$5,$D246&lt;G$5+7),"◆",""),IF(AND($D246&lt;G$5+7,$E246&gt;G$5),"■","")))</x:f>
      </x:c>
      <x:c r="H246" s="7" t="str">
        <x:f>IF(OR($D246="",H$5="",'상세일정'!AM246="제외"),"",IF($D246=$E246,IF(AND($D246&gt;=H$5,$D246&lt;H$5+7),"◆",""),IF(AND($D246&lt;H$5+7,$E246&gt;H$5),"■","")))</x:f>
      </x:c>
      <x:c r="I246" s="7" t="str">
        <x:f>IF(OR($D246="",I$5="",'상세일정'!AM246="제외"),"",IF($D246=$E246,IF(AND($D246&gt;=I$5,$D246&lt;I$5+7),"◆",""),IF(AND($D246&lt;I$5+7,$E246&gt;I$5),"■","")))</x:f>
      </x:c>
      <x:c r="J246" s="7" t="str">
        <x:f>IF(OR($D246="",J$5="",'상세일정'!AM246="제외"),"",IF($D246=$E246,IF(AND($D246&gt;=J$5,$D246&lt;J$5+7),"◆",""),IF(AND($D246&lt;J$5+7,$E246&gt;J$5),"■","")))</x:f>
      </x:c>
      <x:c r="K246" s="7" t="str">
        <x:f>IF(OR($D246="",K$5="",'상세일정'!AM246="제외"),"",IF($D246=$E246,IF(AND($D246&gt;=K$5,$D246&lt;K$5+7),"◆",""),IF(AND($D246&lt;K$5+7,$E246&gt;K$5),"■","")))</x:f>
      </x:c>
      <x:c r="L246" s="7" t="str">
        <x:f>IF(OR($D246="",L$5="",'상세일정'!AM246="제외"),"",IF($D246=$E246,IF(AND($D246&gt;=L$5,$D246&lt;L$5+7),"◆",""),IF(AND($D246&lt;L$5+7,$E246&gt;L$5),"■","")))</x:f>
      </x:c>
      <x:c r="M246" s="7" t="str">
        <x:f>IF(OR($D246="",M$5="",'상세일정'!AM246="제외"),"",IF($D246=$E246,IF(AND($D246&gt;=M$5,$D246&lt;M$5+7),"◆",""),IF(AND($D246&lt;M$5+7,$E246&gt;M$5),"■","")))</x:f>
      </x:c>
      <x:c r="N246" s="7" t="str">
        <x:f>IF(OR($D246="",N$5="",'상세일정'!AM246="제외"),"",IF($D246=$E246,IF(AND($D246&gt;=N$5,$D246&lt;N$5+7),"◆",""),IF(AND($D246&lt;N$5+7,$E246&gt;N$5),"■","")))</x:f>
      </x:c>
      <x:c r="O246" s="7" t="str">
        <x:f>IF(OR($D246="",O$5="",'상세일정'!AM246="제외"),"",IF($D246=$E246,IF(AND($D246&gt;=O$5,$D246&lt;O$5+7),"◆",""),IF(AND($D246&lt;O$5+7,$E246&gt;O$5),"■","")))</x:f>
      </x:c>
      <x:c r="P246" s="7" t="str">
        <x:f>IF(OR($D246="",P$5="",'상세일정'!AM246="제외"),"",IF($D246=$E246,IF(AND($D246&gt;=P$5,$D246&lt;P$5+7),"◆",""),IF(AND($D246&lt;P$5+7,$E246&gt;P$5),"■","")))</x:f>
      </x:c>
      <x:c r="Q246" s="7" t="str">
        <x:f>IF(OR($D246="",Q$5="",'상세일정'!AM246="제외"),"",IF($D246=$E246,IF(AND($D246&gt;=Q$5,$D246&lt;Q$5+7),"◆",""),IF(AND($D246&lt;Q$5+7,$E246&gt;Q$5),"■","")))</x:f>
      </x:c>
      <x:c r="R246" s="7" t="str">
        <x:f>IF(OR($D246="",R$5="",'상세일정'!AM246="제외"),"",IF($D246=$E246,IF(AND($D246&gt;=R$5,$D246&lt;R$5+7),"◆",""),IF(AND($D246&lt;R$5+7,$E246&gt;R$5),"■","")))</x:f>
      </x:c>
      <x:c r="S246" s="7" t="str">
        <x:f>IF(OR($D246="",S$5="",'상세일정'!AM246="제외"),"",IF($D246=$E246,IF(AND($D246&gt;=S$5,$D246&lt;S$5+7),"◆",""),IF(AND($D246&lt;S$5+7,$E246&gt;S$5),"■","")))</x:f>
      </x:c>
      <x:c r="T246" s="7" t="str">
        <x:f>IF(OR($D246="",T$5="",'상세일정'!AM246="제외"),"",IF($D246=$E246,IF(AND($D246&gt;=T$5,$D246&lt;T$5+7),"◆",""),IF(AND($D246&lt;T$5+7,$E246&gt;T$5),"■","")))</x:f>
      </x:c>
      <x:c r="U246" s="7" t="str">
        <x:f>IF(OR($D246="",U$5="",'상세일정'!AM246="제외"),"",IF($D246=$E246,IF(AND($D246&gt;=U$5,$D246&lt;U$5+7),"◆",""),IF(AND($D246&lt;U$5+7,$E246&gt;U$5),"■","")))</x:f>
      </x:c>
      <x:c r="V246" s="7" t="str">
        <x:f>IF(OR($D246="",V$5="",'상세일정'!AM246="제외"),"",IF($D246=$E246,IF(AND($D246&gt;=V$5,$D246&lt;V$5+7),"◆",""),IF(AND($D246&lt;V$5+7,$E246&gt;V$5),"■","")))</x:f>
      </x:c>
      <x:c r="W246" s="7" t="str">
        <x:f>IF(OR($D246="",W$5="",'상세일정'!AM246="제외"),"",IF($D246=$E246,IF(AND($D246&gt;=W$5,$D246&lt;W$5+7),"◆",""),IF(AND($D246&lt;W$5+7,$E246&gt;W$5),"■","")))</x:f>
      </x:c>
      <x:c r="X246" s="7" t="str">
        <x:f>IF(OR($D246="",X$5="",'상세일정'!AM246="제외"),"",IF($D246=$E246,IF(AND($D246&gt;=X$5,$D246&lt;X$5+7),"◆",""),IF(AND($D246&lt;X$5+7,$E246&gt;X$5),"■","")))</x:f>
      </x:c>
      <x:c r="Y246" s="7" t="str">
        <x:f>IF(OR($D246="",Y$5="",'상세일정'!AM246="제외"),"",IF($D246=$E246,IF(AND($D246&gt;=Y$5,$D246&lt;Y$5+7),"◆",""),IF(AND($D246&lt;Y$5+7,$E246&gt;Y$5),"■","")))</x:f>
      </x:c>
      <x:c r="Z246" s="7" t="str">
        <x:f>IF(OR($D246="",Z$5="",'상세일정'!AM246="제외"),"",IF($D246=$E246,IF(AND($D246&gt;=Z$5,$D246&lt;Z$5+7),"◆",""),IF(AND($D246&lt;Z$5+7,$E246&gt;Z$5),"■","")))</x:f>
      </x:c>
      <x:c r="AA246" s="7" t="str">
        <x:f>IF(OR($D246="",AA$5="",'상세일정'!AM246="제외"),"",IF($D246=$E246,IF(AND($D246&gt;=AA$5,$D246&lt;AA$5+7),"◆",""),IF(AND($D246&lt;AA$5+7,$E246&gt;AA$5),"■","")))</x:f>
      </x:c>
      <x:c r="AB246" s="7" t="str">
        <x:f>IF(OR($D246="",AB$5="",'상세일정'!AM246="제외"),"",IF($D246=$E246,IF(AND($D246&gt;=AB$5,$D246&lt;AB$5+7),"◆",""),IF(AND($D246&lt;AB$5+7,$E246&gt;AB$5),"■","")))</x:f>
      </x:c>
      <x:c r="AC246" s="7" t="str">
        <x:f>IF(OR($D246="",AC$5="",'상세일정'!AM246="제외"),"",IF($D246=$E246,IF(AND($D246&gt;=AC$5,$D246&lt;AC$5+7),"◆",""),IF(AND($D246&lt;AC$5+7,$E246&gt;AC$5),"■","")))</x:f>
      </x:c>
      <x:c r="AD246" s="7" t="str">
        <x:f>IF(OR($D246="",AD$5="",'상세일정'!AM246="제외"),"",IF($D246=$E246,IF(AND($D246&gt;=AD$5,$D246&lt;AD$5+7),"◆",""),IF(AND($D246&lt;AD$5+7,$E246&gt;AD$5),"■","")))</x:f>
      </x:c>
      <x:c r="AE246" s="7" t="str">
        <x:f>IF(OR($D246="",AE$5="",'상세일정'!AM246="제외"),"",IF($D246=$E246,IF(AND($D246&gt;=AE$5,$D246&lt;AE$5+7),"◆",""),IF(AND($D246&lt;AE$5+7,$E246&gt;AE$5),"■","")))</x:f>
      </x:c>
      <x:c r="AF246" s="7" t="str">
        <x:f>IF(OR($D246="",AF$5="",'상세일정'!AM246="제외"),"",IF($D246=$E246,IF(AND($D246&gt;=AF$5,$D246&lt;AF$5+7),"◆",""),IF(AND($D246&lt;AF$5+7,$E246&gt;AF$5),"■","")))</x:f>
      </x:c>
      <x:c r="AG246" s="7" t="str">
        <x:f>IF(OR($D246="",AG$5="",'상세일정'!AM246="제외"),"",IF($D246=$E246,IF(AND($D246&gt;=AG$5,$D246&lt;AG$5+7),"◆",""),IF(AND($D246&lt;AG$5+7,$E246&gt;AG$5),"■","")))</x:f>
      </x:c>
      <x:c r="AH246" s="7" t="str">
        <x:f>IF(OR($D246="",AH$5="",'상세일정'!AM246="제외"),"",IF($D246=$E246,IF(AND($D246&gt;=AH$5,$D246&lt;AH$5+7),"◆",""),IF(AND($D246&lt;AH$5+7,$E246&gt;AH$5),"■","")))</x:f>
      </x:c>
      <x:c r="AI246" s="7" t="str">
        <x:f>IF(OR($D246="",AI$5="",'상세일정'!AM246="제외"),"",IF($D246=$E246,IF(AND($D246&gt;=AI$5,$D246&lt;AI$5+7),"◆",""),IF(AND($D246&lt;AI$5+7,$E246&gt;AI$5),"■","")))</x:f>
      </x:c>
      <x:c r="AJ246" s="7" t="str">
        <x:f>IF(OR($D246="",AJ$5="",'상세일정'!AM246="제외"),"",IF($D246=$E246,IF(AND($D246&gt;=AJ$5,$D246&lt;AJ$5+7),"◆",""),IF(AND($D246&lt;AJ$5+7,$E246&gt;AJ$5),"■","")))</x:f>
      </x:c>
      <x:c r="AK246" s="7" t="str">
        <x:f>IF(OR($D246="",AK$5="",'상세일정'!AM246="제외"),"",IF($D246=$E246,IF(AND($D246&gt;=AK$5,$D246&lt;AK$5+7),"◆",""),IF(AND($D246&lt;AK$5+7,$E246&gt;AK$5),"■","")))</x:f>
      </x:c>
      <x:c r="AL246" s="7" t="str">
        <x:f>IF(OR($D246="",AL$5="",'상세일정'!AM246="제외"),"",IF($D246=$E246,IF(AND($D246&gt;=AL$5,$D246&lt;AL$5+7),"◆",""),IF(AND($D246&lt;AL$5+7,$E246&gt;AL$5),"■","")))</x:f>
      </x:c>
      <x:c r="AM246" s="7" t="str">
        <x:f>IF(OR($D246="",AM$5="",'상세일정'!AM246="제외"),"",IF($D246=$E246,IF(AND($D246&gt;=AM$5,$D246&lt;AM$5+7),"◆",""),IF(AND($D246&lt;AM$5+7,$E246&gt;AM$5),"■","")))</x:f>
      </x:c>
      <x:c r="AN246" s="7" t="str">
        <x:f>IF(OR($D246="",AN$5="",'상세일정'!AM246="제외"),"",IF($D246=$E246,IF(AND($D246&gt;=AN$5,$D246&lt;AN$5+7),"◆",""),IF(AND($D246&lt;AN$5+7,$E246&gt;AN$5),"■","")))</x:f>
      </x:c>
      <x:c r="AO246" s="7" t="str">
        <x:f>IF(OR($D246="",AO$5="",'상세일정'!AM246="제외"),"",IF($D246=$E246,IF(AND($D246&gt;=AO$5,$D246&lt;AO$5+7),"◆",""),IF(AND($D246&lt;AO$5+7,$E246&gt;AO$5),"■","")))</x:f>
      </x:c>
      <x:c r="AP246" s="7" t="str">
        <x:f>IF(OR($D246="",AP$5="",'상세일정'!AM246="제외"),"",IF($D246=$E246,IF(AND($D246&gt;=AP$5,$D246&lt;AP$5+7),"◆",""),IF(AND($D246&lt;AP$5+7,$E246&gt;AP$5),"■","")))</x:f>
      </x:c>
      <x:c r="AQ246" s="7" t="str">
        <x:f>IF(OR($D246="",AQ$5="",'상세일정'!AM246="제외"),"",IF($D246=$E246,IF(AND($D246&gt;=AQ$5,$D246&lt;AQ$5+7),"◆",""),IF(AND($D246&lt;AQ$5+7,$E246&gt;AQ$5),"■","")))</x:f>
      </x:c>
      <x:c r="AR246" s="7" t="str">
        <x:f>IF(OR($D246="",AR$5="",'상세일정'!AM246="제외"),"",IF($D246=$E246,IF(AND($D246&gt;=AR$5,$D246&lt;AR$5+7),"◆",""),IF(AND($D246&lt;AR$5+7,$E246&gt;AR$5),"■","")))</x:f>
      </x:c>
      <x:c r="AS246" s="7" t="str">
        <x:f>IF(OR($D246="",AS$5="",'상세일정'!AM246="제외"),"",IF($D246=$E246,IF(AND($D246&gt;=AS$5,$D246&lt;AS$5+7),"◆",""),IF(AND($D246&lt;AS$5+7,$E246&gt;AS$5),"■","")))</x:f>
      </x:c>
      <x:c r="AT246" s="7" t="str">
        <x:f>IF(OR($D246="",AT$5="",'상세일정'!AM246="제외"),"",IF($D246=$E246,IF(AND($D246&gt;=AT$5,$D246&lt;AT$5+7),"◆",""),IF(AND($D246&lt;AT$5+7,$E246&gt;AT$5),"■","")))</x:f>
      </x:c>
      <x:c r="AU246" s="7" t="str">
        <x:f>IF(OR($D246="",AU$5="",'상세일정'!AM246="제외"),"",IF($D246=$E246,IF(AND($D246&gt;=AU$5,$D246&lt;AU$5+7),"◆",""),IF(AND($D246&lt;AU$5+7,$E246&gt;AU$5),"■","")))</x:f>
      </x:c>
      <x:c r="AV246" s="7" t="str">
        <x:f>IF(OR($D246="",AV$5="",'상세일정'!AM246="제외"),"",IF($D246=$E246,IF(AND($D246&gt;=AV$5,$D246&lt;AV$5+7),"◆",""),IF(AND($D246&lt;AV$5+7,$E246&gt;AV$5),"■","")))</x:f>
      </x:c>
      <x:c r="AW246" s="7" t="str">
        <x:f>IF(OR($D246="",AW$5="",'상세일정'!AM246="제외"),"",IF($D246=$E246,IF(AND($D246&gt;=AW$5,$D246&lt;AW$5+7),"◆",""),IF(AND($D246&lt;AW$5+7,$E246&gt;AW$5),"■","")))</x:f>
      </x:c>
      <x:c r="AX246" s="7" t="str">
        <x:f>IF(OR($D246="",AX$5="",'상세일정'!AM246="제외"),"",IF($D246=$E246,IF(AND($D246&gt;=AX$5,$D246&lt;AX$5+7),"◆",""),IF(AND($D246&lt;AX$5+7,$E246&gt;AX$5),"■","")))</x:f>
      </x:c>
      <x:c r="AY246" s="7" t="str">
        <x:f>IF(OR($D246="",AY$5="",'상세일정'!AM246="제외"),"",IF($D246=$E246,IF(AND($D246&gt;=AY$5,$D246&lt;AY$5+7),"◆",""),IF(AND($D246&lt;AY$5+7,$E246&gt;AY$5),"■","")))</x:f>
      </x:c>
      <x:c r="AZ246" s="7" t="str">
        <x:f>IF(OR($D246="",AZ$5="",'상세일정'!AM246="제외"),"",IF($D246=$E246,IF(AND($D246&gt;=AZ$5,$D246&lt;AZ$5+7),"◆",""),IF(AND($D246&lt;AZ$5+7,$E246&gt;AZ$5),"■","")))</x:f>
      </x:c>
      <x:c r="BA246" s="7" t="str">
        <x:f>IF(OR($D246="",BA$5="",'상세일정'!AM246="제외"),"",IF($D246=$E246,IF(AND($D246&gt;=BA$5,$D246&lt;BA$5+7),"◆",""),IF(AND($D246&lt;BA$5+7,$E246&gt;BA$5),"■","")))</x:f>
      </x:c>
      <x:c r="BB246" s="7" t="str">
        <x:f>IF(OR($D246="",BB$5="",'상세일정'!AM246="제외"),"",IF($D246=$E246,IF(AND($D246&gt;=BB$5,$D246&lt;BB$5+7),"◆",""),IF(AND($D246&lt;BB$5+7,$E246&gt;BB$5),"■","")))</x:f>
      </x:c>
      <x:c r="BC246" s="7" t="str">
        <x:f>IF(OR($D246="",BC$5="",'상세일정'!AM246="제외"),"",IF($D246=$E246,IF(AND($D246&gt;=BC$5,$D246&lt;BC$5+7),"◆",""),IF(AND($D246&lt;BC$5+7,$E246&gt;BC$5),"■","")))</x:f>
      </x:c>
      <x:c r="BD246" s="7" t="str">
        <x:f>IF(OR($D246="",BD$5="",'상세일정'!AM246="제외"),"",IF($D246=$E246,IF(AND($D246&gt;=BD$5,$D246&lt;BD$5+7),"◆",""),IF(AND($D246&lt;BD$5+7,$E246&gt;BD$5),"■","")))</x:f>
      </x:c>
      <x:c r="BE246" s="7" t="str">
        <x:f>IF(OR($D246="",BE$5="",'상세일정'!AM246="제외"),"",IF($D246=$E246,IF(AND($D246&gt;=BE$5,$D246&lt;BE$5+7),"◆",""),IF(AND($D246&lt;BE$5+7,$E246&gt;BE$5),"■","")))</x:f>
      </x:c>
      <x:c r="BF246" s="7" t="str">
        <x:f>IF(OR($D246="",BF$5="",'상세일정'!AM246="제외"),"",IF($D246=$E246,IF(AND($D246&gt;=BF$5,$D246&lt;BF$5+7),"◆",""),IF(AND($D246&lt;BF$5+7,$E246&gt;BF$5),"■","")))</x:f>
      </x:c>
      <x:c r="BG246" s="7" t="str">
        <x:f>IF(OR($D246="",BG$5="",'상세일정'!AM246="제외"),"",IF($D246=$E246,IF(AND($D246&gt;=BG$5,$D246&lt;BG$5+7),"◆",""),IF(AND($D246&lt;BG$5+7,$E246&gt;BG$5),"■","")))</x:f>
      </x:c>
      <x:c r="BH246" s="7" t="str">
        <x:f>IF(OR($D246="",BH$5="",'상세일정'!AM246="제외"),"",IF($D246=$E246,IF(AND($D246&gt;=BH$5,$D246&lt;BH$5+7),"◆",""),IF(AND($D246&lt;BH$5+7,$E246&gt;BH$5),"■","")))</x:f>
      </x:c>
      <x:c r="BI246" s="7" t="str">
        <x:f>IF(OR($D246="",BI$5="",'상세일정'!AM246="제외"),"",IF($D246=$E246,IF(AND($D246&gt;=BI$5,$D246&lt;BI$5+7),"◆",""),IF(AND($D246&lt;BI$5+7,$E246&gt;BI$5),"■","")))</x:f>
      </x:c>
      <x:c r="BJ246" s="7" t="str">
        <x:f>IF(OR($D246="",BJ$5="",'상세일정'!AM246="제외"),"",IF($D246=$E246,IF(AND($D246&gt;=BJ$5,$D246&lt;BJ$5+7),"◆",""),IF(AND($D246&lt;BJ$5+7,$E246&gt;BJ$5),"■","")))</x:f>
      </x:c>
      <x:c r="BK246" s="7" t="str">
        <x:f>IF(OR($D246="",BK$5="",'상세일정'!AM246="제외"),"",IF($D246=$E246,IF(AND($D246&gt;=BK$5,$D246&lt;BK$5+7),"◆",""),IF(AND($D246&lt;BK$5+7,$E246&gt;BK$5),"■","")))</x:f>
      </x:c>
      <x:c r="BL246" s="7" t="str">
        <x:f>IF(OR($D246="",BL$5="",'상세일정'!AM246="제외"),"",IF($D246=$E246,IF(AND($D246&gt;=BL$5,$D246&lt;BL$5+7),"◆",""),IF(AND($D246&lt;BL$5+7,$E246&gt;BL$5),"■","")))</x:f>
      </x:c>
      <x:c r="BM246" s="7" t="str">
        <x:f>IF(OR($D246="",BM$5="",'상세일정'!AM246="제외"),"",IF($D246=$E246,IF(AND($D246&gt;=BM$5,$D246&lt;BM$5+7),"◆",""),IF(AND($D246&lt;BM$5+7,$E246&gt;BM$5),"■","")))</x:f>
      </x:c>
      <x:c r="BN246" s="7" t="str">
        <x:f>IF(OR($D246="",BN$5="",'상세일정'!AM246="제외"),"",IF($D246=$E246,IF(AND($D246&gt;=BN$5,$D246&lt;BN$5+7),"◆",""),IF(AND($D246&lt;BN$5+7,$E246&gt;BN$5),"■","")))</x:f>
      </x:c>
      <x:c r="BO246" s="7" t="str">
        <x:f>IF(OR($D246="",BO$5="",'상세일정'!AM246="제외"),"",IF($D246=$E246,IF(AND($D246&gt;=BO$5,$D246&lt;BO$5+7),"◆",""),IF(AND($D246&lt;BO$5+7,$E246&gt;BO$5),"■","")))</x:f>
      </x:c>
      <x:c r="BP246" s="7" t="str">
        <x:f>IF(OR($D246="",BP$5="",'상세일정'!AM246="제외"),"",IF($D246=$E246,IF(AND($D246&gt;=BP$5,$D246&lt;BP$5+7),"◆",""),IF(AND($D246&lt;BP$5+7,$E246&gt;BP$5),"■","")))</x:f>
      </x:c>
      <x:c r="BQ246" s="7" t="str">
        <x:f>IF(OR($D246="",BQ$5="",'상세일정'!AM246="제외"),"",IF($D246=$E246,IF(AND($D246&gt;=BQ$5,$D246&lt;BQ$5+7),"◆",""),IF(AND($D246&lt;BQ$5+7,$E246&gt;BQ$5),"■","")))</x:f>
      </x:c>
      <x:c r="BR246" s="7" t="str">
        <x:f>IF(OR($D246="",BR$5="",'상세일정'!AM246="제외"),"",IF($D246=$E246,IF(AND($D246&gt;=BR$5,$D246&lt;BR$5+7),"◆",""),IF(AND($D246&lt;BR$5+7,$E246&gt;BR$5),"■","")))</x:f>
      </x:c>
      <x:c r="BS246" s="7" t="str">
        <x:f>IF(OR($D246="",BS$5="",'상세일정'!AM246="제외"),"",IF($D246=$E246,IF(AND($D246&gt;=BS$5,$D246&lt;BS$5+7),"◆",""),IF(AND($D246&lt;BS$5+7,$E246&gt;BS$5),"■","")))</x:f>
      </x:c>
      <x:c r="BT246" s="7" t="str">
        <x:f>IF(OR($D246="",BT$5="",'상세일정'!AM246="제외"),"",IF($D246=$E246,IF(AND($D246&gt;=BT$5,$D246&lt;BT$5+7),"◆",""),IF(AND($D246&lt;BT$5+7,$E246&gt;BT$5),"■","")))</x:f>
      </x:c>
      <x:c r="BU246" s="7" t="str">
        <x:f>IF(OR($D246="",BU$5="",'상세일정'!AM246="제외"),"",IF($D246=$E246,IF(AND($D246&gt;=BU$5,$D246&lt;BU$5+7),"◆",""),IF(AND($D246&lt;BU$5+7,$E246&gt;BU$5),"■","")))</x:f>
      </x:c>
      <x:c r="BV246" s="7" t="str">
        <x:f>IF(OR($D246="",BV$5="",'상세일정'!AM246="제외"),"",IF($D246=$E246,IF(AND($D246&gt;=BV$5,$D246&lt;BV$5+7),"◆",""),IF(AND($D246&lt;BV$5+7,$E246&gt;BV$5),"■","")))</x:f>
      </x:c>
      <x:c r="BW246" s="7" t="str">
        <x:f>IF(OR($D246="",BW$5="",'상세일정'!AM246="제외"),"",IF($D246=$E246,IF(AND($D246&gt;=BW$5,$D246&lt;BW$5+7),"◆",""),IF(AND($D246&lt;BW$5+7,$E246&gt;BW$5),"■","")))</x:f>
      </x:c>
      <x:c r="BX246" s="7" t="str">
        <x:f>IF(OR($D246="",BX$5="",'상세일정'!AM246="제외"),"",IF($D246=$E246,IF(AND($D246&gt;=BX$5,$D246&lt;BX$5+7),"◆",""),IF(AND($D246&lt;BX$5+7,$E246&gt;BX$5),"■","")))</x:f>
      </x:c>
      <x:c r="BY246" s="7" t="str">
        <x:f>IF(OR($D246="",BY$5="",'상세일정'!AM246="제외"),"",IF($D246=$E246,IF(AND($D246&gt;=BY$5,$D246&lt;BY$5+7),"◆",""),IF(AND($D246&lt;BY$5+7,$E246&gt;BY$5),"■","")))</x:f>
      </x:c>
      <x:c r="BZ246" s="7" t="str">
        <x:f>IF(OR($D246="",BZ$5="",'상세일정'!AM246="제외"),"",IF($D246=$E246,IF(AND($D246&gt;=BZ$5,$D246&lt;BZ$5+7),"◆",""),IF(AND($D246&lt;BZ$5+7,$E246&gt;BZ$5),"■","")))</x:f>
      </x:c>
      <x:c r="CA246" s="7" t="str">
        <x:f>IF(OR($D246="",CA$5="",'상세일정'!AM246="제외"),"",IF($D246=$E246,IF(AND($D246&gt;=CA$5,$D246&lt;CA$5+7),"◆",""),IF(AND($D246&lt;CA$5+7,$E246&gt;CA$5),"■","")))</x:f>
      </x:c>
      <x:c r="CB246" s="7" t="str">
        <x:f>IF(OR($D246="",CB$5="",'상세일정'!AM246="제외"),"",IF($D246=$E246,IF(AND($D246&gt;=CB$5,$D246&lt;CB$5+7),"◆",""),IF(AND($D246&lt;CB$5+7,$E246&gt;CB$5),"■","")))</x:f>
      </x:c>
      <x:c r="CC246" s="7" t="str">
        <x:f>IF(OR($D246="",CC$5="",'상세일정'!AM246="제외"),"",IF($D246=$E246,IF(AND($D246&gt;=CC$5,$D246&lt;CC$5+7),"◆",""),IF(AND($D246&lt;CC$5+7,$E246&gt;CC$5),"■","")))</x:f>
      </x:c>
      <x:c r="CD246" s="7" t="str">
        <x:f>IF(OR($D246="",CD$5="",'상세일정'!AM246="제외"),"",IF($D246=$E246,IF(AND($D246&gt;=CD$5,$D246&lt;CD$5+7),"◆",""),IF(AND($D246&lt;CD$5+7,$E246&gt;CD$5),"■","")))</x:f>
      </x:c>
      <x:c r="CE246" s="7" t="str">
        <x:f>IF(OR($D246="",CE$5="",'상세일정'!AM246="제외"),"",IF($D246=$E246,IF(AND($D246&gt;=CE$5,$D246&lt;CE$5+7),"◆",""),IF(AND($D246&lt;CE$5+7,$E246&gt;CE$5),"■","")))</x:f>
      </x:c>
      <x:c r="CF246" s="7" t="str">
        <x:f>IF(OR($D246="",CF$5="",'상세일정'!AM246="제외"),"",IF($D246=$E246,IF(AND($D246&gt;=CF$5,$D246&lt;CF$5+7),"◆",""),IF(AND($D246&lt;CF$5+7,$E246&gt;CF$5),"■","")))</x:f>
      </x:c>
      <x:c r="CG246" s="7" t="str">
        <x:f>IF(OR($D246="",CG$5="",'상세일정'!AM246="제외"),"",IF($D246=$E246,IF(AND($D246&gt;=CG$5,$D246&lt;CG$5+7),"◆",""),IF(AND($D246&lt;CG$5+7,$E246&gt;CG$5),"■","")))</x:f>
      </x:c>
      <x:c r="CH246" s="7" t="str">
        <x:f>IF(OR($D246="",CH$5="",'상세일정'!AM246="제외"),"",IF($D246=$E246,IF(AND($D246&gt;=CH$5,$D246&lt;CH$5+7),"◆",""),IF(AND($D246&lt;CH$5+7,$E246&gt;CH$5),"■","")))</x:f>
      </x:c>
      <x:c r="CI246" s="7" t="str">
        <x:f>IF(OR($D246="",CI$5="",'상세일정'!AM246="제외"),"",IF($D246=$E246,IF(AND($D246&gt;=CI$5,$D246&lt;CI$5+7),"◆",""),IF(AND($D246&lt;CI$5+7,$E246&gt;CI$5),"■","")))</x:f>
      </x:c>
      <x:c r="CJ246" s="7" t="str">
        <x:f>IF(OR($D246="",CJ$5="",'상세일정'!AM246="제외"),"",IF($D246=$E246,IF(AND($D246&gt;=CJ$5,$D246&lt;CJ$5+7),"◆",""),IF(AND($D246&lt;CJ$5+7,$E246&gt;CJ$5),"■","")))</x:f>
      </x:c>
      <x:c r="CK246" s="7" t="str">
        <x:f>IF(OR($D246="",CK$5="",'상세일정'!AM246="제외"),"",IF($D246=$E246,IF(AND($D246&gt;=CK$5,$D246&lt;CK$5+7),"◆",""),IF(AND($D246&lt;CK$5+7,$E246&gt;CK$5),"■","")))</x:f>
      </x:c>
      <x:c r="CL246" s="7" t="str">
        <x:f>IF(OR($D246="",CL$5="",'상세일정'!AM246="제외"),"",IF($D246=$E246,IF(AND($D246&gt;=CL$5,$D246&lt;CL$5+7),"◆",""),IF(AND($D246&lt;CL$5+7,$E246&gt;CL$5),"■","")))</x:f>
      </x:c>
      <x:c r="CM246" s="7" t="str">
        <x:f>IF(OR($D246="",CM$5="",'상세일정'!AM246="제외"),"",IF($D246=$E246,IF(AND($D246&gt;=CM$5,$D246&lt;CM$5+7),"◆",""),IF(AND($D246&lt;CM$5+7,$E246&gt;CM$5),"■","")))</x:f>
      </x:c>
      <x:c r="CN246" s="7" t="str">
        <x:f>IF(OR($D246="",CN$5="",'상세일정'!AM246="제외"),"",IF($D246=$E246,IF(AND($D246&gt;=CN$5,$D246&lt;CN$5+7),"◆",""),IF(AND($D246&lt;CN$5+7,$E246&gt;CN$5),"■","")))</x:f>
      </x:c>
      <x:c r="CO246" s="7" t="str">
        <x:f>IF(OR($D246="",CO$5="",'상세일정'!AM246="제외"),"",IF($D246=$E246,IF(AND($D246&gt;=CO$5,$D246&lt;CO$5+7),"◆",""),IF(AND($D246&lt;CO$5+7,$E246&gt;CO$5),"■","")))</x:f>
      </x:c>
      <x:c r="CP246" s="7" t="str">
        <x:f>IF(OR($D246="",CP$5="",'상세일정'!AM246="제외"),"",IF($D246=$E246,IF(AND($D246&gt;=CP$5,$D246&lt;CP$5+7),"◆",""),IF(AND($D246&lt;CP$5+7,$E246&gt;CP$5),"■","")))</x:f>
      </x:c>
      <x:c r="CQ246" s="7" t="str">
        <x:f>IF(OR($D246="",CQ$5="",'상세일정'!AM246="제외"),"",IF($D246=$E246,IF(AND($D246&gt;=CQ$5,$D246&lt;CQ$5+7),"◆",""),IF(AND($D246&lt;CQ$5+7,$E246&gt;CQ$5),"■","")))</x:f>
      </x:c>
      <x:c r="CR246" s="7" t="str">
        <x:f>IF(OR($D246="",CR$5="",'상세일정'!AM246="제외"),"",IF($D246=$E246,IF(AND($D246&gt;=CR$5,$D246&lt;CR$5+7),"◆",""),IF(AND($D246&lt;CR$5+7,$E246&gt;CR$5),"■","")))</x:f>
      </x:c>
      <x:c r="CS246" s="7" t="str">
        <x:f>IF(OR($D246="",CS$5="",'상세일정'!AM246="제외"),"",IF($D246=$E246,IF(AND($D246&gt;=CS$5,$D246&lt;CS$5+7),"◆",""),IF(AND($D246&lt;CS$5+7,$E246&gt;CS$5),"■","")))</x:f>
      </x:c>
      <x:c r="CT246" s="7" t="str">
        <x:f>IF(OR($D246="",CT$5="",'상세일정'!AM246="제외"),"",IF($D246=$E246,IF(AND($D246&gt;=CT$5,$D246&lt;CT$5+7),"◆",""),IF(AND($D246&lt;CT$5+7,$E246&gt;CT$5),"■","")))</x:f>
      </x:c>
      <x:c r="CU246" s="7" t="str">
        <x:f>IF(OR($D246="",CU$5="",'상세일정'!AM246="제외"),"",IF($D246=$E246,IF(AND($D246&gt;=CU$5,$D246&lt;CU$5+7),"◆",""),IF(AND($D246&lt;CU$5+7,$E246&gt;CU$5),"■","")))</x:f>
      </x:c>
      <x:c r="CV246" s="7" t="str">
        <x:f>IF(OR($D246="",CV$5="",'상세일정'!AM246="제외"),"",IF($D246=$E246,IF(AND($D246&gt;=CV$5,$D246&lt;CV$5+7),"◆",""),IF(AND($D246&lt;CV$5+7,$E246&gt;CV$5),"■","")))</x:f>
      </x:c>
      <x:c r="CW246" s="7" t="str">
        <x:f>IF(OR($D246="",CW$5="",'상세일정'!AM246="제외"),"",IF($D246=$E246,IF(AND($D246&gt;=CW$5,$D246&lt;CW$5+7),"◆",""),IF(AND($D246&lt;CW$5+7,$E246&gt;CW$5),"■","")))</x:f>
      </x:c>
      <x:c r="CX246" s="7" t="str">
        <x:f>IF(OR($D246="",CX$5="",'상세일정'!AM246="제외"),"",IF($D246=$E246,IF(AND($D246&gt;=CX$5,$D246&lt;CX$5+7),"◆",""),IF(AND($D246&lt;CX$5+7,$E246&gt;CX$5),"■","")))</x:f>
      </x:c>
      <x:c r="CY246" s="7" t="str">
        <x:f>IF(OR($D246="",CY$5="",'상세일정'!AM246="제외"),"",IF($D246=$E246,IF(AND($D246&gt;=CY$5,$D246&lt;CY$5+7),"◆",""),IF(AND($D246&lt;CY$5+7,$E246&gt;CY$5),"■","")))</x:f>
      </x:c>
      <x:c r="CZ246" s="7" t="str">
        <x:f>IF(OR($D246="",CZ$5="",'상세일정'!AM246="제외"),"",IF($D246=$E246,IF(AND($D246&gt;=CZ$5,$D246&lt;CZ$5+7),"◆",""),IF(AND($D246&lt;CZ$5+7,$E246&gt;CZ$5),"■","")))</x:f>
      </x:c>
      <x:c r="DA246" s="7" t="str">
        <x:f>IF(OR($D246="",DA$5="",'상세일정'!AM246="제외"),"",IF($D246=$E246,IF(AND($D246&gt;=DA$5,$D246&lt;DA$5+7),"◆",""),IF(AND($D246&lt;DA$5+7,$E246&gt;DA$5),"■","")))</x:f>
      </x:c>
      <x:c r="DB246" s="7" t="str">
        <x:f>IF(OR($D246="",DB$5="",'상세일정'!AM246="제외"),"",IF($D246=$E246,IF(AND($D246&gt;=DB$5,$D246&lt;DB$5+7),"◆",""),IF(AND($D246&lt;DB$5+7,$E246&gt;DB$5),"■","")))</x:f>
      </x:c>
      <x:c r="DC246" s="7" t="str">
        <x:f>IF(OR($D246="",DC$5="",'상세일정'!AM246="제외"),"",IF($D246=$E246,IF(AND($D246&gt;=DC$5,$D246&lt;DC$5+7),"◆",""),IF(AND($D246&lt;DC$5+7,$E246&gt;DC$5),"■","")))</x:f>
      </x:c>
      <x:c r="DD246" s="7" t="str">
        <x:f>IF(OR($D246="",DD$5="",'상세일정'!AM246="제외"),"",IF($D246=$E246,IF(AND($D246&gt;=DD$5,$D246&lt;DD$5+7),"◆",""),IF(AND($D246&lt;DD$5+7,$E246&gt;DD$5),"■","")))</x:f>
      </x:c>
      <x:c r="DE246" s="7" t="str">
        <x:f>IF(OR($D246="",DE$5="",'상세일정'!AM246="제외"),"",IF($D246=$E246,IF(AND($D246&gt;=DE$5,$D246&lt;DE$5+7),"◆",""),IF(AND($D246&lt;DE$5+7,$E246&gt;DE$5),"■","")))</x:f>
      </x:c>
    </x:row>
    <x:row r="247" ht="34" customHeight="1">
      <x:c r="A247" s="7" t="str">
        <x:v>MS06</x:v>
      </x:c>
      <x:c r="B247" s="7" t="str">
        <x:v>29 인수·운영·정산</x:v>
      </x:c>
      <x:c r="C247" s="7" t="str">
        <x:v>시설 인수·운영전환 게이트</x:v>
      </x:c>
      <x:c r="D247" s="10" t="str">
        <x:f>'상세일정'!AJ247</x:f>
      </x:c>
      <x:c r="E247" s="10" t="str">
        <x:f>'상세일정'!AK247</x:f>
      </x:c>
      <x:c r="F247" s="7" t="str">
        <x:f>IF(OR($D247="",F$5="",'상세일정'!AM247="제외"),"",IF($D247=$E247,IF(AND($D247&gt;=F$5,$D247&lt;F$5+7),"◆",""),IF(AND($D247&lt;F$5+7,$E247&gt;F$5),"■","")))</x:f>
      </x:c>
      <x:c r="G247" s="7" t="str">
        <x:f>IF(OR($D247="",G$5="",'상세일정'!AM247="제외"),"",IF($D247=$E247,IF(AND($D247&gt;=G$5,$D247&lt;G$5+7),"◆",""),IF(AND($D247&lt;G$5+7,$E247&gt;G$5),"■","")))</x:f>
      </x:c>
      <x:c r="H247" s="7" t="str">
        <x:f>IF(OR($D247="",H$5="",'상세일정'!AM247="제외"),"",IF($D247=$E247,IF(AND($D247&gt;=H$5,$D247&lt;H$5+7),"◆",""),IF(AND($D247&lt;H$5+7,$E247&gt;H$5),"■","")))</x:f>
      </x:c>
      <x:c r="I247" s="7" t="str">
        <x:f>IF(OR($D247="",I$5="",'상세일정'!AM247="제외"),"",IF($D247=$E247,IF(AND($D247&gt;=I$5,$D247&lt;I$5+7),"◆",""),IF(AND($D247&lt;I$5+7,$E247&gt;I$5),"■","")))</x:f>
      </x:c>
      <x:c r="J247" s="7" t="str">
        <x:f>IF(OR($D247="",J$5="",'상세일정'!AM247="제외"),"",IF($D247=$E247,IF(AND($D247&gt;=J$5,$D247&lt;J$5+7),"◆",""),IF(AND($D247&lt;J$5+7,$E247&gt;J$5),"■","")))</x:f>
      </x:c>
      <x:c r="K247" s="7" t="str">
        <x:f>IF(OR($D247="",K$5="",'상세일정'!AM247="제외"),"",IF($D247=$E247,IF(AND($D247&gt;=K$5,$D247&lt;K$5+7),"◆",""),IF(AND($D247&lt;K$5+7,$E247&gt;K$5),"■","")))</x:f>
      </x:c>
      <x:c r="L247" s="7" t="str">
        <x:f>IF(OR($D247="",L$5="",'상세일정'!AM247="제외"),"",IF($D247=$E247,IF(AND($D247&gt;=L$5,$D247&lt;L$5+7),"◆",""),IF(AND($D247&lt;L$5+7,$E247&gt;L$5),"■","")))</x:f>
      </x:c>
      <x:c r="M247" s="7" t="str">
        <x:f>IF(OR($D247="",M$5="",'상세일정'!AM247="제외"),"",IF($D247=$E247,IF(AND($D247&gt;=M$5,$D247&lt;M$5+7),"◆",""),IF(AND($D247&lt;M$5+7,$E247&gt;M$5),"■","")))</x:f>
      </x:c>
      <x:c r="N247" s="7" t="str">
        <x:f>IF(OR($D247="",N$5="",'상세일정'!AM247="제외"),"",IF($D247=$E247,IF(AND($D247&gt;=N$5,$D247&lt;N$5+7),"◆",""),IF(AND($D247&lt;N$5+7,$E247&gt;N$5),"■","")))</x:f>
      </x:c>
      <x:c r="O247" s="7" t="str">
        <x:f>IF(OR($D247="",O$5="",'상세일정'!AM247="제외"),"",IF($D247=$E247,IF(AND($D247&gt;=O$5,$D247&lt;O$5+7),"◆",""),IF(AND($D247&lt;O$5+7,$E247&gt;O$5),"■","")))</x:f>
      </x:c>
      <x:c r="P247" s="7" t="str">
        <x:f>IF(OR($D247="",P$5="",'상세일정'!AM247="제외"),"",IF($D247=$E247,IF(AND($D247&gt;=P$5,$D247&lt;P$5+7),"◆",""),IF(AND($D247&lt;P$5+7,$E247&gt;P$5),"■","")))</x:f>
      </x:c>
      <x:c r="Q247" s="7" t="str">
        <x:f>IF(OR($D247="",Q$5="",'상세일정'!AM247="제외"),"",IF($D247=$E247,IF(AND($D247&gt;=Q$5,$D247&lt;Q$5+7),"◆",""),IF(AND($D247&lt;Q$5+7,$E247&gt;Q$5),"■","")))</x:f>
      </x:c>
      <x:c r="R247" s="7" t="str">
        <x:f>IF(OR($D247="",R$5="",'상세일정'!AM247="제외"),"",IF($D247=$E247,IF(AND($D247&gt;=R$5,$D247&lt;R$5+7),"◆",""),IF(AND($D247&lt;R$5+7,$E247&gt;R$5),"■","")))</x:f>
      </x:c>
      <x:c r="S247" s="7" t="str">
        <x:f>IF(OR($D247="",S$5="",'상세일정'!AM247="제외"),"",IF($D247=$E247,IF(AND($D247&gt;=S$5,$D247&lt;S$5+7),"◆",""),IF(AND($D247&lt;S$5+7,$E247&gt;S$5),"■","")))</x:f>
      </x:c>
      <x:c r="T247" s="7" t="str">
        <x:f>IF(OR($D247="",T$5="",'상세일정'!AM247="제외"),"",IF($D247=$E247,IF(AND($D247&gt;=T$5,$D247&lt;T$5+7),"◆",""),IF(AND($D247&lt;T$5+7,$E247&gt;T$5),"■","")))</x:f>
      </x:c>
      <x:c r="U247" s="7" t="str">
        <x:f>IF(OR($D247="",U$5="",'상세일정'!AM247="제외"),"",IF($D247=$E247,IF(AND($D247&gt;=U$5,$D247&lt;U$5+7),"◆",""),IF(AND($D247&lt;U$5+7,$E247&gt;U$5),"■","")))</x:f>
      </x:c>
      <x:c r="V247" s="7" t="str">
        <x:f>IF(OR($D247="",V$5="",'상세일정'!AM247="제외"),"",IF($D247=$E247,IF(AND($D247&gt;=V$5,$D247&lt;V$5+7),"◆",""),IF(AND($D247&lt;V$5+7,$E247&gt;V$5),"■","")))</x:f>
      </x:c>
      <x:c r="W247" s="7" t="str">
        <x:f>IF(OR($D247="",W$5="",'상세일정'!AM247="제외"),"",IF($D247=$E247,IF(AND($D247&gt;=W$5,$D247&lt;W$5+7),"◆",""),IF(AND($D247&lt;W$5+7,$E247&gt;W$5),"■","")))</x:f>
      </x:c>
      <x:c r="X247" s="7" t="str">
        <x:f>IF(OR($D247="",X$5="",'상세일정'!AM247="제외"),"",IF($D247=$E247,IF(AND($D247&gt;=X$5,$D247&lt;X$5+7),"◆",""),IF(AND($D247&lt;X$5+7,$E247&gt;X$5),"■","")))</x:f>
      </x:c>
      <x:c r="Y247" s="7" t="str">
        <x:f>IF(OR($D247="",Y$5="",'상세일정'!AM247="제외"),"",IF($D247=$E247,IF(AND($D247&gt;=Y$5,$D247&lt;Y$5+7),"◆",""),IF(AND($D247&lt;Y$5+7,$E247&gt;Y$5),"■","")))</x:f>
      </x:c>
      <x:c r="Z247" s="7" t="str">
        <x:f>IF(OR($D247="",Z$5="",'상세일정'!AM247="제외"),"",IF($D247=$E247,IF(AND($D247&gt;=Z$5,$D247&lt;Z$5+7),"◆",""),IF(AND($D247&lt;Z$5+7,$E247&gt;Z$5),"■","")))</x:f>
      </x:c>
      <x:c r="AA247" s="7" t="str">
        <x:f>IF(OR($D247="",AA$5="",'상세일정'!AM247="제외"),"",IF($D247=$E247,IF(AND($D247&gt;=AA$5,$D247&lt;AA$5+7),"◆",""),IF(AND($D247&lt;AA$5+7,$E247&gt;AA$5),"■","")))</x:f>
      </x:c>
      <x:c r="AB247" s="7" t="str">
        <x:f>IF(OR($D247="",AB$5="",'상세일정'!AM247="제외"),"",IF($D247=$E247,IF(AND($D247&gt;=AB$5,$D247&lt;AB$5+7),"◆",""),IF(AND($D247&lt;AB$5+7,$E247&gt;AB$5),"■","")))</x:f>
      </x:c>
      <x:c r="AC247" s="7" t="str">
        <x:f>IF(OR($D247="",AC$5="",'상세일정'!AM247="제외"),"",IF($D247=$E247,IF(AND($D247&gt;=AC$5,$D247&lt;AC$5+7),"◆",""),IF(AND($D247&lt;AC$5+7,$E247&gt;AC$5),"■","")))</x:f>
      </x:c>
      <x:c r="AD247" s="7" t="str">
        <x:f>IF(OR($D247="",AD$5="",'상세일정'!AM247="제외"),"",IF($D247=$E247,IF(AND($D247&gt;=AD$5,$D247&lt;AD$5+7),"◆",""),IF(AND($D247&lt;AD$5+7,$E247&gt;AD$5),"■","")))</x:f>
      </x:c>
      <x:c r="AE247" s="7" t="str">
        <x:f>IF(OR($D247="",AE$5="",'상세일정'!AM247="제외"),"",IF($D247=$E247,IF(AND($D247&gt;=AE$5,$D247&lt;AE$5+7),"◆",""),IF(AND($D247&lt;AE$5+7,$E247&gt;AE$5),"■","")))</x:f>
      </x:c>
      <x:c r="AF247" s="7" t="str">
        <x:f>IF(OR($D247="",AF$5="",'상세일정'!AM247="제외"),"",IF($D247=$E247,IF(AND($D247&gt;=AF$5,$D247&lt;AF$5+7),"◆",""),IF(AND($D247&lt;AF$5+7,$E247&gt;AF$5),"■","")))</x:f>
      </x:c>
      <x:c r="AG247" s="7" t="str">
        <x:f>IF(OR($D247="",AG$5="",'상세일정'!AM247="제외"),"",IF($D247=$E247,IF(AND($D247&gt;=AG$5,$D247&lt;AG$5+7),"◆",""),IF(AND($D247&lt;AG$5+7,$E247&gt;AG$5),"■","")))</x:f>
      </x:c>
      <x:c r="AH247" s="7" t="str">
        <x:f>IF(OR($D247="",AH$5="",'상세일정'!AM247="제외"),"",IF($D247=$E247,IF(AND($D247&gt;=AH$5,$D247&lt;AH$5+7),"◆",""),IF(AND($D247&lt;AH$5+7,$E247&gt;AH$5),"■","")))</x:f>
      </x:c>
      <x:c r="AI247" s="7" t="str">
        <x:f>IF(OR($D247="",AI$5="",'상세일정'!AM247="제외"),"",IF($D247=$E247,IF(AND($D247&gt;=AI$5,$D247&lt;AI$5+7),"◆",""),IF(AND($D247&lt;AI$5+7,$E247&gt;AI$5),"■","")))</x:f>
      </x:c>
      <x:c r="AJ247" s="7" t="str">
        <x:f>IF(OR($D247="",AJ$5="",'상세일정'!AM247="제외"),"",IF($D247=$E247,IF(AND($D247&gt;=AJ$5,$D247&lt;AJ$5+7),"◆",""),IF(AND($D247&lt;AJ$5+7,$E247&gt;AJ$5),"■","")))</x:f>
      </x:c>
      <x:c r="AK247" s="7" t="str">
        <x:f>IF(OR($D247="",AK$5="",'상세일정'!AM247="제외"),"",IF($D247=$E247,IF(AND($D247&gt;=AK$5,$D247&lt;AK$5+7),"◆",""),IF(AND($D247&lt;AK$5+7,$E247&gt;AK$5),"■","")))</x:f>
      </x:c>
      <x:c r="AL247" s="7" t="str">
        <x:f>IF(OR($D247="",AL$5="",'상세일정'!AM247="제외"),"",IF($D247=$E247,IF(AND($D247&gt;=AL$5,$D247&lt;AL$5+7),"◆",""),IF(AND($D247&lt;AL$5+7,$E247&gt;AL$5),"■","")))</x:f>
      </x:c>
      <x:c r="AM247" s="7" t="str">
        <x:f>IF(OR($D247="",AM$5="",'상세일정'!AM247="제외"),"",IF($D247=$E247,IF(AND($D247&gt;=AM$5,$D247&lt;AM$5+7),"◆",""),IF(AND($D247&lt;AM$5+7,$E247&gt;AM$5),"■","")))</x:f>
      </x:c>
      <x:c r="AN247" s="7" t="str">
        <x:f>IF(OR($D247="",AN$5="",'상세일정'!AM247="제외"),"",IF($D247=$E247,IF(AND($D247&gt;=AN$5,$D247&lt;AN$5+7),"◆",""),IF(AND($D247&lt;AN$5+7,$E247&gt;AN$5),"■","")))</x:f>
      </x:c>
      <x:c r="AO247" s="7" t="str">
        <x:f>IF(OR($D247="",AO$5="",'상세일정'!AM247="제외"),"",IF($D247=$E247,IF(AND($D247&gt;=AO$5,$D247&lt;AO$5+7),"◆",""),IF(AND($D247&lt;AO$5+7,$E247&gt;AO$5),"■","")))</x:f>
      </x:c>
      <x:c r="AP247" s="7" t="str">
        <x:f>IF(OR($D247="",AP$5="",'상세일정'!AM247="제외"),"",IF($D247=$E247,IF(AND($D247&gt;=AP$5,$D247&lt;AP$5+7),"◆",""),IF(AND($D247&lt;AP$5+7,$E247&gt;AP$5),"■","")))</x:f>
      </x:c>
      <x:c r="AQ247" s="7" t="str">
        <x:f>IF(OR($D247="",AQ$5="",'상세일정'!AM247="제외"),"",IF($D247=$E247,IF(AND($D247&gt;=AQ$5,$D247&lt;AQ$5+7),"◆",""),IF(AND($D247&lt;AQ$5+7,$E247&gt;AQ$5),"■","")))</x:f>
      </x:c>
      <x:c r="AR247" s="7" t="str">
        <x:f>IF(OR($D247="",AR$5="",'상세일정'!AM247="제외"),"",IF($D247=$E247,IF(AND($D247&gt;=AR$5,$D247&lt;AR$5+7),"◆",""),IF(AND($D247&lt;AR$5+7,$E247&gt;AR$5),"■","")))</x:f>
      </x:c>
      <x:c r="AS247" s="7" t="str">
        <x:f>IF(OR($D247="",AS$5="",'상세일정'!AM247="제외"),"",IF($D247=$E247,IF(AND($D247&gt;=AS$5,$D247&lt;AS$5+7),"◆",""),IF(AND($D247&lt;AS$5+7,$E247&gt;AS$5),"■","")))</x:f>
      </x:c>
      <x:c r="AT247" s="7" t="str">
        <x:f>IF(OR($D247="",AT$5="",'상세일정'!AM247="제외"),"",IF($D247=$E247,IF(AND($D247&gt;=AT$5,$D247&lt;AT$5+7),"◆",""),IF(AND($D247&lt;AT$5+7,$E247&gt;AT$5),"■","")))</x:f>
      </x:c>
      <x:c r="AU247" s="7" t="str">
        <x:f>IF(OR($D247="",AU$5="",'상세일정'!AM247="제외"),"",IF($D247=$E247,IF(AND($D247&gt;=AU$5,$D247&lt;AU$5+7),"◆",""),IF(AND($D247&lt;AU$5+7,$E247&gt;AU$5),"■","")))</x:f>
      </x:c>
      <x:c r="AV247" s="7" t="str">
        <x:f>IF(OR($D247="",AV$5="",'상세일정'!AM247="제외"),"",IF($D247=$E247,IF(AND($D247&gt;=AV$5,$D247&lt;AV$5+7),"◆",""),IF(AND($D247&lt;AV$5+7,$E247&gt;AV$5),"■","")))</x:f>
      </x:c>
      <x:c r="AW247" s="7" t="str">
        <x:f>IF(OR($D247="",AW$5="",'상세일정'!AM247="제외"),"",IF($D247=$E247,IF(AND($D247&gt;=AW$5,$D247&lt;AW$5+7),"◆",""),IF(AND($D247&lt;AW$5+7,$E247&gt;AW$5),"■","")))</x:f>
      </x:c>
      <x:c r="AX247" s="7" t="str">
        <x:f>IF(OR($D247="",AX$5="",'상세일정'!AM247="제외"),"",IF($D247=$E247,IF(AND($D247&gt;=AX$5,$D247&lt;AX$5+7),"◆",""),IF(AND($D247&lt;AX$5+7,$E247&gt;AX$5),"■","")))</x:f>
      </x:c>
      <x:c r="AY247" s="7" t="str">
        <x:f>IF(OR($D247="",AY$5="",'상세일정'!AM247="제외"),"",IF($D247=$E247,IF(AND($D247&gt;=AY$5,$D247&lt;AY$5+7),"◆",""),IF(AND($D247&lt;AY$5+7,$E247&gt;AY$5),"■","")))</x:f>
      </x:c>
      <x:c r="AZ247" s="7" t="str">
        <x:f>IF(OR($D247="",AZ$5="",'상세일정'!AM247="제외"),"",IF($D247=$E247,IF(AND($D247&gt;=AZ$5,$D247&lt;AZ$5+7),"◆",""),IF(AND($D247&lt;AZ$5+7,$E247&gt;AZ$5),"■","")))</x:f>
      </x:c>
      <x:c r="BA247" s="7" t="str">
        <x:f>IF(OR($D247="",BA$5="",'상세일정'!AM247="제외"),"",IF($D247=$E247,IF(AND($D247&gt;=BA$5,$D247&lt;BA$5+7),"◆",""),IF(AND($D247&lt;BA$5+7,$E247&gt;BA$5),"■","")))</x:f>
      </x:c>
      <x:c r="BB247" s="7" t="str">
        <x:f>IF(OR($D247="",BB$5="",'상세일정'!AM247="제외"),"",IF($D247=$E247,IF(AND($D247&gt;=BB$5,$D247&lt;BB$5+7),"◆",""),IF(AND($D247&lt;BB$5+7,$E247&gt;BB$5),"■","")))</x:f>
      </x:c>
      <x:c r="BC247" s="7" t="str">
        <x:f>IF(OR($D247="",BC$5="",'상세일정'!AM247="제외"),"",IF($D247=$E247,IF(AND($D247&gt;=BC$5,$D247&lt;BC$5+7),"◆",""),IF(AND($D247&lt;BC$5+7,$E247&gt;BC$5),"■","")))</x:f>
      </x:c>
      <x:c r="BD247" s="7" t="str">
        <x:f>IF(OR($D247="",BD$5="",'상세일정'!AM247="제외"),"",IF($D247=$E247,IF(AND($D247&gt;=BD$5,$D247&lt;BD$5+7),"◆",""),IF(AND($D247&lt;BD$5+7,$E247&gt;BD$5),"■","")))</x:f>
      </x:c>
      <x:c r="BE247" s="7" t="str">
        <x:f>IF(OR($D247="",BE$5="",'상세일정'!AM247="제외"),"",IF($D247=$E247,IF(AND($D247&gt;=BE$5,$D247&lt;BE$5+7),"◆",""),IF(AND($D247&lt;BE$5+7,$E247&gt;BE$5),"■","")))</x:f>
      </x:c>
      <x:c r="BF247" s="7" t="str">
        <x:f>IF(OR($D247="",BF$5="",'상세일정'!AM247="제외"),"",IF($D247=$E247,IF(AND($D247&gt;=BF$5,$D247&lt;BF$5+7),"◆",""),IF(AND($D247&lt;BF$5+7,$E247&gt;BF$5),"■","")))</x:f>
      </x:c>
      <x:c r="BG247" s="7" t="str">
        <x:f>IF(OR($D247="",BG$5="",'상세일정'!AM247="제외"),"",IF($D247=$E247,IF(AND($D247&gt;=BG$5,$D247&lt;BG$5+7),"◆",""),IF(AND($D247&lt;BG$5+7,$E247&gt;BG$5),"■","")))</x:f>
      </x:c>
      <x:c r="BH247" s="7" t="str">
        <x:f>IF(OR($D247="",BH$5="",'상세일정'!AM247="제외"),"",IF($D247=$E247,IF(AND($D247&gt;=BH$5,$D247&lt;BH$5+7),"◆",""),IF(AND($D247&lt;BH$5+7,$E247&gt;BH$5),"■","")))</x:f>
      </x:c>
      <x:c r="BI247" s="7" t="str">
        <x:f>IF(OR($D247="",BI$5="",'상세일정'!AM247="제외"),"",IF($D247=$E247,IF(AND($D247&gt;=BI$5,$D247&lt;BI$5+7),"◆",""),IF(AND($D247&lt;BI$5+7,$E247&gt;BI$5),"■","")))</x:f>
      </x:c>
      <x:c r="BJ247" s="7" t="str">
        <x:f>IF(OR($D247="",BJ$5="",'상세일정'!AM247="제외"),"",IF($D247=$E247,IF(AND($D247&gt;=BJ$5,$D247&lt;BJ$5+7),"◆",""),IF(AND($D247&lt;BJ$5+7,$E247&gt;BJ$5),"■","")))</x:f>
      </x:c>
      <x:c r="BK247" s="7" t="str">
        <x:f>IF(OR($D247="",BK$5="",'상세일정'!AM247="제외"),"",IF($D247=$E247,IF(AND($D247&gt;=BK$5,$D247&lt;BK$5+7),"◆",""),IF(AND($D247&lt;BK$5+7,$E247&gt;BK$5),"■","")))</x:f>
      </x:c>
      <x:c r="BL247" s="7" t="str">
        <x:f>IF(OR($D247="",BL$5="",'상세일정'!AM247="제외"),"",IF($D247=$E247,IF(AND($D247&gt;=BL$5,$D247&lt;BL$5+7),"◆",""),IF(AND($D247&lt;BL$5+7,$E247&gt;BL$5),"■","")))</x:f>
      </x:c>
      <x:c r="BM247" s="7" t="str">
        <x:f>IF(OR($D247="",BM$5="",'상세일정'!AM247="제외"),"",IF($D247=$E247,IF(AND($D247&gt;=BM$5,$D247&lt;BM$5+7),"◆",""),IF(AND($D247&lt;BM$5+7,$E247&gt;BM$5),"■","")))</x:f>
      </x:c>
      <x:c r="BN247" s="7" t="str">
        <x:f>IF(OR($D247="",BN$5="",'상세일정'!AM247="제외"),"",IF($D247=$E247,IF(AND($D247&gt;=BN$5,$D247&lt;BN$5+7),"◆",""),IF(AND($D247&lt;BN$5+7,$E247&gt;BN$5),"■","")))</x:f>
      </x:c>
      <x:c r="BO247" s="7" t="str">
        <x:f>IF(OR($D247="",BO$5="",'상세일정'!AM247="제외"),"",IF($D247=$E247,IF(AND($D247&gt;=BO$5,$D247&lt;BO$5+7),"◆",""),IF(AND($D247&lt;BO$5+7,$E247&gt;BO$5),"■","")))</x:f>
      </x:c>
      <x:c r="BP247" s="7" t="str">
        <x:f>IF(OR($D247="",BP$5="",'상세일정'!AM247="제외"),"",IF($D247=$E247,IF(AND($D247&gt;=BP$5,$D247&lt;BP$5+7),"◆",""),IF(AND($D247&lt;BP$5+7,$E247&gt;BP$5),"■","")))</x:f>
      </x:c>
      <x:c r="BQ247" s="7" t="str">
        <x:f>IF(OR($D247="",BQ$5="",'상세일정'!AM247="제외"),"",IF($D247=$E247,IF(AND($D247&gt;=BQ$5,$D247&lt;BQ$5+7),"◆",""),IF(AND($D247&lt;BQ$5+7,$E247&gt;BQ$5),"■","")))</x:f>
      </x:c>
      <x:c r="BR247" s="7" t="str">
        <x:f>IF(OR($D247="",BR$5="",'상세일정'!AM247="제외"),"",IF($D247=$E247,IF(AND($D247&gt;=BR$5,$D247&lt;BR$5+7),"◆",""),IF(AND($D247&lt;BR$5+7,$E247&gt;BR$5),"■","")))</x:f>
      </x:c>
      <x:c r="BS247" s="7" t="str">
        <x:f>IF(OR($D247="",BS$5="",'상세일정'!AM247="제외"),"",IF($D247=$E247,IF(AND($D247&gt;=BS$5,$D247&lt;BS$5+7),"◆",""),IF(AND($D247&lt;BS$5+7,$E247&gt;BS$5),"■","")))</x:f>
      </x:c>
      <x:c r="BT247" s="7" t="str">
        <x:f>IF(OR($D247="",BT$5="",'상세일정'!AM247="제외"),"",IF($D247=$E247,IF(AND($D247&gt;=BT$5,$D247&lt;BT$5+7),"◆",""),IF(AND($D247&lt;BT$5+7,$E247&gt;BT$5),"■","")))</x:f>
      </x:c>
      <x:c r="BU247" s="7" t="str">
        <x:f>IF(OR($D247="",BU$5="",'상세일정'!AM247="제외"),"",IF($D247=$E247,IF(AND($D247&gt;=BU$5,$D247&lt;BU$5+7),"◆",""),IF(AND($D247&lt;BU$5+7,$E247&gt;BU$5),"■","")))</x:f>
      </x:c>
      <x:c r="BV247" s="7" t="str">
        <x:f>IF(OR($D247="",BV$5="",'상세일정'!AM247="제외"),"",IF($D247=$E247,IF(AND($D247&gt;=BV$5,$D247&lt;BV$5+7),"◆",""),IF(AND($D247&lt;BV$5+7,$E247&gt;BV$5),"■","")))</x:f>
      </x:c>
      <x:c r="BW247" s="7" t="str">
        <x:f>IF(OR($D247="",BW$5="",'상세일정'!AM247="제외"),"",IF($D247=$E247,IF(AND($D247&gt;=BW$5,$D247&lt;BW$5+7),"◆",""),IF(AND($D247&lt;BW$5+7,$E247&gt;BW$5),"■","")))</x:f>
      </x:c>
      <x:c r="BX247" s="7" t="str">
        <x:f>IF(OR($D247="",BX$5="",'상세일정'!AM247="제외"),"",IF($D247=$E247,IF(AND($D247&gt;=BX$5,$D247&lt;BX$5+7),"◆",""),IF(AND($D247&lt;BX$5+7,$E247&gt;BX$5),"■","")))</x:f>
      </x:c>
      <x:c r="BY247" s="7" t="str">
        <x:f>IF(OR($D247="",BY$5="",'상세일정'!AM247="제외"),"",IF($D247=$E247,IF(AND($D247&gt;=BY$5,$D247&lt;BY$5+7),"◆",""),IF(AND($D247&lt;BY$5+7,$E247&gt;BY$5),"■","")))</x:f>
      </x:c>
      <x:c r="BZ247" s="7" t="str">
        <x:f>IF(OR($D247="",BZ$5="",'상세일정'!AM247="제외"),"",IF($D247=$E247,IF(AND($D247&gt;=BZ$5,$D247&lt;BZ$5+7),"◆",""),IF(AND($D247&lt;BZ$5+7,$E247&gt;BZ$5),"■","")))</x:f>
      </x:c>
      <x:c r="CA247" s="7" t="str">
        <x:f>IF(OR($D247="",CA$5="",'상세일정'!AM247="제외"),"",IF($D247=$E247,IF(AND($D247&gt;=CA$5,$D247&lt;CA$5+7),"◆",""),IF(AND($D247&lt;CA$5+7,$E247&gt;CA$5),"■","")))</x:f>
      </x:c>
      <x:c r="CB247" s="7" t="str">
        <x:f>IF(OR($D247="",CB$5="",'상세일정'!AM247="제외"),"",IF($D247=$E247,IF(AND($D247&gt;=CB$5,$D247&lt;CB$5+7),"◆",""),IF(AND($D247&lt;CB$5+7,$E247&gt;CB$5),"■","")))</x:f>
      </x:c>
      <x:c r="CC247" s="7" t="str">
        <x:f>IF(OR($D247="",CC$5="",'상세일정'!AM247="제외"),"",IF($D247=$E247,IF(AND($D247&gt;=CC$5,$D247&lt;CC$5+7),"◆",""),IF(AND($D247&lt;CC$5+7,$E247&gt;CC$5),"■","")))</x:f>
      </x:c>
      <x:c r="CD247" s="7" t="str">
        <x:f>IF(OR($D247="",CD$5="",'상세일정'!AM247="제외"),"",IF($D247=$E247,IF(AND($D247&gt;=CD$5,$D247&lt;CD$5+7),"◆",""),IF(AND($D247&lt;CD$5+7,$E247&gt;CD$5),"■","")))</x:f>
      </x:c>
      <x:c r="CE247" s="7" t="str">
        <x:f>IF(OR($D247="",CE$5="",'상세일정'!AM247="제외"),"",IF($D247=$E247,IF(AND($D247&gt;=CE$5,$D247&lt;CE$5+7),"◆",""),IF(AND($D247&lt;CE$5+7,$E247&gt;CE$5),"■","")))</x:f>
      </x:c>
      <x:c r="CF247" s="7" t="str">
        <x:f>IF(OR($D247="",CF$5="",'상세일정'!AM247="제외"),"",IF($D247=$E247,IF(AND($D247&gt;=CF$5,$D247&lt;CF$5+7),"◆",""),IF(AND($D247&lt;CF$5+7,$E247&gt;CF$5),"■","")))</x:f>
      </x:c>
      <x:c r="CG247" s="7" t="str">
        <x:f>IF(OR($D247="",CG$5="",'상세일정'!AM247="제외"),"",IF($D247=$E247,IF(AND($D247&gt;=CG$5,$D247&lt;CG$5+7),"◆",""),IF(AND($D247&lt;CG$5+7,$E247&gt;CG$5),"■","")))</x:f>
      </x:c>
      <x:c r="CH247" s="7" t="str">
        <x:f>IF(OR($D247="",CH$5="",'상세일정'!AM247="제외"),"",IF($D247=$E247,IF(AND($D247&gt;=CH$5,$D247&lt;CH$5+7),"◆",""),IF(AND($D247&lt;CH$5+7,$E247&gt;CH$5),"■","")))</x:f>
      </x:c>
      <x:c r="CI247" s="7" t="str">
        <x:f>IF(OR($D247="",CI$5="",'상세일정'!AM247="제외"),"",IF($D247=$E247,IF(AND($D247&gt;=CI$5,$D247&lt;CI$5+7),"◆",""),IF(AND($D247&lt;CI$5+7,$E247&gt;CI$5),"■","")))</x:f>
      </x:c>
      <x:c r="CJ247" s="7" t="str">
        <x:f>IF(OR($D247="",CJ$5="",'상세일정'!AM247="제외"),"",IF($D247=$E247,IF(AND($D247&gt;=CJ$5,$D247&lt;CJ$5+7),"◆",""),IF(AND($D247&lt;CJ$5+7,$E247&gt;CJ$5),"■","")))</x:f>
      </x:c>
      <x:c r="CK247" s="7" t="str">
        <x:f>IF(OR($D247="",CK$5="",'상세일정'!AM247="제외"),"",IF($D247=$E247,IF(AND($D247&gt;=CK$5,$D247&lt;CK$5+7),"◆",""),IF(AND($D247&lt;CK$5+7,$E247&gt;CK$5),"■","")))</x:f>
      </x:c>
      <x:c r="CL247" s="7" t="str">
        <x:f>IF(OR($D247="",CL$5="",'상세일정'!AM247="제외"),"",IF($D247=$E247,IF(AND($D247&gt;=CL$5,$D247&lt;CL$5+7),"◆",""),IF(AND($D247&lt;CL$5+7,$E247&gt;CL$5),"■","")))</x:f>
      </x:c>
      <x:c r="CM247" s="7" t="str">
        <x:f>IF(OR($D247="",CM$5="",'상세일정'!AM247="제외"),"",IF($D247=$E247,IF(AND($D247&gt;=CM$5,$D247&lt;CM$5+7),"◆",""),IF(AND($D247&lt;CM$5+7,$E247&gt;CM$5),"■","")))</x:f>
      </x:c>
      <x:c r="CN247" s="7" t="str">
        <x:f>IF(OR($D247="",CN$5="",'상세일정'!AM247="제외"),"",IF($D247=$E247,IF(AND($D247&gt;=CN$5,$D247&lt;CN$5+7),"◆",""),IF(AND($D247&lt;CN$5+7,$E247&gt;CN$5),"■","")))</x:f>
      </x:c>
      <x:c r="CO247" s="7" t="str">
        <x:f>IF(OR($D247="",CO$5="",'상세일정'!AM247="제외"),"",IF($D247=$E247,IF(AND($D247&gt;=CO$5,$D247&lt;CO$5+7),"◆",""),IF(AND($D247&lt;CO$5+7,$E247&gt;CO$5),"■","")))</x:f>
      </x:c>
      <x:c r="CP247" s="7" t="str">
        <x:f>IF(OR($D247="",CP$5="",'상세일정'!AM247="제외"),"",IF($D247=$E247,IF(AND($D247&gt;=CP$5,$D247&lt;CP$5+7),"◆",""),IF(AND($D247&lt;CP$5+7,$E247&gt;CP$5),"■","")))</x:f>
      </x:c>
      <x:c r="CQ247" s="7" t="str">
        <x:f>IF(OR($D247="",CQ$5="",'상세일정'!AM247="제외"),"",IF($D247=$E247,IF(AND($D247&gt;=CQ$5,$D247&lt;CQ$5+7),"◆",""),IF(AND($D247&lt;CQ$5+7,$E247&gt;CQ$5),"■","")))</x:f>
      </x:c>
      <x:c r="CR247" s="7" t="str">
        <x:f>IF(OR($D247="",CR$5="",'상세일정'!AM247="제외"),"",IF($D247=$E247,IF(AND($D247&gt;=CR$5,$D247&lt;CR$5+7),"◆",""),IF(AND($D247&lt;CR$5+7,$E247&gt;CR$5),"■","")))</x:f>
      </x:c>
      <x:c r="CS247" s="7" t="str">
        <x:f>IF(OR($D247="",CS$5="",'상세일정'!AM247="제외"),"",IF($D247=$E247,IF(AND($D247&gt;=CS$5,$D247&lt;CS$5+7),"◆",""),IF(AND($D247&lt;CS$5+7,$E247&gt;CS$5),"■","")))</x:f>
      </x:c>
      <x:c r="CT247" s="7" t="str">
        <x:f>IF(OR($D247="",CT$5="",'상세일정'!AM247="제외"),"",IF($D247=$E247,IF(AND($D247&gt;=CT$5,$D247&lt;CT$5+7),"◆",""),IF(AND($D247&lt;CT$5+7,$E247&gt;CT$5),"■","")))</x:f>
      </x:c>
      <x:c r="CU247" s="7" t="str">
        <x:f>IF(OR($D247="",CU$5="",'상세일정'!AM247="제외"),"",IF($D247=$E247,IF(AND($D247&gt;=CU$5,$D247&lt;CU$5+7),"◆",""),IF(AND($D247&lt;CU$5+7,$E247&gt;CU$5),"■","")))</x:f>
      </x:c>
      <x:c r="CV247" s="7" t="str">
        <x:f>IF(OR($D247="",CV$5="",'상세일정'!AM247="제외"),"",IF($D247=$E247,IF(AND($D247&gt;=CV$5,$D247&lt;CV$5+7),"◆",""),IF(AND($D247&lt;CV$5+7,$E247&gt;CV$5),"■","")))</x:f>
      </x:c>
      <x:c r="CW247" s="7" t="str">
        <x:f>IF(OR($D247="",CW$5="",'상세일정'!AM247="제외"),"",IF($D247=$E247,IF(AND($D247&gt;=CW$5,$D247&lt;CW$5+7),"◆",""),IF(AND($D247&lt;CW$5+7,$E247&gt;CW$5),"■","")))</x:f>
      </x:c>
      <x:c r="CX247" s="7" t="str">
        <x:f>IF(OR($D247="",CX$5="",'상세일정'!AM247="제외"),"",IF($D247=$E247,IF(AND($D247&gt;=CX$5,$D247&lt;CX$5+7),"◆",""),IF(AND($D247&lt;CX$5+7,$E247&gt;CX$5),"■","")))</x:f>
      </x:c>
      <x:c r="CY247" s="7" t="str">
        <x:f>IF(OR($D247="",CY$5="",'상세일정'!AM247="제외"),"",IF($D247=$E247,IF(AND($D247&gt;=CY$5,$D247&lt;CY$5+7),"◆",""),IF(AND($D247&lt;CY$5+7,$E247&gt;CY$5),"■","")))</x:f>
      </x:c>
      <x:c r="CZ247" s="7" t="str">
        <x:f>IF(OR($D247="",CZ$5="",'상세일정'!AM247="제외"),"",IF($D247=$E247,IF(AND($D247&gt;=CZ$5,$D247&lt;CZ$5+7),"◆",""),IF(AND($D247&lt;CZ$5+7,$E247&gt;CZ$5),"■","")))</x:f>
      </x:c>
      <x:c r="DA247" s="7" t="str">
        <x:f>IF(OR($D247="",DA$5="",'상세일정'!AM247="제외"),"",IF($D247=$E247,IF(AND($D247&gt;=DA$5,$D247&lt;DA$5+7),"◆",""),IF(AND($D247&lt;DA$5+7,$E247&gt;DA$5),"■","")))</x:f>
      </x:c>
      <x:c r="DB247" s="7" t="str">
        <x:f>IF(OR($D247="",DB$5="",'상세일정'!AM247="제외"),"",IF($D247=$E247,IF(AND($D247&gt;=DB$5,$D247&lt;DB$5+7),"◆",""),IF(AND($D247&lt;DB$5+7,$E247&gt;DB$5),"■","")))</x:f>
      </x:c>
      <x:c r="DC247" s="7" t="str">
        <x:f>IF(OR($D247="",DC$5="",'상세일정'!AM247="제외"),"",IF($D247=$E247,IF(AND($D247&gt;=DC$5,$D247&lt;DC$5+7),"◆",""),IF(AND($D247&lt;DC$5+7,$E247&gt;DC$5),"■","")))</x:f>
      </x:c>
      <x:c r="DD247" s="7" t="str">
        <x:f>IF(OR($D247="",DD$5="",'상세일정'!AM247="제외"),"",IF($D247=$E247,IF(AND($D247&gt;=DD$5,$D247&lt;DD$5+7),"◆",""),IF(AND($D247&lt;DD$5+7,$E247&gt;DD$5),"■","")))</x:f>
      </x:c>
      <x:c r="DE247" s="7" t="str">
        <x:f>IF(OR($D247="",DE$5="",'상세일정'!AM247="제외"),"",IF($D247=$E247,IF(AND($D247&gt;=DE$5,$D247&lt;DE$5+7),"◆",""),IF(AND($D247&lt;DE$5+7,$E247&gt;DE$5),"■","")))</x:f>
      </x:c>
    </x:row>
    <x:row r="248" ht="34" customHeight="1">
      <x:c r="A248" s="7" t="str">
        <x:v>MS07</x:v>
      </x:c>
      <x:c r="B248" s="7" t="str">
        <x:v>29 인수·운영·정산</x:v>
      </x:c>
      <x:c r="C248" s="7" t="str">
        <x:v>사업 행정종결 게이트</x:v>
      </x:c>
      <x:c r="D248" s="10" t="n">
        <x:f>'상세일정'!AJ248</x:f>
        <x:v>0</x:v>
      </x:c>
      <x:c r="E248" s="10" t="n">
        <x:f>'상세일정'!AK248</x:f>
        <x:v>0</x:v>
      </x:c>
      <x:c r="F248" s="7" t="str">
        <x:f>IF(OR($D248="",F$5="",'상세일정'!AM248="제외"),"",IF($D248=$E248,IF(AND($D248&gt;=F$5,$D248&lt;F$5+7),"◆",""),IF(AND($D248&lt;F$5+7,$E248&gt;F$5),"■","")))</x:f>
      </x:c>
      <x:c r="G248" s="7" t="str">
        <x:f>IF(OR($D248="",G$5="",'상세일정'!AM248="제외"),"",IF($D248=$E248,IF(AND($D248&gt;=G$5,$D248&lt;G$5+7),"◆",""),IF(AND($D248&lt;G$5+7,$E248&gt;G$5),"■","")))</x:f>
      </x:c>
      <x:c r="H248" s="7" t="str">
        <x:f>IF(OR($D248="",H$5="",'상세일정'!AM248="제외"),"",IF($D248=$E248,IF(AND($D248&gt;=H$5,$D248&lt;H$5+7),"◆",""),IF(AND($D248&lt;H$5+7,$E248&gt;H$5),"■","")))</x:f>
      </x:c>
      <x:c r="I248" s="7" t="str">
        <x:f>IF(OR($D248="",I$5="",'상세일정'!AM248="제외"),"",IF($D248=$E248,IF(AND($D248&gt;=I$5,$D248&lt;I$5+7),"◆",""),IF(AND($D248&lt;I$5+7,$E248&gt;I$5),"■","")))</x:f>
      </x:c>
      <x:c r="J248" s="7" t="str">
        <x:f>IF(OR($D248="",J$5="",'상세일정'!AM248="제외"),"",IF($D248=$E248,IF(AND($D248&gt;=J$5,$D248&lt;J$5+7),"◆",""),IF(AND($D248&lt;J$5+7,$E248&gt;J$5),"■","")))</x:f>
      </x:c>
      <x:c r="K248" s="7" t="str">
        <x:f>IF(OR($D248="",K$5="",'상세일정'!AM248="제외"),"",IF($D248=$E248,IF(AND($D248&gt;=K$5,$D248&lt;K$5+7),"◆",""),IF(AND($D248&lt;K$5+7,$E248&gt;K$5),"■","")))</x:f>
      </x:c>
      <x:c r="L248" s="7" t="str">
        <x:f>IF(OR($D248="",L$5="",'상세일정'!AM248="제외"),"",IF($D248=$E248,IF(AND($D248&gt;=L$5,$D248&lt;L$5+7),"◆",""),IF(AND($D248&lt;L$5+7,$E248&gt;L$5),"■","")))</x:f>
      </x:c>
      <x:c r="M248" s="7" t="str">
        <x:f>IF(OR($D248="",M$5="",'상세일정'!AM248="제외"),"",IF($D248=$E248,IF(AND($D248&gt;=M$5,$D248&lt;M$5+7),"◆",""),IF(AND($D248&lt;M$5+7,$E248&gt;M$5),"■","")))</x:f>
      </x:c>
      <x:c r="N248" s="7" t="str">
        <x:f>IF(OR($D248="",N$5="",'상세일정'!AM248="제외"),"",IF($D248=$E248,IF(AND($D248&gt;=N$5,$D248&lt;N$5+7),"◆",""),IF(AND($D248&lt;N$5+7,$E248&gt;N$5),"■","")))</x:f>
      </x:c>
      <x:c r="O248" s="7" t="str">
        <x:f>IF(OR($D248="",O$5="",'상세일정'!AM248="제외"),"",IF($D248=$E248,IF(AND($D248&gt;=O$5,$D248&lt;O$5+7),"◆",""),IF(AND($D248&lt;O$5+7,$E248&gt;O$5),"■","")))</x:f>
      </x:c>
      <x:c r="P248" s="7" t="str">
        <x:f>IF(OR($D248="",P$5="",'상세일정'!AM248="제외"),"",IF($D248=$E248,IF(AND($D248&gt;=P$5,$D248&lt;P$5+7),"◆",""),IF(AND($D248&lt;P$5+7,$E248&gt;P$5),"■","")))</x:f>
      </x:c>
      <x:c r="Q248" s="7" t="str">
        <x:f>IF(OR($D248="",Q$5="",'상세일정'!AM248="제외"),"",IF($D248=$E248,IF(AND($D248&gt;=Q$5,$D248&lt;Q$5+7),"◆",""),IF(AND($D248&lt;Q$5+7,$E248&gt;Q$5),"■","")))</x:f>
      </x:c>
      <x:c r="R248" s="7" t="str">
        <x:f>IF(OR($D248="",R$5="",'상세일정'!AM248="제외"),"",IF($D248=$E248,IF(AND($D248&gt;=R$5,$D248&lt;R$5+7),"◆",""),IF(AND($D248&lt;R$5+7,$E248&gt;R$5),"■","")))</x:f>
      </x:c>
      <x:c r="S248" s="7" t="str">
        <x:f>IF(OR($D248="",S$5="",'상세일정'!AM248="제외"),"",IF($D248=$E248,IF(AND($D248&gt;=S$5,$D248&lt;S$5+7),"◆",""),IF(AND($D248&lt;S$5+7,$E248&gt;S$5),"■","")))</x:f>
      </x:c>
      <x:c r="T248" s="7" t="str">
        <x:f>IF(OR($D248="",T$5="",'상세일정'!AM248="제외"),"",IF($D248=$E248,IF(AND($D248&gt;=T$5,$D248&lt;T$5+7),"◆",""),IF(AND($D248&lt;T$5+7,$E248&gt;T$5),"■","")))</x:f>
      </x:c>
      <x:c r="U248" s="7" t="str">
        <x:f>IF(OR($D248="",U$5="",'상세일정'!AM248="제외"),"",IF($D248=$E248,IF(AND($D248&gt;=U$5,$D248&lt;U$5+7),"◆",""),IF(AND($D248&lt;U$5+7,$E248&gt;U$5),"■","")))</x:f>
      </x:c>
      <x:c r="V248" s="7" t="str">
        <x:f>IF(OR($D248="",V$5="",'상세일정'!AM248="제외"),"",IF($D248=$E248,IF(AND($D248&gt;=V$5,$D248&lt;V$5+7),"◆",""),IF(AND($D248&lt;V$5+7,$E248&gt;V$5),"■","")))</x:f>
      </x:c>
      <x:c r="W248" s="7" t="str">
        <x:f>IF(OR($D248="",W$5="",'상세일정'!AM248="제외"),"",IF($D248=$E248,IF(AND($D248&gt;=W$5,$D248&lt;W$5+7),"◆",""),IF(AND($D248&lt;W$5+7,$E248&gt;W$5),"■","")))</x:f>
      </x:c>
      <x:c r="X248" s="7" t="str">
        <x:f>IF(OR($D248="",X$5="",'상세일정'!AM248="제외"),"",IF($D248=$E248,IF(AND($D248&gt;=X$5,$D248&lt;X$5+7),"◆",""),IF(AND($D248&lt;X$5+7,$E248&gt;X$5),"■","")))</x:f>
      </x:c>
      <x:c r="Y248" s="7" t="str">
        <x:f>IF(OR($D248="",Y$5="",'상세일정'!AM248="제외"),"",IF($D248=$E248,IF(AND($D248&gt;=Y$5,$D248&lt;Y$5+7),"◆",""),IF(AND($D248&lt;Y$5+7,$E248&gt;Y$5),"■","")))</x:f>
      </x:c>
      <x:c r="Z248" s="7" t="str">
        <x:f>IF(OR($D248="",Z$5="",'상세일정'!AM248="제외"),"",IF($D248=$E248,IF(AND($D248&gt;=Z$5,$D248&lt;Z$5+7),"◆",""),IF(AND($D248&lt;Z$5+7,$E248&gt;Z$5),"■","")))</x:f>
      </x:c>
      <x:c r="AA248" s="7" t="str">
        <x:f>IF(OR($D248="",AA$5="",'상세일정'!AM248="제외"),"",IF($D248=$E248,IF(AND($D248&gt;=AA$5,$D248&lt;AA$5+7),"◆",""),IF(AND($D248&lt;AA$5+7,$E248&gt;AA$5),"■","")))</x:f>
      </x:c>
      <x:c r="AB248" s="7" t="str">
        <x:f>IF(OR($D248="",AB$5="",'상세일정'!AM248="제외"),"",IF($D248=$E248,IF(AND($D248&gt;=AB$5,$D248&lt;AB$5+7),"◆",""),IF(AND($D248&lt;AB$5+7,$E248&gt;AB$5),"■","")))</x:f>
      </x:c>
      <x:c r="AC248" s="7" t="str">
        <x:f>IF(OR($D248="",AC$5="",'상세일정'!AM248="제외"),"",IF($D248=$E248,IF(AND($D248&gt;=AC$5,$D248&lt;AC$5+7),"◆",""),IF(AND($D248&lt;AC$5+7,$E248&gt;AC$5),"■","")))</x:f>
      </x:c>
      <x:c r="AD248" s="7" t="str">
        <x:f>IF(OR($D248="",AD$5="",'상세일정'!AM248="제외"),"",IF($D248=$E248,IF(AND($D248&gt;=AD$5,$D248&lt;AD$5+7),"◆",""),IF(AND($D248&lt;AD$5+7,$E248&gt;AD$5),"■","")))</x:f>
      </x:c>
      <x:c r="AE248" s="7" t="str">
        <x:f>IF(OR($D248="",AE$5="",'상세일정'!AM248="제외"),"",IF($D248=$E248,IF(AND($D248&gt;=AE$5,$D248&lt;AE$5+7),"◆",""),IF(AND($D248&lt;AE$5+7,$E248&gt;AE$5),"■","")))</x:f>
      </x:c>
      <x:c r="AF248" s="7" t="str">
        <x:f>IF(OR($D248="",AF$5="",'상세일정'!AM248="제외"),"",IF($D248=$E248,IF(AND($D248&gt;=AF$5,$D248&lt;AF$5+7),"◆",""),IF(AND($D248&lt;AF$5+7,$E248&gt;AF$5),"■","")))</x:f>
      </x:c>
      <x:c r="AG248" s="7" t="str">
        <x:f>IF(OR($D248="",AG$5="",'상세일정'!AM248="제외"),"",IF($D248=$E248,IF(AND($D248&gt;=AG$5,$D248&lt;AG$5+7),"◆",""),IF(AND($D248&lt;AG$5+7,$E248&gt;AG$5),"■","")))</x:f>
      </x:c>
      <x:c r="AH248" s="7" t="str">
        <x:f>IF(OR($D248="",AH$5="",'상세일정'!AM248="제외"),"",IF($D248=$E248,IF(AND($D248&gt;=AH$5,$D248&lt;AH$5+7),"◆",""),IF(AND($D248&lt;AH$5+7,$E248&gt;AH$5),"■","")))</x:f>
      </x:c>
      <x:c r="AI248" s="7" t="str">
        <x:f>IF(OR($D248="",AI$5="",'상세일정'!AM248="제외"),"",IF($D248=$E248,IF(AND($D248&gt;=AI$5,$D248&lt;AI$5+7),"◆",""),IF(AND($D248&lt;AI$5+7,$E248&gt;AI$5),"■","")))</x:f>
      </x:c>
      <x:c r="AJ248" s="7" t="str">
        <x:f>IF(OR($D248="",AJ$5="",'상세일정'!AM248="제외"),"",IF($D248=$E248,IF(AND($D248&gt;=AJ$5,$D248&lt;AJ$5+7),"◆",""),IF(AND($D248&lt;AJ$5+7,$E248&gt;AJ$5),"■","")))</x:f>
      </x:c>
      <x:c r="AK248" s="7" t="str">
        <x:f>IF(OR($D248="",AK$5="",'상세일정'!AM248="제외"),"",IF($D248=$E248,IF(AND($D248&gt;=AK$5,$D248&lt;AK$5+7),"◆",""),IF(AND($D248&lt;AK$5+7,$E248&gt;AK$5),"■","")))</x:f>
      </x:c>
      <x:c r="AL248" s="7" t="str">
        <x:f>IF(OR($D248="",AL$5="",'상세일정'!AM248="제외"),"",IF($D248=$E248,IF(AND($D248&gt;=AL$5,$D248&lt;AL$5+7),"◆",""),IF(AND($D248&lt;AL$5+7,$E248&gt;AL$5),"■","")))</x:f>
      </x:c>
      <x:c r="AM248" s="7" t="str">
        <x:f>IF(OR($D248="",AM$5="",'상세일정'!AM248="제외"),"",IF($D248=$E248,IF(AND($D248&gt;=AM$5,$D248&lt;AM$5+7),"◆",""),IF(AND($D248&lt;AM$5+7,$E248&gt;AM$5),"■","")))</x:f>
      </x:c>
      <x:c r="AN248" s="7" t="str">
        <x:f>IF(OR($D248="",AN$5="",'상세일정'!AM248="제외"),"",IF($D248=$E248,IF(AND($D248&gt;=AN$5,$D248&lt;AN$5+7),"◆",""),IF(AND($D248&lt;AN$5+7,$E248&gt;AN$5),"■","")))</x:f>
      </x:c>
      <x:c r="AO248" s="7" t="str">
        <x:f>IF(OR($D248="",AO$5="",'상세일정'!AM248="제외"),"",IF($D248=$E248,IF(AND($D248&gt;=AO$5,$D248&lt;AO$5+7),"◆",""),IF(AND($D248&lt;AO$5+7,$E248&gt;AO$5),"■","")))</x:f>
      </x:c>
      <x:c r="AP248" s="7" t="str">
        <x:f>IF(OR($D248="",AP$5="",'상세일정'!AM248="제외"),"",IF($D248=$E248,IF(AND($D248&gt;=AP$5,$D248&lt;AP$5+7),"◆",""),IF(AND($D248&lt;AP$5+7,$E248&gt;AP$5),"■","")))</x:f>
      </x:c>
      <x:c r="AQ248" s="7" t="str">
        <x:f>IF(OR($D248="",AQ$5="",'상세일정'!AM248="제외"),"",IF($D248=$E248,IF(AND($D248&gt;=AQ$5,$D248&lt;AQ$5+7),"◆",""),IF(AND($D248&lt;AQ$5+7,$E248&gt;AQ$5),"■","")))</x:f>
      </x:c>
      <x:c r="AR248" s="7" t="str">
        <x:f>IF(OR($D248="",AR$5="",'상세일정'!AM248="제외"),"",IF($D248=$E248,IF(AND($D248&gt;=AR$5,$D248&lt;AR$5+7),"◆",""),IF(AND($D248&lt;AR$5+7,$E248&gt;AR$5),"■","")))</x:f>
      </x:c>
      <x:c r="AS248" s="7" t="str">
        <x:f>IF(OR($D248="",AS$5="",'상세일정'!AM248="제외"),"",IF($D248=$E248,IF(AND($D248&gt;=AS$5,$D248&lt;AS$5+7),"◆",""),IF(AND($D248&lt;AS$5+7,$E248&gt;AS$5),"■","")))</x:f>
      </x:c>
      <x:c r="AT248" s="7" t="str">
        <x:f>IF(OR($D248="",AT$5="",'상세일정'!AM248="제외"),"",IF($D248=$E248,IF(AND($D248&gt;=AT$5,$D248&lt;AT$5+7),"◆",""),IF(AND($D248&lt;AT$5+7,$E248&gt;AT$5),"■","")))</x:f>
      </x:c>
      <x:c r="AU248" s="7" t="str">
        <x:f>IF(OR($D248="",AU$5="",'상세일정'!AM248="제외"),"",IF($D248=$E248,IF(AND($D248&gt;=AU$5,$D248&lt;AU$5+7),"◆",""),IF(AND($D248&lt;AU$5+7,$E248&gt;AU$5),"■","")))</x:f>
      </x:c>
      <x:c r="AV248" s="7" t="str">
        <x:f>IF(OR($D248="",AV$5="",'상세일정'!AM248="제외"),"",IF($D248=$E248,IF(AND($D248&gt;=AV$5,$D248&lt;AV$5+7),"◆",""),IF(AND($D248&lt;AV$5+7,$E248&gt;AV$5),"■","")))</x:f>
      </x:c>
      <x:c r="AW248" s="7" t="str">
        <x:f>IF(OR($D248="",AW$5="",'상세일정'!AM248="제외"),"",IF($D248=$E248,IF(AND($D248&gt;=AW$5,$D248&lt;AW$5+7),"◆",""),IF(AND($D248&lt;AW$5+7,$E248&gt;AW$5),"■","")))</x:f>
      </x:c>
      <x:c r="AX248" s="7" t="str">
        <x:f>IF(OR($D248="",AX$5="",'상세일정'!AM248="제외"),"",IF($D248=$E248,IF(AND($D248&gt;=AX$5,$D248&lt;AX$5+7),"◆",""),IF(AND($D248&lt;AX$5+7,$E248&gt;AX$5),"■","")))</x:f>
      </x:c>
      <x:c r="AY248" s="7" t="str">
        <x:f>IF(OR($D248="",AY$5="",'상세일정'!AM248="제외"),"",IF($D248=$E248,IF(AND($D248&gt;=AY$5,$D248&lt;AY$5+7),"◆",""),IF(AND($D248&lt;AY$5+7,$E248&gt;AY$5),"■","")))</x:f>
      </x:c>
      <x:c r="AZ248" s="7" t="str">
        <x:f>IF(OR($D248="",AZ$5="",'상세일정'!AM248="제외"),"",IF($D248=$E248,IF(AND($D248&gt;=AZ$5,$D248&lt;AZ$5+7),"◆",""),IF(AND($D248&lt;AZ$5+7,$E248&gt;AZ$5),"■","")))</x:f>
      </x:c>
      <x:c r="BA248" s="7" t="str">
        <x:f>IF(OR($D248="",BA$5="",'상세일정'!AM248="제외"),"",IF($D248=$E248,IF(AND($D248&gt;=BA$5,$D248&lt;BA$5+7),"◆",""),IF(AND($D248&lt;BA$5+7,$E248&gt;BA$5),"■","")))</x:f>
      </x:c>
      <x:c r="BB248" s="7" t="str">
        <x:f>IF(OR($D248="",BB$5="",'상세일정'!AM248="제외"),"",IF($D248=$E248,IF(AND($D248&gt;=BB$5,$D248&lt;BB$5+7),"◆",""),IF(AND($D248&lt;BB$5+7,$E248&gt;BB$5),"■","")))</x:f>
      </x:c>
      <x:c r="BC248" s="7" t="str">
        <x:f>IF(OR($D248="",BC$5="",'상세일정'!AM248="제외"),"",IF($D248=$E248,IF(AND($D248&gt;=BC$5,$D248&lt;BC$5+7),"◆",""),IF(AND($D248&lt;BC$5+7,$E248&gt;BC$5),"■","")))</x:f>
      </x:c>
      <x:c r="BD248" s="7" t="str">
        <x:f>IF(OR($D248="",BD$5="",'상세일정'!AM248="제외"),"",IF($D248=$E248,IF(AND($D248&gt;=BD$5,$D248&lt;BD$5+7),"◆",""),IF(AND($D248&lt;BD$5+7,$E248&gt;BD$5),"■","")))</x:f>
      </x:c>
      <x:c r="BE248" s="7" t="str">
        <x:f>IF(OR($D248="",BE$5="",'상세일정'!AM248="제외"),"",IF($D248=$E248,IF(AND($D248&gt;=BE$5,$D248&lt;BE$5+7),"◆",""),IF(AND($D248&lt;BE$5+7,$E248&gt;BE$5),"■","")))</x:f>
      </x:c>
      <x:c r="BF248" s="7" t="str">
        <x:f>IF(OR($D248="",BF$5="",'상세일정'!AM248="제외"),"",IF($D248=$E248,IF(AND($D248&gt;=BF$5,$D248&lt;BF$5+7),"◆",""),IF(AND($D248&lt;BF$5+7,$E248&gt;BF$5),"■","")))</x:f>
      </x:c>
      <x:c r="BG248" s="7" t="str">
        <x:f>IF(OR($D248="",BG$5="",'상세일정'!AM248="제외"),"",IF($D248=$E248,IF(AND($D248&gt;=BG$5,$D248&lt;BG$5+7),"◆",""),IF(AND($D248&lt;BG$5+7,$E248&gt;BG$5),"■","")))</x:f>
      </x:c>
      <x:c r="BH248" s="7" t="str">
        <x:f>IF(OR($D248="",BH$5="",'상세일정'!AM248="제외"),"",IF($D248=$E248,IF(AND($D248&gt;=BH$5,$D248&lt;BH$5+7),"◆",""),IF(AND($D248&lt;BH$5+7,$E248&gt;BH$5),"■","")))</x:f>
      </x:c>
      <x:c r="BI248" s="7" t="str">
        <x:f>IF(OR($D248="",BI$5="",'상세일정'!AM248="제외"),"",IF($D248=$E248,IF(AND($D248&gt;=BI$5,$D248&lt;BI$5+7),"◆",""),IF(AND($D248&lt;BI$5+7,$E248&gt;BI$5),"■","")))</x:f>
      </x:c>
      <x:c r="BJ248" s="7" t="str">
        <x:f>IF(OR($D248="",BJ$5="",'상세일정'!AM248="제외"),"",IF($D248=$E248,IF(AND($D248&gt;=BJ$5,$D248&lt;BJ$5+7),"◆",""),IF(AND($D248&lt;BJ$5+7,$E248&gt;BJ$5),"■","")))</x:f>
      </x:c>
      <x:c r="BK248" s="7" t="str">
        <x:f>IF(OR($D248="",BK$5="",'상세일정'!AM248="제외"),"",IF($D248=$E248,IF(AND($D248&gt;=BK$5,$D248&lt;BK$5+7),"◆",""),IF(AND($D248&lt;BK$5+7,$E248&gt;BK$5),"■","")))</x:f>
      </x:c>
      <x:c r="BL248" s="7" t="str">
        <x:f>IF(OR($D248="",BL$5="",'상세일정'!AM248="제외"),"",IF($D248=$E248,IF(AND($D248&gt;=BL$5,$D248&lt;BL$5+7),"◆",""),IF(AND($D248&lt;BL$5+7,$E248&gt;BL$5),"■","")))</x:f>
      </x:c>
      <x:c r="BM248" s="7" t="str">
        <x:f>IF(OR($D248="",BM$5="",'상세일정'!AM248="제외"),"",IF($D248=$E248,IF(AND($D248&gt;=BM$5,$D248&lt;BM$5+7),"◆",""),IF(AND($D248&lt;BM$5+7,$E248&gt;BM$5),"■","")))</x:f>
      </x:c>
      <x:c r="BN248" s="7" t="str">
        <x:f>IF(OR($D248="",BN$5="",'상세일정'!AM248="제외"),"",IF($D248=$E248,IF(AND($D248&gt;=BN$5,$D248&lt;BN$5+7),"◆",""),IF(AND($D248&lt;BN$5+7,$E248&gt;BN$5),"■","")))</x:f>
      </x:c>
      <x:c r="BO248" s="7" t="str">
        <x:f>IF(OR($D248="",BO$5="",'상세일정'!AM248="제외"),"",IF($D248=$E248,IF(AND($D248&gt;=BO$5,$D248&lt;BO$5+7),"◆",""),IF(AND($D248&lt;BO$5+7,$E248&gt;BO$5),"■","")))</x:f>
      </x:c>
      <x:c r="BP248" s="7" t="str">
        <x:f>IF(OR($D248="",BP$5="",'상세일정'!AM248="제외"),"",IF($D248=$E248,IF(AND($D248&gt;=BP$5,$D248&lt;BP$5+7),"◆",""),IF(AND($D248&lt;BP$5+7,$E248&gt;BP$5),"■","")))</x:f>
      </x:c>
      <x:c r="BQ248" s="7" t="str">
        <x:f>IF(OR($D248="",BQ$5="",'상세일정'!AM248="제외"),"",IF($D248=$E248,IF(AND($D248&gt;=BQ$5,$D248&lt;BQ$5+7),"◆",""),IF(AND($D248&lt;BQ$5+7,$E248&gt;BQ$5),"■","")))</x:f>
      </x:c>
      <x:c r="BR248" s="7" t="str">
        <x:f>IF(OR($D248="",BR$5="",'상세일정'!AM248="제외"),"",IF($D248=$E248,IF(AND($D248&gt;=BR$5,$D248&lt;BR$5+7),"◆",""),IF(AND($D248&lt;BR$5+7,$E248&gt;BR$5),"■","")))</x:f>
      </x:c>
      <x:c r="BS248" s="7" t="str">
        <x:f>IF(OR($D248="",BS$5="",'상세일정'!AM248="제외"),"",IF($D248=$E248,IF(AND($D248&gt;=BS$5,$D248&lt;BS$5+7),"◆",""),IF(AND($D248&lt;BS$5+7,$E248&gt;BS$5),"■","")))</x:f>
      </x:c>
      <x:c r="BT248" s="7" t="str">
        <x:f>IF(OR($D248="",BT$5="",'상세일정'!AM248="제외"),"",IF($D248=$E248,IF(AND($D248&gt;=BT$5,$D248&lt;BT$5+7),"◆",""),IF(AND($D248&lt;BT$5+7,$E248&gt;BT$5),"■","")))</x:f>
      </x:c>
      <x:c r="BU248" s="7" t="str">
        <x:f>IF(OR($D248="",BU$5="",'상세일정'!AM248="제외"),"",IF($D248=$E248,IF(AND($D248&gt;=BU$5,$D248&lt;BU$5+7),"◆",""),IF(AND($D248&lt;BU$5+7,$E248&gt;BU$5),"■","")))</x:f>
      </x:c>
      <x:c r="BV248" s="7" t="str">
        <x:f>IF(OR($D248="",BV$5="",'상세일정'!AM248="제외"),"",IF($D248=$E248,IF(AND($D248&gt;=BV$5,$D248&lt;BV$5+7),"◆",""),IF(AND($D248&lt;BV$5+7,$E248&gt;BV$5),"■","")))</x:f>
      </x:c>
      <x:c r="BW248" s="7" t="str">
        <x:f>IF(OR($D248="",BW$5="",'상세일정'!AM248="제외"),"",IF($D248=$E248,IF(AND($D248&gt;=BW$5,$D248&lt;BW$5+7),"◆",""),IF(AND($D248&lt;BW$5+7,$E248&gt;BW$5),"■","")))</x:f>
      </x:c>
      <x:c r="BX248" s="7" t="str">
        <x:f>IF(OR($D248="",BX$5="",'상세일정'!AM248="제외"),"",IF($D248=$E248,IF(AND($D248&gt;=BX$5,$D248&lt;BX$5+7),"◆",""),IF(AND($D248&lt;BX$5+7,$E248&gt;BX$5),"■","")))</x:f>
      </x:c>
      <x:c r="BY248" s="7" t="str">
        <x:f>IF(OR($D248="",BY$5="",'상세일정'!AM248="제외"),"",IF($D248=$E248,IF(AND($D248&gt;=BY$5,$D248&lt;BY$5+7),"◆",""),IF(AND($D248&lt;BY$5+7,$E248&gt;BY$5),"■","")))</x:f>
      </x:c>
      <x:c r="BZ248" s="7" t="str">
        <x:f>IF(OR($D248="",BZ$5="",'상세일정'!AM248="제외"),"",IF($D248=$E248,IF(AND($D248&gt;=BZ$5,$D248&lt;BZ$5+7),"◆",""),IF(AND($D248&lt;BZ$5+7,$E248&gt;BZ$5),"■","")))</x:f>
      </x:c>
      <x:c r="CA248" s="7" t="str">
        <x:f>IF(OR($D248="",CA$5="",'상세일정'!AM248="제외"),"",IF($D248=$E248,IF(AND($D248&gt;=CA$5,$D248&lt;CA$5+7),"◆",""),IF(AND($D248&lt;CA$5+7,$E248&gt;CA$5),"■","")))</x:f>
      </x:c>
      <x:c r="CB248" s="7" t="str">
        <x:f>IF(OR($D248="",CB$5="",'상세일정'!AM248="제외"),"",IF($D248=$E248,IF(AND($D248&gt;=CB$5,$D248&lt;CB$5+7),"◆",""),IF(AND($D248&lt;CB$5+7,$E248&gt;CB$5),"■","")))</x:f>
      </x:c>
      <x:c r="CC248" s="7" t="str">
        <x:f>IF(OR($D248="",CC$5="",'상세일정'!AM248="제외"),"",IF($D248=$E248,IF(AND($D248&gt;=CC$5,$D248&lt;CC$5+7),"◆",""),IF(AND($D248&lt;CC$5+7,$E248&gt;CC$5),"■","")))</x:f>
      </x:c>
      <x:c r="CD248" s="7" t="str">
        <x:f>IF(OR($D248="",CD$5="",'상세일정'!AM248="제외"),"",IF($D248=$E248,IF(AND($D248&gt;=CD$5,$D248&lt;CD$5+7),"◆",""),IF(AND($D248&lt;CD$5+7,$E248&gt;CD$5),"■","")))</x:f>
      </x:c>
      <x:c r="CE248" s="7" t="str">
        <x:f>IF(OR($D248="",CE$5="",'상세일정'!AM248="제외"),"",IF($D248=$E248,IF(AND($D248&gt;=CE$5,$D248&lt;CE$5+7),"◆",""),IF(AND($D248&lt;CE$5+7,$E248&gt;CE$5),"■","")))</x:f>
      </x:c>
      <x:c r="CF248" s="7" t="str">
        <x:f>IF(OR($D248="",CF$5="",'상세일정'!AM248="제외"),"",IF($D248=$E248,IF(AND($D248&gt;=CF$5,$D248&lt;CF$5+7),"◆",""),IF(AND($D248&lt;CF$5+7,$E248&gt;CF$5),"■","")))</x:f>
      </x:c>
      <x:c r="CG248" s="7" t="str">
        <x:f>IF(OR($D248="",CG$5="",'상세일정'!AM248="제외"),"",IF($D248=$E248,IF(AND($D248&gt;=CG$5,$D248&lt;CG$5+7),"◆",""),IF(AND($D248&lt;CG$5+7,$E248&gt;CG$5),"■","")))</x:f>
      </x:c>
      <x:c r="CH248" s="7" t="str">
        <x:f>IF(OR($D248="",CH$5="",'상세일정'!AM248="제외"),"",IF($D248=$E248,IF(AND($D248&gt;=CH$5,$D248&lt;CH$5+7),"◆",""),IF(AND($D248&lt;CH$5+7,$E248&gt;CH$5),"■","")))</x:f>
      </x:c>
      <x:c r="CI248" s="7" t="str">
        <x:f>IF(OR($D248="",CI$5="",'상세일정'!AM248="제외"),"",IF($D248=$E248,IF(AND($D248&gt;=CI$5,$D248&lt;CI$5+7),"◆",""),IF(AND($D248&lt;CI$5+7,$E248&gt;CI$5),"■","")))</x:f>
      </x:c>
      <x:c r="CJ248" s="7" t="str">
        <x:f>IF(OR($D248="",CJ$5="",'상세일정'!AM248="제외"),"",IF($D248=$E248,IF(AND($D248&gt;=CJ$5,$D248&lt;CJ$5+7),"◆",""),IF(AND($D248&lt;CJ$5+7,$E248&gt;CJ$5),"■","")))</x:f>
      </x:c>
      <x:c r="CK248" s="7" t="str">
        <x:f>IF(OR($D248="",CK$5="",'상세일정'!AM248="제외"),"",IF($D248=$E248,IF(AND($D248&gt;=CK$5,$D248&lt;CK$5+7),"◆",""),IF(AND($D248&lt;CK$5+7,$E248&gt;CK$5),"■","")))</x:f>
      </x:c>
      <x:c r="CL248" s="7" t="str">
        <x:f>IF(OR($D248="",CL$5="",'상세일정'!AM248="제외"),"",IF($D248=$E248,IF(AND($D248&gt;=CL$5,$D248&lt;CL$5+7),"◆",""),IF(AND($D248&lt;CL$5+7,$E248&gt;CL$5),"■","")))</x:f>
      </x:c>
      <x:c r="CM248" s="7" t="str">
        <x:f>IF(OR($D248="",CM$5="",'상세일정'!AM248="제외"),"",IF($D248=$E248,IF(AND($D248&gt;=CM$5,$D248&lt;CM$5+7),"◆",""),IF(AND($D248&lt;CM$5+7,$E248&gt;CM$5),"■","")))</x:f>
      </x:c>
      <x:c r="CN248" s="7" t="str">
        <x:f>IF(OR($D248="",CN$5="",'상세일정'!AM248="제외"),"",IF($D248=$E248,IF(AND($D248&gt;=CN$5,$D248&lt;CN$5+7),"◆",""),IF(AND($D248&lt;CN$5+7,$E248&gt;CN$5),"■","")))</x:f>
      </x:c>
      <x:c r="CO248" s="7" t="str">
        <x:f>IF(OR($D248="",CO$5="",'상세일정'!AM248="제외"),"",IF($D248=$E248,IF(AND($D248&gt;=CO$5,$D248&lt;CO$5+7),"◆",""),IF(AND($D248&lt;CO$5+7,$E248&gt;CO$5),"■","")))</x:f>
      </x:c>
      <x:c r="CP248" s="7" t="str">
        <x:f>IF(OR($D248="",CP$5="",'상세일정'!AM248="제외"),"",IF($D248=$E248,IF(AND($D248&gt;=CP$5,$D248&lt;CP$5+7),"◆",""),IF(AND($D248&lt;CP$5+7,$E248&gt;CP$5),"■","")))</x:f>
      </x:c>
      <x:c r="CQ248" s="7" t="str">
        <x:f>IF(OR($D248="",CQ$5="",'상세일정'!AM248="제외"),"",IF($D248=$E248,IF(AND($D248&gt;=CQ$5,$D248&lt;CQ$5+7),"◆",""),IF(AND($D248&lt;CQ$5+7,$E248&gt;CQ$5),"■","")))</x:f>
      </x:c>
      <x:c r="CR248" s="7" t="str">
        <x:f>IF(OR($D248="",CR$5="",'상세일정'!AM248="제외"),"",IF($D248=$E248,IF(AND($D248&gt;=CR$5,$D248&lt;CR$5+7),"◆",""),IF(AND($D248&lt;CR$5+7,$E248&gt;CR$5),"■","")))</x:f>
      </x:c>
      <x:c r="CS248" s="7" t="str">
        <x:f>IF(OR($D248="",CS$5="",'상세일정'!AM248="제외"),"",IF($D248=$E248,IF(AND($D248&gt;=CS$5,$D248&lt;CS$5+7),"◆",""),IF(AND($D248&lt;CS$5+7,$E248&gt;CS$5),"■","")))</x:f>
      </x:c>
      <x:c r="CT248" s="7" t="str">
        <x:f>IF(OR($D248="",CT$5="",'상세일정'!AM248="제외"),"",IF($D248=$E248,IF(AND($D248&gt;=CT$5,$D248&lt;CT$5+7),"◆",""),IF(AND($D248&lt;CT$5+7,$E248&gt;CT$5),"■","")))</x:f>
      </x:c>
      <x:c r="CU248" s="7" t="str">
        <x:f>IF(OR($D248="",CU$5="",'상세일정'!AM248="제외"),"",IF($D248=$E248,IF(AND($D248&gt;=CU$5,$D248&lt;CU$5+7),"◆",""),IF(AND($D248&lt;CU$5+7,$E248&gt;CU$5),"■","")))</x:f>
      </x:c>
      <x:c r="CV248" s="7" t="str">
        <x:f>IF(OR($D248="",CV$5="",'상세일정'!AM248="제외"),"",IF($D248=$E248,IF(AND($D248&gt;=CV$5,$D248&lt;CV$5+7),"◆",""),IF(AND($D248&lt;CV$5+7,$E248&gt;CV$5),"■","")))</x:f>
      </x:c>
      <x:c r="CW248" s="7" t="str">
        <x:f>IF(OR($D248="",CW$5="",'상세일정'!AM248="제외"),"",IF($D248=$E248,IF(AND($D248&gt;=CW$5,$D248&lt;CW$5+7),"◆",""),IF(AND($D248&lt;CW$5+7,$E248&gt;CW$5),"■","")))</x:f>
      </x:c>
      <x:c r="CX248" s="7" t="str">
        <x:f>IF(OR($D248="",CX$5="",'상세일정'!AM248="제외"),"",IF($D248=$E248,IF(AND($D248&gt;=CX$5,$D248&lt;CX$5+7),"◆",""),IF(AND($D248&lt;CX$5+7,$E248&gt;CX$5),"■","")))</x:f>
      </x:c>
      <x:c r="CY248" s="7" t="str">
        <x:f>IF(OR($D248="",CY$5="",'상세일정'!AM248="제외"),"",IF($D248=$E248,IF(AND($D248&gt;=CY$5,$D248&lt;CY$5+7),"◆",""),IF(AND($D248&lt;CY$5+7,$E248&gt;CY$5),"■","")))</x:f>
      </x:c>
      <x:c r="CZ248" s="7" t="str">
        <x:f>IF(OR($D248="",CZ$5="",'상세일정'!AM248="제외"),"",IF($D248=$E248,IF(AND($D248&gt;=CZ$5,$D248&lt;CZ$5+7),"◆",""),IF(AND($D248&lt;CZ$5+7,$E248&gt;CZ$5),"■","")))</x:f>
      </x:c>
      <x:c r="DA248" s="7" t="str">
        <x:f>IF(OR($D248="",DA$5="",'상세일정'!AM248="제외"),"",IF($D248=$E248,IF(AND($D248&gt;=DA$5,$D248&lt;DA$5+7),"◆",""),IF(AND($D248&lt;DA$5+7,$E248&gt;DA$5),"■","")))</x:f>
      </x:c>
      <x:c r="DB248" s="7" t="str">
        <x:f>IF(OR($D248="",DB$5="",'상세일정'!AM248="제외"),"",IF($D248=$E248,IF(AND($D248&gt;=DB$5,$D248&lt;DB$5+7),"◆",""),IF(AND($D248&lt;DB$5+7,$E248&gt;DB$5),"■","")))</x:f>
      </x:c>
      <x:c r="DC248" s="7" t="str">
        <x:f>IF(OR($D248="",DC$5="",'상세일정'!AM248="제외"),"",IF($D248=$E248,IF(AND($D248&gt;=DC$5,$D248&lt;DC$5+7),"◆",""),IF(AND($D248&lt;DC$5+7,$E248&gt;DC$5),"■","")))</x:f>
      </x:c>
      <x:c r="DD248" s="7" t="str">
        <x:f>IF(OR($D248="",DD$5="",'상세일정'!AM248="제외"),"",IF($D248=$E248,IF(AND($D248&gt;=DD$5,$D248&lt;DD$5+7),"◆",""),IF(AND($D248&lt;DD$5+7,$E248&gt;DD$5),"■","")))</x:f>
      </x:c>
      <x:c r="DE248" s="7" t="str">
        <x:f>IF(OR($D248="",DE$5="",'상세일정'!AM248="제외"),"",IF($D248=$E248,IF(AND($D248&gt;=DE$5,$D248&lt;DE$5+7),"◆",""),IF(AND($D248&lt;DE$5+7,$E248&gt;DE$5),"■","")))</x:f>
      </x:c>
    </x:row>
  </x:sheetData>
  <x:conditionalFormatting sqref="F6:DE248">
    <x:cfRule type="containsText" dxfId="0" priority="1" operator="containsText" text="■"/>
    <x:cfRule type="containsText" dxfId="1" priority="2" operator="containsText" text="◆"/>
  </x:conditionalFormatting>
  <x:pageMargins left="0.7" right="0.7" top="0.75" bottom="0.75" header="0.3" footer="0.3"/>
  <x:tableParts count="1">
    <x:tablePart xmlns:r="http://schemas.openxmlformats.org/officeDocument/2006/relationships" r:id="R0d9a1fca20974ea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2" hidden="0" customWidth="1"/>
    <x:col min="8" max="8" width="38" hidden="0" customWidth="1"/>
    <x:col min="9" max="9" width="38" hidden="0" customWidth="1"/>
    <x:col min="10" max="10" width="65" hidden="0" customWidth="1"/>
    <x:col min="11" max="11" width="55" hidden="0" customWidth="1"/>
    <x:col min="12" max="12" width="24" hidden="0" customWidth="1"/>
    <x:col min="13" max="13" width="18" hidden="0" customWidth="1"/>
    <x:col min="14" max="14" width="24" hidden="0" customWidth="1"/>
    <x:col min="15" max="15" width="17" hidden="0" customWidth="1"/>
    <x:col min="16" max="16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프로젝트 변경·실적 이력 | PJ_ID + Activity ID로 연결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6" customHeight="1">
      <x:c r="A5" s="6" t="str">
        <x:v>이력 ID</x:v>
      </x:c>
      <x:c r="B5" s="6" t="str">
        <x:v>PJ_ID</x:v>
      </x:c>
      <x:c r="C5" s="6" t="str">
        <x:v>발생일</x:v>
      </x:c>
      <x:c r="D5" s="6" t="str">
        <x:v>등록일</x:v>
      </x:c>
      <x:c r="E5" s="6" t="str">
        <x:v>Activity ID</x:v>
      </x:c>
      <x:c r="F5" s="6" t="str">
        <x:v>변경유형</x:v>
      </x:c>
      <x:c r="G5" s="6" t="str">
        <x:v>변경 필드</x:v>
      </x:c>
      <x:c r="H5" s="6" t="str">
        <x:v>변경 전</x:v>
      </x:c>
      <x:c r="I5" s="6" t="str">
        <x:v>변경 후</x:v>
      </x:c>
      <x:c r="J5" s="6" t="str">
        <x:v>사유 / 일정 영향</x:v>
      </x:c>
      <x:c r="K5" s="6" t="str">
        <x:v>근거 문서·Rev.</x:v>
      </x:c>
      <x:c r="L5" s="6" t="str">
        <x:v>조치 담당</x:v>
      </x:c>
      <x:c r="M5" s="6" t="str">
        <x:v>회신/조치기한</x:v>
      </x:c>
      <x:c r="N5" s="6" t="str">
        <x:v>승인자</x:v>
      </x:c>
      <x:c r="O5" s="6" t="str">
        <x:v>승인일</x:v>
      </x:c>
      <x:c r="P5" s="6" t="str">
        <x:v>기준선 반영버전</x:v>
      </x:c>
    </x:row>
    <x:row r="6" ht="34" customHeight="1">
      <x:c r="A6" s="8"/>
      <x:c r="B6" s="8"/>
      <x:c r="C6" s="9"/>
      <x:c r="D6" s="9"/>
      <x:c r="E6" s="8"/>
      <x:c r="F6" s="8"/>
      <x:c r="G6" s="8"/>
      <x:c r="H6" s="8"/>
      <x:c r="I6" s="8"/>
      <x:c r="J6" s="8"/>
      <x:c r="K6" s="8"/>
      <x:c r="L6" s="8"/>
      <x:c r="M6" s="9"/>
      <x:c r="N6" s="8"/>
      <x:c r="O6" s="9"/>
      <x:c r="P6" s="8"/>
    </x:row>
    <x:row r="7" ht="34" customHeight="1">
      <x:c r="A7" s="8"/>
      <x:c r="B7" s="8"/>
      <x:c r="C7" s="9"/>
      <x:c r="D7" s="9"/>
      <x:c r="E7" s="8"/>
      <x:c r="F7" s="8"/>
      <x:c r="G7" s="8"/>
      <x:c r="H7" s="8"/>
      <x:c r="I7" s="8"/>
      <x:c r="J7" s="8"/>
      <x:c r="K7" s="8"/>
      <x:c r="L7" s="8"/>
      <x:c r="M7" s="9"/>
      <x:c r="N7" s="8"/>
      <x:c r="O7" s="9"/>
      <x:c r="P7" s="8"/>
    </x:row>
    <x:row r="8" ht="34" customHeight="1">
      <x:c r="A8" s="8"/>
      <x:c r="B8" s="8"/>
      <x:c r="C8" s="9"/>
      <x:c r="D8" s="9"/>
      <x:c r="E8" s="8"/>
      <x:c r="F8" s="8"/>
      <x:c r="G8" s="8"/>
      <x:c r="H8" s="8"/>
      <x:c r="I8" s="8"/>
      <x:c r="J8" s="8"/>
      <x:c r="K8" s="8"/>
      <x:c r="L8" s="8"/>
      <x:c r="M8" s="9"/>
      <x:c r="N8" s="8"/>
      <x:c r="O8" s="9"/>
      <x:c r="P8" s="8"/>
    </x:row>
    <x:row r="9" ht="34" customHeight="1">
      <x:c r="A9" s="8"/>
      <x:c r="B9" s="8"/>
      <x:c r="C9" s="9"/>
      <x:c r="D9" s="9"/>
      <x:c r="E9" s="8"/>
      <x:c r="F9" s="8"/>
      <x:c r="G9" s="8"/>
      <x:c r="H9" s="8"/>
      <x:c r="I9" s="8"/>
      <x:c r="J9" s="8"/>
      <x:c r="K9" s="8"/>
      <x:c r="L9" s="8"/>
      <x:c r="M9" s="9"/>
      <x:c r="N9" s="8"/>
      <x:c r="O9" s="9"/>
      <x:c r="P9" s="8"/>
    </x:row>
    <x:row r="10" ht="34" customHeight="1">
      <x:c r="A10" s="8"/>
      <x:c r="B10" s="8"/>
      <x:c r="C10" s="9"/>
      <x:c r="D10" s="9"/>
      <x:c r="E10" s="8"/>
      <x:c r="F10" s="8"/>
      <x:c r="G10" s="8"/>
      <x:c r="H10" s="8"/>
      <x:c r="I10" s="8"/>
      <x:c r="J10" s="8"/>
      <x:c r="K10" s="8"/>
      <x:c r="L10" s="8"/>
      <x:c r="M10" s="9"/>
      <x:c r="N10" s="8"/>
      <x:c r="O10" s="9"/>
      <x:c r="P10" s="8"/>
    </x:row>
    <x:row r="11" ht="34" customHeight="1">
      <x:c r="A11" s="8"/>
      <x:c r="B11" s="8"/>
      <x:c r="C11" s="9"/>
      <x:c r="D11" s="9"/>
      <x:c r="E11" s="8"/>
      <x:c r="F11" s="8"/>
      <x:c r="G11" s="8"/>
      <x:c r="H11" s="8"/>
      <x:c r="I11" s="8"/>
      <x:c r="J11" s="8"/>
      <x:c r="K11" s="8"/>
      <x:c r="L11" s="8"/>
      <x:c r="M11" s="9"/>
      <x:c r="N11" s="8"/>
      <x:c r="O11" s="9"/>
      <x:c r="P11" s="8"/>
    </x:row>
    <x:row r="12" ht="34" customHeight="1">
      <x:c r="A12" s="8"/>
      <x:c r="B12" s="8"/>
      <x:c r="C12" s="9"/>
      <x:c r="D12" s="9"/>
      <x:c r="E12" s="8"/>
      <x:c r="F12" s="8"/>
      <x:c r="G12" s="8"/>
      <x:c r="H12" s="8"/>
      <x:c r="I12" s="8"/>
      <x:c r="J12" s="8"/>
      <x:c r="K12" s="8"/>
      <x:c r="L12" s="8"/>
      <x:c r="M12" s="9"/>
      <x:c r="N12" s="8"/>
      <x:c r="O12" s="9"/>
      <x:c r="P12" s="8"/>
    </x:row>
    <x:row r="13" ht="34" customHeight="1">
      <x:c r="A13" s="8"/>
      <x:c r="B13" s="8"/>
      <x:c r="C13" s="9"/>
      <x:c r="D13" s="9"/>
      <x:c r="E13" s="8"/>
      <x:c r="F13" s="8"/>
      <x:c r="G13" s="8"/>
      <x:c r="H13" s="8"/>
      <x:c r="I13" s="8"/>
      <x:c r="J13" s="8"/>
      <x:c r="K13" s="8"/>
      <x:c r="L13" s="8"/>
      <x:c r="M13" s="9"/>
      <x:c r="N13" s="8"/>
      <x:c r="O13" s="9"/>
      <x:c r="P13" s="8"/>
    </x:row>
    <x:row r="14" ht="34" customHeight="1">
      <x:c r="A14" s="8"/>
      <x:c r="B14" s="8"/>
      <x:c r="C14" s="9"/>
      <x:c r="D14" s="9"/>
      <x:c r="E14" s="8"/>
      <x:c r="F14" s="8"/>
      <x:c r="G14" s="8"/>
      <x:c r="H14" s="8"/>
      <x:c r="I14" s="8"/>
      <x:c r="J14" s="8"/>
      <x:c r="K14" s="8"/>
      <x:c r="L14" s="8"/>
      <x:c r="M14" s="9"/>
      <x:c r="N14" s="8"/>
      <x:c r="O14" s="9"/>
      <x:c r="P14" s="8"/>
    </x:row>
    <x:row r="15" ht="34" customHeight="1">
      <x:c r="A15" s="8"/>
      <x:c r="B15" s="8"/>
      <x:c r="C15" s="9"/>
      <x:c r="D15" s="9"/>
      <x:c r="E15" s="8"/>
      <x:c r="F15" s="8"/>
      <x:c r="G15" s="8"/>
      <x:c r="H15" s="8"/>
      <x:c r="I15" s="8"/>
      <x:c r="J15" s="8"/>
      <x:c r="K15" s="8"/>
      <x:c r="L15" s="8"/>
      <x:c r="M15" s="9"/>
      <x:c r="N15" s="8"/>
      <x:c r="O15" s="9"/>
      <x:c r="P15" s="8"/>
    </x:row>
    <x:row r="16" ht="34" customHeight="1">
      <x:c r="A16" s="8"/>
      <x:c r="B16" s="8"/>
      <x:c r="C16" s="9"/>
      <x:c r="D16" s="9"/>
      <x:c r="E16" s="8"/>
      <x:c r="F16" s="8"/>
      <x:c r="G16" s="8"/>
      <x:c r="H16" s="8"/>
      <x:c r="I16" s="8"/>
      <x:c r="J16" s="8"/>
      <x:c r="K16" s="8"/>
      <x:c r="L16" s="8"/>
      <x:c r="M16" s="9"/>
      <x:c r="N16" s="8"/>
      <x:c r="O16" s="9"/>
      <x:c r="P16" s="8"/>
    </x:row>
    <x:row r="17" ht="34" customHeight="1">
      <x:c r="A17" s="8"/>
      <x:c r="B17" s="8"/>
      <x:c r="C17" s="9"/>
      <x:c r="D17" s="9"/>
      <x:c r="E17" s="8"/>
      <x:c r="F17" s="8"/>
      <x:c r="G17" s="8"/>
      <x:c r="H17" s="8"/>
      <x:c r="I17" s="8"/>
      <x:c r="J17" s="8"/>
      <x:c r="K17" s="8"/>
      <x:c r="L17" s="8"/>
      <x:c r="M17" s="9"/>
      <x:c r="N17" s="8"/>
      <x:c r="O17" s="9"/>
      <x:c r="P17" s="8"/>
    </x:row>
    <x:row r="18" ht="34" customHeight="1">
      <x:c r="A18" s="8"/>
      <x:c r="B18" s="8"/>
      <x:c r="C18" s="9"/>
      <x:c r="D18" s="9"/>
      <x:c r="E18" s="8"/>
      <x:c r="F18" s="8"/>
      <x:c r="G18" s="8"/>
      <x:c r="H18" s="8"/>
      <x:c r="I18" s="8"/>
      <x:c r="J18" s="8"/>
      <x:c r="K18" s="8"/>
      <x:c r="L18" s="8"/>
      <x:c r="M18" s="9"/>
      <x:c r="N18" s="8"/>
      <x:c r="O18" s="9"/>
      <x:c r="P18" s="8"/>
    </x:row>
    <x:row r="19" ht="34" customHeight="1">
      <x:c r="A19" s="8"/>
      <x:c r="B19" s="8"/>
      <x:c r="C19" s="9"/>
      <x:c r="D19" s="9"/>
      <x:c r="E19" s="8"/>
      <x:c r="F19" s="8"/>
      <x:c r="G19" s="8"/>
      <x:c r="H19" s="8"/>
      <x:c r="I19" s="8"/>
      <x:c r="J19" s="8"/>
      <x:c r="K19" s="8"/>
      <x:c r="L19" s="8"/>
      <x:c r="M19" s="9"/>
      <x:c r="N19" s="8"/>
      <x:c r="O19" s="9"/>
      <x:c r="P19" s="8"/>
    </x:row>
    <x:row r="20" ht="34" customHeight="1">
      <x:c r="A20" s="8"/>
      <x:c r="B20" s="8"/>
      <x:c r="C20" s="9"/>
      <x:c r="D20" s="9"/>
      <x:c r="E20" s="8"/>
      <x:c r="F20" s="8"/>
      <x:c r="G20" s="8"/>
      <x:c r="H20" s="8"/>
      <x:c r="I20" s="8"/>
      <x:c r="J20" s="8"/>
      <x:c r="K20" s="8"/>
      <x:c r="L20" s="8"/>
      <x:c r="M20" s="9"/>
      <x:c r="N20" s="8"/>
      <x:c r="O20" s="9"/>
      <x:c r="P20" s="8"/>
    </x:row>
    <x:row r="21" ht="34" customHeight="1">
      <x:c r="A21" s="8"/>
      <x:c r="B21" s="8"/>
      <x:c r="C21" s="9"/>
      <x:c r="D21" s="9"/>
      <x:c r="E21" s="8"/>
      <x:c r="F21" s="8"/>
      <x:c r="G21" s="8"/>
      <x:c r="H21" s="8"/>
      <x:c r="I21" s="8"/>
      <x:c r="J21" s="8"/>
      <x:c r="K21" s="8"/>
      <x:c r="L21" s="8"/>
      <x:c r="M21" s="9"/>
      <x:c r="N21" s="8"/>
      <x:c r="O21" s="9"/>
      <x:c r="P21" s="8"/>
    </x:row>
    <x:row r="22" ht="34" customHeight="1">
      <x:c r="A22" s="8"/>
      <x:c r="B22" s="8"/>
      <x:c r="C22" s="9"/>
      <x:c r="D22" s="9"/>
      <x:c r="E22" s="8"/>
      <x:c r="F22" s="8"/>
      <x:c r="G22" s="8"/>
      <x:c r="H22" s="8"/>
      <x:c r="I22" s="8"/>
      <x:c r="J22" s="8"/>
      <x:c r="K22" s="8"/>
      <x:c r="L22" s="8"/>
      <x:c r="M22" s="9"/>
      <x:c r="N22" s="8"/>
      <x:c r="O22" s="9"/>
      <x:c r="P22" s="8"/>
    </x:row>
    <x:row r="23" ht="34" customHeight="1">
      <x:c r="A23" s="8"/>
      <x:c r="B23" s="8"/>
      <x:c r="C23" s="9"/>
      <x:c r="D23" s="9"/>
      <x:c r="E23" s="8"/>
      <x:c r="F23" s="8"/>
      <x:c r="G23" s="8"/>
      <x:c r="H23" s="8"/>
      <x:c r="I23" s="8"/>
      <x:c r="J23" s="8"/>
      <x:c r="K23" s="8"/>
      <x:c r="L23" s="8"/>
      <x:c r="M23" s="9"/>
      <x:c r="N23" s="8"/>
      <x:c r="O23" s="9"/>
      <x:c r="P23" s="8"/>
    </x:row>
    <x:row r="24" ht="34" customHeight="1">
      <x:c r="A24" s="8"/>
      <x:c r="B24" s="8"/>
      <x:c r="C24" s="9"/>
      <x:c r="D24" s="9"/>
      <x:c r="E24" s="8"/>
      <x:c r="F24" s="8"/>
      <x:c r="G24" s="8"/>
      <x:c r="H24" s="8"/>
      <x:c r="I24" s="8"/>
      <x:c r="J24" s="8"/>
      <x:c r="K24" s="8"/>
      <x:c r="L24" s="8"/>
      <x:c r="M24" s="9"/>
      <x:c r="N24" s="8"/>
      <x:c r="O24" s="9"/>
      <x:c r="P24" s="8"/>
    </x:row>
    <x:row r="25" ht="34" customHeight="1">
      <x:c r="A25" s="8"/>
      <x:c r="B25" s="8"/>
      <x:c r="C25" s="9"/>
      <x:c r="D25" s="9"/>
      <x:c r="E25" s="8"/>
      <x:c r="F25" s="8"/>
      <x:c r="G25" s="8"/>
      <x:c r="H25" s="8"/>
      <x:c r="I25" s="8"/>
      <x:c r="J25" s="8"/>
      <x:c r="K25" s="8"/>
      <x:c r="L25" s="8"/>
      <x:c r="M25" s="9"/>
      <x:c r="N25" s="8"/>
      <x:c r="O25" s="9"/>
      <x:c r="P25" s="8"/>
    </x:row>
    <x:row r="26" ht="34" customHeight="1">
      <x:c r="A26" s="8"/>
      <x:c r="B26" s="8"/>
      <x:c r="C26" s="9"/>
      <x:c r="D26" s="9"/>
      <x:c r="E26" s="8"/>
      <x:c r="F26" s="8"/>
      <x:c r="G26" s="8"/>
      <x:c r="H26" s="8"/>
      <x:c r="I26" s="8"/>
      <x:c r="J26" s="8"/>
      <x:c r="K26" s="8"/>
      <x:c r="L26" s="8"/>
      <x:c r="M26" s="9"/>
      <x:c r="N26" s="8"/>
      <x:c r="O26" s="9"/>
      <x:c r="P26" s="8"/>
    </x:row>
    <x:row r="27" ht="34" customHeight="1">
      <x:c r="A27" s="8"/>
      <x:c r="B27" s="8"/>
      <x:c r="C27" s="9"/>
      <x:c r="D27" s="9"/>
      <x:c r="E27" s="8"/>
      <x:c r="F27" s="8"/>
      <x:c r="G27" s="8"/>
      <x:c r="H27" s="8"/>
      <x:c r="I27" s="8"/>
      <x:c r="J27" s="8"/>
      <x:c r="K27" s="8"/>
      <x:c r="L27" s="8"/>
      <x:c r="M27" s="9"/>
      <x:c r="N27" s="8"/>
      <x:c r="O27" s="9"/>
      <x:c r="P27" s="8"/>
    </x:row>
    <x:row r="28" ht="34" customHeight="1">
      <x:c r="A28" s="8"/>
      <x:c r="B28" s="8"/>
      <x:c r="C28" s="9"/>
      <x:c r="D28" s="9"/>
      <x:c r="E28" s="8"/>
      <x:c r="F28" s="8"/>
      <x:c r="G28" s="8"/>
      <x:c r="H28" s="8"/>
      <x:c r="I28" s="8"/>
      <x:c r="J28" s="8"/>
      <x:c r="K28" s="8"/>
      <x:c r="L28" s="8"/>
      <x:c r="M28" s="9"/>
      <x:c r="N28" s="8"/>
      <x:c r="O28" s="9"/>
      <x:c r="P28" s="8"/>
    </x:row>
    <x:row r="29" ht="34" customHeight="1">
      <x:c r="A29" s="8"/>
      <x:c r="B29" s="8"/>
      <x:c r="C29" s="9"/>
      <x:c r="D29" s="9"/>
      <x:c r="E29" s="8"/>
      <x:c r="F29" s="8"/>
      <x:c r="G29" s="8"/>
      <x:c r="H29" s="8"/>
      <x:c r="I29" s="8"/>
      <x:c r="J29" s="8"/>
      <x:c r="K29" s="8"/>
      <x:c r="L29" s="8"/>
      <x:c r="M29" s="9"/>
      <x:c r="N29" s="8"/>
      <x:c r="O29" s="9"/>
      <x:c r="P29" s="8"/>
    </x:row>
    <x:row r="30" ht="34" customHeight="1">
      <x:c r="A30" s="8"/>
      <x:c r="B30" s="8"/>
      <x:c r="C30" s="9"/>
      <x:c r="D30" s="9"/>
      <x:c r="E30" s="8"/>
      <x:c r="F30" s="8"/>
      <x:c r="G30" s="8"/>
      <x:c r="H30" s="8"/>
      <x:c r="I30" s="8"/>
      <x:c r="J30" s="8"/>
      <x:c r="K30" s="8"/>
      <x:c r="L30" s="8"/>
      <x:c r="M30" s="9"/>
      <x:c r="N30" s="8"/>
      <x:c r="O30" s="9"/>
      <x:c r="P30" s="8"/>
    </x:row>
    <x:row r="31" ht="34" customHeight="1">
      <x:c r="A31" s="8"/>
      <x:c r="B31" s="8"/>
      <x:c r="C31" s="9"/>
      <x:c r="D31" s="9"/>
      <x:c r="E31" s="8"/>
      <x:c r="F31" s="8"/>
      <x:c r="G31" s="8"/>
      <x:c r="H31" s="8"/>
      <x:c r="I31" s="8"/>
      <x:c r="J31" s="8"/>
      <x:c r="K31" s="8"/>
      <x:c r="L31" s="8"/>
      <x:c r="M31" s="9"/>
      <x:c r="N31" s="8"/>
      <x:c r="O31" s="9"/>
      <x:c r="P31" s="8"/>
    </x:row>
    <x:row r="32" ht="34" customHeight="1">
      <x:c r="A32" s="8"/>
      <x:c r="B32" s="8"/>
      <x:c r="C32" s="9"/>
      <x:c r="D32" s="9"/>
      <x:c r="E32" s="8"/>
      <x:c r="F32" s="8"/>
      <x:c r="G32" s="8"/>
      <x:c r="H32" s="8"/>
      <x:c r="I32" s="8"/>
      <x:c r="J32" s="8"/>
      <x:c r="K32" s="8"/>
      <x:c r="L32" s="8"/>
      <x:c r="M32" s="9"/>
      <x:c r="N32" s="8"/>
      <x:c r="O32" s="9"/>
      <x:c r="P32" s="8"/>
    </x:row>
    <x:row r="33" ht="34" customHeight="1">
      <x:c r="A33" s="8"/>
      <x:c r="B33" s="8"/>
      <x:c r="C33" s="9"/>
      <x:c r="D33" s="9"/>
      <x:c r="E33" s="8"/>
      <x:c r="F33" s="8"/>
      <x:c r="G33" s="8"/>
      <x:c r="H33" s="8"/>
      <x:c r="I33" s="8"/>
      <x:c r="J33" s="8"/>
      <x:c r="K33" s="8"/>
      <x:c r="L33" s="8"/>
      <x:c r="M33" s="9"/>
      <x:c r="N33" s="8"/>
      <x:c r="O33" s="9"/>
      <x:c r="P33" s="8"/>
    </x:row>
    <x:row r="34" ht="34" customHeight="1">
      <x:c r="A34" s="8"/>
      <x:c r="B34" s="8"/>
      <x:c r="C34" s="9"/>
      <x:c r="D34" s="9"/>
      <x:c r="E34" s="8"/>
      <x:c r="F34" s="8"/>
      <x:c r="G34" s="8"/>
      <x:c r="H34" s="8"/>
      <x:c r="I34" s="8"/>
      <x:c r="J34" s="8"/>
      <x:c r="K34" s="8"/>
      <x:c r="L34" s="8"/>
      <x:c r="M34" s="9"/>
      <x:c r="N34" s="8"/>
      <x:c r="O34" s="9"/>
      <x:c r="P34" s="8"/>
    </x:row>
    <x:row r="35" ht="34" customHeight="1">
      <x:c r="A35" s="8"/>
      <x:c r="B35" s="8"/>
      <x:c r="C35" s="9"/>
      <x:c r="D35" s="9"/>
      <x:c r="E35" s="8"/>
      <x:c r="F35" s="8"/>
      <x:c r="G35" s="8"/>
      <x:c r="H35" s="8"/>
      <x:c r="I35" s="8"/>
      <x:c r="J35" s="8"/>
      <x:c r="K35" s="8"/>
      <x:c r="L35" s="8"/>
      <x:c r="M35" s="9"/>
      <x:c r="N35" s="8"/>
      <x:c r="O35" s="9"/>
      <x:c r="P35" s="8"/>
    </x:row>
  </x:sheetData>
  <x:dataValidations count="1">
    <x:dataValidation type="list" sqref="F6:F35">
      <x:formula1>"실적 등록,일정 변경,설계 변경,적용성 결정,기관 회신,벤더 변경,기준선 승인"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7bdfeb94ef4d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8" hidden="0" customWidth="1"/>
    <x:col min="4" max="4" width="22" hidden="0" customWidth="1"/>
    <x:col min="5" max="5" width="42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  <x:col min="11" max="11" width="60" hidden="0" customWidth="1"/>
    <x:col min="12" max="12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몬테카를로 리스크 입력 | 확률 미입력 상태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6" t="str">
        <x:v>Risk ID</x:v>
      </x:c>
      <x:c r="B5" s="6" t="str">
        <x:v>공통원인 그룹</x:v>
      </x:c>
      <x:c r="C5" s="6" t="str">
        <x:v>리스크 내용</x:v>
      </x:c>
      <x:c r="D5" s="6" t="str">
        <x:v>연결 모듈</x:v>
      </x:c>
      <x:c r="E5" s="6" t="str">
        <x:v>발생 조건</x:v>
      </x:c>
      <x:c r="F5" s="6" t="str">
        <x:v>발생확률 0~1</x:v>
      </x:c>
      <x:c r="G5" s="6" t="str">
        <x:v>영향 O(일)</x:v>
      </x:c>
      <x:c r="H5" s="6" t="str">
        <x:v>영향 M(일)</x:v>
      </x:c>
      <x:c r="I5" s="6" t="str">
        <x:v>영향 P(일)</x:v>
      </x:c>
      <x:c r="J5" s="6" t="str">
        <x:v>대응 담당</x:v>
      </x:c>
      <x:c r="K5" s="6" t="str">
        <x:v>완화조치</x:v>
      </x:c>
      <x:c r="L5" s="6" t="str">
        <x:v>중복 반영 점검</x:v>
      </x:c>
    </x:row>
    <x:row r="6" ht="34" customHeight="1">
      <x:c r="A6" s="7" t="str">
        <x:v>R01</x:v>
      </x:c>
      <x:c r="B6" s="7" t="str">
        <x:v>기관심사</x:v>
      </x:c>
      <x:c r="C6" s="7" t="str">
        <x:v>도시계획·허가·법정검사 지연</x:v>
      </x:c>
      <x:c r="D6" s="7" t="str">
        <x:v>03/10/12/13</x:v>
      </x:c>
      <x:c r="E6" s="7" t="str">
        <x:v>심사 상정·보완 반복</x:v>
      </x:c>
      <x:c r="F6" s="13"/>
      <x:c r="G6" s="8"/>
      <x:c r="H6" s="8"/>
      <x:c r="I6" s="8"/>
      <x:c r="J6" s="8" t="str"/>
      <x:c r="K6" s="8" t="str"/>
      <x:c r="L6" s="7" t="str">
        <x:v>작업 P기간과 이벤트에 동일 지연 중복 반영 금지</x:v>
      </x:c>
    </x:row>
    <x:row r="7" ht="34" customHeight="1">
      <x:c r="A7" s="7" t="str">
        <x:v>R02</x:v>
      </x:c>
      <x:c r="B7" s="7" t="str">
        <x:v>설계변경</x:v>
      </x:c>
      <x:c r="C7" s="7" t="str">
        <x:v>배치·VP 변경의 다분야 영향</x:v>
      </x:c>
      <x:c r="D7" s="7" t="str">
        <x:v>04/05/06/07/08/09</x:v>
      </x:c>
      <x:c r="E7" s="7" t="str">
        <x:v>설계 동결 후 변경</x:v>
      </x:c>
      <x:c r="F7" s="13"/>
      <x:c r="G7" s="8"/>
      <x:c r="H7" s="8"/>
      <x:c r="I7" s="8"/>
      <x:c r="J7" s="8" t="str"/>
      <x:c r="K7" s="8" t="str"/>
      <x:c r="L7" s="7" t="str">
        <x:v>작업 P기간과 이벤트에 동일 지연 중복 반영 금지</x:v>
      </x:c>
    </x:row>
    <x:row r="8" ht="34" customHeight="1">
      <x:c r="A8" s="7" t="str">
        <x:v>R03</x:v>
      </x:c>
      <x:c r="B8" s="7" t="str">
        <x:v>공급망</x:v>
      </x:c>
      <x:c r="C8" s="7" t="str">
        <x:v>장납기 기자재·FAT 재시험</x:v>
      </x:c>
      <x:c r="D8" s="7" t="str">
        <x:v>16</x:v>
      </x:c>
      <x:c r="E8" s="7" t="str">
        <x:v>자재 조달·제작·운송 지연</x:v>
      </x:c>
      <x:c r="F8" s="13"/>
      <x:c r="G8" s="8"/>
      <x:c r="H8" s="8"/>
      <x:c r="I8" s="8"/>
      <x:c r="J8" s="8" t="str"/>
      <x:c r="K8" s="8" t="str"/>
      <x:c r="L8" s="7" t="str">
        <x:v>작업 P기간과 이벤트에 동일 지연 중복 반영 금지</x:v>
      </x:c>
    </x:row>
    <x:row r="9" ht="34" customHeight="1">
      <x:c r="A9" s="7" t="str">
        <x:v>R04</x:v>
      </x:c>
      <x:c r="B9" s="7" t="str">
        <x:v>기상</x:v>
      </x:c>
      <x:c r="C9" s="7" t="str">
        <x:v>동절기·강우·양생 지연</x:v>
      </x:c>
      <x:c r="D9" s="7" t="str">
        <x:v>17/18/19/20</x:v>
      </x:c>
      <x:c r="E9" s="7" t="str">
        <x:v>현장 기상·공법 조건</x:v>
      </x:c>
      <x:c r="F9" s="13"/>
      <x:c r="G9" s="8"/>
      <x:c r="H9" s="8"/>
      <x:c r="I9" s="8"/>
      <x:c r="J9" s="8" t="str"/>
      <x:c r="K9" s="8" t="str"/>
      <x:c r="L9" s="7" t="str">
        <x:v>작업 P기간과 이벤트에 동일 지연 중복 반영 금지</x:v>
      </x:c>
    </x:row>
    <x:row r="10" ht="34" customHeight="1">
      <x:c r="A10" s="7" t="str">
        <x:v>R05</x:v>
      </x:c>
      <x:c r="B10" s="7" t="str">
        <x:v>검사일정</x:v>
      </x:c>
      <x:c r="C10" s="7" t="str">
        <x:v>타설·매립 전 검사 대기</x:v>
      </x:c>
      <x:c r="D10" s="7" t="str">
        <x:v>17/18/22/26</x:v>
      </x:c>
      <x:c r="E10" s="7" t="str">
        <x:v>입회일 미확보</x:v>
      </x:c>
      <x:c r="F10" s="13"/>
      <x:c r="G10" s="8"/>
      <x:c r="H10" s="8"/>
      <x:c r="I10" s="8"/>
      <x:c r="J10" s="8" t="str"/>
      <x:c r="K10" s="8" t="str"/>
      <x:c r="L10" s="7" t="str">
        <x:v>작업 P기간과 이벤트에 동일 지연 중복 반영 금지</x:v>
      </x:c>
    </x:row>
    <x:row r="11" ht="34" customHeight="1">
      <x:c r="A11" s="7" t="str">
        <x:v>R06</x:v>
      </x:c>
      <x:c r="B11" s="7" t="str">
        <x:v>외부유틸리티</x:v>
      </x:c>
      <x:c r="C11" s="7" t="str">
        <x:v>전력·용수·원료 인입 지연</x:v>
      </x:c>
      <x:c r="D11" s="7" t="str">
        <x:v>24</x:v>
      </x:c>
      <x:c r="E11" s="7" t="str">
        <x:v>공급일 미확정</x:v>
      </x:c>
      <x:c r="F11" s="13"/>
      <x:c r="G11" s="8"/>
      <x:c r="H11" s="8"/>
      <x:c r="I11" s="8"/>
      <x:c r="J11" s="8" t="str"/>
      <x:c r="K11" s="8" t="str"/>
      <x:c r="L11" s="7" t="str">
        <x:v>작업 P기간과 이벤트에 동일 지연 중복 반영 금지</x:v>
      </x:c>
    </x:row>
    <x:row r="12" ht="34" customHeight="1">
      <x:c r="A12" s="7" t="str">
        <x:v>R07</x:v>
      </x:c>
      <x:c r="B12" s="7" t="str">
        <x:v>시운전</x:v>
      </x:c>
      <x:c r="C12" s="7" t="str">
        <x:v>품질·성능 미달 및 재시험</x:v>
      </x:c>
      <x:c r="D12" s="7" t="str">
        <x:v>26/28</x:v>
      </x:c>
      <x:c r="E12" s="7" t="str">
        <x:v>성능보증 미달</x:v>
      </x:c>
      <x:c r="F12" s="13"/>
      <x:c r="G12" s="8"/>
      <x:c r="H12" s="8"/>
      <x:c r="I12" s="8"/>
      <x:c r="J12" s="8" t="str"/>
      <x:c r="K12" s="8" t="str"/>
      <x:c r="L12" s="7" t="str">
        <x:v>작업 P기간과 이벤트에 동일 지연 중복 반영 금지</x:v>
      </x:c>
    </x:row>
  </x:sheetData>
  <x:pageMargins left="0.7" right="0.7" top="0.75" bottom="0.75" header="0.3" footer="0.3"/>
  <x:tableParts count="1">
    <x:tablePart xmlns:r="http://schemas.openxmlformats.org/officeDocument/2006/relationships" r:id="R82c01ea040224e1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22" hidden="0" customWidth="1"/>
    <x:col min="5" max="5" width="18" hidden="0" customWidth="1"/>
    <x:col min="6" max="6" width="30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5" hidden="0" customWidth="1"/>
    <x:col min="13" max="13" width="60" hidden="0" customWidth="1"/>
    <x:col min="14" max="14" width="60" hidden="0" customWidth="1"/>
    <x:col min="15" max="15" width="25" hidden="0" customWidth="1"/>
    <x:col min="16" max="16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설계·벤더·인허가 문서대장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6" customHeight="1">
      <x:c r="A5" s="6" t="str">
        <x:v>PJ_ID</x:v>
      </x:c>
      <x:c r="B5" s="6" t="str">
        <x:v>문서번호</x:v>
      </x:c>
      <x:c r="C5" s="6" t="str">
        <x:v>문서명</x:v>
      </x:c>
      <x:c r="D5" s="6" t="str">
        <x:v>분야</x:v>
      </x:c>
      <x:c r="E5" s="6" t="str">
        <x:v>Activity ID</x:v>
      </x:c>
      <x:c r="F5" s="6" t="str">
        <x:v>작성기관</x:v>
      </x:c>
      <x:c r="G5" s="6" t="str">
        <x:v>현재 Rev.</x:v>
      </x:c>
      <x:c r="H5" s="6" t="str">
        <x:v>계획 접수일</x:v>
      </x:c>
      <x:c r="I5" s="6" t="str">
        <x:v>실제 접수일</x:v>
      </x:c>
      <x:c r="J5" s="6" t="str">
        <x:v>검토기한</x:v>
      </x:c>
      <x:c r="K5" s="6" t="str">
        <x:v>회신일</x:v>
      </x:c>
      <x:c r="L5" s="6" t="str">
        <x:v>문서상태</x:v>
      </x:c>
      <x:c r="M5" s="6" t="str">
        <x:v>미결사항</x:v>
      </x:c>
      <x:c r="N5" s="6" t="str">
        <x:v>다음 액션</x:v>
      </x:c>
      <x:c r="O5" s="6" t="str">
        <x:v>담당</x:v>
      </x:c>
      <x:c r="P5" s="6" t="str">
        <x:v>파일/메일 위치</x:v>
      </x:c>
    </x:row>
    <x:row r="6" ht="34" customHeight="1">
      <x:c r="A6" s="8"/>
      <x:c r="B6" s="8"/>
      <x:c r="C6" s="8"/>
      <x:c r="D6" s="8"/>
      <x:c r="E6" s="8"/>
      <x:c r="F6" s="8"/>
      <x:c r="G6" s="8"/>
      <x:c r="H6" s="9"/>
      <x:c r="I6" s="9"/>
      <x:c r="J6" s="9"/>
      <x:c r="K6" s="9"/>
      <x:c r="L6" s="8"/>
      <x:c r="M6" s="8"/>
      <x:c r="N6" s="8"/>
      <x:c r="O6" s="8"/>
      <x:c r="P6" s="8"/>
    </x:row>
    <x:row r="7" ht="34" customHeight="1">
      <x:c r="A7" s="8"/>
      <x:c r="B7" s="8"/>
      <x:c r="C7" s="8"/>
      <x:c r="D7" s="8"/>
      <x:c r="E7" s="8"/>
      <x:c r="F7" s="8"/>
      <x:c r="G7" s="8"/>
      <x:c r="H7" s="9"/>
      <x:c r="I7" s="9"/>
      <x:c r="J7" s="9"/>
      <x:c r="K7" s="9"/>
      <x:c r="L7" s="8"/>
      <x:c r="M7" s="8"/>
      <x:c r="N7" s="8"/>
      <x:c r="O7" s="8"/>
      <x:c r="P7" s="8"/>
    </x:row>
    <x:row r="8" ht="34" customHeight="1">
      <x:c r="A8" s="8"/>
      <x:c r="B8" s="8"/>
      <x:c r="C8" s="8"/>
      <x:c r="D8" s="8"/>
      <x:c r="E8" s="8"/>
      <x:c r="F8" s="8"/>
      <x:c r="G8" s="8"/>
      <x:c r="H8" s="9"/>
      <x:c r="I8" s="9"/>
      <x:c r="J8" s="9"/>
      <x:c r="K8" s="9"/>
      <x:c r="L8" s="8"/>
      <x:c r="M8" s="8"/>
      <x:c r="N8" s="8"/>
      <x:c r="O8" s="8"/>
      <x:c r="P8" s="8"/>
    </x:row>
    <x:row r="9" ht="34" customHeight="1">
      <x:c r="A9" s="8"/>
      <x:c r="B9" s="8"/>
      <x:c r="C9" s="8"/>
      <x:c r="D9" s="8"/>
      <x:c r="E9" s="8"/>
      <x:c r="F9" s="8"/>
      <x:c r="G9" s="8"/>
      <x:c r="H9" s="9"/>
      <x:c r="I9" s="9"/>
      <x:c r="J9" s="9"/>
      <x:c r="K9" s="9"/>
      <x:c r="L9" s="8"/>
      <x:c r="M9" s="8"/>
      <x:c r="N9" s="8"/>
      <x:c r="O9" s="8"/>
      <x:c r="P9" s="8"/>
    </x:row>
    <x:row r="10" ht="34" customHeight="1">
      <x:c r="A10" s="8"/>
      <x:c r="B10" s="8"/>
      <x:c r="C10" s="8"/>
      <x:c r="D10" s="8"/>
      <x:c r="E10" s="8"/>
      <x:c r="F10" s="8"/>
      <x:c r="G10" s="8"/>
      <x:c r="H10" s="9"/>
      <x:c r="I10" s="9"/>
      <x:c r="J10" s="9"/>
      <x:c r="K10" s="9"/>
      <x:c r="L10" s="8"/>
      <x:c r="M10" s="8"/>
      <x:c r="N10" s="8"/>
      <x:c r="O10" s="8"/>
      <x:c r="P10" s="8"/>
    </x:row>
    <x:row r="11" ht="34" customHeight="1">
      <x:c r="A11" s="8"/>
      <x:c r="B11" s="8"/>
      <x:c r="C11" s="8"/>
      <x:c r="D11" s="8"/>
      <x:c r="E11" s="8"/>
      <x:c r="F11" s="8"/>
      <x:c r="G11" s="8"/>
      <x:c r="H11" s="9"/>
      <x:c r="I11" s="9"/>
      <x:c r="J11" s="9"/>
      <x:c r="K11" s="9"/>
      <x:c r="L11" s="8"/>
      <x:c r="M11" s="8"/>
      <x:c r="N11" s="8"/>
      <x:c r="O11" s="8"/>
      <x:c r="P11" s="8"/>
    </x:row>
    <x:row r="12" ht="34" customHeight="1">
      <x:c r="A12" s="8"/>
      <x:c r="B12" s="8"/>
      <x:c r="C12" s="8"/>
      <x:c r="D12" s="8"/>
      <x:c r="E12" s="8"/>
      <x:c r="F12" s="8"/>
      <x:c r="G12" s="8"/>
      <x:c r="H12" s="9"/>
      <x:c r="I12" s="9"/>
      <x:c r="J12" s="9"/>
      <x:c r="K12" s="9"/>
      <x:c r="L12" s="8"/>
      <x:c r="M12" s="8"/>
      <x:c r="N12" s="8"/>
      <x:c r="O12" s="8"/>
      <x:c r="P12" s="8"/>
    </x:row>
    <x:row r="13" ht="34" customHeight="1">
      <x:c r="A13" s="8"/>
      <x:c r="B13" s="8"/>
      <x:c r="C13" s="8"/>
      <x:c r="D13" s="8"/>
      <x:c r="E13" s="8"/>
      <x:c r="F13" s="8"/>
      <x:c r="G13" s="8"/>
      <x:c r="H13" s="9"/>
      <x:c r="I13" s="9"/>
      <x:c r="J13" s="9"/>
      <x:c r="K13" s="9"/>
      <x:c r="L13" s="8"/>
      <x:c r="M13" s="8"/>
      <x:c r="N13" s="8"/>
      <x:c r="O13" s="8"/>
      <x:c r="P13" s="8"/>
    </x:row>
    <x:row r="14" ht="34" customHeight="1">
      <x:c r="A14" s="8"/>
      <x:c r="B14" s="8"/>
      <x:c r="C14" s="8"/>
      <x:c r="D14" s="8"/>
      <x:c r="E14" s="8"/>
      <x:c r="F14" s="8"/>
      <x:c r="G14" s="8"/>
      <x:c r="H14" s="9"/>
      <x:c r="I14" s="9"/>
      <x:c r="J14" s="9"/>
      <x:c r="K14" s="9"/>
      <x:c r="L14" s="8"/>
      <x:c r="M14" s="8"/>
      <x:c r="N14" s="8"/>
      <x:c r="O14" s="8"/>
      <x:c r="P14" s="8"/>
    </x:row>
    <x:row r="15" ht="34" customHeight="1">
      <x:c r="A15" s="8"/>
      <x:c r="B15" s="8"/>
      <x:c r="C15" s="8"/>
      <x:c r="D15" s="8"/>
      <x:c r="E15" s="8"/>
      <x:c r="F15" s="8"/>
      <x:c r="G15" s="8"/>
      <x:c r="H15" s="9"/>
      <x:c r="I15" s="9"/>
      <x:c r="J15" s="9"/>
      <x:c r="K15" s="9"/>
      <x:c r="L15" s="8"/>
      <x:c r="M15" s="8"/>
      <x:c r="N15" s="8"/>
      <x:c r="O15" s="8"/>
      <x:c r="P15" s="8"/>
    </x:row>
    <x:row r="16" ht="34" customHeight="1">
      <x:c r="A16" s="8"/>
      <x:c r="B16" s="8"/>
      <x:c r="C16" s="8"/>
      <x:c r="D16" s="8"/>
      <x:c r="E16" s="8"/>
      <x:c r="F16" s="8"/>
      <x:c r="G16" s="8"/>
      <x:c r="H16" s="9"/>
      <x:c r="I16" s="9"/>
      <x:c r="J16" s="9"/>
      <x:c r="K16" s="9"/>
      <x:c r="L16" s="8"/>
      <x:c r="M16" s="8"/>
      <x:c r="N16" s="8"/>
      <x:c r="O16" s="8"/>
      <x:c r="P16" s="8"/>
    </x:row>
    <x:row r="17" ht="34" customHeight="1">
      <x:c r="A17" s="8"/>
      <x:c r="B17" s="8"/>
      <x:c r="C17" s="8"/>
      <x:c r="D17" s="8"/>
      <x:c r="E17" s="8"/>
      <x:c r="F17" s="8"/>
      <x:c r="G17" s="8"/>
      <x:c r="H17" s="9"/>
      <x:c r="I17" s="9"/>
      <x:c r="J17" s="9"/>
      <x:c r="K17" s="9"/>
      <x:c r="L17" s="8"/>
      <x:c r="M17" s="8"/>
      <x:c r="N17" s="8"/>
      <x:c r="O17" s="8"/>
      <x:c r="P17" s="8"/>
    </x:row>
    <x:row r="18" ht="34" customHeight="1">
      <x:c r="A18" s="8"/>
      <x:c r="B18" s="8"/>
      <x:c r="C18" s="8"/>
      <x:c r="D18" s="8"/>
      <x:c r="E18" s="8"/>
      <x:c r="F18" s="8"/>
      <x:c r="G18" s="8"/>
      <x:c r="H18" s="9"/>
      <x:c r="I18" s="9"/>
      <x:c r="J18" s="9"/>
      <x:c r="K18" s="9"/>
      <x:c r="L18" s="8"/>
      <x:c r="M18" s="8"/>
      <x:c r="N18" s="8"/>
      <x:c r="O18" s="8"/>
      <x:c r="P18" s="8"/>
    </x:row>
    <x:row r="19" ht="34" customHeight="1">
      <x:c r="A19" s="8"/>
      <x:c r="B19" s="8"/>
      <x:c r="C19" s="8"/>
      <x:c r="D19" s="8"/>
      <x:c r="E19" s="8"/>
      <x:c r="F19" s="8"/>
      <x:c r="G19" s="8"/>
      <x:c r="H19" s="9"/>
      <x:c r="I19" s="9"/>
      <x:c r="J19" s="9"/>
      <x:c r="K19" s="9"/>
      <x:c r="L19" s="8"/>
      <x:c r="M19" s="8"/>
      <x:c r="N19" s="8"/>
      <x:c r="O19" s="8"/>
      <x:c r="P19" s="8"/>
    </x:row>
    <x:row r="20" ht="34" customHeight="1">
      <x:c r="A20" s="8"/>
      <x:c r="B20" s="8"/>
      <x:c r="C20" s="8"/>
      <x:c r="D20" s="8"/>
      <x:c r="E20" s="8"/>
      <x:c r="F20" s="8"/>
      <x:c r="G20" s="8"/>
      <x:c r="H20" s="9"/>
      <x:c r="I20" s="9"/>
      <x:c r="J20" s="9"/>
      <x:c r="K20" s="9"/>
      <x:c r="L20" s="8"/>
      <x:c r="M20" s="8"/>
      <x:c r="N20" s="8"/>
      <x:c r="O20" s="8"/>
      <x:c r="P20" s="8"/>
    </x:row>
    <x:row r="21" ht="34" customHeight="1">
      <x:c r="A21" s="8"/>
      <x:c r="B21" s="8"/>
      <x:c r="C21" s="8"/>
      <x:c r="D21" s="8"/>
      <x:c r="E21" s="8"/>
      <x:c r="F21" s="8"/>
      <x:c r="G21" s="8"/>
      <x:c r="H21" s="9"/>
      <x:c r="I21" s="9"/>
      <x:c r="J21" s="9"/>
      <x:c r="K21" s="9"/>
      <x:c r="L21" s="8"/>
      <x:c r="M21" s="8"/>
      <x:c r="N21" s="8"/>
      <x:c r="O21" s="8"/>
      <x:c r="P21" s="8"/>
    </x:row>
    <x:row r="22" ht="34" customHeight="1">
      <x:c r="A22" s="8"/>
      <x:c r="B22" s="8"/>
      <x:c r="C22" s="8"/>
      <x:c r="D22" s="8"/>
      <x:c r="E22" s="8"/>
      <x:c r="F22" s="8"/>
      <x:c r="G22" s="8"/>
      <x:c r="H22" s="9"/>
      <x:c r="I22" s="9"/>
      <x:c r="J22" s="9"/>
      <x:c r="K22" s="9"/>
      <x:c r="L22" s="8"/>
      <x:c r="M22" s="8"/>
      <x:c r="N22" s="8"/>
      <x:c r="O22" s="8"/>
      <x:c r="P22" s="8"/>
    </x:row>
    <x:row r="23" ht="34" customHeight="1">
      <x:c r="A23" s="8"/>
      <x:c r="B23" s="8"/>
      <x:c r="C23" s="8"/>
      <x:c r="D23" s="8"/>
      <x:c r="E23" s="8"/>
      <x:c r="F23" s="8"/>
      <x:c r="G23" s="8"/>
      <x:c r="H23" s="9"/>
      <x:c r="I23" s="9"/>
      <x:c r="J23" s="9"/>
      <x:c r="K23" s="9"/>
      <x:c r="L23" s="8"/>
      <x:c r="M23" s="8"/>
      <x:c r="N23" s="8"/>
      <x:c r="O23" s="8"/>
      <x:c r="P23" s="8"/>
    </x:row>
    <x:row r="24" ht="34" customHeight="1">
      <x:c r="A24" s="8"/>
      <x:c r="B24" s="8"/>
      <x:c r="C24" s="8"/>
      <x:c r="D24" s="8"/>
      <x:c r="E24" s="8"/>
      <x:c r="F24" s="8"/>
      <x:c r="G24" s="8"/>
      <x:c r="H24" s="9"/>
      <x:c r="I24" s="9"/>
      <x:c r="J24" s="9"/>
      <x:c r="K24" s="9"/>
      <x:c r="L24" s="8"/>
      <x:c r="M24" s="8"/>
      <x:c r="N24" s="8"/>
      <x:c r="O24" s="8"/>
      <x:c r="P24" s="8"/>
    </x:row>
    <x:row r="25" ht="34" customHeight="1">
      <x:c r="A25" s="8"/>
      <x:c r="B25" s="8"/>
      <x:c r="C25" s="8"/>
      <x:c r="D25" s="8"/>
      <x:c r="E25" s="8"/>
      <x:c r="F25" s="8"/>
      <x:c r="G25" s="8"/>
      <x:c r="H25" s="9"/>
      <x:c r="I25" s="9"/>
      <x:c r="J25" s="9"/>
      <x:c r="K25" s="9"/>
      <x:c r="L25" s="8"/>
      <x:c r="M25" s="8"/>
      <x:c r="N25" s="8"/>
      <x:c r="O25" s="8"/>
      <x:c r="P25" s="8"/>
    </x:row>
    <x:row r="26" ht="34" customHeight="1">
      <x:c r="A26" s="8"/>
      <x:c r="B26" s="8"/>
      <x:c r="C26" s="8"/>
      <x:c r="D26" s="8"/>
      <x:c r="E26" s="8"/>
      <x:c r="F26" s="8"/>
      <x:c r="G26" s="8"/>
      <x:c r="H26" s="9"/>
      <x:c r="I26" s="9"/>
      <x:c r="J26" s="9"/>
      <x:c r="K26" s="9"/>
      <x:c r="L26" s="8"/>
      <x:c r="M26" s="8"/>
      <x:c r="N26" s="8"/>
      <x:c r="O26" s="8"/>
      <x:c r="P26" s="8"/>
    </x:row>
    <x:row r="27" ht="34" customHeight="1">
      <x:c r="A27" s="8"/>
      <x:c r="B27" s="8"/>
      <x:c r="C27" s="8"/>
      <x:c r="D27" s="8"/>
      <x:c r="E27" s="8"/>
      <x:c r="F27" s="8"/>
      <x:c r="G27" s="8"/>
      <x:c r="H27" s="9"/>
      <x:c r="I27" s="9"/>
      <x:c r="J27" s="9"/>
      <x:c r="K27" s="9"/>
      <x:c r="L27" s="8"/>
      <x:c r="M27" s="8"/>
      <x:c r="N27" s="8"/>
      <x:c r="O27" s="8"/>
      <x:c r="P27" s="8"/>
    </x:row>
    <x:row r="28" ht="34" customHeight="1">
      <x:c r="A28" s="8"/>
      <x:c r="B28" s="8"/>
      <x:c r="C28" s="8"/>
      <x:c r="D28" s="8"/>
      <x:c r="E28" s="8"/>
      <x:c r="F28" s="8"/>
      <x:c r="G28" s="8"/>
      <x:c r="H28" s="9"/>
      <x:c r="I28" s="9"/>
      <x:c r="J28" s="9"/>
      <x:c r="K28" s="9"/>
      <x:c r="L28" s="8"/>
      <x:c r="M28" s="8"/>
      <x:c r="N28" s="8"/>
      <x:c r="O28" s="8"/>
      <x:c r="P28" s="8"/>
    </x:row>
    <x:row r="29" ht="34" customHeight="1">
      <x:c r="A29" s="8"/>
      <x:c r="B29" s="8"/>
      <x:c r="C29" s="8"/>
      <x:c r="D29" s="8"/>
      <x:c r="E29" s="8"/>
      <x:c r="F29" s="8"/>
      <x:c r="G29" s="8"/>
      <x:c r="H29" s="9"/>
      <x:c r="I29" s="9"/>
      <x:c r="J29" s="9"/>
      <x:c r="K29" s="9"/>
      <x:c r="L29" s="8"/>
      <x:c r="M29" s="8"/>
      <x:c r="N29" s="8"/>
      <x:c r="O29" s="8"/>
      <x:c r="P29" s="8"/>
    </x:row>
    <x:row r="30" ht="34" customHeight="1">
      <x:c r="A30" s="8"/>
      <x:c r="B30" s="8"/>
      <x:c r="C30" s="8"/>
      <x:c r="D30" s="8"/>
      <x:c r="E30" s="8"/>
      <x:c r="F30" s="8"/>
      <x:c r="G30" s="8"/>
      <x:c r="H30" s="9"/>
      <x:c r="I30" s="9"/>
      <x:c r="J30" s="9"/>
      <x:c r="K30" s="9"/>
      <x:c r="L30" s="8"/>
      <x:c r="M30" s="8"/>
      <x:c r="N30" s="8"/>
      <x:c r="O30" s="8"/>
      <x:c r="P30" s="8"/>
    </x:row>
    <x:row r="31" ht="34" customHeight="1">
      <x:c r="A31" s="8"/>
      <x:c r="B31" s="8"/>
      <x:c r="C31" s="8"/>
      <x:c r="D31" s="8"/>
      <x:c r="E31" s="8"/>
      <x:c r="F31" s="8"/>
      <x:c r="G31" s="8"/>
      <x:c r="H31" s="9"/>
      <x:c r="I31" s="9"/>
      <x:c r="J31" s="9"/>
      <x:c r="K31" s="9"/>
      <x:c r="L31" s="8"/>
      <x:c r="M31" s="8"/>
      <x:c r="N31" s="8"/>
      <x:c r="O31" s="8"/>
      <x:c r="P31" s="8"/>
    </x:row>
    <x:row r="32" ht="34" customHeight="1">
      <x:c r="A32" s="8"/>
      <x:c r="B32" s="8"/>
      <x:c r="C32" s="8"/>
      <x:c r="D32" s="8"/>
      <x:c r="E32" s="8"/>
      <x:c r="F32" s="8"/>
      <x:c r="G32" s="8"/>
      <x:c r="H32" s="9"/>
      <x:c r="I32" s="9"/>
      <x:c r="J32" s="9"/>
      <x:c r="K32" s="9"/>
      <x:c r="L32" s="8"/>
      <x:c r="M32" s="8"/>
      <x:c r="N32" s="8"/>
      <x:c r="O32" s="8"/>
      <x:c r="P32" s="8"/>
    </x:row>
    <x:row r="33" ht="34" customHeight="1">
      <x:c r="A33" s="8"/>
      <x:c r="B33" s="8"/>
      <x:c r="C33" s="8"/>
      <x:c r="D33" s="8"/>
      <x:c r="E33" s="8"/>
      <x:c r="F33" s="8"/>
      <x:c r="G33" s="8"/>
      <x:c r="H33" s="9"/>
      <x:c r="I33" s="9"/>
      <x:c r="J33" s="9"/>
      <x:c r="K33" s="9"/>
      <x:c r="L33" s="8"/>
      <x:c r="M33" s="8"/>
      <x:c r="N33" s="8"/>
      <x:c r="O33" s="8"/>
      <x:c r="P33" s="8"/>
    </x:row>
    <x:row r="34" ht="34" customHeight="1">
      <x:c r="A34" s="8"/>
      <x:c r="B34" s="8"/>
      <x:c r="C34" s="8"/>
      <x:c r="D34" s="8"/>
      <x:c r="E34" s="8"/>
      <x:c r="F34" s="8"/>
      <x:c r="G34" s="8"/>
      <x:c r="H34" s="9"/>
      <x:c r="I34" s="9"/>
      <x:c r="J34" s="9"/>
      <x:c r="K34" s="9"/>
      <x:c r="L34" s="8"/>
      <x:c r="M34" s="8"/>
      <x:c r="N34" s="8"/>
      <x:c r="O34" s="8"/>
      <x:c r="P34" s="8"/>
    </x:row>
    <x:row r="35" ht="34" customHeight="1">
      <x:c r="A35" s="8"/>
      <x:c r="B35" s="8"/>
      <x:c r="C35" s="8"/>
      <x:c r="D35" s="8"/>
      <x:c r="E35" s="8"/>
      <x:c r="F35" s="8"/>
      <x:c r="G35" s="8"/>
      <x:c r="H35" s="9"/>
      <x:c r="I35" s="9"/>
      <x:c r="J35" s="9"/>
      <x:c r="K35" s="9"/>
      <x:c r="L35" s="8"/>
      <x:c r="M35" s="8"/>
      <x:c r="N35" s="8"/>
      <x:c r="O35" s="8"/>
      <x:c r="P35" s="8"/>
    </x:row>
  </x:sheetData>
  <x:dataValidations count="1">
    <x:dataValidation type="list" sqref="L6:L35">
      <x:formula1>"미접수,검토 중,보완 요청,조건부 승인,승인,폐기/대체"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1a50f86ad0453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43" hidden="0" customWidth="1"/>
  </x:cols>
  <x:sheetData>
    <x:row r="1">
      <x:c r="A1" s="2"/>
      <x:c r="B1" s="2"/>
    </x:row>
    <x:row r="2">
      <x:c r="A2" s="3" t="str">
        <x:v>공통 포맷 사용 기준</x:v>
      </x:c>
      <x:c r="B2" s="2"/>
    </x:row>
    <x:row r="3">
      <x:c r="A3" s="2"/>
      <x:c r="B3" s="2"/>
    </x:row>
    <x:row r="4">
      <x:c r="A4" s="2"/>
      <x:c r="B4" s="2"/>
    </x:row>
    <x:row r="5" ht="36" customHeight="1">
      <x:c r="A5" s="6" t="str">
        <x:v>항목</x:v>
      </x:c>
      <x:c r="B5" s="6" t="str">
        <x:v>설명</x:v>
      </x:c>
    </x:row>
    <x:row r="6" ht="34" customHeight="1">
      <x:c r="A6" s="7" t="str">
        <x:v>목적</x:v>
      </x:c>
      <x:c r="B6" s="7" t="str">
        <x:v>유사한 플랜트·설비 구축사업에서 공통 사용. 설계→인허가→구매→시공→검사→시운전→인수·정산의 243개 표준 작업 라이브러리.</x:v>
      </x:c>
    </x:row>
    <x:row r="7" ht="34" customHeight="1">
      <x:c r="A7" s="7" t="str">
        <x:v>사용 단위</x:v>
      </x:c>
      <x:c r="B7" s="7" t="str">
        <x:v>한 파일=한 PJ. 프로젝트별 복사 후 고유 PJ_ID 입력. 여러 PJ 통합 시 PJ_ID+Activity ID를 키로 취합. 현재 파일 자체에 다중 PJ 통합 계산은 없음.</x:v>
      </x:c>
    </x:row>
    <x:row r="8" ht="34" customHeight="1">
      <x:c r="A8" s="7" t="str">
        <x:v>최초 설정</x:v>
      </x:c>
      <x:c r="B8" s="7" t="str">
        <x:v>프로젝트설정에서 ID·계획 착수일·현황 기준일 입력→모듈 적용성 결정→담당/설비명 변경→실제일·전체/잔여 OMP 검토.</x:v>
      </x:c>
    </x:row>
    <x:row r="9" ht="34" customHeight="1">
      <x:c r="A9" s="7" t="str">
        <x:v>공통·조건부 모듈</x:v>
      </x:c>
      <x:c r="B9" s="7" t="str">
        <x:v>부지권원·도시계획·건축허가·가스 기술검토·유해위험방지계획은 검토 필요로 초기화. 적용하지 않으면 제외. 제품·공법·용도별 추가 법정절차는 별도 작업으로 등록.</x:v>
      </x:c>
    </x:row>
    <x:row r="10" ht="38" customHeight="1">
      <x:c r="A10" s="7" t="str">
        <x:v>기관·설비명</x:v>
      </x:c>
      <x:c r="B10" s="7" t="str">
        <x:v>사업주·PM·종합설계사·건축설계사·주설비 공급사 등 역할명으로 변경. KGS·한전 등은 해당 시설에서만 사용하는 인터페이스 예시이며 모든 사업에 의무 적용되지 않음.</x:v>
      </x:c>
    </x:row>
    <x:row r="11" ht="34" customHeight="1">
      <x:c r="A11" s="7" t="str">
        <x:v>전체기간·잔여기간</x:v>
      </x:c>
      <x:c r="B11" s="7" t="str">
        <x:v>계획 상태는 전체 O/M/P 사용. 진행은 실제착수와 잔여 O/M/P가 필수. 완료는 실제완료일 필수, 유효기간 0. 진척률에서 잔여기간을 단순 역산하지 않음.</x:v>
      </x:c>
    </x:row>
    <x:row r="12" ht="34" customHeight="1">
      <x:c r="A12" s="7" t="str">
        <x:v>제외와 보류</x:v>
      </x:c>
      <x:c r="B12" s="7" t="str">
        <x:v>모듈 또는 작업 제외 시 기간 0으로 선행 완료경계를 전달. 삭제하지 않아 후속 ID 연결 유지. 보류/적용성 미확정/기간 미입력은 해당 경로의 날짜를 공란 처리.</x:v>
      </x:c>
    </x:row>
    <x:row r="13" ht="38" customHeight="1">
      <x:c r="A13" s="7" t="str">
        <x:v>공사범위 조정</x:v>
      </x:c>
      <x:c r="B13" s="7" t="str">
        <x:v>충전·가스·수소 등 특정 설비에 한정하지 않도록 주공정/전처리/압축/저장/분석/유틸리티/판넬로 일반화. 없는 패키지는 해당 작업들을 제외. 신규 패키지는 ID 추가.</x:v>
      </x:c>
    </x:row>
    <x:row r="14" ht="38" customHeight="1">
      <x:c r="A14" s="7" t="str">
        <x:v>날짜 계산</x:v>
      </x:c>
      <x:c r="B14" s="7" t="str">
        <x:v>모든 기간은 역일. FS+0 연결. 계획착수=MAX(계획착수일, 현황기준일, 제약일, 선행완료). 완료경계=착수+M. 진행 작업은 기준일/실제착수/선행완료 중 최댓값+잔여M.</x:v>
      </x:c>
    </x:row>
    <x:row r="15" ht="34" customHeight="1">
      <x:c r="A15" s="7" t="str">
        <x:v>실적 우선</x:v>
      </x:c>
      <x:c r="B15" s="7" t="str">
        <x:v>완료 상태는 실제완료일을 사용해 후속 예측에 반영. 완료 입력은 승인·검사·인수 증빙에 근거해야 함. 실제착수 미입력 완료작업은 간트에서 완료일 게이트로 표시.</x:v>
      </x:c>
    </x:row>
    <x:row r="16" ht="38" customHeight="1">
      <x:c r="A16" s="7" t="str">
        <x:v>기준선 관리</x:v>
      </x:c>
      <x:c r="B16" s="7" t="str">
        <x:v>H/I열은 승인된 기준선 날짜를 값으로 저장. 실적과 기간이 바뀌어도 덮어쓰지 않음. 예측완료-기준선완료를 편차로 계산. 이번 템플릿에는 임의 기준선 날짜가 없음.</x:v>
      </x:c>
    </x:row>
    <x:row r="17" ht="34" customHeight="1">
      <x:c r="A17" s="7" t="str">
        <x:v>기간의 출처</x:v>
      </x:c>
      <x:c r="B17" s="7" t="str">
        <x:v>초기 O/M/P는 이전 상세화의 설명용 가정. 프로젝트 실측 통계가 아니며 법정처리기한도 아님. 본 PJ 벤더 납기·심사 이력·공법·인력 기준으로 교체 필요.</x:v>
      </x:c>
    </x:row>
    <x:row r="18" ht="38" customHeight="1">
      <x:c r="A18" s="7" t="str">
        <x:v>몬테카를로 연결</x:v>
      </x:c>
      <x:c r="B18" s="7" t="str">
        <x:v>유효 O/M/P, ID, 선행ID, 공통리스크 그룹을 입력으로 사용. 완료는 실적 고정·제외는 0일·진행은 잔여기간만 샘플링. 삼각/Beta-PERT 선택과 상관구조는 별도 엔진에서 확정.</x:v>
      </x:c>
    </x:row>
    <x:row r="19" ht="34" customHeight="1">
      <x:c r="A19" s="7" t="str">
        <x:v>PERT 표시</x:v>
      </x:c>
      <x:c r="B19" s="7" t="str">
        <x:v>평균=(O+4M+P)/6. 분산=((P-O)/6)^2는 전통적 PERT 근사. 평균은 P50/P80 완료일이 아님. 이번 파일은 반복 시뮬레이션 미실행.</x:v>
      </x:c>
    </x:row>
    <x:row r="20" ht="34" customHeight="1">
      <x:c r="A20" s="7" t="str">
        <x:v>리스크 이벤트</x:v>
      </x:c>
      <x:c r="B20" s="7" t="str">
        <x:v>확률·영향기간은 공란. 설계변경·기상 등 동일 공통원인을 독립 중복샘플링하지 말고 그룹별 상관 또는 공통 이벤트로 처리. 작업기간과 이벤트 중복 반영 금지.</x:v>
      </x:c>
    </x:row>
    <x:row r="21" ht="34" customHeight="1">
      <x:c r="A21" s="7" t="str">
        <x:v>행 추가·정렬</x:v>
      </x:c>
      <x:c r="B21" s="7" t="str">
        <x:v>선행작업은 반드시 앞 행에 배치. 필터 사용 권장, 임의 정렬 금지. 행 추가 시 모듈 참조·선행 조회 범위·간트·요약을 확장. 현재 243행까지 계산.</x:v>
      </x:c>
    </x:row>
    <x:row r="22" ht="38" customHeight="1">
      <x:c r="A22" s="7" t="str">
        <x:v>변경이력·문서대장</x:v>
      </x:c>
      <x:c r="B22" s="7" t="str">
        <x:v>문서 접수/회신 및 실적/설계/기간 변경을 별도 대장에 행 추가. PJ_ID와 Activity ID로 연결. 대장 기록은 일정에 자동 반영되지 않으므로 승인 후 상세일정도 갱신.</x:v>
      </x:c>
    </x:row>
    <x:row r="23" ht="34" customHeight="1">
      <x:c r="A23" s="7" t="str">
        <x:v>검토 범위</x:v>
      </x:c>
      <x:c r="B23" s="7" t="str">
        <x:v>자원 평준화·공휴일·SS/FF·lag·자동 critical path·자동 확률분석은 미구현. 공종별 순서는 기본 라이브러리이며 계약/기관 요구에 맞게 검토.</x:v>
      </x:c>
    </x:row>
    <x:row r="24" ht="34" customHeight="1">
      <x:c r="A24" s="7" t="str">
        <x:v>원자료 사용</x:v>
      </x:c>
      <x:c r="B24" s="7" t="str">
        <x:v>이전 파주/용인 자료의 업무 분해 구조를 재사용했으나 기존 PJ의 날짜·실적·목표·기관 담당자와 원문 이력은 이 공통 포맷에서 제거.</x:v>
      </x:c>
    </x:row>
    <x:row r="25" ht="34" customHeight="1">
      <x:c r="A25" s="7" t="str">
        <x:v>권장 진행</x:v>
      </x:c>
      <x:c r="B25" s="7" t="str">
        <x:v>모듈 적용성 결정→잔여현황 업데이트→기간/선행관계 검토→기준선 승인→정기 실적 및 변경이력 기록→확률분석으로 의사결정 지원.</x:v>
      </x:c>
    </x:row>
  </x:sheetData>
  <x:pageMargins left="0.7" right="0.7" top="0.75" bottom="0.75" header="0.3" footer="0.3"/>
  <x:tableParts count="1">
    <x:tablePart xmlns:r="http://schemas.openxmlformats.org/officeDocument/2006/relationships" r:id="R7529bad623864ea2"/>
  </x:tableParts>
</x:worksheet>
</file>